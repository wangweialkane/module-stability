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9ac7371ac5a0a95e/文档/slide/stability/damp-heat/"/>
    </mc:Choice>
  </mc:AlternateContent>
  <xr:revisionPtr revIDLastSave="9" documentId="13_ncr:1_{F010F38E-1B64-425B-A6A5-DA24B320FDC5}" xr6:coauthVersionLast="47" xr6:coauthVersionMax="47" xr10:uidLastSave="{2D801258-083E-4300-B68D-B9F75B7FF7A3}"/>
  <bookViews>
    <workbookView xWindow="-108" yWindow="-108" windowWidth="30936" windowHeight="16896" tabRatio="760" activeTab="4" xr2:uid="{00000000-000D-0000-FFFF-FFFF00000000}"/>
  </bookViews>
  <sheets>
    <sheet name="NEW" sheetId="64" r:id="rId1"/>
    <sheet name="20221201T090000" sheetId="67" r:id="rId2"/>
    <sheet name="20221202T090000" sheetId="65" r:id="rId3"/>
    <sheet name="20221205T210000" sheetId="66" r:id="rId4"/>
    <sheet name="Sheet2" sheetId="63" r:id="rId5"/>
  </sheets>
  <externalReferences>
    <externalReference r:id="rId6"/>
    <externalReference r:id="rId7"/>
    <externalReference r:id="rId8"/>
  </externalReference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382" i="67" l="1"/>
  <c r="BE382" i="67" s="1"/>
  <c r="AV382" i="67"/>
  <c r="AW382" i="67" s="1"/>
  <c r="AL382" i="67"/>
  <c r="AM382" i="67" s="1"/>
  <c r="AD382" i="67"/>
  <c r="AE382" i="67" s="1"/>
  <c r="U382" i="67"/>
  <c r="T382" i="67"/>
  <c r="M382" i="67"/>
  <c r="L382" i="67"/>
  <c r="BD381" i="67"/>
  <c r="BE381" i="67" s="1"/>
  <c r="AV381" i="67"/>
  <c r="AW381" i="67" s="1"/>
  <c r="AL381" i="67"/>
  <c r="AM381" i="67" s="1"/>
  <c r="AD381" i="67"/>
  <c r="AE381" i="67" s="1"/>
  <c r="U381" i="67"/>
  <c r="T381" i="67"/>
  <c r="M381" i="67"/>
  <c r="L381" i="67"/>
  <c r="BD380" i="67"/>
  <c r="BE380" i="67" s="1"/>
  <c r="AV380" i="67"/>
  <c r="AW380" i="67" s="1"/>
  <c r="AL380" i="67"/>
  <c r="AM380" i="67" s="1"/>
  <c r="AD380" i="67"/>
  <c r="AE380" i="67" s="1"/>
  <c r="U380" i="67"/>
  <c r="T380" i="67"/>
  <c r="M380" i="67"/>
  <c r="L380" i="67"/>
  <c r="BD379" i="67"/>
  <c r="BE379" i="67" s="1"/>
  <c r="AV379" i="67"/>
  <c r="AW379" i="67" s="1"/>
  <c r="AL379" i="67"/>
  <c r="AM379" i="67" s="1"/>
  <c r="AD379" i="67"/>
  <c r="AE379" i="67" s="1"/>
  <c r="U379" i="67"/>
  <c r="T379" i="67"/>
  <c r="M379" i="67"/>
  <c r="L379" i="67"/>
  <c r="BD378" i="67"/>
  <c r="BE378" i="67" s="1"/>
  <c r="AV378" i="67"/>
  <c r="AW378" i="67" s="1"/>
  <c r="AL378" i="67"/>
  <c r="AM378" i="67" s="1"/>
  <c r="AD378" i="67"/>
  <c r="AE378" i="67" s="1"/>
  <c r="U378" i="67"/>
  <c r="T378" i="67"/>
  <c r="M378" i="67"/>
  <c r="L378" i="67"/>
  <c r="BD377" i="67"/>
  <c r="BE377" i="67" s="1"/>
  <c r="AV377" i="67"/>
  <c r="AW377" i="67" s="1"/>
  <c r="AL377" i="67"/>
  <c r="AM377" i="67" s="1"/>
  <c r="AD377" i="67"/>
  <c r="AE377" i="67" s="1"/>
  <c r="U377" i="67"/>
  <c r="T377" i="67"/>
  <c r="M377" i="67"/>
  <c r="L377" i="67"/>
  <c r="BD376" i="67"/>
  <c r="BE376" i="67" s="1"/>
  <c r="AV376" i="67"/>
  <c r="AW376" i="67" s="1"/>
  <c r="AL376" i="67"/>
  <c r="AM376" i="67" s="1"/>
  <c r="AD376" i="67"/>
  <c r="AE376" i="67" s="1"/>
  <c r="U376" i="67"/>
  <c r="T376" i="67"/>
  <c r="M376" i="67"/>
  <c r="L376" i="67"/>
  <c r="BD375" i="67"/>
  <c r="BE375" i="67" s="1"/>
  <c r="AV375" i="67"/>
  <c r="AW375" i="67" s="1"/>
  <c r="AL375" i="67"/>
  <c r="AM375" i="67" s="1"/>
  <c r="AD375" i="67"/>
  <c r="AE375" i="67" s="1"/>
  <c r="U375" i="67"/>
  <c r="T375" i="67"/>
  <c r="M375" i="67"/>
  <c r="L375" i="67"/>
  <c r="BD374" i="67"/>
  <c r="BE374" i="67" s="1"/>
  <c r="AV374" i="67"/>
  <c r="AW374" i="67" s="1"/>
  <c r="AL374" i="67"/>
  <c r="AM374" i="67" s="1"/>
  <c r="AD374" i="67"/>
  <c r="AE374" i="67" s="1"/>
  <c r="U374" i="67"/>
  <c r="T374" i="67"/>
  <c r="M374" i="67"/>
  <c r="L374" i="67"/>
  <c r="BD373" i="67"/>
  <c r="BE373" i="67" s="1"/>
  <c r="AV373" i="67"/>
  <c r="AW373" i="67" s="1"/>
  <c r="AL373" i="67"/>
  <c r="AM373" i="67" s="1"/>
  <c r="AD373" i="67"/>
  <c r="AE373" i="67" s="1"/>
  <c r="U373" i="67"/>
  <c r="T373" i="67"/>
  <c r="M373" i="67"/>
  <c r="L373" i="67"/>
  <c r="BD372" i="67"/>
  <c r="BE372" i="67" s="1"/>
  <c r="AV372" i="67"/>
  <c r="AW372" i="67" s="1"/>
  <c r="AL372" i="67"/>
  <c r="AM372" i="67" s="1"/>
  <c r="AD372" i="67"/>
  <c r="AE372" i="67" s="1"/>
  <c r="U372" i="67"/>
  <c r="T372" i="67"/>
  <c r="M372" i="67"/>
  <c r="L372" i="67"/>
  <c r="BD371" i="67"/>
  <c r="BE371" i="67" s="1"/>
  <c r="AV371" i="67"/>
  <c r="AW371" i="67" s="1"/>
  <c r="AL371" i="67"/>
  <c r="AM371" i="67" s="1"/>
  <c r="AD371" i="67"/>
  <c r="AE371" i="67" s="1"/>
  <c r="U371" i="67"/>
  <c r="T371" i="67"/>
  <c r="M371" i="67"/>
  <c r="L371" i="67"/>
  <c r="BD370" i="67"/>
  <c r="BE370" i="67" s="1"/>
  <c r="AW370" i="67"/>
  <c r="AV370" i="67"/>
  <c r="AL370" i="67"/>
  <c r="AM370" i="67" s="1"/>
  <c r="AD370" i="67"/>
  <c r="AE370" i="67" s="1"/>
  <c r="U370" i="67"/>
  <c r="T370" i="67"/>
  <c r="M370" i="67"/>
  <c r="L370" i="67"/>
  <c r="BD369" i="67"/>
  <c r="BE369" i="67" s="1"/>
  <c r="AV369" i="67"/>
  <c r="AW369" i="67" s="1"/>
  <c r="AL369" i="67"/>
  <c r="AM369" i="67" s="1"/>
  <c r="AD369" i="67"/>
  <c r="AE369" i="67" s="1"/>
  <c r="U369" i="67"/>
  <c r="T369" i="67"/>
  <c r="M369" i="67"/>
  <c r="L369" i="67"/>
  <c r="BD368" i="67"/>
  <c r="BE368" i="67" s="1"/>
  <c r="AV368" i="67"/>
  <c r="AW368" i="67" s="1"/>
  <c r="AL368" i="67"/>
  <c r="AM368" i="67" s="1"/>
  <c r="AD368" i="67"/>
  <c r="AE368" i="67" s="1"/>
  <c r="U368" i="67"/>
  <c r="T368" i="67"/>
  <c r="M368" i="67"/>
  <c r="L368" i="67"/>
  <c r="BD367" i="67"/>
  <c r="BE367" i="67" s="1"/>
  <c r="AV367" i="67"/>
  <c r="AW367" i="67" s="1"/>
  <c r="AL367" i="67"/>
  <c r="AM367" i="67" s="1"/>
  <c r="AD367" i="67"/>
  <c r="AE367" i="67" s="1"/>
  <c r="U367" i="67"/>
  <c r="T367" i="67"/>
  <c r="M367" i="67"/>
  <c r="L367" i="67"/>
  <c r="BD366" i="67"/>
  <c r="BE366" i="67" s="1"/>
  <c r="AW366" i="67"/>
  <c r="AV366" i="67"/>
  <c r="AL366" i="67"/>
  <c r="AM366" i="67" s="1"/>
  <c r="AD366" i="67"/>
  <c r="AE366" i="67" s="1"/>
  <c r="U366" i="67"/>
  <c r="T366" i="67"/>
  <c r="M366" i="67"/>
  <c r="L366" i="67"/>
  <c r="BD365" i="67"/>
  <c r="BE365" i="67" s="1"/>
  <c r="AV365" i="67"/>
  <c r="AW365" i="67" s="1"/>
  <c r="AL365" i="67"/>
  <c r="AM365" i="67" s="1"/>
  <c r="AD365" i="67"/>
  <c r="AE365" i="67" s="1"/>
  <c r="U365" i="67"/>
  <c r="T365" i="67"/>
  <c r="M365" i="67"/>
  <c r="L365" i="67"/>
  <c r="BD364" i="67"/>
  <c r="BE364" i="67" s="1"/>
  <c r="AW364" i="67"/>
  <c r="AV364" i="67"/>
  <c r="AL364" i="67"/>
  <c r="AM364" i="67" s="1"/>
  <c r="AD364" i="67"/>
  <c r="AE364" i="67" s="1"/>
  <c r="U364" i="67"/>
  <c r="T364" i="67"/>
  <c r="M364" i="67"/>
  <c r="L364" i="67"/>
  <c r="BD363" i="67"/>
  <c r="BE363" i="67" s="1"/>
  <c r="AV363" i="67"/>
  <c r="AW363" i="67" s="1"/>
  <c r="AL363" i="67"/>
  <c r="AM363" i="67" s="1"/>
  <c r="AD363" i="67"/>
  <c r="AE363" i="67" s="1"/>
  <c r="U363" i="67"/>
  <c r="T363" i="67"/>
  <c r="M363" i="67"/>
  <c r="L363" i="67"/>
  <c r="BD362" i="67"/>
  <c r="BE362" i="67" s="1"/>
  <c r="AW362" i="67"/>
  <c r="AV362" i="67"/>
  <c r="AL362" i="67"/>
  <c r="AM362" i="67" s="1"/>
  <c r="AD362" i="67"/>
  <c r="AE362" i="67" s="1"/>
  <c r="U362" i="67"/>
  <c r="T362" i="67"/>
  <c r="M362" i="67"/>
  <c r="L362" i="67"/>
  <c r="BD361" i="67"/>
  <c r="BE361" i="67" s="1"/>
  <c r="AV361" i="67"/>
  <c r="AW361" i="67" s="1"/>
  <c r="AL361" i="67"/>
  <c r="AM361" i="67" s="1"/>
  <c r="AE361" i="67"/>
  <c r="AD361" i="67"/>
  <c r="U361" i="67"/>
  <c r="T361" i="67"/>
  <c r="M361" i="67"/>
  <c r="L361" i="67"/>
  <c r="BD360" i="67"/>
  <c r="BE360" i="67" s="1"/>
  <c r="AW360" i="67"/>
  <c r="AV360" i="67"/>
  <c r="AL360" i="67"/>
  <c r="AM360" i="67" s="1"/>
  <c r="AD360" i="67"/>
  <c r="AE360" i="67" s="1"/>
  <c r="U360" i="67"/>
  <c r="T360" i="67"/>
  <c r="M360" i="67"/>
  <c r="L360" i="67"/>
  <c r="BE359" i="67"/>
  <c r="BD359" i="67"/>
  <c r="AV359" i="67"/>
  <c r="AW359" i="67" s="1"/>
  <c r="AL359" i="67"/>
  <c r="AM359" i="67" s="1"/>
  <c r="AE359" i="67"/>
  <c r="AD359" i="67"/>
  <c r="U359" i="67"/>
  <c r="T359" i="67"/>
  <c r="M359" i="67"/>
  <c r="L359" i="67"/>
  <c r="BE358" i="67"/>
  <c r="BD358" i="67"/>
  <c r="AV358" i="67"/>
  <c r="AW358" i="67" s="1"/>
  <c r="AL358" i="67"/>
  <c r="AM358" i="67" s="1"/>
  <c r="AD358" i="67"/>
  <c r="AE358" i="67" s="1"/>
  <c r="U358" i="67"/>
  <c r="T358" i="67"/>
  <c r="M358" i="67"/>
  <c r="L358" i="67"/>
  <c r="BD357" i="67"/>
  <c r="BE357" i="67" s="1"/>
  <c r="AW357" i="67"/>
  <c r="AV357" i="67"/>
  <c r="AL357" i="67"/>
  <c r="AM357" i="67" s="1"/>
  <c r="AE357" i="67"/>
  <c r="AD357" i="67"/>
  <c r="U357" i="67"/>
  <c r="T357" i="67"/>
  <c r="M357" i="67"/>
  <c r="L357" i="67"/>
  <c r="BE356" i="67"/>
  <c r="BD356" i="67"/>
  <c r="AW356" i="67"/>
  <c r="AV356" i="67"/>
  <c r="AL356" i="67"/>
  <c r="AM356" i="67" s="1"/>
  <c r="AD356" i="67"/>
  <c r="AE356" i="67" s="1"/>
  <c r="U356" i="67"/>
  <c r="T356" i="67"/>
  <c r="M356" i="67"/>
  <c r="L356" i="67"/>
  <c r="BD355" i="67"/>
  <c r="BE355" i="67" s="1"/>
  <c r="AV355" i="67"/>
  <c r="AW355" i="67" s="1"/>
  <c r="AL355" i="67"/>
  <c r="AM355" i="67" s="1"/>
  <c r="AD355" i="67"/>
  <c r="AE355" i="67" s="1"/>
  <c r="U355" i="67"/>
  <c r="T355" i="67"/>
  <c r="M355" i="67"/>
  <c r="L355" i="67"/>
  <c r="BE354" i="67"/>
  <c r="BD354" i="67"/>
  <c r="AW354" i="67"/>
  <c r="AV354" i="67"/>
  <c r="AL354" i="67"/>
  <c r="AM354" i="67" s="1"/>
  <c r="AE354" i="67"/>
  <c r="AD354" i="67"/>
  <c r="U354" i="67"/>
  <c r="T354" i="67"/>
  <c r="M354" i="67"/>
  <c r="L354" i="67"/>
  <c r="BD353" i="67"/>
  <c r="BE353" i="67" s="1"/>
  <c r="AV353" i="67"/>
  <c r="AW353" i="67" s="1"/>
  <c r="AL353" i="67"/>
  <c r="AM353" i="67" s="1"/>
  <c r="AD353" i="67"/>
  <c r="AE353" i="67" s="1"/>
  <c r="U353" i="67"/>
  <c r="T353" i="67"/>
  <c r="M353" i="67"/>
  <c r="L353" i="67"/>
  <c r="BE352" i="67"/>
  <c r="BD352" i="67"/>
  <c r="AW352" i="67"/>
  <c r="AV352" i="67"/>
  <c r="AL352" i="67"/>
  <c r="AM352" i="67" s="1"/>
  <c r="AD352" i="67"/>
  <c r="AE352" i="67" s="1"/>
  <c r="U352" i="67"/>
  <c r="T352" i="67"/>
  <c r="M352" i="67"/>
  <c r="L352" i="67"/>
  <c r="BD351" i="67"/>
  <c r="BE351" i="67" s="1"/>
  <c r="AV351" i="67"/>
  <c r="AW351" i="67" s="1"/>
  <c r="AL351" i="67"/>
  <c r="AM351" i="67" s="1"/>
  <c r="AE351" i="67"/>
  <c r="AD351" i="67"/>
  <c r="U351" i="67"/>
  <c r="T351" i="67"/>
  <c r="M351" i="67"/>
  <c r="L351" i="67"/>
  <c r="BE350" i="67"/>
  <c r="BD350" i="67"/>
  <c r="AW350" i="67"/>
  <c r="AV350" i="67"/>
  <c r="AL350" i="67"/>
  <c r="AM350" i="67" s="1"/>
  <c r="AD350" i="67"/>
  <c r="AE350" i="67" s="1"/>
  <c r="U350" i="67"/>
  <c r="T350" i="67"/>
  <c r="M350" i="67"/>
  <c r="L350" i="67"/>
  <c r="BD349" i="67"/>
  <c r="BE349" i="67" s="1"/>
  <c r="AV349" i="67"/>
  <c r="AW349" i="67" s="1"/>
  <c r="AL349" i="67"/>
  <c r="AM349" i="67" s="1"/>
  <c r="AE349" i="67"/>
  <c r="AD349" i="67"/>
  <c r="U349" i="67"/>
  <c r="T349" i="67"/>
  <c r="M349" i="67"/>
  <c r="L349" i="67"/>
  <c r="BD348" i="67"/>
  <c r="BE348" i="67" s="1"/>
  <c r="AW348" i="67"/>
  <c r="AV348" i="67"/>
  <c r="AL348" i="67"/>
  <c r="AM348" i="67" s="1"/>
  <c r="AD348" i="67"/>
  <c r="AE348" i="67" s="1"/>
  <c r="U348" i="67"/>
  <c r="T348" i="67"/>
  <c r="M348" i="67"/>
  <c r="L348" i="67"/>
  <c r="BE347" i="67"/>
  <c r="BD347" i="67"/>
  <c r="AV347" i="67"/>
  <c r="AW347" i="67" s="1"/>
  <c r="AL347" i="67"/>
  <c r="AM347" i="67" s="1"/>
  <c r="AE347" i="67"/>
  <c r="AD347" i="67"/>
  <c r="U347" i="67"/>
  <c r="T347" i="67"/>
  <c r="M347" i="67"/>
  <c r="L347" i="67"/>
  <c r="BE346" i="67"/>
  <c r="BD346" i="67"/>
  <c r="AV346" i="67"/>
  <c r="AW346" i="67" s="1"/>
  <c r="AL346" i="67"/>
  <c r="AM346" i="67" s="1"/>
  <c r="AD346" i="67"/>
  <c r="AE346" i="67" s="1"/>
  <c r="U346" i="67"/>
  <c r="T346" i="67"/>
  <c r="M346" i="67"/>
  <c r="L346" i="67"/>
  <c r="BD345" i="67"/>
  <c r="BE345" i="67" s="1"/>
  <c r="AW345" i="67"/>
  <c r="AV345" i="67"/>
  <c r="AL345" i="67"/>
  <c r="AM345" i="67" s="1"/>
  <c r="AE345" i="67"/>
  <c r="AD345" i="67"/>
  <c r="U345" i="67"/>
  <c r="T345" i="67"/>
  <c r="M345" i="67"/>
  <c r="L345" i="67"/>
  <c r="BE344" i="67"/>
  <c r="BD344" i="67"/>
  <c r="AW344" i="67"/>
  <c r="AV344" i="67"/>
  <c r="AL344" i="67"/>
  <c r="AM344" i="67" s="1"/>
  <c r="AD344" i="67"/>
  <c r="AE344" i="67" s="1"/>
  <c r="U344" i="67"/>
  <c r="T344" i="67"/>
  <c r="M344" i="67"/>
  <c r="L344" i="67"/>
  <c r="BD343" i="67"/>
  <c r="BE343" i="67" s="1"/>
  <c r="AV343" i="67"/>
  <c r="AW343" i="67" s="1"/>
  <c r="AL343" i="67"/>
  <c r="AM343" i="67" s="1"/>
  <c r="AD343" i="67"/>
  <c r="AE343" i="67" s="1"/>
  <c r="U343" i="67"/>
  <c r="T343" i="67"/>
  <c r="M343" i="67"/>
  <c r="L343" i="67"/>
  <c r="BE342" i="67"/>
  <c r="BD342" i="67"/>
  <c r="AW342" i="67"/>
  <c r="AV342" i="67"/>
  <c r="AL342" i="67"/>
  <c r="AM342" i="67" s="1"/>
  <c r="AE342" i="67"/>
  <c r="AD342" i="67"/>
  <c r="U342" i="67"/>
  <c r="T342" i="67"/>
  <c r="M342" i="67"/>
  <c r="L342" i="67"/>
  <c r="BD341" i="67"/>
  <c r="BE341" i="67" s="1"/>
  <c r="AV341" i="67"/>
  <c r="AW341" i="67" s="1"/>
  <c r="AL341" i="67"/>
  <c r="AM341" i="67" s="1"/>
  <c r="AE341" i="67"/>
  <c r="AD341" i="67"/>
  <c r="T341" i="67"/>
  <c r="U341" i="67" s="1"/>
  <c r="M341" i="67"/>
  <c r="L341" i="67"/>
  <c r="BE340" i="67"/>
  <c r="BD340" i="67"/>
  <c r="AW340" i="67"/>
  <c r="AV340" i="67"/>
  <c r="AL340" i="67"/>
  <c r="AM340" i="67" s="1"/>
  <c r="AD340" i="67"/>
  <c r="AE340" i="67" s="1"/>
  <c r="U340" i="67"/>
  <c r="T340" i="67"/>
  <c r="M340" i="67"/>
  <c r="L340" i="67"/>
  <c r="BD339" i="67"/>
  <c r="BE339" i="67" s="1"/>
  <c r="AV339" i="67"/>
  <c r="AW339" i="67" s="1"/>
  <c r="AL339" i="67"/>
  <c r="AM339" i="67" s="1"/>
  <c r="AE339" i="67"/>
  <c r="AD339" i="67"/>
  <c r="T339" i="67"/>
  <c r="U339" i="67" s="1"/>
  <c r="M339" i="67"/>
  <c r="L339" i="67"/>
  <c r="BE338" i="67"/>
  <c r="BD338" i="67"/>
  <c r="AW338" i="67"/>
  <c r="AV338" i="67"/>
  <c r="AL338" i="67"/>
  <c r="AM338" i="67" s="1"/>
  <c r="AD338" i="67"/>
  <c r="AE338" i="67" s="1"/>
  <c r="T338" i="67"/>
  <c r="U338" i="67" s="1"/>
  <c r="M338" i="67"/>
  <c r="L338" i="67"/>
  <c r="BD337" i="67"/>
  <c r="BE337" i="67" s="1"/>
  <c r="AV337" i="67"/>
  <c r="AW337" i="67" s="1"/>
  <c r="AL337" i="67"/>
  <c r="AM337" i="67" s="1"/>
  <c r="AE337" i="67"/>
  <c r="AD337" i="67"/>
  <c r="U337" i="67"/>
  <c r="T337" i="67"/>
  <c r="M337" i="67"/>
  <c r="L337" i="67"/>
  <c r="BD336" i="67"/>
  <c r="BE336" i="67" s="1"/>
  <c r="AW336" i="67"/>
  <c r="AV336" i="67"/>
  <c r="AL336" i="67"/>
  <c r="AM336" i="67" s="1"/>
  <c r="AD336" i="67"/>
  <c r="AE336" i="67" s="1"/>
  <c r="T336" i="67"/>
  <c r="U336" i="67" s="1"/>
  <c r="M336" i="67"/>
  <c r="L336" i="67"/>
  <c r="BE335" i="67"/>
  <c r="BD335" i="67"/>
  <c r="AV335" i="67"/>
  <c r="AW335" i="67" s="1"/>
  <c r="AL335" i="67"/>
  <c r="AM335" i="67" s="1"/>
  <c r="AE335" i="67"/>
  <c r="AD335" i="67"/>
  <c r="U335" i="67"/>
  <c r="T335" i="67"/>
  <c r="M335" i="67"/>
  <c r="L335" i="67"/>
  <c r="BD334" i="67"/>
  <c r="BE334" i="67" s="1"/>
  <c r="AV334" i="67"/>
  <c r="AW334" i="67" s="1"/>
  <c r="AL334" i="67"/>
  <c r="AM334" i="67" s="1"/>
  <c r="AD334" i="67"/>
  <c r="AE334" i="67" s="1"/>
  <c r="T334" i="67"/>
  <c r="U334" i="67" s="1"/>
  <c r="M334" i="67"/>
  <c r="L334" i="67"/>
  <c r="BD333" i="67"/>
  <c r="BE333" i="67" s="1"/>
  <c r="AW333" i="67"/>
  <c r="AV333" i="67"/>
  <c r="AL333" i="67"/>
  <c r="AM333" i="67" s="1"/>
  <c r="AE333" i="67"/>
  <c r="AD333" i="67"/>
  <c r="T333" i="67"/>
  <c r="U333" i="67" s="1"/>
  <c r="M333" i="67"/>
  <c r="L333" i="67"/>
  <c r="BE332" i="67"/>
  <c r="BD332" i="67"/>
  <c r="AW332" i="67"/>
  <c r="AV332" i="67"/>
  <c r="AL332" i="67"/>
  <c r="AM332" i="67" s="1"/>
  <c r="AD332" i="67"/>
  <c r="AE332" i="67" s="1"/>
  <c r="T332" i="67"/>
  <c r="U332" i="67" s="1"/>
  <c r="L332" i="67"/>
  <c r="M332" i="67" s="1"/>
  <c r="BD331" i="67"/>
  <c r="BE331" i="67" s="1"/>
  <c r="AV331" i="67"/>
  <c r="AW331" i="67" s="1"/>
  <c r="AL331" i="67"/>
  <c r="AM331" i="67" s="1"/>
  <c r="AD331" i="67"/>
  <c r="AE331" i="67" s="1"/>
  <c r="U331" i="67"/>
  <c r="T331" i="67"/>
  <c r="M331" i="67"/>
  <c r="L331" i="67"/>
  <c r="BE330" i="67"/>
  <c r="BD330" i="67"/>
  <c r="AW330" i="67"/>
  <c r="AV330" i="67"/>
  <c r="AL330" i="67"/>
  <c r="AM330" i="67" s="1"/>
  <c r="AE330" i="67"/>
  <c r="AD330" i="67"/>
  <c r="T330" i="67"/>
  <c r="U330" i="67" s="1"/>
  <c r="L330" i="67"/>
  <c r="M330" i="67" s="1"/>
  <c r="BE329" i="67"/>
  <c r="BD329" i="67"/>
  <c r="AV329" i="67"/>
  <c r="AW329" i="67" s="1"/>
  <c r="AL329" i="67"/>
  <c r="AM329" i="67" s="1"/>
  <c r="AE329" i="67"/>
  <c r="AD329" i="67"/>
  <c r="T329" i="67"/>
  <c r="U329" i="67" s="1"/>
  <c r="M329" i="67"/>
  <c r="L329" i="67"/>
  <c r="BE328" i="67"/>
  <c r="BD328" i="67"/>
  <c r="AW328" i="67"/>
  <c r="AV328" i="67"/>
  <c r="AL328" i="67"/>
  <c r="AM328" i="67" s="1"/>
  <c r="AD328" i="67"/>
  <c r="AE328" i="67" s="1"/>
  <c r="U328" i="67"/>
  <c r="T328" i="67"/>
  <c r="L328" i="67"/>
  <c r="M328" i="67" s="1"/>
  <c r="BD327" i="67"/>
  <c r="BE327" i="67" s="1"/>
  <c r="AW327" i="67"/>
  <c r="AV327" i="67"/>
  <c r="AL327" i="67"/>
  <c r="AM327" i="67" s="1"/>
  <c r="AE327" i="67"/>
  <c r="AD327" i="67"/>
  <c r="U327" i="67"/>
  <c r="T327" i="67"/>
  <c r="L327" i="67"/>
  <c r="M327" i="67" s="1"/>
  <c r="BE326" i="67"/>
  <c r="BD326" i="67"/>
  <c r="AV326" i="67"/>
  <c r="AW326" i="67" s="1"/>
  <c r="AL326" i="67"/>
  <c r="AM326" i="67" s="1"/>
  <c r="AD326" i="67"/>
  <c r="AE326" i="67" s="1"/>
  <c r="T326" i="67"/>
  <c r="U326" i="67" s="1"/>
  <c r="M326" i="67"/>
  <c r="L326" i="67"/>
  <c r="BD325" i="67"/>
  <c r="BE325" i="67" s="1"/>
  <c r="AV325" i="67"/>
  <c r="AW325" i="67" s="1"/>
  <c r="AL325" i="67"/>
  <c r="AM325" i="67" s="1"/>
  <c r="AE325" i="67"/>
  <c r="AD325" i="67"/>
  <c r="U325" i="67"/>
  <c r="T325" i="67"/>
  <c r="M325" i="67"/>
  <c r="L325" i="67"/>
  <c r="BD324" i="67"/>
  <c r="BE324" i="67" s="1"/>
  <c r="AW324" i="67"/>
  <c r="AV324" i="67"/>
  <c r="AL324" i="67"/>
  <c r="AM324" i="67" s="1"/>
  <c r="AE324" i="67"/>
  <c r="AD324" i="67"/>
  <c r="T324" i="67"/>
  <c r="U324" i="67" s="1"/>
  <c r="L324" i="67"/>
  <c r="M324" i="67" s="1"/>
  <c r="BE323" i="67"/>
  <c r="BD323" i="67"/>
  <c r="AV323" i="67"/>
  <c r="AW323" i="67" s="1"/>
  <c r="AL323" i="67"/>
  <c r="AM323" i="67" s="1"/>
  <c r="AE323" i="67"/>
  <c r="AD323" i="67"/>
  <c r="U323" i="67"/>
  <c r="T323" i="67"/>
  <c r="M323" i="67"/>
  <c r="L323" i="67"/>
  <c r="BD322" i="67"/>
  <c r="BE322" i="67" s="1"/>
  <c r="AV322" i="67"/>
  <c r="AW322" i="67" s="1"/>
  <c r="AL322" i="67"/>
  <c r="AM322" i="67" s="1"/>
  <c r="AD322" i="67"/>
  <c r="AE322" i="67" s="1"/>
  <c r="T322" i="67"/>
  <c r="U322" i="67" s="1"/>
  <c r="L322" i="67"/>
  <c r="M322" i="67" s="1"/>
  <c r="BD321" i="67"/>
  <c r="BE321" i="67" s="1"/>
  <c r="AW321" i="67"/>
  <c r="AV321" i="67"/>
  <c r="AL321" i="67"/>
  <c r="AM321" i="67" s="1"/>
  <c r="AE321" i="67"/>
  <c r="AD321" i="67"/>
  <c r="T321" i="67"/>
  <c r="U321" i="67" s="1"/>
  <c r="M321" i="67"/>
  <c r="L321" i="67"/>
  <c r="BE320" i="67"/>
  <c r="BD320" i="67"/>
  <c r="AV320" i="67"/>
  <c r="AW320" i="67" s="1"/>
  <c r="AL320" i="67"/>
  <c r="AM320" i="67" s="1"/>
  <c r="AD320" i="67"/>
  <c r="AE320" i="67" s="1"/>
  <c r="T320" i="67"/>
  <c r="U320" i="67" s="1"/>
  <c r="M320" i="67"/>
  <c r="L320" i="67"/>
  <c r="BD319" i="67"/>
  <c r="BE319" i="67" s="1"/>
  <c r="AV319" i="67"/>
  <c r="AW319" i="67" s="1"/>
  <c r="AL319" i="67"/>
  <c r="AM319" i="67" s="1"/>
  <c r="AD319" i="67"/>
  <c r="AE319" i="67" s="1"/>
  <c r="U319" i="67"/>
  <c r="T319" i="67"/>
  <c r="M319" i="67"/>
  <c r="L319" i="67"/>
  <c r="BE318" i="67"/>
  <c r="BD318" i="67"/>
  <c r="AW318" i="67"/>
  <c r="AV318" i="67"/>
  <c r="AL318" i="67"/>
  <c r="AM318" i="67" s="1"/>
  <c r="AE318" i="67"/>
  <c r="AD318" i="67"/>
  <c r="T318" i="67"/>
  <c r="U318" i="67" s="1"/>
  <c r="L318" i="67"/>
  <c r="M318" i="67" s="1"/>
  <c r="BD317" i="67"/>
  <c r="BE317" i="67" s="1"/>
  <c r="AV317" i="67"/>
  <c r="AW317" i="67" s="1"/>
  <c r="AL317" i="67"/>
  <c r="AM317" i="67" s="1"/>
  <c r="AD317" i="67"/>
  <c r="AE317" i="67" s="1"/>
  <c r="T317" i="67"/>
  <c r="U317" i="67" s="1"/>
  <c r="M317" i="67"/>
  <c r="L317" i="67"/>
  <c r="BD316" i="67"/>
  <c r="BE316" i="67" s="1"/>
  <c r="AW316" i="67"/>
  <c r="AV316" i="67"/>
  <c r="AL316" i="67"/>
  <c r="AM316" i="67" s="1"/>
  <c r="AD316" i="67"/>
  <c r="AE316" i="67" s="1"/>
  <c r="U316" i="67"/>
  <c r="T316" i="67"/>
  <c r="L316" i="67"/>
  <c r="M316" i="67" s="1"/>
  <c r="BD315" i="67"/>
  <c r="BE315" i="67" s="1"/>
  <c r="AV315" i="67"/>
  <c r="AW315" i="67" s="1"/>
  <c r="AL315" i="67"/>
  <c r="AM315" i="67" s="1"/>
  <c r="AE315" i="67"/>
  <c r="AD315" i="67"/>
  <c r="T315" i="67"/>
  <c r="U315" i="67" s="1"/>
  <c r="L315" i="67"/>
  <c r="M315" i="67" s="1"/>
  <c r="BE314" i="67"/>
  <c r="BD314" i="67"/>
  <c r="AW314" i="67"/>
  <c r="AV314" i="67"/>
  <c r="AL314" i="67"/>
  <c r="AM314" i="67" s="1"/>
  <c r="AD314" i="67"/>
  <c r="AE314" i="67" s="1"/>
  <c r="T314" i="67"/>
  <c r="U314" i="67" s="1"/>
  <c r="M314" i="67"/>
  <c r="L314" i="67"/>
  <c r="BD313" i="67"/>
  <c r="BE313" i="67" s="1"/>
  <c r="AV313" i="67"/>
  <c r="AW313" i="67" s="1"/>
  <c r="AL313" i="67"/>
  <c r="AM313" i="67" s="1"/>
  <c r="AE313" i="67"/>
  <c r="AD313" i="67"/>
  <c r="U313" i="67"/>
  <c r="T313" i="67"/>
  <c r="L313" i="67"/>
  <c r="M313" i="67" s="1"/>
  <c r="BD312" i="67"/>
  <c r="BE312" i="67" s="1"/>
  <c r="AW312" i="67"/>
  <c r="AV312" i="67"/>
  <c r="AL312" i="67"/>
  <c r="AM312" i="67" s="1"/>
  <c r="AE312" i="67"/>
  <c r="AD312" i="67"/>
  <c r="T312" i="67"/>
  <c r="U312" i="67" s="1"/>
  <c r="L312" i="67"/>
  <c r="M312" i="67" s="1"/>
  <c r="BE311" i="67"/>
  <c r="BD311" i="67"/>
  <c r="AV311" i="67"/>
  <c r="AW311" i="67" s="1"/>
  <c r="AL311" i="67"/>
  <c r="AM311" i="67" s="1"/>
  <c r="AD311" i="67"/>
  <c r="AE311" i="67" s="1"/>
  <c r="U311" i="67"/>
  <c r="T311" i="67"/>
  <c r="M311" i="67"/>
  <c r="L311" i="67"/>
  <c r="BE310" i="67"/>
  <c r="BD310" i="67"/>
  <c r="AV310" i="67"/>
  <c r="AW310" i="67" s="1"/>
  <c r="AL310" i="67"/>
  <c r="AM310" i="67" s="1"/>
  <c r="AD310" i="67"/>
  <c r="AE310" i="67" s="1"/>
  <c r="U310" i="67"/>
  <c r="T310" i="67"/>
  <c r="L310" i="67"/>
  <c r="M310" i="67" s="1"/>
  <c r="BD309" i="67"/>
  <c r="BE309" i="67" s="1"/>
  <c r="AW309" i="67"/>
  <c r="AV309" i="67"/>
  <c r="AL309" i="67"/>
  <c r="AM309" i="67" s="1"/>
  <c r="AE309" i="67"/>
  <c r="AD309" i="67"/>
  <c r="U309" i="67"/>
  <c r="T309" i="67"/>
  <c r="M309" i="67"/>
  <c r="L309" i="67"/>
  <c r="BE308" i="67"/>
  <c r="BD308" i="67"/>
  <c r="AV308" i="67"/>
  <c r="AW308" i="67" s="1"/>
  <c r="AL308" i="67"/>
  <c r="AM308" i="67" s="1"/>
  <c r="AD308" i="67"/>
  <c r="AE308" i="67" s="1"/>
  <c r="T308" i="67"/>
  <c r="U308" i="67" s="1"/>
  <c r="L308" i="67"/>
  <c r="M308" i="67" s="1"/>
  <c r="BD307" i="67"/>
  <c r="BE307" i="67" s="1"/>
  <c r="AV307" i="67"/>
  <c r="AW307" i="67" s="1"/>
  <c r="AL307" i="67"/>
  <c r="AM307" i="67" s="1"/>
  <c r="AD307" i="67"/>
  <c r="AE307" i="67" s="1"/>
  <c r="U307" i="67"/>
  <c r="T307" i="67"/>
  <c r="L307" i="67"/>
  <c r="M307" i="67" s="1"/>
  <c r="BE306" i="67"/>
  <c r="BD306" i="67"/>
  <c r="AW306" i="67"/>
  <c r="AV306" i="67"/>
  <c r="AL306" i="67"/>
  <c r="AM306" i="67" s="1"/>
  <c r="AE306" i="67"/>
  <c r="AD306" i="67"/>
  <c r="T306" i="67"/>
  <c r="U306" i="67" s="1"/>
  <c r="L306" i="67"/>
  <c r="M306" i="67" s="1"/>
  <c r="BD305" i="67"/>
  <c r="BE305" i="67" s="1"/>
  <c r="AV305" i="67"/>
  <c r="AW305" i="67" s="1"/>
  <c r="AL305" i="67"/>
  <c r="AM305" i="67" s="1"/>
  <c r="AE305" i="67"/>
  <c r="AD305" i="67"/>
  <c r="T305" i="67"/>
  <c r="U305" i="67" s="1"/>
  <c r="M305" i="67"/>
  <c r="L305" i="67"/>
  <c r="BE304" i="67"/>
  <c r="BD304" i="67"/>
  <c r="AW304" i="67"/>
  <c r="AV304" i="67"/>
  <c r="AL304" i="67"/>
  <c r="AM304" i="67" s="1"/>
  <c r="AD304" i="67"/>
  <c r="AE304" i="67" s="1"/>
  <c r="U304" i="67"/>
  <c r="T304" i="67"/>
  <c r="L304" i="67"/>
  <c r="M304" i="67" s="1"/>
  <c r="BD303" i="67"/>
  <c r="BE303" i="67" s="1"/>
  <c r="AV303" i="67"/>
  <c r="AW303" i="67" s="1"/>
  <c r="AL303" i="67"/>
  <c r="AM303" i="67" s="1"/>
  <c r="AE303" i="67"/>
  <c r="AD303" i="67"/>
  <c r="T303" i="67"/>
  <c r="U303" i="67" s="1"/>
  <c r="L303" i="67"/>
  <c r="M303" i="67" s="1"/>
  <c r="BE302" i="67"/>
  <c r="BD302" i="67"/>
  <c r="AV302" i="67"/>
  <c r="AW302" i="67" s="1"/>
  <c r="AL302" i="67"/>
  <c r="AM302" i="67" s="1"/>
  <c r="AD302" i="67"/>
  <c r="AE302" i="67" s="1"/>
  <c r="T302" i="67"/>
  <c r="U302" i="67" s="1"/>
  <c r="M302" i="67"/>
  <c r="L302" i="67"/>
  <c r="BD301" i="67"/>
  <c r="BE301" i="67" s="1"/>
  <c r="AV301" i="67"/>
  <c r="AW301" i="67" s="1"/>
  <c r="AL301" i="67"/>
  <c r="AM301" i="67" s="1"/>
  <c r="AE301" i="67"/>
  <c r="AD301" i="67"/>
  <c r="U301" i="67"/>
  <c r="T301" i="67"/>
  <c r="L301" i="67"/>
  <c r="M301" i="67" s="1"/>
  <c r="BD300" i="67"/>
  <c r="BE300" i="67" s="1"/>
  <c r="AW300" i="67"/>
  <c r="AV300" i="67"/>
  <c r="AL300" i="67"/>
  <c r="AM300" i="67" s="1"/>
  <c r="AD300" i="67"/>
  <c r="AE300" i="67" s="1"/>
  <c r="T300" i="67"/>
  <c r="U300" i="67" s="1"/>
  <c r="L300" i="67"/>
  <c r="M300" i="67" s="1"/>
  <c r="BE299" i="67"/>
  <c r="BD299" i="67"/>
  <c r="AV299" i="67"/>
  <c r="AW299" i="67" s="1"/>
  <c r="AL299" i="67"/>
  <c r="AM299" i="67" s="1"/>
  <c r="AE299" i="67"/>
  <c r="AD299" i="67"/>
  <c r="U299" i="67"/>
  <c r="T299" i="67"/>
  <c r="M299" i="67"/>
  <c r="L299" i="67"/>
  <c r="BE298" i="67"/>
  <c r="BD298" i="67"/>
  <c r="AV298" i="67"/>
  <c r="AW298" i="67" s="1"/>
  <c r="AL298" i="67"/>
  <c r="AM298" i="67" s="1"/>
  <c r="AD298" i="67"/>
  <c r="AE298" i="67" s="1"/>
  <c r="T298" i="67"/>
  <c r="U298" i="67" s="1"/>
  <c r="L298" i="67"/>
  <c r="M298" i="67" s="1"/>
  <c r="BD297" i="67"/>
  <c r="BE297" i="67" s="1"/>
  <c r="AW297" i="67"/>
  <c r="AV297" i="67"/>
  <c r="AL297" i="67"/>
  <c r="AM297" i="67" s="1"/>
  <c r="AD297" i="67"/>
  <c r="AE297" i="67" s="1"/>
  <c r="U297" i="67"/>
  <c r="T297" i="67"/>
  <c r="L297" i="67"/>
  <c r="M297" i="67" s="1"/>
  <c r="BD296" i="67"/>
  <c r="BE296" i="67" s="1"/>
  <c r="AW296" i="67"/>
  <c r="AV296" i="67"/>
  <c r="AL296" i="67"/>
  <c r="AM296" i="67" s="1"/>
  <c r="AD296" i="67"/>
  <c r="AE296" i="67" s="1"/>
  <c r="T296" i="67"/>
  <c r="U296" i="67" s="1"/>
  <c r="L296" i="67"/>
  <c r="M296" i="67" s="1"/>
  <c r="BD295" i="67"/>
  <c r="BE295" i="67" s="1"/>
  <c r="AW295" i="67"/>
  <c r="AV295" i="67"/>
  <c r="AL295" i="67"/>
  <c r="AM295" i="67" s="1"/>
  <c r="AD295" i="67"/>
  <c r="AE295" i="67" s="1"/>
  <c r="T295" i="67"/>
  <c r="U295" i="67" s="1"/>
  <c r="L295" i="67"/>
  <c r="M295" i="67" s="1"/>
  <c r="BD294" i="67"/>
  <c r="BE294" i="67" s="1"/>
  <c r="AW294" i="67"/>
  <c r="AV294" i="67"/>
  <c r="AL294" i="67"/>
  <c r="AM294" i="67" s="1"/>
  <c r="AD294" i="67"/>
  <c r="AE294" i="67" s="1"/>
  <c r="U294" i="67"/>
  <c r="T294" i="67"/>
  <c r="L294" i="67"/>
  <c r="M294" i="67" s="1"/>
  <c r="BD293" i="67"/>
  <c r="BE293" i="67" s="1"/>
  <c r="AW293" i="67"/>
  <c r="AV293" i="67"/>
  <c r="AL293" i="67"/>
  <c r="AM293" i="67" s="1"/>
  <c r="AD293" i="67"/>
  <c r="AE293" i="67" s="1"/>
  <c r="T293" i="67"/>
  <c r="U293" i="67" s="1"/>
  <c r="L293" i="67"/>
  <c r="M293" i="67" s="1"/>
  <c r="BD292" i="67"/>
  <c r="BE292" i="67" s="1"/>
  <c r="AW292" i="67"/>
  <c r="AV292" i="67"/>
  <c r="AL292" i="67"/>
  <c r="AM292" i="67" s="1"/>
  <c r="AD292" i="67"/>
  <c r="AE292" i="67" s="1"/>
  <c r="T292" i="67"/>
  <c r="U292" i="67" s="1"/>
  <c r="L292" i="67"/>
  <c r="M292" i="67" s="1"/>
  <c r="BD291" i="67"/>
  <c r="BE291" i="67" s="1"/>
  <c r="AW291" i="67"/>
  <c r="AV291" i="67"/>
  <c r="AL291" i="67"/>
  <c r="AM291" i="67" s="1"/>
  <c r="AD291" i="67"/>
  <c r="AE291" i="67" s="1"/>
  <c r="U291" i="67"/>
  <c r="T291" i="67"/>
  <c r="L291" i="67"/>
  <c r="M291" i="67" s="1"/>
  <c r="BD290" i="67"/>
  <c r="BE290" i="67" s="1"/>
  <c r="AW290" i="67"/>
  <c r="AV290" i="67"/>
  <c r="AL290" i="67"/>
  <c r="AM290" i="67" s="1"/>
  <c r="AD290" i="67"/>
  <c r="AE290" i="67" s="1"/>
  <c r="T290" i="67"/>
  <c r="U290" i="67" s="1"/>
  <c r="L290" i="67"/>
  <c r="M290" i="67" s="1"/>
  <c r="BD289" i="67"/>
  <c r="BE289" i="67" s="1"/>
  <c r="AW289" i="67"/>
  <c r="AV289" i="67"/>
  <c r="AL289" i="67"/>
  <c r="AM289" i="67" s="1"/>
  <c r="AD289" i="67"/>
  <c r="AE289" i="67" s="1"/>
  <c r="T289" i="67"/>
  <c r="U289" i="67" s="1"/>
  <c r="L289" i="67"/>
  <c r="M289" i="67" s="1"/>
  <c r="BD288" i="67"/>
  <c r="BE288" i="67" s="1"/>
  <c r="AW288" i="67"/>
  <c r="AV288" i="67"/>
  <c r="AL288" i="67"/>
  <c r="AM288" i="67" s="1"/>
  <c r="AD288" i="67"/>
  <c r="AE288" i="67" s="1"/>
  <c r="U288" i="67"/>
  <c r="T288" i="67"/>
  <c r="L288" i="67"/>
  <c r="M288" i="67" s="1"/>
  <c r="BD287" i="67"/>
  <c r="BE287" i="67" s="1"/>
  <c r="AW287" i="67"/>
  <c r="AV287" i="67"/>
  <c r="AL287" i="67"/>
  <c r="AM287" i="67" s="1"/>
  <c r="AD287" i="67"/>
  <c r="AE287" i="67" s="1"/>
  <c r="T287" i="67"/>
  <c r="U287" i="67" s="1"/>
  <c r="L287" i="67"/>
  <c r="M287" i="67" s="1"/>
  <c r="BD286" i="67"/>
  <c r="BE286" i="67" s="1"/>
  <c r="AW286" i="67"/>
  <c r="AV286" i="67"/>
  <c r="AL286" i="67"/>
  <c r="AM286" i="67" s="1"/>
  <c r="AD286" i="67"/>
  <c r="AE286" i="67" s="1"/>
  <c r="T286" i="67"/>
  <c r="U286" i="67" s="1"/>
  <c r="L286" i="67"/>
  <c r="M286" i="67" s="1"/>
  <c r="BD285" i="67"/>
  <c r="BE285" i="67" s="1"/>
  <c r="AW285" i="67"/>
  <c r="AV285" i="67"/>
  <c r="AL285" i="67"/>
  <c r="AM285" i="67" s="1"/>
  <c r="AD285" i="67"/>
  <c r="AE285" i="67" s="1"/>
  <c r="U285" i="67"/>
  <c r="T285" i="67"/>
  <c r="L285" i="67"/>
  <c r="M285" i="67" s="1"/>
  <c r="BD284" i="67"/>
  <c r="BE284" i="67" s="1"/>
  <c r="AW284" i="67"/>
  <c r="AV284" i="67"/>
  <c r="AL284" i="67"/>
  <c r="AM284" i="67" s="1"/>
  <c r="AD284" i="67"/>
  <c r="AE284" i="67" s="1"/>
  <c r="T284" i="67"/>
  <c r="U284" i="67" s="1"/>
  <c r="L284" i="67"/>
  <c r="M284" i="67" s="1"/>
  <c r="BD283" i="67"/>
  <c r="BE283" i="67" s="1"/>
  <c r="AW283" i="67"/>
  <c r="AV283" i="67"/>
  <c r="AL283" i="67"/>
  <c r="AM283" i="67" s="1"/>
  <c r="AD283" i="67"/>
  <c r="AE283" i="67" s="1"/>
  <c r="T283" i="67"/>
  <c r="U283" i="67" s="1"/>
  <c r="L283" i="67"/>
  <c r="M283" i="67" s="1"/>
  <c r="BD282" i="67"/>
  <c r="BE282" i="67" s="1"/>
  <c r="AW282" i="67"/>
  <c r="AV282" i="67"/>
  <c r="AL282" i="67"/>
  <c r="AM282" i="67" s="1"/>
  <c r="AD282" i="67"/>
  <c r="AE282" i="67" s="1"/>
  <c r="U282" i="67"/>
  <c r="T282" i="67"/>
  <c r="L282" i="67"/>
  <c r="M282" i="67" s="1"/>
  <c r="BD281" i="67"/>
  <c r="BE281" i="67" s="1"/>
  <c r="AW281" i="67"/>
  <c r="AV281" i="67"/>
  <c r="AL281" i="67"/>
  <c r="AM281" i="67" s="1"/>
  <c r="AD281" i="67"/>
  <c r="AE281" i="67" s="1"/>
  <c r="T281" i="67"/>
  <c r="U281" i="67" s="1"/>
  <c r="L281" i="67"/>
  <c r="M281" i="67" s="1"/>
  <c r="BD280" i="67"/>
  <c r="BE280" i="67" s="1"/>
  <c r="AW280" i="67"/>
  <c r="AV280" i="67"/>
  <c r="AL280" i="67"/>
  <c r="AM280" i="67" s="1"/>
  <c r="AD280" i="67"/>
  <c r="AE280" i="67" s="1"/>
  <c r="T280" i="67"/>
  <c r="U280" i="67" s="1"/>
  <c r="L280" i="67"/>
  <c r="M280" i="67" s="1"/>
  <c r="BD279" i="67"/>
  <c r="BE279" i="67" s="1"/>
  <c r="AW279" i="67"/>
  <c r="AV279" i="67"/>
  <c r="AL279" i="67"/>
  <c r="AM279" i="67" s="1"/>
  <c r="AD279" i="67"/>
  <c r="AE279" i="67" s="1"/>
  <c r="U279" i="67"/>
  <c r="T279" i="67"/>
  <c r="L279" i="67"/>
  <c r="M279" i="67" s="1"/>
  <c r="BD278" i="67"/>
  <c r="BE278" i="67" s="1"/>
  <c r="AW278" i="67"/>
  <c r="AV278" i="67"/>
  <c r="AL278" i="67"/>
  <c r="AM278" i="67" s="1"/>
  <c r="AD278" i="67"/>
  <c r="AE278" i="67" s="1"/>
  <c r="T278" i="67"/>
  <c r="U278" i="67" s="1"/>
  <c r="L278" i="67"/>
  <c r="M278" i="67" s="1"/>
  <c r="BD277" i="67"/>
  <c r="BE277" i="67" s="1"/>
  <c r="AW277" i="67"/>
  <c r="AV277" i="67"/>
  <c r="AL277" i="67"/>
  <c r="AM277" i="67" s="1"/>
  <c r="AD277" i="67"/>
  <c r="AE277" i="67" s="1"/>
  <c r="T277" i="67"/>
  <c r="U277" i="67" s="1"/>
  <c r="L277" i="67"/>
  <c r="M277" i="67" s="1"/>
  <c r="BD276" i="67"/>
  <c r="BE276" i="67" s="1"/>
  <c r="AW276" i="67"/>
  <c r="AV276" i="67"/>
  <c r="AL276" i="67"/>
  <c r="AM276" i="67" s="1"/>
  <c r="AD276" i="67"/>
  <c r="AE276" i="67" s="1"/>
  <c r="U276" i="67"/>
  <c r="T276" i="67"/>
  <c r="L276" i="67"/>
  <c r="M276" i="67" s="1"/>
  <c r="BD275" i="67"/>
  <c r="BE275" i="67" s="1"/>
  <c r="AW275" i="67"/>
  <c r="AV275" i="67"/>
  <c r="AL275" i="67"/>
  <c r="AM275" i="67" s="1"/>
  <c r="AD275" i="67"/>
  <c r="AE275" i="67" s="1"/>
  <c r="T275" i="67"/>
  <c r="U275" i="67" s="1"/>
  <c r="L275" i="67"/>
  <c r="M275" i="67" s="1"/>
  <c r="BD274" i="67"/>
  <c r="BE274" i="67" s="1"/>
  <c r="AW274" i="67"/>
  <c r="AV274" i="67"/>
  <c r="AL274" i="67"/>
  <c r="AM274" i="67" s="1"/>
  <c r="AD274" i="67"/>
  <c r="AE274" i="67" s="1"/>
  <c r="T274" i="67"/>
  <c r="U274" i="67" s="1"/>
  <c r="M274" i="67"/>
  <c r="L274" i="67"/>
  <c r="BD273" i="67"/>
  <c r="BE273" i="67" s="1"/>
  <c r="AW273" i="67"/>
  <c r="AV273" i="67"/>
  <c r="AL273" i="67"/>
  <c r="AM273" i="67" s="1"/>
  <c r="AD273" i="67"/>
  <c r="AE273" i="67" s="1"/>
  <c r="T273" i="67"/>
  <c r="U273" i="67" s="1"/>
  <c r="L273" i="67"/>
  <c r="M273" i="67" s="1"/>
  <c r="BD272" i="67"/>
  <c r="BE272" i="67" s="1"/>
  <c r="AW272" i="67"/>
  <c r="AV272" i="67"/>
  <c r="AL272" i="67"/>
  <c r="AM272" i="67" s="1"/>
  <c r="AD272" i="67"/>
  <c r="AE272" i="67" s="1"/>
  <c r="T272" i="67"/>
  <c r="U272" i="67" s="1"/>
  <c r="M272" i="67"/>
  <c r="L272" i="67"/>
  <c r="BD271" i="67"/>
  <c r="BE271" i="67" s="1"/>
  <c r="AW271" i="67"/>
  <c r="AV271" i="67"/>
  <c r="AL271" i="67"/>
  <c r="AM271" i="67" s="1"/>
  <c r="AD271" i="67"/>
  <c r="AE271" i="67" s="1"/>
  <c r="U271" i="67"/>
  <c r="T271" i="67"/>
  <c r="M271" i="67"/>
  <c r="L271" i="67"/>
  <c r="BD270" i="67"/>
  <c r="BE270" i="67" s="1"/>
  <c r="AW270" i="67"/>
  <c r="AV270" i="67"/>
  <c r="AL270" i="67"/>
  <c r="AM270" i="67" s="1"/>
  <c r="AD270" i="67"/>
  <c r="AE270" i="67" s="1"/>
  <c r="T270" i="67"/>
  <c r="U270" i="67" s="1"/>
  <c r="M270" i="67"/>
  <c r="L270" i="67"/>
  <c r="BD269" i="67"/>
  <c r="BE269" i="67" s="1"/>
  <c r="AW269" i="67"/>
  <c r="AV269" i="67"/>
  <c r="AL269" i="67"/>
  <c r="AM269" i="67" s="1"/>
  <c r="AD269" i="67"/>
  <c r="AE269" i="67" s="1"/>
  <c r="T269" i="67"/>
  <c r="U269" i="67" s="1"/>
  <c r="L269" i="67"/>
  <c r="M269" i="67" s="1"/>
  <c r="BD268" i="67"/>
  <c r="BE268" i="67" s="1"/>
  <c r="AW268" i="67"/>
  <c r="AV268" i="67"/>
  <c r="AL268" i="67"/>
  <c r="AM268" i="67" s="1"/>
  <c r="AD268" i="67"/>
  <c r="AE268" i="67" s="1"/>
  <c r="T268" i="67"/>
  <c r="U268" i="67" s="1"/>
  <c r="M268" i="67"/>
  <c r="L268" i="67"/>
  <c r="BD267" i="67"/>
  <c r="BE267" i="67" s="1"/>
  <c r="AW267" i="67"/>
  <c r="AV267" i="67"/>
  <c r="AL267" i="67"/>
  <c r="AM267" i="67" s="1"/>
  <c r="AD267" i="67"/>
  <c r="AE267" i="67" s="1"/>
  <c r="U267" i="67"/>
  <c r="T267" i="67"/>
  <c r="L267" i="67"/>
  <c r="M267" i="67" s="1"/>
  <c r="BD266" i="67"/>
  <c r="BE266" i="67" s="1"/>
  <c r="AW266" i="67"/>
  <c r="AV266" i="67"/>
  <c r="AL266" i="67"/>
  <c r="AM266" i="67" s="1"/>
  <c r="AD266" i="67"/>
  <c r="AE266" i="67" s="1"/>
  <c r="T266" i="67"/>
  <c r="U266" i="67" s="1"/>
  <c r="M266" i="67"/>
  <c r="L266" i="67"/>
  <c r="BD265" i="67"/>
  <c r="BE265" i="67" s="1"/>
  <c r="AW265" i="67"/>
  <c r="AV265" i="67"/>
  <c r="AL265" i="67"/>
  <c r="AM265" i="67" s="1"/>
  <c r="AD265" i="67"/>
  <c r="AE265" i="67" s="1"/>
  <c r="T265" i="67"/>
  <c r="U265" i="67" s="1"/>
  <c r="L265" i="67"/>
  <c r="M265" i="67" s="1"/>
  <c r="BD264" i="67"/>
  <c r="BE264" i="67" s="1"/>
  <c r="AV264" i="67"/>
  <c r="AW264" i="67" s="1"/>
  <c r="AL264" i="67"/>
  <c r="AM264" i="67" s="1"/>
  <c r="AD264" i="67"/>
  <c r="AE264" i="67" s="1"/>
  <c r="T264" i="67"/>
  <c r="U264" i="67" s="1"/>
  <c r="M264" i="67"/>
  <c r="L264" i="67"/>
  <c r="BD263" i="67"/>
  <c r="BE263" i="67" s="1"/>
  <c r="AV263" i="67"/>
  <c r="AW263" i="67" s="1"/>
  <c r="AL263" i="67"/>
  <c r="AM263" i="67" s="1"/>
  <c r="AD263" i="67"/>
  <c r="AE263" i="67" s="1"/>
  <c r="U263" i="67"/>
  <c r="T263" i="67"/>
  <c r="M263" i="67"/>
  <c r="L263" i="67"/>
  <c r="BD262" i="67"/>
  <c r="BE262" i="67" s="1"/>
  <c r="AW262" i="67"/>
  <c r="AV262" i="67"/>
  <c r="AM262" i="67"/>
  <c r="AL262" i="67"/>
  <c r="AD262" i="67"/>
  <c r="AE262" i="67" s="1"/>
  <c r="T262" i="67"/>
  <c r="U262" i="67" s="1"/>
  <c r="M262" i="67"/>
  <c r="L262" i="67"/>
  <c r="BD261" i="67"/>
  <c r="BE261" i="67" s="1"/>
  <c r="AV261" i="67"/>
  <c r="AW261" i="67" s="1"/>
  <c r="AM261" i="67"/>
  <c r="AL261" i="67"/>
  <c r="AD261" i="67"/>
  <c r="AE261" i="67" s="1"/>
  <c r="T261" i="67"/>
  <c r="U261" i="67" s="1"/>
  <c r="M261" i="67"/>
  <c r="L261" i="67"/>
  <c r="BD260" i="67"/>
  <c r="BE260" i="67" s="1"/>
  <c r="AV260" i="67"/>
  <c r="AW260" i="67" s="1"/>
  <c r="AL260" i="67"/>
  <c r="AM260" i="67" s="1"/>
  <c r="AD260" i="67"/>
  <c r="AE260" i="67" s="1"/>
  <c r="T260" i="67"/>
  <c r="U260" i="67" s="1"/>
  <c r="L260" i="67"/>
  <c r="M260" i="67" s="1"/>
  <c r="BD259" i="67"/>
  <c r="BE259" i="67" s="1"/>
  <c r="AV259" i="67"/>
  <c r="AW259" i="67" s="1"/>
  <c r="AL259" i="67"/>
  <c r="AM259" i="67" s="1"/>
  <c r="AD259" i="67"/>
  <c r="AE259" i="67" s="1"/>
  <c r="U259" i="67"/>
  <c r="T259" i="67"/>
  <c r="L259" i="67"/>
  <c r="M259" i="67" s="1"/>
  <c r="BD258" i="67"/>
  <c r="BE258" i="67" s="1"/>
  <c r="AV258" i="67"/>
  <c r="AW258" i="67" s="1"/>
  <c r="AM258" i="67"/>
  <c r="AL258" i="67"/>
  <c r="AD258" i="67"/>
  <c r="AE258" i="67" s="1"/>
  <c r="U258" i="67"/>
  <c r="T258" i="67"/>
  <c r="M258" i="67"/>
  <c r="L258" i="67"/>
  <c r="BD257" i="67"/>
  <c r="BE257" i="67" s="1"/>
  <c r="AW257" i="67"/>
  <c r="AV257" i="67"/>
  <c r="AL257" i="67"/>
  <c r="AM257" i="67" s="1"/>
  <c r="AD257" i="67"/>
  <c r="AE257" i="67" s="1"/>
  <c r="U257" i="67"/>
  <c r="T257" i="67"/>
  <c r="M257" i="67"/>
  <c r="L257" i="67"/>
  <c r="BD256" i="67"/>
  <c r="BE256" i="67" s="1"/>
  <c r="AW256" i="67"/>
  <c r="AV256" i="67"/>
  <c r="AM256" i="67"/>
  <c r="AL256" i="67"/>
  <c r="AD256" i="67"/>
  <c r="AE256" i="67" s="1"/>
  <c r="T256" i="67"/>
  <c r="U256" i="67" s="1"/>
  <c r="M256" i="67"/>
  <c r="L256" i="67"/>
  <c r="BD255" i="67"/>
  <c r="BE255" i="67" s="1"/>
  <c r="AW255" i="67"/>
  <c r="AV255" i="67"/>
  <c r="AM255" i="67"/>
  <c r="AL255" i="67"/>
  <c r="AD255" i="67"/>
  <c r="AE255" i="67" s="1"/>
  <c r="T255" i="67"/>
  <c r="U255" i="67" s="1"/>
  <c r="L255" i="67"/>
  <c r="M255" i="67" s="1"/>
  <c r="BD254" i="67"/>
  <c r="BE254" i="67" s="1"/>
  <c r="AV254" i="67"/>
  <c r="AW254" i="67" s="1"/>
  <c r="AL254" i="67"/>
  <c r="AM254" i="67" s="1"/>
  <c r="AD254" i="67"/>
  <c r="AE254" i="67" s="1"/>
  <c r="T254" i="67"/>
  <c r="U254" i="67" s="1"/>
  <c r="L254" i="67"/>
  <c r="M254" i="67" s="1"/>
  <c r="BD253" i="67"/>
  <c r="BE253" i="67" s="1"/>
  <c r="AV253" i="67"/>
  <c r="AW253" i="67" s="1"/>
  <c r="AL253" i="67"/>
  <c r="AM253" i="67" s="1"/>
  <c r="AD253" i="67"/>
  <c r="AE253" i="67" s="1"/>
  <c r="U253" i="67"/>
  <c r="T253" i="67"/>
  <c r="L253" i="67"/>
  <c r="M253" i="67" s="1"/>
  <c r="BD252" i="67"/>
  <c r="BE252" i="67" s="1"/>
  <c r="AW252" i="67"/>
  <c r="AV252" i="67"/>
  <c r="AM252" i="67"/>
  <c r="AL252" i="67"/>
  <c r="AD252" i="67"/>
  <c r="AE252" i="67" s="1"/>
  <c r="U252" i="67"/>
  <c r="T252" i="67"/>
  <c r="M252" i="67"/>
  <c r="L252" i="67"/>
  <c r="BD251" i="67"/>
  <c r="BE251" i="67" s="1"/>
  <c r="AW251" i="67"/>
  <c r="AV251" i="67"/>
  <c r="AM251" i="67"/>
  <c r="AL251" i="67"/>
  <c r="AD251" i="67"/>
  <c r="AE251" i="67" s="1"/>
  <c r="U251" i="67"/>
  <c r="T251" i="67"/>
  <c r="M251" i="67"/>
  <c r="L251" i="67"/>
  <c r="BD250" i="67"/>
  <c r="BE250" i="67" s="1"/>
  <c r="AW250" i="67"/>
  <c r="AV250" i="67"/>
  <c r="AM250" i="67"/>
  <c r="AL250" i="67"/>
  <c r="AD250" i="67"/>
  <c r="AE250" i="67" s="1"/>
  <c r="T250" i="67"/>
  <c r="U250" i="67" s="1"/>
  <c r="M250" i="67"/>
  <c r="L250" i="67"/>
  <c r="BD249" i="67"/>
  <c r="BE249" i="67" s="1"/>
  <c r="AV249" i="67"/>
  <c r="AW249" i="67" s="1"/>
  <c r="AM249" i="67"/>
  <c r="AL249" i="67"/>
  <c r="AD249" i="67"/>
  <c r="AE249" i="67" s="1"/>
  <c r="T249" i="67"/>
  <c r="U249" i="67" s="1"/>
  <c r="M249" i="67"/>
  <c r="L249" i="67"/>
  <c r="BD248" i="67"/>
  <c r="BE248" i="67" s="1"/>
  <c r="AV248" i="67"/>
  <c r="AW248" i="67" s="1"/>
  <c r="AL248" i="67"/>
  <c r="AM248" i="67" s="1"/>
  <c r="AD248" i="67"/>
  <c r="AE248" i="67" s="1"/>
  <c r="T248" i="67"/>
  <c r="U248" i="67" s="1"/>
  <c r="L248" i="67"/>
  <c r="M248" i="67" s="1"/>
  <c r="BD247" i="67"/>
  <c r="BE247" i="67" s="1"/>
  <c r="AV247" i="67"/>
  <c r="AW247" i="67" s="1"/>
  <c r="AL247" i="67"/>
  <c r="AM247" i="67" s="1"/>
  <c r="AD247" i="67"/>
  <c r="AE247" i="67" s="1"/>
  <c r="U247" i="67"/>
  <c r="T247" i="67"/>
  <c r="L247" i="67"/>
  <c r="M247" i="67" s="1"/>
  <c r="BD246" i="67"/>
  <c r="BE246" i="67" s="1"/>
  <c r="AV246" i="67"/>
  <c r="AW246" i="67" s="1"/>
  <c r="AM246" i="67"/>
  <c r="AL246" i="67"/>
  <c r="AD246" i="67"/>
  <c r="AE246" i="67" s="1"/>
  <c r="U246" i="67"/>
  <c r="T246" i="67"/>
  <c r="M246" i="67"/>
  <c r="L246" i="67"/>
  <c r="BD245" i="67"/>
  <c r="BE245" i="67" s="1"/>
  <c r="AW245" i="67"/>
  <c r="AV245" i="67"/>
  <c r="AL245" i="67"/>
  <c r="AM245" i="67" s="1"/>
  <c r="AD245" i="67"/>
  <c r="AE245" i="67" s="1"/>
  <c r="U245" i="67"/>
  <c r="T245" i="67"/>
  <c r="M245" i="67"/>
  <c r="L245" i="67"/>
  <c r="BD244" i="67"/>
  <c r="BE244" i="67" s="1"/>
  <c r="AW244" i="67"/>
  <c r="AV244" i="67"/>
  <c r="AM244" i="67"/>
  <c r="AL244" i="67"/>
  <c r="AD244" i="67"/>
  <c r="AE244" i="67" s="1"/>
  <c r="T244" i="67"/>
  <c r="U244" i="67" s="1"/>
  <c r="M244" i="67"/>
  <c r="L244" i="67"/>
  <c r="BD243" i="67"/>
  <c r="BE243" i="67" s="1"/>
  <c r="AW243" i="67"/>
  <c r="AV243" i="67"/>
  <c r="AM243" i="67"/>
  <c r="AL243" i="67"/>
  <c r="AD243" i="67"/>
  <c r="AE243" i="67" s="1"/>
  <c r="T243" i="67"/>
  <c r="U243" i="67" s="1"/>
  <c r="L243" i="67"/>
  <c r="M243" i="67" s="1"/>
  <c r="BD242" i="67"/>
  <c r="BE242" i="67" s="1"/>
  <c r="AV242" i="67"/>
  <c r="AW242" i="67" s="1"/>
  <c r="AL242" i="67"/>
  <c r="AM242" i="67" s="1"/>
  <c r="AD242" i="67"/>
  <c r="AE242" i="67" s="1"/>
  <c r="T242" i="67"/>
  <c r="U242" i="67" s="1"/>
  <c r="L242" i="67"/>
  <c r="M242" i="67" s="1"/>
  <c r="BD241" i="67"/>
  <c r="BE241" i="67" s="1"/>
  <c r="AV241" i="67"/>
  <c r="AW241" i="67" s="1"/>
  <c r="AL241" i="67"/>
  <c r="AM241" i="67" s="1"/>
  <c r="AD241" i="67"/>
  <c r="AE241" i="67" s="1"/>
  <c r="U241" i="67"/>
  <c r="T241" i="67"/>
  <c r="L241" i="67"/>
  <c r="M241" i="67" s="1"/>
  <c r="BD240" i="67"/>
  <c r="BE240" i="67" s="1"/>
  <c r="AW240" i="67"/>
  <c r="AV240" i="67"/>
  <c r="AM240" i="67"/>
  <c r="AL240" i="67"/>
  <c r="AD240" i="67"/>
  <c r="AE240" i="67" s="1"/>
  <c r="U240" i="67"/>
  <c r="T240" i="67"/>
  <c r="M240" i="67"/>
  <c r="L240" i="67"/>
  <c r="BD239" i="67"/>
  <c r="BE239" i="67" s="1"/>
  <c r="AW239" i="67"/>
  <c r="AV239" i="67"/>
  <c r="AM239" i="67"/>
  <c r="AL239" i="67"/>
  <c r="AD239" i="67"/>
  <c r="AE239" i="67" s="1"/>
  <c r="U239" i="67"/>
  <c r="T239" i="67"/>
  <c r="M239" i="67"/>
  <c r="L239" i="67"/>
  <c r="BD238" i="67"/>
  <c r="BE238" i="67" s="1"/>
  <c r="AW238" i="67"/>
  <c r="AV238" i="67"/>
  <c r="AM238" i="67"/>
  <c r="AL238" i="67"/>
  <c r="AD238" i="67"/>
  <c r="AE238" i="67" s="1"/>
  <c r="T238" i="67"/>
  <c r="U238" i="67" s="1"/>
  <c r="M238" i="67"/>
  <c r="L238" i="67"/>
  <c r="BD237" i="67"/>
  <c r="BE237" i="67" s="1"/>
  <c r="AV237" i="67"/>
  <c r="AW237" i="67" s="1"/>
  <c r="AM237" i="67"/>
  <c r="AL237" i="67"/>
  <c r="AD237" i="67"/>
  <c r="AE237" i="67" s="1"/>
  <c r="T237" i="67"/>
  <c r="U237" i="67" s="1"/>
  <c r="M237" i="67"/>
  <c r="L237" i="67"/>
  <c r="BD236" i="67"/>
  <c r="BE236" i="67" s="1"/>
  <c r="AV236" i="67"/>
  <c r="AW236" i="67" s="1"/>
  <c r="AL236" i="67"/>
  <c r="AM236" i="67" s="1"/>
  <c r="AD236" i="67"/>
  <c r="AE236" i="67" s="1"/>
  <c r="T236" i="67"/>
  <c r="U236" i="67" s="1"/>
  <c r="L236" i="67"/>
  <c r="M236" i="67" s="1"/>
  <c r="BD235" i="67"/>
  <c r="BE235" i="67" s="1"/>
  <c r="AV235" i="67"/>
  <c r="AW235" i="67" s="1"/>
  <c r="AL235" i="67"/>
  <c r="AM235" i="67" s="1"/>
  <c r="AD235" i="67"/>
  <c r="AE235" i="67" s="1"/>
  <c r="U235" i="67"/>
  <c r="T235" i="67"/>
  <c r="M235" i="67"/>
  <c r="L235" i="67"/>
  <c r="BD234" i="67"/>
  <c r="BE234" i="67" s="1"/>
  <c r="AV234" i="67"/>
  <c r="AW234" i="67" s="1"/>
  <c r="AL234" i="67"/>
  <c r="AM234" i="67" s="1"/>
  <c r="AE234" i="67"/>
  <c r="AD234" i="67"/>
  <c r="U234" i="67"/>
  <c r="T234" i="67"/>
  <c r="M234" i="67"/>
  <c r="L234" i="67"/>
  <c r="BD233" i="67"/>
  <c r="BE233" i="67" s="1"/>
  <c r="AW233" i="67"/>
  <c r="AV233" i="67"/>
  <c r="AL233" i="67"/>
  <c r="AM233" i="67" s="1"/>
  <c r="AE233" i="67"/>
  <c r="AD233" i="67"/>
  <c r="U233" i="67"/>
  <c r="T233" i="67"/>
  <c r="M233" i="67"/>
  <c r="L233" i="67"/>
  <c r="BE232" i="67"/>
  <c r="BD232" i="67"/>
  <c r="AV232" i="67"/>
  <c r="AW232" i="67" s="1"/>
  <c r="AL232" i="67"/>
  <c r="AM232" i="67" s="1"/>
  <c r="AD232" i="67"/>
  <c r="AE232" i="67" s="1"/>
  <c r="U232" i="67"/>
  <c r="T232" i="67"/>
  <c r="M232" i="67"/>
  <c r="L232" i="67"/>
  <c r="BD231" i="67"/>
  <c r="BE231" i="67" s="1"/>
  <c r="AV231" i="67"/>
  <c r="AW231" i="67" s="1"/>
  <c r="AL231" i="67"/>
  <c r="AM231" i="67" s="1"/>
  <c r="AD231" i="67"/>
  <c r="AE231" i="67" s="1"/>
  <c r="U231" i="67"/>
  <c r="T231" i="67"/>
  <c r="M231" i="67"/>
  <c r="L231" i="67"/>
  <c r="BD230" i="67"/>
  <c r="BE230" i="67" s="1"/>
  <c r="AW230" i="67"/>
  <c r="AV230" i="67"/>
  <c r="AL230" i="67"/>
  <c r="AM230" i="67" s="1"/>
  <c r="AE230" i="67"/>
  <c r="AD230" i="67"/>
  <c r="U230" i="67"/>
  <c r="T230" i="67"/>
  <c r="M230" i="67"/>
  <c r="L230" i="67"/>
  <c r="BE229" i="67"/>
  <c r="BD229" i="67"/>
  <c r="AV229" i="67"/>
  <c r="AW229" i="67" s="1"/>
  <c r="AL229" i="67"/>
  <c r="AM229" i="67" s="1"/>
  <c r="AD229" i="67"/>
  <c r="AE229" i="67" s="1"/>
  <c r="U229" i="67"/>
  <c r="T229" i="67"/>
  <c r="M229" i="67"/>
  <c r="L229" i="67"/>
  <c r="BD228" i="67"/>
  <c r="BE228" i="67" s="1"/>
  <c r="AV228" i="67"/>
  <c r="AW228" i="67" s="1"/>
  <c r="AL228" i="67"/>
  <c r="AM228" i="67" s="1"/>
  <c r="AD228" i="67"/>
  <c r="AE228" i="67" s="1"/>
  <c r="U228" i="67"/>
  <c r="T228" i="67"/>
  <c r="M228" i="67"/>
  <c r="L228" i="67"/>
  <c r="BE227" i="67"/>
  <c r="BD227" i="67"/>
  <c r="AW227" i="67"/>
  <c r="AV227" i="67"/>
  <c r="AL227" i="67"/>
  <c r="AM227" i="67" s="1"/>
  <c r="AE227" i="67"/>
  <c r="AD227" i="67"/>
  <c r="U227" i="67"/>
  <c r="T227" i="67"/>
  <c r="M227" i="67"/>
  <c r="L227" i="67"/>
  <c r="BE226" i="67"/>
  <c r="BD226" i="67"/>
  <c r="AV226" i="67"/>
  <c r="AW226" i="67" s="1"/>
  <c r="AL226" i="67"/>
  <c r="AM226" i="67" s="1"/>
  <c r="AD226" i="67"/>
  <c r="AE226" i="67" s="1"/>
  <c r="U226" i="67"/>
  <c r="T226" i="67"/>
  <c r="M226" i="67"/>
  <c r="L226" i="67"/>
  <c r="BD225" i="67"/>
  <c r="BE225" i="67" s="1"/>
  <c r="AW225" i="67"/>
  <c r="AV225" i="67"/>
  <c r="AL225" i="67"/>
  <c r="AM225" i="67" s="1"/>
  <c r="AD225" i="67"/>
  <c r="AE225" i="67" s="1"/>
  <c r="U225" i="67"/>
  <c r="T225" i="67"/>
  <c r="M225" i="67"/>
  <c r="L225" i="67"/>
  <c r="BD224" i="67"/>
  <c r="BE224" i="67" s="1"/>
  <c r="AW224" i="67"/>
  <c r="AV224" i="67"/>
  <c r="AL224" i="67"/>
  <c r="AM224" i="67" s="1"/>
  <c r="AE224" i="67"/>
  <c r="AD224" i="67"/>
  <c r="U224" i="67"/>
  <c r="T224" i="67"/>
  <c r="M224" i="67"/>
  <c r="L224" i="67"/>
  <c r="BE223" i="67"/>
  <c r="BD223" i="67"/>
  <c r="AV223" i="67"/>
  <c r="AW223" i="67" s="1"/>
  <c r="AL223" i="67"/>
  <c r="AM223" i="67" s="1"/>
  <c r="AD223" i="67"/>
  <c r="AE223" i="67" s="1"/>
  <c r="U223" i="67"/>
  <c r="T223" i="67"/>
  <c r="M223" i="67"/>
  <c r="L223" i="67"/>
  <c r="BD222" i="67"/>
  <c r="BE222" i="67" s="1"/>
  <c r="AV222" i="67"/>
  <c r="AW222" i="67" s="1"/>
  <c r="AL222" i="67"/>
  <c r="AM222" i="67" s="1"/>
  <c r="AE222" i="67"/>
  <c r="AD222" i="67"/>
  <c r="U222" i="67"/>
  <c r="T222" i="67"/>
  <c r="M222" i="67"/>
  <c r="L222" i="67"/>
  <c r="BD221" i="67"/>
  <c r="BE221" i="67" s="1"/>
  <c r="AW221" i="67"/>
  <c r="AV221" i="67"/>
  <c r="AL221" i="67"/>
  <c r="AM221" i="67" s="1"/>
  <c r="AE221" i="67"/>
  <c r="AD221" i="67"/>
  <c r="U221" i="67"/>
  <c r="T221" i="67"/>
  <c r="M221" i="67"/>
  <c r="L221" i="67"/>
  <c r="BE220" i="67"/>
  <c r="BD220" i="67"/>
  <c r="AV220" i="67"/>
  <c r="AW220" i="67" s="1"/>
  <c r="AL220" i="67"/>
  <c r="AM220" i="67" s="1"/>
  <c r="AD220" i="67"/>
  <c r="AE220" i="67" s="1"/>
  <c r="U220" i="67"/>
  <c r="T220" i="67"/>
  <c r="M220" i="67"/>
  <c r="L220" i="67"/>
  <c r="BD219" i="67"/>
  <c r="BE219" i="67" s="1"/>
  <c r="AV219" i="67"/>
  <c r="AW219" i="67" s="1"/>
  <c r="AL219" i="67"/>
  <c r="AM219" i="67" s="1"/>
  <c r="AD219" i="67"/>
  <c r="AE219" i="67" s="1"/>
  <c r="U219" i="67"/>
  <c r="T219" i="67"/>
  <c r="M219" i="67"/>
  <c r="L219" i="67"/>
  <c r="BD218" i="67"/>
  <c r="BE218" i="67" s="1"/>
  <c r="AW218" i="67"/>
  <c r="AV218" i="67"/>
  <c r="AL218" i="67"/>
  <c r="AM218" i="67" s="1"/>
  <c r="AE218" i="67"/>
  <c r="AD218" i="67"/>
  <c r="U218" i="67"/>
  <c r="T218" i="67"/>
  <c r="M218" i="67"/>
  <c r="L218" i="67"/>
  <c r="BE217" i="67"/>
  <c r="BD217" i="67"/>
  <c r="AV217" i="67"/>
  <c r="AW217" i="67" s="1"/>
  <c r="AL217" i="67"/>
  <c r="AM217" i="67" s="1"/>
  <c r="AD217" i="67"/>
  <c r="AE217" i="67" s="1"/>
  <c r="U217" i="67"/>
  <c r="T217" i="67"/>
  <c r="M217" i="67"/>
  <c r="L217" i="67"/>
  <c r="BD216" i="67"/>
  <c r="BE216" i="67" s="1"/>
  <c r="AV216" i="67"/>
  <c r="AW216" i="67" s="1"/>
  <c r="AL216" i="67"/>
  <c r="AM216" i="67" s="1"/>
  <c r="AD216" i="67"/>
  <c r="AE216" i="67" s="1"/>
  <c r="U216" i="67"/>
  <c r="T216" i="67"/>
  <c r="M216" i="67"/>
  <c r="L216" i="67"/>
  <c r="BE215" i="67"/>
  <c r="BD215" i="67"/>
  <c r="AW215" i="67"/>
  <c r="AV215" i="67"/>
  <c r="AL215" i="67"/>
  <c r="AM215" i="67" s="1"/>
  <c r="AE215" i="67"/>
  <c r="AD215" i="67"/>
  <c r="U215" i="67"/>
  <c r="T215" i="67"/>
  <c r="M215" i="67"/>
  <c r="L215" i="67"/>
  <c r="BE214" i="67"/>
  <c r="BD214" i="67"/>
  <c r="AV214" i="67"/>
  <c r="AW214" i="67" s="1"/>
  <c r="AL214" i="67"/>
  <c r="AM214" i="67" s="1"/>
  <c r="AD214" i="67"/>
  <c r="AE214" i="67" s="1"/>
  <c r="U214" i="67"/>
  <c r="T214" i="67"/>
  <c r="M214" i="67"/>
  <c r="L214" i="67"/>
  <c r="BD213" i="67"/>
  <c r="BE213" i="67" s="1"/>
  <c r="AW213" i="67"/>
  <c r="AV213" i="67"/>
  <c r="AL213" i="67"/>
  <c r="AM213" i="67" s="1"/>
  <c r="AD213" i="67"/>
  <c r="AE213" i="67" s="1"/>
  <c r="U213" i="67"/>
  <c r="T213" i="67"/>
  <c r="M213" i="67"/>
  <c r="L213" i="67"/>
  <c r="BD212" i="67"/>
  <c r="BE212" i="67" s="1"/>
  <c r="AW212" i="67"/>
  <c r="AV212" i="67"/>
  <c r="AL212" i="67"/>
  <c r="AM212" i="67" s="1"/>
  <c r="AE212" i="67"/>
  <c r="AD212" i="67"/>
  <c r="U212" i="67"/>
  <c r="T212" i="67"/>
  <c r="M212" i="67"/>
  <c r="L212" i="67"/>
  <c r="BE211" i="67"/>
  <c r="BD211" i="67"/>
  <c r="AW211" i="67"/>
  <c r="AV211" i="67"/>
  <c r="AL211" i="67"/>
  <c r="AM211" i="67" s="1"/>
  <c r="AD211" i="67"/>
  <c r="AE211" i="67" s="1"/>
  <c r="U211" i="67"/>
  <c r="T211" i="67"/>
  <c r="M211" i="67"/>
  <c r="L211" i="67"/>
  <c r="BD210" i="67"/>
  <c r="BE210" i="67" s="1"/>
  <c r="AV210" i="67"/>
  <c r="AW210" i="67" s="1"/>
  <c r="AL210" i="67"/>
  <c r="AM210" i="67" s="1"/>
  <c r="AE210" i="67"/>
  <c r="AD210" i="67"/>
  <c r="U210" i="67"/>
  <c r="T210" i="67"/>
  <c r="M210" i="67"/>
  <c r="L210" i="67"/>
  <c r="BD209" i="67"/>
  <c r="BE209" i="67" s="1"/>
  <c r="AW209" i="67"/>
  <c r="AV209" i="67"/>
  <c r="AL209" i="67"/>
  <c r="AM209" i="67" s="1"/>
  <c r="AE209" i="67"/>
  <c r="AD209" i="67"/>
  <c r="U209" i="67"/>
  <c r="T209" i="67"/>
  <c r="M209" i="67"/>
  <c r="L209" i="67"/>
  <c r="BE208" i="67"/>
  <c r="BD208" i="67"/>
  <c r="AV208" i="67"/>
  <c r="AW208" i="67" s="1"/>
  <c r="AL208" i="67"/>
  <c r="AM208" i="67" s="1"/>
  <c r="AE208" i="67"/>
  <c r="AD208" i="67"/>
  <c r="U208" i="67"/>
  <c r="T208" i="67"/>
  <c r="M208" i="67"/>
  <c r="L208" i="67"/>
  <c r="BD207" i="67"/>
  <c r="BE207" i="67" s="1"/>
  <c r="AV207" i="67"/>
  <c r="AW207" i="67" s="1"/>
  <c r="AL207" i="67"/>
  <c r="AM207" i="67" s="1"/>
  <c r="AD207" i="67"/>
  <c r="AE207" i="67" s="1"/>
  <c r="U207" i="67"/>
  <c r="T207" i="67"/>
  <c r="M207" i="67"/>
  <c r="L207" i="67"/>
  <c r="BD206" i="67"/>
  <c r="BE206" i="67" s="1"/>
  <c r="AW206" i="67"/>
  <c r="AV206" i="67"/>
  <c r="AL206" i="67"/>
  <c r="AM206" i="67" s="1"/>
  <c r="AE206" i="67"/>
  <c r="AD206" i="67"/>
  <c r="U206" i="67"/>
  <c r="T206" i="67"/>
  <c r="M206" i="67"/>
  <c r="L206" i="67"/>
  <c r="BE205" i="67"/>
  <c r="BD205" i="67"/>
  <c r="AW205" i="67"/>
  <c r="AV205" i="67"/>
  <c r="AL205" i="67"/>
  <c r="AM205" i="67" s="1"/>
  <c r="AD205" i="67"/>
  <c r="AE205" i="67" s="1"/>
  <c r="U205" i="67"/>
  <c r="T205" i="67"/>
  <c r="M205" i="67"/>
  <c r="L205" i="67"/>
  <c r="BD204" i="67"/>
  <c r="BE204" i="67" s="1"/>
  <c r="AV204" i="67"/>
  <c r="AW204" i="67" s="1"/>
  <c r="AL204" i="67"/>
  <c r="AM204" i="67" s="1"/>
  <c r="AD204" i="67"/>
  <c r="AE204" i="67" s="1"/>
  <c r="U204" i="67"/>
  <c r="T204" i="67"/>
  <c r="M204" i="67"/>
  <c r="L204" i="67"/>
  <c r="BE203" i="67"/>
  <c r="BD203" i="67"/>
  <c r="AW203" i="67"/>
  <c r="AV203" i="67"/>
  <c r="AL203" i="67"/>
  <c r="AM203" i="67" s="1"/>
  <c r="AE203" i="67"/>
  <c r="AD203" i="67"/>
  <c r="U203" i="67"/>
  <c r="T203" i="67"/>
  <c r="M203" i="67"/>
  <c r="L203" i="67"/>
  <c r="BE202" i="67"/>
  <c r="BD202" i="67"/>
  <c r="AV202" i="67"/>
  <c r="AW202" i="67" s="1"/>
  <c r="AL202" i="67"/>
  <c r="AM202" i="67" s="1"/>
  <c r="AE202" i="67"/>
  <c r="AD202" i="67"/>
  <c r="U202" i="67"/>
  <c r="T202" i="67"/>
  <c r="M202" i="67"/>
  <c r="L202" i="67"/>
  <c r="BD201" i="67"/>
  <c r="BE201" i="67" s="1"/>
  <c r="AW201" i="67"/>
  <c r="AV201" i="67"/>
  <c r="AL201" i="67"/>
  <c r="AM201" i="67" s="1"/>
  <c r="AD201" i="67"/>
  <c r="AE201" i="67" s="1"/>
  <c r="U201" i="67"/>
  <c r="T201" i="67"/>
  <c r="M201" i="67"/>
  <c r="L201" i="67"/>
  <c r="BD200" i="67"/>
  <c r="BE200" i="67" s="1"/>
  <c r="AW200" i="67"/>
  <c r="AV200" i="67"/>
  <c r="AL200" i="67"/>
  <c r="AM200" i="67" s="1"/>
  <c r="AE200" i="67"/>
  <c r="AD200" i="67"/>
  <c r="U200" i="67"/>
  <c r="T200" i="67"/>
  <c r="M200" i="67"/>
  <c r="L200" i="67"/>
  <c r="BE199" i="67"/>
  <c r="BD199" i="67"/>
  <c r="AW199" i="67"/>
  <c r="AV199" i="67"/>
  <c r="AL199" i="67"/>
  <c r="AM199" i="67" s="1"/>
  <c r="AD199" i="67"/>
  <c r="AE199" i="67" s="1"/>
  <c r="U199" i="67"/>
  <c r="T199" i="67"/>
  <c r="M199" i="67"/>
  <c r="L199" i="67"/>
  <c r="BD198" i="67"/>
  <c r="BE198" i="67" s="1"/>
  <c r="AV198" i="67"/>
  <c r="AW198" i="67" s="1"/>
  <c r="AL198" i="67"/>
  <c r="AM198" i="67" s="1"/>
  <c r="AE198" i="67"/>
  <c r="AD198" i="67"/>
  <c r="U198" i="67"/>
  <c r="T198" i="67"/>
  <c r="M198" i="67"/>
  <c r="L198" i="67"/>
  <c r="BD197" i="67"/>
  <c r="BE197" i="67" s="1"/>
  <c r="AW197" i="67"/>
  <c r="AV197" i="67"/>
  <c r="AL197" i="67"/>
  <c r="AM197" i="67" s="1"/>
  <c r="AD197" i="67"/>
  <c r="AE197" i="67" s="1"/>
  <c r="U197" i="67"/>
  <c r="T197" i="67"/>
  <c r="M197" i="67"/>
  <c r="L197" i="67"/>
  <c r="BE196" i="67"/>
  <c r="BD196" i="67"/>
  <c r="AV196" i="67"/>
  <c r="AW196" i="67" s="1"/>
  <c r="AL196" i="67"/>
  <c r="AM196" i="67" s="1"/>
  <c r="AD196" i="67"/>
  <c r="AE196" i="67" s="1"/>
  <c r="U196" i="67"/>
  <c r="T196" i="67"/>
  <c r="M196" i="67"/>
  <c r="L196" i="67"/>
  <c r="BE195" i="67"/>
  <c r="BD195" i="67"/>
  <c r="AV195" i="67"/>
  <c r="AW195" i="67" s="1"/>
  <c r="AL195" i="67"/>
  <c r="AM195" i="67" s="1"/>
  <c r="AD195" i="67"/>
  <c r="AE195" i="67" s="1"/>
  <c r="U195" i="67"/>
  <c r="T195" i="67"/>
  <c r="M195" i="67"/>
  <c r="L195" i="67"/>
  <c r="BD194" i="67"/>
  <c r="BE194" i="67" s="1"/>
  <c r="AW194" i="67"/>
  <c r="AV194" i="67"/>
  <c r="AL194" i="67"/>
  <c r="AM194" i="67" s="1"/>
  <c r="AE194" i="67"/>
  <c r="AD194" i="67"/>
  <c r="U194" i="67"/>
  <c r="T194" i="67"/>
  <c r="M194" i="67"/>
  <c r="L194" i="67"/>
  <c r="BE193" i="67"/>
  <c r="BD193" i="67"/>
  <c r="AW193" i="67"/>
  <c r="AV193" i="67"/>
  <c r="AL193" i="67"/>
  <c r="AM193" i="67" s="1"/>
  <c r="AD193" i="67"/>
  <c r="AE193" i="67" s="1"/>
  <c r="U193" i="67"/>
  <c r="T193" i="67"/>
  <c r="M193" i="67"/>
  <c r="L193" i="67"/>
  <c r="BD192" i="67"/>
  <c r="BE192" i="67" s="1"/>
  <c r="AV192" i="67"/>
  <c r="AW192" i="67" s="1"/>
  <c r="AL192" i="67"/>
  <c r="AM192" i="67" s="1"/>
  <c r="AD192" i="67"/>
  <c r="AE192" i="67" s="1"/>
  <c r="U192" i="67"/>
  <c r="T192" i="67"/>
  <c r="M192" i="67"/>
  <c r="L192" i="67"/>
  <c r="BE191" i="67"/>
  <c r="BD191" i="67"/>
  <c r="AW191" i="67"/>
  <c r="AV191" i="67"/>
  <c r="AL191" i="67"/>
  <c r="AM191" i="67" s="1"/>
  <c r="AE191" i="67"/>
  <c r="AD191" i="67"/>
  <c r="U191" i="67"/>
  <c r="T191" i="67"/>
  <c r="M191" i="67"/>
  <c r="L191" i="67"/>
  <c r="BE190" i="67"/>
  <c r="BD190" i="67"/>
  <c r="AV190" i="67"/>
  <c r="AW190" i="67" s="1"/>
  <c r="AL190" i="67"/>
  <c r="AM190" i="67" s="1"/>
  <c r="AE190" i="67"/>
  <c r="AD190" i="67"/>
  <c r="U190" i="67"/>
  <c r="T190" i="67"/>
  <c r="M190" i="67"/>
  <c r="L190" i="67"/>
  <c r="BD189" i="67"/>
  <c r="BE189" i="67" s="1"/>
  <c r="AW189" i="67"/>
  <c r="AV189" i="67"/>
  <c r="AL189" i="67"/>
  <c r="AM189" i="67" s="1"/>
  <c r="AD189" i="67"/>
  <c r="AE189" i="67" s="1"/>
  <c r="U189" i="67"/>
  <c r="T189" i="67"/>
  <c r="M189" i="67"/>
  <c r="L189" i="67"/>
  <c r="BD188" i="67"/>
  <c r="BE188" i="67" s="1"/>
  <c r="AW188" i="67"/>
  <c r="AV188" i="67"/>
  <c r="AL188" i="67"/>
  <c r="AM188" i="67" s="1"/>
  <c r="AE188" i="67"/>
  <c r="AD188" i="67"/>
  <c r="U188" i="67"/>
  <c r="T188" i="67"/>
  <c r="M188" i="67"/>
  <c r="L188" i="67"/>
  <c r="BE187" i="67"/>
  <c r="BD187" i="67"/>
  <c r="AV187" i="67"/>
  <c r="AW187" i="67" s="1"/>
  <c r="AL187" i="67"/>
  <c r="AM187" i="67" s="1"/>
  <c r="AD187" i="67"/>
  <c r="AE187" i="67" s="1"/>
  <c r="U187" i="67"/>
  <c r="T187" i="67"/>
  <c r="M187" i="67"/>
  <c r="L187" i="67"/>
  <c r="BD186" i="67"/>
  <c r="BE186" i="67" s="1"/>
  <c r="AV186" i="67"/>
  <c r="AW186" i="67" s="1"/>
  <c r="AL186" i="67"/>
  <c r="AM186" i="67" s="1"/>
  <c r="AE186" i="67"/>
  <c r="AD186" i="67"/>
  <c r="U186" i="67"/>
  <c r="T186" i="67"/>
  <c r="M186" i="67"/>
  <c r="L186" i="67"/>
  <c r="BD185" i="67"/>
  <c r="BE185" i="67" s="1"/>
  <c r="AW185" i="67"/>
  <c r="AV185" i="67"/>
  <c r="AL185" i="67"/>
  <c r="AM185" i="67" s="1"/>
  <c r="AD185" i="67"/>
  <c r="AE185" i="67" s="1"/>
  <c r="U185" i="67"/>
  <c r="T185" i="67"/>
  <c r="M185" i="67"/>
  <c r="L185" i="67"/>
  <c r="BE184" i="67"/>
  <c r="BD184" i="67"/>
  <c r="AV184" i="67"/>
  <c r="AW184" i="67" s="1"/>
  <c r="AL184" i="67"/>
  <c r="AM184" i="67" s="1"/>
  <c r="AD184" i="67"/>
  <c r="AE184" i="67" s="1"/>
  <c r="U184" i="67"/>
  <c r="T184" i="67"/>
  <c r="M184" i="67"/>
  <c r="L184" i="67"/>
  <c r="BE183" i="67"/>
  <c r="BD183" i="67"/>
  <c r="AV183" i="67"/>
  <c r="AW183" i="67" s="1"/>
  <c r="AL183" i="67"/>
  <c r="AM183" i="67" s="1"/>
  <c r="AD183" i="67"/>
  <c r="AE183" i="67" s="1"/>
  <c r="U183" i="67"/>
  <c r="T183" i="67"/>
  <c r="M183" i="67"/>
  <c r="L183" i="67"/>
  <c r="BD182" i="67"/>
  <c r="BE182" i="67" s="1"/>
  <c r="AW182" i="67"/>
  <c r="AV182" i="67"/>
  <c r="AL182" i="67"/>
  <c r="AM182" i="67" s="1"/>
  <c r="AE182" i="67"/>
  <c r="AD182" i="67"/>
  <c r="U182" i="67"/>
  <c r="T182" i="67"/>
  <c r="M182" i="67"/>
  <c r="L182" i="67"/>
  <c r="BE181" i="67"/>
  <c r="BD181" i="67"/>
  <c r="AV181" i="67"/>
  <c r="AW181" i="67" s="1"/>
  <c r="AL181" i="67"/>
  <c r="AM181" i="67" s="1"/>
  <c r="AD181" i="67"/>
  <c r="AE181" i="67" s="1"/>
  <c r="U181" i="67"/>
  <c r="T181" i="67"/>
  <c r="M181" i="67"/>
  <c r="L181" i="67"/>
  <c r="BD180" i="67"/>
  <c r="BE180" i="67" s="1"/>
  <c r="AV180" i="67"/>
  <c r="AW180" i="67" s="1"/>
  <c r="AL180" i="67"/>
  <c r="AM180" i="67" s="1"/>
  <c r="AD180" i="67"/>
  <c r="AE180" i="67" s="1"/>
  <c r="U180" i="67"/>
  <c r="T180" i="67"/>
  <c r="L180" i="67"/>
  <c r="M180" i="67" s="1"/>
  <c r="BE179" i="67"/>
  <c r="BD179" i="67"/>
  <c r="AW179" i="67"/>
  <c r="AV179" i="67"/>
  <c r="AL179" i="67"/>
  <c r="AM179" i="67" s="1"/>
  <c r="AE179" i="67"/>
  <c r="AD179" i="67"/>
  <c r="T179" i="67"/>
  <c r="U179" i="67" s="1"/>
  <c r="L179" i="67"/>
  <c r="M179" i="67" s="1"/>
  <c r="BE178" i="67"/>
  <c r="BD178" i="67"/>
  <c r="AV178" i="67"/>
  <c r="AW178" i="67" s="1"/>
  <c r="AL178" i="67"/>
  <c r="AM178" i="67" s="1"/>
  <c r="AD178" i="67"/>
  <c r="AE178" i="67" s="1"/>
  <c r="T178" i="67"/>
  <c r="U178" i="67" s="1"/>
  <c r="M178" i="67"/>
  <c r="L178" i="67"/>
  <c r="BE177" i="67"/>
  <c r="BD177" i="67"/>
  <c r="AW177" i="67"/>
  <c r="AV177" i="67"/>
  <c r="AL177" i="67"/>
  <c r="AM177" i="67" s="1"/>
  <c r="AD177" i="67"/>
  <c r="AE177" i="67" s="1"/>
  <c r="U177" i="67"/>
  <c r="T177" i="67"/>
  <c r="L177" i="67"/>
  <c r="M177" i="67" s="1"/>
  <c r="BD176" i="67"/>
  <c r="BE176" i="67" s="1"/>
  <c r="AW176" i="67"/>
  <c r="AV176" i="67"/>
  <c r="AL176" i="67"/>
  <c r="AM176" i="67" s="1"/>
  <c r="AE176" i="67"/>
  <c r="AD176" i="67"/>
  <c r="U176" i="67"/>
  <c r="T176" i="67"/>
  <c r="L176" i="67"/>
  <c r="M176" i="67" s="1"/>
  <c r="BE175" i="67"/>
  <c r="BD175" i="67"/>
  <c r="AW175" i="67"/>
  <c r="AV175" i="67"/>
  <c r="AL175" i="67"/>
  <c r="AM175" i="67" s="1"/>
  <c r="AD175" i="67"/>
  <c r="AE175" i="67" s="1"/>
  <c r="T175" i="67"/>
  <c r="U175" i="67" s="1"/>
  <c r="M175" i="67"/>
  <c r="L175" i="67"/>
  <c r="BD174" i="67"/>
  <c r="BE174" i="67" s="1"/>
  <c r="AV174" i="67"/>
  <c r="AW174" i="67" s="1"/>
  <c r="AL174" i="67"/>
  <c r="AM174" i="67" s="1"/>
  <c r="AE174" i="67"/>
  <c r="AD174" i="67"/>
  <c r="U174" i="67"/>
  <c r="T174" i="67"/>
  <c r="M174" i="67"/>
  <c r="L174" i="67"/>
  <c r="BD173" i="67"/>
  <c r="BE173" i="67" s="1"/>
  <c r="AW173" i="67"/>
  <c r="AV173" i="67"/>
  <c r="AL173" i="67"/>
  <c r="AM173" i="67" s="1"/>
  <c r="AD173" i="67"/>
  <c r="AE173" i="67" s="1"/>
  <c r="T173" i="67"/>
  <c r="U173" i="67" s="1"/>
  <c r="L173" i="67"/>
  <c r="M173" i="67" s="1"/>
  <c r="BE172" i="67"/>
  <c r="BD172" i="67"/>
  <c r="AV172" i="67"/>
  <c r="AW172" i="67" s="1"/>
  <c r="AL172" i="67"/>
  <c r="AM172" i="67" s="1"/>
  <c r="AE172" i="67"/>
  <c r="AD172" i="67"/>
  <c r="U172" i="67"/>
  <c r="T172" i="67"/>
  <c r="M172" i="67"/>
  <c r="L172" i="67"/>
  <c r="BD171" i="67"/>
  <c r="BE171" i="67" s="1"/>
  <c r="AW171" i="67"/>
  <c r="AV171" i="67"/>
  <c r="AL171" i="67"/>
  <c r="AM171" i="67" s="1"/>
  <c r="AD171" i="67"/>
  <c r="AE171" i="67" s="1"/>
  <c r="U171" i="67"/>
  <c r="T171" i="67"/>
  <c r="L171" i="67"/>
  <c r="M171" i="67" s="1"/>
  <c r="BD170" i="67"/>
  <c r="BE170" i="67" s="1"/>
  <c r="AW170" i="67"/>
  <c r="AV170" i="67"/>
  <c r="AL170" i="67"/>
  <c r="AM170" i="67" s="1"/>
  <c r="AD170" i="67"/>
  <c r="AE170" i="67" s="1"/>
  <c r="U170" i="67"/>
  <c r="T170" i="67"/>
  <c r="L170" i="67"/>
  <c r="M170" i="67" s="1"/>
  <c r="BD169" i="67"/>
  <c r="BE169" i="67" s="1"/>
  <c r="AW169" i="67"/>
  <c r="AV169" i="67"/>
  <c r="AL169" i="67"/>
  <c r="AM169" i="67" s="1"/>
  <c r="AD169" i="67"/>
  <c r="AE169" i="67" s="1"/>
  <c r="T169" i="67"/>
  <c r="U169" i="67" s="1"/>
  <c r="L169" i="67"/>
  <c r="M169" i="67" s="1"/>
  <c r="BD168" i="67"/>
  <c r="BE168" i="67" s="1"/>
  <c r="AW168" i="67"/>
  <c r="AV168" i="67"/>
  <c r="AL168" i="67"/>
  <c r="AM168" i="67" s="1"/>
  <c r="AD168" i="67"/>
  <c r="AE168" i="67" s="1"/>
  <c r="U168" i="67"/>
  <c r="T168" i="67"/>
  <c r="L168" i="67"/>
  <c r="M168" i="67" s="1"/>
  <c r="BD167" i="67"/>
  <c r="BE167" i="67" s="1"/>
  <c r="AW167" i="67"/>
  <c r="AV167" i="67"/>
  <c r="AL167" i="67"/>
  <c r="AM167" i="67" s="1"/>
  <c r="AD167" i="67"/>
  <c r="AE167" i="67" s="1"/>
  <c r="U167" i="67"/>
  <c r="T167" i="67"/>
  <c r="L167" i="67"/>
  <c r="M167" i="67" s="1"/>
  <c r="BD166" i="67"/>
  <c r="BE166" i="67" s="1"/>
  <c r="AW166" i="67"/>
  <c r="AV166" i="67"/>
  <c r="AL166" i="67"/>
  <c r="AM166" i="67" s="1"/>
  <c r="AD166" i="67"/>
  <c r="AE166" i="67" s="1"/>
  <c r="T166" i="67"/>
  <c r="U166" i="67" s="1"/>
  <c r="L166" i="67"/>
  <c r="M166" i="67" s="1"/>
  <c r="BD165" i="67"/>
  <c r="BE165" i="67" s="1"/>
  <c r="AW165" i="67"/>
  <c r="AV165" i="67"/>
  <c r="AM165" i="67"/>
  <c r="AL165" i="67"/>
  <c r="AD165" i="67"/>
  <c r="AE165" i="67" s="1"/>
  <c r="T165" i="67"/>
  <c r="U165" i="67" s="1"/>
  <c r="L165" i="67"/>
  <c r="M165" i="67" s="1"/>
  <c r="BD164" i="67"/>
  <c r="BE164" i="67" s="1"/>
  <c r="AW164" i="67"/>
  <c r="AV164" i="67"/>
  <c r="AL164" i="67"/>
  <c r="AM164" i="67" s="1"/>
  <c r="AD164" i="67"/>
  <c r="AE164" i="67" s="1"/>
  <c r="U164" i="67"/>
  <c r="T164" i="67"/>
  <c r="L164" i="67"/>
  <c r="M164" i="67" s="1"/>
  <c r="BD163" i="67"/>
  <c r="BE163" i="67" s="1"/>
  <c r="AV163" i="67"/>
  <c r="AW163" i="67" s="1"/>
  <c r="AL163" i="67"/>
  <c r="AM163" i="67" s="1"/>
  <c r="AD163" i="67"/>
  <c r="AE163" i="67" s="1"/>
  <c r="T163" i="67"/>
  <c r="U163" i="67" s="1"/>
  <c r="L163" i="67"/>
  <c r="M163" i="67" s="1"/>
  <c r="BD162" i="67"/>
  <c r="BE162" i="67" s="1"/>
  <c r="AV162" i="67"/>
  <c r="AW162" i="67" s="1"/>
  <c r="AL162" i="67"/>
  <c r="AM162" i="67" s="1"/>
  <c r="AD162" i="67"/>
  <c r="AE162" i="67" s="1"/>
  <c r="T162" i="67"/>
  <c r="U162" i="67" s="1"/>
  <c r="L162" i="67"/>
  <c r="M162" i="67" s="1"/>
  <c r="BD161" i="67"/>
  <c r="BE161" i="67" s="1"/>
  <c r="AW161" i="67"/>
  <c r="AV161" i="67"/>
  <c r="AM161" i="67"/>
  <c r="AL161" i="67"/>
  <c r="AD161" i="67"/>
  <c r="AE161" i="67" s="1"/>
  <c r="T161" i="67"/>
  <c r="U161" i="67" s="1"/>
  <c r="L161" i="67"/>
  <c r="M161" i="67" s="1"/>
  <c r="BD160" i="67"/>
  <c r="BE160" i="67" s="1"/>
  <c r="AW160" i="67"/>
  <c r="AV160" i="67"/>
  <c r="AL160" i="67"/>
  <c r="AM160" i="67" s="1"/>
  <c r="AD160" i="67"/>
  <c r="AE160" i="67" s="1"/>
  <c r="U160" i="67"/>
  <c r="T160" i="67"/>
  <c r="L160" i="67"/>
  <c r="M160" i="67" s="1"/>
  <c r="BD159" i="67"/>
  <c r="BE159" i="67" s="1"/>
  <c r="AV159" i="67"/>
  <c r="AW159" i="67" s="1"/>
  <c r="AL159" i="67"/>
  <c r="AM159" i="67" s="1"/>
  <c r="AD159" i="67"/>
  <c r="AE159" i="67" s="1"/>
  <c r="T159" i="67"/>
  <c r="U159" i="67" s="1"/>
  <c r="L159" i="67"/>
  <c r="M159" i="67" s="1"/>
  <c r="BD158" i="67"/>
  <c r="BE158" i="67" s="1"/>
  <c r="AV158" i="67"/>
  <c r="AW158" i="67" s="1"/>
  <c r="AL158" i="67"/>
  <c r="AM158" i="67" s="1"/>
  <c r="AD158" i="67"/>
  <c r="AE158" i="67" s="1"/>
  <c r="T158" i="67"/>
  <c r="U158" i="67" s="1"/>
  <c r="L158" i="67"/>
  <c r="M158" i="67" s="1"/>
  <c r="BD157" i="67"/>
  <c r="BE157" i="67" s="1"/>
  <c r="AW157" i="67"/>
  <c r="AV157" i="67"/>
  <c r="AM157" i="67"/>
  <c r="AL157" i="67"/>
  <c r="AD157" i="67"/>
  <c r="AE157" i="67" s="1"/>
  <c r="T157" i="67"/>
  <c r="U157" i="67" s="1"/>
  <c r="L157" i="67"/>
  <c r="M157" i="67" s="1"/>
  <c r="BD156" i="67"/>
  <c r="BE156" i="67" s="1"/>
  <c r="AW156" i="67"/>
  <c r="AV156" i="67"/>
  <c r="AL156" i="67"/>
  <c r="AM156" i="67" s="1"/>
  <c r="AD156" i="67"/>
  <c r="AE156" i="67" s="1"/>
  <c r="U156" i="67"/>
  <c r="T156" i="67"/>
  <c r="L156" i="67"/>
  <c r="M156" i="67" s="1"/>
  <c r="BD155" i="67"/>
  <c r="BE155" i="67" s="1"/>
  <c r="AV155" i="67"/>
  <c r="AW155" i="67" s="1"/>
  <c r="AL155" i="67"/>
  <c r="AM155" i="67" s="1"/>
  <c r="AD155" i="67"/>
  <c r="AE155" i="67" s="1"/>
  <c r="T155" i="67"/>
  <c r="U155" i="67" s="1"/>
  <c r="L155" i="67"/>
  <c r="M155" i="67" s="1"/>
  <c r="BD154" i="67"/>
  <c r="BE154" i="67" s="1"/>
  <c r="AV154" i="67"/>
  <c r="AW154" i="67" s="1"/>
  <c r="AL154" i="67"/>
  <c r="AM154" i="67" s="1"/>
  <c r="AD154" i="67"/>
  <c r="AE154" i="67" s="1"/>
  <c r="T154" i="67"/>
  <c r="U154" i="67" s="1"/>
  <c r="L154" i="67"/>
  <c r="M154" i="67" s="1"/>
  <c r="BD153" i="67"/>
  <c r="BE153" i="67" s="1"/>
  <c r="AV153" i="67"/>
  <c r="AW153" i="67" s="1"/>
  <c r="AL153" i="67"/>
  <c r="AM153" i="67" s="1"/>
  <c r="AD153" i="67"/>
  <c r="AE153" i="67" s="1"/>
  <c r="T153" i="67"/>
  <c r="U153" i="67" s="1"/>
  <c r="L153" i="67"/>
  <c r="M153" i="67" s="1"/>
  <c r="BD152" i="67"/>
  <c r="BE152" i="67" s="1"/>
  <c r="AV152" i="67"/>
  <c r="AW152" i="67" s="1"/>
  <c r="AL152" i="67"/>
  <c r="AM152" i="67" s="1"/>
  <c r="AD152" i="67"/>
  <c r="AE152" i="67" s="1"/>
  <c r="U152" i="67"/>
  <c r="T152" i="67"/>
  <c r="L152" i="67"/>
  <c r="M152" i="67" s="1"/>
  <c r="BD151" i="67"/>
  <c r="BE151" i="67" s="1"/>
  <c r="AW151" i="67"/>
  <c r="AV151" i="67"/>
  <c r="AL151" i="67"/>
  <c r="AM151" i="67" s="1"/>
  <c r="AD151" i="67"/>
  <c r="AE151" i="67" s="1"/>
  <c r="U151" i="67"/>
  <c r="T151" i="67"/>
  <c r="M151" i="67"/>
  <c r="L151" i="67"/>
  <c r="BD150" i="67"/>
  <c r="BE150" i="67" s="1"/>
  <c r="AW150" i="67"/>
  <c r="AV150" i="67"/>
  <c r="AM150" i="67"/>
  <c r="AL150" i="67"/>
  <c r="AD150" i="67"/>
  <c r="AE150" i="67" s="1"/>
  <c r="U150" i="67"/>
  <c r="T150" i="67"/>
  <c r="M150" i="67"/>
  <c r="L150" i="67"/>
  <c r="BD149" i="67"/>
  <c r="BE149" i="67" s="1"/>
  <c r="AV149" i="67"/>
  <c r="AW149" i="67" s="1"/>
  <c r="AM149" i="67"/>
  <c r="AL149" i="67"/>
  <c r="AD149" i="67"/>
  <c r="AE149" i="67" s="1"/>
  <c r="T149" i="67"/>
  <c r="U149" i="67" s="1"/>
  <c r="M149" i="67"/>
  <c r="L149" i="67"/>
  <c r="BD148" i="67"/>
  <c r="BE148" i="67" s="1"/>
  <c r="AV148" i="67"/>
  <c r="AW148" i="67" s="1"/>
  <c r="AL148" i="67"/>
  <c r="AM148" i="67" s="1"/>
  <c r="AD148" i="67"/>
  <c r="AE148" i="67" s="1"/>
  <c r="T148" i="67"/>
  <c r="U148" i="67" s="1"/>
  <c r="L148" i="67"/>
  <c r="M148" i="67" s="1"/>
  <c r="BD147" i="67"/>
  <c r="BE147" i="67" s="1"/>
  <c r="AV147" i="67"/>
  <c r="AW147" i="67" s="1"/>
  <c r="AL147" i="67"/>
  <c r="AM147" i="67" s="1"/>
  <c r="AD147" i="67"/>
  <c r="AE147" i="67" s="1"/>
  <c r="T147" i="67"/>
  <c r="U147" i="67" s="1"/>
  <c r="L147" i="67"/>
  <c r="M147" i="67" s="1"/>
  <c r="BD146" i="67"/>
  <c r="BE146" i="67" s="1"/>
  <c r="AV146" i="67"/>
  <c r="AW146" i="67" s="1"/>
  <c r="AL146" i="67"/>
  <c r="AM146" i="67" s="1"/>
  <c r="AD146" i="67"/>
  <c r="AE146" i="67" s="1"/>
  <c r="U146" i="67"/>
  <c r="T146" i="67"/>
  <c r="L146" i="67"/>
  <c r="M146" i="67" s="1"/>
  <c r="BD145" i="67"/>
  <c r="BE145" i="67" s="1"/>
  <c r="AW145" i="67"/>
  <c r="AV145" i="67"/>
  <c r="AL145" i="67"/>
  <c r="AM145" i="67" s="1"/>
  <c r="AD145" i="67"/>
  <c r="AE145" i="67" s="1"/>
  <c r="U145" i="67"/>
  <c r="T145" i="67"/>
  <c r="M145" i="67"/>
  <c r="L145" i="67"/>
  <c r="BD144" i="67"/>
  <c r="BE144" i="67" s="1"/>
  <c r="AW144" i="67"/>
  <c r="AV144" i="67"/>
  <c r="AM144" i="67"/>
  <c r="AL144" i="67"/>
  <c r="AD144" i="67"/>
  <c r="AE144" i="67" s="1"/>
  <c r="U144" i="67"/>
  <c r="T144" i="67"/>
  <c r="M144" i="67"/>
  <c r="L144" i="67"/>
  <c r="BD143" i="67"/>
  <c r="BE143" i="67" s="1"/>
  <c r="AV143" i="67"/>
  <c r="AW143" i="67" s="1"/>
  <c r="AM143" i="67"/>
  <c r="AL143" i="67"/>
  <c r="AD143" i="67"/>
  <c r="AE143" i="67" s="1"/>
  <c r="T143" i="67"/>
  <c r="U143" i="67" s="1"/>
  <c r="M143" i="67"/>
  <c r="L143" i="67"/>
  <c r="BD142" i="67"/>
  <c r="BE142" i="67" s="1"/>
  <c r="AV142" i="67"/>
  <c r="AW142" i="67" s="1"/>
  <c r="AL142" i="67"/>
  <c r="AM142" i="67" s="1"/>
  <c r="AD142" i="67"/>
  <c r="AE142" i="67" s="1"/>
  <c r="T142" i="67"/>
  <c r="U142" i="67" s="1"/>
  <c r="L142" i="67"/>
  <c r="M142" i="67" s="1"/>
  <c r="BD141" i="67"/>
  <c r="BE141" i="67" s="1"/>
  <c r="AV141" i="67"/>
  <c r="AW141" i="67" s="1"/>
  <c r="AL141" i="67"/>
  <c r="AM141" i="67" s="1"/>
  <c r="AD141" i="67"/>
  <c r="AE141" i="67" s="1"/>
  <c r="T141" i="67"/>
  <c r="U141" i="67" s="1"/>
  <c r="L141" i="67"/>
  <c r="M141" i="67" s="1"/>
  <c r="BD140" i="67"/>
  <c r="BE140" i="67" s="1"/>
  <c r="AV140" i="67"/>
  <c r="AW140" i="67" s="1"/>
  <c r="AL140" i="67"/>
  <c r="AM140" i="67" s="1"/>
  <c r="AD140" i="67"/>
  <c r="AE140" i="67" s="1"/>
  <c r="U140" i="67"/>
  <c r="T140" i="67"/>
  <c r="L140" i="67"/>
  <c r="M140" i="67" s="1"/>
  <c r="BD139" i="67"/>
  <c r="BE139" i="67" s="1"/>
  <c r="AW139" i="67"/>
  <c r="AV139" i="67"/>
  <c r="AL139" i="67"/>
  <c r="AM139" i="67" s="1"/>
  <c r="AD139" i="67"/>
  <c r="AE139" i="67" s="1"/>
  <c r="U139" i="67"/>
  <c r="T139" i="67"/>
  <c r="M139" i="67"/>
  <c r="L139" i="67"/>
  <c r="BD138" i="67"/>
  <c r="BE138" i="67" s="1"/>
  <c r="AW138" i="67"/>
  <c r="AV138" i="67"/>
  <c r="AM138" i="67"/>
  <c r="AL138" i="67"/>
  <c r="AD138" i="67"/>
  <c r="AE138" i="67" s="1"/>
  <c r="U138" i="67"/>
  <c r="T138" i="67"/>
  <c r="M138" i="67"/>
  <c r="L138" i="67"/>
  <c r="BD137" i="67"/>
  <c r="BE137" i="67" s="1"/>
  <c r="AV137" i="67"/>
  <c r="AW137" i="67" s="1"/>
  <c r="AM137" i="67"/>
  <c r="AL137" i="67"/>
  <c r="AD137" i="67"/>
  <c r="AE137" i="67" s="1"/>
  <c r="T137" i="67"/>
  <c r="U137" i="67" s="1"/>
  <c r="M137" i="67"/>
  <c r="L137" i="67"/>
  <c r="BD136" i="67"/>
  <c r="BE136" i="67" s="1"/>
  <c r="AV136" i="67"/>
  <c r="AW136" i="67" s="1"/>
  <c r="AL136" i="67"/>
  <c r="AM136" i="67" s="1"/>
  <c r="AD136" i="67"/>
  <c r="AE136" i="67" s="1"/>
  <c r="T136" i="67"/>
  <c r="U136" i="67" s="1"/>
  <c r="L136" i="67"/>
  <c r="M136" i="67" s="1"/>
  <c r="BD135" i="67"/>
  <c r="BE135" i="67" s="1"/>
  <c r="AV135" i="67"/>
  <c r="AW135" i="67" s="1"/>
  <c r="AL135" i="67"/>
  <c r="AM135" i="67" s="1"/>
  <c r="AD135" i="67"/>
  <c r="AE135" i="67" s="1"/>
  <c r="T135" i="67"/>
  <c r="U135" i="67" s="1"/>
  <c r="L135" i="67"/>
  <c r="M135" i="67" s="1"/>
  <c r="BD134" i="67"/>
  <c r="BE134" i="67" s="1"/>
  <c r="AV134" i="67"/>
  <c r="AW134" i="67" s="1"/>
  <c r="AL134" i="67"/>
  <c r="AM134" i="67" s="1"/>
  <c r="AD134" i="67"/>
  <c r="AE134" i="67" s="1"/>
  <c r="U134" i="67"/>
  <c r="T134" i="67"/>
  <c r="L134" i="67"/>
  <c r="M134" i="67" s="1"/>
  <c r="BD133" i="67"/>
  <c r="BE133" i="67" s="1"/>
  <c r="AW133" i="67"/>
  <c r="AV133" i="67"/>
  <c r="AL133" i="67"/>
  <c r="AM133" i="67" s="1"/>
  <c r="AD133" i="67"/>
  <c r="AE133" i="67" s="1"/>
  <c r="U133" i="67"/>
  <c r="T133" i="67"/>
  <c r="M133" i="67"/>
  <c r="L133" i="67"/>
  <c r="BD132" i="67"/>
  <c r="BE132" i="67" s="1"/>
  <c r="AW132" i="67"/>
  <c r="AV132" i="67"/>
  <c r="AM132" i="67"/>
  <c r="AL132" i="67"/>
  <c r="AD132" i="67"/>
  <c r="AE132" i="67" s="1"/>
  <c r="U132" i="67"/>
  <c r="T132" i="67"/>
  <c r="M132" i="67"/>
  <c r="L132" i="67"/>
  <c r="BD131" i="67"/>
  <c r="BE131" i="67" s="1"/>
  <c r="AV131" i="67"/>
  <c r="AW131" i="67" s="1"/>
  <c r="AM131" i="67"/>
  <c r="AL131" i="67"/>
  <c r="AD131" i="67"/>
  <c r="AE131" i="67" s="1"/>
  <c r="T131" i="67"/>
  <c r="U131" i="67" s="1"/>
  <c r="M131" i="67"/>
  <c r="L131" i="67"/>
  <c r="BD130" i="67"/>
  <c r="BE130" i="67" s="1"/>
  <c r="AV130" i="67"/>
  <c r="AW130" i="67" s="1"/>
  <c r="AL130" i="67"/>
  <c r="AM130" i="67" s="1"/>
  <c r="AD130" i="67"/>
  <c r="AE130" i="67" s="1"/>
  <c r="T130" i="67"/>
  <c r="U130" i="67" s="1"/>
  <c r="L130" i="67"/>
  <c r="M130" i="67" s="1"/>
  <c r="BD129" i="67"/>
  <c r="BE129" i="67" s="1"/>
  <c r="AV129" i="67"/>
  <c r="AW129" i="67" s="1"/>
  <c r="AL129" i="67"/>
  <c r="AM129" i="67" s="1"/>
  <c r="AD129" i="67"/>
  <c r="AE129" i="67" s="1"/>
  <c r="T129" i="67"/>
  <c r="U129" i="67" s="1"/>
  <c r="L129" i="67"/>
  <c r="M129" i="67" s="1"/>
  <c r="BD128" i="67"/>
  <c r="BE128" i="67" s="1"/>
  <c r="AV128" i="67"/>
  <c r="AW128" i="67" s="1"/>
  <c r="AL128" i="67"/>
  <c r="AM128" i="67" s="1"/>
  <c r="AD128" i="67"/>
  <c r="AE128" i="67" s="1"/>
  <c r="U128" i="67"/>
  <c r="T128" i="67"/>
  <c r="L128" i="67"/>
  <c r="M128" i="67" s="1"/>
  <c r="BD127" i="67"/>
  <c r="BE127" i="67" s="1"/>
  <c r="AW127" i="67"/>
  <c r="AV127" i="67"/>
  <c r="AL127" i="67"/>
  <c r="AM127" i="67" s="1"/>
  <c r="AD127" i="67"/>
  <c r="AE127" i="67" s="1"/>
  <c r="U127" i="67"/>
  <c r="T127" i="67"/>
  <c r="M127" i="67"/>
  <c r="L127" i="67"/>
  <c r="BD126" i="67"/>
  <c r="BE126" i="67" s="1"/>
  <c r="AW126" i="67"/>
  <c r="AV126" i="67"/>
  <c r="AM126" i="67"/>
  <c r="AL126" i="67"/>
  <c r="AD126" i="67"/>
  <c r="AE126" i="67" s="1"/>
  <c r="U126" i="67"/>
  <c r="T126" i="67"/>
  <c r="M126" i="67"/>
  <c r="L126" i="67"/>
  <c r="BD125" i="67"/>
  <c r="BE125" i="67" s="1"/>
  <c r="AV125" i="67"/>
  <c r="AW125" i="67" s="1"/>
  <c r="AM125" i="67"/>
  <c r="AL125" i="67"/>
  <c r="AD125" i="67"/>
  <c r="AE125" i="67" s="1"/>
  <c r="T125" i="67"/>
  <c r="U125" i="67" s="1"/>
  <c r="M125" i="67"/>
  <c r="L125" i="67"/>
  <c r="BD124" i="67"/>
  <c r="BE124" i="67" s="1"/>
  <c r="AV124" i="67"/>
  <c r="AW124" i="67" s="1"/>
  <c r="AL124" i="67"/>
  <c r="AM124" i="67" s="1"/>
  <c r="AD124" i="67"/>
  <c r="AE124" i="67" s="1"/>
  <c r="T124" i="67"/>
  <c r="U124" i="67" s="1"/>
  <c r="L124" i="67"/>
  <c r="M124" i="67" s="1"/>
  <c r="BD123" i="67"/>
  <c r="BE123" i="67" s="1"/>
  <c r="AV123" i="67"/>
  <c r="AW123" i="67" s="1"/>
  <c r="AL123" i="67"/>
  <c r="AM123" i="67" s="1"/>
  <c r="AD123" i="67"/>
  <c r="AE123" i="67" s="1"/>
  <c r="T123" i="67"/>
  <c r="U123" i="67" s="1"/>
  <c r="L123" i="67"/>
  <c r="M123" i="67" s="1"/>
  <c r="BD122" i="67"/>
  <c r="BE122" i="67" s="1"/>
  <c r="AV122" i="67"/>
  <c r="AW122" i="67" s="1"/>
  <c r="AL122" i="67"/>
  <c r="AM122" i="67" s="1"/>
  <c r="AD122" i="67"/>
  <c r="AE122" i="67" s="1"/>
  <c r="U122" i="67"/>
  <c r="T122" i="67"/>
  <c r="L122" i="67"/>
  <c r="M122" i="67" s="1"/>
  <c r="BD121" i="67"/>
  <c r="BE121" i="67" s="1"/>
  <c r="AW121" i="67"/>
  <c r="AV121" i="67"/>
  <c r="AL121" i="67"/>
  <c r="AM121" i="67" s="1"/>
  <c r="AD121" i="67"/>
  <c r="AE121" i="67" s="1"/>
  <c r="U121" i="67"/>
  <c r="T121" i="67"/>
  <c r="M121" i="67"/>
  <c r="L121" i="67"/>
  <c r="BD120" i="67"/>
  <c r="BE120" i="67" s="1"/>
  <c r="AW120" i="67"/>
  <c r="AV120" i="67"/>
  <c r="AM120" i="67"/>
  <c r="AL120" i="67"/>
  <c r="AD120" i="67"/>
  <c r="AE120" i="67" s="1"/>
  <c r="U120" i="67"/>
  <c r="T120" i="67"/>
  <c r="M120" i="67"/>
  <c r="L120" i="67"/>
  <c r="BD119" i="67"/>
  <c r="BE119" i="67" s="1"/>
  <c r="AV119" i="67"/>
  <c r="AW119" i="67" s="1"/>
  <c r="AM119" i="67"/>
  <c r="AL119" i="67"/>
  <c r="AD119" i="67"/>
  <c r="AE119" i="67" s="1"/>
  <c r="T119" i="67"/>
  <c r="U119" i="67" s="1"/>
  <c r="M119" i="67"/>
  <c r="L119" i="67"/>
  <c r="BD118" i="67"/>
  <c r="BE118" i="67" s="1"/>
  <c r="AV118" i="67"/>
  <c r="AW118" i="67" s="1"/>
  <c r="AL118" i="67"/>
  <c r="AM118" i="67" s="1"/>
  <c r="AD118" i="67"/>
  <c r="AE118" i="67" s="1"/>
  <c r="T118" i="67"/>
  <c r="U118" i="67" s="1"/>
  <c r="L118" i="67"/>
  <c r="M118" i="67" s="1"/>
  <c r="BD117" i="67"/>
  <c r="BE117" i="67" s="1"/>
  <c r="AV117" i="67"/>
  <c r="AW117" i="67" s="1"/>
  <c r="AL117" i="67"/>
  <c r="AM117" i="67" s="1"/>
  <c r="AD117" i="67"/>
  <c r="AE117" i="67" s="1"/>
  <c r="T117" i="67"/>
  <c r="U117" i="67" s="1"/>
  <c r="L117" i="67"/>
  <c r="M117" i="67" s="1"/>
  <c r="BD116" i="67"/>
  <c r="BE116" i="67" s="1"/>
  <c r="AV116" i="67"/>
  <c r="AW116" i="67" s="1"/>
  <c r="AL116" i="67"/>
  <c r="AM116" i="67" s="1"/>
  <c r="AD116" i="67"/>
  <c r="AE116" i="67" s="1"/>
  <c r="U116" i="67"/>
  <c r="T116" i="67"/>
  <c r="L116" i="67"/>
  <c r="M116" i="67" s="1"/>
  <c r="BD115" i="67"/>
  <c r="BE115" i="67" s="1"/>
  <c r="AW115" i="67"/>
  <c r="AV115" i="67"/>
  <c r="AL115" i="67"/>
  <c r="AM115" i="67" s="1"/>
  <c r="AD115" i="67"/>
  <c r="AE115" i="67" s="1"/>
  <c r="U115" i="67"/>
  <c r="T115" i="67"/>
  <c r="M115" i="67"/>
  <c r="L115" i="67"/>
  <c r="BD114" i="67"/>
  <c r="BE114" i="67" s="1"/>
  <c r="AW114" i="67"/>
  <c r="AV114" i="67"/>
  <c r="AM114" i="67"/>
  <c r="AL114" i="67"/>
  <c r="AD114" i="67"/>
  <c r="AE114" i="67" s="1"/>
  <c r="U114" i="67"/>
  <c r="T114" i="67"/>
  <c r="M114" i="67"/>
  <c r="L114" i="67"/>
  <c r="BD113" i="67"/>
  <c r="BE113" i="67" s="1"/>
  <c r="AV113" i="67"/>
  <c r="AW113" i="67" s="1"/>
  <c r="AM113" i="67"/>
  <c r="AL113" i="67"/>
  <c r="AD113" i="67"/>
  <c r="AE113" i="67" s="1"/>
  <c r="T113" i="67"/>
  <c r="U113" i="67" s="1"/>
  <c r="M113" i="67"/>
  <c r="L113" i="67"/>
  <c r="BD112" i="67"/>
  <c r="BE112" i="67" s="1"/>
  <c r="AV112" i="67"/>
  <c r="AW112" i="67" s="1"/>
  <c r="AL112" i="67"/>
  <c r="AM112" i="67" s="1"/>
  <c r="AD112" i="67"/>
  <c r="AE112" i="67" s="1"/>
  <c r="T112" i="67"/>
  <c r="U112" i="67" s="1"/>
  <c r="L112" i="67"/>
  <c r="M112" i="67" s="1"/>
  <c r="BD111" i="67"/>
  <c r="BE111" i="67" s="1"/>
  <c r="AV111" i="67"/>
  <c r="AW111" i="67" s="1"/>
  <c r="AL111" i="67"/>
  <c r="AM111" i="67" s="1"/>
  <c r="AD111" i="67"/>
  <c r="AE111" i="67" s="1"/>
  <c r="T111" i="67"/>
  <c r="U111" i="67" s="1"/>
  <c r="L111" i="67"/>
  <c r="M111" i="67" s="1"/>
  <c r="BD110" i="67"/>
  <c r="BE110" i="67" s="1"/>
  <c r="AV110" i="67"/>
  <c r="AW110" i="67" s="1"/>
  <c r="AL110" i="67"/>
  <c r="AM110" i="67" s="1"/>
  <c r="AD110" i="67"/>
  <c r="AE110" i="67" s="1"/>
  <c r="U110" i="67"/>
  <c r="T110" i="67"/>
  <c r="L110" i="67"/>
  <c r="M110" i="67" s="1"/>
  <c r="BD109" i="67"/>
  <c r="BE109" i="67" s="1"/>
  <c r="AW109" i="67"/>
  <c r="AV109" i="67"/>
  <c r="AL109" i="67"/>
  <c r="AM109" i="67" s="1"/>
  <c r="AD109" i="67"/>
  <c r="AE109" i="67" s="1"/>
  <c r="U109" i="67"/>
  <c r="T109" i="67"/>
  <c r="M109" i="67"/>
  <c r="L109" i="67"/>
  <c r="BD108" i="67"/>
  <c r="BE108" i="67" s="1"/>
  <c r="AW108" i="67"/>
  <c r="AV108" i="67"/>
  <c r="AM108" i="67"/>
  <c r="AL108" i="67"/>
  <c r="AD108" i="67"/>
  <c r="AE108" i="67" s="1"/>
  <c r="U108" i="67"/>
  <c r="T108" i="67"/>
  <c r="M108" i="67"/>
  <c r="L108" i="67"/>
  <c r="BD107" i="67"/>
  <c r="BE107" i="67" s="1"/>
  <c r="AV107" i="67"/>
  <c r="AW107" i="67" s="1"/>
  <c r="AM107" i="67"/>
  <c r="AL107" i="67"/>
  <c r="AD107" i="67"/>
  <c r="AE107" i="67" s="1"/>
  <c r="T107" i="67"/>
  <c r="U107" i="67" s="1"/>
  <c r="M107" i="67"/>
  <c r="L107" i="67"/>
  <c r="BD106" i="67"/>
  <c r="BE106" i="67" s="1"/>
  <c r="AV106" i="67"/>
  <c r="AW106" i="67" s="1"/>
  <c r="AL106" i="67"/>
  <c r="AM106" i="67" s="1"/>
  <c r="AD106" i="67"/>
  <c r="AE106" i="67" s="1"/>
  <c r="T106" i="67"/>
  <c r="U106" i="67" s="1"/>
  <c r="L106" i="67"/>
  <c r="M106" i="67" s="1"/>
  <c r="BD105" i="67"/>
  <c r="BE105" i="67" s="1"/>
  <c r="AV105" i="67"/>
  <c r="AW105" i="67" s="1"/>
  <c r="AL105" i="67"/>
  <c r="AM105" i="67" s="1"/>
  <c r="AD105" i="67"/>
  <c r="AE105" i="67" s="1"/>
  <c r="T105" i="67"/>
  <c r="U105" i="67" s="1"/>
  <c r="L105" i="67"/>
  <c r="M105" i="67" s="1"/>
  <c r="BD104" i="67"/>
  <c r="BE104" i="67" s="1"/>
  <c r="AV104" i="67"/>
  <c r="AW104" i="67" s="1"/>
  <c r="AL104" i="67"/>
  <c r="AM104" i="67" s="1"/>
  <c r="AD104" i="67"/>
  <c r="AE104" i="67" s="1"/>
  <c r="U104" i="67"/>
  <c r="T104" i="67"/>
  <c r="L104" i="67"/>
  <c r="M104" i="67" s="1"/>
  <c r="BD103" i="67"/>
  <c r="BE103" i="67" s="1"/>
  <c r="AV103" i="67"/>
  <c r="AW103" i="67" s="1"/>
  <c r="AM103" i="67"/>
  <c r="AL103" i="67"/>
  <c r="AE103" i="67"/>
  <c r="AD103" i="67"/>
  <c r="U103" i="67"/>
  <c r="T103" i="67"/>
  <c r="L103" i="67"/>
  <c r="M103" i="67" s="1"/>
  <c r="BD102" i="67"/>
  <c r="BE102" i="67" s="1"/>
  <c r="AV102" i="67"/>
  <c r="AW102" i="67" s="1"/>
  <c r="AM102" i="67"/>
  <c r="AL102" i="67"/>
  <c r="AE102" i="67"/>
  <c r="AD102" i="67"/>
  <c r="U102" i="67"/>
  <c r="T102" i="67"/>
  <c r="L102" i="67"/>
  <c r="M102" i="67" s="1"/>
  <c r="BD101" i="67"/>
  <c r="BE101" i="67" s="1"/>
  <c r="AV101" i="67"/>
  <c r="AW101" i="67" s="1"/>
  <c r="AM101" i="67"/>
  <c r="AL101" i="67"/>
  <c r="AE101" i="67"/>
  <c r="AD101" i="67"/>
  <c r="U101" i="67"/>
  <c r="T101" i="67"/>
  <c r="L101" i="67"/>
  <c r="M101" i="67" s="1"/>
  <c r="BD100" i="67"/>
  <c r="BE100" i="67" s="1"/>
  <c r="AV100" i="67"/>
  <c r="AW100" i="67" s="1"/>
  <c r="AM100" i="67"/>
  <c r="AL100" i="67"/>
  <c r="AE100" i="67"/>
  <c r="AD100" i="67"/>
  <c r="U100" i="67"/>
  <c r="T100" i="67"/>
  <c r="L100" i="67"/>
  <c r="M100" i="67" s="1"/>
  <c r="BD99" i="67"/>
  <c r="BE99" i="67" s="1"/>
  <c r="AV99" i="67"/>
  <c r="AW99" i="67" s="1"/>
  <c r="AM99" i="67"/>
  <c r="AL99" i="67"/>
  <c r="AE99" i="67"/>
  <c r="AD99" i="67"/>
  <c r="U99" i="67"/>
  <c r="T99" i="67"/>
  <c r="L99" i="67"/>
  <c r="M99" i="67" s="1"/>
  <c r="BD98" i="67"/>
  <c r="BE98" i="67" s="1"/>
  <c r="AV98" i="67"/>
  <c r="AW98" i="67" s="1"/>
  <c r="AM98" i="67"/>
  <c r="AL98" i="67"/>
  <c r="AE98" i="67"/>
  <c r="AD98" i="67"/>
  <c r="U98" i="67"/>
  <c r="T98" i="67"/>
  <c r="L98" i="67"/>
  <c r="M98" i="67" s="1"/>
  <c r="BD97" i="67"/>
  <c r="BE97" i="67" s="1"/>
  <c r="AV97" i="67"/>
  <c r="AW97" i="67" s="1"/>
  <c r="AM97" i="67"/>
  <c r="AL97" i="67"/>
  <c r="AE97" i="67"/>
  <c r="AD97" i="67"/>
  <c r="U97" i="67"/>
  <c r="T97" i="67"/>
  <c r="L97" i="67"/>
  <c r="M97" i="67" s="1"/>
  <c r="BD96" i="67"/>
  <c r="BE96" i="67" s="1"/>
  <c r="AV96" i="67"/>
  <c r="AW96" i="67" s="1"/>
  <c r="AM96" i="67"/>
  <c r="AL96" i="67"/>
  <c r="AE96" i="67"/>
  <c r="AD96" i="67"/>
  <c r="U96" i="67"/>
  <c r="T96" i="67"/>
  <c r="L96" i="67"/>
  <c r="M96" i="67" s="1"/>
  <c r="BD95" i="67"/>
  <c r="BE95" i="67" s="1"/>
  <c r="AV95" i="67"/>
  <c r="AW95" i="67" s="1"/>
  <c r="AM95" i="67"/>
  <c r="AL95" i="67"/>
  <c r="AE95" i="67"/>
  <c r="AD95" i="67"/>
  <c r="U95" i="67"/>
  <c r="T95" i="67"/>
  <c r="L95" i="67"/>
  <c r="M95" i="67" s="1"/>
  <c r="BD94" i="67"/>
  <c r="BE94" i="67" s="1"/>
  <c r="AV94" i="67"/>
  <c r="AW94" i="67" s="1"/>
  <c r="AM94" i="67"/>
  <c r="AL94" i="67"/>
  <c r="AE94" i="67"/>
  <c r="AD94" i="67"/>
  <c r="U94" i="67"/>
  <c r="T94" i="67"/>
  <c r="L94" i="67"/>
  <c r="M94" i="67" s="1"/>
  <c r="BD93" i="67"/>
  <c r="BE93" i="67" s="1"/>
  <c r="AV93" i="67"/>
  <c r="AW93" i="67" s="1"/>
  <c r="AM93" i="67"/>
  <c r="AL93" i="67"/>
  <c r="AE93" i="67"/>
  <c r="AD93" i="67"/>
  <c r="U93" i="67"/>
  <c r="T93" i="67"/>
  <c r="L93" i="67"/>
  <c r="M93" i="67" s="1"/>
  <c r="BD92" i="67"/>
  <c r="BE92" i="67" s="1"/>
  <c r="AV92" i="67"/>
  <c r="AW92" i="67" s="1"/>
  <c r="AM92" i="67"/>
  <c r="AL92" i="67"/>
  <c r="AE92" i="67"/>
  <c r="AD92" i="67"/>
  <c r="U92" i="67"/>
  <c r="T92" i="67"/>
  <c r="L92" i="67"/>
  <c r="M92" i="67" s="1"/>
  <c r="BD91" i="67"/>
  <c r="BE91" i="67" s="1"/>
  <c r="AV91" i="67"/>
  <c r="AW91" i="67" s="1"/>
  <c r="AM91" i="67"/>
  <c r="AL91" i="67"/>
  <c r="AE91" i="67"/>
  <c r="AD91" i="67"/>
  <c r="U91" i="67"/>
  <c r="T91" i="67"/>
  <c r="L91" i="67"/>
  <c r="M91" i="67" s="1"/>
  <c r="BD90" i="67"/>
  <c r="BE90" i="67" s="1"/>
  <c r="AV90" i="67"/>
  <c r="AW90" i="67" s="1"/>
  <c r="AM90" i="67"/>
  <c r="AL90" i="67"/>
  <c r="AE90" i="67"/>
  <c r="AD90" i="67"/>
  <c r="U90" i="67"/>
  <c r="T90" i="67"/>
  <c r="L90" i="67"/>
  <c r="M90" i="67" s="1"/>
  <c r="BD89" i="67"/>
  <c r="BE89" i="67" s="1"/>
  <c r="AV89" i="67"/>
  <c r="AW89" i="67" s="1"/>
  <c r="AM89" i="67"/>
  <c r="AL89" i="67"/>
  <c r="AE89" i="67"/>
  <c r="AD89" i="67"/>
  <c r="U89" i="67"/>
  <c r="T89" i="67"/>
  <c r="L89" i="67"/>
  <c r="M89" i="67" s="1"/>
  <c r="BD88" i="67"/>
  <c r="BE88" i="67" s="1"/>
  <c r="AV88" i="67"/>
  <c r="AW88" i="67" s="1"/>
  <c r="AM88" i="67"/>
  <c r="AL88" i="67"/>
  <c r="AE88" i="67"/>
  <c r="AD88" i="67"/>
  <c r="U88" i="67"/>
  <c r="T88" i="67"/>
  <c r="L88" i="67"/>
  <c r="M88" i="67" s="1"/>
  <c r="BD87" i="67"/>
  <c r="BE87" i="67" s="1"/>
  <c r="AV87" i="67"/>
  <c r="AW87" i="67" s="1"/>
  <c r="AM87" i="67"/>
  <c r="AL87" i="67"/>
  <c r="AE87" i="67"/>
  <c r="AD87" i="67"/>
  <c r="U87" i="67"/>
  <c r="T87" i="67"/>
  <c r="L87" i="67"/>
  <c r="M87" i="67" s="1"/>
  <c r="BD86" i="67"/>
  <c r="BE86" i="67" s="1"/>
  <c r="AV86" i="67"/>
  <c r="AW86" i="67" s="1"/>
  <c r="AM86" i="67"/>
  <c r="AL86" i="67"/>
  <c r="AE86" i="67"/>
  <c r="AD86" i="67"/>
  <c r="U86" i="67"/>
  <c r="T86" i="67"/>
  <c r="L86" i="67"/>
  <c r="M86" i="67" s="1"/>
  <c r="BD85" i="67"/>
  <c r="BE85" i="67" s="1"/>
  <c r="AV85" i="67"/>
  <c r="AW85" i="67" s="1"/>
  <c r="AM85" i="67"/>
  <c r="AL85" i="67"/>
  <c r="AE85" i="67"/>
  <c r="AD85" i="67"/>
  <c r="U85" i="67"/>
  <c r="T85" i="67"/>
  <c r="L85" i="67"/>
  <c r="M85" i="67" s="1"/>
  <c r="BD84" i="67"/>
  <c r="BE84" i="67" s="1"/>
  <c r="AV84" i="67"/>
  <c r="AW84" i="67" s="1"/>
  <c r="AM84" i="67"/>
  <c r="AL84" i="67"/>
  <c r="AE84" i="67"/>
  <c r="AD84" i="67"/>
  <c r="U84" i="67"/>
  <c r="T84" i="67"/>
  <c r="L84" i="67"/>
  <c r="M84" i="67" s="1"/>
  <c r="BD83" i="67"/>
  <c r="BE83" i="67" s="1"/>
  <c r="AV83" i="67"/>
  <c r="AW83" i="67" s="1"/>
  <c r="AM83" i="67"/>
  <c r="AL83" i="67"/>
  <c r="AE83" i="67"/>
  <c r="AD83" i="67"/>
  <c r="U83" i="67"/>
  <c r="T83" i="67"/>
  <c r="L83" i="67"/>
  <c r="M83" i="67" s="1"/>
  <c r="BD82" i="67"/>
  <c r="BE82" i="67" s="1"/>
  <c r="AV82" i="67"/>
  <c r="AW82" i="67" s="1"/>
  <c r="AM82" i="67"/>
  <c r="AL82" i="67"/>
  <c r="AE82" i="67"/>
  <c r="AD82" i="67"/>
  <c r="U82" i="67"/>
  <c r="T82" i="67"/>
  <c r="L82" i="67"/>
  <c r="M82" i="67" s="1"/>
  <c r="BD81" i="67"/>
  <c r="BE81" i="67" s="1"/>
  <c r="AV81" i="67"/>
  <c r="AW81" i="67" s="1"/>
  <c r="AM81" i="67"/>
  <c r="AL81" i="67"/>
  <c r="AE81" i="67"/>
  <c r="AD81" i="67"/>
  <c r="U81" i="67"/>
  <c r="T81" i="67"/>
  <c r="L81" i="67"/>
  <c r="M81" i="67" s="1"/>
  <c r="BD80" i="67"/>
  <c r="BE80" i="67" s="1"/>
  <c r="AV80" i="67"/>
  <c r="AW80" i="67" s="1"/>
  <c r="AM80" i="67"/>
  <c r="AL80" i="67"/>
  <c r="AE80" i="67"/>
  <c r="AD80" i="67"/>
  <c r="U80" i="67"/>
  <c r="T80" i="67"/>
  <c r="L80" i="67"/>
  <c r="M80" i="67" s="1"/>
  <c r="BD79" i="67"/>
  <c r="BE79" i="67" s="1"/>
  <c r="AV79" i="67"/>
  <c r="AW79" i="67" s="1"/>
  <c r="AM79" i="67"/>
  <c r="AL79" i="67"/>
  <c r="AE79" i="67"/>
  <c r="AD79" i="67"/>
  <c r="U79" i="67"/>
  <c r="T79" i="67"/>
  <c r="L79" i="67"/>
  <c r="M79" i="67" s="1"/>
  <c r="BD78" i="67"/>
  <c r="BE78" i="67" s="1"/>
  <c r="AV78" i="67"/>
  <c r="AW78" i="67" s="1"/>
  <c r="AM78" i="67"/>
  <c r="AL78" i="67"/>
  <c r="AE78" i="67"/>
  <c r="AD78" i="67"/>
  <c r="U78" i="67"/>
  <c r="T78" i="67"/>
  <c r="L78" i="67"/>
  <c r="M78" i="67" s="1"/>
  <c r="BD77" i="67"/>
  <c r="BE77" i="67" s="1"/>
  <c r="AV77" i="67"/>
  <c r="AW77" i="67" s="1"/>
  <c r="AM77" i="67"/>
  <c r="AL77" i="67"/>
  <c r="AE77" i="67"/>
  <c r="AD77" i="67"/>
  <c r="U77" i="67"/>
  <c r="T77" i="67"/>
  <c r="L77" i="67"/>
  <c r="M77" i="67" s="1"/>
  <c r="BD76" i="67"/>
  <c r="BE76" i="67" s="1"/>
  <c r="AV76" i="67"/>
  <c r="AW76" i="67" s="1"/>
  <c r="AM76" i="67"/>
  <c r="AL76" i="67"/>
  <c r="AE76" i="67"/>
  <c r="AD76" i="67"/>
  <c r="U76" i="67"/>
  <c r="T76" i="67"/>
  <c r="L76" i="67"/>
  <c r="M76" i="67" s="1"/>
  <c r="BD75" i="67"/>
  <c r="BE75" i="67" s="1"/>
  <c r="AV75" i="67"/>
  <c r="AW75" i="67" s="1"/>
  <c r="AM75" i="67"/>
  <c r="AL75" i="67"/>
  <c r="AE75" i="67"/>
  <c r="AD75" i="67"/>
  <c r="U75" i="67"/>
  <c r="T75" i="67"/>
  <c r="L75" i="67"/>
  <c r="M75" i="67" s="1"/>
  <c r="BD74" i="67"/>
  <c r="BE74" i="67" s="1"/>
  <c r="AV74" i="67"/>
  <c r="AW74" i="67" s="1"/>
  <c r="AM74" i="67"/>
  <c r="AL74" i="67"/>
  <c r="AE74" i="67"/>
  <c r="AD74" i="67"/>
  <c r="U74" i="67"/>
  <c r="T74" i="67"/>
  <c r="L74" i="67"/>
  <c r="M74" i="67" s="1"/>
  <c r="BD73" i="67"/>
  <c r="BE73" i="67" s="1"/>
  <c r="AV73" i="67"/>
  <c r="AW73" i="67" s="1"/>
  <c r="AM73" i="67"/>
  <c r="AL73" i="67"/>
  <c r="AE73" i="67"/>
  <c r="AD73" i="67"/>
  <c r="U73" i="67"/>
  <c r="T73" i="67"/>
  <c r="L73" i="67"/>
  <c r="M73" i="67" s="1"/>
  <c r="BD72" i="67"/>
  <c r="BE72" i="67" s="1"/>
  <c r="AV72" i="67"/>
  <c r="AW72" i="67" s="1"/>
  <c r="AM72" i="67"/>
  <c r="AL72" i="67"/>
  <c r="AE72" i="67"/>
  <c r="AD72" i="67"/>
  <c r="U72" i="67"/>
  <c r="T72" i="67"/>
  <c r="L72" i="67"/>
  <c r="M72" i="67" s="1"/>
  <c r="BD71" i="67"/>
  <c r="BE71" i="67" s="1"/>
  <c r="AV71" i="67"/>
  <c r="AW71" i="67" s="1"/>
  <c r="AM71" i="67"/>
  <c r="AL71" i="67"/>
  <c r="AE71" i="67"/>
  <c r="AD71" i="67"/>
  <c r="U71" i="67"/>
  <c r="T71" i="67"/>
  <c r="L71" i="67"/>
  <c r="M71" i="67" s="1"/>
  <c r="BD70" i="67"/>
  <c r="BE70" i="67" s="1"/>
  <c r="AV70" i="67"/>
  <c r="AW70" i="67" s="1"/>
  <c r="AM70" i="67"/>
  <c r="AL70" i="67"/>
  <c r="AE70" i="67"/>
  <c r="AD70" i="67"/>
  <c r="U70" i="67"/>
  <c r="T70" i="67"/>
  <c r="L70" i="67"/>
  <c r="M70" i="67" s="1"/>
  <c r="BD69" i="67"/>
  <c r="BE69" i="67" s="1"/>
  <c r="AV69" i="67"/>
  <c r="AW69" i="67" s="1"/>
  <c r="AM69" i="67"/>
  <c r="AL69" i="67"/>
  <c r="AE69" i="67"/>
  <c r="AD69" i="67"/>
  <c r="U69" i="67"/>
  <c r="T69" i="67"/>
  <c r="L69" i="67"/>
  <c r="M69" i="67" s="1"/>
  <c r="BD68" i="67"/>
  <c r="BE68" i="67" s="1"/>
  <c r="AV68" i="67"/>
  <c r="AW68" i="67" s="1"/>
  <c r="AM68" i="67"/>
  <c r="AL68" i="67"/>
  <c r="AE68" i="67"/>
  <c r="AD68" i="67"/>
  <c r="U68" i="67"/>
  <c r="T68" i="67"/>
  <c r="L68" i="67"/>
  <c r="M68" i="67" s="1"/>
  <c r="BD67" i="67"/>
  <c r="BE67" i="67" s="1"/>
  <c r="AV67" i="67"/>
  <c r="AW67" i="67" s="1"/>
  <c r="AM67" i="67"/>
  <c r="AL67" i="67"/>
  <c r="AE67" i="67"/>
  <c r="AD67" i="67"/>
  <c r="U67" i="67"/>
  <c r="T67" i="67"/>
  <c r="L67" i="67"/>
  <c r="M67" i="67" s="1"/>
  <c r="BD66" i="67"/>
  <c r="BE66" i="67" s="1"/>
  <c r="AV66" i="67"/>
  <c r="AW66" i="67" s="1"/>
  <c r="AM66" i="67"/>
  <c r="AL66" i="67"/>
  <c r="AE66" i="67"/>
  <c r="AD66" i="67"/>
  <c r="U66" i="67"/>
  <c r="T66" i="67"/>
  <c r="L66" i="67"/>
  <c r="M66" i="67" s="1"/>
  <c r="BD65" i="67"/>
  <c r="BE65" i="67" s="1"/>
  <c r="AV65" i="67"/>
  <c r="AW65" i="67" s="1"/>
  <c r="AL65" i="67"/>
  <c r="AM65" i="67" s="1"/>
  <c r="AE65" i="67"/>
  <c r="AD65" i="67"/>
  <c r="U65" i="67"/>
  <c r="T65" i="67"/>
  <c r="L65" i="67"/>
  <c r="M65" i="67" s="1"/>
  <c r="BD64" i="67"/>
  <c r="BE64" i="67" s="1"/>
  <c r="AV64" i="67"/>
  <c r="AW64" i="67" s="1"/>
  <c r="AL64" i="67"/>
  <c r="AM64" i="67" s="1"/>
  <c r="AE64" i="67"/>
  <c r="AD64" i="67"/>
  <c r="U64" i="67"/>
  <c r="T64" i="67"/>
  <c r="L64" i="67"/>
  <c r="M64" i="67" s="1"/>
  <c r="BD63" i="67"/>
  <c r="BE63" i="67" s="1"/>
  <c r="AV63" i="67"/>
  <c r="AW63" i="67" s="1"/>
  <c r="AL63" i="67"/>
  <c r="AM63" i="67" s="1"/>
  <c r="AE63" i="67"/>
  <c r="AD63" i="67"/>
  <c r="U63" i="67"/>
  <c r="T63" i="67"/>
  <c r="L63" i="67"/>
  <c r="M63" i="67" s="1"/>
  <c r="BD62" i="67"/>
  <c r="BE62" i="67" s="1"/>
  <c r="AV62" i="67"/>
  <c r="AW62" i="67" s="1"/>
  <c r="AL62" i="67"/>
  <c r="AM62" i="67" s="1"/>
  <c r="AE62" i="67"/>
  <c r="AD62" i="67"/>
  <c r="U62" i="67"/>
  <c r="T62" i="67"/>
  <c r="L62" i="67"/>
  <c r="M62" i="67" s="1"/>
  <c r="BD61" i="67"/>
  <c r="BE61" i="67" s="1"/>
  <c r="AV61" i="67"/>
  <c r="AW61" i="67" s="1"/>
  <c r="AL61" i="67"/>
  <c r="AM61" i="67" s="1"/>
  <c r="AE61" i="67"/>
  <c r="AD61" i="67"/>
  <c r="U61" i="67"/>
  <c r="T61" i="67"/>
  <c r="L61" i="67"/>
  <c r="M61" i="67" s="1"/>
  <c r="BD60" i="67"/>
  <c r="BE60" i="67" s="1"/>
  <c r="AV60" i="67"/>
  <c r="AW60" i="67" s="1"/>
  <c r="AL60" i="67"/>
  <c r="AM60" i="67" s="1"/>
  <c r="AE60" i="67"/>
  <c r="AD60" i="67"/>
  <c r="U60" i="67"/>
  <c r="T60" i="67"/>
  <c r="L60" i="67"/>
  <c r="M60" i="67" s="1"/>
  <c r="BD59" i="67"/>
  <c r="BE59" i="67" s="1"/>
  <c r="AV59" i="67"/>
  <c r="AW59" i="67" s="1"/>
  <c r="AL59" i="67"/>
  <c r="AM59" i="67" s="1"/>
  <c r="AE59" i="67"/>
  <c r="AD59" i="67"/>
  <c r="U59" i="67"/>
  <c r="T59" i="67"/>
  <c r="L59" i="67"/>
  <c r="M59" i="67" s="1"/>
  <c r="BD58" i="67"/>
  <c r="BE58" i="67" s="1"/>
  <c r="AV58" i="67"/>
  <c r="AW58" i="67" s="1"/>
  <c r="AL58" i="67"/>
  <c r="AM58" i="67" s="1"/>
  <c r="AE58" i="67"/>
  <c r="AD58" i="67"/>
  <c r="U58" i="67"/>
  <c r="T58" i="67"/>
  <c r="L58" i="67"/>
  <c r="M58" i="67" s="1"/>
  <c r="BD57" i="67"/>
  <c r="BE57" i="67" s="1"/>
  <c r="AV57" i="67"/>
  <c r="AW57" i="67" s="1"/>
  <c r="AL57" i="67"/>
  <c r="AM57" i="67" s="1"/>
  <c r="AE57" i="67"/>
  <c r="AD57" i="67"/>
  <c r="U57" i="67"/>
  <c r="T57" i="67"/>
  <c r="L57" i="67"/>
  <c r="M57" i="67" s="1"/>
  <c r="BD56" i="67"/>
  <c r="BE56" i="67" s="1"/>
  <c r="AV56" i="67"/>
  <c r="AW56" i="67" s="1"/>
  <c r="AL56" i="67"/>
  <c r="AM56" i="67" s="1"/>
  <c r="AE56" i="67"/>
  <c r="AD56" i="67"/>
  <c r="U56" i="67"/>
  <c r="T56" i="67"/>
  <c r="L56" i="67"/>
  <c r="M56" i="67" s="1"/>
  <c r="BD55" i="67"/>
  <c r="BE55" i="67" s="1"/>
  <c r="AV55" i="67"/>
  <c r="AW55" i="67" s="1"/>
  <c r="AL55" i="67"/>
  <c r="AM55" i="67" s="1"/>
  <c r="AE55" i="67"/>
  <c r="AD55" i="67"/>
  <c r="U55" i="67"/>
  <c r="T55" i="67"/>
  <c r="L55" i="67"/>
  <c r="M55" i="67" s="1"/>
  <c r="BD54" i="67"/>
  <c r="BE54" i="67" s="1"/>
  <c r="AV54" i="67"/>
  <c r="AW54" i="67" s="1"/>
  <c r="AM54" i="67"/>
  <c r="AL54" i="67"/>
  <c r="AE54" i="67"/>
  <c r="AD54" i="67"/>
  <c r="U54" i="67"/>
  <c r="T54" i="67"/>
  <c r="M54" i="67"/>
  <c r="L54" i="67"/>
  <c r="BD53" i="67"/>
  <c r="BE53" i="67" s="1"/>
  <c r="AV53" i="67"/>
  <c r="AW53" i="67" s="1"/>
  <c r="AM53" i="67"/>
  <c r="AL53" i="67"/>
  <c r="AE53" i="67"/>
  <c r="AD53" i="67"/>
  <c r="U53" i="67"/>
  <c r="T53" i="67"/>
  <c r="M53" i="67"/>
  <c r="L53" i="67"/>
  <c r="BD52" i="67"/>
  <c r="BE52" i="67" s="1"/>
  <c r="AV52" i="67"/>
  <c r="AW52" i="67" s="1"/>
  <c r="AL52" i="67"/>
  <c r="AM52" i="67" s="1"/>
  <c r="AE52" i="67"/>
  <c r="AD52" i="67"/>
  <c r="U52" i="67"/>
  <c r="T52" i="67"/>
  <c r="L52" i="67"/>
  <c r="M52" i="67" s="1"/>
  <c r="BD51" i="67"/>
  <c r="BE51" i="67" s="1"/>
  <c r="AV51" i="67"/>
  <c r="AW51" i="67" s="1"/>
  <c r="AM51" i="67"/>
  <c r="AL51" i="67"/>
  <c r="AE51" i="67"/>
  <c r="AD51" i="67"/>
  <c r="U51" i="67"/>
  <c r="T51" i="67"/>
  <c r="M51" i="67"/>
  <c r="L51" i="67"/>
  <c r="BD50" i="67"/>
  <c r="BE50" i="67" s="1"/>
  <c r="AV50" i="67"/>
  <c r="AW50" i="67" s="1"/>
  <c r="AM50" i="67"/>
  <c r="AL50" i="67"/>
  <c r="AE50" i="67"/>
  <c r="AD50" i="67"/>
  <c r="U50" i="67"/>
  <c r="T50" i="67"/>
  <c r="M50" i="67"/>
  <c r="L50" i="67"/>
  <c r="BD49" i="67"/>
  <c r="BE49" i="67" s="1"/>
  <c r="AV49" i="67"/>
  <c r="AW49" i="67" s="1"/>
  <c r="AL49" i="67"/>
  <c r="AM49" i="67" s="1"/>
  <c r="AE49" i="67"/>
  <c r="AD49" i="67"/>
  <c r="U49" i="67"/>
  <c r="T49" i="67"/>
  <c r="L49" i="67"/>
  <c r="M49" i="67" s="1"/>
  <c r="BD48" i="67"/>
  <c r="BE48" i="67" s="1"/>
  <c r="AV48" i="67"/>
  <c r="AW48" i="67" s="1"/>
  <c r="AM48" i="67"/>
  <c r="AL48" i="67"/>
  <c r="AE48" i="67"/>
  <c r="AD48" i="67"/>
  <c r="U48" i="67"/>
  <c r="T48" i="67"/>
  <c r="M48" i="67"/>
  <c r="L48" i="67"/>
  <c r="BD47" i="67"/>
  <c r="BE47" i="67" s="1"/>
  <c r="AV47" i="67"/>
  <c r="AW47" i="67" s="1"/>
  <c r="AL47" i="67"/>
  <c r="AM47" i="67" s="1"/>
  <c r="AE47" i="67"/>
  <c r="AD47" i="67"/>
  <c r="U47" i="67"/>
  <c r="T47" i="67"/>
  <c r="L47" i="67"/>
  <c r="M47" i="67" s="1"/>
  <c r="BE46" i="67"/>
  <c r="BD46" i="67"/>
  <c r="AV46" i="67"/>
  <c r="AW46" i="67" s="1"/>
  <c r="AM46" i="67"/>
  <c r="AL46" i="67"/>
  <c r="AE46" i="67"/>
  <c r="AD46" i="67"/>
  <c r="U46" i="67"/>
  <c r="T46" i="67"/>
  <c r="M46" i="67"/>
  <c r="L46" i="67"/>
  <c r="BE45" i="67"/>
  <c r="BD45" i="67"/>
  <c r="AV45" i="67"/>
  <c r="AW45" i="67" s="1"/>
  <c r="AM45" i="67"/>
  <c r="AL45" i="67"/>
  <c r="AE45" i="67"/>
  <c r="AD45" i="67"/>
  <c r="U45" i="67"/>
  <c r="T45" i="67"/>
  <c r="L45" i="67"/>
  <c r="M45" i="67" s="1"/>
  <c r="BD44" i="67"/>
  <c r="BE44" i="67" s="1"/>
  <c r="AV44" i="67"/>
  <c r="AW44" i="67" s="1"/>
  <c r="AL44" i="67"/>
  <c r="AM44" i="67" s="1"/>
  <c r="AE44" i="67"/>
  <c r="AD44" i="67"/>
  <c r="U44" i="67"/>
  <c r="T44" i="67"/>
  <c r="L44" i="67"/>
  <c r="M44" i="67" s="1"/>
  <c r="BE43" i="67"/>
  <c r="BD43" i="67"/>
  <c r="AV43" i="67"/>
  <c r="AW43" i="67" s="1"/>
  <c r="AM43" i="67"/>
  <c r="AL43" i="67"/>
  <c r="AE43" i="67"/>
  <c r="AD43" i="67"/>
  <c r="U43" i="67"/>
  <c r="T43" i="67"/>
  <c r="L43" i="67"/>
  <c r="M43" i="67" s="1"/>
  <c r="BD42" i="67"/>
  <c r="BE42" i="67" s="1"/>
  <c r="AV42" i="67"/>
  <c r="AW42" i="67" s="1"/>
  <c r="AM42" i="67"/>
  <c r="AL42" i="67"/>
  <c r="AE42" i="67"/>
  <c r="AD42" i="67"/>
  <c r="U42" i="67"/>
  <c r="T42" i="67"/>
  <c r="M42" i="67"/>
  <c r="L42" i="67"/>
  <c r="BD41" i="67"/>
  <c r="BE41" i="67" s="1"/>
  <c r="AV41" i="67"/>
  <c r="AW41" i="67" s="1"/>
  <c r="AL41" i="67"/>
  <c r="AM41" i="67" s="1"/>
  <c r="AE41" i="67"/>
  <c r="AD41" i="67"/>
  <c r="U41" i="67"/>
  <c r="T41" i="67"/>
  <c r="L41" i="67"/>
  <c r="M41" i="67" s="1"/>
  <c r="BD40" i="67"/>
  <c r="BE40" i="67" s="1"/>
  <c r="AV40" i="67"/>
  <c r="AW40" i="67" s="1"/>
  <c r="AM40" i="67"/>
  <c r="AL40" i="67"/>
  <c r="AE40" i="67"/>
  <c r="AD40" i="67"/>
  <c r="U40" i="67"/>
  <c r="T40" i="67"/>
  <c r="M40" i="67"/>
  <c r="L40" i="67"/>
  <c r="BE39" i="67"/>
  <c r="BD39" i="67"/>
  <c r="AV39" i="67"/>
  <c r="AW39" i="67" s="1"/>
  <c r="AL39" i="67"/>
  <c r="AM39" i="67" s="1"/>
  <c r="AE39" i="67"/>
  <c r="AD39" i="67"/>
  <c r="U39" i="67"/>
  <c r="T39" i="67"/>
  <c r="M39" i="67"/>
  <c r="L39" i="67"/>
  <c r="BD38" i="67"/>
  <c r="BE38" i="67" s="1"/>
  <c r="AV38" i="67"/>
  <c r="AW38" i="67" s="1"/>
  <c r="AL38" i="67"/>
  <c r="AM38" i="67" s="1"/>
  <c r="AE38" i="67"/>
  <c r="AD38" i="67"/>
  <c r="U38" i="67"/>
  <c r="T38" i="67"/>
  <c r="L38" i="67"/>
  <c r="M38" i="67" s="1"/>
  <c r="BE37" i="67"/>
  <c r="BD37" i="67"/>
  <c r="AV37" i="67"/>
  <c r="AW37" i="67" s="1"/>
  <c r="AL37" i="67"/>
  <c r="AM37" i="67" s="1"/>
  <c r="AE37" i="67"/>
  <c r="AD37" i="67"/>
  <c r="U37" i="67"/>
  <c r="T37" i="67"/>
  <c r="M37" i="67"/>
  <c r="L37" i="67"/>
  <c r="BE36" i="67"/>
  <c r="BD36" i="67"/>
  <c r="AV36" i="67"/>
  <c r="AW36" i="67" s="1"/>
  <c r="AM36" i="67"/>
  <c r="AL36" i="67"/>
  <c r="AE36" i="67"/>
  <c r="AD36" i="67"/>
  <c r="U36" i="67"/>
  <c r="T36" i="67"/>
  <c r="M36" i="67"/>
  <c r="L36" i="67"/>
  <c r="BD35" i="67"/>
  <c r="BE35" i="67" s="1"/>
  <c r="AV35" i="67"/>
  <c r="AW35" i="67" s="1"/>
  <c r="AL35" i="67"/>
  <c r="AM35" i="67" s="1"/>
  <c r="AE35" i="67"/>
  <c r="AD35" i="67"/>
  <c r="U35" i="67"/>
  <c r="T35" i="67"/>
  <c r="L35" i="67"/>
  <c r="M35" i="67" s="1"/>
  <c r="BE34" i="67"/>
  <c r="BD34" i="67"/>
  <c r="AV34" i="67"/>
  <c r="AW34" i="67" s="1"/>
  <c r="AM34" i="67"/>
  <c r="AL34" i="67"/>
  <c r="AE34" i="67"/>
  <c r="AD34" i="67"/>
  <c r="U34" i="67"/>
  <c r="T34" i="67"/>
  <c r="M34" i="67"/>
  <c r="L34" i="67"/>
  <c r="BE33" i="67"/>
  <c r="BD33" i="67"/>
  <c r="AV33" i="67"/>
  <c r="AW33" i="67" s="1"/>
  <c r="AM33" i="67"/>
  <c r="AL33" i="67"/>
  <c r="AE33" i="67"/>
  <c r="AD33" i="67"/>
  <c r="U33" i="67"/>
  <c r="T33" i="67"/>
  <c r="L33" i="67"/>
  <c r="M33" i="67" s="1"/>
  <c r="BD32" i="67"/>
  <c r="BE32" i="67" s="1"/>
  <c r="AV32" i="67"/>
  <c r="AW32" i="67" s="1"/>
  <c r="AL32" i="67"/>
  <c r="AM32" i="67" s="1"/>
  <c r="AE32" i="67"/>
  <c r="AD32" i="67"/>
  <c r="U32" i="67"/>
  <c r="T32" i="67"/>
  <c r="L32" i="67"/>
  <c r="M32" i="67" s="1"/>
  <c r="BE31" i="67"/>
  <c r="BD31" i="67"/>
  <c r="AV31" i="67"/>
  <c r="AW31" i="67" s="1"/>
  <c r="AM31" i="67"/>
  <c r="AL31" i="67"/>
  <c r="AE31" i="67"/>
  <c r="AD31" i="67"/>
  <c r="U31" i="67"/>
  <c r="T31" i="67"/>
  <c r="L31" i="67"/>
  <c r="M31" i="67" s="1"/>
  <c r="BD30" i="67"/>
  <c r="BD7" i="67" s="1"/>
  <c r="BC7" i="67" s="1"/>
  <c r="AY2" i="67" s="1"/>
  <c r="AV30" i="67"/>
  <c r="AW30" i="67" s="1"/>
  <c r="AM30" i="67"/>
  <c r="AL30" i="67"/>
  <c r="AE30" i="67"/>
  <c r="AD30" i="67"/>
  <c r="U30" i="67"/>
  <c r="T30" i="67"/>
  <c r="M30" i="67"/>
  <c r="L30" i="67"/>
  <c r="BD29" i="67"/>
  <c r="BE29" i="67" s="1"/>
  <c r="AV29" i="67"/>
  <c r="AW29" i="67" s="1"/>
  <c r="AL29" i="67"/>
  <c r="AM29" i="67" s="1"/>
  <c r="AE29" i="67"/>
  <c r="AD29" i="67"/>
  <c r="U29" i="67"/>
  <c r="T29" i="67"/>
  <c r="L29" i="67"/>
  <c r="M29" i="67" s="1"/>
  <c r="BD28" i="67"/>
  <c r="BE28" i="67" s="1"/>
  <c r="AV28" i="67"/>
  <c r="AW28" i="67" s="1"/>
  <c r="AM28" i="67"/>
  <c r="AL28" i="67"/>
  <c r="AE28" i="67"/>
  <c r="AD28" i="67"/>
  <c r="U28" i="67"/>
  <c r="T28" i="67"/>
  <c r="M28" i="67"/>
  <c r="L28" i="67"/>
  <c r="BE27" i="67"/>
  <c r="BD27" i="67"/>
  <c r="AV27" i="67"/>
  <c r="AW27" i="67" s="1"/>
  <c r="AL27" i="67"/>
  <c r="AM27" i="67" s="1"/>
  <c r="AE27" i="67"/>
  <c r="AD27" i="67"/>
  <c r="U27" i="67"/>
  <c r="T27" i="67"/>
  <c r="M27" i="67"/>
  <c r="L27" i="67"/>
  <c r="BD26" i="67"/>
  <c r="BE26" i="67" s="1"/>
  <c r="AV26" i="67"/>
  <c r="AW26" i="67" s="1"/>
  <c r="AL26" i="67"/>
  <c r="AM26" i="67" s="1"/>
  <c r="AE26" i="67"/>
  <c r="AD26" i="67"/>
  <c r="U26" i="67"/>
  <c r="T26" i="67"/>
  <c r="L26" i="67"/>
  <c r="M26" i="67" s="1"/>
  <c r="BE25" i="67"/>
  <c r="BD25" i="67"/>
  <c r="AV25" i="67"/>
  <c r="AW25" i="67" s="1"/>
  <c r="AL25" i="67"/>
  <c r="AM25" i="67" s="1"/>
  <c r="AE25" i="67"/>
  <c r="AD25" i="67"/>
  <c r="U25" i="67"/>
  <c r="T25" i="67"/>
  <c r="M25" i="67"/>
  <c r="L25" i="67"/>
  <c r="BE24" i="67"/>
  <c r="BD24" i="67"/>
  <c r="AW24" i="67"/>
  <c r="AV24" i="67"/>
  <c r="AL24" i="67"/>
  <c r="AM24" i="67" s="1"/>
  <c r="AD24" i="67"/>
  <c r="AE24" i="67" s="1"/>
  <c r="T24" i="67"/>
  <c r="U24" i="67" s="1"/>
  <c r="L24" i="67"/>
  <c r="M24" i="67" s="1"/>
  <c r="BE23" i="67"/>
  <c r="BD23" i="67"/>
  <c r="AW23" i="67"/>
  <c r="AV23" i="67"/>
  <c r="AM23" i="67"/>
  <c r="AL23" i="67"/>
  <c r="AD23" i="67"/>
  <c r="AE23" i="67" s="1"/>
  <c r="T23" i="67"/>
  <c r="U23" i="67" s="1"/>
  <c r="M23" i="67"/>
  <c r="L23" i="67"/>
  <c r="BD22" i="67"/>
  <c r="BE22" i="67" s="1"/>
  <c r="AV22" i="67"/>
  <c r="AW22" i="67" s="1"/>
  <c r="AM22" i="67"/>
  <c r="AL22" i="67"/>
  <c r="AE22" i="67"/>
  <c r="AD22" i="67"/>
  <c r="T22" i="67"/>
  <c r="U22" i="67" s="1"/>
  <c r="M22" i="67"/>
  <c r="L22" i="67"/>
  <c r="BE21" i="67"/>
  <c r="BD21" i="67"/>
  <c r="AW21" i="67"/>
  <c r="AV21" i="67"/>
  <c r="AL21" i="67"/>
  <c r="AM21" i="67" s="1"/>
  <c r="AD21" i="67"/>
  <c r="AE21" i="67" s="1"/>
  <c r="T21" i="67"/>
  <c r="U21" i="67" s="1"/>
  <c r="L21" i="67"/>
  <c r="M21" i="67" s="1"/>
  <c r="BD20" i="67"/>
  <c r="BE20" i="67" s="1"/>
  <c r="AW20" i="67"/>
  <c r="AV20" i="67"/>
  <c r="AL20" i="67"/>
  <c r="AM20" i="67" s="1"/>
  <c r="AD20" i="67"/>
  <c r="AE20" i="67" s="1"/>
  <c r="T20" i="67"/>
  <c r="U20" i="67" s="1"/>
  <c r="L20" i="67"/>
  <c r="M20" i="67" s="1"/>
  <c r="BE19" i="67"/>
  <c r="BD19" i="67"/>
  <c r="AV19" i="67"/>
  <c r="AW19" i="67" s="1"/>
  <c r="AL19" i="67"/>
  <c r="AM19" i="67" s="1"/>
  <c r="AD19" i="67"/>
  <c r="AE19" i="67" s="1"/>
  <c r="T19" i="67"/>
  <c r="U19" i="67" s="1"/>
  <c r="M19" i="67"/>
  <c r="L19" i="67"/>
  <c r="BE18" i="67"/>
  <c r="BD18" i="67"/>
  <c r="AW18" i="67"/>
  <c r="AV18" i="67"/>
  <c r="AL18" i="67"/>
  <c r="AM18" i="67" s="1"/>
  <c r="AD18" i="67"/>
  <c r="AE18" i="67" s="1"/>
  <c r="U18" i="67"/>
  <c r="T18" i="67"/>
  <c r="M18" i="67"/>
  <c r="L18" i="67"/>
  <c r="BE17" i="67"/>
  <c r="BD17" i="67"/>
  <c r="AV17" i="67"/>
  <c r="AW17" i="67" s="1"/>
  <c r="AM17" i="67"/>
  <c r="AL17" i="67"/>
  <c r="AE17" i="67"/>
  <c r="AD17" i="67"/>
  <c r="U17" i="67"/>
  <c r="T17" i="67"/>
  <c r="L17" i="67"/>
  <c r="M17" i="67" s="1"/>
  <c r="BE16" i="67"/>
  <c r="BD16" i="67"/>
  <c r="AV16" i="67"/>
  <c r="AW16" i="67" s="1"/>
  <c r="AL16" i="67"/>
  <c r="AM16" i="67" s="1"/>
  <c r="AD16" i="67"/>
  <c r="AE16" i="67" s="1"/>
  <c r="U16" i="67"/>
  <c r="T16" i="67"/>
  <c r="L16" i="67"/>
  <c r="K6" i="67" s="1"/>
  <c r="BD15" i="67"/>
  <c r="BE15" i="67" s="1"/>
  <c r="AW15" i="67"/>
  <c r="AV15" i="67"/>
  <c r="AM15" i="67"/>
  <c r="AL15" i="67"/>
  <c r="AD15" i="67"/>
  <c r="AE15" i="67" s="1"/>
  <c r="U15" i="67"/>
  <c r="T15" i="67"/>
  <c r="L15" i="67"/>
  <c r="M15" i="67" s="1"/>
  <c r="BD14" i="67"/>
  <c r="BE14" i="67" s="1"/>
  <c r="AV14" i="67"/>
  <c r="AW14" i="67" s="1"/>
  <c r="AL14" i="67"/>
  <c r="AI3" i="67" s="1"/>
  <c r="AE14" i="67"/>
  <c r="AD14" i="67"/>
  <c r="U14" i="67"/>
  <c r="T14" i="67"/>
  <c r="M14" i="67"/>
  <c r="L14" i="67"/>
  <c r="BD13" i="67"/>
  <c r="BA4" i="67" s="1"/>
  <c r="BC4" i="67" s="1"/>
  <c r="AW13" i="67"/>
  <c r="AV13" i="67"/>
  <c r="AL13" i="67"/>
  <c r="AM13" i="67" s="1"/>
  <c r="AD13" i="67"/>
  <c r="AE13" i="67" s="1"/>
  <c r="T13" i="67"/>
  <c r="U13" i="67" s="1"/>
  <c r="L13" i="67"/>
  <c r="M13" i="67" s="1"/>
  <c r="BD12" i="67"/>
  <c r="BE12" i="67" s="1"/>
  <c r="AW12" i="67"/>
  <c r="AV12" i="67"/>
  <c r="AM12" i="67"/>
  <c r="AL12" i="67"/>
  <c r="AD12" i="67"/>
  <c r="AE12" i="67" s="1"/>
  <c r="T12" i="67"/>
  <c r="U12" i="67" s="1"/>
  <c r="L12" i="67"/>
  <c r="M12" i="67" s="1"/>
  <c r="FH11" i="67"/>
  <c r="FG11" i="67"/>
  <c r="EZ11" i="67"/>
  <c r="EZ9" i="67" s="1"/>
  <c r="EY11" i="67"/>
  <c r="EP11" i="67"/>
  <c r="EQ11" i="67" s="1"/>
  <c r="EQ9" i="67" s="1"/>
  <c r="EH11" i="67"/>
  <c r="EI11" i="67" s="1"/>
  <c r="DX11" i="67"/>
  <c r="DU4" i="67" s="1"/>
  <c r="DW4" i="67" s="1"/>
  <c r="DQ11" i="67"/>
  <c r="DQ9" i="67" s="1"/>
  <c r="DP11" i="67"/>
  <c r="DF11" i="67"/>
  <c r="DG11" i="67" s="1"/>
  <c r="DG9" i="67" s="1"/>
  <c r="CX11" i="67"/>
  <c r="CY11" i="67" s="1"/>
  <c r="CY9" i="67" s="1"/>
  <c r="CO11" i="67"/>
  <c r="CO9" i="67" s="1"/>
  <c r="CN11" i="67"/>
  <c r="CF11" i="67"/>
  <c r="CG11" i="67" s="1"/>
  <c r="BV11" i="67"/>
  <c r="BW11" i="67" s="1"/>
  <c r="BW9" i="67" s="1"/>
  <c r="BO11" i="67"/>
  <c r="BO9" i="67" s="1"/>
  <c r="BN11" i="67"/>
  <c r="BD11" i="67"/>
  <c r="BE11" i="67" s="1"/>
  <c r="AW11" i="67"/>
  <c r="AW9" i="67" s="1"/>
  <c r="AV11" i="67"/>
  <c r="AM11" i="67"/>
  <c r="AL11" i="67"/>
  <c r="AD11" i="67"/>
  <c r="AE11" i="67" s="1"/>
  <c r="U11" i="67"/>
  <c r="T11" i="67"/>
  <c r="M11" i="67"/>
  <c r="L11" i="67"/>
  <c r="FH9" i="67"/>
  <c r="EI9" i="67"/>
  <c r="EI7" i="67" s="1"/>
  <c r="CG9" i="67"/>
  <c r="FH7" i="67"/>
  <c r="FG7" i="67"/>
  <c r="FF7" i="67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G7" i="67"/>
  <c r="CF7" i="67"/>
  <c r="BV7" i="67"/>
  <c r="BU7" i="67" s="1"/>
  <c r="BN7" i="67"/>
  <c r="BM7" i="67" s="1"/>
  <c r="AV7" i="67"/>
  <c r="AU7" i="67" s="1"/>
  <c r="AL7" i="67"/>
  <c r="AK7" i="67" s="1"/>
  <c r="AD7" i="67"/>
  <c r="AC7" i="67" s="1"/>
  <c r="Y2" i="67" s="1"/>
  <c r="T7" i="67"/>
  <c r="S7" i="67" s="1"/>
  <c r="O2" i="67" s="1"/>
  <c r="L7" i="67"/>
  <c r="K7" i="67" s="1"/>
  <c r="G2" i="67" s="1"/>
  <c r="FG6" i="67"/>
  <c r="FF6" i="67"/>
  <c r="EY6" i="67"/>
  <c r="EY9" i="67" s="1"/>
  <c r="EX6" i="67"/>
  <c r="EP6" i="67"/>
  <c r="EO6" i="67"/>
  <c r="EH6" i="67"/>
  <c r="EH9" i="67" s="1"/>
  <c r="EG6" i="67"/>
  <c r="DX6" i="67"/>
  <c r="DW6" i="67"/>
  <c r="DP6" i="67"/>
  <c r="DO6" i="67"/>
  <c r="DF6" i="67"/>
  <c r="DF9" i="67" s="1"/>
  <c r="B22" i="67" s="1"/>
  <c r="DE6" i="67"/>
  <c r="CX6" i="67"/>
  <c r="CW6" i="67"/>
  <c r="CN6" i="67"/>
  <c r="CN9" i="67" s="1"/>
  <c r="B20" i="67" s="1"/>
  <c r="CM6" i="67"/>
  <c r="CF6" i="67"/>
  <c r="CE6" i="67"/>
  <c r="BV6" i="67"/>
  <c r="BN6" i="67"/>
  <c r="BM6" i="67"/>
  <c r="BD6" i="67"/>
  <c r="BD9" i="67" s="1"/>
  <c r="B16" i="67" s="1"/>
  <c r="BC6" i="67"/>
  <c r="AV6" i="67"/>
  <c r="AL6" i="67"/>
  <c r="AK6" i="67" s="1"/>
  <c r="AD6" i="67"/>
  <c r="AC6" i="67"/>
  <c r="T6" i="67"/>
  <c r="S6" i="67"/>
  <c r="L6" i="67"/>
  <c r="FH5" i="67"/>
  <c r="EI5" i="67"/>
  <c r="CG5" i="67"/>
  <c r="FF4" i="67"/>
  <c r="FD4" i="67"/>
  <c r="EX4" i="67"/>
  <c r="EV4" i="67"/>
  <c r="EO4" i="67"/>
  <c r="EM4" i="67"/>
  <c r="EG4" i="67"/>
  <c r="EE4" i="67"/>
  <c r="DO4" i="67"/>
  <c r="DM4" i="67"/>
  <c r="DE4" i="67"/>
  <c r="DC4" i="67"/>
  <c r="CW4" i="67"/>
  <c r="CU4" i="67"/>
  <c r="CM4" i="67"/>
  <c r="CK4" i="67"/>
  <c r="CE4" i="67"/>
  <c r="CC4" i="67"/>
  <c r="BU4" i="67"/>
  <c r="BS4" i="67"/>
  <c r="BM4" i="67"/>
  <c r="BK4" i="67"/>
  <c r="AS4" i="67"/>
  <c r="AU4" i="67" s="1"/>
  <c r="AI4" i="67"/>
  <c r="AK4" i="67" s="1"/>
  <c r="AC4" i="67"/>
  <c r="AA4" i="67"/>
  <c r="Q4" i="67"/>
  <c r="S4" i="67" s="1"/>
  <c r="I4" i="67"/>
  <c r="K4" i="67" s="1"/>
  <c r="FH3" i="67"/>
  <c r="FF3" i="67"/>
  <c r="FD3" i="67"/>
  <c r="FD6" i="67" s="1"/>
  <c r="EX3" i="67"/>
  <c r="EV3" i="67"/>
  <c r="EV6" i="67" s="1"/>
  <c r="EO3" i="67"/>
  <c r="EM3" i="67"/>
  <c r="EM6" i="67" s="1"/>
  <c r="EI3" i="67"/>
  <c r="EG3" i="67"/>
  <c r="EE3" i="67"/>
  <c r="EE6" i="67" s="1"/>
  <c r="DO3" i="67"/>
  <c r="DM3" i="67"/>
  <c r="DM6" i="67" s="1"/>
  <c r="DE3" i="67"/>
  <c r="DC3" i="67"/>
  <c r="DC6" i="67" s="1"/>
  <c r="A22" i="67" s="1"/>
  <c r="CW3" i="67"/>
  <c r="CU3" i="67"/>
  <c r="CU6" i="67" s="1"/>
  <c r="A21" i="67" s="1"/>
  <c r="CM3" i="67"/>
  <c r="CK3" i="67"/>
  <c r="CK6" i="67" s="1"/>
  <c r="A20" i="67" s="1"/>
  <c r="CG3" i="67"/>
  <c r="CE3" i="67"/>
  <c r="CC3" i="67"/>
  <c r="CC6" i="67" s="1"/>
  <c r="A19" i="67" s="1"/>
  <c r="BU3" i="67"/>
  <c r="BS3" i="67"/>
  <c r="BS6" i="67" s="1"/>
  <c r="A18" i="67" s="1"/>
  <c r="BM3" i="67"/>
  <c r="BK3" i="67"/>
  <c r="BK6" i="67" s="1"/>
  <c r="A17" i="67" s="1"/>
  <c r="AU3" i="67"/>
  <c r="AQ4" i="67" s="1"/>
  <c r="AS3" i="67"/>
  <c r="AC3" i="67"/>
  <c r="Y4" i="67" s="1"/>
  <c r="AA3" i="67"/>
  <c r="AA6" i="67" s="1"/>
  <c r="A13" i="67" s="1"/>
  <c r="S3" i="67"/>
  <c r="Q3" i="67"/>
  <c r="A5" i="63" a="1"/>
  <c r="A3" i="63" a="1"/>
  <c r="A3" i="63" l="1"/>
  <c r="A5" i="63"/>
  <c r="L9" i="67"/>
  <c r="B11" i="67" s="1"/>
  <c r="DG7" i="67"/>
  <c r="DG5" i="67"/>
  <c r="DG3" i="67"/>
  <c r="DF4" i="67" s="1"/>
  <c r="AE9" i="67"/>
  <c r="AS6" i="67"/>
  <c r="A15" i="67" s="1"/>
  <c r="T9" i="67"/>
  <c r="B12" i="67" s="1"/>
  <c r="DQ3" i="67"/>
  <c r="DQ7" i="67"/>
  <c r="DQ5" i="67"/>
  <c r="CF9" i="67"/>
  <c r="B19" i="67" s="1"/>
  <c r="AW3" i="67"/>
  <c r="AW5" i="67"/>
  <c r="AW7" i="67"/>
  <c r="FG4" i="67"/>
  <c r="FG2" i="67" s="1"/>
  <c r="AD9" i="67"/>
  <c r="B13" i="67" s="1"/>
  <c r="BE9" i="67"/>
  <c r="EQ7" i="67"/>
  <c r="EQ3" i="67"/>
  <c r="EQ5" i="67"/>
  <c r="AV9" i="67"/>
  <c r="B15" i="67" s="1"/>
  <c r="BO7" i="67"/>
  <c r="BO5" i="67"/>
  <c r="BO3" i="67"/>
  <c r="BN4" i="67" s="1"/>
  <c r="BW7" i="67"/>
  <c r="BW5" i="67"/>
  <c r="BW3" i="67"/>
  <c r="EZ3" i="67"/>
  <c r="EY4" i="67" s="1"/>
  <c r="EY2" i="67" s="1"/>
  <c r="EV9" i="67" s="1"/>
  <c r="EZ5" i="67"/>
  <c r="EZ7" i="67"/>
  <c r="AK3" i="67"/>
  <c r="AI6" i="67" s="1"/>
  <c r="A14" i="67" s="1"/>
  <c r="AG4" i="67"/>
  <c r="EH4" i="67"/>
  <c r="EH2" i="67" s="1"/>
  <c r="EE9" i="67" s="1"/>
  <c r="E25" i="67" s="1"/>
  <c r="AM9" i="67"/>
  <c r="Q6" i="67"/>
  <c r="A12" i="67" s="1"/>
  <c r="BN9" i="67"/>
  <c r="B17" i="67" s="1"/>
  <c r="CO3" i="67"/>
  <c r="CN4" i="67" s="1"/>
  <c r="CO5" i="67"/>
  <c r="CO7" i="67"/>
  <c r="DX9" i="67"/>
  <c r="AG2" i="67"/>
  <c r="CY5" i="67"/>
  <c r="CY7" i="67"/>
  <c r="CY3" i="67"/>
  <c r="U9" i="67"/>
  <c r="CE7" i="67"/>
  <c r="CX9" i="67"/>
  <c r="B21" i="67" s="1"/>
  <c r="AL9" i="67"/>
  <c r="B14" i="67" s="1"/>
  <c r="AM14" i="67"/>
  <c r="M16" i="67"/>
  <c r="M9" i="67" s="1"/>
  <c r="BE30" i="67"/>
  <c r="DY11" i="67"/>
  <c r="DY9" i="67" s="1"/>
  <c r="BE13" i="67"/>
  <c r="O4" i="67"/>
  <c r="BU6" i="67"/>
  <c r="BV9" i="67" s="1"/>
  <c r="B18" i="67" s="1"/>
  <c r="EP9" i="67"/>
  <c r="I3" i="67"/>
  <c r="AU6" i="67"/>
  <c r="AQ2" i="67" s="1"/>
  <c r="DP9" i="67"/>
  <c r="BA3" i="67"/>
  <c r="DU3" i="67"/>
  <c r="FG9" i="67"/>
  <c r="E3" i="63"/>
  <c r="M3" i="67" l="1"/>
  <c r="M7" i="67"/>
  <c r="M5" i="67"/>
  <c r="DY3" i="67"/>
  <c r="DY5" i="67"/>
  <c r="DY7" i="67"/>
  <c r="DP4" i="67"/>
  <c r="DP2" i="67" s="1"/>
  <c r="DM9" i="67" s="1"/>
  <c r="E23" i="67" s="1"/>
  <c r="EP4" i="67"/>
  <c r="EP2" i="67" s="1"/>
  <c r="DW3" i="67"/>
  <c r="DU6" i="67" s="1"/>
  <c r="AE7" i="67"/>
  <c r="AE5" i="67"/>
  <c r="AE3" i="67"/>
  <c r="AD4" i="67" s="1"/>
  <c r="AM7" i="67"/>
  <c r="AM3" i="67"/>
  <c r="AL4" i="67" s="1"/>
  <c r="AM5" i="67"/>
  <c r="BC3" i="67"/>
  <c r="AY4" i="67" s="1"/>
  <c r="BA6" i="67"/>
  <c r="A16" i="67" s="1"/>
  <c r="C22" i="67"/>
  <c r="DF2" i="67"/>
  <c r="D22" i="67" s="1"/>
  <c r="BE3" i="67"/>
  <c r="BE7" i="67"/>
  <c r="BE5" i="67"/>
  <c r="CN2" i="67"/>
  <c r="D20" i="67" s="1"/>
  <c r="C20" i="67"/>
  <c r="BV4" i="67"/>
  <c r="U3" i="67"/>
  <c r="T4" i="67" s="1"/>
  <c r="U5" i="67"/>
  <c r="U7" i="67"/>
  <c r="CF4" i="67"/>
  <c r="CF2" i="67" s="1"/>
  <c r="K3" i="67"/>
  <c r="I6" i="67" s="1"/>
  <c r="A11" i="67" s="1"/>
  <c r="CX4" i="67"/>
  <c r="C17" i="67"/>
  <c r="BN2" i="67"/>
  <c r="C19" i="67"/>
  <c r="AV4" i="67"/>
  <c r="E5" i="63"/>
  <c r="J5" i="63"/>
  <c r="CX2" i="67" l="1"/>
  <c r="C21" i="67"/>
  <c r="G4" i="67"/>
  <c r="BD4" i="67"/>
  <c r="D19" i="67"/>
  <c r="CC9" i="67"/>
  <c r="E19" i="67" s="1"/>
  <c r="T2" i="67"/>
  <c r="D12" i="67" s="1"/>
  <c r="C12" i="67"/>
  <c r="DX4" i="67"/>
  <c r="DX2" i="67" s="1"/>
  <c r="C15" i="67"/>
  <c r="AV2" i="67"/>
  <c r="C18" i="67"/>
  <c r="BV2" i="67"/>
  <c r="D18" i="67" s="1"/>
  <c r="AL2" i="67"/>
  <c r="D14" i="67" s="1"/>
  <c r="C14" i="67"/>
  <c r="BK9" i="67"/>
  <c r="E17" i="67" s="1"/>
  <c r="D17" i="67"/>
  <c r="AD2" i="67"/>
  <c r="C13" i="67"/>
  <c r="L4" i="67"/>
  <c r="D5" i="63"/>
  <c r="G5" i="63"/>
  <c r="C5" i="63"/>
  <c r="B5" i="63"/>
  <c r="H5" i="63"/>
  <c r="I5" i="63"/>
  <c r="L5" i="63"/>
  <c r="D15" i="67" l="1"/>
  <c r="AS9" i="67"/>
  <c r="E15" i="67" s="1"/>
  <c r="C11" i="67"/>
  <c r="L2" i="67"/>
  <c r="AA9" i="67"/>
  <c r="E13" i="67" s="1"/>
  <c r="D13" i="67"/>
  <c r="C16" i="67"/>
  <c r="BD2" i="67"/>
  <c r="D16" i="67" s="1"/>
  <c r="D21" i="67"/>
  <c r="CU9" i="67"/>
  <c r="E21" i="67" s="1"/>
  <c r="I9" i="67" l="1"/>
  <c r="E11" i="67" s="1"/>
  <c r="D11" i="67"/>
  <c r="T388" i="66" l="1"/>
  <c r="U388" i="66" s="1"/>
  <c r="L388" i="66"/>
  <c r="M388" i="66" s="1"/>
  <c r="T387" i="66"/>
  <c r="U387" i="66" s="1"/>
  <c r="L387" i="66"/>
  <c r="M387" i="66" s="1"/>
  <c r="T386" i="66"/>
  <c r="U386" i="66" s="1"/>
  <c r="M386" i="66"/>
  <c r="L386" i="66"/>
  <c r="T385" i="66"/>
  <c r="U385" i="66" s="1"/>
  <c r="L385" i="66"/>
  <c r="M385" i="66" s="1"/>
  <c r="T384" i="66"/>
  <c r="U384" i="66" s="1"/>
  <c r="L384" i="66"/>
  <c r="M384" i="66" s="1"/>
  <c r="T383" i="66"/>
  <c r="U383" i="66" s="1"/>
  <c r="M383" i="66"/>
  <c r="L383" i="66"/>
  <c r="T382" i="66"/>
  <c r="U382" i="66" s="1"/>
  <c r="L382" i="66"/>
  <c r="M382" i="66" s="1"/>
  <c r="T381" i="66"/>
  <c r="U381" i="66" s="1"/>
  <c r="L381" i="66"/>
  <c r="M381" i="66" s="1"/>
  <c r="T380" i="66"/>
  <c r="U380" i="66" s="1"/>
  <c r="M380" i="66"/>
  <c r="L380" i="66"/>
  <c r="T379" i="66"/>
  <c r="U379" i="66" s="1"/>
  <c r="L379" i="66"/>
  <c r="M379" i="66" s="1"/>
  <c r="T378" i="66"/>
  <c r="U378" i="66" s="1"/>
  <c r="L378" i="66"/>
  <c r="M378" i="66" s="1"/>
  <c r="T377" i="66"/>
  <c r="U377" i="66" s="1"/>
  <c r="M377" i="66"/>
  <c r="L377" i="66"/>
  <c r="T376" i="66"/>
  <c r="U376" i="66" s="1"/>
  <c r="L376" i="66"/>
  <c r="M376" i="66" s="1"/>
  <c r="T375" i="66"/>
  <c r="U375" i="66" s="1"/>
  <c r="L375" i="66"/>
  <c r="M375" i="66" s="1"/>
  <c r="T374" i="66"/>
  <c r="U374" i="66" s="1"/>
  <c r="M374" i="66"/>
  <c r="L374" i="66"/>
  <c r="T373" i="66"/>
  <c r="U373" i="66" s="1"/>
  <c r="L373" i="66"/>
  <c r="M373" i="66" s="1"/>
  <c r="T372" i="66"/>
  <c r="U372" i="66" s="1"/>
  <c r="L372" i="66"/>
  <c r="M372" i="66" s="1"/>
  <c r="T371" i="66"/>
  <c r="U371" i="66" s="1"/>
  <c r="M371" i="66"/>
  <c r="L371" i="66"/>
  <c r="T370" i="66"/>
  <c r="U370" i="66" s="1"/>
  <c r="L370" i="66"/>
  <c r="M370" i="66" s="1"/>
  <c r="T369" i="66"/>
  <c r="U369" i="66" s="1"/>
  <c r="L369" i="66"/>
  <c r="M369" i="66" s="1"/>
  <c r="T368" i="66"/>
  <c r="U368" i="66" s="1"/>
  <c r="M368" i="66"/>
  <c r="L368" i="66"/>
  <c r="T367" i="66"/>
  <c r="U367" i="66" s="1"/>
  <c r="L367" i="66"/>
  <c r="M367" i="66" s="1"/>
  <c r="T366" i="66"/>
  <c r="U366" i="66" s="1"/>
  <c r="L366" i="66"/>
  <c r="M366" i="66" s="1"/>
  <c r="T365" i="66"/>
  <c r="U365" i="66" s="1"/>
  <c r="M365" i="66"/>
  <c r="L365" i="66"/>
  <c r="T364" i="66"/>
  <c r="U364" i="66" s="1"/>
  <c r="L364" i="66"/>
  <c r="M364" i="66" s="1"/>
  <c r="T363" i="66"/>
  <c r="U363" i="66" s="1"/>
  <c r="L363" i="66"/>
  <c r="M363" i="66" s="1"/>
  <c r="T362" i="66"/>
  <c r="U362" i="66" s="1"/>
  <c r="M362" i="66"/>
  <c r="L362" i="66"/>
  <c r="T361" i="66"/>
  <c r="U361" i="66" s="1"/>
  <c r="L361" i="66"/>
  <c r="M361" i="66" s="1"/>
  <c r="T360" i="66"/>
  <c r="U360" i="66" s="1"/>
  <c r="L360" i="66"/>
  <c r="M360" i="66" s="1"/>
  <c r="T359" i="66"/>
  <c r="U359" i="66" s="1"/>
  <c r="M359" i="66"/>
  <c r="L359" i="66"/>
  <c r="T358" i="66"/>
  <c r="U358" i="66" s="1"/>
  <c r="M358" i="66"/>
  <c r="L358" i="66"/>
  <c r="T357" i="66"/>
  <c r="U357" i="66" s="1"/>
  <c r="L357" i="66"/>
  <c r="M357" i="66" s="1"/>
  <c r="T356" i="66"/>
  <c r="U356" i="66" s="1"/>
  <c r="M356" i="66"/>
  <c r="L356" i="66"/>
  <c r="T355" i="66"/>
  <c r="U355" i="66" s="1"/>
  <c r="L355" i="66"/>
  <c r="M355" i="66" s="1"/>
  <c r="T354" i="66"/>
  <c r="U354" i="66" s="1"/>
  <c r="L354" i="66"/>
  <c r="M354" i="66" s="1"/>
  <c r="T353" i="66"/>
  <c r="U353" i="66" s="1"/>
  <c r="M353" i="66"/>
  <c r="L353" i="66"/>
  <c r="T352" i="66"/>
  <c r="U352" i="66" s="1"/>
  <c r="L352" i="66"/>
  <c r="M352" i="66" s="1"/>
  <c r="T351" i="66"/>
  <c r="U351" i="66" s="1"/>
  <c r="L351" i="66"/>
  <c r="M351" i="66" s="1"/>
  <c r="T350" i="66"/>
  <c r="U350" i="66" s="1"/>
  <c r="M350" i="66"/>
  <c r="L350" i="66"/>
  <c r="T349" i="66"/>
  <c r="U349" i="66" s="1"/>
  <c r="M349" i="66"/>
  <c r="L349" i="66"/>
  <c r="T348" i="66"/>
  <c r="U348" i="66" s="1"/>
  <c r="L348" i="66"/>
  <c r="M348" i="66" s="1"/>
  <c r="T347" i="66"/>
  <c r="U347" i="66" s="1"/>
  <c r="M347" i="66"/>
  <c r="L347" i="66"/>
  <c r="T346" i="66"/>
  <c r="U346" i="66" s="1"/>
  <c r="L346" i="66"/>
  <c r="M346" i="66" s="1"/>
  <c r="T345" i="66"/>
  <c r="U345" i="66" s="1"/>
  <c r="L345" i="66"/>
  <c r="M345" i="66" s="1"/>
  <c r="T344" i="66"/>
  <c r="U344" i="66" s="1"/>
  <c r="M344" i="66"/>
  <c r="L344" i="66"/>
  <c r="T343" i="66"/>
  <c r="U343" i="66" s="1"/>
  <c r="L343" i="66"/>
  <c r="M343" i="66" s="1"/>
  <c r="T342" i="66"/>
  <c r="U342" i="66" s="1"/>
  <c r="L342" i="66"/>
  <c r="M342" i="66" s="1"/>
  <c r="T341" i="66"/>
  <c r="U341" i="66" s="1"/>
  <c r="M341" i="66"/>
  <c r="L341" i="66"/>
  <c r="T340" i="66"/>
  <c r="U340" i="66" s="1"/>
  <c r="M340" i="66"/>
  <c r="L340" i="66"/>
  <c r="T339" i="66"/>
  <c r="U339" i="66" s="1"/>
  <c r="L339" i="66"/>
  <c r="M339" i="66" s="1"/>
  <c r="T338" i="66"/>
  <c r="U338" i="66" s="1"/>
  <c r="M338" i="66"/>
  <c r="L338" i="66"/>
  <c r="T337" i="66"/>
  <c r="U337" i="66" s="1"/>
  <c r="L337" i="66"/>
  <c r="M337" i="66" s="1"/>
  <c r="T336" i="66"/>
  <c r="U336" i="66" s="1"/>
  <c r="L336" i="66"/>
  <c r="M336" i="66" s="1"/>
  <c r="T335" i="66"/>
  <c r="U335" i="66" s="1"/>
  <c r="M335" i="66"/>
  <c r="L335" i="66"/>
  <c r="T334" i="66"/>
  <c r="U334" i="66" s="1"/>
  <c r="L334" i="66"/>
  <c r="M334" i="66" s="1"/>
  <c r="T333" i="66"/>
  <c r="U333" i="66" s="1"/>
  <c r="L333" i="66"/>
  <c r="M333" i="66" s="1"/>
  <c r="T332" i="66"/>
  <c r="U332" i="66" s="1"/>
  <c r="M332" i="66"/>
  <c r="L332" i="66"/>
  <c r="T331" i="66"/>
  <c r="U331" i="66" s="1"/>
  <c r="M331" i="66"/>
  <c r="L331" i="66"/>
  <c r="T330" i="66"/>
  <c r="U330" i="66" s="1"/>
  <c r="L330" i="66"/>
  <c r="M330" i="66" s="1"/>
  <c r="T329" i="66"/>
  <c r="U329" i="66" s="1"/>
  <c r="M329" i="66"/>
  <c r="L329" i="66"/>
  <c r="T328" i="66"/>
  <c r="U328" i="66" s="1"/>
  <c r="L328" i="66"/>
  <c r="M328" i="66" s="1"/>
  <c r="T327" i="66"/>
  <c r="U327" i="66" s="1"/>
  <c r="L327" i="66"/>
  <c r="M327" i="66" s="1"/>
  <c r="T326" i="66"/>
  <c r="U326" i="66" s="1"/>
  <c r="M326" i="66"/>
  <c r="L326" i="66"/>
  <c r="T325" i="66"/>
  <c r="U325" i="66" s="1"/>
  <c r="L325" i="66"/>
  <c r="M325" i="66" s="1"/>
  <c r="T324" i="66"/>
  <c r="U324" i="66" s="1"/>
  <c r="L324" i="66"/>
  <c r="M324" i="66" s="1"/>
  <c r="T323" i="66"/>
  <c r="U323" i="66" s="1"/>
  <c r="M323" i="66"/>
  <c r="L323" i="66"/>
  <c r="T322" i="66"/>
  <c r="U322" i="66" s="1"/>
  <c r="M322" i="66"/>
  <c r="L322" i="66"/>
  <c r="T321" i="66"/>
  <c r="U321" i="66" s="1"/>
  <c r="L321" i="66"/>
  <c r="M321" i="66" s="1"/>
  <c r="T320" i="66"/>
  <c r="U320" i="66" s="1"/>
  <c r="M320" i="66"/>
  <c r="L320" i="66"/>
  <c r="T319" i="66"/>
  <c r="U319" i="66" s="1"/>
  <c r="L319" i="66"/>
  <c r="M319" i="66" s="1"/>
  <c r="T318" i="66"/>
  <c r="U318" i="66" s="1"/>
  <c r="L318" i="66"/>
  <c r="M318" i="66" s="1"/>
  <c r="T317" i="66"/>
  <c r="U317" i="66" s="1"/>
  <c r="M317" i="66"/>
  <c r="L317" i="66"/>
  <c r="T316" i="66"/>
  <c r="U316" i="66" s="1"/>
  <c r="L316" i="66"/>
  <c r="M316" i="66" s="1"/>
  <c r="T315" i="66"/>
  <c r="U315" i="66" s="1"/>
  <c r="L315" i="66"/>
  <c r="M315" i="66" s="1"/>
  <c r="T314" i="66"/>
  <c r="U314" i="66" s="1"/>
  <c r="M314" i="66"/>
  <c r="L314" i="66"/>
  <c r="T313" i="66"/>
  <c r="U313" i="66" s="1"/>
  <c r="M313" i="66"/>
  <c r="L313" i="66"/>
  <c r="T312" i="66"/>
  <c r="U312" i="66" s="1"/>
  <c r="L312" i="66"/>
  <c r="M312" i="66" s="1"/>
  <c r="T311" i="66"/>
  <c r="U311" i="66" s="1"/>
  <c r="M311" i="66"/>
  <c r="L311" i="66"/>
  <c r="T310" i="66"/>
  <c r="U310" i="66" s="1"/>
  <c r="L310" i="66"/>
  <c r="M310" i="66" s="1"/>
  <c r="T309" i="66"/>
  <c r="U309" i="66" s="1"/>
  <c r="L309" i="66"/>
  <c r="M309" i="66" s="1"/>
  <c r="T308" i="66"/>
  <c r="U308" i="66" s="1"/>
  <c r="M308" i="66"/>
  <c r="L308" i="66"/>
  <c r="T307" i="66"/>
  <c r="U307" i="66" s="1"/>
  <c r="L307" i="66"/>
  <c r="M307" i="66" s="1"/>
  <c r="T306" i="66"/>
  <c r="U306" i="66" s="1"/>
  <c r="L306" i="66"/>
  <c r="M306" i="66" s="1"/>
  <c r="T305" i="66"/>
  <c r="U305" i="66" s="1"/>
  <c r="M305" i="66"/>
  <c r="L305" i="66"/>
  <c r="T304" i="66"/>
  <c r="U304" i="66" s="1"/>
  <c r="M304" i="66"/>
  <c r="L304" i="66"/>
  <c r="T303" i="66"/>
  <c r="U303" i="66" s="1"/>
  <c r="L303" i="66"/>
  <c r="M303" i="66" s="1"/>
  <c r="T302" i="66"/>
  <c r="U302" i="66" s="1"/>
  <c r="M302" i="66"/>
  <c r="L302" i="66"/>
  <c r="T301" i="66"/>
  <c r="U301" i="66" s="1"/>
  <c r="L301" i="66"/>
  <c r="M301" i="66" s="1"/>
  <c r="T300" i="66"/>
  <c r="U300" i="66" s="1"/>
  <c r="L300" i="66"/>
  <c r="M300" i="66" s="1"/>
  <c r="T299" i="66"/>
  <c r="U299" i="66" s="1"/>
  <c r="M299" i="66"/>
  <c r="L299" i="66"/>
  <c r="T298" i="66"/>
  <c r="U298" i="66" s="1"/>
  <c r="L298" i="66"/>
  <c r="M298" i="66" s="1"/>
  <c r="T297" i="66"/>
  <c r="U297" i="66" s="1"/>
  <c r="L297" i="66"/>
  <c r="M297" i="66" s="1"/>
  <c r="T296" i="66"/>
  <c r="U296" i="66" s="1"/>
  <c r="M296" i="66"/>
  <c r="L296" i="66"/>
  <c r="T295" i="66"/>
  <c r="U295" i="66" s="1"/>
  <c r="M295" i="66"/>
  <c r="L295" i="66"/>
  <c r="T294" i="66"/>
  <c r="U294" i="66" s="1"/>
  <c r="L294" i="66"/>
  <c r="M294" i="66" s="1"/>
  <c r="T293" i="66"/>
  <c r="U293" i="66" s="1"/>
  <c r="M293" i="66"/>
  <c r="L293" i="66"/>
  <c r="T292" i="66"/>
  <c r="U292" i="66" s="1"/>
  <c r="L292" i="66"/>
  <c r="M292" i="66" s="1"/>
  <c r="T291" i="66"/>
  <c r="U291" i="66" s="1"/>
  <c r="L291" i="66"/>
  <c r="M291" i="66" s="1"/>
  <c r="T290" i="66"/>
  <c r="U290" i="66" s="1"/>
  <c r="M290" i="66"/>
  <c r="L290" i="66"/>
  <c r="T289" i="66"/>
  <c r="U289" i="66" s="1"/>
  <c r="L289" i="66"/>
  <c r="M289" i="66" s="1"/>
  <c r="T288" i="66"/>
  <c r="U288" i="66" s="1"/>
  <c r="L288" i="66"/>
  <c r="M288" i="66" s="1"/>
  <c r="T287" i="66"/>
  <c r="U287" i="66" s="1"/>
  <c r="M287" i="66"/>
  <c r="L287" i="66"/>
  <c r="T286" i="66"/>
  <c r="U286" i="66" s="1"/>
  <c r="M286" i="66"/>
  <c r="L286" i="66"/>
  <c r="T285" i="66"/>
  <c r="U285" i="66" s="1"/>
  <c r="L285" i="66"/>
  <c r="M285" i="66" s="1"/>
  <c r="T284" i="66"/>
  <c r="U284" i="66" s="1"/>
  <c r="M284" i="66"/>
  <c r="L284" i="66"/>
  <c r="T283" i="66"/>
  <c r="U283" i="66" s="1"/>
  <c r="L283" i="66"/>
  <c r="M283" i="66" s="1"/>
  <c r="T282" i="66"/>
  <c r="U282" i="66" s="1"/>
  <c r="L282" i="66"/>
  <c r="M282" i="66" s="1"/>
  <c r="T281" i="66"/>
  <c r="U281" i="66" s="1"/>
  <c r="M281" i="66"/>
  <c r="L281" i="66"/>
  <c r="T280" i="66"/>
  <c r="U280" i="66" s="1"/>
  <c r="L280" i="66"/>
  <c r="M280" i="66" s="1"/>
  <c r="T279" i="66"/>
  <c r="U279" i="66" s="1"/>
  <c r="L279" i="66"/>
  <c r="M279" i="66" s="1"/>
  <c r="T278" i="66"/>
  <c r="U278" i="66" s="1"/>
  <c r="M278" i="66"/>
  <c r="L278" i="66"/>
  <c r="T277" i="66"/>
  <c r="U277" i="66" s="1"/>
  <c r="M277" i="66"/>
  <c r="L277" i="66"/>
  <c r="T276" i="66"/>
  <c r="U276" i="66" s="1"/>
  <c r="L276" i="66"/>
  <c r="M276" i="66" s="1"/>
  <c r="T275" i="66"/>
  <c r="U275" i="66" s="1"/>
  <c r="M275" i="66"/>
  <c r="L275" i="66"/>
  <c r="T274" i="66"/>
  <c r="U274" i="66" s="1"/>
  <c r="L274" i="66"/>
  <c r="M274" i="66" s="1"/>
  <c r="T273" i="66"/>
  <c r="U273" i="66" s="1"/>
  <c r="L273" i="66"/>
  <c r="M273" i="66" s="1"/>
  <c r="T272" i="66"/>
  <c r="U272" i="66" s="1"/>
  <c r="M272" i="66"/>
  <c r="L272" i="66"/>
  <c r="T271" i="66"/>
  <c r="U271" i="66" s="1"/>
  <c r="L271" i="66"/>
  <c r="M271" i="66" s="1"/>
  <c r="T270" i="66"/>
  <c r="U270" i="66" s="1"/>
  <c r="L270" i="66"/>
  <c r="M270" i="66" s="1"/>
  <c r="T269" i="66"/>
  <c r="U269" i="66" s="1"/>
  <c r="M269" i="66"/>
  <c r="L269" i="66"/>
  <c r="T268" i="66"/>
  <c r="U268" i="66" s="1"/>
  <c r="M268" i="66"/>
  <c r="L268" i="66"/>
  <c r="T267" i="66"/>
  <c r="U267" i="66" s="1"/>
  <c r="L267" i="66"/>
  <c r="M267" i="66" s="1"/>
  <c r="T266" i="66"/>
  <c r="U266" i="66" s="1"/>
  <c r="M266" i="66"/>
  <c r="L266" i="66"/>
  <c r="T265" i="66"/>
  <c r="U265" i="66" s="1"/>
  <c r="L265" i="66"/>
  <c r="M265" i="66" s="1"/>
  <c r="T264" i="66"/>
  <c r="U264" i="66" s="1"/>
  <c r="L264" i="66"/>
  <c r="M264" i="66" s="1"/>
  <c r="T263" i="66"/>
  <c r="U263" i="66" s="1"/>
  <c r="M263" i="66"/>
  <c r="L263" i="66"/>
  <c r="T262" i="66"/>
  <c r="U262" i="66" s="1"/>
  <c r="L262" i="66"/>
  <c r="M262" i="66" s="1"/>
  <c r="T261" i="66"/>
  <c r="U261" i="66" s="1"/>
  <c r="L261" i="66"/>
  <c r="M261" i="66" s="1"/>
  <c r="T260" i="66"/>
  <c r="U260" i="66" s="1"/>
  <c r="M260" i="66"/>
  <c r="L260" i="66"/>
  <c r="T259" i="66"/>
  <c r="U259" i="66" s="1"/>
  <c r="M259" i="66"/>
  <c r="L259" i="66"/>
  <c r="T258" i="66"/>
  <c r="U258" i="66" s="1"/>
  <c r="L258" i="66"/>
  <c r="M258" i="66" s="1"/>
  <c r="T257" i="66"/>
  <c r="U257" i="66" s="1"/>
  <c r="M257" i="66"/>
  <c r="L257" i="66"/>
  <c r="T256" i="66"/>
  <c r="U256" i="66" s="1"/>
  <c r="L256" i="66"/>
  <c r="M256" i="66" s="1"/>
  <c r="T255" i="66"/>
  <c r="U255" i="66" s="1"/>
  <c r="L255" i="66"/>
  <c r="M255" i="66" s="1"/>
  <c r="T254" i="66"/>
  <c r="U254" i="66" s="1"/>
  <c r="M254" i="66"/>
  <c r="L254" i="66"/>
  <c r="T253" i="66"/>
  <c r="U253" i="66" s="1"/>
  <c r="L253" i="66"/>
  <c r="M253" i="66" s="1"/>
  <c r="T252" i="66"/>
  <c r="U252" i="66" s="1"/>
  <c r="L252" i="66"/>
  <c r="M252" i="66" s="1"/>
  <c r="T251" i="66"/>
  <c r="U251" i="66" s="1"/>
  <c r="M251" i="66"/>
  <c r="L251" i="66"/>
  <c r="T250" i="66"/>
  <c r="U250" i="66" s="1"/>
  <c r="M250" i="66"/>
  <c r="L250" i="66"/>
  <c r="T249" i="66"/>
  <c r="U249" i="66" s="1"/>
  <c r="L249" i="66"/>
  <c r="M249" i="66" s="1"/>
  <c r="T248" i="66"/>
  <c r="U248" i="66" s="1"/>
  <c r="M248" i="66"/>
  <c r="L248" i="66"/>
  <c r="T247" i="66"/>
  <c r="U247" i="66" s="1"/>
  <c r="L247" i="66"/>
  <c r="M247" i="66" s="1"/>
  <c r="T246" i="66"/>
  <c r="U246" i="66" s="1"/>
  <c r="L246" i="66"/>
  <c r="M246" i="66" s="1"/>
  <c r="T245" i="66"/>
  <c r="U245" i="66" s="1"/>
  <c r="M245" i="66"/>
  <c r="L245" i="66"/>
  <c r="T244" i="66"/>
  <c r="U244" i="66" s="1"/>
  <c r="L244" i="66"/>
  <c r="M244" i="66" s="1"/>
  <c r="T243" i="66"/>
  <c r="U243" i="66" s="1"/>
  <c r="L243" i="66"/>
  <c r="M243" i="66" s="1"/>
  <c r="T242" i="66"/>
  <c r="U242" i="66" s="1"/>
  <c r="M242" i="66"/>
  <c r="L242" i="66"/>
  <c r="T241" i="66"/>
  <c r="U241" i="66" s="1"/>
  <c r="M241" i="66"/>
  <c r="L241" i="66"/>
  <c r="T240" i="66"/>
  <c r="U240" i="66" s="1"/>
  <c r="L240" i="66"/>
  <c r="M240" i="66" s="1"/>
  <c r="T239" i="66"/>
  <c r="U239" i="66" s="1"/>
  <c r="M239" i="66"/>
  <c r="L239" i="66"/>
  <c r="T238" i="66"/>
  <c r="U238" i="66" s="1"/>
  <c r="L238" i="66"/>
  <c r="M238" i="66" s="1"/>
  <c r="T237" i="66"/>
  <c r="U237" i="66" s="1"/>
  <c r="L237" i="66"/>
  <c r="M237" i="66" s="1"/>
  <c r="T236" i="66"/>
  <c r="U236" i="66" s="1"/>
  <c r="M236" i="66"/>
  <c r="L236" i="66"/>
  <c r="T235" i="66"/>
  <c r="U235" i="66" s="1"/>
  <c r="L235" i="66"/>
  <c r="M235" i="66" s="1"/>
  <c r="T234" i="66"/>
  <c r="U234" i="66" s="1"/>
  <c r="L234" i="66"/>
  <c r="M234" i="66" s="1"/>
  <c r="T233" i="66"/>
  <c r="U233" i="66" s="1"/>
  <c r="M233" i="66"/>
  <c r="L233" i="66"/>
  <c r="T232" i="66"/>
  <c r="U232" i="66" s="1"/>
  <c r="M232" i="66"/>
  <c r="L232" i="66"/>
  <c r="T231" i="66"/>
  <c r="U231" i="66" s="1"/>
  <c r="L231" i="66"/>
  <c r="M231" i="66" s="1"/>
  <c r="T230" i="66"/>
  <c r="U230" i="66" s="1"/>
  <c r="M230" i="66"/>
  <c r="L230" i="66"/>
  <c r="U229" i="66"/>
  <c r="T229" i="66"/>
  <c r="M229" i="66"/>
  <c r="L229" i="66"/>
  <c r="T228" i="66"/>
  <c r="U228" i="66" s="1"/>
  <c r="L228" i="66"/>
  <c r="M228" i="66" s="1"/>
  <c r="U227" i="66"/>
  <c r="T227" i="66"/>
  <c r="M227" i="66"/>
  <c r="L227" i="66"/>
  <c r="U226" i="66"/>
  <c r="T226" i="66"/>
  <c r="M226" i="66"/>
  <c r="L226" i="66"/>
  <c r="T225" i="66"/>
  <c r="U225" i="66" s="1"/>
  <c r="L225" i="66"/>
  <c r="M225" i="66" s="1"/>
  <c r="T224" i="66"/>
  <c r="U224" i="66" s="1"/>
  <c r="M224" i="66"/>
  <c r="L224" i="66"/>
  <c r="U223" i="66"/>
  <c r="T223" i="66"/>
  <c r="M223" i="66"/>
  <c r="L223" i="66"/>
  <c r="T222" i="66"/>
  <c r="U222" i="66" s="1"/>
  <c r="L222" i="66"/>
  <c r="M222" i="66" s="1"/>
  <c r="U221" i="66"/>
  <c r="T221" i="66"/>
  <c r="M221" i="66"/>
  <c r="L221" i="66"/>
  <c r="U220" i="66"/>
  <c r="T220" i="66"/>
  <c r="M220" i="66"/>
  <c r="L220" i="66"/>
  <c r="T219" i="66"/>
  <c r="U219" i="66" s="1"/>
  <c r="L219" i="66"/>
  <c r="M219" i="66" s="1"/>
  <c r="U218" i="66"/>
  <c r="T218" i="66"/>
  <c r="M218" i="66"/>
  <c r="L218" i="66"/>
  <c r="T217" i="66"/>
  <c r="U217" i="66" s="1"/>
  <c r="M217" i="66"/>
  <c r="L217" i="66"/>
  <c r="T216" i="66"/>
  <c r="U216" i="66" s="1"/>
  <c r="L216" i="66"/>
  <c r="M216" i="66" s="1"/>
  <c r="U215" i="66"/>
  <c r="T215" i="66"/>
  <c r="M215" i="66"/>
  <c r="L215" i="66"/>
  <c r="U214" i="66"/>
  <c r="T214" i="66"/>
  <c r="L214" i="66"/>
  <c r="M214" i="66" s="1"/>
  <c r="T213" i="66"/>
  <c r="U213" i="66" s="1"/>
  <c r="L213" i="66"/>
  <c r="M213" i="66" s="1"/>
  <c r="U212" i="66"/>
  <c r="T212" i="66"/>
  <c r="M212" i="66"/>
  <c r="L212" i="66"/>
  <c r="U211" i="66"/>
  <c r="T211" i="66"/>
  <c r="M211" i="66"/>
  <c r="L211" i="66"/>
  <c r="T210" i="66"/>
  <c r="U210" i="66" s="1"/>
  <c r="L210" i="66"/>
  <c r="M210" i="66" s="1"/>
  <c r="U209" i="66"/>
  <c r="T209" i="66"/>
  <c r="M209" i="66"/>
  <c r="L209" i="66"/>
  <c r="U208" i="66"/>
  <c r="T208" i="66"/>
  <c r="M208" i="66"/>
  <c r="L208" i="66"/>
  <c r="T207" i="66"/>
  <c r="U207" i="66" s="1"/>
  <c r="L207" i="66"/>
  <c r="M207" i="66" s="1"/>
  <c r="T206" i="66"/>
  <c r="U206" i="66" s="1"/>
  <c r="M206" i="66"/>
  <c r="L206" i="66"/>
  <c r="U205" i="66"/>
  <c r="T205" i="66"/>
  <c r="M205" i="66"/>
  <c r="L205" i="66"/>
  <c r="T204" i="66"/>
  <c r="U204" i="66" s="1"/>
  <c r="L204" i="66"/>
  <c r="M204" i="66" s="1"/>
  <c r="U203" i="66"/>
  <c r="T203" i="66"/>
  <c r="L203" i="66"/>
  <c r="M203" i="66" s="1"/>
  <c r="U202" i="66"/>
  <c r="T202" i="66"/>
  <c r="M202" i="66"/>
  <c r="L202" i="66"/>
  <c r="T201" i="66"/>
  <c r="U201" i="66" s="1"/>
  <c r="L201" i="66"/>
  <c r="M201" i="66" s="1"/>
  <c r="U200" i="66"/>
  <c r="T200" i="66"/>
  <c r="M200" i="66"/>
  <c r="L200" i="66"/>
  <c r="T199" i="66"/>
  <c r="U199" i="66" s="1"/>
  <c r="M199" i="66"/>
  <c r="L199" i="66"/>
  <c r="T198" i="66"/>
  <c r="U198" i="66" s="1"/>
  <c r="L198" i="66"/>
  <c r="M198" i="66" s="1"/>
  <c r="U197" i="66"/>
  <c r="T197" i="66"/>
  <c r="M197" i="66"/>
  <c r="L197" i="66"/>
  <c r="U196" i="66"/>
  <c r="T196" i="66"/>
  <c r="L196" i="66"/>
  <c r="M196" i="66" s="1"/>
  <c r="T195" i="66"/>
  <c r="U195" i="66" s="1"/>
  <c r="L195" i="66"/>
  <c r="M195" i="66" s="1"/>
  <c r="U194" i="66"/>
  <c r="T194" i="66"/>
  <c r="M194" i="66"/>
  <c r="L194" i="66"/>
  <c r="U193" i="66"/>
  <c r="T193" i="66"/>
  <c r="M193" i="66"/>
  <c r="L193" i="66"/>
  <c r="T192" i="66"/>
  <c r="U192" i="66" s="1"/>
  <c r="L192" i="66"/>
  <c r="M192" i="66" s="1"/>
  <c r="U191" i="66"/>
  <c r="T191" i="66"/>
  <c r="M191" i="66"/>
  <c r="L191" i="66"/>
  <c r="U190" i="66"/>
  <c r="T190" i="66"/>
  <c r="M190" i="66"/>
  <c r="L190" i="66"/>
  <c r="T189" i="66"/>
  <c r="U189" i="66" s="1"/>
  <c r="L189" i="66"/>
  <c r="M189" i="66" s="1"/>
  <c r="T188" i="66"/>
  <c r="U188" i="66" s="1"/>
  <c r="M188" i="66"/>
  <c r="L188" i="66"/>
  <c r="U187" i="66"/>
  <c r="T187" i="66"/>
  <c r="M187" i="66"/>
  <c r="L187" i="66"/>
  <c r="T186" i="66"/>
  <c r="U186" i="66" s="1"/>
  <c r="L186" i="66"/>
  <c r="M186" i="66" s="1"/>
  <c r="U185" i="66"/>
  <c r="T185" i="66"/>
  <c r="L185" i="66"/>
  <c r="M185" i="66" s="1"/>
  <c r="U184" i="66"/>
  <c r="T184" i="66"/>
  <c r="M184" i="66"/>
  <c r="L184" i="66"/>
  <c r="T183" i="66"/>
  <c r="U183" i="66" s="1"/>
  <c r="L183" i="66"/>
  <c r="M183" i="66" s="1"/>
  <c r="U182" i="66"/>
  <c r="T182" i="66"/>
  <c r="M182" i="66"/>
  <c r="L182" i="66"/>
  <c r="T181" i="66"/>
  <c r="U181" i="66" s="1"/>
  <c r="M181" i="66"/>
  <c r="L181" i="66"/>
  <c r="T180" i="66"/>
  <c r="U180" i="66" s="1"/>
  <c r="L180" i="66"/>
  <c r="M180" i="66" s="1"/>
  <c r="U179" i="66"/>
  <c r="T179" i="66"/>
  <c r="M179" i="66"/>
  <c r="L179" i="66"/>
  <c r="U178" i="66"/>
  <c r="T178" i="66"/>
  <c r="L178" i="66"/>
  <c r="M178" i="66" s="1"/>
  <c r="T177" i="66"/>
  <c r="U177" i="66" s="1"/>
  <c r="L177" i="66"/>
  <c r="M177" i="66" s="1"/>
  <c r="U176" i="66"/>
  <c r="T176" i="66"/>
  <c r="M176" i="66"/>
  <c r="L176" i="66"/>
  <c r="U175" i="66"/>
  <c r="T175" i="66"/>
  <c r="M175" i="66"/>
  <c r="L175" i="66"/>
  <c r="T174" i="66"/>
  <c r="U174" i="66" s="1"/>
  <c r="L174" i="66"/>
  <c r="M174" i="66" s="1"/>
  <c r="U173" i="66"/>
  <c r="T173" i="66"/>
  <c r="M173" i="66"/>
  <c r="L173" i="66"/>
  <c r="U172" i="66"/>
  <c r="T172" i="66"/>
  <c r="M172" i="66"/>
  <c r="L172" i="66"/>
  <c r="T171" i="66"/>
  <c r="U171" i="66" s="1"/>
  <c r="L171" i="66"/>
  <c r="M171" i="66" s="1"/>
  <c r="T170" i="66"/>
  <c r="U170" i="66" s="1"/>
  <c r="M170" i="66"/>
  <c r="L170" i="66"/>
  <c r="U169" i="66"/>
  <c r="T169" i="66"/>
  <c r="M169" i="66"/>
  <c r="L169" i="66"/>
  <c r="T168" i="66"/>
  <c r="U168" i="66" s="1"/>
  <c r="L168" i="66"/>
  <c r="M168" i="66" s="1"/>
  <c r="U167" i="66"/>
  <c r="T167" i="66"/>
  <c r="L167" i="66"/>
  <c r="M167" i="66" s="1"/>
  <c r="U166" i="66"/>
  <c r="T166" i="66"/>
  <c r="M166" i="66"/>
  <c r="L166" i="66"/>
  <c r="T165" i="66"/>
  <c r="U165" i="66" s="1"/>
  <c r="L165" i="66"/>
  <c r="M165" i="66" s="1"/>
  <c r="U164" i="66"/>
  <c r="T164" i="66"/>
  <c r="M164" i="66"/>
  <c r="L164" i="66"/>
  <c r="T163" i="66"/>
  <c r="U163" i="66" s="1"/>
  <c r="M163" i="66"/>
  <c r="L163" i="66"/>
  <c r="T162" i="66"/>
  <c r="U162" i="66" s="1"/>
  <c r="L162" i="66"/>
  <c r="M162" i="66" s="1"/>
  <c r="U161" i="66"/>
  <c r="T161" i="66"/>
  <c r="M161" i="66"/>
  <c r="L161" i="66"/>
  <c r="U160" i="66"/>
  <c r="T160" i="66"/>
  <c r="L160" i="66"/>
  <c r="M160" i="66" s="1"/>
  <c r="T159" i="66"/>
  <c r="U159" i="66" s="1"/>
  <c r="L159" i="66"/>
  <c r="M159" i="66" s="1"/>
  <c r="U158" i="66"/>
  <c r="T158" i="66"/>
  <c r="M158" i="66"/>
  <c r="L158" i="66"/>
  <c r="U157" i="66"/>
  <c r="T157" i="66"/>
  <c r="M157" i="66"/>
  <c r="L157" i="66"/>
  <c r="T156" i="66"/>
  <c r="U156" i="66" s="1"/>
  <c r="L156" i="66"/>
  <c r="M156" i="66" s="1"/>
  <c r="U155" i="66"/>
  <c r="T155" i="66"/>
  <c r="M155" i="66"/>
  <c r="L155" i="66"/>
  <c r="U154" i="66"/>
  <c r="T154" i="66"/>
  <c r="M154" i="66"/>
  <c r="L154" i="66"/>
  <c r="T153" i="66"/>
  <c r="U153" i="66" s="1"/>
  <c r="L153" i="66"/>
  <c r="M153" i="66" s="1"/>
  <c r="T152" i="66"/>
  <c r="U152" i="66" s="1"/>
  <c r="M152" i="66"/>
  <c r="L152" i="66"/>
  <c r="U151" i="66"/>
  <c r="T151" i="66"/>
  <c r="M151" i="66"/>
  <c r="L151" i="66"/>
  <c r="T150" i="66"/>
  <c r="U150" i="66" s="1"/>
  <c r="L150" i="66"/>
  <c r="M150" i="66" s="1"/>
  <c r="U149" i="66"/>
  <c r="T149" i="66"/>
  <c r="L149" i="66"/>
  <c r="M149" i="66" s="1"/>
  <c r="U148" i="66"/>
  <c r="T148" i="66"/>
  <c r="M148" i="66"/>
  <c r="L148" i="66"/>
  <c r="T147" i="66"/>
  <c r="U147" i="66" s="1"/>
  <c r="L147" i="66"/>
  <c r="M147" i="66" s="1"/>
  <c r="U146" i="66"/>
  <c r="T146" i="66"/>
  <c r="M146" i="66"/>
  <c r="L146" i="66"/>
  <c r="T145" i="66"/>
  <c r="U145" i="66" s="1"/>
  <c r="M145" i="66"/>
  <c r="L145" i="66"/>
  <c r="T144" i="66"/>
  <c r="U144" i="66" s="1"/>
  <c r="L144" i="66"/>
  <c r="M144" i="66" s="1"/>
  <c r="U143" i="66"/>
  <c r="T143" i="66"/>
  <c r="M143" i="66"/>
  <c r="L143" i="66"/>
  <c r="U142" i="66"/>
  <c r="T142" i="66"/>
  <c r="L142" i="66"/>
  <c r="M142" i="66" s="1"/>
  <c r="T141" i="66"/>
  <c r="U141" i="66" s="1"/>
  <c r="L141" i="66"/>
  <c r="M141" i="66" s="1"/>
  <c r="U140" i="66"/>
  <c r="T140" i="66"/>
  <c r="M140" i="66"/>
  <c r="L140" i="66"/>
  <c r="U139" i="66"/>
  <c r="T139" i="66"/>
  <c r="M139" i="66"/>
  <c r="L139" i="66"/>
  <c r="T138" i="66"/>
  <c r="U138" i="66" s="1"/>
  <c r="L138" i="66"/>
  <c r="M138" i="66" s="1"/>
  <c r="U137" i="66"/>
  <c r="T137" i="66"/>
  <c r="M137" i="66"/>
  <c r="L137" i="66"/>
  <c r="U136" i="66"/>
  <c r="T136" i="66"/>
  <c r="M136" i="66"/>
  <c r="L136" i="66"/>
  <c r="T135" i="66"/>
  <c r="U135" i="66" s="1"/>
  <c r="L135" i="66"/>
  <c r="M135" i="66" s="1"/>
  <c r="T134" i="66"/>
  <c r="U134" i="66" s="1"/>
  <c r="M134" i="66"/>
  <c r="L134" i="66"/>
  <c r="U133" i="66"/>
  <c r="T133" i="66"/>
  <c r="M133" i="66"/>
  <c r="L133" i="66"/>
  <c r="U132" i="66"/>
  <c r="T132" i="66"/>
  <c r="M132" i="66"/>
  <c r="L132" i="66"/>
  <c r="T131" i="66"/>
  <c r="U131" i="66" s="1"/>
  <c r="M131" i="66"/>
  <c r="L131" i="66"/>
  <c r="U130" i="66"/>
  <c r="T130" i="66"/>
  <c r="M130" i="66"/>
  <c r="L130" i="66"/>
  <c r="U129" i="66"/>
  <c r="T129" i="66"/>
  <c r="M129" i="66"/>
  <c r="L129" i="66"/>
  <c r="T128" i="66"/>
  <c r="U128" i="66" s="1"/>
  <c r="M128" i="66"/>
  <c r="L128" i="66"/>
  <c r="U127" i="66"/>
  <c r="T127" i="66"/>
  <c r="M127" i="66"/>
  <c r="L127" i="66"/>
  <c r="U126" i="66"/>
  <c r="T126" i="66"/>
  <c r="M126" i="66"/>
  <c r="L126" i="66"/>
  <c r="T125" i="66"/>
  <c r="U125" i="66" s="1"/>
  <c r="M125" i="66"/>
  <c r="L125" i="66"/>
  <c r="U124" i="66"/>
  <c r="T124" i="66"/>
  <c r="M124" i="66"/>
  <c r="L124" i="66"/>
  <c r="U123" i="66"/>
  <c r="T123" i="66"/>
  <c r="M123" i="66"/>
  <c r="L123" i="66"/>
  <c r="T122" i="66"/>
  <c r="U122" i="66" s="1"/>
  <c r="M122" i="66"/>
  <c r="L122" i="66"/>
  <c r="U121" i="66"/>
  <c r="T121" i="66"/>
  <c r="M121" i="66"/>
  <c r="L121" i="66"/>
  <c r="U120" i="66"/>
  <c r="T120" i="66"/>
  <c r="M120" i="66"/>
  <c r="L120" i="66"/>
  <c r="T119" i="66"/>
  <c r="U119" i="66" s="1"/>
  <c r="M119" i="66"/>
  <c r="L119" i="66"/>
  <c r="U118" i="66"/>
  <c r="T118" i="66"/>
  <c r="M118" i="66"/>
  <c r="L118" i="66"/>
  <c r="U117" i="66"/>
  <c r="T117" i="66"/>
  <c r="M117" i="66"/>
  <c r="L117" i="66"/>
  <c r="T116" i="66"/>
  <c r="U116" i="66" s="1"/>
  <c r="M116" i="66"/>
  <c r="L116" i="66"/>
  <c r="U115" i="66"/>
  <c r="T115" i="66"/>
  <c r="M115" i="66"/>
  <c r="L115" i="66"/>
  <c r="U114" i="66"/>
  <c r="T114" i="66"/>
  <c r="M114" i="66"/>
  <c r="L114" i="66"/>
  <c r="T113" i="66"/>
  <c r="U113" i="66" s="1"/>
  <c r="M113" i="66"/>
  <c r="L113" i="66"/>
  <c r="U112" i="66"/>
  <c r="T112" i="66"/>
  <c r="M112" i="66"/>
  <c r="L112" i="66"/>
  <c r="U111" i="66"/>
  <c r="T111" i="66"/>
  <c r="M111" i="66"/>
  <c r="L111" i="66"/>
  <c r="T110" i="66"/>
  <c r="U110" i="66" s="1"/>
  <c r="M110" i="66"/>
  <c r="L110" i="66"/>
  <c r="U109" i="66"/>
  <c r="T109" i="66"/>
  <c r="M109" i="66"/>
  <c r="L109" i="66"/>
  <c r="U108" i="66"/>
  <c r="T108" i="66"/>
  <c r="M108" i="66"/>
  <c r="L108" i="66"/>
  <c r="T107" i="66"/>
  <c r="U107" i="66" s="1"/>
  <c r="M107" i="66"/>
  <c r="L107" i="66"/>
  <c r="U106" i="66"/>
  <c r="T106" i="66"/>
  <c r="M106" i="66"/>
  <c r="L106" i="66"/>
  <c r="U105" i="66"/>
  <c r="T105" i="66"/>
  <c r="M105" i="66"/>
  <c r="L105" i="66"/>
  <c r="T104" i="66"/>
  <c r="U104" i="66" s="1"/>
  <c r="M104" i="66"/>
  <c r="L104" i="66"/>
  <c r="U103" i="66"/>
  <c r="T103" i="66"/>
  <c r="M103" i="66"/>
  <c r="L103" i="66"/>
  <c r="U102" i="66"/>
  <c r="T102" i="66"/>
  <c r="M102" i="66"/>
  <c r="L102" i="66"/>
  <c r="T101" i="66"/>
  <c r="U101" i="66" s="1"/>
  <c r="M101" i="66"/>
  <c r="L101" i="66"/>
  <c r="U100" i="66"/>
  <c r="T100" i="66"/>
  <c r="M100" i="66"/>
  <c r="L100" i="66"/>
  <c r="U99" i="66"/>
  <c r="T99" i="66"/>
  <c r="M99" i="66"/>
  <c r="L99" i="66"/>
  <c r="T98" i="66"/>
  <c r="U98" i="66" s="1"/>
  <c r="M98" i="66"/>
  <c r="L98" i="66"/>
  <c r="U97" i="66"/>
  <c r="T97" i="66"/>
  <c r="M97" i="66"/>
  <c r="L97" i="66"/>
  <c r="U96" i="66"/>
  <c r="T96" i="66"/>
  <c r="M96" i="66"/>
  <c r="L96" i="66"/>
  <c r="T95" i="66"/>
  <c r="U95" i="66" s="1"/>
  <c r="M95" i="66"/>
  <c r="L95" i="66"/>
  <c r="U94" i="66"/>
  <c r="T94" i="66"/>
  <c r="M94" i="66"/>
  <c r="L94" i="66"/>
  <c r="U93" i="66"/>
  <c r="T93" i="66"/>
  <c r="M93" i="66"/>
  <c r="L93" i="66"/>
  <c r="T92" i="66"/>
  <c r="U92" i="66" s="1"/>
  <c r="M92" i="66"/>
  <c r="L92" i="66"/>
  <c r="U91" i="66"/>
  <c r="T91" i="66"/>
  <c r="M91" i="66"/>
  <c r="L91" i="66"/>
  <c r="U90" i="66"/>
  <c r="T90" i="66"/>
  <c r="M90" i="66"/>
  <c r="L90" i="66"/>
  <c r="T89" i="66"/>
  <c r="U89" i="66" s="1"/>
  <c r="M89" i="66"/>
  <c r="L89" i="66"/>
  <c r="U88" i="66"/>
  <c r="T88" i="66"/>
  <c r="M88" i="66"/>
  <c r="L88" i="66"/>
  <c r="U87" i="66"/>
  <c r="T87" i="66"/>
  <c r="M87" i="66"/>
  <c r="L87" i="66"/>
  <c r="T86" i="66"/>
  <c r="U86" i="66" s="1"/>
  <c r="M86" i="66"/>
  <c r="L86" i="66"/>
  <c r="U85" i="66"/>
  <c r="T85" i="66"/>
  <c r="M85" i="66"/>
  <c r="L85" i="66"/>
  <c r="U84" i="66"/>
  <c r="T84" i="66"/>
  <c r="M84" i="66"/>
  <c r="L84" i="66"/>
  <c r="T83" i="66"/>
  <c r="U83" i="66" s="1"/>
  <c r="M83" i="66"/>
  <c r="L83" i="66"/>
  <c r="U82" i="66"/>
  <c r="T82" i="66"/>
  <c r="M82" i="66"/>
  <c r="L82" i="66"/>
  <c r="U81" i="66"/>
  <c r="T81" i="66"/>
  <c r="M81" i="66"/>
  <c r="L81" i="66"/>
  <c r="T80" i="66"/>
  <c r="U80" i="66" s="1"/>
  <c r="M80" i="66"/>
  <c r="L80" i="66"/>
  <c r="U79" i="66"/>
  <c r="T79" i="66"/>
  <c r="M79" i="66"/>
  <c r="L79" i="66"/>
  <c r="U78" i="66"/>
  <c r="T78" i="66"/>
  <c r="M78" i="66"/>
  <c r="L78" i="66"/>
  <c r="T77" i="66"/>
  <c r="U77" i="66" s="1"/>
  <c r="M77" i="66"/>
  <c r="L77" i="66"/>
  <c r="U76" i="66"/>
  <c r="T76" i="66"/>
  <c r="M76" i="66"/>
  <c r="L76" i="66"/>
  <c r="U75" i="66"/>
  <c r="T75" i="66"/>
  <c r="M75" i="66"/>
  <c r="L75" i="66"/>
  <c r="T74" i="66"/>
  <c r="U74" i="66" s="1"/>
  <c r="M74" i="66"/>
  <c r="L74" i="66"/>
  <c r="U73" i="66"/>
  <c r="T73" i="66"/>
  <c r="M73" i="66"/>
  <c r="L73" i="66"/>
  <c r="U72" i="66"/>
  <c r="T72" i="66"/>
  <c r="M72" i="66"/>
  <c r="L72" i="66"/>
  <c r="T71" i="66"/>
  <c r="U71" i="66" s="1"/>
  <c r="M71" i="66"/>
  <c r="L71" i="66"/>
  <c r="U70" i="66"/>
  <c r="T70" i="66"/>
  <c r="M70" i="66"/>
  <c r="L70" i="66"/>
  <c r="U69" i="66"/>
  <c r="T69" i="66"/>
  <c r="M69" i="66"/>
  <c r="L69" i="66"/>
  <c r="T68" i="66"/>
  <c r="U68" i="66" s="1"/>
  <c r="M68" i="66"/>
  <c r="L68" i="66"/>
  <c r="U67" i="66"/>
  <c r="T67" i="66"/>
  <c r="M67" i="66"/>
  <c r="L67" i="66"/>
  <c r="U66" i="66"/>
  <c r="T66" i="66"/>
  <c r="M66" i="66"/>
  <c r="L66" i="66"/>
  <c r="T65" i="66"/>
  <c r="U65" i="66" s="1"/>
  <c r="M65" i="66"/>
  <c r="L65" i="66"/>
  <c r="U64" i="66"/>
  <c r="T64" i="66"/>
  <c r="M64" i="66"/>
  <c r="L64" i="66"/>
  <c r="U63" i="66"/>
  <c r="T63" i="66"/>
  <c r="M63" i="66"/>
  <c r="L63" i="66"/>
  <c r="T62" i="66"/>
  <c r="U62" i="66" s="1"/>
  <c r="M62" i="66"/>
  <c r="L62" i="66"/>
  <c r="U61" i="66"/>
  <c r="T61" i="66"/>
  <c r="M61" i="66"/>
  <c r="L61" i="66"/>
  <c r="U60" i="66"/>
  <c r="T60" i="66"/>
  <c r="M60" i="66"/>
  <c r="L60" i="66"/>
  <c r="T59" i="66"/>
  <c r="U59" i="66" s="1"/>
  <c r="M59" i="66"/>
  <c r="L59" i="66"/>
  <c r="U58" i="66"/>
  <c r="T58" i="66"/>
  <c r="M58" i="66"/>
  <c r="L58" i="66"/>
  <c r="U57" i="66"/>
  <c r="T57" i="66"/>
  <c r="M57" i="66"/>
  <c r="L57" i="66"/>
  <c r="T56" i="66"/>
  <c r="U56" i="66" s="1"/>
  <c r="M56" i="66"/>
  <c r="L56" i="66"/>
  <c r="U55" i="66"/>
  <c r="T55" i="66"/>
  <c r="M55" i="66"/>
  <c r="L55" i="66"/>
  <c r="U54" i="66"/>
  <c r="T54" i="66"/>
  <c r="M54" i="66"/>
  <c r="L54" i="66"/>
  <c r="T53" i="66"/>
  <c r="U53" i="66" s="1"/>
  <c r="M53" i="66"/>
  <c r="L53" i="66"/>
  <c r="U52" i="66"/>
  <c r="T52" i="66"/>
  <c r="M52" i="66"/>
  <c r="L52" i="66"/>
  <c r="U51" i="66"/>
  <c r="T51" i="66"/>
  <c r="M51" i="66"/>
  <c r="L51" i="66"/>
  <c r="T50" i="66"/>
  <c r="U50" i="66" s="1"/>
  <c r="M50" i="66"/>
  <c r="L50" i="66"/>
  <c r="U49" i="66"/>
  <c r="T49" i="66"/>
  <c r="M49" i="66"/>
  <c r="L49" i="66"/>
  <c r="U48" i="66"/>
  <c r="T48" i="66"/>
  <c r="M48" i="66"/>
  <c r="L48" i="66"/>
  <c r="T47" i="66"/>
  <c r="U47" i="66" s="1"/>
  <c r="M47" i="66"/>
  <c r="L47" i="66"/>
  <c r="U46" i="66"/>
  <c r="T46" i="66"/>
  <c r="M46" i="66"/>
  <c r="L46" i="66"/>
  <c r="U45" i="66"/>
  <c r="T45" i="66"/>
  <c r="M45" i="66"/>
  <c r="L45" i="66"/>
  <c r="T44" i="66"/>
  <c r="U44" i="66" s="1"/>
  <c r="M44" i="66"/>
  <c r="L44" i="66"/>
  <c r="U43" i="66"/>
  <c r="T43" i="66"/>
  <c r="M43" i="66"/>
  <c r="L43" i="66"/>
  <c r="U42" i="66"/>
  <c r="T42" i="66"/>
  <c r="M42" i="66"/>
  <c r="L42" i="66"/>
  <c r="T41" i="66"/>
  <c r="U41" i="66" s="1"/>
  <c r="M41" i="66"/>
  <c r="L41" i="66"/>
  <c r="U40" i="66"/>
  <c r="T40" i="66"/>
  <c r="M40" i="66"/>
  <c r="L40" i="66"/>
  <c r="U39" i="66"/>
  <c r="T39" i="66"/>
  <c r="M39" i="66"/>
  <c r="L39" i="66"/>
  <c r="T38" i="66"/>
  <c r="U38" i="66" s="1"/>
  <c r="M38" i="66"/>
  <c r="L38" i="66"/>
  <c r="U37" i="66"/>
  <c r="T37" i="66"/>
  <c r="M37" i="66"/>
  <c r="L37" i="66"/>
  <c r="U36" i="66"/>
  <c r="T36" i="66"/>
  <c r="M36" i="66"/>
  <c r="L36" i="66"/>
  <c r="T35" i="66"/>
  <c r="U35" i="66" s="1"/>
  <c r="M35" i="66"/>
  <c r="L35" i="66"/>
  <c r="U34" i="66"/>
  <c r="T34" i="66"/>
  <c r="M34" i="66"/>
  <c r="L34" i="66"/>
  <c r="U33" i="66"/>
  <c r="T33" i="66"/>
  <c r="M33" i="66"/>
  <c r="L33" i="66"/>
  <c r="T32" i="66"/>
  <c r="U32" i="66" s="1"/>
  <c r="M32" i="66"/>
  <c r="L32" i="66"/>
  <c r="U31" i="66"/>
  <c r="T31" i="66"/>
  <c r="M31" i="66"/>
  <c r="L31" i="66"/>
  <c r="U30" i="66"/>
  <c r="T30" i="66"/>
  <c r="M30" i="66"/>
  <c r="L30" i="66"/>
  <c r="T29" i="66"/>
  <c r="U29" i="66" s="1"/>
  <c r="M29" i="66"/>
  <c r="L29" i="66"/>
  <c r="U28" i="66"/>
  <c r="T28" i="66"/>
  <c r="M28" i="66"/>
  <c r="L28" i="66"/>
  <c r="U27" i="66"/>
  <c r="T27" i="66"/>
  <c r="M27" i="66"/>
  <c r="L27" i="66"/>
  <c r="T26" i="66"/>
  <c r="U26" i="66" s="1"/>
  <c r="M26" i="66"/>
  <c r="L26" i="66"/>
  <c r="U25" i="66"/>
  <c r="T25" i="66"/>
  <c r="M25" i="66"/>
  <c r="L25" i="66"/>
  <c r="T24" i="66"/>
  <c r="U24" i="66" s="1"/>
  <c r="M24" i="66"/>
  <c r="L24" i="66"/>
  <c r="U23" i="66"/>
  <c r="T23" i="66"/>
  <c r="L23" i="66"/>
  <c r="I4" i="66" s="1"/>
  <c r="K4" i="66" s="1"/>
  <c r="U22" i="66"/>
  <c r="T22" i="66"/>
  <c r="M22" i="66"/>
  <c r="L22" i="66"/>
  <c r="U21" i="66"/>
  <c r="T21" i="66"/>
  <c r="M21" i="66"/>
  <c r="L21" i="66"/>
  <c r="U20" i="66"/>
  <c r="T20" i="66"/>
  <c r="M20" i="66"/>
  <c r="L20" i="66"/>
  <c r="T19" i="66"/>
  <c r="U19" i="66" s="1"/>
  <c r="L19" i="66"/>
  <c r="M19" i="66" s="1"/>
  <c r="U18" i="66"/>
  <c r="T18" i="66"/>
  <c r="M18" i="66"/>
  <c r="L18" i="66"/>
  <c r="T17" i="66"/>
  <c r="U17" i="66" s="1"/>
  <c r="M17" i="66"/>
  <c r="L17" i="66"/>
  <c r="T16" i="66"/>
  <c r="U16" i="66" s="1"/>
  <c r="M16" i="66"/>
  <c r="L16" i="66"/>
  <c r="T15" i="66"/>
  <c r="U15" i="66" s="1"/>
  <c r="L15" i="66"/>
  <c r="M15" i="66" s="1"/>
  <c r="U14" i="66"/>
  <c r="T14" i="66"/>
  <c r="M14" i="66"/>
  <c r="L14" i="66"/>
  <c r="U13" i="66"/>
  <c r="T13" i="66"/>
  <c r="L13" i="66"/>
  <c r="M13" i="66" s="1"/>
  <c r="T12" i="66"/>
  <c r="U12" i="66" s="1"/>
  <c r="L12" i="66"/>
  <c r="M12" i="66" s="1"/>
  <c r="FG11" i="66"/>
  <c r="FD4" i="66" s="1"/>
  <c r="FF4" i="66" s="1"/>
  <c r="EY11" i="66"/>
  <c r="EZ11" i="66" s="1"/>
  <c r="EZ9" i="66" s="1"/>
  <c r="EP11" i="66"/>
  <c r="EQ11" i="66" s="1"/>
  <c r="EQ9" i="66" s="1"/>
  <c r="EH11" i="66"/>
  <c r="EI11" i="66" s="1"/>
  <c r="EI9" i="66" s="1"/>
  <c r="DY11" i="66"/>
  <c r="DX11" i="66"/>
  <c r="DQ11" i="66"/>
  <c r="DP11" i="66"/>
  <c r="DF11" i="66"/>
  <c r="DF6" i="66" s="1"/>
  <c r="CX11" i="66"/>
  <c r="CY11" i="66" s="1"/>
  <c r="CY9" i="66" s="1"/>
  <c r="CN11" i="66"/>
  <c r="CO11" i="66" s="1"/>
  <c r="CO9" i="66" s="1"/>
  <c r="CF11" i="66"/>
  <c r="CG11" i="66" s="1"/>
  <c r="CG9" i="66" s="1"/>
  <c r="BW11" i="66"/>
  <c r="BW9" i="66" s="1"/>
  <c r="BV11" i="66"/>
  <c r="BO11" i="66"/>
  <c r="BO9" i="66" s="1"/>
  <c r="BN11" i="66"/>
  <c r="BD11" i="66"/>
  <c r="BD6" i="66" s="1"/>
  <c r="AV11" i="66"/>
  <c r="AW11" i="66" s="1"/>
  <c r="AW9" i="66" s="1"/>
  <c r="AL11" i="66"/>
  <c r="AM11" i="66" s="1"/>
  <c r="AM9" i="66" s="1"/>
  <c r="AD11" i="66"/>
  <c r="AE11" i="66" s="1"/>
  <c r="AE9" i="66" s="1"/>
  <c r="U11" i="66"/>
  <c r="T11" i="66"/>
  <c r="M11" i="66"/>
  <c r="L11" i="66"/>
  <c r="DY9" i="66"/>
  <c r="DY7" i="66" s="1"/>
  <c r="DQ9" i="66"/>
  <c r="FG7" i="66"/>
  <c r="FF7" i="66" s="1"/>
  <c r="EY7" i="66"/>
  <c r="EX7" i="66"/>
  <c r="EP7" i="66"/>
  <c r="EO7" i="66"/>
  <c r="EH7" i="66"/>
  <c r="EG7" i="66"/>
  <c r="EH9" i="66" s="1"/>
  <c r="DX7" i="66"/>
  <c r="DW7" i="66" s="1"/>
  <c r="DQ7" i="66"/>
  <c r="DP7" i="66"/>
  <c r="DO7" i="66"/>
  <c r="DF7" i="66"/>
  <c r="CX7" i="66"/>
  <c r="CW7" i="66"/>
  <c r="CN7" i="66"/>
  <c r="CM7" i="66" s="1"/>
  <c r="CF7" i="66"/>
  <c r="CE7" i="66" s="1"/>
  <c r="BV7" i="66"/>
  <c r="BU7" i="66" s="1"/>
  <c r="BN7" i="66"/>
  <c r="BM7" i="66"/>
  <c r="BD7" i="66"/>
  <c r="BC7" i="66" s="1"/>
  <c r="AV7" i="66"/>
  <c r="AU7" i="66" s="1"/>
  <c r="AL7" i="66"/>
  <c r="AK7" i="66" s="1"/>
  <c r="AG2" i="66" s="1"/>
  <c r="AD7" i="66"/>
  <c r="AC7" i="66"/>
  <c r="Y2" i="66" s="1"/>
  <c r="T7" i="66"/>
  <c r="S7" i="66" s="1"/>
  <c r="L7" i="66"/>
  <c r="K7" i="66" s="1"/>
  <c r="FG6" i="66"/>
  <c r="FG9" i="66" s="1"/>
  <c r="FF6" i="66"/>
  <c r="EY6" i="66"/>
  <c r="EY9" i="66" s="1"/>
  <c r="EX6" i="66"/>
  <c r="EP6" i="66"/>
  <c r="EO6" i="66"/>
  <c r="EP9" i="66" s="1"/>
  <c r="EH6" i="66"/>
  <c r="EG6" i="66"/>
  <c r="DX6" i="66"/>
  <c r="DW6" i="66"/>
  <c r="DP6" i="66"/>
  <c r="DP9" i="66" s="1"/>
  <c r="DO6" i="66"/>
  <c r="CX6" i="66"/>
  <c r="CX9" i="66" s="1"/>
  <c r="B21" i="66" s="1"/>
  <c r="CW6" i="66"/>
  <c r="CN6" i="66"/>
  <c r="CN9" i="66" s="1"/>
  <c r="B20" i="66" s="1"/>
  <c r="CM6" i="66"/>
  <c r="CF6" i="66"/>
  <c r="BV6" i="66"/>
  <c r="BU6" i="66"/>
  <c r="BN6" i="66"/>
  <c r="BN9" i="66" s="1"/>
  <c r="B17" i="66" s="1"/>
  <c r="BM6" i="66"/>
  <c r="AV6" i="66"/>
  <c r="AL6" i="66"/>
  <c r="AK6" i="66"/>
  <c r="AD6" i="66"/>
  <c r="AD9" i="66" s="1"/>
  <c r="B13" i="66" s="1"/>
  <c r="AC6" i="66"/>
  <c r="T6" i="66"/>
  <c r="S6" i="66" s="1"/>
  <c r="L6" i="66"/>
  <c r="DY5" i="66"/>
  <c r="DQ5" i="66"/>
  <c r="EV4" i="66"/>
  <c r="EX4" i="66" s="1"/>
  <c r="EO4" i="66"/>
  <c r="EM4" i="66"/>
  <c r="EG4" i="66"/>
  <c r="EE4" i="66"/>
  <c r="DW4" i="66"/>
  <c r="DU4" i="66"/>
  <c r="DM4" i="66"/>
  <c r="DO4" i="66" s="1"/>
  <c r="CW4" i="66"/>
  <c r="CU4" i="66"/>
  <c r="CM4" i="66"/>
  <c r="CK4" i="66"/>
  <c r="CC4" i="66"/>
  <c r="CE4" i="66" s="1"/>
  <c r="BU4" i="66"/>
  <c r="BS4" i="66"/>
  <c r="BM4" i="66"/>
  <c r="BK4" i="66"/>
  <c r="AU4" i="66"/>
  <c r="AS4" i="66"/>
  <c r="AI4" i="66"/>
  <c r="AK4" i="66" s="1"/>
  <c r="AC4" i="66"/>
  <c r="AA4" i="66"/>
  <c r="EV3" i="66"/>
  <c r="EO3" i="66"/>
  <c r="EM3" i="66"/>
  <c r="EM6" i="66" s="1"/>
  <c r="EG3" i="66"/>
  <c r="EE3" i="66"/>
  <c r="EE6" i="66" s="1"/>
  <c r="DY3" i="66"/>
  <c r="DW3" i="66"/>
  <c r="DU3" i="66"/>
  <c r="DU6" i="66" s="1"/>
  <c r="DQ3" i="66"/>
  <c r="DM3" i="66"/>
  <c r="DO3" i="66" s="1"/>
  <c r="CW3" i="66"/>
  <c r="CU3" i="66"/>
  <c r="CU6" i="66" s="1"/>
  <c r="A21" i="66" s="1"/>
  <c r="CM3" i="66"/>
  <c r="CK3" i="66"/>
  <c r="CK6" i="66" s="1"/>
  <c r="A20" i="66" s="1"/>
  <c r="CC3" i="66"/>
  <c r="BU3" i="66"/>
  <c r="BS3" i="66"/>
  <c r="BS6" i="66" s="1"/>
  <c r="A18" i="66" s="1"/>
  <c r="BM3" i="66"/>
  <c r="BK3" i="66"/>
  <c r="BK6" i="66" s="1"/>
  <c r="A17" i="66" s="1"/>
  <c r="AS3" i="66"/>
  <c r="AK3" i="66"/>
  <c r="AI3" i="66"/>
  <c r="AI6" i="66" s="1"/>
  <c r="A14" i="66" s="1"/>
  <c r="AC3" i="66"/>
  <c r="AA3" i="66"/>
  <c r="AA6" i="66" s="1"/>
  <c r="A13" i="66" s="1"/>
  <c r="I3" i="66"/>
  <c r="A4" i="63" a="1"/>
  <c r="A4" i="63" l="1"/>
  <c r="DX9" i="66"/>
  <c r="BW3" i="66"/>
  <c r="BW7" i="66"/>
  <c r="BW5" i="66"/>
  <c r="CG7" i="66"/>
  <c r="CG5" i="66"/>
  <c r="CG3" i="66"/>
  <c r="M9" i="66"/>
  <c r="CO7" i="66"/>
  <c r="CO3" i="66"/>
  <c r="CN4" i="66" s="1"/>
  <c r="CO5" i="66"/>
  <c r="BV9" i="66"/>
  <c r="B18" i="66" s="1"/>
  <c r="AY2" i="66"/>
  <c r="CY3" i="66"/>
  <c r="CX4" i="66" s="1"/>
  <c r="CY5" i="66"/>
  <c r="CY7" i="66"/>
  <c r="EV6" i="66"/>
  <c r="U9" i="66"/>
  <c r="DE6" i="66"/>
  <c r="DF9" i="66" s="1"/>
  <c r="B22" i="66" s="1"/>
  <c r="AE5" i="66"/>
  <c r="AE3" i="66"/>
  <c r="AD4" i="66" s="1"/>
  <c r="AE7" i="66"/>
  <c r="AM3" i="66"/>
  <c r="AM5" i="66"/>
  <c r="AM7" i="66"/>
  <c r="AW5" i="66"/>
  <c r="AW7" i="66"/>
  <c r="AW3" i="66"/>
  <c r="DP4" i="66"/>
  <c r="DP2" i="66" s="1"/>
  <c r="DM9" i="66" s="1"/>
  <c r="E23" i="66" s="1"/>
  <c r="BC6" i="66"/>
  <c r="BD9" i="66"/>
  <c r="B16" i="66" s="1"/>
  <c r="EI5" i="66"/>
  <c r="EI3" i="66"/>
  <c r="EH4" i="66" s="1"/>
  <c r="EH2" i="66" s="1"/>
  <c r="EE9" i="66" s="1"/>
  <c r="E25" i="66" s="1"/>
  <c r="EI7" i="66"/>
  <c r="AL9" i="66"/>
  <c r="B14" i="66" s="1"/>
  <c r="O2" i="66"/>
  <c r="BO3" i="66"/>
  <c r="BN4" i="66" s="1"/>
  <c r="BO5" i="66"/>
  <c r="BO7" i="66"/>
  <c r="EQ3" i="66"/>
  <c r="EP4" i="66" s="1"/>
  <c r="EP2" i="66" s="1"/>
  <c r="EQ5" i="66"/>
  <c r="EQ7" i="66"/>
  <c r="DX4" i="66"/>
  <c r="DX2" i="66" s="1"/>
  <c r="AV9" i="66"/>
  <c r="B15" i="66" s="1"/>
  <c r="EZ5" i="66"/>
  <c r="EZ7" i="66"/>
  <c r="EZ3" i="66"/>
  <c r="DM6" i="66"/>
  <c r="K3" i="66"/>
  <c r="G4" i="66" s="1"/>
  <c r="AU3" i="66"/>
  <c r="AQ4" i="66" s="1"/>
  <c r="CE3" i="66"/>
  <c r="CC6" i="66" s="1"/>
  <c r="A19" i="66" s="1"/>
  <c r="EX3" i="66"/>
  <c r="K6" i="66"/>
  <c r="L9" i="66" s="1"/>
  <c r="B11" i="66" s="1"/>
  <c r="AU6" i="66"/>
  <c r="AQ2" i="66" s="1"/>
  <c r="CE6" i="66"/>
  <c r="CF9" i="66" s="1"/>
  <c r="B19" i="66" s="1"/>
  <c r="BE11" i="66"/>
  <c r="BE9" i="66" s="1"/>
  <c r="DG11" i="66"/>
  <c r="DG9" i="66" s="1"/>
  <c r="FH11" i="66"/>
  <c r="FH9" i="66" s="1"/>
  <c r="M23" i="66"/>
  <c r="I6" i="66"/>
  <c r="A11" i="66" s="1"/>
  <c r="Y4" i="66"/>
  <c r="Q3" i="66"/>
  <c r="BA3" i="66"/>
  <c r="FD3" i="66"/>
  <c r="BA4" i="66"/>
  <c r="BC4" i="66" s="1"/>
  <c r="DE7" i="66"/>
  <c r="T9" i="66"/>
  <c r="B12" i="66" s="1"/>
  <c r="AS6" i="66"/>
  <c r="A15" i="66" s="1"/>
  <c r="AG4" i="66"/>
  <c r="DC3" i="66"/>
  <c r="DC4" i="66"/>
  <c r="DE4" i="66" s="1"/>
  <c r="Q4" i="66"/>
  <c r="S4" i="66" s="1"/>
  <c r="FF3" i="66" l="1"/>
  <c r="FD6" i="66" s="1"/>
  <c r="CN2" i="66"/>
  <c r="D20" i="66" s="1"/>
  <c r="C20" i="66"/>
  <c r="AV4" i="66"/>
  <c r="U7" i="66"/>
  <c r="U5" i="66"/>
  <c r="U3" i="66"/>
  <c r="M7" i="66"/>
  <c r="M5" i="66"/>
  <c r="M3" i="66"/>
  <c r="L4" i="66" s="1"/>
  <c r="S3" i="66"/>
  <c r="Q6" i="66" s="1"/>
  <c r="A12" i="66" s="1"/>
  <c r="C17" i="66"/>
  <c r="BN2" i="66"/>
  <c r="C19" i="66"/>
  <c r="EY4" i="66"/>
  <c r="EY2" i="66" s="1"/>
  <c r="EV9" i="66" s="1"/>
  <c r="CF4" i="66"/>
  <c r="CF2" i="66" s="1"/>
  <c r="BC3" i="66"/>
  <c r="BA6" i="66" s="1"/>
  <c r="A16" i="66" s="1"/>
  <c r="DE3" i="66"/>
  <c r="DC6" i="66"/>
  <c r="A22" i="66" s="1"/>
  <c r="FH7" i="66"/>
  <c r="FH5" i="66"/>
  <c r="FH3" i="66"/>
  <c r="DG3" i="66"/>
  <c r="DG7" i="66"/>
  <c r="DG5" i="66"/>
  <c r="AL4" i="66"/>
  <c r="C21" i="66"/>
  <c r="CX2" i="66"/>
  <c r="G2" i="66"/>
  <c r="C13" i="66"/>
  <c r="AD2" i="66"/>
  <c r="BE7" i="66"/>
  <c r="BE5" i="66"/>
  <c r="BE3" i="66"/>
  <c r="BV4" i="66"/>
  <c r="J4" i="63"/>
  <c r="E4" i="63"/>
  <c r="O4" i="66" l="1"/>
  <c r="C11" i="66"/>
  <c r="L2" i="66"/>
  <c r="AY4" i="66"/>
  <c r="D21" i="66"/>
  <c r="CU9" i="66"/>
  <c r="E21" i="66" s="1"/>
  <c r="C14" i="66"/>
  <c r="AL2" i="66"/>
  <c r="D14" i="66" s="1"/>
  <c r="CC9" i="66"/>
  <c r="E19" i="66" s="1"/>
  <c r="D19" i="66"/>
  <c r="AA9" i="66"/>
  <c r="E13" i="66" s="1"/>
  <c r="D13" i="66"/>
  <c r="T4" i="66"/>
  <c r="AV2" i="66"/>
  <c r="C15" i="66"/>
  <c r="C18" i="66"/>
  <c r="BV2" i="66"/>
  <c r="D18" i="66" s="1"/>
  <c r="DF4" i="66"/>
  <c r="D17" i="66"/>
  <c r="BK9" i="66"/>
  <c r="E17" i="66" s="1"/>
  <c r="BD4" i="66"/>
  <c r="FG4" i="66"/>
  <c r="FG2" i="66" s="1"/>
  <c r="I4" i="63"/>
  <c r="G4" i="63"/>
  <c r="L4" i="63"/>
  <c r="C4" i="63"/>
  <c r="D4" i="63"/>
  <c r="B4" i="63"/>
  <c r="H4" i="63"/>
  <c r="I9" i="66" l="1"/>
  <c r="E11" i="66" s="1"/>
  <c r="D11" i="66"/>
  <c r="C12" i="66"/>
  <c r="T2" i="66"/>
  <c r="D12" i="66" s="1"/>
  <c r="BD2" i="66"/>
  <c r="D16" i="66" s="1"/>
  <c r="C16" i="66"/>
  <c r="C22" i="66"/>
  <c r="DF2" i="66"/>
  <c r="D22" i="66" s="1"/>
  <c r="AS9" i="66"/>
  <c r="E15" i="66" s="1"/>
  <c r="D15" i="66"/>
  <c r="BD376" i="65" l="1"/>
  <c r="BE376" i="65" s="1"/>
  <c r="AW376" i="65"/>
  <c r="AV376" i="65"/>
  <c r="AL376" i="65"/>
  <c r="AM376" i="65" s="1"/>
  <c r="AE376" i="65"/>
  <c r="AD376" i="65"/>
  <c r="T376" i="65"/>
  <c r="U376" i="65" s="1"/>
  <c r="M376" i="65"/>
  <c r="L376" i="65"/>
  <c r="BD375" i="65"/>
  <c r="BE375" i="65" s="1"/>
  <c r="AW375" i="65"/>
  <c r="AV375" i="65"/>
  <c r="AL375" i="65"/>
  <c r="AM375" i="65" s="1"/>
  <c r="AE375" i="65"/>
  <c r="AD375" i="65"/>
  <c r="T375" i="65"/>
  <c r="U375" i="65" s="1"/>
  <c r="M375" i="65"/>
  <c r="L375" i="65"/>
  <c r="BD374" i="65"/>
  <c r="BE374" i="65" s="1"/>
  <c r="AW374" i="65"/>
  <c r="AV374" i="65"/>
  <c r="AL374" i="65"/>
  <c r="AM374" i="65" s="1"/>
  <c r="AE374" i="65"/>
  <c r="AD374" i="65"/>
  <c r="T374" i="65"/>
  <c r="U374" i="65" s="1"/>
  <c r="M374" i="65"/>
  <c r="L374" i="65"/>
  <c r="BD373" i="65"/>
  <c r="BE373" i="65" s="1"/>
  <c r="AW373" i="65"/>
  <c r="AV373" i="65"/>
  <c r="AL373" i="65"/>
  <c r="AM373" i="65" s="1"/>
  <c r="AE373" i="65"/>
  <c r="AD373" i="65"/>
  <c r="T373" i="65"/>
  <c r="U373" i="65" s="1"/>
  <c r="M373" i="65"/>
  <c r="L373" i="65"/>
  <c r="BD372" i="65"/>
  <c r="BE372" i="65" s="1"/>
  <c r="AW372" i="65"/>
  <c r="AV372" i="65"/>
  <c r="AL372" i="65"/>
  <c r="AM372" i="65" s="1"/>
  <c r="AE372" i="65"/>
  <c r="AD372" i="65"/>
  <c r="T372" i="65"/>
  <c r="U372" i="65" s="1"/>
  <c r="M372" i="65"/>
  <c r="L372" i="65"/>
  <c r="BD371" i="65"/>
  <c r="BE371" i="65" s="1"/>
  <c r="AW371" i="65"/>
  <c r="AV371" i="65"/>
  <c r="AL371" i="65"/>
  <c r="AM371" i="65" s="1"/>
  <c r="AE371" i="65"/>
  <c r="AD371" i="65"/>
  <c r="T371" i="65"/>
  <c r="U371" i="65" s="1"/>
  <c r="M371" i="65"/>
  <c r="L371" i="65"/>
  <c r="BD370" i="65"/>
  <c r="BE370" i="65" s="1"/>
  <c r="AW370" i="65"/>
  <c r="AV370" i="65"/>
  <c r="AL370" i="65"/>
  <c r="AM370" i="65" s="1"/>
  <c r="AE370" i="65"/>
  <c r="AD370" i="65"/>
  <c r="T370" i="65"/>
  <c r="U370" i="65" s="1"/>
  <c r="M370" i="65"/>
  <c r="L370" i="65"/>
  <c r="BD369" i="65"/>
  <c r="BE369" i="65" s="1"/>
  <c r="AW369" i="65"/>
  <c r="AV369" i="65"/>
  <c r="AL369" i="65"/>
  <c r="AM369" i="65" s="1"/>
  <c r="AE369" i="65"/>
  <c r="AD369" i="65"/>
  <c r="T369" i="65"/>
  <c r="U369" i="65" s="1"/>
  <c r="M369" i="65"/>
  <c r="L369" i="65"/>
  <c r="BD368" i="65"/>
  <c r="BE368" i="65" s="1"/>
  <c r="AW368" i="65"/>
  <c r="AV368" i="65"/>
  <c r="AL368" i="65"/>
  <c r="AM368" i="65" s="1"/>
  <c r="AE368" i="65"/>
  <c r="AD368" i="65"/>
  <c r="T368" i="65"/>
  <c r="U368" i="65" s="1"/>
  <c r="M368" i="65"/>
  <c r="L368" i="65"/>
  <c r="BD367" i="65"/>
  <c r="BE367" i="65" s="1"/>
  <c r="AW367" i="65"/>
  <c r="AV367" i="65"/>
  <c r="AL367" i="65"/>
  <c r="AM367" i="65" s="1"/>
  <c r="AE367" i="65"/>
  <c r="AD367" i="65"/>
  <c r="T367" i="65"/>
  <c r="U367" i="65" s="1"/>
  <c r="M367" i="65"/>
  <c r="L367" i="65"/>
  <c r="BD366" i="65"/>
  <c r="BE366" i="65" s="1"/>
  <c r="AW366" i="65"/>
  <c r="AV366" i="65"/>
  <c r="AL366" i="65"/>
  <c r="AM366" i="65" s="1"/>
  <c r="AE366" i="65"/>
  <c r="AD366" i="65"/>
  <c r="T366" i="65"/>
  <c r="U366" i="65" s="1"/>
  <c r="M366" i="65"/>
  <c r="L366" i="65"/>
  <c r="BD365" i="65"/>
  <c r="BE365" i="65" s="1"/>
  <c r="AW365" i="65"/>
  <c r="AV365" i="65"/>
  <c r="AL365" i="65"/>
  <c r="AM365" i="65" s="1"/>
  <c r="AE365" i="65"/>
  <c r="AD365" i="65"/>
  <c r="T365" i="65"/>
  <c r="U365" i="65" s="1"/>
  <c r="M365" i="65"/>
  <c r="L365" i="65"/>
  <c r="BD364" i="65"/>
  <c r="BE364" i="65" s="1"/>
  <c r="AW364" i="65"/>
  <c r="AV364" i="65"/>
  <c r="AL364" i="65"/>
  <c r="AM364" i="65" s="1"/>
  <c r="AE364" i="65"/>
  <c r="AD364" i="65"/>
  <c r="T364" i="65"/>
  <c r="U364" i="65" s="1"/>
  <c r="M364" i="65"/>
  <c r="L364" i="65"/>
  <c r="BD363" i="65"/>
  <c r="BE363" i="65" s="1"/>
  <c r="AW363" i="65"/>
  <c r="AV363" i="65"/>
  <c r="AL363" i="65"/>
  <c r="AM363" i="65" s="1"/>
  <c r="AE363" i="65"/>
  <c r="AD363" i="65"/>
  <c r="T363" i="65"/>
  <c r="U363" i="65" s="1"/>
  <c r="M363" i="65"/>
  <c r="L363" i="65"/>
  <c r="BD362" i="65"/>
  <c r="BE362" i="65" s="1"/>
  <c r="AW362" i="65"/>
  <c r="AV362" i="65"/>
  <c r="AL362" i="65"/>
  <c r="AM362" i="65" s="1"/>
  <c r="AE362" i="65"/>
  <c r="AD362" i="65"/>
  <c r="T362" i="65"/>
  <c r="U362" i="65" s="1"/>
  <c r="M362" i="65"/>
  <c r="L362" i="65"/>
  <c r="BD361" i="65"/>
  <c r="BE361" i="65" s="1"/>
  <c r="AW361" i="65"/>
  <c r="AV361" i="65"/>
  <c r="AL361" i="65"/>
  <c r="AM361" i="65" s="1"/>
  <c r="AE361" i="65"/>
  <c r="AD361" i="65"/>
  <c r="T361" i="65"/>
  <c r="U361" i="65" s="1"/>
  <c r="M361" i="65"/>
  <c r="L361" i="65"/>
  <c r="BD360" i="65"/>
  <c r="BE360" i="65" s="1"/>
  <c r="AW360" i="65"/>
  <c r="AV360" i="65"/>
  <c r="AL360" i="65"/>
  <c r="AM360" i="65" s="1"/>
  <c r="AE360" i="65"/>
  <c r="AD360" i="65"/>
  <c r="T360" i="65"/>
  <c r="U360" i="65" s="1"/>
  <c r="M360" i="65"/>
  <c r="L360" i="65"/>
  <c r="BD359" i="65"/>
  <c r="BE359" i="65" s="1"/>
  <c r="AW359" i="65"/>
  <c r="AV359" i="65"/>
  <c r="AL359" i="65"/>
  <c r="AM359" i="65" s="1"/>
  <c r="AE359" i="65"/>
  <c r="AD359" i="65"/>
  <c r="T359" i="65"/>
  <c r="U359" i="65" s="1"/>
  <c r="M359" i="65"/>
  <c r="L359" i="65"/>
  <c r="BD358" i="65"/>
  <c r="BE358" i="65" s="1"/>
  <c r="AW358" i="65"/>
  <c r="AV358" i="65"/>
  <c r="AL358" i="65"/>
  <c r="AM358" i="65" s="1"/>
  <c r="AE358" i="65"/>
  <c r="AD358" i="65"/>
  <c r="T358" i="65"/>
  <c r="U358" i="65" s="1"/>
  <c r="M358" i="65"/>
  <c r="L358" i="65"/>
  <c r="BD357" i="65"/>
  <c r="BE357" i="65" s="1"/>
  <c r="AW357" i="65"/>
  <c r="AV357" i="65"/>
  <c r="AL357" i="65"/>
  <c r="AM357" i="65" s="1"/>
  <c r="AE357" i="65"/>
  <c r="AD357" i="65"/>
  <c r="T357" i="65"/>
  <c r="U357" i="65" s="1"/>
  <c r="M357" i="65"/>
  <c r="L357" i="65"/>
  <c r="BD356" i="65"/>
  <c r="BE356" i="65" s="1"/>
  <c r="AW356" i="65"/>
  <c r="AV356" i="65"/>
  <c r="AL356" i="65"/>
  <c r="AM356" i="65" s="1"/>
  <c r="AE356" i="65"/>
  <c r="AD356" i="65"/>
  <c r="T356" i="65"/>
  <c r="U356" i="65" s="1"/>
  <c r="M356" i="65"/>
  <c r="L356" i="65"/>
  <c r="BD355" i="65"/>
  <c r="BE355" i="65" s="1"/>
  <c r="AW355" i="65"/>
  <c r="AV355" i="65"/>
  <c r="AL355" i="65"/>
  <c r="AM355" i="65" s="1"/>
  <c r="AE355" i="65"/>
  <c r="AD355" i="65"/>
  <c r="T355" i="65"/>
  <c r="U355" i="65" s="1"/>
  <c r="M355" i="65"/>
  <c r="L355" i="65"/>
  <c r="BD354" i="65"/>
  <c r="BE354" i="65" s="1"/>
  <c r="AW354" i="65"/>
  <c r="AV354" i="65"/>
  <c r="AL354" i="65"/>
  <c r="AM354" i="65" s="1"/>
  <c r="AE354" i="65"/>
  <c r="AD354" i="65"/>
  <c r="T354" i="65"/>
  <c r="U354" i="65" s="1"/>
  <c r="M354" i="65"/>
  <c r="L354" i="65"/>
  <c r="BD353" i="65"/>
  <c r="BE353" i="65" s="1"/>
  <c r="AW353" i="65"/>
  <c r="AV353" i="65"/>
  <c r="AL353" i="65"/>
  <c r="AM353" i="65" s="1"/>
  <c r="AE353" i="65"/>
  <c r="AD353" i="65"/>
  <c r="T353" i="65"/>
  <c r="U353" i="65" s="1"/>
  <c r="M353" i="65"/>
  <c r="L353" i="65"/>
  <c r="BD352" i="65"/>
  <c r="BE352" i="65" s="1"/>
  <c r="AW352" i="65"/>
  <c r="AV352" i="65"/>
  <c r="AL352" i="65"/>
  <c r="AM352" i="65" s="1"/>
  <c r="AE352" i="65"/>
  <c r="AD352" i="65"/>
  <c r="T352" i="65"/>
  <c r="U352" i="65" s="1"/>
  <c r="M352" i="65"/>
  <c r="L352" i="65"/>
  <c r="BD351" i="65"/>
  <c r="BE351" i="65" s="1"/>
  <c r="AW351" i="65"/>
  <c r="AV351" i="65"/>
  <c r="AL351" i="65"/>
  <c r="AM351" i="65" s="1"/>
  <c r="AE351" i="65"/>
  <c r="AD351" i="65"/>
  <c r="T351" i="65"/>
  <c r="U351" i="65" s="1"/>
  <c r="M351" i="65"/>
  <c r="L351" i="65"/>
  <c r="BD350" i="65"/>
  <c r="BE350" i="65" s="1"/>
  <c r="AW350" i="65"/>
  <c r="AV350" i="65"/>
  <c r="AL350" i="65"/>
  <c r="AM350" i="65" s="1"/>
  <c r="AE350" i="65"/>
  <c r="AD350" i="65"/>
  <c r="T350" i="65"/>
  <c r="U350" i="65" s="1"/>
  <c r="M350" i="65"/>
  <c r="L350" i="65"/>
  <c r="BD349" i="65"/>
  <c r="BE349" i="65" s="1"/>
  <c r="AW349" i="65"/>
  <c r="AV349" i="65"/>
  <c r="AL349" i="65"/>
  <c r="AM349" i="65" s="1"/>
  <c r="AE349" i="65"/>
  <c r="AD349" i="65"/>
  <c r="T349" i="65"/>
  <c r="U349" i="65" s="1"/>
  <c r="M349" i="65"/>
  <c r="L349" i="65"/>
  <c r="BD348" i="65"/>
  <c r="BE348" i="65" s="1"/>
  <c r="AW348" i="65"/>
  <c r="AV348" i="65"/>
  <c r="AL348" i="65"/>
  <c r="AM348" i="65" s="1"/>
  <c r="AE348" i="65"/>
  <c r="AD348" i="65"/>
  <c r="T348" i="65"/>
  <c r="U348" i="65" s="1"/>
  <c r="M348" i="65"/>
  <c r="L348" i="65"/>
  <c r="BD347" i="65"/>
  <c r="BE347" i="65" s="1"/>
  <c r="AW347" i="65"/>
  <c r="AV347" i="65"/>
  <c r="AL347" i="65"/>
  <c r="AM347" i="65" s="1"/>
  <c r="AE347" i="65"/>
  <c r="AD347" i="65"/>
  <c r="T347" i="65"/>
  <c r="U347" i="65" s="1"/>
  <c r="M347" i="65"/>
  <c r="L347" i="65"/>
  <c r="BD346" i="65"/>
  <c r="BE346" i="65" s="1"/>
  <c r="AW346" i="65"/>
  <c r="AV346" i="65"/>
  <c r="AL346" i="65"/>
  <c r="AM346" i="65" s="1"/>
  <c r="AE346" i="65"/>
  <c r="AD346" i="65"/>
  <c r="T346" i="65"/>
  <c r="U346" i="65" s="1"/>
  <c r="M346" i="65"/>
  <c r="L346" i="65"/>
  <c r="BD345" i="65"/>
  <c r="BE345" i="65" s="1"/>
  <c r="AW345" i="65"/>
  <c r="AV345" i="65"/>
  <c r="AL345" i="65"/>
  <c r="AM345" i="65" s="1"/>
  <c r="AE345" i="65"/>
  <c r="AD345" i="65"/>
  <c r="T345" i="65"/>
  <c r="U345" i="65" s="1"/>
  <c r="M345" i="65"/>
  <c r="L345" i="65"/>
  <c r="BD344" i="65"/>
  <c r="BE344" i="65" s="1"/>
  <c r="AW344" i="65"/>
  <c r="AV344" i="65"/>
  <c r="AL344" i="65"/>
  <c r="AM344" i="65" s="1"/>
  <c r="AE344" i="65"/>
  <c r="AD344" i="65"/>
  <c r="T344" i="65"/>
  <c r="U344" i="65" s="1"/>
  <c r="M344" i="65"/>
  <c r="L344" i="65"/>
  <c r="BD343" i="65"/>
  <c r="BE343" i="65" s="1"/>
  <c r="AW343" i="65"/>
  <c r="AV343" i="65"/>
  <c r="AL343" i="65"/>
  <c r="AM343" i="65" s="1"/>
  <c r="AE343" i="65"/>
  <c r="AD343" i="65"/>
  <c r="T343" i="65"/>
  <c r="U343" i="65" s="1"/>
  <c r="M343" i="65"/>
  <c r="L343" i="65"/>
  <c r="BD342" i="65"/>
  <c r="BE342" i="65" s="1"/>
  <c r="AW342" i="65"/>
  <c r="AV342" i="65"/>
  <c r="AL342" i="65"/>
  <c r="AM342" i="65" s="1"/>
  <c r="AE342" i="65"/>
  <c r="AD342" i="65"/>
  <c r="T342" i="65"/>
  <c r="U342" i="65" s="1"/>
  <c r="M342" i="65"/>
  <c r="L342" i="65"/>
  <c r="BD341" i="65"/>
  <c r="BE341" i="65" s="1"/>
  <c r="AW341" i="65"/>
  <c r="AV341" i="65"/>
  <c r="AL341" i="65"/>
  <c r="AM341" i="65" s="1"/>
  <c r="AE341" i="65"/>
  <c r="AD341" i="65"/>
  <c r="T341" i="65"/>
  <c r="U341" i="65" s="1"/>
  <c r="M341" i="65"/>
  <c r="L341" i="65"/>
  <c r="BD340" i="65"/>
  <c r="BE340" i="65" s="1"/>
  <c r="AW340" i="65"/>
  <c r="AV340" i="65"/>
  <c r="AL340" i="65"/>
  <c r="AM340" i="65" s="1"/>
  <c r="AE340" i="65"/>
  <c r="AD340" i="65"/>
  <c r="T340" i="65"/>
  <c r="U340" i="65" s="1"/>
  <c r="M340" i="65"/>
  <c r="L340" i="65"/>
  <c r="BD339" i="65"/>
  <c r="BE339" i="65" s="1"/>
  <c r="AW339" i="65"/>
  <c r="AV339" i="65"/>
  <c r="AL339" i="65"/>
  <c r="AM339" i="65" s="1"/>
  <c r="AE339" i="65"/>
  <c r="AD339" i="65"/>
  <c r="T339" i="65"/>
  <c r="U339" i="65" s="1"/>
  <c r="M339" i="65"/>
  <c r="L339" i="65"/>
  <c r="BD338" i="65"/>
  <c r="BE338" i="65" s="1"/>
  <c r="AW338" i="65"/>
  <c r="AV338" i="65"/>
  <c r="AL338" i="65"/>
  <c r="AM338" i="65" s="1"/>
  <c r="AE338" i="65"/>
  <c r="AD338" i="65"/>
  <c r="T338" i="65"/>
  <c r="U338" i="65" s="1"/>
  <c r="M338" i="65"/>
  <c r="L338" i="65"/>
  <c r="BD337" i="65"/>
  <c r="BE337" i="65" s="1"/>
  <c r="AW337" i="65"/>
  <c r="AV337" i="65"/>
  <c r="AL337" i="65"/>
  <c r="AM337" i="65" s="1"/>
  <c r="AE337" i="65"/>
  <c r="AD337" i="65"/>
  <c r="T337" i="65"/>
  <c r="U337" i="65" s="1"/>
  <c r="M337" i="65"/>
  <c r="L337" i="65"/>
  <c r="BD336" i="65"/>
  <c r="BE336" i="65" s="1"/>
  <c r="AW336" i="65"/>
  <c r="AV336" i="65"/>
  <c r="AL336" i="65"/>
  <c r="AM336" i="65" s="1"/>
  <c r="AE336" i="65"/>
  <c r="AD336" i="65"/>
  <c r="T336" i="65"/>
  <c r="U336" i="65" s="1"/>
  <c r="M336" i="65"/>
  <c r="L336" i="65"/>
  <c r="BD335" i="65"/>
  <c r="BE335" i="65" s="1"/>
  <c r="AW335" i="65"/>
  <c r="AV335" i="65"/>
  <c r="AL335" i="65"/>
  <c r="AM335" i="65" s="1"/>
  <c r="AE335" i="65"/>
  <c r="AD335" i="65"/>
  <c r="T335" i="65"/>
  <c r="U335" i="65" s="1"/>
  <c r="M335" i="65"/>
  <c r="L335" i="65"/>
  <c r="BD334" i="65"/>
  <c r="BE334" i="65" s="1"/>
  <c r="AW334" i="65"/>
  <c r="AV334" i="65"/>
  <c r="AL334" i="65"/>
  <c r="AM334" i="65" s="1"/>
  <c r="AE334" i="65"/>
  <c r="AD334" i="65"/>
  <c r="T334" i="65"/>
  <c r="U334" i="65" s="1"/>
  <c r="M334" i="65"/>
  <c r="L334" i="65"/>
  <c r="BD333" i="65"/>
  <c r="BE333" i="65" s="1"/>
  <c r="AW333" i="65"/>
  <c r="AV333" i="65"/>
  <c r="AL333" i="65"/>
  <c r="AM333" i="65" s="1"/>
  <c r="AE333" i="65"/>
  <c r="AD333" i="65"/>
  <c r="T333" i="65"/>
  <c r="U333" i="65" s="1"/>
  <c r="M333" i="65"/>
  <c r="L333" i="65"/>
  <c r="BD332" i="65"/>
  <c r="BE332" i="65" s="1"/>
  <c r="AW332" i="65"/>
  <c r="AV332" i="65"/>
  <c r="AL332" i="65"/>
  <c r="AM332" i="65" s="1"/>
  <c r="AE332" i="65"/>
  <c r="AD332" i="65"/>
  <c r="T332" i="65"/>
  <c r="U332" i="65" s="1"/>
  <c r="M332" i="65"/>
  <c r="L332" i="65"/>
  <c r="BD331" i="65"/>
  <c r="BE331" i="65" s="1"/>
  <c r="AW331" i="65"/>
  <c r="AV331" i="65"/>
  <c r="AL331" i="65"/>
  <c r="AM331" i="65" s="1"/>
  <c r="AE331" i="65"/>
  <c r="AD331" i="65"/>
  <c r="T331" i="65"/>
  <c r="U331" i="65" s="1"/>
  <c r="M331" i="65"/>
  <c r="L331" i="65"/>
  <c r="BD330" i="65"/>
  <c r="BE330" i="65" s="1"/>
  <c r="AW330" i="65"/>
  <c r="AV330" i="65"/>
  <c r="AL330" i="65"/>
  <c r="AM330" i="65" s="1"/>
  <c r="AE330" i="65"/>
  <c r="AD330" i="65"/>
  <c r="T330" i="65"/>
  <c r="U330" i="65" s="1"/>
  <c r="M330" i="65"/>
  <c r="L330" i="65"/>
  <c r="BD329" i="65"/>
  <c r="BE329" i="65" s="1"/>
  <c r="AW329" i="65"/>
  <c r="AV329" i="65"/>
  <c r="AL329" i="65"/>
  <c r="AM329" i="65" s="1"/>
  <c r="AE329" i="65"/>
  <c r="AD329" i="65"/>
  <c r="T329" i="65"/>
  <c r="U329" i="65" s="1"/>
  <c r="M329" i="65"/>
  <c r="L329" i="65"/>
  <c r="BD328" i="65"/>
  <c r="BE328" i="65" s="1"/>
  <c r="AW328" i="65"/>
  <c r="AV328" i="65"/>
  <c r="AL328" i="65"/>
  <c r="AM328" i="65" s="1"/>
  <c r="AE328" i="65"/>
  <c r="AD328" i="65"/>
  <c r="T328" i="65"/>
  <c r="U328" i="65" s="1"/>
  <c r="M328" i="65"/>
  <c r="L328" i="65"/>
  <c r="BD327" i="65"/>
  <c r="BE327" i="65" s="1"/>
  <c r="AW327" i="65"/>
  <c r="AV327" i="65"/>
  <c r="AL327" i="65"/>
  <c r="AM327" i="65" s="1"/>
  <c r="AE327" i="65"/>
  <c r="AD327" i="65"/>
  <c r="T327" i="65"/>
  <c r="U327" i="65" s="1"/>
  <c r="M327" i="65"/>
  <c r="L327" i="65"/>
  <c r="BD326" i="65"/>
  <c r="BE326" i="65" s="1"/>
  <c r="AW326" i="65"/>
  <c r="AV326" i="65"/>
  <c r="AL326" i="65"/>
  <c r="AM326" i="65" s="1"/>
  <c r="AE326" i="65"/>
  <c r="AD326" i="65"/>
  <c r="T326" i="65"/>
  <c r="U326" i="65" s="1"/>
  <c r="M326" i="65"/>
  <c r="L326" i="65"/>
  <c r="BD325" i="65"/>
  <c r="BE325" i="65" s="1"/>
  <c r="AW325" i="65"/>
  <c r="AV325" i="65"/>
  <c r="AL325" i="65"/>
  <c r="AM325" i="65" s="1"/>
  <c r="AE325" i="65"/>
  <c r="AD325" i="65"/>
  <c r="T325" i="65"/>
  <c r="U325" i="65" s="1"/>
  <c r="M325" i="65"/>
  <c r="L325" i="65"/>
  <c r="BD324" i="65"/>
  <c r="BE324" i="65" s="1"/>
  <c r="AW324" i="65"/>
  <c r="AV324" i="65"/>
  <c r="AL324" i="65"/>
  <c r="AM324" i="65" s="1"/>
  <c r="AE324" i="65"/>
  <c r="AD324" i="65"/>
  <c r="T324" i="65"/>
  <c r="U324" i="65" s="1"/>
  <c r="M324" i="65"/>
  <c r="L324" i="65"/>
  <c r="BD323" i="65"/>
  <c r="BE323" i="65" s="1"/>
  <c r="AW323" i="65"/>
  <c r="AV323" i="65"/>
  <c r="AL323" i="65"/>
  <c r="AM323" i="65" s="1"/>
  <c r="AE323" i="65"/>
  <c r="AD323" i="65"/>
  <c r="U323" i="65"/>
  <c r="T323" i="65"/>
  <c r="M323" i="65"/>
  <c r="L323" i="65"/>
  <c r="BD322" i="65"/>
  <c r="BE322" i="65" s="1"/>
  <c r="AW322" i="65"/>
  <c r="AV322" i="65"/>
  <c r="AL322" i="65"/>
  <c r="AM322" i="65" s="1"/>
  <c r="AE322" i="65"/>
  <c r="AD322" i="65"/>
  <c r="T322" i="65"/>
  <c r="U322" i="65" s="1"/>
  <c r="M322" i="65"/>
  <c r="L322" i="65"/>
  <c r="BD321" i="65"/>
  <c r="BE321" i="65" s="1"/>
  <c r="AW321" i="65"/>
  <c r="AV321" i="65"/>
  <c r="AL321" i="65"/>
  <c r="AM321" i="65" s="1"/>
  <c r="AE321" i="65"/>
  <c r="AD321" i="65"/>
  <c r="T321" i="65"/>
  <c r="U321" i="65" s="1"/>
  <c r="M321" i="65"/>
  <c r="L321" i="65"/>
  <c r="BD320" i="65"/>
  <c r="BE320" i="65" s="1"/>
  <c r="AW320" i="65"/>
  <c r="AV320" i="65"/>
  <c r="AL320" i="65"/>
  <c r="AM320" i="65" s="1"/>
  <c r="AE320" i="65"/>
  <c r="AD320" i="65"/>
  <c r="T320" i="65"/>
  <c r="U320" i="65" s="1"/>
  <c r="M320" i="65"/>
  <c r="L320" i="65"/>
  <c r="BD319" i="65"/>
  <c r="BE319" i="65" s="1"/>
  <c r="AW319" i="65"/>
  <c r="AV319" i="65"/>
  <c r="AL319" i="65"/>
  <c r="AM319" i="65" s="1"/>
  <c r="AE319" i="65"/>
  <c r="AD319" i="65"/>
  <c r="T319" i="65"/>
  <c r="U319" i="65" s="1"/>
  <c r="M319" i="65"/>
  <c r="L319" i="65"/>
  <c r="BD318" i="65"/>
  <c r="BE318" i="65" s="1"/>
  <c r="AW318" i="65"/>
  <c r="AV318" i="65"/>
  <c r="AL318" i="65"/>
  <c r="AM318" i="65" s="1"/>
  <c r="AE318" i="65"/>
  <c r="AD318" i="65"/>
  <c r="T318" i="65"/>
  <c r="U318" i="65" s="1"/>
  <c r="M318" i="65"/>
  <c r="L318" i="65"/>
  <c r="BD317" i="65"/>
  <c r="BE317" i="65" s="1"/>
  <c r="AW317" i="65"/>
  <c r="AV317" i="65"/>
  <c r="AL317" i="65"/>
  <c r="AM317" i="65" s="1"/>
  <c r="AE317" i="65"/>
  <c r="AD317" i="65"/>
  <c r="U317" i="65"/>
  <c r="T317" i="65"/>
  <c r="M317" i="65"/>
  <c r="L317" i="65"/>
  <c r="BD316" i="65"/>
  <c r="BE316" i="65" s="1"/>
  <c r="AW316" i="65"/>
  <c r="AV316" i="65"/>
  <c r="AL316" i="65"/>
  <c r="AM316" i="65" s="1"/>
  <c r="AE316" i="65"/>
  <c r="AD316" i="65"/>
  <c r="T316" i="65"/>
  <c r="U316" i="65" s="1"/>
  <c r="M316" i="65"/>
  <c r="L316" i="65"/>
  <c r="BD315" i="65"/>
  <c r="BE315" i="65" s="1"/>
  <c r="AW315" i="65"/>
  <c r="AV315" i="65"/>
  <c r="AL315" i="65"/>
  <c r="AM315" i="65" s="1"/>
  <c r="AE315" i="65"/>
  <c r="AD315" i="65"/>
  <c r="T315" i="65"/>
  <c r="U315" i="65" s="1"/>
  <c r="M315" i="65"/>
  <c r="L315" i="65"/>
  <c r="BD314" i="65"/>
  <c r="BE314" i="65" s="1"/>
  <c r="AW314" i="65"/>
  <c r="AV314" i="65"/>
  <c r="AL314" i="65"/>
  <c r="AM314" i="65" s="1"/>
  <c r="AE314" i="65"/>
  <c r="AD314" i="65"/>
  <c r="T314" i="65"/>
  <c r="U314" i="65" s="1"/>
  <c r="M314" i="65"/>
  <c r="L314" i="65"/>
  <c r="BD313" i="65"/>
  <c r="BE313" i="65" s="1"/>
  <c r="AW313" i="65"/>
  <c r="AV313" i="65"/>
  <c r="AL313" i="65"/>
  <c r="AM313" i="65" s="1"/>
  <c r="AE313" i="65"/>
  <c r="AD313" i="65"/>
  <c r="T313" i="65"/>
  <c r="U313" i="65" s="1"/>
  <c r="M313" i="65"/>
  <c r="L313" i="65"/>
  <c r="BD312" i="65"/>
  <c r="BE312" i="65" s="1"/>
  <c r="AW312" i="65"/>
  <c r="AV312" i="65"/>
  <c r="AL312" i="65"/>
  <c r="AM312" i="65" s="1"/>
  <c r="AE312" i="65"/>
  <c r="AD312" i="65"/>
  <c r="T312" i="65"/>
  <c r="U312" i="65" s="1"/>
  <c r="M312" i="65"/>
  <c r="L312" i="65"/>
  <c r="BD311" i="65"/>
  <c r="BE311" i="65" s="1"/>
  <c r="AW311" i="65"/>
  <c r="AV311" i="65"/>
  <c r="AL311" i="65"/>
  <c r="AM311" i="65" s="1"/>
  <c r="AE311" i="65"/>
  <c r="AD311" i="65"/>
  <c r="U311" i="65"/>
  <c r="T311" i="65"/>
  <c r="M311" i="65"/>
  <c r="L311" i="65"/>
  <c r="BD310" i="65"/>
  <c r="BE310" i="65" s="1"/>
  <c r="AW310" i="65"/>
  <c r="AV310" i="65"/>
  <c r="AL310" i="65"/>
  <c r="AM310" i="65" s="1"/>
  <c r="AE310" i="65"/>
  <c r="AD310" i="65"/>
  <c r="T310" i="65"/>
  <c r="U310" i="65" s="1"/>
  <c r="M310" i="65"/>
  <c r="L310" i="65"/>
  <c r="BD309" i="65"/>
  <c r="BE309" i="65" s="1"/>
  <c r="AW309" i="65"/>
  <c r="AV309" i="65"/>
  <c r="AL309" i="65"/>
  <c r="AM309" i="65" s="1"/>
  <c r="AE309" i="65"/>
  <c r="AD309" i="65"/>
  <c r="T309" i="65"/>
  <c r="U309" i="65" s="1"/>
  <c r="M309" i="65"/>
  <c r="L309" i="65"/>
  <c r="BD308" i="65"/>
  <c r="BE308" i="65" s="1"/>
  <c r="AW308" i="65"/>
  <c r="AV308" i="65"/>
  <c r="AL308" i="65"/>
  <c r="AM308" i="65" s="1"/>
  <c r="AE308" i="65"/>
  <c r="AD308" i="65"/>
  <c r="T308" i="65"/>
  <c r="U308" i="65" s="1"/>
  <c r="M308" i="65"/>
  <c r="L308" i="65"/>
  <c r="BD307" i="65"/>
  <c r="BE307" i="65" s="1"/>
  <c r="AW307" i="65"/>
  <c r="AV307" i="65"/>
  <c r="AL307" i="65"/>
  <c r="AM307" i="65" s="1"/>
  <c r="AE307" i="65"/>
  <c r="AD307" i="65"/>
  <c r="T307" i="65"/>
  <c r="U307" i="65" s="1"/>
  <c r="M307" i="65"/>
  <c r="L307" i="65"/>
  <c r="BD306" i="65"/>
  <c r="BE306" i="65" s="1"/>
  <c r="AW306" i="65"/>
  <c r="AV306" i="65"/>
  <c r="AL306" i="65"/>
  <c r="AM306" i="65" s="1"/>
  <c r="AE306" i="65"/>
  <c r="AD306" i="65"/>
  <c r="T306" i="65"/>
  <c r="U306" i="65" s="1"/>
  <c r="M306" i="65"/>
  <c r="L306" i="65"/>
  <c r="BD305" i="65"/>
  <c r="BE305" i="65" s="1"/>
  <c r="AW305" i="65"/>
  <c r="AV305" i="65"/>
  <c r="AL305" i="65"/>
  <c r="AM305" i="65" s="1"/>
  <c r="AE305" i="65"/>
  <c r="AD305" i="65"/>
  <c r="U305" i="65"/>
  <c r="T305" i="65"/>
  <c r="M305" i="65"/>
  <c r="L305" i="65"/>
  <c r="BD304" i="65"/>
  <c r="BE304" i="65" s="1"/>
  <c r="AW304" i="65"/>
  <c r="AV304" i="65"/>
  <c r="AL304" i="65"/>
  <c r="AM304" i="65" s="1"/>
  <c r="AD304" i="65"/>
  <c r="AE304" i="65" s="1"/>
  <c r="T304" i="65"/>
  <c r="U304" i="65" s="1"/>
  <c r="M304" i="65"/>
  <c r="L304" i="65"/>
  <c r="BD303" i="65"/>
  <c r="BE303" i="65" s="1"/>
  <c r="AW303" i="65"/>
  <c r="AV303" i="65"/>
  <c r="AL303" i="65"/>
  <c r="AM303" i="65" s="1"/>
  <c r="AD303" i="65"/>
  <c r="AE303" i="65" s="1"/>
  <c r="T303" i="65"/>
  <c r="U303" i="65" s="1"/>
  <c r="M303" i="65"/>
  <c r="L303" i="65"/>
  <c r="BD302" i="65"/>
  <c r="BE302" i="65" s="1"/>
  <c r="AW302" i="65"/>
  <c r="AV302" i="65"/>
  <c r="AL302" i="65"/>
  <c r="AM302" i="65" s="1"/>
  <c r="AD302" i="65"/>
  <c r="AE302" i="65" s="1"/>
  <c r="T302" i="65"/>
  <c r="U302" i="65" s="1"/>
  <c r="M302" i="65"/>
  <c r="L302" i="65"/>
  <c r="BD301" i="65"/>
  <c r="BE301" i="65" s="1"/>
  <c r="AW301" i="65"/>
  <c r="AV301" i="65"/>
  <c r="AL301" i="65"/>
  <c r="AM301" i="65" s="1"/>
  <c r="AD301" i="65"/>
  <c r="AE301" i="65" s="1"/>
  <c r="T301" i="65"/>
  <c r="U301" i="65" s="1"/>
  <c r="M301" i="65"/>
  <c r="L301" i="65"/>
  <c r="BD300" i="65"/>
  <c r="BE300" i="65" s="1"/>
  <c r="AW300" i="65"/>
  <c r="AV300" i="65"/>
  <c r="AL300" i="65"/>
  <c r="AM300" i="65" s="1"/>
  <c r="AE300" i="65"/>
  <c r="AD300" i="65"/>
  <c r="T300" i="65"/>
  <c r="U300" i="65" s="1"/>
  <c r="M300" i="65"/>
  <c r="L300" i="65"/>
  <c r="BD299" i="65"/>
  <c r="BE299" i="65" s="1"/>
  <c r="AW299" i="65"/>
  <c r="AV299" i="65"/>
  <c r="AL299" i="65"/>
  <c r="AM299" i="65" s="1"/>
  <c r="AD299" i="65"/>
  <c r="AE299" i="65" s="1"/>
  <c r="U299" i="65"/>
  <c r="T299" i="65"/>
  <c r="M299" i="65"/>
  <c r="L299" i="65"/>
  <c r="BD298" i="65"/>
  <c r="BE298" i="65" s="1"/>
  <c r="AW298" i="65"/>
  <c r="AV298" i="65"/>
  <c r="AL298" i="65"/>
  <c r="AM298" i="65" s="1"/>
  <c r="AD298" i="65"/>
  <c r="AE298" i="65" s="1"/>
  <c r="T298" i="65"/>
  <c r="U298" i="65" s="1"/>
  <c r="M298" i="65"/>
  <c r="L298" i="65"/>
  <c r="BD297" i="65"/>
  <c r="BE297" i="65" s="1"/>
  <c r="AW297" i="65"/>
  <c r="AV297" i="65"/>
  <c r="AL297" i="65"/>
  <c r="AM297" i="65" s="1"/>
  <c r="AD297" i="65"/>
  <c r="AE297" i="65" s="1"/>
  <c r="T297" i="65"/>
  <c r="U297" i="65" s="1"/>
  <c r="M297" i="65"/>
  <c r="L297" i="65"/>
  <c r="BD296" i="65"/>
  <c r="BE296" i="65" s="1"/>
  <c r="AW296" i="65"/>
  <c r="AV296" i="65"/>
  <c r="AM296" i="65"/>
  <c r="AL296" i="65"/>
  <c r="AD296" i="65"/>
  <c r="AE296" i="65" s="1"/>
  <c r="U296" i="65"/>
  <c r="T296" i="65"/>
  <c r="M296" i="65"/>
  <c r="L296" i="65"/>
  <c r="BD295" i="65"/>
  <c r="BE295" i="65" s="1"/>
  <c r="AW295" i="65"/>
  <c r="AV295" i="65"/>
  <c r="AM295" i="65"/>
  <c r="AL295" i="65"/>
  <c r="AD295" i="65"/>
  <c r="AE295" i="65" s="1"/>
  <c r="T295" i="65"/>
  <c r="U295" i="65" s="1"/>
  <c r="M295" i="65"/>
  <c r="L295" i="65"/>
  <c r="BD294" i="65"/>
  <c r="BE294" i="65" s="1"/>
  <c r="AW294" i="65"/>
  <c r="AV294" i="65"/>
  <c r="AM294" i="65"/>
  <c r="AL294" i="65"/>
  <c r="AE294" i="65"/>
  <c r="AD294" i="65"/>
  <c r="U294" i="65"/>
  <c r="T294" i="65"/>
  <c r="M294" i="65"/>
  <c r="L294" i="65"/>
  <c r="BD293" i="65"/>
  <c r="BE293" i="65" s="1"/>
  <c r="AW293" i="65"/>
  <c r="AV293" i="65"/>
  <c r="AM293" i="65"/>
  <c r="AL293" i="65"/>
  <c r="AD293" i="65"/>
  <c r="AE293" i="65" s="1"/>
  <c r="T293" i="65"/>
  <c r="U293" i="65" s="1"/>
  <c r="M293" i="65"/>
  <c r="L293" i="65"/>
  <c r="BD292" i="65"/>
  <c r="BE292" i="65" s="1"/>
  <c r="AW292" i="65"/>
  <c r="AV292" i="65"/>
  <c r="AM292" i="65"/>
  <c r="AL292" i="65"/>
  <c r="AE292" i="65"/>
  <c r="AD292" i="65"/>
  <c r="U292" i="65"/>
  <c r="T292" i="65"/>
  <c r="M292" i="65"/>
  <c r="L292" i="65"/>
  <c r="BE291" i="65"/>
  <c r="BD291" i="65"/>
  <c r="AW291" i="65"/>
  <c r="AV291" i="65"/>
  <c r="AM291" i="65"/>
  <c r="AL291" i="65"/>
  <c r="AE291" i="65"/>
  <c r="AD291" i="65"/>
  <c r="U291" i="65"/>
  <c r="T291" i="65"/>
  <c r="M291" i="65"/>
  <c r="L291" i="65"/>
  <c r="BE290" i="65"/>
  <c r="BD290" i="65"/>
  <c r="AW290" i="65"/>
  <c r="AV290" i="65"/>
  <c r="AM290" i="65"/>
  <c r="AL290" i="65"/>
  <c r="AE290" i="65"/>
  <c r="AD290" i="65"/>
  <c r="U290" i="65"/>
  <c r="T290" i="65"/>
  <c r="M290" i="65"/>
  <c r="L290" i="65"/>
  <c r="BE289" i="65"/>
  <c r="BD289" i="65"/>
  <c r="AW289" i="65"/>
  <c r="AV289" i="65"/>
  <c r="AM289" i="65"/>
  <c r="AL289" i="65"/>
  <c r="AE289" i="65"/>
  <c r="AD289" i="65"/>
  <c r="U289" i="65"/>
  <c r="T289" i="65"/>
  <c r="M289" i="65"/>
  <c r="L289" i="65"/>
  <c r="BE288" i="65"/>
  <c r="BD288" i="65"/>
  <c r="AW288" i="65"/>
  <c r="AV288" i="65"/>
  <c r="AM288" i="65"/>
  <c r="AL288" i="65"/>
  <c r="AE288" i="65"/>
  <c r="AD288" i="65"/>
  <c r="U288" i="65"/>
  <c r="T288" i="65"/>
  <c r="M288" i="65"/>
  <c r="L288" i="65"/>
  <c r="BE287" i="65"/>
  <c r="BD287" i="65"/>
  <c r="AW287" i="65"/>
  <c r="AV287" i="65"/>
  <c r="AM287" i="65"/>
  <c r="AL287" i="65"/>
  <c r="AE287" i="65"/>
  <c r="AD287" i="65"/>
  <c r="U287" i="65"/>
  <c r="T287" i="65"/>
  <c r="M287" i="65"/>
  <c r="L287" i="65"/>
  <c r="BE286" i="65"/>
  <c r="BD286" i="65"/>
  <c r="AW286" i="65"/>
  <c r="AV286" i="65"/>
  <c r="AM286" i="65"/>
  <c r="AL286" i="65"/>
  <c r="AE286" i="65"/>
  <c r="AD286" i="65"/>
  <c r="U286" i="65"/>
  <c r="T286" i="65"/>
  <c r="M286" i="65"/>
  <c r="L286" i="65"/>
  <c r="BE285" i="65"/>
  <c r="BD285" i="65"/>
  <c r="AW285" i="65"/>
  <c r="AV285" i="65"/>
  <c r="AM285" i="65"/>
  <c r="AL285" i="65"/>
  <c r="AE285" i="65"/>
  <c r="AD285" i="65"/>
  <c r="U285" i="65"/>
  <c r="T285" i="65"/>
  <c r="M285" i="65"/>
  <c r="L285" i="65"/>
  <c r="BE284" i="65"/>
  <c r="BD284" i="65"/>
  <c r="AW284" i="65"/>
  <c r="AV284" i="65"/>
  <c r="AM284" i="65"/>
  <c r="AL284" i="65"/>
  <c r="AE284" i="65"/>
  <c r="AD284" i="65"/>
  <c r="U284" i="65"/>
  <c r="T284" i="65"/>
  <c r="M284" i="65"/>
  <c r="L284" i="65"/>
  <c r="BE283" i="65"/>
  <c r="BD283" i="65"/>
  <c r="AW283" i="65"/>
  <c r="AV283" i="65"/>
  <c r="AM283" i="65"/>
  <c r="AL283" i="65"/>
  <c r="AE283" i="65"/>
  <c r="AD283" i="65"/>
  <c r="U283" i="65"/>
  <c r="T283" i="65"/>
  <c r="M283" i="65"/>
  <c r="L283" i="65"/>
  <c r="BE282" i="65"/>
  <c r="BD282" i="65"/>
  <c r="AW282" i="65"/>
  <c r="AV282" i="65"/>
  <c r="AM282" i="65"/>
  <c r="AL282" i="65"/>
  <c r="AE282" i="65"/>
  <c r="AD282" i="65"/>
  <c r="U282" i="65"/>
  <c r="T282" i="65"/>
  <c r="M282" i="65"/>
  <c r="L282" i="65"/>
  <c r="BE281" i="65"/>
  <c r="BD281" i="65"/>
  <c r="AW281" i="65"/>
  <c r="AV281" i="65"/>
  <c r="AM281" i="65"/>
  <c r="AL281" i="65"/>
  <c r="AE281" i="65"/>
  <c r="AD281" i="65"/>
  <c r="U281" i="65"/>
  <c r="T281" i="65"/>
  <c r="M281" i="65"/>
  <c r="L281" i="65"/>
  <c r="BE280" i="65"/>
  <c r="BD280" i="65"/>
  <c r="AW280" i="65"/>
  <c r="AV280" i="65"/>
  <c r="AM280" i="65"/>
  <c r="AL280" i="65"/>
  <c r="AE280" i="65"/>
  <c r="AD280" i="65"/>
  <c r="U280" i="65"/>
  <c r="T280" i="65"/>
  <c r="L280" i="65"/>
  <c r="M280" i="65" s="1"/>
  <c r="BE279" i="65"/>
  <c r="BD279" i="65"/>
  <c r="AW279" i="65"/>
  <c r="AV279" i="65"/>
  <c r="AM279" i="65"/>
  <c r="AL279" i="65"/>
  <c r="AE279" i="65"/>
  <c r="AD279" i="65"/>
  <c r="U279" i="65"/>
  <c r="T279" i="65"/>
  <c r="L279" i="65"/>
  <c r="M279" i="65" s="1"/>
  <c r="BE278" i="65"/>
  <c r="BD278" i="65"/>
  <c r="AW278" i="65"/>
  <c r="AV278" i="65"/>
  <c r="AM278" i="65"/>
  <c r="AL278" i="65"/>
  <c r="AE278" i="65"/>
  <c r="AD278" i="65"/>
  <c r="U278" i="65"/>
  <c r="T278" i="65"/>
  <c r="L278" i="65"/>
  <c r="M278" i="65" s="1"/>
  <c r="BE277" i="65"/>
  <c r="BD277" i="65"/>
  <c r="AW277" i="65"/>
  <c r="AV277" i="65"/>
  <c r="AM277" i="65"/>
  <c r="AL277" i="65"/>
  <c r="AE277" i="65"/>
  <c r="AD277" i="65"/>
  <c r="U277" i="65"/>
  <c r="T277" i="65"/>
  <c r="L277" i="65"/>
  <c r="M277" i="65" s="1"/>
  <c r="BE276" i="65"/>
  <c r="BD276" i="65"/>
  <c r="AW276" i="65"/>
  <c r="AV276" i="65"/>
  <c r="AM276" i="65"/>
  <c r="AL276" i="65"/>
  <c r="AE276" i="65"/>
  <c r="AD276" i="65"/>
  <c r="U276" i="65"/>
  <c r="T276" i="65"/>
  <c r="L276" i="65"/>
  <c r="M276" i="65" s="1"/>
  <c r="BE275" i="65"/>
  <c r="BD275" i="65"/>
  <c r="AW275" i="65"/>
  <c r="AV275" i="65"/>
  <c r="AM275" i="65"/>
  <c r="AL275" i="65"/>
  <c r="AE275" i="65"/>
  <c r="AD275" i="65"/>
  <c r="U275" i="65"/>
  <c r="T275" i="65"/>
  <c r="L275" i="65"/>
  <c r="M275" i="65" s="1"/>
  <c r="BE274" i="65"/>
  <c r="BD274" i="65"/>
  <c r="AW274" i="65"/>
  <c r="AV274" i="65"/>
  <c r="AM274" i="65"/>
  <c r="AL274" i="65"/>
  <c r="AE274" i="65"/>
  <c r="AD274" i="65"/>
  <c r="U274" i="65"/>
  <c r="T274" i="65"/>
  <c r="L274" i="65"/>
  <c r="M274" i="65" s="1"/>
  <c r="BE273" i="65"/>
  <c r="BD273" i="65"/>
  <c r="AW273" i="65"/>
  <c r="AV273" i="65"/>
  <c r="AM273" i="65"/>
  <c r="AL273" i="65"/>
  <c r="AE273" i="65"/>
  <c r="AD273" i="65"/>
  <c r="U273" i="65"/>
  <c r="T273" i="65"/>
  <c r="L273" i="65"/>
  <c r="M273" i="65" s="1"/>
  <c r="BE272" i="65"/>
  <c r="BD272" i="65"/>
  <c r="AW272" i="65"/>
  <c r="AV272" i="65"/>
  <c r="AL272" i="65"/>
  <c r="AM272" i="65" s="1"/>
  <c r="AE272" i="65"/>
  <c r="AD272" i="65"/>
  <c r="U272" i="65"/>
  <c r="T272" i="65"/>
  <c r="L272" i="65"/>
  <c r="M272" i="65" s="1"/>
  <c r="BE271" i="65"/>
  <c r="BD271" i="65"/>
  <c r="AW271" i="65"/>
  <c r="AV271" i="65"/>
  <c r="AL271" i="65"/>
  <c r="AM271" i="65" s="1"/>
  <c r="AE271" i="65"/>
  <c r="AD271" i="65"/>
  <c r="U271" i="65"/>
  <c r="T271" i="65"/>
  <c r="L271" i="65"/>
  <c r="M271" i="65" s="1"/>
  <c r="BE270" i="65"/>
  <c r="BD270" i="65"/>
  <c r="AW270" i="65"/>
  <c r="AV270" i="65"/>
  <c r="AL270" i="65"/>
  <c r="AM270" i="65" s="1"/>
  <c r="AE270" i="65"/>
  <c r="AD270" i="65"/>
  <c r="U270" i="65"/>
  <c r="T270" i="65"/>
  <c r="L270" i="65"/>
  <c r="M270" i="65" s="1"/>
  <c r="BE269" i="65"/>
  <c r="BD269" i="65"/>
  <c r="AW269" i="65"/>
  <c r="AV269" i="65"/>
  <c r="AL269" i="65"/>
  <c r="AM269" i="65" s="1"/>
  <c r="AE269" i="65"/>
  <c r="AD269" i="65"/>
  <c r="U269" i="65"/>
  <c r="T269" i="65"/>
  <c r="L269" i="65"/>
  <c r="M269" i="65" s="1"/>
  <c r="BE268" i="65"/>
  <c r="BD268" i="65"/>
  <c r="AW268" i="65"/>
  <c r="AV268" i="65"/>
  <c r="AL268" i="65"/>
  <c r="AM268" i="65" s="1"/>
  <c r="AE268" i="65"/>
  <c r="AD268" i="65"/>
  <c r="U268" i="65"/>
  <c r="T268" i="65"/>
  <c r="L268" i="65"/>
  <c r="M268" i="65" s="1"/>
  <c r="BE267" i="65"/>
  <c r="BD267" i="65"/>
  <c r="AW267" i="65"/>
  <c r="AV267" i="65"/>
  <c r="AL267" i="65"/>
  <c r="AM267" i="65" s="1"/>
  <c r="AE267" i="65"/>
  <c r="AD267" i="65"/>
  <c r="U267" i="65"/>
  <c r="T267" i="65"/>
  <c r="L267" i="65"/>
  <c r="M267" i="65" s="1"/>
  <c r="BE266" i="65"/>
  <c r="BD266" i="65"/>
  <c r="AW266" i="65"/>
  <c r="AV266" i="65"/>
  <c r="AL266" i="65"/>
  <c r="AM266" i="65" s="1"/>
  <c r="AE266" i="65"/>
  <c r="AD266" i="65"/>
  <c r="U266" i="65"/>
  <c r="T266" i="65"/>
  <c r="L266" i="65"/>
  <c r="M266" i="65" s="1"/>
  <c r="BE265" i="65"/>
  <c r="BD265" i="65"/>
  <c r="AW265" i="65"/>
  <c r="AV265" i="65"/>
  <c r="AL265" i="65"/>
  <c r="AM265" i="65" s="1"/>
  <c r="AE265" i="65"/>
  <c r="AD265" i="65"/>
  <c r="U265" i="65"/>
  <c r="T265" i="65"/>
  <c r="L265" i="65"/>
  <c r="M265" i="65" s="1"/>
  <c r="BE264" i="65"/>
  <c r="BD264" i="65"/>
  <c r="AW264" i="65"/>
  <c r="AV264" i="65"/>
  <c r="AL264" i="65"/>
  <c r="AM264" i="65" s="1"/>
  <c r="AE264" i="65"/>
  <c r="AD264" i="65"/>
  <c r="U264" i="65"/>
  <c r="T264" i="65"/>
  <c r="L264" i="65"/>
  <c r="M264" i="65" s="1"/>
  <c r="BE263" i="65"/>
  <c r="BD263" i="65"/>
  <c r="AW263" i="65"/>
  <c r="AV263" i="65"/>
  <c r="AL263" i="65"/>
  <c r="AM263" i="65" s="1"/>
  <c r="AE263" i="65"/>
  <c r="AD263" i="65"/>
  <c r="U263" i="65"/>
  <c r="T263" i="65"/>
  <c r="L263" i="65"/>
  <c r="M263" i="65" s="1"/>
  <c r="BE262" i="65"/>
  <c r="BD262" i="65"/>
  <c r="AW262" i="65"/>
  <c r="AV262" i="65"/>
  <c r="AL262" i="65"/>
  <c r="AM262" i="65" s="1"/>
  <c r="AE262" i="65"/>
  <c r="AD262" i="65"/>
  <c r="U262" i="65"/>
  <c r="T262" i="65"/>
  <c r="L262" i="65"/>
  <c r="M262" i="65" s="1"/>
  <c r="BE261" i="65"/>
  <c r="BD261" i="65"/>
  <c r="AW261" i="65"/>
  <c r="AV261" i="65"/>
  <c r="AL261" i="65"/>
  <c r="AM261" i="65" s="1"/>
  <c r="AE261" i="65"/>
  <c r="AD261" i="65"/>
  <c r="U261" i="65"/>
  <c r="T261" i="65"/>
  <c r="L261" i="65"/>
  <c r="M261" i="65" s="1"/>
  <c r="BE260" i="65"/>
  <c r="BD260" i="65"/>
  <c r="AW260" i="65"/>
  <c r="AV260" i="65"/>
  <c r="AL260" i="65"/>
  <c r="AM260" i="65" s="1"/>
  <c r="AE260" i="65"/>
  <c r="AD260" i="65"/>
  <c r="U260" i="65"/>
  <c r="T260" i="65"/>
  <c r="L260" i="65"/>
  <c r="M260" i="65" s="1"/>
  <c r="BE259" i="65"/>
  <c r="BD259" i="65"/>
  <c r="AW259" i="65"/>
  <c r="AV259" i="65"/>
  <c r="AL259" i="65"/>
  <c r="AM259" i="65" s="1"/>
  <c r="AE259" i="65"/>
  <c r="AD259" i="65"/>
  <c r="U259" i="65"/>
  <c r="T259" i="65"/>
  <c r="L259" i="65"/>
  <c r="M259" i="65" s="1"/>
  <c r="BE258" i="65"/>
  <c r="BD258" i="65"/>
  <c r="AW258" i="65"/>
  <c r="AV258" i="65"/>
  <c r="AL258" i="65"/>
  <c r="AM258" i="65" s="1"/>
  <c r="AE258" i="65"/>
  <c r="AD258" i="65"/>
  <c r="U258" i="65"/>
  <c r="T258" i="65"/>
  <c r="L258" i="65"/>
  <c r="M258" i="65" s="1"/>
  <c r="BE257" i="65"/>
  <c r="BD257" i="65"/>
  <c r="AW257" i="65"/>
  <c r="AV257" i="65"/>
  <c r="AL257" i="65"/>
  <c r="AM257" i="65" s="1"/>
  <c r="AE257" i="65"/>
  <c r="AD257" i="65"/>
  <c r="U257" i="65"/>
  <c r="T257" i="65"/>
  <c r="L257" i="65"/>
  <c r="M257" i="65" s="1"/>
  <c r="BE256" i="65"/>
  <c r="BD256" i="65"/>
  <c r="AW256" i="65"/>
  <c r="AV256" i="65"/>
  <c r="AL256" i="65"/>
  <c r="AM256" i="65" s="1"/>
  <c r="AE256" i="65"/>
  <c r="AD256" i="65"/>
  <c r="U256" i="65"/>
  <c r="T256" i="65"/>
  <c r="L256" i="65"/>
  <c r="M256" i="65" s="1"/>
  <c r="BE255" i="65"/>
  <c r="BD255" i="65"/>
  <c r="AW255" i="65"/>
  <c r="AV255" i="65"/>
  <c r="AL255" i="65"/>
  <c r="AM255" i="65" s="1"/>
  <c r="AE255" i="65"/>
  <c r="AD255" i="65"/>
  <c r="U255" i="65"/>
  <c r="T255" i="65"/>
  <c r="L255" i="65"/>
  <c r="M255" i="65" s="1"/>
  <c r="BE254" i="65"/>
  <c r="BD254" i="65"/>
  <c r="AW254" i="65"/>
  <c r="AV254" i="65"/>
  <c r="AL254" i="65"/>
  <c r="AM254" i="65" s="1"/>
  <c r="AE254" i="65"/>
  <c r="AD254" i="65"/>
  <c r="U254" i="65"/>
  <c r="T254" i="65"/>
  <c r="L254" i="65"/>
  <c r="M254" i="65" s="1"/>
  <c r="BE253" i="65"/>
  <c r="BD253" i="65"/>
  <c r="AW253" i="65"/>
  <c r="AV253" i="65"/>
  <c r="AL253" i="65"/>
  <c r="AM253" i="65" s="1"/>
  <c r="AE253" i="65"/>
  <c r="AD253" i="65"/>
  <c r="U253" i="65"/>
  <c r="T253" i="65"/>
  <c r="L253" i="65"/>
  <c r="M253" i="65" s="1"/>
  <c r="BE252" i="65"/>
  <c r="BD252" i="65"/>
  <c r="AW252" i="65"/>
  <c r="AV252" i="65"/>
  <c r="AL252" i="65"/>
  <c r="AM252" i="65" s="1"/>
  <c r="AE252" i="65"/>
  <c r="AD252" i="65"/>
  <c r="U252" i="65"/>
  <c r="T252" i="65"/>
  <c r="L252" i="65"/>
  <c r="M252" i="65" s="1"/>
  <c r="BE251" i="65"/>
  <c r="BD251" i="65"/>
  <c r="AW251" i="65"/>
  <c r="AV251" i="65"/>
  <c r="AL251" i="65"/>
  <c r="AM251" i="65" s="1"/>
  <c r="AE251" i="65"/>
  <c r="AD251" i="65"/>
  <c r="U251" i="65"/>
  <c r="T251" i="65"/>
  <c r="L251" i="65"/>
  <c r="M251" i="65" s="1"/>
  <c r="BE250" i="65"/>
  <c r="BD250" i="65"/>
  <c r="AW250" i="65"/>
  <c r="AV250" i="65"/>
  <c r="AL250" i="65"/>
  <c r="AM250" i="65" s="1"/>
  <c r="AE250" i="65"/>
  <c r="AD250" i="65"/>
  <c r="U250" i="65"/>
  <c r="T250" i="65"/>
  <c r="L250" i="65"/>
  <c r="M250" i="65" s="1"/>
  <c r="BE249" i="65"/>
  <c r="BD249" i="65"/>
  <c r="AW249" i="65"/>
  <c r="AV249" i="65"/>
  <c r="AL249" i="65"/>
  <c r="AM249" i="65" s="1"/>
  <c r="AE249" i="65"/>
  <c r="AD249" i="65"/>
  <c r="U249" i="65"/>
  <c r="T249" i="65"/>
  <c r="L249" i="65"/>
  <c r="M249" i="65" s="1"/>
  <c r="BE248" i="65"/>
  <c r="BD248" i="65"/>
  <c r="AW248" i="65"/>
  <c r="AV248" i="65"/>
  <c r="AL248" i="65"/>
  <c r="AM248" i="65" s="1"/>
  <c r="AE248" i="65"/>
  <c r="AD248" i="65"/>
  <c r="U248" i="65"/>
  <c r="T248" i="65"/>
  <c r="L248" i="65"/>
  <c r="M248" i="65" s="1"/>
  <c r="BE247" i="65"/>
  <c r="BD247" i="65"/>
  <c r="AW247" i="65"/>
  <c r="AV247" i="65"/>
  <c r="AL247" i="65"/>
  <c r="AM247" i="65" s="1"/>
  <c r="AE247" i="65"/>
  <c r="AD247" i="65"/>
  <c r="U247" i="65"/>
  <c r="T247" i="65"/>
  <c r="L247" i="65"/>
  <c r="M247" i="65" s="1"/>
  <c r="BE246" i="65"/>
  <c r="BD246" i="65"/>
  <c r="AW246" i="65"/>
  <c r="AV246" i="65"/>
  <c r="AL246" i="65"/>
  <c r="AM246" i="65" s="1"/>
  <c r="AE246" i="65"/>
  <c r="AD246" i="65"/>
  <c r="U246" i="65"/>
  <c r="T246" i="65"/>
  <c r="L246" i="65"/>
  <c r="M246" i="65" s="1"/>
  <c r="BE245" i="65"/>
  <c r="BD245" i="65"/>
  <c r="AW245" i="65"/>
  <c r="AV245" i="65"/>
  <c r="AL245" i="65"/>
  <c r="AM245" i="65" s="1"/>
  <c r="AE245" i="65"/>
  <c r="AD245" i="65"/>
  <c r="U245" i="65"/>
  <c r="T245" i="65"/>
  <c r="L245" i="65"/>
  <c r="M245" i="65" s="1"/>
  <c r="BE244" i="65"/>
  <c r="BD244" i="65"/>
  <c r="AW244" i="65"/>
  <c r="AV244" i="65"/>
  <c r="AL244" i="65"/>
  <c r="AM244" i="65" s="1"/>
  <c r="AE244" i="65"/>
  <c r="AD244" i="65"/>
  <c r="U244" i="65"/>
  <c r="T244" i="65"/>
  <c r="L244" i="65"/>
  <c r="M244" i="65" s="1"/>
  <c r="BE243" i="65"/>
  <c r="BD243" i="65"/>
  <c r="AW243" i="65"/>
  <c r="AV243" i="65"/>
  <c r="AL243" i="65"/>
  <c r="AM243" i="65" s="1"/>
  <c r="AE243" i="65"/>
  <c r="AD243" i="65"/>
  <c r="U243" i="65"/>
  <c r="T243" i="65"/>
  <c r="L243" i="65"/>
  <c r="M243" i="65" s="1"/>
  <c r="BE242" i="65"/>
  <c r="BD242" i="65"/>
  <c r="AW242" i="65"/>
  <c r="AV242" i="65"/>
  <c r="AL242" i="65"/>
  <c r="AM242" i="65" s="1"/>
  <c r="AE242" i="65"/>
  <c r="AD242" i="65"/>
  <c r="U242" i="65"/>
  <c r="T242" i="65"/>
  <c r="L242" i="65"/>
  <c r="M242" i="65" s="1"/>
  <c r="BE241" i="65"/>
  <c r="BD241" i="65"/>
  <c r="AW241" i="65"/>
  <c r="AV241" i="65"/>
  <c r="AL241" i="65"/>
  <c r="AM241" i="65" s="1"/>
  <c r="AE241" i="65"/>
  <c r="AD241" i="65"/>
  <c r="U241" i="65"/>
  <c r="T241" i="65"/>
  <c r="L241" i="65"/>
  <c r="M241" i="65" s="1"/>
  <c r="BE240" i="65"/>
  <c r="BD240" i="65"/>
  <c r="AW240" i="65"/>
  <c r="AV240" i="65"/>
  <c r="AL240" i="65"/>
  <c r="AM240" i="65" s="1"/>
  <c r="AE240" i="65"/>
  <c r="AD240" i="65"/>
  <c r="U240" i="65"/>
  <c r="T240" i="65"/>
  <c r="L240" i="65"/>
  <c r="M240" i="65" s="1"/>
  <c r="BE239" i="65"/>
  <c r="BD239" i="65"/>
  <c r="AW239" i="65"/>
  <c r="AV239" i="65"/>
  <c r="AL239" i="65"/>
  <c r="AM239" i="65" s="1"/>
  <c r="AE239" i="65"/>
  <c r="AD239" i="65"/>
  <c r="U239" i="65"/>
  <c r="T239" i="65"/>
  <c r="L239" i="65"/>
  <c r="M239" i="65" s="1"/>
  <c r="BE238" i="65"/>
  <c r="BD238" i="65"/>
  <c r="AW238" i="65"/>
  <c r="AV238" i="65"/>
  <c r="AL238" i="65"/>
  <c r="AM238" i="65" s="1"/>
  <c r="AE238" i="65"/>
  <c r="AD238" i="65"/>
  <c r="U238" i="65"/>
  <c r="T238" i="65"/>
  <c r="L238" i="65"/>
  <c r="M238" i="65" s="1"/>
  <c r="BE237" i="65"/>
  <c r="BD237" i="65"/>
  <c r="AW237" i="65"/>
  <c r="AV237" i="65"/>
  <c r="AL237" i="65"/>
  <c r="AM237" i="65" s="1"/>
  <c r="AE237" i="65"/>
  <c r="AD237" i="65"/>
  <c r="U237" i="65"/>
  <c r="T237" i="65"/>
  <c r="L237" i="65"/>
  <c r="M237" i="65" s="1"/>
  <c r="BE236" i="65"/>
  <c r="BD236" i="65"/>
  <c r="AW236" i="65"/>
  <c r="AV236" i="65"/>
  <c r="AL236" i="65"/>
  <c r="AM236" i="65" s="1"/>
  <c r="AE236" i="65"/>
  <c r="AD236" i="65"/>
  <c r="U236" i="65"/>
  <c r="T236" i="65"/>
  <c r="L236" i="65"/>
  <c r="M236" i="65" s="1"/>
  <c r="BE235" i="65"/>
  <c r="BD235" i="65"/>
  <c r="AW235" i="65"/>
  <c r="AV235" i="65"/>
  <c r="AL235" i="65"/>
  <c r="AM235" i="65" s="1"/>
  <c r="AE235" i="65"/>
  <c r="AD235" i="65"/>
  <c r="U235" i="65"/>
  <c r="T235" i="65"/>
  <c r="L235" i="65"/>
  <c r="M235" i="65" s="1"/>
  <c r="BE234" i="65"/>
  <c r="BD234" i="65"/>
  <c r="AW234" i="65"/>
  <c r="AV234" i="65"/>
  <c r="AL234" i="65"/>
  <c r="AM234" i="65" s="1"/>
  <c r="AE234" i="65"/>
  <c r="AD234" i="65"/>
  <c r="U234" i="65"/>
  <c r="T234" i="65"/>
  <c r="L234" i="65"/>
  <c r="M234" i="65" s="1"/>
  <c r="BE233" i="65"/>
  <c r="BD233" i="65"/>
  <c r="AW233" i="65"/>
  <c r="AV233" i="65"/>
  <c r="AL233" i="65"/>
  <c r="AM233" i="65" s="1"/>
  <c r="AE233" i="65"/>
  <c r="AD233" i="65"/>
  <c r="U233" i="65"/>
  <c r="T233" i="65"/>
  <c r="L233" i="65"/>
  <c r="M233" i="65" s="1"/>
  <c r="BE232" i="65"/>
  <c r="BD232" i="65"/>
  <c r="AW232" i="65"/>
  <c r="AV232" i="65"/>
  <c r="AL232" i="65"/>
  <c r="AM232" i="65" s="1"/>
  <c r="AE232" i="65"/>
  <c r="AD232" i="65"/>
  <c r="U232" i="65"/>
  <c r="T232" i="65"/>
  <c r="L232" i="65"/>
  <c r="M232" i="65" s="1"/>
  <c r="BE231" i="65"/>
  <c r="BD231" i="65"/>
  <c r="AW231" i="65"/>
  <c r="AV231" i="65"/>
  <c r="AL231" i="65"/>
  <c r="AM231" i="65" s="1"/>
  <c r="AE231" i="65"/>
  <c r="AD231" i="65"/>
  <c r="U231" i="65"/>
  <c r="T231" i="65"/>
  <c r="L231" i="65"/>
  <c r="M231" i="65" s="1"/>
  <c r="BE230" i="65"/>
  <c r="BD230" i="65"/>
  <c r="AW230" i="65"/>
  <c r="AV230" i="65"/>
  <c r="AL230" i="65"/>
  <c r="AM230" i="65" s="1"/>
  <c r="AE230" i="65"/>
  <c r="AD230" i="65"/>
  <c r="U230" i="65"/>
  <c r="T230" i="65"/>
  <c r="L230" i="65"/>
  <c r="M230" i="65" s="1"/>
  <c r="BE229" i="65"/>
  <c r="BD229" i="65"/>
  <c r="AW229" i="65"/>
  <c r="AV229" i="65"/>
  <c r="AL229" i="65"/>
  <c r="AM229" i="65" s="1"/>
  <c r="AE229" i="65"/>
  <c r="AD229" i="65"/>
  <c r="U229" i="65"/>
  <c r="T229" i="65"/>
  <c r="L229" i="65"/>
  <c r="M229" i="65" s="1"/>
  <c r="BE228" i="65"/>
  <c r="BD228" i="65"/>
  <c r="AW228" i="65"/>
  <c r="AV228" i="65"/>
  <c r="AL228" i="65"/>
  <c r="AM228" i="65" s="1"/>
  <c r="AE228" i="65"/>
  <c r="AD228" i="65"/>
  <c r="U228" i="65"/>
  <c r="T228" i="65"/>
  <c r="L228" i="65"/>
  <c r="M228" i="65" s="1"/>
  <c r="BE227" i="65"/>
  <c r="BD227" i="65"/>
  <c r="AW227" i="65"/>
  <c r="AV227" i="65"/>
  <c r="AL227" i="65"/>
  <c r="AM227" i="65" s="1"/>
  <c r="AE227" i="65"/>
  <c r="AD227" i="65"/>
  <c r="U227" i="65"/>
  <c r="T227" i="65"/>
  <c r="L227" i="65"/>
  <c r="M227" i="65" s="1"/>
  <c r="BE226" i="65"/>
  <c r="BD226" i="65"/>
  <c r="AW226" i="65"/>
  <c r="AV226" i="65"/>
  <c r="AL226" i="65"/>
  <c r="AM226" i="65" s="1"/>
  <c r="AE226" i="65"/>
  <c r="AD226" i="65"/>
  <c r="U226" i="65"/>
  <c r="T226" i="65"/>
  <c r="L226" i="65"/>
  <c r="M226" i="65" s="1"/>
  <c r="BE225" i="65"/>
  <c r="BD225" i="65"/>
  <c r="AW225" i="65"/>
  <c r="AV225" i="65"/>
  <c r="AL225" i="65"/>
  <c r="AM225" i="65" s="1"/>
  <c r="AE225" i="65"/>
  <c r="AD225" i="65"/>
  <c r="U225" i="65"/>
  <c r="T225" i="65"/>
  <c r="L225" i="65"/>
  <c r="M225" i="65" s="1"/>
  <c r="BE224" i="65"/>
  <c r="BD224" i="65"/>
  <c r="AW224" i="65"/>
  <c r="AV224" i="65"/>
  <c r="AL224" i="65"/>
  <c r="AM224" i="65" s="1"/>
  <c r="AE224" i="65"/>
  <c r="AD224" i="65"/>
  <c r="U224" i="65"/>
  <c r="T224" i="65"/>
  <c r="L224" i="65"/>
  <c r="M224" i="65" s="1"/>
  <c r="BE223" i="65"/>
  <c r="BD223" i="65"/>
  <c r="AW223" i="65"/>
  <c r="AV223" i="65"/>
  <c r="AL223" i="65"/>
  <c r="AM223" i="65" s="1"/>
  <c r="AE223" i="65"/>
  <c r="AD223" i="65"/>
  <c r="U223" i="65"/>
  <c r="T223" i="65"/>
  <c r="L223" i="65"/>
  <c r="M223" i="65" s="1"/>
  <c r="BE222" i="65"/>
  <c r="BD222" i="65"/>
  <c r="AW222" i="65"/>
  <c r="AV222" i="65"/>
  <c r="AL222" i="65"/>
  <c r="AM222" i="65" s="1"/>
  <c r="AE222" i="65"/>
  <c r="AD222" i="65"/>
  <c r="U222" i="65"/>
  <c r="T222" i="65"/>
  <c r="L222" i="65"/>
  <c r="M222" i="65" s="1"/>
  <c r="BE221" i="65"/>
  <c r="BD221" i="65"/>
  <c r="AW221" i="65"/>
  <c r="AV221" i="65"/>
  <c r="AL221" i="65"/>
  <c r="AM221" i="65" s="1"/>
  <c r="AE221" i="65"/>
  <c r="AD221" i="65"/>
  <c r="U221" i="65"/>
  <c r="T221" i="65"/>
  <c r="L221" i="65"/>
  <c r="M221" i="65" s="1"/>
  <c r="BE220" i="65"/>
  <c r="BD220" i="65"/>
  <c r="AW220" i="65"/>
  <c r="AV220" i="65"/>
  <c r="AL220" i="65"/>
  <c r="AM220" i="65" s="1"/>
  <c r="AE220" i="65"/>
  <c r="AD220" i="65"/>
  <c r="U220" i="65"/>
  <c r="T220" i="65"/>
  <c r="L220" i="65"/>
  <c r="M220" i="65" s="1"/>
  <c r="BE219" i="65"/>
  <c r="BD219" i="65"/>
  <c r="AW219" i="65"/>
  <c r="AV219" i="65"/>
  <c r="AL219" i="65"/>
  <c r="AM219" i="65" s="1"/>
  <c r="AE219" i="65"/>
  <c r="AD219" i="65"/>
  <c r="U219" i="65"/>
  <c r="T219" i="65"/>
  <c r="L219" i="65"/>
  <c r="M219" i="65" s="1"/>
  <c r="BE218" i="65"/>
  <c r="BD218" i="65"/>
  <c r="AW218" i="65"/>
  <c r="AV218" i="65"/>
  <c r="AL218" i="65"/>
  <c r="AM218" i="65" s="1"/>
  <c r="AE218" i="65"/>
  <c r="AD218" i="65"/>
  <c r="U218" i="65"/>
  <c r="T218" i="65"/>
  <c r="L218" i="65"/>
  <c r="M218" i="65" s="1"/>
  <c r="BE217" i="65"/>
  <c r="BD217" i="65"/>
  <c r="AW217" i="65"/>
  <c r="AV217" i="65"/>
  <c r="AL217" i="65"/>
  <c r="AM217" i="65" s="1"/>
  <c r="AE217" i="65"/>
  <c r="AD217" i="65"/>
  <c r="U217" i="65"/>
  <c r="T217" i="65"/>
  <c r="L217" i="65"/>
  <c r="M217" i="65" s="1"/>
  <c r="BE216" i="65"/>
  <c r="BD216" i="65"/>
  <c r="AW216" i="65"/>
  <c r="AV216" i="65"/>
  <c r="AL216" i="65"/>
  <c r="AM216" i="65" s="1"/>
  <c r="AE216" i="65"/>
  <c r="AD216" i="65"/>
  <c r="U216" i="65"/>
  <c r="T216" i="65"/>
  <c r="L216" i="65"/>
  <c r="M216" i="65" s="1"/>
  <c r="BE215" i="65"/>
  <c r="BD215" i="65"/>
  <c r="AW215" i="65"/>
  <c r="AV215" i="65"/>
  <c r="AL215" i="65"/>
  <c r="AM215" i="65" s="1"/>
  <c r="AE215" i="65"/>
  <c r="AD215" i="65"/>
  <c r="U215" i="65"/>
  <c r="T215" i="65"/>
  <c r="L215" i="65"/>
  <c r="M215" i="65" s="1"/>
  <c r="BE214" i="65"/>
  <c r="BD214" i="65"/>
  <c r="AW214" i="65"/>
  <c r="AV214" i="65"/>
  <c r="AL214" i="65"/>
  <c r="AM214" i="65" s="1"/>
  <c r="AE214" i="65"/>
  <c r="AD214" i="65"/>
  <c r="U214" i="65"/>
  <c r="T214" i="65"/>
  <c r="L214" i="65"/>
  <c r="M214" i="65" s="1"/>
  <c r="BE213" i="65"/>
  <c r="BD213" i="65"/>
  <c r="AW213" i="65"/>
  <c r="AV213" i="65"/>
  <c r="AL213" i="65"/>
  <c r="AM213" i="65" s="1"/>
  <c r="AE213" i="65"/>
  <c r="AD213" i="65"/>
  <c r="U213" i="65"/>
  <c r="T213" i="65"/>
  <c r="L213" i="65"/>
  <c r="M213" i="65" s="1"/>
  <c r="BE212" i="65"/>
  <c r="BD212" i="65"/>
  <c r="AW212" i="65"/>
  <c r="AV212" i="65"/>
  <c r="AL212" i="65"/>
  <c r="AM212" i="65" s="1"/>
  <c r="AE212" i="65"/>
  <c r="AD212" i="65"/>
  <c r="U212" i="65"/>
  <c r="T212" i="65"/>
  <c r="L212" i="65"/>
  <c r="M212" i="65" s="1"/>
  <c r="BE211" i="65"/>
  <c r="BD211" i="65"/>
  <c r="AW211" i="65"/>
  <c r="AV211" i="65"/>
  <c r="AL211" i="65"/>
  <c r="AM211" i="65" s="1"/>
  <c r="AE211" i="65"/>
  <c r="AD211" i="65"/>
  <c r="U211" i="65"/>
  <c r="T211" i="65"/>
  <c r="L211" i="65"/>
  <c r="M211" i="65" s="1"/>
  <c r="BE210" i="65"/>
  <c r="BD210" i="65"/>
  <c r="AW210" i="65"/>
  <c r="AV210" i="65"/>
  <c r="AL210" i="65"/>
  <c r="AM210" i="65" s="1"/>
  <c r="AE210" i="65"/>
  <c r="AD210" i="65"/>
  <c r="U210" i="65"/>
  <c r="T210" i="65"/>
  <c r="L210" i="65"/>
  <c r="M210" i="65" s="1"/>
  <c r="BE209" i="65"/>
  <c r="BD209" i="65"/>
  <c r="AW209" i="65"/>
  <c r="AV209" i="65"/>
  <c r="AL209" i="65"/>
  <c r="AM209" i="65" s="1"/>
  <c r="AE209" i="65"/>
  <c r="AD209" i="65"/>
  <c r="U209" i="65"/>
  <c r="T209" i="65"/>
  <c r="L209" i="65"/>
  <c r="M209" i="65" s="1"/>
  <c r="BE208" i="65"/>
  <c r="BD208" i="65"/>
  <c r="AW208" i="65"/>
  <c r="AV208" i="65"/>
  <c r="AL208" i="65"/>
  <c r="AM208" i="65" s="1"/>
  <c r="AE208" i="65"/>
  <c r="AD208" i="65"/>
  <c r="U208" i="65"/>
  <c r="T208" i="65"/>
  <c r="L208" i="65"/>
  <c r="M208" i="65" s="1"/>
  <c r="BE207" i="65"/>
  <c r="BD207" i="65"/>
  <c r="AW207" i="65"/>
  <c r="AV207" i="65"/>
  <c r="AL207" i="65"/>
  <c r="AM207" i="65" s="1"/>
  <c r="AE207" i="65"/>
  <c r="AD207" i="65"/>
  <c r="U207" i="65"/>
  <c r="T207" i="65"/>
  <c r="L207" i="65"/>
  <c r="M207" i="65" s="1"/>
  <c r="BE206" i="65"/>
  <c r="BD206" i="65"/>
  <c r="AV206" i="65"/>
  <c r="AW206" i="65" s="1"/>
  <c r="AL206" i="65"/>
  <c r="AM206" i="65" s="1"/>
  <c r="AE206" i="65"/>
  <c r="AD206" i="65"/>
  <c r="T206" i="65"/>
  <c r="U206" i="65" s="1"/>
  <c r="L206" i="65"/>
  <c r="M206" i="65" s="1"/>
  <c r="BE205" i="65"/>
  <c r="BD205" i="65"/>
  <c r="AV205" i="65"/>
  <c r="AW205" i="65" s="1"/>
  <c r="AL205" i="65"/>
  <c r="AM205" i="65" s="1"/>
  <c r="AE205" i="65"/>
  <c r="AD205" i="65"/>
  <c r="U205" i="65"/>
  <c r="T205" i="65"/>
  <c r="L205" i="65"/>
  <c r="M205" i="65" s="1"/>
  <c r="BE204" i="65"/>
  <c r="BD204" i="65"/>
  <c r="AV204" i="65"/>
  <c r="AW204" i="65" s="1"/>
  <c r="AL204" i="65"/>
  <c r="AM204" i="65" s="1"/>
  <c r="AE204" i="65"/>
  <c r="AD204" i="65"/>
  <c r="T204" i="65"/>
  <c r="U204" i="65" s="1"/>
  <c r="L204" i="65"/>
  <c r="M204" i="65" s="1"/>
  <c r="BE203" i="65"/>
  <c r="BD203" i="65"/>
  <c r="AV203" i="65"/>
  <c r="AW203" i="65" s="1"/>
  <c r="AL203" i="65"/>
  <c r="AM203" i="65" s="1"/>
  <c r="AE203" i="65"/>
  <c r="AD203" i="65"/>
  <c r="U203" i="65"/>
  <c r="T203" i="65"/>
  <c r="L203" i="65"/>
  <c r="M203" i="65" s="1"/>
  <c r="BE202" i="65"/>
  <c r="BD202" i="65"/>
  <c r="AV202" i="65"/>
  <c r="AW202" i="65" s="1"/>
  <c r="AL202" i="65"/>
  <c r="AM202" i="65" s="1"/>
  <c r="AE202" i="65"/>
  <c r="AD202" i="65"/>
  <c r="T202" i="65"/>
  <c r="U202" i="65" s="1"/>
  <c r="L202" i="65"/>
  <c r="M202" i="65" s="1"/>
  <c r="BE201" i="65"/>
  <c r="BD201" i="65"/>
  <c r="AW201" i="65"/>
  <c r="AV201" i="65"/>
  <c r="AL201" i="65"/>
  <c r="AM201" i="65" s="1"/>
  <c r="AE201" i="65"/>
  <c r="AD201" i="65"/>
  <c r="T201" i="65"/>
  <c r="U201" i="65" s="1"/>
  <c r="M201" i="65"/>
  <c r="L201" i="65"/>
  <c r="BE200" i="65"/>
  <c r="BD200" i="65"/>
  <c r="AW200" i="65"/>
  <c r="AV200" i="65"/>
  <c r="AL200" i="65"/>
  <c r="AM200" i="65" s="1"/>
  <c r="AE200" i="65"/>
  <c r="AD200" i="65"/>
  <c r="T200" i="65"/>
  <c r="U200" i="65" s="1"/>
  <c r="L200" i="65"/>
  <c r="M200" i="65" s="1"/>
  <c r="BE199" i="65"/>
  <c r="BD199" i="65"/>
  <c r="AV199" i="65"/>
  <c r="AW199" i="65" s="1"/>
  <c r="AL199" i="65"/>
  <c r="AM199" i="65" s="1"/>
  <c r="AE199" i="65"/>
  <c r="AD199" i="65"/>
  <c r="U199" i="65"/>
  <c r="T199" i="65"/>
  <c r="L199" i="65"/>
  <c r="M199" i="65" s="1"/>
  <c r="BE198" i="65"/>
  <c r="BD198" i="65"/>
  <c r="AV198" i="65"/>
  <c r="AW198" i="65" s="1"/>
  <c r="AL198" i="65"/>
  <c r="AM198" i="65" s="1"/>
  <c r="AE198" i="65"/>
  <c r="AD198" i="65"/>
  <c r="T198" i="65"/>
  <c r="U198" i="65" s="1"/>
  <c r="L198" i="65"/>
  <c r="M198" i="65" s="1"/>
  <c r="BE197" i="65"/>
  <c r="BD197" i="65"/>
  <c r="AV197" i="65"/>
  <c r="AW197" i="65" s="1"/>
  <c r="AL197" i="65"/>
  <c r="AM197" i="65" s="1"/>
  <c r="AE197" i="65"/>
  <c r="AD197" i="65"/>
  <c r="T197" i="65"/>
  <c r="U197" i="65" s="1"/>
  <c r="M197" i="65"/>
  <c r="L197" i="65"/>
  <c r="BE196" i="65"/>
  <c r="BD196" i="65"/>
  <c r="AW196" i="65"/>
  <c r="AV196" i="65"/>
  <c r="AL196" i="65"/>
  <c r="AM196" i="65" s="1"/>
  <c r="AE196" i="65"/>
  <c r="AD196" i="65"/>
  <c r="U196" i="65"/>
  <c r="T196" i="65"/>
  <c r="L196" i="65"/>
  <c r="M196" i="65" s="1"/>
  <c r="BE195" i="65"/>
  <c r="BD195" i="65"/>
  <c r="AV195" i="65"/>
  <c r="AW195" i="65" s="1"/>
  <c r="AL195" i="65"/>
  <c r="AM195" i="65" s="1"/>
  <c r="AE195" i="65"/>
  <c r="AD195" i="65"/>
  <c r="U195" i="65"/>
  <c r="T195" i="65"/>
  <c r="L195" i="65"/>
  <c r="M195" i="65" s="1"/>
  <c r="BE194" i="65"/>
  <c r="BD194" i="65"/>
  <c r="AV194" i="65"/>
  <c r="AW194" i="65" s="1"/>
  <c r="AL194" i="65"/>
  <c r="AM194" i="65" s="1"/>
  <c r="AE194" i="65"/>
  <c r="AD194" i="65"/>
  <c r="T194" i="65"/>
  <c r="U194" i="65" s="1"/>
  <c r="M194" i="65"/>
  <c r="L194" i="65"/>
  <c r="BE193" i="65"/>
  <c r="BD193" i="65"/>
  <c r="AV193" i="65"/>
  <c r="AW193" i="65" s="1"/>
  <c r="AL193" i="65"/>
  <c r="AM193" i="65" s="1"/>
  <c r="AE193" i="65"/>
  <c r="AD193" i="65"/>
  <c r="T193" i="65"/>
  <c r="U193" i="65" s="1"/>
  <c r="M193" i="65"/>
  <c r="L193" i="65"/>
  <c r="BE192" i="65"/>
  <c r="BD192" i="65"/>
  <c r="AW192" i="65"/>
  <c r="AV192" i="65"/>
  <c r="AL192" i="65"/>
  <c r="AM192" i="65" s="1"/>
  <c r="AE192" i="65"/>
  <c r="AD192" i="65"/>
  <c r="T192" i="65"/>
  <c r="U192" i="65" s="1"/>
  <c r="L192" i="65"/>
  <c r="M192" i="65" s="1"/>
  <c r="BE191" i="65"/>
  <c r="BD191" i="65"/>
  <c r="AV191" i="65"/>
  <c r="AW191" i="65" s="1"/>
  <c r="AL191" i="65"/>
  <c r="AM191" i="65" s="1"/>
  <c r="AE191" i="65"/>
  <c r="AD191" i="65"/>
  <c r="U191" i="65"/>
  <c r="T191" i="65"/>
  <c r="L191" i="65"/>
  <c r="M191" i="65" s="1"/>
  <c r="BE190" i="65"/>
  <c r="BD190" i="65"/>
  <c r="AV190" i="65"/>
  <c r="AW190" i="65" s="1"/>
  <c r="AL190" i="65"/>
  <c r="AM190" i="65" s="1"/>
  <c r="AE190" i="65"/>
  <c r="AD190" i="65"/>
  <c r="T190" i="65"/>
  <c r="U190" i="65" s="1"/>
  <c r="L190" i="65"/>
  <c r="M190" i="65" s="1"/>
  <c r="BE189" i="65"/>
  <c r="BD189" i="65"/>
  <c r="AW189" i="65"/>
  <c r="AV189" i="65"/>
  <c r="AL189" i="65"/>
  <c r="AM189" i="65" s="1"/>
  <c r="AE189" i="65"/>
  <c r="AD189" i="65"/>
  <c r="T189" i="65"/>
  <c r="U189" i="65" s="1"/>
  <c r="M189" i="65"/>
  <c r="L189" i="65"/>
  <c r="BE188" i="65"/>
  <c r="BD188" i="65"/>
  <c r="AW188" i="65"/>
  <c r="AV188" i="65"/>
  <c r="AL188" i="65"/>
  <c r="AM188" i="65" s="1"/>
  <c r="AE188" i="65"/>
  <c r="AD188" i="65"/>
  <c r="T188" i="65"/>
  <c r="U188" i="65" s="1"/>
  <c r="L188" i="65"/>
  <c r="M188" i="65" s="1"/>
  <c r="BE187" i="65"/>
  <c r="BD187" i="65"/>
  <c r="AV187" i="65"/>
  <c r="AW187" i="65" s="1"/>
  <c r="AM187" i="65"/>
  <c r="AL187" i="65"/>
  <c r="AE187" i="65"/>
  <c r="AD187" i="65"/>
  <c r="T187" i="65"/>
  <c r="U187" i="65" s="1"/>
  <c r="L187" i="65"/>
  <c r="M187" i="65" s="1"/>
  <c r="BE186" i="65"/>
  <c r="BD186" i="65"/>
  <c r="AV186" i="65"/>
  <c r="AW186" i="65" s="1"/>
  <c r="AM186" i="65"/>
  <c r="AL186" i="65"/>
  <c r="AE186" i="65"/>
  <c r="AD186" i="65"/>
  <c r="T186" i="65"/>
  <c r="U186" i="65" s="1"/>
  <c r="L186" i="65"/>
  <c r="M186" i="65" s="1"/>
  <c r="BE185" i="65"/>
  <c r="BD185" i="65"/>
  <c r="AV185" i="65"/>
  <c r="AW185" i="65" s="1"/>
  <c r="AM185" i="65"/>
  <c r="AL185" i="65"/>
  <c r="AE185" i="65"/>
  <c r="AD185" i="65"/>
  <c r="T185" i="65"/>
  <c r="U185" i="65" s="1"/>
  <c r="L185" i="65"/>
  <c r="M185" i="65" s="1"/>
  <c r="BE184" i="65"/>
  <c r="BD184" i="65"/>
  <c r="AV184" i="65"/>
  <c r="AW184" i="65" s="1"/>
  <c r="AM184" i="65"/>
  <c r="AL184" i="65"/>
  <c r="AE184" i="65"/>
  <c r="AD184" i="65"/>
  <c r="T184" i="65"/>
  <c r="U184" i="65" s="1"/>
  <c r="L184" i="65"/>
  <c r="M184" i="65" s="1"/>
  <c r="BE183" i="65"/>
  <c r="BD183" i="65"/>
  <c r="AV183" i="65"/>
  <c r="AW183" i="65" s="1"/>
  <c r="AM183" i="65"/>
  <c r="AL183" i="65"/>
  <c r="AE183" i="65"/>
  <c r="AD183" i="65"/>
  <c r="T183" i="65"/>
  <c r="U183" i="65" s="1"/>
  <c r="L183" i="65"/>
  <c r="M183" i="65" s="1"/>
  <c r="BE182" i="65"/>
  <c r="BD182" i="65"/>
  <c r="AV182" i="65"/>
  <c r="AW182" i="65" s="1"/>
  <c r="AM182" i="65"/>
  <c r="AL182" i="65"/>
  <c r="AE182" i="65"/>
  <c r="AD182" i="65"/>
  <c r="T182" i="65"/>
  <c r="U182" i="65" s="1"/>
  <c r="L182" i="65"/>
  <c r="M182" i="65" s="1"/>
  <c r="BE181" i="65"/>
  <c r="BD181" i="65"/>
  <c r="AV181" i="65"/>
  <c r="AW181" i="65" s="1"/>
  <c r="AM181" i="65"/>
  <c r="AL181" i="65"/>
  <c r="AE181" i="65"/>
  <c r="AD181" i="65"/>
  <c r="T181" i="65"/>
  <c r="U181" i="65" s="1"/>
  <c r="L181" i="65"/>
  <c r="M181" i="65" s="1"/>
  <c r="BE180" i="65"/>
  <c r="BD180" i="65"/>
  <c r="AW180" i="65"/>
  <c r="AV180" i="65"/>
  <c r="AM180" i="65"/>
  <c r="AL180" i="65"/>
  <c r="AE180" i="65"/>
  <c r="AD180" i="65"/>
  <c r="T180" i="65"/>
  <c r="U180" i="65" s="1"/>
  <c r="L180" i="65"/>
  <c r="M180" i="65" s="1"/>
  <c r="BE179" i="65"/>
  <c r="BD179" i="65"/>
  <c r="AW179" i="65"/>
  <c r="AV179" i="65"/>
  <c r="AM179" i="65"/>
  <c r="AL179" i="65"/>
  <c r="AE179" i="65"/>
  <c r="AD179" i="65"/>
  <c r="T179" i="65"/>
  <c r="U179" i="65" s="1"/>
  <c r="L179" i="65"/>
  <c r="M179" i="65" s="1"/>
  <c r="BE178" i="65"/>
  <c r="BD178" i="65"/>
  <c r="AV178" i="65"/>
  <c r="AW178" i="65" s="1"/>
  <c r="AM178" i="65"/>
  <c r="AL178" i="65"/>
  <c r="AE178" i="65"/>
  <c r="AD178" i="65"/>
  <c r="T178" i="65"/>
  <c r="U178" i="65" s="1"/>
  <c r="L178" i="65"/>
  <c r="M178" i="65" s="1"/>
  <c r="BE177" i="65"/>
  <c r="BD177" i="65"/>
  <c r="AV177" i="65"/>
  <c r="AW177" i="65" s="1"/>
  <c r="AM177" i="65"/>
  <c r="AL177" i="65"/>
  <c r="AE177" i="65"/>
  <c r="AD177" i="65"/>
  <c r="T177" i="65"/>
  <c r="U177" i="65" s="1"/>
  <c r="L177" i="65"/>
  <c r="M177" i="65" s="1"/>
  <c r="BE176" i="65"/>
  <c r="BD176" i="65"/>
  <c r="AV176" i="65"/>
  <c r="AW176" i="65" s="1"/>
  <c r="AM176" i="65"/>
  <c r="AL176" i="65"/>
  <c r="AE176" i="65"/>
  <c r="AD176" i="65"/>
  <c r="T176" i="65"/>
  <c r="U176" i="65" s="1"/>
  <c r="L176" i="65"/>
  <c r="M176" i="65" s="1"/>
  <c r="BE175" i="65"/>
  <c r="BD175" i="65"/>
  <c r="AW175" i="65"/>
  <c r="AV175" i="65"/>
  <c r="AM175" i="65"/>
  <c r="AL175" i="65"/>
  <c r="AE175" i="65"/>
  <c r="AD175" i="65"/>
  <c r="T175" i="65"/>
  <c r="U175" i="65" s="1"/>
  <c r="L175" i="65"/>
  <c r="M175" i="65" s="1"/>
  <c r="BE174" i="65"/>
  <c r="BD174" i="65"/>
  <c r="AW174" i="65"/>
  <c r="AV174" i="65"/>
  <c r="AM174" i="65"/>
  <c r="AL174" i="65"/>
  <c r="AE174" i="65"/>
  <c r="AD174" i="65"/>
  <c r="T174" i="65"/>
  <c r="U174" i="65" s="1"/>
  <c r="L174" i="65"/>
  <c r="M174" i="65" s="1"/>
  <c r="BE173" i="65"/>
  <c r="BD173" i="65"/>
  <c r="AW173" i="65"/>
  <c r="AV173" i="65"/>
  <c r="AM173" i="65"/>
  <c r="AL173" i="65"/>
  <c r="AE173" i="65"/>
  <c r="AD173" i="65"/>
  <c r="T173" i="65"/>
  <c r="U173" i="65" s="1"/>
  <c r="L173" i="65"/>
  <c r="M173" i="65" s="1"/>
  <c r="BE172" i="65"/>
  <c r="BD172" i="65"/>
  <c r="AV172" i="65"/>
  <c r="AW172" i="65" s="1"/>
  <c r="AM172" i="65"/>
  <c r="AL172" i="65"/>
  <c r="AE172" i="65"/>
  <c r="AD172" i="65"/>
  <c r="T172" i="65"/>
  <c r="U172" i="65" s="1"/>
  <c r="L172" i="65"/>
  <c r="M172" i="65" s="1"/>
  <c r="BE171" i="65"/>
  <c r="BD171" i="65"/>
  <c r="AV171" i="65"/>
  <c r="AW171" i="65" s="1"/>
  <c r="AM171" i="65"/>
  <c r="AL171" i="65"/>
  <c r="AE171" i="65"/>
  <c r="AD171" i="65"/>
  <c r="T171" i="65"/>
  <c r="U171" i="65" s="1"/>
  <c r="L171" i="65"/>
  <c r="M171" i="65" s="1"/>
  <c r="BE170" i="65"/>
  <c r="BD170" i="65"/>
  <c r="AV170" i="65"/>
  <c r="AW170" i="65" s="1"/>
  <c r="AM170" i="65"/>
  <c r="AL170" i="65"/>
  <c r="AE170" i="65"/>
  <c r="AD170" i="65"/>
  <c r="T170" i="65"/>
  <c r="U170" i="65" s="1"/>
  <c r="L170" i="65"/>
  <c r="M170" i="65" s="1"/>
  <c r="BE169" i="65"/>
  <c r="BD169" i="65"/>
  <c r="AW169" i="65"/>
  <c r="AV169" i="65"/>
  <c r="AM169" i="65"/>
  <c r="AL169" i="65"/>
  <c r="AE169" i="65"/>
  <c r="AD169" i="65"/>
  <c r="T169" i="65"/>
  <c r="U169" i="65" s="1"/>
  <c r="L169" i="65"/>
  <c r="M169" i="65" s="1"/>
  <c r="BE168" i="65"/>
  <c r="BD168" i="65"/>
  <c r="AW168" i="65"/>
  <c r="AV168" i="65"/>
  <c r="AM168" i="65"/>
  <c r="AL168" i="65"/>
  <c r="AE168" i="65"/>
  <c r="AD168" i="65"/>
  <c r="T168" i="65"/>
  <c r="U168" i="65" s="1"/>
  <c r="L168" i="65"/>
  <c r="M168" i="65" s="1"/>
  <c r="BE167" i="65"/>
  <c r="BD167" i="65"/>
  <c r="AW167" i="65"/>
  <c r="AV167" i="65"/>
  <c r="AM167" i="65"/>
  <c r="AL167" i="65"/>
  <c r="AE167" i="65"/>
  <c r="AD167" i="65"/>
  <c r="T167" i="65"/>
  <c r="U167" i="65" s="1"/>
  <c r="L167" i="65"/>
  <c r="M167" i="65" s="1"/>
  <c r="BE166" i="65"/>
  <c r="BD166" i="65"/>
  <c r="AV166" i="65"/>
  <c r="AW166" i="65" s="1"/>
  <c r="AM166" i="65"/>
  <c r="AL166" i="65"/>
  <c r="AE166" i="65"/>
  <c r="AD166" i="65"/>
  <c r="T166" i="65"/>
  <c r="U166" i="65" s="1"/>
  <c r="L166" i="65"/>
  <c r="M166" i="65" s="1"/>
  <c r="BE165" i="65"/>
  <c r="BD165" i="65"/>
  <c r="AV165" i="65"/>
  <c r="AW165" i="65" s="1"/>
  <c r="AM165" i="65"/>
  <c r="AL165" i="65"/>
  <c r="AE165" i="65"/>
  <c r="AD165" i="65"/>
  <c r="T165" i="65"/>
  <c r="U165" i="65" s="1"/>
  <c r="L165" i="65"/>
  <c r="M165" i="65" s="1"/>
  <c r="BE164" i="65"/>
  <c r="BD164" i="65"/>
  <c r="AV164" i="65"/>
  <c r="AW164" i="65" s="1"/>
  <c r="AM164" i="65"/>
  <c r="AL164" i="65"/>
  <c r="AE164" i="65"/>
  <c r="AD164" i="65"/>
  <c r="T164" i="65"/>
  <c r="U164" i="65" s="1"/>
  <c r="L164" i="65"/>
  <c r="M164" i="65" s="1"/>
  <c r="BE163" i="65"/>
  <c r="BD163" i="65"/>
  <c r="AW163" i="65"/>
  <c r="AV163" i="65"/>
  <c r="AM163" i="65"/>
  <c r="AL163" i="65"/>
  <c r="AE163" i="65"/>
  <c r="AD163" i="65"/>
  <c r="T163" i="65"/>
  <c r="U163" i="65" s="1"/>
  <c r="L163" i="65"/>
  <c r="M163" i="65" s="1"/>
  <c r="BE162" i="65"/>
  <c r="BD162" i="65"/>
  <c r="AW162" i="65"/>
  <c r="AV162" i="65"/>
  <c r="AM162" i="65"/>
  <c r="AL162" i="65"/>
  <c r="AE162" i="65"/>
  <c r="AD162" i="65"/>
  <c r="T162" i="65"/>
  <c r="U162" i="65" s="1"/>
  <c r="L162" i="65"/>
  <c r="M162" i="65" s="1"/>
  <c r="BE161" i="65"/>
  <c r="BD161" i="65"/>
  <c r="AW161" i="65"/>
  <c r="AV161" i="65"/>
  <c r="AM161" i="65"/>
  <c r="AL161" i="65"/>
  <c r="AE161" i="65"/>
  <c r="AD161" i="65"/>
  <c r="T161" i="65"/>
  <c r="U161" i="65" s="1"/>
  <c r="L161" i="65"/>
  <c r="M161" i="65" s="1"/>
  <c r="BE160" i="65"/>
  <c r="BD160" i="65"/>
  <c r="AV160" i="65"/>
  <c r="AW160" i="65" s="1"/>
  <c r="AM160" i="65"/>
  <c r="AL160" i="65"/>
  <c r="AE160" i="65"/>
  <c r="AD160" i="65"/>
  <c r="T160" i="65"/>
  <c r="U160" i="65" s="1"/>
  <c r="L160" i="65"/>
  <c r="M160" i="65" s="1"/>
  <c r="BE159" i="65"/>
  <c r="BD159" i="65"/>
  <c r="AV159" i="65"/>
  <c r="AW159" i="65" s="1"/>
  <c r="AM159" i="65"/>
  <c r="AL159" i="65"/>
  <c r="AE159" i="65"/>
  <c r="AD159" i="65"/>
  <c r="T159" i="65"/>
  <c r="U159" i="65" s="1"/>
  <c r="L159" i="65"/>
  <c r="M159" i="65" s="1"/>
  <c r="BE158" i="65"/>
  <c r="BD158" i="65"/>
  <c r="AV158" i="65"/>
  <c r="AW158" i="65" s="1"/>
  <c r="AM158" i="65"/>
  <c r="AL158" i="65"/>
  <c r="AE158" i="65"/>
  <c r="AD158" i="65"/>
  <c r="T158" i="65"/>
  <c r="U158" i="65" s="1"/>
  <c r="L158" i="65"/>
  <c r="M158" i="65" s="1"/>
  <c r="BE157" i="65"/>
  <c r="BD157" i="65"/>
  <c r="AW157" i="65"/>
  <c r="AV157" i="65"/>
  <c r="AM157" i="65"/>
  <c r="AL157" i="65"/>
  <c r="AE157" i="65"/>
  <c r="AD157" i="65"/>
  <c r="T157" i="65"/>
  <c r="U157" i="65" s="1"/>
  <c r="L157" i="65"/>
  <c r="M157" i="65" s="1"/>
  <c r="BE156" i="65"/>
  <c r="BD156" i="65"/>
  <c r="AW156" i="65"/>
  <c r="AV156" i="65"/>
  <c r="AM156" i="65"/>
  <c r="AL156" i="65"/>
  <c r="AE156" i="65"/>
  <c r="AD156" i="65"/>
  <c r="T156" i="65"/>
  <c r="U156" i="65" s="1"/>
  <c r="L156" i="65"/>
  <c r="M156" i="65" s="1"/>
  <c r="BE155" i="65"/>
  <c r="BD155" i="65"/>
  <c r="AW155" i="65"/>
  <c r="AV155" i="65"/>
  <c r="AM155" i="65"/>
  <c r="AL155" i="65"/>
  <c r="AE155" i="65"/>
  <c r="AD155" i="65"/>
  <c r="T155" i="65"/>
  <c r="U155" i="65" s="1"/>
  <c r="L155" i="65"/>
  <c r="M155" i="65" s="1"/>
  <c r="BE154" i="65"/>
  <c r="BD154" i="65"/>
  <c r="AV154" i="65"/>
  <c r="AW154" i="65" s="1"/>
  <c r="AM154" i="65"/>
  <c r="AL154" i="65"/>
  <c r="AE154" i="65"/>
  <c r="AD154" i="65"/>
  <c r="T154" i="65"/>
  <c r="U154" i="65" s="1"/>
  <c r="L154" i="65"/>
  <c r="M154" i="65" s="1"/>
  <c r="BE153" i="65"/>
  <c r="BD153" i="65"/>
  <c r="AV153" i="65"/>
  <c r="AW153" i="65" s="1"/>
  <c r="AM153" i="65"/>
  <c r="AL153" i="65"/>
  <c r="AE153" i="65"/>
  <c r="AD153" i="65"/>
  <c r="T153" i="65"/>
  <c r="U153" i="65" s="1"/>
  <c r="L153" i="65"/>
  <c r="M153" i="65" s="1"/>
  <c r="BE152" i="65"/>
  <c r="BD152" i="65"/>
  <c r="AV152" i="65"/>
  <c r="AW152" i="65" s="1"/>
  <c r="AM152" i="65"/>
  <c r="AL152" i="65"/>
  <c r="AE152" i="65"/>
  <c r="AD152" i="65"/>
  <c r="T152" i="65"/>
  <c r="U152" i="65" s="1"/>
  <c r="L152" i="65"/>
  <c r="M152" i="65" s="1"/>
  <c r="BE151" i="65"/>
  <c r="BD151" i="65"/>
  <c r="AW151" i="65"/>
  <c r="AV151" i="65"/>
  <c r="AM151" i="65"/>
  <c r="AL151" i="65"/>
  <c r="AE151" i="65"/>
  <c r="AD151" i="65"/>
  <c r="T151" i="65"/>
  <c r="U151" i="65" s="1"/>
  <c r="L151" i="65"/>
  <c r="M151" i="65" s="1"/>
  <c r="BE150" i="65"/>
  <c r="BD150" i="65"/>
  <c r="AW150" i="65"/>
  <c r="AV150" i="65"/>
  <c r="AM150" i="65"/>
  <c r="AL150" i="65"/>
  <c r="AE150" i="65"/>
  <c r="AD150" i="65"/>
  <c r="T150" i="65"/>
  <c r="U150" i="65" s="1"/>
  <c r="L150" i="65"/>
  <c r="M150" i="65" s="1"/>
  <c r="BE149" i="65"/>
  <c r="BD149" i="65"/>
  <c r="AW149" i="65"/>
  <c r="AV149" i="65"/>
  <c r="AM149" i="65"/>
  <c r="AL149" i="65"/>
  <c r="AE149" i="65"/>
  <c r="AD149" i="65"/>
  <c r="T149" i="65"/>
  <c r="U149" i="65" s="1"/>
  <c r="L149" i="65"/>
  <c r="M149" i="65" s="1"/>
  <c r="BE148" i="65"/>
  <c r="BD148" i="65"/>
  <c r="AV148" i="65"/>
  <c r="AW148" i="65" s="1"/>
  <c r="AM148" i="65"/>
  <c r="AL148" i="65"/>
  <c r="AE148" i="65"/>
  <c r="AD148" i="65"/>
  <c r="T148" i="65"/>
  <c r="U148" i="65" s="1"/>
  <c r="L148" i="65"/>
  <c r="M148" i="65" s="1"/>
  <c r="BE147" i="65"/>
  <c r="BD147" i="65"/>
  <c r="AV147" i="65"/>
  <c r="AW147" i="65" s="1"/>
  <c r="AM147" i="65"/>
  <c r="AL147" i="65"/>
  <c r="AE147" i="65"/>
  <c r="AD147" i="65"/>
  <c r="T147" i="65"/>
  <c r="U147" i="65" s="1"/>
  <c r="L147" i="65"/>
  <c r="M147" i="65" s="1"/>
  <c r="BE146" i="65"/>
  <c r="BD146" i="65"/>
  <c r="AV146" i="65"/>
  <c r="AW146" i="65" s="1"/>
  <c r="AM146" i="65"/>
  <c r="AL146" i="65"/>
  <c r="AE146" i="65"/>
  <c r="AD146" i="65"/>
  <c r="T146" i="65"/>
  <c r="U146" i="65" s="1"/>
  <c r="L146" i="65"/>
  <c r="M146" i="65" s="1"/>
  <c r="BE145" i="65"/>
  <c r="BD145" i="65"/>
  <c r="AW145" i="65"/>
  <c r="AV145" i="65"/>
  <c r="AM145" i="65"/>
  <c r="AL145" i="65"/>
  <c r="AE145" i="65"/>
  <c r="AD145" i="65"/>
  <c r="T145" i="65"/>
  <c r="U145" i="65" s="1"/>
  <c r="L145" i="65"/>
  <c r="M145" i="65" s="1"/>
  <c r="BE144" i="65"/>
  <c r="BD144" i="65"/>
  <c r="AW144" i="65"/>
  <c r="AV144" i="65"/>
  <c r="AM144" i="65"/>
  <c r="AL144" i="65"/>
  <c r="AE144" i="65"/>
  <c r="AD144" i="65"/>
  <c r="T144" i="65"/>
  <c r="U144" i="65" s="1"/>
  <c r="L144" i="65"/>
  <c r="M144" i="65" s="1"/>
  <c r="BE143" i="65"/>
  <c r="BD143" i="65"/>
  <c r="AW143" i="65"/>
  <c r="AV143" i="65"/>
  <c r="AM143" i="65"/>
  <c r="AL143" i="65"/>
  <c r="AE143" i="65"/>
  <c r="AD143" i="65"/>
  <c r="T143" i="65"/>
  <c r="U143" i="65" s="1"/>
  <c r="L143" i="65"/>
  <c r="M143" i="65" s="1"/>
  <c r="BE142" i="65"/>
  <c r="BD142" i="65"/>
  <c r="AV142" i="65"/>
  <c r="AW142" i="65" s="1"/>
  <c r="AM142" i="65"/>
  <c r="AL142" i="65"/>
  <c r="AE142" i="65"/>
  <c r="AD142" i="65"/>
  <c r="T142" i="65"/>
  <c r="U142" i="65" s="1"/>
  <c r="L142" i="65"/>
  <c r="M142" i="65" s="1"/>
  <c r="BD141" i="65"/>
  <c r="BE141" i="65" s="1"/>
  <c r="AW141" i="65"/>
  <c r="AV141" i="65"/>
  <c r="AM141" i="65"/>
  <c r="AL141" i="65"/>
  <c r="AE141" i="65"/>
  <c r="AD141" i="65"/>
  <c r="T141" i="65"/>
  <c r="U141" i="65" s="1"/>
  <c r="L141" i="65"/>
  <c r="M141" i="65" s="1"/>
  <c r="BD140" i="65"/>
  <c r="BE140" i="65" s="1"/>
  <c r="AW140" i="65"/>
  <c r="AV140" i="65"/>
  <c r="AM140" i="65"/>
  <c r="AL140" i="65"/>
  <c r="AD140" i="65"/>
  <c r="AE140" i="65" s="1"/>
  <c r="T140" i="65"/>
  <c r="U140" i="65" s="1"/>
  <c r="L140" i="65"/>
  <c r="M140" i="65" s="1"/>
  <c r="BD139" i="65"/>
  <c r="BE139" i="65" s="1"/>
  <c r="AV139" i="65"/>
  <c r="AW139" i="65" s="1"/>
  <c r="AM139" i="65"/>
  <c r="AL139" i="65"/>
  <c r="AE139" i="65"/>
  <c r="AD139" i="65"/>
  <c r="T139" i="65"/>
  <c r="U139" i="65" s="1"/>
  <c r="L139" i="65"/>
  <c r="M139" i="65" s="1"/>
  <c r="BD138" i="65"/>
  <c r="BE138" i="65" s="1"/>
  <c r="AV138" i="65"/>
  <c r="AW138" i="65" s="1"/>
  <c r="AM138" i="65"/>
  <c r="AL138" i="65"/>
  <c r="AE138" i="65"/>
  <c r="AD138" i="65"/>
  <c r="T138" i="65"/>
  <c r="U138" i="65" s="1"/>
  <c r="L138" i="65"/>
  <c r="M138" i="65" s="1"/>
  <c r="BD137" i="65"/>
  <c r="BE137" i="65" s="1"/>
  <c r="AW137" i="65"/>
  <c r="AV137" i="65"/>
  <c r="AM137" i="65"/>
  <c r="AL137" i="65"/>
  <c r="AD137" i="65"/>
  <c r="AE137" i="65" s="1"/>
  <c r="T137" i="65"/>
  <c r="U137" i="65" s="1"/>
  <c r="L137" i="65"/>
  <c r="M137" i="65" s="1"/>
  <c r="BD136" i="65"/>
  <c r="BE136" i="65" s="1"/>
  <c r="AW136" i="65"/>
  <c r="AV136" i="65"/>
  <c r="AM136" i="65"/>
  <c r="AL136" i="65"/>
  <c r="AD136" i="65"/>
  <c r="AE136" i="65" s="1"/>
  <c r="T136" i="65"/>
  <c r="U136" i="65" s="1"/>
  <c r="L136" i="65"/>
  <c r="M136" i="65" s="1"/>
  <c r="BD135" i="65"/>
  <c r="BE135" i="65" s="1"/>
  <c r="AV135" i="65"/>
  <c r="AW135" i="65" s="1"/>
  <c r="AM135" i="65"/>
  <c r="AL135" i="65"/>
  <c r="AE135" i="65"/>
  <c r="AD135" i="65"/>
  <c r="T135" i="65"/>
  <c r="U135" i="65" s="1"/>
  <c r="L135" i="65"/>
  <c r="M135" i="65" s="1"/>
  <c r="BD134" i="65"/>
  <c r="BE134" i="65" s="1"/>
  <c r="AV134" i="65"/>
  <c r="AW134" i="65" s="1"/>
  <c r="AM134" i="65"/>
  <c r="AL134" i="65"/>
  <c r="AE134" i="65"/>
  <c r="AD134" i="65"/>
  <c r="T134" i="65"/>
  <c r="U134" i="65" s="1"/>
  <c r="M134" i="65"/>
  <c r="L134" i="65"/>
  <c r="BD133" i="65"/>
  <c r="BE133" i="65" s="1"/>
  <c r="AV133" i="65"/>
  <c r="AW133" i="65" s="1"/>
  <c r="AL133" i="65"/>
  <c r="AM133" i="65" s="1"/>
  <c r="AE133" i="65"/>
  <c r="AD133" i="65"/>
  <c r="T133" i="65"/>
  <c r="U133" i="65" s="1"/>
  <c r="L133" i="65"/>
  <c r="M133" i="65" s="1"/>
  <c r="BD132" i="65"/>
  <c r="BE132" i="65" s="1"/>
  <c r="AV132" i="65"/>
  <c r="AW132" i="65" s="1"/>
  <c r="AL132" i="65"/>
  <c r="AM132" i="65" s="1"/>
  <c r="AD132" i="65"/>
  <c r="AE132" i="65" s="1"/>
  <c r="T132" i="65"/>
  <c r="U132" i="65" s="1"/>
  <c r="L132" i="65"/>
  <c r="M132" i="65" s="1"/>
  <c r="BD131" i="65"/>
  <c r="BE131" i="65" s="1"/>
  <c r="AW131" i="65"/>
  <c r="AV131" i="65"/>
  <c r="AL131" i="65"/>
  <c r="AM131" i="65" s="1"/>
  <c r="AD131" i="65"/>
  <c r="AE131" i="65" s="1"/>
  <c r="T131" i="65"/>
  <c r="U131" i="65" s="1"/>
  <c r="L131" i="65"/>
  <c r="M131" i="65" s="1"/>
  <c r="BD130" i="65"/>
  <c r="BE130" i="65" s="1"/>
  <c r="AW130" i="65"/>
  <c r="AV130" i="65"/>
  <c r="AM130" i="65"/>
  <c r="AL130" i="65"/>
  <c r="AD130" i="65"/>
  <c r="AE130" i="65" s="1"/>
  <c r="T130" i="65"/>
  <c r="U130" i="65" s="1"/>
  <c r="L130" i="65"/>
  <c r="M130" i="65" s="1"/>
  <c r="BD129" i="65"/>
  <c r="BE129" i="65" s="1"/>
  <c r="AW129" i="65"/>
  <c r="AV129" i="65"/>
  <c r="AM129" i="65"/>
  <c r="AL129" i="65"/>
  <c r="AE129" i="65"/>
  <c r="AD129" i="65"/>
  <c r="T129" i="65"/>
  <c r="U129" i="65" s="1"/>
  <c r="M129" i="65"/>
  <c r="L129" i="65"/>
  <c r="BD128" i="65"/>
  <c r="BE128" i="65" s="1"/>
  <c r="AV128" i="65"/>
  <c r="AW128" i="65" s="1"/>
  <c r="AM128" i="65"/>
  <c r="AL128" i="65"/>
  <c r="AE128" i="65"/>
  <c r="AD128" i="65"/>
  <c r="T128" i="65"/>
  <c r="U128" i="65" s="1"/>
  <c r="M128" i="65"/>
  <c r="L128" i="65"/>
  <c r="BD127" i="65"/>
  <c r="BE127" i="65" s="1"/>
  <c r="AW127" i="65"/>
  <c r="AV127" i="65"/>
  <c r="AL127" i="65"/>
  <c r="AM127" i="65" s="1"/>
  <c r="AE127" i="65"/>
  <c r="AD127" i="65"/>
  <c r="T127" i="65"/>
  <c r="U127" i="65" s="1"/>
  <c r="L127" i="65"/>
  <c r="M127" i="65" s="1"/>
  <c r="BD126" i="65"/>
  <c r="BE126" i="65" s="1"/>
  <c r="AV126" i="65"/>
  <c r="AW126" i="65" s="1"/>
  <c r="AM126" i="65"/>
  <c r="AL126" i="65"/>
  <c r="AD126" i="65"/>
  <c r="AE126" i="65" s="1"/>
  <c r="T126" i="65"/>
  <c r="U126" i="65" s="1"/>
  <c r="L126" i="65"/>
  <c r="M126" i="65" s="1"/>
  <c r="BD125" i="65"/>
  <c r="BE125" i="65" s="1"/>
  <c r="AW125" i="65"/>
  <c r="AV125" i="65"/>
  <c r="AL125" i="65"/>
  <c r="AM125" i="65" s="1"/>
  <c r="AE125" i="65"/>
  <c r="AD125" i="65"/>
  <c r="T125" i="65"/>
  <c r="U125" i="65" s="1"/>
  <c r="M125" i="65"/>
  <c r="L125" i="65"/>
  <c r="BD124" i="65"/>
  <c r="BE124" i="65" s="1"/>
  <c r="AW124" i="65"/>
  <c r="AV124" i="65"/>
  <c r="AM124" i="65"/>
  <c r="AL124" i="65"/>
  <c r="AD124" i="65"/>
  <c r="AE124" i="65" s="1"/>
  <c r="T124" i="65"/>
  <c r="U124" i="65" s="1"/>
  <c r="L124" i="65"/>
  <c r="M124" i="65" s="1"/>
  <c r="BD123" i="65"/>
  <c r="BE123" i="65" s="1"/>
  <c r="AW123" i="65"/>
  <c r="AV123" i="65"/>
  <c r="AM123" i="65"/>
  <c r="AL123" i="65"/>
  <c r="AE123" i="65"/>
  <c r="AD123" i="65"/>
  <c r="T123" i="65"/>
  <c r="U123" i="65" s="1"/>
  <c r="M123" i="65"/>
  <c r="L123" i="65"/>
  <c r="BD122" i="65"/>
  <c r="BE122" i="65" s="1"/>
  <c r="AV122" i="65"/>
  <c r="AW122" i="65" s="1"/>
  <c r="AM122" i="65"/>
  <c r="AL122" i="65"/>
  <c r="AE122" i="65"/>
  <c r="AD122" i="65"/>
  <c r="T122" i="65"/>
  <c r="U122" i="65" s="1"/>
  <c r="M122" i="65"/>
  <c r="L122" i="65"/>
  <c r="BD121" i="65"/>
  <c r="BE121" i="65" s="1"/>
  <c r="AW121" i="65"/>
  <c r="AV121" i="65"/>
  <c r="AL121" i="65"/>
  <c r="AM121" i="65" s="1"/>
  <c r="AE121" i="65"/>
  <c r="AD121" i="65"/>
  <c r="T121" i="65"/>
  <c r="U121" i="65" s="1"/>
  <c r="L121" i="65"/>
  <c r="M121" i="65" s="1"/>
  <c r="BD120" i="65"/>
  <c r="BE120" i="65" s="1"/>
  <c r="AV120" i="65"/>
  <c r="AW120" i="65" s="1"/>
  <c r="AM120" i="65"/>
  <c r="AL120" i="65"/>
  <c r="AD120" i="65"/>
  <c r="AE120" i="65" s="1"/>
  <c r="T120" i="65"/>
  <c r="U120" i="65" s="1"/>
  <c r="L120" i="65"/>
  <c r="M120" i="65" s="1"/>
  <c r="BD119" i="65"/>
  <c r="BE119" i="65" s="1"/>
  <c r="AW119" i="65"/>
  <c r="AV119" i="65"/>
  <c r="AL119" i="65"/>
  <c r="AM119" i="65" s="1"/>
  <c r="AE119" i="65"/>
  <c r="AD119" i="65"/>
  <c r="T119" i="65"/>
  <c r="U119" i="65" s="1"/>
  <c r="L119" i="65"/>
  <c r="M119" i="65" s="1"/>
  <c r="BD118" i="65"/>
  <c r="BE118" i="65" s="1"/>
  <c r="AW118" i="65"/>
  <c r="AV118" i="65"/>
  <c r="AM118" i="65"/>
  <c r="AL118" i="65"/>
  <c r="AD118" i="65"/>
  <c r="AE118" i="65" s="1"/>
  <c r="T118" i="65"/>
  <c r="U118" i="65" s="1"/>
  <c r="L118" i="65"/>
  <c r="M118" i="65" s="1"/>
  <c r="BD117" i="65"/>
  <c r="BE117" i="65" s="1"/>
  <c r="AW117" i="65"/>
  <c r="AV117" i="65"/>
  <c r="AM117" i="65"/>
  <c r="AL117" i="65"/>
  <c r="AE117" i="65"/>
  <c r="AD117" i="65"/>
  <c r="T117" i="65"/>
  <c r="U117" i="65" s="1"/>
  <c r="M117" i="65"/>
  <c r="L117" i="65"/>
  <c r="BD116" i="65"/>
  <c r="BE116" i="65" s="1"/>
  <c r="AV116" i="65"/>
  <c r="AW116" i="65" s="1"/>
  <c r="AM116" i="65"/>
  <c r="AL116" i="65"/>
  <c r="AE116" i="65"/>
  <c r="AD116" i="65"/>
  <c r="T116" i="65"/>
  <c r="U116" i="65" s="1"/>
  <c r="M116" i="65"/>
  <c r="L116" i="65"/>
  <c r="BD115" i="65"/>
  <c r="BE115" i="65" s="1"/>
  <c r="AW115" i="65"/>
  <c r="AV115" i="65"/>
  <c r="AL115" i="65"/>
  <c r="AM115" i="65" s="1"/>
  <c r="AE115" i="65"/>
  <c r="AD115" i="65"/>
  <c r="T115" i="65"/>
  <c r="U115" i="65" s="1"/>
  <c r="L115" i="65"/>
  <c r="M115" i="65" s="1"/>
  <c r="BD114" i="65"/>
  <c r="BE114" i="65" s="1"/>
  <c r="AV114" i="65"/>
  <c r="AW114" i="65" s="1"/>
  <c r="AM114" i="65"/>
  <c r="AL114" i="65"/>
  <c r="AD114" i="65"/>
  <c r="AE114" i="65" s="1"/>
  <c r="T114" i="65"/>
  <c r="U114" i="65" s="1"/>
  <c r="L114" i="65"/>
  <c r="M114" i="65" s="1"/>
  <c r="BD113" i="65"/>
  <c r="BE113" i="65" s="1"/>
  <c r="AW113" i="65"/>
  <c r="AV113" i="65"/>
  <c r="AL113" i="65"/>
  <c r="AM113" i="65" s="1"/>
  <c r="AE113" i="65"/>
  <c r="AD113" i="65"/>
  <c r="T113" i="65"/>
  <c r="U113" i="65" s="1"/>
  <c r="M113" i="65"/>
  <c r="L113" i="65"/>
  <c r="BD112" i="65"/>
  <c r="BE112" i="65" s="1"/>
  <c r="AV112" i="65"/>
  <c r="AW112" i="65" s="1"/>
  <c r="AM112" i="65"/>
  <c r="AL112" i="65"/>
  <c r="AD112" i="65"/>
  <c r="AE112" i="65" s="1"/>
  <c r="T112" i="65"/>
  <c r="U112" i="65" s="1"/>
  <c r="L112" i="65"/>
  <c r="M112" i="65" s="1"/>
  <c r="BD111" i="65"/>
  <c r="BE111" i="65" s="1"/>
  <c r="AW111" i="65"/>
  <c r="AV111" i="65"/>
  <c r="AL111" i="65"/>
  <c r="AM111" i="65" s="1"/>
  <c r="AE111" i="65"/>
  <c r="AD111" i="65"/>
  <c r="T111" i="65"/>
  <c r="U111" i="65" s="1"/>
  <c r="M111" i="65"/>
  <c r="L111" i="65"/>
  <c r="BD110" i="65"/>
  <c r="BE110" i="65" s="1"/>
  <c r="AV110" i="65"/>
  <c r="AW110" i="65" s="1"/>
  <c r="AM110" i="65"/>
  <c r="AL110" i="65"/>
  <c r="AD110" i="65"/>
  <c r="AE110" i="65" s="1"/>
  <c r="T110" i="65"/>
  <c r="U110" i="65" s="1"/>
  <c r="M110" i="65"/>
  <c r="L110" i="65"/>
  <c r="BD109" i="65"/>
  <c r="BE109" i="65" s="1"/>
  <c r="AW109" i="65"/>
  <c r="AV109" i="65"/>
  <c r="AL109" i="65"/>
  <c r="AM109" i="65" s="1"/>
  <c r="AE109" i="65"/>
  <c r="AD109" i="65"/>
  <c r="T109" i="65"/>
  <c r="U109" i="65" s="1"/>
  <c r="L109" i="65"/>
  <c r="M109" i="65" s="1"/>
  <c r="BD108" i="65"/>
  <c r="BE108" i="65" s="1"/>
  <c r="AV108" i="65"/>
  <c r="AW108" i="65" s="1"/>
  <c r="AM108" i="65"/>
  <c r="AL108" i="65"/>
  <c r="AD108" i="65"/>
  <c r="AE108" i="65" s="1"/>
  <c r="T108" i="65"/>
  <c r="U108" i="65" s="1"/>
  <c r="L108" i="65"/>
  <c r="M108" i="65" s="1"/>
  <c r="BD107" i="65"/>
  <c r="BE107" i="65" s="1"/>
  <c r="AW107" i="65"/>
  <c r="AV107" i="65"/>
  <c r="AM107" i="65"/>
  <c r="AL107" i="65"/>
  <c r="AD107" i="65"/>
  <c r="AE107" i="65" s="1"/>
  <c r="T107" i="65"/>
  <c r="U107" i="65" s="1"/>
  <c r="L107" i="65"/>
  <c r="M107" i="65" s="1"/>
  <c r="BD106" i="65"/>
  <c r="BE106" i="65" s="1"/>
  <c r="AW106" i="65"/>
  <c r="AV106" i="65"/>
  <c r="AM106" i="65"/>
  <c r="AL106" i="65"/>
  <c r="AD106" i="65"/>
  <c r="AE106" i="65" s="1"/>
  <c r="T106" i="65"/>
  <c r="U106" i="65" s="1"/>
  <c r="L106" i="65"/>
  <c r="M106" i="65" s="1"/>
  <c r="BD105" i="65"/>
  <c r="BE105" i="65" s="1"/>
  <c r="AW105" i="65"/>
  <c r="AV105" i="65"/>
  <c r="AM105" i="65"/>
  <c r="AL105" i="65"/>
  <c r="AD105" i="65"/>
  <c r="AE105" i="65" s="1"/>
  <c r="U105" i="65"/>
  <c r="T105" i="65"/>
  <c r="L105" i="65"/>
  <c r="M105" i="65" s="1"/>
  <c r="BD104" i="65"/>
  <c r="BE104" i="65" s="1"/>
  <c r="AW104" i="65"/>
  <c r="AV104" i="65"/>
  <c r="AM104" i="65"/>
  <c r="AL104" i="65"/>
  <c r="AD104" i="65"/>
  <c r="AE104" i="65" s="1"/>
  <c r="U104" i="65"/>
  <c r="T104" i="65"/>
  <c r="L104" i="65"/>
  <c r="M104" i="65" s="1"/>
  <c r="BD103" i="65"/>
  <c r="BE103" i="65" s="1"/>
  <c r="AW103" i="65"/>
  <c r="AV103" i="65"/>
  <c r="AM103" i="65"/>
  <c r="AL103" i="65"/>
  <c r="AD103" i="65"/>
  <c r="AE103" i="65" s="1"/>
  <c r="T103" i="65"/>
  <c r="U103" i="65" s="1"/>
  <c r="L103" i="65"/>
  <c r="M103" i="65" s="1"/>
  <c r="BD102" i="65"/>
  <c r="BE102" i="65" s="1"/>
  <c r="AW102" i="65"/>
  <c r="AV102" i="65"/>
  <c r="AM102" i="65"/>
  <c r="AL102" i="65"/>
  <c r="AD102" i="65"/>
  <c r="AE102" i="65" s="1"/>
  <c r="T102" i="65"/>
  <c r="U102" i="65" s="1"/>
  <c r="L102" i="65"/>
  <c r="M102" i="65" s="1"/>
  <c r="BD101" i="65"/>
  <c r="BE101" i="65" s="1"/>
  <c r="AW101" i="65"/>
  <c r="AV101" i="65"/>
  <c r="AM101" i="65"/>
  <c r="AL101" i="65"/>
  <c r="AD101" i="65"/>
  <c r="AE101" i="65" s="1"/>
  <c r="U101" i="65"/>
  <c r="T101" i="65"/>
  <c r="L101" i="65"/>
  <c r="M101" i="65" s="1"/>
  <c r="BD100" i="65"/>
  <c r="BE100" i="65" s="1"/>
  <c r="AW100" i="65"/>
  <c r="AV100" i="65"/>
  <c r="AM100" i="65"/>
  <c r="AL100" i="65"/>
  <c r="AD100" i="65"/>
  <c r="AE100" i="65" s="1"/>
  <c r="U100" i="65"/>
  <c r="T100" i="65"/>
  <c r="L100" i="65"/>
  <c r="M100" i="65" s="1"/>
  <c r="BD99" i="65"/>
  <c r="BE99" i="65" s="1"/>
  <c r="AW99" i="65"/>
  <c r="AV99" i="65"/>
  <c r="AM99" i="65"/>
  <c r="AL99" i="65"/>
  <c r="AD99" i="65"/>
  <c r="AE99" i="65" s="1"/>
  <c r="T99" i="65"/>
  <c r="U99" i="65" s="1"/>
  <c r="L99" i="65"/>
  <c r="M99" i="65" s="1"/>
  <c r="BD98" i="65"/>
  <c r="BE98" i="65" s="1"/>
  <c r="AW98" i="65"/>
  <c r="AV98" i="65"/>
  <c r="AM98" i="65"/>
  <c r="AL98" i="65"/>
  <c r="AD98" i="65"/>
  <c r="AE98" i="65" s="1"/>
  <c r="T98" i="65"/>
  <c r="U98" i="65" s="1"/>
  <c r="L98" i="65"/>
  <c r="M98" i="65" s="1"/>
  <c r="BD97" i="65"/>
  <c r="BE97" i="65" s="1"/>
  <c r="AW97" i="65"/>
  <c r="AV97" i="65"/>
  <c r="AM97" i="65"/>
  <c r="AL97" i="65"/>
  <c r="AD97" i="65"/>
  <c r="AE97" i="65" s="1"/>
  <c r="U97" i="65"/>
  <c r="T97" i="65"/>
  <c r="L97" i="65"/>
  <c r="M97" i="65" s="1"/>
  <c r="BD96" i="65"/>
  <c r="BE96" i="65" s="1"/>
  <c r="AW96" i="65"/>
  <c r="AV96" i="65"/>
  <c r="AM96" i="65"/>
  <c r="AL96" i="65"/>
  <c r="AD96" i="65"/>
  <c r="AE96" i="65" s="1"/>
  <c r="U96" i="65"/>
  <c r="T96" i="65"/>
  <c r="L96" i="65"/>
  <c r="M96" i="65" s="1"/>
  <c r="BD95" i="65"/>
  <c r="BE95" i="65" s="1"/>
  <c r="AW95" i="65"/>
  <c r="AV95" i="65"/>
  <c r="AM95" i="65"/>
  <c r="AL95" i="65"/>
  <c r="AD95" i="65"/>
  <c r="AE95" i="65" s="1"/>
  <c r="T95" i="65"/>
  <c r="U95" i="65" s="1"/>
  <c r="L95" i="65"/>
  <c r="M95" i="65" s="1"/>
  <c r="BD94" i="65"/>
  <c r="BE94" i="65" s="1"/>
  <c r="AW94" i="65"/>
  <c r="AV94" i="65"/>
  <c r="AM94" i="65"/>
  <c r="AL94" i="65"/>
  <c r="AD94" i="65"/>
  <c r="AE94" i="65" s="1"/>
  <c r="T94" i="65"/>
  <c r="U94" i="65" s="1"/>
  <c r="L94" i="65"/>
  <c r="M94" i="65" s="1"/>
  <c r="BD93" i="65"/>
  <c r="BE93" i="65" s="1"/>
  <c r="AW93" i="65"/>
  <c r="AV93" i="65"/>
  <c r="AM93" i="65"/>
  <c r="AL93" i="65"/>
  <c r="AD93" i="65"/>
  <c r="AE93" i="65" s="1"/>
  <c r="U93" i="65"/>
  <c r="T93" i="65"/>
  <c r="L93" i="65"/>
  <c r="M93" i="65" s="1"/>
  <c r="BD92" i="65"/>
  <c r="BE92" i="65" s="1"/>
  <c r="AW92" i="65"/>
  <c r="AV92" i="65"/>
  <c r="AM92" i="65"/>
  <c r="AL92" i="65"/>
  <c r="AD92" i="65"/>
  <c r="AE92" i="65" s="1"/>
  <c r="U92" i="65"/>
  <c r="T92" i="65"/>
  <c r="L92" i="65"/>
  <c r="M92" i="65" s="1"/>
  <c r="BD91" i="65"/>
  <c r="BE91" i="65" s="1"/>
  <c r="AW91" i="65"/>
  <c r="AV91" i="65"/>
  <c r="AM91" i="65"/>
  <c r="AL91" i="65"/>
  <c r="AD91" i="65"/>
  <c r="AE91" i="65" s="1"/>
  <c r="T91" i="65"/>
  <c r="U91" i="65" s="1"/>
  <c r="L91" i="65"/>
  <c r="M91" i="65" s="1"/>
  <c r="BD90" i="65"/>
  <c r="BE90" i="65" s="1"/>
  <c r="AW90" i="65"/>
  <c r="AV90" i="65"/>
  <c r="AM90" i="65"/>
  <c r="AL90" i="65"/>
  <c r="AD90" i="65"/>
  <c r="AE90" i="65" s="1"/>
  <c r="T90" i="65"/>
  <c r="U90" i="65" s="1"/>
  <c r="L90" i="65"/>
  <c r="M90" i="65" s="1"/>
  <c r="BD89" i="65"/>
  <c r="BE89" i="65" s="1"/>
  <c r="AW89" i="65"/>
  <c r="AV89" i="65"/>
  <c r="AM89" i="65"/>
  <c r="AL89" i="65"/>
  <c r="AD89" i="65"/>
  <c r="AE89" i="65" s="1"/>
  <c r="U89" i="65"/>
  <c r="T89" i="65"/>
  <c r="L89" i="65"/>
  <c r="M89" i="65" s="1"/>
  <c r="BD88" i="65"/>
  <c r="BE88" i="65" s="1"/>
  <c r="AW88" i="65"/>
  <c r="AV88" i="65"/>
  <c r="AM88" i="65"/>
  <c r="AL88" i="65"/>
  <c r="AD88" i="65"/>
  <c r="AE88" i="65" s="1"/>
  <c r="U88" i="65"/>
  <c r="T88" i="65"/>
  <c r="L88" i="65"/>
  <c r="M88" i="65" s="1"/>
  <c r="BD87" i="65"/>
  <c r="BE87" i="65" s="1"/>
  <c r="AW87" i="65"/>
  <c r="AV87" i="65"/>
  <c r="AM87" i="65"/>
  <c r="AL87" i="65"/>
  <c r="AD87" i="65"/>
  <c r="AE87" i="65" s="1"/>
  <c r="T87" i="65"/>
  <c r="U87" i="65" s="1"/>
  <c r="L87" i="65"/>
  <c r="M87" i="65" s="1"/>
  <c r="BD86" i="65"/>
  <c r="BE86" i="65" s="1"/>
  <c r="AW86" i="65"/>
  <c r="AV86" i="65"/>
  <c r="AM86" i="65"/>
  <c r="AL86" i="65"/>
  <c r="AD86" i="65"/>
  <c r="AE86" i="65" s="1"/>
  <c r="T86" i="65"/>
  <c r="U86" i="65" s="1"/>
  <c r="L86" i="65"/>
  <c r="M86" i="65" s="1"/>
  <c r="BD85" i="65"/>
  <c r="BE85" i="65" s="1"/>
  <c r="AW85" i="65"/>
  <c r="AV85" i="65"/>
  <c r="AM85" i="65"/>
  <c r="AL85" i="65"/>
  <c r="AD85" i="65"/>
  <c r="AE85" i="65" s="1"/>
  <c r="U85" i="65"/>
  <c r="T85" i="65"/>
  <c r="L85" i="65"/>
  <c r="M85" i="65" s="1"/>
  <c r="BD84" i="65"/>
  <c r="BE84" i="65" s="1"/>
  <c r="AW84" i="65"/>
  <c r="AV84" i="65"/>
  <c r="AM84" i="65"/>
  <c r="AL84" i="65"/>
  <c r="AD84" i="65"/>
  <c r="AE84" i="65" s="1"/>
  <c r="U84" i="65"/>
  <c r="T84" i="65"/>
  <c r="L84" i="65"/>
  <c r="M84" i="65" s="1"/>
  <c r="BD83" i="65"/>
  <c r="BE83" i="65" s="1"/>
  <c r="AW83" i="65"/>
  <c r="AV83" i="65"/>
  <c r="AM83" i="65"/>
  <c r="AL83" i="65"/>
  <c r="AD83" i="65"/>
  <c r="AE83" i="65" s="1"/>
  <c r="T83" i="65"/>
  <c r="U83" i="65" s="1"/>
  <c r="L83" i="65"/>
  <c r="M83" i="65" s="1"/>
  <c r="BD82" i="65"/>
  <c r="BE82" i="65" s="1"/>
  <c r="AW82" i="65"/>
  <c r="AV82" i="65"/>
  <c r="AM82" i="65"/>
  <c r="AL82" i="65"/>
  <c r="AD82" i="65"/>
  <c r="AE82" i="65" s="1"/>
  <c r="T82" i="65"/>
  <c r="U82" i="65" s="1"/>
  <c r="L82" i="65"/>
  <c r="M82" i="65" s="1"/>
  <c r="BD81" i="65"/>
  <c r="BE81" i="65" s="1"/>
  <c r="AW81" i="65"/>
  <c r="AV81" i="65"/>
  <c r="AM81" i="65"/>
  <c r="AL81" i="65"/>
  <c r="AD81" i="65"/>
  <c r="AE81" i="65" s="1"/>
  <c r="U81" i="65"/>
  <c r="T81" i="65"/>
  <c r="L81" i="65"/>
  <c r="M81" i="65" s="1"/>
  <c r="BD80" i="65"/>
  <c r="BE80" i="65" s="1"/>
  <c r="AW80" i="65"/>
  <c r="AV80" i="65"/>
  <c r="AM80" i="65"/>
  <c r="AL80" i="65"/>
  <c r="AD80" i="65"/>
  <c r="AE80" i="65" s="1"/>
  <c r="U80" i="65"/>
  <c r="T80" i="65"/>
  <c r="L80" i="65"/>
  <c r="M80" i="65" s="1"/>
  <c r="BD79" i="65"/>
  <c r="BE79" i="65" s="1"/>
  <c r="AW79" i="65"/>
  <c r="AV79" i="65"/>
  <c r="AM79" i="65"/>
  <c r="AL79" i="65"/>
  <c r="AD79" i="65"/>
  <c r="AE79" i="65" s="1"/>
  <c r="T79" i="65"/>
  <c r="U79" i="65" s="1"/>
  <c r="L79" i="65"/>
  <c r="M79" i="65" s="1"/>
  <c r="BD78" i="65"/>
  <c r="BE78" i="65" s="1"/>
  <c r="AW78" i="65"/>
  <c r="AV78" i="65"/>
  <c r="AM78" i="65"/>
  <c r="AL78" i="65"/>
  <c r="AD78" i="65"/>
  <c r="AE78" i="65" s="1"/>
  <c r="T78" i="65"/>
  <c r="U78" i="65" s="1"/>
  <c r="L78" i="65"/>
  <c r="M78" i="65" s="1"/>
  <c r="BD77" i="65"/>
  <c r="BE77" i="65" s="1"/>
  <c r="AW77" i="65"/>
  <c r="AV77" i="65"/>
  <c r="AM77" i="65"/>
  <c r="AL77" i="65"/>
  <c r="AD77" i="65"/>
  <c r="AE77" i="65" s="1"/>
  <c r="U77" i="65"/>
  <c r="T77" i="65"/>
  <c r="L77" i="65"/>
  <c r="M77" i="65" s="1"/>
  <c r="BD76" i="65"/>
  <c r="BE76" i="65" s="1"/>
  <c r="AW76" i="65"/>
  <c r="AV76" i="65"/>
  <c r="AM76" i="65"/>
  <c r="AL76" i="65"/>
  <c r="AD76" i="65"/>
  <c r="AE76" i="65" s="1"/>
  <c r="U76" i="65"/>
  <c r="T76" i="65"/>
  <c r="L76" i="65"/>
  <c r="M76" i="65" s="1"/>
  <c r="BD75" i="65"/>
  <c r="BE75" i="65" s="1"/>
  <c r="AW75" i="65"/>
  <c r="AV75" i="65"/>
  <c r="AM75" i="65"/>
  <c r="AL75" i="65"/>
  <c r="AD75" i="65"/>
  <c r="AE75" i="65" s="1"/>
  <c r="T75" i="65"/>
  <c r="U75" i="65" s="1"/>
  <c r="L75" i="65"/>
  <c r="M75" i="65" s="1"/>
  <c r="BD74" i="65"/>
  <c r="BE74" i="65" s="1"/>
  <c r="AW74" i="65"/>
  <c r="AV74" i="65"/>
  <c r="AM74" i="65"/>
  <c r="AL74" i="65"/>
  <c r="AD74" i="65"/>
  <c r="AE74" i="65" s="1"/>
  <c r="T74" i="65"/>
  <c r="U74" i="65" s="1"/>
  <c r="L74" i="65"/>
  <c r="M74" i="65" s="1"/>
  <c r="BD73" i="65"/>
  <c r="BE73" i="65" s="1"/>
  <c r="AW73" i="65"/>
  <c r="AV73" i="65"/>
  <c r="AM73" i="65"/>
  <c r="AL73" i="65"/>
  <c r="AD73" i="65"/>
  <c r="AE73" i="65" s="1"/>
  <c r="U73" i="65"/>
  <c r="T73" i="65"/>
  <c r="L73" i="65"/>
  <c r="M73" i="65" s="1"/>
  <c r="BD72" i="65"/>
  <c r="BE72" i="65" s="1"/>
  <c r="AW72" i="65"/>
  <c r="AV72" i="65"/>
  <c r="AM72" i="65"/>
  <c r="AL72" i="65"/>
  <c r="AD72" i="65"/>
  <c r="AE72" i="65" s="1"/>
  <c r="U72" i="65"/>
  <c r="T72" i="65"/>
  <c r="L72" i="65"/>
  <c r="M72" i="65" s="1"/>
  <c r="BD71" i="65"/>
  <c r="BE71" i="65" s="1"/>
  <c r="AW71" i="65"/>
  <c r="AV71" i="65"/>
  <c r="AM71" i="65"/>
  <c r="AL71" i="65"/>
  <c r="AD71" i="65"/>
  <c r="AE71" i="65" s="1"/>
  <c r="T71" i="65"/>
  <c r="U71" i="65" s="1"/>
  <c r="L71" i="65"/>
  <c r="M71" i="65" s="1"/>
  <c r="BD70" i="65"/>
  <c r="BE70" i="65" s="1"/>
  <c r="AW70" i="65"/>
  <c r="AV70" i="65"/>
  <c r="AM70" i="65"/>
  <c r="AL70" i="65"/>
  <c r="AD70" i="65"/>
  <c r="AE70" i="65" s="1"/>
  <c r="T70" i="65"/>
  <c r="U70" i="65" s="1"/>
  <c r="L70" i="65"/>
  <c r="M70" i="65" s="1"/>
  <c r="BD69" i="65"/>
  <c r="BE69" i="65" s="1"/>
  <c r="AW69" i="65"/>
  <c r="AV69" i="65"/>
  <c r="AM69" i="65"/>
  <c r="AL69" i="65"/>
  <c r="AD69" i="65"/>
  <c r="AE69" i="65" s="1"/>
  <c r="U69" i="65"/>
  <c r="T69" i="65"/>
  <c r="L69" i="65"/>
  <c r="M69" i="65" s="1"/>
  <c r="BD68" i="65"/>
  <c r="BE68" i="65" s="1"/>
  <c r="AW68" i="65"/>
  <c r="AV68" i="65"/>
  <c r="AM68" i="65"/>
  <c r="AL68" i="65"/>
  <c r="AD68" i="65"/>
  <c r="AE68" i="65" s="1"/>
  <c r="U68" i="65"/>
  <c r="T68" i="65"/>
  <c r="L68" i="65"/>
  <c r="M68" i="65" s="1"/>
  <c r="BD67" i="65"/>
  <c r="BE67" i="65" s="1"/>
  <c r="AW67" i="65"/>
  <c r="AV67" i="65"/>
  <c r="AM67" i="65"/>
  <c r="AL67" i="65"/>
  <c r="AD67" i="65"/>
  <c r="AE67" i="65" s="1"/>
  <c r="T67" i="65"/>
  <c r="U67" i="65" s="1"/>
  <c r="L67" i="65"/>
  <c r="M67" i="65" s="1"/>
  <c r="BD66" i="65"/>
  <c r="BE66" i="65" s="1"/>
  <c r="AW66" i="65"/>
  <c r="AV66" i="65"/>
  <c r="AM66" i="65"/>
  <c r="AL66" i="65"/>
  <c r="AD66" i="65"/>
  <c r="AE66" i="65" s="1"/>
  <c r="T66" i="65"/>
  <c r="U66" i="65" s="1"/>
  <c r="L66" i="65"/>
  <c r="M66" i="65" s="1"/>
  <c r="BD65" i="65"/>
  <c r="BE65" i="65" s="1"/>
  <c r="AW65" i="65"/>
  <c r="AV65" i="65"/>
  <c r="AM65" i="65"/>
  <c r="AL65" i="65"/>
  <c r="AD65" i="65"/>
  <c r="AE65" i="65" s="1"/>
  <c r="U65" i="65"/>
  <c r="T65" i="65"/>
  <c r="L65" i="65"/>
  <c r="M65" i="65" s="1"/>
  <c r="BD64" i="65"/>
  <c r="BE64" i="65" s="1"/>
  <c r="AW64" i="65"/>
  <c r="AV64" i="65"/>
  <c r="AM64" i="65"/>
  <c r="AL64" i="65"/>
  <c r="AD64" i="65"/>
  <c r="AE64" i="65" s="1"/>
  <c r="U64" i="65"/>
  <c r="T64" i="65"/>
  <c r="L64" i="65"/>
  <c r="M64" i="65" s="1"/>
  <c r="BD63" i="65"/>
  <c r="BE63" i="65" s="1"/>
  <c r="AW63" i="65"/>
  <c r="AV63" i="65"/>
  <c r="AM63" i="65"/>
  <c r="AL63" i="65"/>
  <c r="AD63" i="65"/>
  <c r="AE63" i="65" s="1"/>
  <c r="T63" i="65"/>
  <c r="U63" i="65" s="1"/>
  <c r="L63" i="65"/>
  <c r="M63" i="65" s="1"/>
  <c r="BD62" i="65"/>
  <c r="BE62" i="65" s="1"/>
  <c r="AW62" i="65"/>
  <c r="AV62" i="65"/>
  <c r="AM62" i="65"/>
  <c r="AL62" i="65"/>
  <c r="AD62" i="65"/>
  <c r="AE62" i="65" s="1"/>
  <c r="T62" i="65"/>
  <c r="U62" i="65" s="1"/>
  <c r="L62" i="65"/>
  <c r="M62" i="65" s="1"/>
  <c r="BD61" i="65"/>
  <c r="BE61" i="65" s="1"/>
  <c r="AW61" i="65"/>
  <c r="AV61" i="65"/>
  <c r="AM61" i="65"/>
  <c r="AL61" i="65"/>
  <c r="AD61" i="65"/>
  <c r="AE61" i="65" s="1"/>
  <c r="U61" i="65"/>
  <c r="T61" i="65"/>
  <c r="L61" i="65"/>
  <c r="M61" i="65" s="1"/>
  <c r="BD60" i="65"/>
  <c r="BE60" i="65" s="1"/>
  <c r="AW60" i="65"/>
  <c r="AV60" i="65"/>
  <c r="AM60" i="65"/>
  <c r="AL60" i="65"/>
  <c r="AD60" i="65"/>
  <c r="AE60" i="65" s="1"/>
  <c r="U60" i="65"/>
  <c r="T60" i="65"/>
  <c r="L60" i="65"/>
  <c r="M60" i="65" s="1"/>
  <c r="BD59" i="65"/>
  <c r="BE59" i="65" s="1"/>
  <c r="AW59" i="65"/>
  <c r="AV59" i="65"/>
  <c r="AM59" i="65"/>
  <c r="AL59" i="65"/>
  <c r="AD59" i="65"/>
  <c r="AE59" i="65" s="1"/>
  <c r="T59" i="65"/>
  <c r="U59" i="65" s="1"/>
  <c r="L59" i="65"/>
  <c r="M59" i="65" s="1"/>
  <c r="BD58" i="65"/>
  <c r="BE58" i="65" s="1"/>
  <c r="AW58" i="65"/>
  <c r="AV58" i="65"/>
  <c r="AM58" i="65"/>
  <c r="AL58" i="65"/>
  <c r="AD58" i="65"/>
  <c r="AE58" i="65" s="1"/>
  <c r="T58" i="65"/>
  <c r="U58" i="65" s="1"/>
  <c r="L58" i="65"/>
  <c r="M58" i="65" s="1"/>
  <c r="BD57" i="65"/>
  <c r="BE57" i="65" s="1"/>
  <c r="AW57" i="65"/>
  <c r="AV57" i="65"/>
  <c r="AM57" i="65"/>
  <c r="AL57" i="65"/>
  <c r="AD57" i="65"/>
  <c r="AE57" i="65" s="1"/>
  <c r="U57" i="65"/>
  <c r="T57" i="65"/>
  <c r="L57" i="65"/>
  <c r="M57" i="65" s="1"/>
  <c r="BD56" i="65"/>
  <c r="BE56" i="65" s="1"/>
  <c r="AW56" i="65"/>
  <c r="AV56" i="65"/>
  <c r="AM56" i="65"/>
  <c r="AL56" i="65"/>
  <c r="AD56" i="65"/>
  <c r="AE56" i="65" s="1"/>
  <c r="U56" i="65"/>
  <c r="T56" i="65"/>
  <c r="L56" i="65"/>
  <c r="M56" i="65" s="1"/>
  <c r="BD55" i="65"/>
  <c r="BE55" i="65" s="1"/>
  <c r="AW55" i="65"/>
  <c r="AV55" i="65"/>
  <c r="AM55" i="65"/>
  <c r="AL55" i="65"/>
  <c r="AD55" i="65"/>
  <c r="AE55" i="65" s="1"/>
  <c r="T55" i="65"/>
  <c r="U55" i="65" s="1"/>
  <c r="L55" i="65"/>
  <c r="M55" i="65" s="1"/>
  <c r="BD54" i="65"/>
  <c r="BE54" i="65" s="1"/>
  <c r="AW54" i="65"/>
  <c r="AV54" i="65"/>
  <c r="AM54" i="65"/>
  <c r="AL54" i="65"/>
  <c r="AD54" i="65"/>
  <c r="AE54" i="65" s="1"/>
  <c r="T54" i="65"/>
  <c r="U54" i="65" s="1"/>
  <c r="L54" i="65"/>
  <c r="M54" i="65" s="1"/>
  <c r="BD53" i="65"/>
  <c r="BE53" i="65" s="1"/>
  <c r="AW53" i="65"/>
  <c r="AV53" i="65"/>
  <c r="AM53" i="65"/>
  <c r="AL53" i="65"/>
  <c r="AD53" i="65"/>
  <c r="AE53" i="65" s="1"/>
  <c r="U53" i="65"/>
  <c r="T53" i="65"/>
  <c r="L53" i="65"/>
  <c r="M53" i="65" s="1"/>
  <c r="BD52" i="65"/>
  <c r="BE52" i="65" s="1"/>
  <c r="AW52" i="65"/>
  <c r="AV52" i="65"/>
  <c r="AM52" i="65"/>
  <c r="AL52" i="65"/>
  <c r="AD52" i="65"/>
  <c r="AE52" i="65" s="1"/>
  <c r="U52" i="65"/>
  <c r="T52" i="65"/>
  <c r="L52" i="65"/>
  <c r="M52" i="65" s="1"/>
  <c r="BD51" i="65"/>
  <c r="BE51" i="65" s="1"/>
  <c r="AW51" i="65"/>
  <c r="AV51" i="65"/>
  <c r="AM51" i="65"/>
  <c r="AL51" i="65"/>
  <c r="AD51" i="65"/>
  <c r="AE51" i="65" s="1"/>
  <c r="T51" i="65"/>
  <c r="U51" i="65" s="1"/>
  <c r="L51" i="65"/>
  <c r="M51" i="65" s="1"/>
  <c r="BD50" i="65"/>
  <c r="BE50" i="65" s="1"/>
  <c r="AW50" i="65"/>
  <c r="AV50" i="65"/>
  <c r="AM50" i="65"/>
  <c r="AL50" i="65"/>
  <c r="AD50" i="65"/>
  <c r="AE50" i="65" s="1"/>
  <c r="T50" i="65"/>
  <c r="U50" i="65" s="1"/>
  <c r="L50" i="65"/>
  <c r="M50" i="65" s="1"/>
  <c r="BD49" i="65"/>
  <c r="BE49" i="65" s="1"/>
  <c r="AW49" i="65"/>
  <c r="AV49" i="65"/>
  <c r="AM49" i="65"/>
  <c r="AL49" i="65"/>
  <c r="AD49" i="65"/>
  <c r="AE49" i="65" s="1"/>
  <c r="U49" i="65"/>
  <c r="T49" i="65"/>
  <c r="L49" i="65"/>
  <c r="M49" i="65" s="1"/>
  <c r="BD48" i="65"/>
  <c r="BE48" i="65" s="1"/>
  <c r="AW48" i="65"/>
  <c r="AV48" i="65"/>
  <c r="AL48" i="65"/>
  <c r="AM48" i="65" s="1"/>
  <c r="AD48" i="65"/>
  <c r="AE48" i="65" s="1"/>
  <c r="U48" i="65"/>
  <c r="T48" i="65"/>
  <c r="L48" i="65"/>
  <c r="M48" i="65" s="1"/>
  <c r="BD47" i="65"/>
  <c r="BE47" i="65" s="1"/>
  <c r="AW47" i="65"/>
  <c r="AV47" i="65"/>
  <c r="AL47" i="65"/>
  <c r="AM47" i="65" s="1"/>
  <c r="AD47" i="65"/>
  <c r="AE47" i="65" s="1"/>
  <c r="T47" i="65"/>
  <c r="U47" i="65" s="1"/>
  <c r="L47" i="65"/>
  <c r="M47" i="65" s="1"/>
  <c r="BD46" i="65"/>
  <c r="BE46" i="65" s="1"/>
  <c r="AW46" i="65"/>
  <c r="AV46" i="65"/>
  <c r="AM46" i="65"/>
  <c r="AL46" i="65"/>
  <c r="AD46" i="65"/>
  <c r="AE46" i="65" s="1"/>
  <c r="T46" i="65"/>
  <c r="U46" i="65" s="1"/>
  <c r="L46" i="65"/>
  <c r="M46" i="65" s="1"/>
  <c r="BD45" i="65"/>
  <c r="BE45" i="65" s="1"/>
  <c r="AW45" i="65"/>
  <c r="AV45" i="65"/>
  <c r="AL45" i="65"/>
  <c r="AM45" i="65" s="1"/>
  <c r="AD45" i="65"/>
  <c r="AE45" i="65" s="1"/>
  <c r="T45" i="65"/>
  <c r="U45" i="65" s="1"/>
  <c r="L45" i="65"/>
  <c r="M45" i="65" s="1"/>
  <c r="BD44" i="65"/>
  <c r="BE44" i="65" s="1"/>
  <c r="AW44" i="65"/>
  <c r="AV44" i="65"/>
  <c r="AL44" i="65"/>
  <c r="AM44" i="65" s="1"/>
  <c r="AD44" i="65"/>
  <c r="AE44" i="65" s="1"/>
  <c r="U44" i="65"/>
  <c r="T44" i="65"/>
  <c r="L44" i="65"/>
  <c r="M44" i="65" s="1"/>
  <c r="BE43" i="65"/>
  <c r="BD43" i="65"/>
  <c r="AW43" i="65"/>
  <c r="AV43" i="65"/>
  <c r="AL43" i="65"/>
  <c r="AM43" i="65" s="1"/>
  <c r="AD43" i="65"/>
  <c r="AE43" i="65" s="1"/>
  <c r="U43" i="65"/>
  <c r="T43" i="65"/>
  <c r="L43" i="65"/>
  <c r="M43" i="65" s="1"/>
  <c r="BE42" i="65"/>
  <c r="BD42" i="65"/>
  <c r="AW42" i="65"/>
  <c r="AV42" i="65"/>
  <c r="AL42" i="65"/>
  <c r="AM42" i="65" s="1"/>
  <c r="AD42" i="65"/>
  <c r="AE42" i="65" s="1"/>
  <c r="T42" i="65"/>
  <c r="U42" i="65" s="1"/>
  <c r="L42" i="65"/>
  <c r="M42" i="65" s="1"/>
  <c r="BD41" i="65"/>
  <c r="BE41" i="65" s="1"/>
  <c r="AW41" i="65"/>
  <c r="AV41" i="65"/>
  <c r="AM41" i="65"/>
  <c r="AL41" i="65"/>
  <c r="AD41" i="65"/>
  <c r="AE41" i="65" s="1"/>
  <c r="U41" i="65"/>
  <c r="T41" i="65"/>
  <c r="L41" i="65"/>
  <c r="M41" i="65" s="1"/>
  <c r="BD40" i="65"/>
  <c r="BE40" i="65" s="1"/>
  <c r="AV40" i="65"/>
  <c r="AW40" i="65" s="1"/>
  <c r="AM40" i="65"/>
  <c r="AL40" i="65"/>
  <c r="AD40" i="65"/>
  <c r="AE40" i="65" s="1"/>
  <c r="T40" i="65"/>
  <c r="U40" i="65" s="1"/>
  <c r="L40" i="65"/>
  <c r="M40" i="65" s="1"/>
  <c r="BD39" i="65"/>
  <c r="BE39" i="65" s="1"/>
  <c r="AV39" i="65"/>
  <c r="AW39" i="65" s="1"/>
  <c r="AL39" i="65"/>
  <c r="AM39" i="65" s="1"/>
  <c r="AD39" i="65"/>
  <c r="AE39" i="65" s="1"/>
  <c r="T39" i="65"/>
  <c r="U39" i="65" s="1"/>
  <c r="L39" i="65"/>
  <c r="M39" i="65" s="1"/>
  <c r="BD38" i="65"/>
  <c r="BE38" i="65" s="1"/>
  <c r="AV38" i="65"/>
  <c r="AW38" i="65" s="1"/>
  <c r="AL38" i="65"/>
  <c r="AM38" i="65" s="1"/>
  <c r="AD38" i="65"/>
  <c r="AE38" i="65" s="1"/>
  <c r="U38" i="65"/>
  <c r="T38" i="65"/>
  <c r="L38" i="65"/>
  <c r="M38" i="65" s="1"/>
  <c r="BE37" i="65"/>
  <c r="BD37" i="65"/>
  <c r="AV37" i="65"/>
  <c r="AW37" i="65" s="1"/>
  <c r="AL37" i="65"/>
  <c r="AM37" i="65" s="1"/>
  <c r="AD37" i="65"/>
  <c r="AE37" i="65" s="1"/>
  <c r="U37" i="65"/>
  <c r="T37" i="65"/>
  <c r="L37" i="65"/>
  <c r="M37" i="65" s="1"/>
  <c r="BE36" i="65"/>
  <c r="BD36" i="65"/>
  <c r="AW36" i="65"/>
  <c r="AV36" i="65"/>
  <c r="AL36" i="65"/>
  <c r="AM36" i="65" s="1"/>
  <c r="AD36" i="65"/>
  <c r="AE36" i="65" s="1"/>
  <c r="T36" i="65"/>
  <c r="U36" i="65" s="1"/>
  <c r="L36" i="65"/>
  <c r="M36" i="65" s="1"/>
  <c r="BD35" i="65"/>
  <c r="BE35" i="65" s="1"/>
  <c r="AW35" i="65"/>
  <c r="AV35" i="65"/>
  <c r="AM35" i="65"/>
  <c r="AL35" i="65"/>
  <c r="AD35" i="65"/>
  <c r="AE35" i="65" s="1"/>
  <c r="U35" i="65"/>
  <c r="T35" i="65"/>
  <c r="L35" i="65"/>
  <c r="M35" i="65" s="1"/>
  <c r="BD34" i="65"/>
  <c r="BE34" i="65" s="1"/>
  <c r="AV34" i="65"/>
  <c r="AW34" i="65" s="1"/>
  <c r="AM34" i="65"/>
  <c r="AL34" i="65"/>
  <c r="AD34" i="65"/>
  <c r="AE34" i="65" s="1"/>
  <c r="T34" i="65"/>
  <c r="U34" i="65" s="1"/>
  <c r="L34" i="65"/>
  <c r="M34" i="65" s="1"/>
  <c r="BD33" i="65"/>
  <c r="BE33" i="65" s="1"/>
  <c r="AV33" i="65"/>
  <c r="AW33" i="65" s="1"/>
  <c r="AL33" i="65"/>
  <c r="AM33" i="65" s="1"/>
  <c r="AD33" i="65"/>
  <c r="AE33" i="65" s="1"/>
  <c r="T33" i="65"/>
  <c r="U33" i="65" s="1"/>
  <c r="L33" i="65"/>
  <c r="M33" i="65" s="1"/>
  <c r="BD32" i="65"/>
  <c r="BE32" i="65" s="1"/>
  <c r="AV32" i="65"/>
  <c r="AW32" i="65" s="1"/>
  <c r="AL32" i="65"/>
  <c r="AM32" i="65" s="1"/>
  <c r="AD32" i="65"/>
  <c r="AE32" i="65" s="1"/>
  <c r="U32" i="65"/>
  <c r="T32" i="65"/>
  <c r="L32" i="65"/>
  <c r="M32" i="65" s="1"/>
  <c r="BE31" i="65"/>
  <c r="BD31" i="65"/>
  <c r="AV31" i="65"/>
  <c r="AW31" i="65" s="1"/>
  <c r="AL31" i="65"/>
  <c r="AM31" i="65" s="1"/>
  <c r="AD31" i="65"/>
  <c r="AE31" i="65" s="1"/>
  <c r="U31" i="65"/>
  <c r="T31" i="65"/>
  <c r="L31" i="65"/>
  <c r="M31" i="65" s="1"/>
  <c r="BE30" i="65"/>
  <c r="BD30" i="65"/>
  <c r="AW30" i="65"/>
  <c r="AV30" i="65"/>
  <c r="AL30" i="65"/>
  <c r="AM30" i="65" s="1"/>
  <c r="AD30" i="65"/>
  <c r="AE30" i="65" s="1"/>
  <c r="T30" i="65"/>
  <c r="U30" i="65" s="1"/>
  <c r="L30" i="65"/>
  <c r="M30" i="65" s="1"/>
  <c r="BD29" i="65"/>
  <c r="BD6" i="65" s="1"/>
  <c r="AW29" i="65"/>
  <c r="AV29" i="65"/>
  <c r="AM29" i="65"/>
  <c r="AL29" i="65"/>
  <c r="AD29" i="65"/>
  <c r="AE29" i="65" s="1"/>
  <c r="U29" i="65"/>
  <c r="T29" i="65"/>
  <c r="L29" i="65"/>
  <c r="M29" i="65" s="1"/>
  <c r="BD28" i="65"/>
  <c r="BE28" i="65" s="1"/>
  <c r="AV28" i="65"/>
  <c r="AU6" i="65" s="1"/>
  <c r="AM28" i="65"/>
  <c r="AL28" i="65"/>
  <c r="AD28" i="65"/>
  <c r="AE28" i="65" s="1"/>
  <c r="T28" i="65"/>
  <c r="U28" i="65" s="1"/>
  <c r="L28" i="65"/>
  <c r="M28" i="65" s="1"/>
  <c r="BD27" i="65"/>
  <c r="BE27" i="65" s="1"/>
  <c r="AV27" i="65"/>
  <c r="AW27" i="65" s="1"/>
  <c r="AL27" i="65"/>
  <c r="AM27" i="65" s="1"/>
  <c r="AD27" i="65"/>
  <c r="AE27" i="65" s="1"/>
  <c r="T27" i="65"/>
  <c r="U27" i="65" s="1"/>
  <c r="L27" i="65"/>
  <c r="M27" i="65" s="1"/>
  <c r="BD26" i="65"/>
  <c r="BE26" i="65" s="1"/>
  <c r="AV26" i="65"/>
  <c r="AW26" i="65" s="1"/>
  <c r="AL26" i="65"/>
  <c r="AM26" i="65" s="1"/>
  <c r="AD26" i="65"/>
  <c r="AE26" i="65" s="1"/>
  <c r="U26" i="65"/>
  <c r="T26" i="65"/>
  <c r="L26" i="65"/>
  <c r="M26" i="65" s="1"/>
  <c r="BD25" i="65"/>
  <c r="BE25" i="65" s="1"/>
  <c r="AW25" i="65"/>
  <c r="AV25" i="65"/>
  <c r="AL25" i="65"/>
  <c r="AM25" i="65" s="1"/>
  <c r="AE25" i="65"/>
  <c r="AD25" i="65"/>
  <c r="U25" i="65"/>
  <c r="T25" i="65"/>
  <c r="L25" i="65"/>
  <c r="M25" i="65" s="1"/>
  <c r="BD24" i="65"/>
  <c r="BE24" i="65" s="1"/>
  <c r="AW24" i="65"/>
  <c r="AV24" i="65"/>
  <c r="AL24" i="65"/>
  <c r="AM24" i="65" s="1"/>
  <c r="AE24" i="65"/>
  <c r="AD24" i="65"/>
  <c r="U24" i="65"/>
  <c r="T24" i="65"/>
  <c r="L24" i="65"/>
  <c r="M24" i="65" s="1"/>
  <c r="BD23" i="65"/>
  <c r="BE23" i="65" s="1"/>
  <c r="AW23" i="65"/>
  <c r="AV23" i="65"/>
  <c r="AL23" i="65"/>
  <c r="AM23" i="65" s="1"/>
  <c r="AE23" i="65"/>
  <c r="AD23" i="65"/>
  <c r="U23" i="65"/>
  <c r="T23" i="65"/>
  <c r="L23" i="65"/>
  <c r="M23" i="65" s="1"/>
  <c r="BD22" i="65"/>
  <c r="BE22" i="65" s="1"/>
  <c r="AV22" i="65"/>
  <c r="AW22" i="65" s="1"/>
  <c r="AL22" i="65"/>
  <c r="AM22" i="65" s="1"/>
  <c r="AD22" i="65"/>
  <c r="AC6" i="65" s="1"/>
  <c r="T22" i="65"/>
  <c r="U22" i="65" s="1"/>
  <c r="L22" i="65"/>
  <c r="M22" i="65" s="1"/>
  <c r="BD21" i="65"/>
  <c r="BE21" i="65" s="1"/>
  <c r="AW21" i="65"/>
  <c r="AV21" i="65"/>
  <c r="AL21" i="65"/>
  <c r="AM21" i="65" s="1"/>
  <c r="AE21" i="65"/>
  <c r="AD21" i="65"/>
  <c r="U21" i="65"/>
  <c r="T21" i="65"/>
  <c r="L21" i="65"/>
  <c r="M21" i="65" s="1"/>
  <c r="BD20" i="65"/>
  <c r="BA4" i="65" s="1"/>
  <c r="BC4" i="65" s="1"/>
  <c r="AW20" i="65"/>
  <c r="AV20" i="65"/>
  <c r="AM20" i="65"/>
  <c r="AL20" i="65"/>
  <c r="AD20" i="65"/>
  <c r="AE20" i="65" s="1"/>
  <c r="T20" i="65"/>
  <c r="U20" i="65" s="1"/>
  <c r="M20" i="65"/>
  <c r="L20" i="65"/>
  <c r="BE19" i="65"/>
  <c r="BD19" i="65"/>
  <c r="AV19" i="65"/>
  <c r="AW19" i="65" s="1"/>
  <c r="AL19" i="65"/>
  <c r="AM19" i="65" s="1"/>
  <c r="AE19" i="65"/>
  <c r="AD19" i="65"/>
  <c r="T19" i="65"/>
  <c r="U19" i="65" s="1"/>
  <c r="M19" i="65"/>
  <c r="L19" i="65"/>
  <c r="BD18" i="65"/>
  <c r="BE18" i="65" s="1"/>
  <c r="AV18" i="65"/>
  <c r="AW18" i="65" s="1"/>
  <c r="AL18" i="65"/>
  <c r="AI3" i="65" s="1"/>
  <c r="AE18" i="65"/>
  <c r="AD18" i="65"/>
  <c r="U18" i="65"/>
  <c r="T18" i="65"/>
  <c r="L18" i="65"/>
  <c r="M18" i="65" s="1"/>
  <c r="BE17" i="65"/>
  <c r="BD17" i="65"/>
  <c r="AW17" i="65"/>
  <c r="AV17" i="65"/>
  <c r="AL17" i="65"/>
  <c r="AM17" i="65" s="1"/>
  <c r="AE17" i="65"/>
  <c r="AD17" i="65"/>
  <c r="U17" i="65"/>
  <c r="T17" i="65"/>
  <c r="L17" i="65"/>
  <c r="M17" i="65" s="1"/>
  <c r="BD16" i="65"/>
  <c r="BE16" i="65" s="1"/>
  <c r="AW16" i="65"/>
  <c r="AV16" i="65"/>
  <c r="AM16" i="65"/>
  <c r="AL16" i="65"/>
  <c r="AD16" i="65"/>
  <c r="AE16" i="65" s="1"/>
  <c r="U16" i="65"/>
  <c r="T16" i="65"/>
  <c r="M16" i="65"/>
  <c r="L16" i="65"/>
  <c r="BE15" i="65"/>
  <c r="BD15" i="65"/>
  <c r="AV15" i="65"/>
  <c r="AW15" i="65" s="1"/>
  <c r="AM15" i="65"/>
  <c r="AL15" i="65"/>
  <c r="AE15" i="65"/>
  <c r="AD15" i="65"/>
  <c r="T15" i="65"/>
  <c r="U15" i="65" s="1"/>
  <c r="M15" i="65"/>
  <c r="L15" i="65"/>
  <c r="BE14" i="65"/>
  <c r="BD14" i="65"/>
  <c r="AW14" i="65"/>
  <c r="AV14" i="65"/>
  <c r="AL14" i="65"/>
  <c r="AM14" i="65" s="1"/>
  <c r="AE14" i="65"/>
  <c r="AD14" i="65"/>
  <c r="T14" i="65"/>
  <c r="U14" i="65" s="1"/>
  <c r="L14" i="65"/>
  <c r="M14" i="65" s="1"/>
  <c r="BE13" i="65"/>
  <c r="BD13" i="65"/>
  <c r="AW13" i="65"/>
  <c r="AV13" i="65"/>
  <c r="AL13" i="65"/>
  <c r="AM13" i="65" s="1"/>
  <c r="AD13" i="65"/>
  <c r="AE13" i="65" s="1"/>
  <c r="T13" i="65"/>
  <c r="Q3" i="65" s="1"/>
  <c r="L13" i="65"/>
  <c r="K6" i="65" s="1"/>
  <c r="L9" i="65" s="1"/>
  <c r="B11" i="65" s="1"/>
  <c r="BE12" i="65"/>
  <c r="BD12" i="65"/>
  <c r="AV12" i="65"/>
  <c r="AW12" i="65" s="1"/>
  <c r="AM12" i="65"/>
  <c r="AL12" i="65"/>
  <c r="AE12" i="65"/>
  <c r="AD12" i="65"/>
  <c r="T12" i="65"/>
  <c r="U12" i="65" s="1"/>
  <c r="M12" i="65"/>
  <c r="L12" i="65"/>
  <c r="FH11" i="65"/>
  <c r="FH9" i="65" s="1"/>
  <c r="FG11" i="65"/>
  <c r="EZ11" i="65"/>
  <c r="EZ9" i="65" s="1"/>
  <c r="EY11" i="65"/>
  <c r="EV4" i="65" s="1"/>
  <c r="EX4" i="65" s="1"/>
  <c r="EP11" i="65"/>
  <c r="EQ11" i="65" s="1"/>
  <c r="EQ9" i="65" s="1"/>
  <c r="EI11" i="65"/>
  <c r="EH11" i="65"/>
  <c r="DY11" i="65"/>
  <c r="DX11" i="65"/>
  <c r="DP11" i="65"/>
  <c r="DQ11" i="65" s="1"/>
  <c r="DQ9" i="65" s="1"/>
  <c r="DG11" i="65"/>
  <c r="DG9" i="65" s="1"/>
  <c r="DF11" i="65"/>
  <c r="CY11" i="65"/>
  <c r="CY9" i="65" s="1"/>
  <c r="CX11" i="65"/>
  <c r="CU4" i="65" s="1"/>
  <c r="CW4" i="65" s="1"/>
  <c r="CN11" i="65"/>
  <c r="CO11" i="65" s="1"/>
  <c r="CO9" i="65" s="1"/>
  <c r="CG11" i="65"/>
  <c r="CF11" i="65"/>
  <c r="BW11" i="65"/>
  <c r="BW9" i="65" s="1"/>
  <c r="BV11" i="65"/>
  <c r="BN11" i="65"/>
  <c r="BO11" i="65" s="1"/>
  <c r="BO9" i="65" s="1"/>
  <c r="BE11" i="65"/>
  <c r="BD11" i="65"/>
  <c r="AW11" i="65"/>
  <c r="AV11" i="65"/>
  <c r="AL11" i="65"/>
  <c r="AM11" i="65" s="1"/>
  <c r="AE11" i="65"/>
  <c r="AD11" i="65"/>
  <c r="U11" i="65"/>
  <c r="T11" i="65"/>
  <c r="L11" i="65"/>
  <c r="M11" i="65" s="1"/>
  <c r="EI9" i="65"/>
  <c r="EI3" i="65" s="1"/>
  <c r="DY9" i="65"/>
  <c r="CG9" i="65"/>
  <c r="CG7" i="65" s="1"/>
  <c r="FG7" i="65"/>
  <c r="FF7" i="65" s="1"/>
  <c r="EY7" i="65"/>
  <c r="EX7" i="65" s="1"/>
  <c r="EP7" i="65"/>
  <c r="EO7" i="65"/>
  <c r="EH7" i="65"/>
  <c r="EG7" i="65" s="1"/>
  <c r="DY7" i="65"/>
  <c r="DX7" i="65"/>
  <c r="DW7" i="65" s="1"/>
  <c r="DP7" i="65"/>
  <c r="DO7" i="65" s="1"/>
  <c r="DF7" i="65"/>
  <c r="DE7" i="65" s="1"/>
  <c r="CX7" i="65"/>
  <c r="CW7" i="65" s="1"/>
  <c r="CN7" i="65"/>
  <c r="CM7" i="65" s="1"/>
  <c r="CF7" i="65"/>
  <c r="CE7" i="65" s="1"/>
  <c r="BV7" i="65"/>
  <c r="BU7" i="65" s="1"/>
  <c r="BN7" i="65"/>
  <c r="BM7" i="65" s="1"/>
  <c r="BD7" i="65"/>
  <c r="BC7" i="65" s="1"/>
  <c r="AV7" i="65"/>
  <c r="AU7" i="65" s="1"/>
  <c r="AQ2" i="65" s="1"/>
  <c r="AL7" i="65"/>
  <c r="AK7" i="65" s="1"/>
  <c r="AD7" i="65"/>
  <c r="AC7" i="65" s="1"/>
  <c r="Y2" i="65" s="1"/>
  <c r="T7" i="65"/>
  <c r="S7" i="65" s="1"/>
  <c r="L7" i="65"/>
  <c r="K7" i="65" s="1"/>
  <c r="FG6" i="65"/>
  <c r="FF6" i="65"/>
  <c r="EY6" i="65"/>
  <c r="EX6" i="65"/>
  <c r="EP6" i="65"/>
  <c r="EH6" i="65"/>
  <c r="EH9" i="65" s="1"/>
  <c r="EG6" i="65"/>
  <c r="DX6" i="65"/>
  <c r="DW6" i="65"/>
  <c r="DP6" i="65"/>
  <c r="DO6" i="65"/>
  <c r="DF6" i="65"/>
  <c r="CX6" i="65"/>
  <c r="CW6" i="65"/>
  <c r="CN6" i="65"/>
  <c r="CM6" i="65" s="1"/>
  <c r="CF6" i="65"/>
  <c r="CF9" i="65" s="1"/>
  <c r="B19" i="65" s="1"/>
  <c r="CE6" i="65"/>
  <c r="BV6" i="65"/>
  <c r="BN6" i="65"/>
  <c r="BM6" i="65"/>
  <c r="AV6" i="65"/>
  <c r="AL6" i="65"/>
  <c r="AD6" i="65"/>
  <c r="AD9" i="65" s="1"/>
  <c r="B13" i="65" s="1"/>
  <c r="T6" i="65"/>
  <c r="S6" i="65" s="1"/>
  <c r="L6" i="65"/>
  <c r="DY5" i="65"/>
  <c r="CG5" i="65"/>
  <c r="FF4" i="65"/>
  <c r="FD4" i="65"/>
  <c r="EO4" i="65"/>
  <c r="EM4" i="65"/>
  <c r="EG4" i="65"/>
  <c r="EE4" i="65"/>
  <c r="DW4" i="65"/>
  <c r="DU4" i="65"/>
  <c r="DO4" i="65"/>
  <c r="DM4" i="65"/>
  <c r="DE4" i="65"/>
  <c r="DC4" i="65"/>
  <c r="CM4" i="65"/>
  <c r="CK4" i="65"/>
  <c r="CE4" i="65"/>
  <c r="CC4" i="65"/>
  <c r="BU4" i="65"/>
  <c r="BS4" i="65"/>
  <c r="BM4" i="65"/>
  <c r="BK4" i="65"/>
  <c r="AS4" i="65"/>
  <c r="AU4" i="65" s="1"/>
  <c r="AC4" i="65"/>
  <c r="AA4" i="65"/>
  <c r="Q4" i="65"/>
  <c r="S4" i="65" s="1"/>
  <c r="I4" i="65"/>
  <c r="K4" i="65" s="1"/>
  <c r="FF3" i="65"/>
  <c r="FD3" i="65"/>
  <c r="FD6" i="65" s="1"/>
  <c r="EX3" i="65"/>
  <c r="EV3" i="65"/>
  <c r="EO3" i="65"/>
  <c r="EM3" i="65"/>
  <c r="EM6" i="65" s="1"/>
  <c r="EG3" i="65"/>
  <c r="EE3" i="65"/>
  <c r="EE6" i="65" s="1"/>
  <c r="DY3" i="65"/>
  <c r="DW3" i="65"/>
  <c r="DU3" i="65"/>
  <c r="DU6" i="65" s="1"/>
  <c r="DO3" i="65"/>
  <c r="DM3" i="65"/>
  <c r="DM6" i="65" s="1"/>
  <c r="DE3" i="65"/>
  <c r="DC3" i="65"/>
  <c r="DC6" i="65" s="1"/>
  <c r="A22" i="65" s="1"/>
  <c r="CW3" i="65"/>
  <c r="CU3" i="65"/>
  <c r="CM3" i="65"/>
  <c r="CK3" i="65"/>
  <c r="CK6" i="65" s="1"/>
  <c r="A20" i="65" s="1"/>
  <c r="CG3" i="65"/>
  <c r="CE3" i="65"/>
  <c r="CC3" i="65"/>
  <c r="CC6" i="65" s="1"/>
  <c r="A19" i="65" s="1"/>
  <c r="BU3" i="65"/>
  <c r="BS3" i="65"/>
  <c r="BS6" i="65" s="1"/>
  <c r="A18" i="65" s="1"/>
  <c r="BM3" i="65"/>
  <c r="BK3" i="65"/>
  <c r="BK6" i="65" s="1"/>
  <c r="A17" i="65" s="1"/>
  <c r="AU3" i="65"/>
  <c r="AS3" i="65"/>
  <c r="AC3" i="65"/>
  <c r="AA3" i="65"/>
  <c r="AA6" i="65" s="1"/>
  <c r="A13" i="65" s="1"/>
  <c r="K3" i="65"/>
  <c r="I3" i="65"/>
  <c r="G4" i="65" s="1"/>
  <c r="AY4" i="64"/>
  <c r="AY2" i="64"/>
  <c r="AQ4" i="64"/>
  <c r="AQ2" i="64"/>
  <c r="AG4" i="64"/>
  <c r="AG2" i="64"/>
  <c r="Y4" i="64"/>
  <c r="Y2" i="64"/>
  <c r="O4" i="64"/>
  <c r="O2" i="64"/>
  <c r="G2" i="64"/>
  <c r="G4" i="64"/>
  <c r="BO3" i="65" l="1"/>
  <c r="BO7" i="65"/>
  <c r="BO5" i="65"/>
  <c r="CX9" i="65"/>
  <c r="B21" i="65" s="1"/>
  <c r="FG9" i="65"/>
  <c r="BW7" i="65"/>
  <c r="BW5" i="65"/>
  <c r="BW3" i="65"/>
  <c r="G2" i="65"/>
  <c r="EQ5" i="65"/>
  <c r="EQ7" i="65"/>
  <c r="EQ3" i="65"/>
  <c r="CF4" i="65"/>
  <c r="CF2" i="65" s="1"/>
  <c r="O2" i="65"/>
  <c r="CN9" i="65"/>
  <c r="B20" i="65" s="1"/>
  <c r="AL9" i="65"/>
  <c r="B14" i="65" s="1"/>
  <c r="DP9" i="65"/>
  <c r="CO7" i="65"/>
  <c r="CO3" i="65"/>
  <c r="CN4" i="65" s="1"/>
  <c r="CO5" i="65"/>
  <c r="EZ7" i="65"/>
  <c r="EZ3" i="65"/>
  <c r="EZ5" i="65"/>
  <c r="BD9" i="65"/>
  <c r="B16" i="65" s="1"/>
  <c r="BC6" i="65"/>
  <c r="CU6" i="65"/>
  <c r="A21" i="65" s="1"/>
  <c r="AG2" i="65"/>
  <c r="AS6" i="65"/>
  <c r="A15" i="65" s="1"/>
  <c r="EV6" i="65"/>
  <c r="DX9" i="65"/>
  <c r="DX4" i="65" s="1"/>
  <c r="DX2" i="65" s="1"/>
  <c r="CY3" i="65"/>
  <c r="CX4" i="65" s="1"/>
  <c r="CY5" i="65"/>
  <c r="CY7" i="65"/>
  <c r="FH3" i="65"/>
  <c r="FG4" i="65" s="1"/>
  <c r="FG2" i="65" s="1"/>
  <c r="FH5" i="65"/>
  <c r="FH7" i="65"/>
  <c r="AV9" i="65"/>
  <c r="B15" i="65" s="1"/>
  <c r="EY9" i="65"/>
  <c r="EH4" i="65"/>
  <c r="EH2" i="65" s="1"/>
  <c r="EE9" i="65" s="1"/>
  <c r="E25" i="65" s="1"/>
  <c r="S3" i="65"/>
  <c r="Q6" i="65"/>
  <c r="A12" i="65" s="1"/>
  <c r="O4" i="65"/>
  <c r="BN9" i="65"/>
  <c r="B17" i="65" s="1"/>
  <c r="AY2" i="65"/>
  <c r="AW9" i="65"/>
  <c r="DG3" i="65"/>
  <c r="DG7" i="65"/>
  <c r="DG5" i="65"/>
  <c r="DQ7" i="65"/>
  <c r="DQ5" i="65"/>
  <c r="DQ3" i="65"/>
  <c r="DP4" i="65" s="1"/>
  <c r="DP2" i="65" s="1"/>
  <c r="DM9" i="65" s="1"/>
  <c r="E23" i="65" s="1"/>
  <c r="AK3" i="65"/>
  <c r="AQ4" i="65"/>
  <c r="AK6" i="65"/>
  <c r="BU6" i="65"/>
  <c r="BV9" i="65" s="1"/>
  <c r="B18" i="65" s="1"/>
  <c r="DE6" i="65"/>
  <c r="DF9" i="65" s="1"/>
  <c r="B22" i="65" s="1"/>
  <c r="EO6" i="65"/>
  <c r="EP9" i="65" s="1"/>
  <c r="I6" i="65"/>
  <c r="A11" i="65" s="1"/>
  <c r="M13" i="65"/>
  <c r="M9" i="65" s="1"/>
  <c r="AM18" i="65"/>
  <c r="AM9" i="65" s="1"/>
  <c r="BE20" i="65"/>
  <c r="AE22" i="65"/>
  <c r="AE9" i="65" s="1"/>
  <c r="AW28" i="65"/>
  <c r="BE29" i="65"/>
  <c r="BE9" i="65" s="1"/>
  <c r="EI7" i="65"/>
  <c r="U13" i="65"/>
  <c r="U9" i="65" s="1"/>
  <c r="Y4" i="65"/>
  <c r="BA3" i="65"/>
  <c r="T9" i="65"/>
  <c r="B12" i="65" s="1"/>
  <c r="AI4" i="65"/>
  <c r="AK4" i="65" s="1"/>
  <c r="EI5" i="65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M5" i="65" l="1"/>
  <c r="AM7" i="65"/>
  <c r="AM3" i="65"/>
  <c r="M7" i="65"/>
  <c r="M5" i="65"/>
  <c r="M3" i="65"/>
  <c r="L4" i="65" s="1"/>
  <c r="U5" i="65"/>
  <c r="U3" i="65"/>
  <c r="T4" i="65" s="1"/>
  <c r="U7" i="65"/>
  <c r="AE3" i="65"/>
  <c r="AD4" i="65" s="1"/>
  <c r="AE5" i="65"/>
  <c r="AE7" i="65"/>
  <c r="BE7" i="65"/>
  <c r="BE3" i="65"/>
  <c r="BE5" i="65"/>
  <c r="CX2" i="65"/>
  <c r="C21" i="65"/>
  <c r="CN2" i="65"/>
  <c r="D20" i="65" s="1"/>
  <c r="C20" i="65"/>
  <c r="BV4" i="65"/>
  <c r="AW7" i="65"/>
  <c r="AW3" i="65"/>
  <c r="AV4" i="65" s="1"/>
  <c r="AW5" i="65"/>
  <c r="AI6" i="65"/>
  <c r="A14" i="65" s="1"/>
  <c r="BC3" i="65"/>
  <c r="AY4" i="65" s="1"/>
  <c r="DF4" i="65"/>
  <c r="CC9" i="65"/>
  <c r="E19" i="65" s="1"/>
  <c r="D19" i="65"/>
  <c r="EP4" i="65"/>
  <c r="EP2" i="65" s="1"/>
  <c r="AG4" i="65"/>
  <c r="EY4" i="65"/>
  <c r="EY2" i="65" s="1"/>
  <c r="EV9" i="65" s="1"/>
  <c r="BN4" i="65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BV2" i="65" l="1"/>
  <c r="D18" i="65" s="1"/>
  <c r="C18" i="65"/>
  <c r="C12" i="65"/>
  <c r="T2" i="65"/>
  <c r="D12" i="65" s="1"/>
  <c r="BA6" i="65"/>
  <c r="A16" i="65" s="1"/>
  <c r="BD4" i="65"/>
  <c r="L2" i="65"/>
  <c r="C11" i="65"/>
  <c r="C13" i="65"/>
  <c r="AD2" i="65"/>
  <c r="AV2" i="65"/>
  <c r="C15" i="65"/>
  <c r="C22" i="65"/>
  <c r="DF2" i="65"/>
  <c r="D22" i="65" s="1"/>
  <c r="D21" i="65"/>
  <c r="CU9" i="65"/>
  <c r="E21" i="65" s="1"/>
  <c r="C19" i="65"/>
  <c r="C17" i="65"/>
  <c r="BN2" i="65"/>
  <c r="AL4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D13" i="65" l="1"/>
  <c r="AA9" i="65"/>
  <c r="E13" i="65" s="1"/>
  <c r="AL2" i="65"/>
  <c r="D14" i="65" s="1"/>
  <c r="C14" i="65"/>
  <c r="D17" i="65"/>
  <c r="BK9" i="65"/>
  <c r="E17" i="65" s="1"/>
  <c r="D15" i="65"/>
  <c r="D11" i="65"/>
  <c r="I9" i="65"/>
  <c r="E11" i="65" s="1"/>
  <c r="C16" i="65"/>
  <c r="BD2" i="65"/>
  <c r="D16" i="65" s="1"/>
  <c r="M11" i="64"/>
  <c r="M9" i="64" s="1"/>
  <c r="I4" i="64"/>
  <c r="K4" i="64" s="1"/>
  <c r="L6" i="64"/>
  <c r="K6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3" i="64" s="1"/>
  <c r="AS6" i="64" s="1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EV6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A15" i="64"/>
  <c r="I3" i="64"/>
  <c r="K3" i="64" s="1"/>
  <c r="L9" i="64"/>
  <c r="B11" i="64" s="1"/>
  <c r="A2" i="63" a="1"/>
  <c r="AS9" i="65" l="1"/>
  <c r="E15" i="65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M5" i="64"/>
  <c r="AM7" i="64"/>
  <c r="AM3" i="64"/>
  <c r="S6" i="64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Y4" i="64" s="1"/>
  <c r="EY2" i="64" s="1"/>
  <c r="EV9" i="64" s="1"/>
  <c r="EZ5" i="64"/>
  <c r="EI5" i="64"/>
  <c r="EI7" i="64"/>
  <c r="EI3" i="64"/>
  <c r="DQ7" i="64"/>
  <c r="DQ3" i="64"/>
  <c r="DP4" i="64" s="1"/>
  <c r="DP2" i="64" s="1"/>
  <c r="DM9" i="64" s="1"/>
  <c r="E23" i="64" s="1"/>
  <c r="DQ5" i="64"/>
  <c r="DC6" i="64"/>
  <c r="A22" i="64" s="1"/>
  <c r="DE3" i="64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AA6" i="64"/>
  <c r="A13" i="64" s="1"/>
  <c r="M7" i="64"/>
  <c r="M5" i="64"/>
  <c r="M3" i="64"/>
  <c r="I6" i="64"/>
  <c r="A11" i="64" s="1"/>
  <c r="A2" i="63"/>
  <c r="CF4" i="64" l="1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L3" i="63"/>
  <c r="B3" i="63"/>
  <c r="J3" i="63"/>
  <c r="E2" i="63"/>
  <c r="C3" i="63"/>
  <c r="D3" i="63"/>
  <c r="J2" i="63"/>
  <c r="I2" i="63"/>
  <c r="G2" i="63"/>
  <c r="B2" i="63"/>
  <c r="D2" i="63"/>
  <c r="H3" i="63"/>
  <c r="H2" i="63"/>
  <c r="L2" i="63"/>
  <c r="C2" i="63"/>
  <c r="G3" i="63"/>
  <c r="I3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<sst xmlns="http://schemas.openxmlformats.org/spreadsheetml/2006/main" count="1642" uniqueCount="46">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</sst>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'20221202T090000'!$AV$10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'20221202T090000'!$AQ$11:$AQ$398</c:f>
              <c:numCache>
                <c:formatCode>General</c:formatCode>
                <c:ptCount val="388"/>
                <c:pt idx="0">
                  <c:v>1.73492</c:v>
                </c:pt>
                <c:pt idx="1">
                  <c:v>1.7298899999999999</c:v>
                </c:pt>
                <c:pt idx="2">
                  <c:v>1.72485</c:v>
                </c:pt>
                <c:pt idx="3">
                  <c:v>1.7198199999999999</c:v>
                </c:pt>
                <c:pt idx="4">
                  <c:v>1.71478</c:v>
                </c:pt>
                <c:pt idx="5">
                  <c:v>1.7097500000000001</c:v>
                </c:pt>
                <c:pt idx="6">
                  <c:v>1.7047099999999999</c:v>
                </c:pt>
                <c:pt idx="7">
                  <c:v>1.6996800000000001</c:v>
                </c:pt>
                <c:pt idx="8">
                  <c:v>1.6946399999999999</c:v>
                </c:pt>
                <c:pt idx="9">
                  <c:v>1.6896100000000001</c:v>
                </c:pt>
                <c:pt idx="10">
                  <c:v>1.6845699999999999</c:v>
                </c:pt>
                <c:pt idx="11">
                  <c:v>1.67953</c:v>
                </c:pt>
                <c:pt idx="12">
                  <c:v>1.6745000000000001</c:v>
                </c:pt>
                <c:pt idx="13">
                  <c:v>1.6694599999999999</c:v>
                </c:pt>
                <c:pt idx="14">
                  <c:v>1.6644300000000001</c:v>
                </c:pt>
                <c:pt idx="15">
                  <c:v>1.6593899999999999</c:v>
                </c:pt>
                <c:pt idx="16">
                  <c:v>1.6543600000000001</c:v>
                </c:pt>
                <c:pt idx="17">
                  <c:v>1.6493199999999999</c:v>
                </c:pt>
                <c:pt idx="18">
                  <c:v>1.64429</c:v>
                </c:pt>
                <c:pt idx="19">
                  <c:v>1.6392500000000001</c:v>
                </c:pt>
                <c:pt idx="20">
                  <c:v>1.63422</c:v>
                </c:pt>
                <c:pt idx="21">
                  <c:v>1.6291800000000001</c:v>
                </c:pt>
                <c:pt idx="22">
                  <c:v>1.62415</c:v>
                </c:pt>
                <c:pt idx="23">
                  <c:v>1.61911</c:v>
                </c:pt>
                <c:pt idx="24">
                  <c:v>1.6140699999999999</c:v>
                </c:pt>
                <c:pt idx="25">
                  <c:v>1.60904</c:v>
                </c:pt>
                <c:pt idx="26">
                  <c:v>1.6040000000000001</c:v>
                </c:pt>
                <c:pt idx="27">
                  <c:v>1.59897</c:v>
                </c:pt>
                <c:pt idx="28">
                  <c:v>1.5939300000000001</c:v>
                </c:pt>
                <c:pt idx="29">
                  <c:v>1.5889</c:v>
                </c:pt>
                <c:pt idx="30">
                  <c:v>1.58386</c:v>
                </c:pt>
                <c:pt idx="31">
                  <c:v>1.57883</c:v>
                </c:pt>
                <c:pt idx="32">
                  <c:v>1.57379</c:v>
                </c:pt>
                <c:pt idx="33">
                  <c:v>1.5687599999999999</c:v>
                </c:pt>
                <c:pt idx="34">
                  <c:v>1.56372</c:v>
                </c:pt>
                <c:pt idx="35">
                  <c:v>1.5586899999999999</c:v>
                </c:pt>
                <c:pt idx="36">
                  <c:v>1.55365</c:v>
                </c:pt>
                <c:pt idx="37">
                  <c:v>1.54861</c:v>
                </c:pt>
                <c:pt idx="38">
                  <c:v>1.54358</c:v>
                </c:pt>
                <c:pt idx="39">
                  <c:v>1.53854</c:v>
                </c:pt>
                <c:pt idx="40">
                  <c:v>1.5335099999999999</c:v>
                </c:pt>
                <c:pt idx="41">
                  <c:v>1.52847</c:v>
                </c:pt>
                <c:pt idx="42">
                  <c:v>1.5234399999999999</c:v>
                </c:pt>
                <c:pt idx="43">
                  <c:v>1.5184</c:v>
                </c:pt>
                <c:pt idx="44">
                  <c:v>1.5133700000000001</c:v>
                </c:pt>
                <c:pt idx="45">
                  <c:v>1.5083299999999999</c:v>
                </c:pt>
                <c:pt idx="46">
                  <c:v>1.5033000000000001</c:v>
                </c:pt>
                <c:pt idx="47">
                  <c:v>1.4982599999999999</c:v>
                </c:pt>
                <c:pt idx="48">
                  <c:v>1.4932300000000001</c:v>
                </c:pt>
                <c:pt idx="49">
                  <c:v>1.4881899999999999</c:v>
                </c:pt>
                <c:pt idx="50">
                  <c:v>1.48315</c:v>
                </c:pt>
                <c:pt idx="51">
                  <c:v>1.4781200000000001</c:v>
                </c:pt>
                <c:pt idx="52">
                  <c:v>1.4730799999999999</c:v>
                </c:pt>
                <c:pt idx="53">
                  <c:v>1.4680500000000001</c:v>
                </c:pt>
                <c:pt idx="54">
                  <c:v>1.4630099999999999</c:v>
                </c:pt>
                <c:pt idx="55">
                  <c:v>1.4579800000000001</c:v>
                </c:pt>
                <c:pt idx="56">
                  <c:v>1.4529399999999999</c:v>
                </c:pt>
                <c:pt idx="57">
                  <c:v>1.44791</c:v>
                </c:pt>
                <c:pt idx="58">
                  <c:v>1.4428700000000001</c:v>
                </c:pt>
                <c:pt idx="59">
                  <c:v>1.43784</c:v>
                </c:pt>
                <c:pt idx="60">
                  <c:v>1.4328000000000001</c:v>
                </c:pt>
                <c:pt idx="61">
                  <c:v>1.4277599999999999</c:v>
                </c:pt>
                <c:pt idx="62">
                  <c:v>1.4227300000000001</c:v>
                </c:pt>
                <c:pt idx="63">
                  <c:v>1.4176899999999999</c:v>
                </c:pt>
                <c:pt idx="64">
                  <c:v>1.41266</c:v>
                </c:pt>
                <c:pt idx="65">
                  <c:v>1.4076200000000001</c:v>
                </c:pt>
                <c:pt idx="66">
                  <c:v>1.40259</c:v>
                </c:pt>
                <c:pt idx="67">
                  <c:v>1.3975500000000001</c:v>
                </c:pt>
                <c:pt idx="68">
                  <c:v>1.39252</c:v>
                </c:pt>
                <c:pt idx="69">
                  <c:v>1.38748</c:v>
                </c:pt>
                <c:pt idx="70">
                  <c:v>1.38245</c:v>
                </c:pt>
                <c:pt idx="71">
                  <c:v>1.37741</c:v>
                </c:pt>
                <c:pt idx="72">
                  <c:v>1.3723799999999999</c:v>
                </c:pt>
                <c:pt idx="73">
                  <c:v>1.36734</c:v>
                </c:pt>
                <c:pt idx="74">
                  <c:v>1.3623000000000001</c:v>
                </c:pt>
                <c:pt idx="75">
                  <c:v>1.35727</c:v>
                </c:pt>
                <c:pt idx="76">
                  <c:v>1.35223</c:v>
                </c:pt>
                <c:pt idx="77">
                  <c:v>1.3472</c:v>
                </c:pt>
                <c:pt idx="78">
                  <c:v>1.34216</c:v>
                </c:pt>
                <c:pt idx="79">
                  <c:v>1.3371299999999999</c:v>
                </c:pt>
                <c:pt idx="80">
                  <c:v>1.33209</c:v>
                </c:pt>
                <c:pt idx="81">
                  <c:v>1.3270599999999999</c:v>
                </c:pt>
                <c:pt idx="82">
                  <c:v>1.32202</c:v>
                </c:pt>
                <c:pt idx="83">
                  <c:v>1.3169900000000001</c:v>
                </c:pt>
                <c:pt idx="84">
                  <c:v>1.3119499999999999</c:v>
                </c:pt>
                <c:pt idx="85">
                  <c:v>1.3069200000000001</c:v>
                </c:pt>
                <c:pt idx="86">
                  <c:v>1.3018799999999999</c:v>
                </c:pt>
                <c:pt idx="87">
                  <c:v>1.29684</c:v>
                </c:pt>
                <c:pt idx="88">
                  <c:v>1.2918099999999999</c:v>
                </c:pt>
                <c:pt idx="89">
                  <c:v>1.28677</c:v>
                </c:pt>
                <c:pt idx="90">
                  <c:v>1.2817400000000001</c:v>
                </c:pt>
                <c:pt idx="91">
                  <c:v>1.2766999999999999</c:v>
                </c:pt>
                <c:pt idx="92">
                  <c:v>1.2716700000000001</c:v>
                </c:pt>
                <c:pt idx="93">
                  <c:v>1.2666299999999999</c:v>
                </c:pt>
                <c:pt idx="94">
                  <c:v>1.2616000000000001</c:v>
                </c:pt>
                <c:pt idx="95">
                  <c:v>1.2565599999999999</c:v>
                </c:pt>
                <c:pt idx="96">
                  <c:v>1.25153</c:v>
                </c:pt>
                <c:pt idx="97">
                  <c:v>1.2464900000000001</c:v>
                </c:pt>
                <c:pt idx="98">
                  <c:v>1.24146</c:v>
                </c:pt>
                <c:pt idx="99">
                  <c:v>1.2364200000000001</c:v>
                </c:pt>
                <c:pt idx="100">
                  <c:v>1.2313799999999999</c:v>
                </c:pt>
                <c:pt idx="101">
                  <c:v>1.2263500000000001</c:v>
                </c:pt>
                <c:pt idx="102">
                  <c:v>1.2213099999999999</c:v>
                </c:pt>
                <c:pt idx="103">
                  <c:v>1.21628</c:v>
                </c:pt>
                <c:pt idx="104">
                  <c:v>1.2112400000000001</c:v>
                </c:pt>
                <c:pt idx="105">
                  <c:v>1.20621</c:v>
                </c:pt>
                <c:pt idx="106">
                  <c:v>1.2011700000000001</c:v>
                </c:pt>
                <c:pt idx="107">
                  <c:v>1.19614</c:v>
                </c:pt>
                <c:pt idx="108">
                  <c:v>1.1911</c:v>
                </c:pt>
                <c:pt idx="109">
                  <c:v>1.18607</c:v>
                </c:pt>
                <c:pt idx="110">
                  <c:v>1.18103</c:v>
                </c:pt>
                <c:pt idx="111">
                  <c:v>1.1759900000000001</c:v>
                </c:pt>
                <c:pt idx="112">
                  <c:v>1.17096</c:v>
                </c:pt>
                <c:pt idx="113">
                  <c:v>1.1659200000000001</c:v>
                </c:pt>
                <c:pt idx="114">
                  <c:v>1.16089</c:v>
                </c:pt>
                <c:pt idx="115">
                  <c:v>1.15585</c:v>
                </c:pt>
                <c:pt idx="116">
                  <c:v>1.15082</c:v>
                </c:pt>
                <c:pt idx="117">
                  <c:v>1.14578</c:v>
                </c:pt>
                <c:pt idx="118">
                  <c:v>1.1407499999999999</c:v>
                </c:pt>
                <c:pt idx="119">
                  <c:v>1.13571</c:v>
                </c:pt>
                <c:pt idx="120">
                  <c:v>1.1306799999999999</c:v>
                </c:pt>
                <c:pt idx="121">
                  <c:v>1.12564</c:v>
                </c:pt>
                <c:pt idx="122">
                  <c:v>1.1206100000000001</c:v>
                </c:pt>
                <c:pt idx="123">
                  <c:v>1.11557</c:v>
                </c:pt>
                <c:pt idx="124">
                  <c:v>1.11053</c:v>
                </c:pt>
                <c:pt idx="125">
                  <c:v>1.1054999999999999</c:v>
                </c:pt>
                <c:pt idx="126">
                  <c:v>1.10046</c:v>
                </c:pt>
                <c:pt idx="127">
                  <c:v>1.0954299999999999</c:v>
                </c:pt>
                <c:pt idx="128">
                  <c:v>1.09039</c:v>
                </c:pt>
                <c:pt idx="129">
                  <c:v>1.0853600000000001</c:v>
                </c:pt>
                <c:pt idx="130">
                  <c:v>1.0803199999999999</c:v>
                </c:pt>
                <c:pt idx="131">
                  <c:v>1.0752900000000001</c:v>
                </c:pt>
                <c:pt idx="132">
                  <c:v>1.0702499999999999</c:v>
                </c:pt>
                <c:pt idx="133">
                  <c:v>1.0652200000000001</c:v>
                </c:pt>
                <c:pt idx="134">
                  <c:v>1.0601799999999999</c:v>
                </c:pt>
                <c:pt idx="135">
                  <c:v>1.05515</c:v>
                </c:pt>
                <c:pt idx="136">
                  <c:v>1.0501100000000001</c:v>
                </c:pt>
                <c:pt idx="137">
                  <c:v>1.0450699999999999</c:v>
                </c:pt>
                <c:pt idx="138">
                  <c:v>1.0400400000000001</c:v>
                </c:pt>
                <c:pt idx="139">
                  <c:v>1.0349999999999999</c:v>
                </c:pt>
                <c:pt idx="140">
                  <c:v>1.0299700000000001</c:v>
                </c:pt>
                <c:pt idx="141">
                  <c:v>1.0249299999999999</c:v>
                </c:pt>
                <c:pt idx="142">
                  <c:v>1.0199</c:v>
                </c:pt>
                <c:pt idx="143">
                  <c:v>1.0148600000000001</c:v>
                </c:pt>
                <c:pt idx="144">
                  <c:v>1.00983</c:v>
                </c:pt>
                <c:pt idx="145">
                  <c:v>1.0047900000000001</c:v>
                </c:pt>
                <c:pt idx="146">
                  <c:v>0.99975599999999998</c:v>
                </c:pt>
                <c:pt idx="147">
                  <c:v>0.99472000000000005</c:v>
                </c:pt>
                <c:pt idx="148">
                  <c:v>0.98968500000000004</c:v>
                </c:pt>
                <c:pt idx="149">
                  <c:v>0.98465000000000003</c:v>
                </c:pt>
                <c:pt idx="150">
                  <c:v>0.97961399999999998</c:v>
                </c:pt>
                <c:pt idx="151">
                  <c:v>0.97457899999999997</c:v>
                </c:pt>
                <c:pt idx="152">
                  <c:v>0.96954300000000004</c:v>
                </c:pt>
                <c:pt idx="153">
                  <c:v>0.96450800000000003</c:v>
                </c:pt>
                <c:pt idx="154">
                  <c:v>0.95947300000000002</c:v>
                </c:pt>
                <c:pt idx="155">
                  <c:v>0.95443699999999998</c:v>
                </c:pt>
                <c:pt idx="156">
                  <c:v>0.94940199999999997</c:v>
                </c:pt>
                <c:pt idx="157">
                  <c:v>0.94436600000000004</c:v>
                </c:pt>
                <c:pt idx="158">
                  <c:v>0.93933100000000003</c:v>
                </c:pt>
                <c:pt idx="159">
                  <c:v>0.93429600000000002</c:v>
                </c:pt>
                <c:pt idx="160">
                  <c:v>0.92925999999999997</c:v>
                </c:pt>
                <c:pt idx="161">
                  <c:v>0.92422499999999996</c:v>
                </c:pt>
                <c:pt idx="162">
                  <c:v>0.91918900000000003</c:v>
                </c:pt>
                <c:pt idx="163">
                  <c:v>0.91415400000000002</c:v>
                </c:pt>
                <c:pt idx="164">
                  <c:v>0.90911900000000001</c:v>
                </c:pt>
                <c:pt idx="165">
                  <c:v>0.90408299999999997</c:v>
                </c:pt>
                <c:pt idx="166">
                  <c:v>0.89904799999999996</c:v>
                </c:pt>
                <c:pt idx="167">
                  <c:v>0.89401200000000003</c:v>
                </c:pt>
                <c:pt idx="168">
                  <c:v>0.88897700000000002</c:v>
                </c:pt>
                <c:pt idx="169">
                  <c:v>0.88394200000000001</c:v>
                </c:pt>
                <c:pt idx="170">
                  <c:v>0.87890599999999997</c:v>
                </c:pt>
                <c:pt idx="171">
                  <c:v>0.87387099999999995</c:v>
                </c:pt>
                <c:pt idx="172">
                  <c:v>0.86883500000000002</c:v>
                </c:pt>
                <c:pt idx="173">
                  <c:v>0.86380000000000001</c:v>
                </c:pt>
                <c:pt idx="174">
                  <c:v>0.858765</c:v>
                </c:pt>
                <c:pt idx="175">
                  <c:v>0.85372899999999996</c:v>
                </c:pt>
                <c:pt idx="176">
                  <c:v>0.84869399999999995</c:v>
                </c:pt>
                <c:pt idx="177">
                  <c:v>0.84365800000000002</c:v>
                </c:pt>
                <c:pt idx="178">
                  <c:v>0.83862300000000001</c:v>
                </c:pt>
                <c:pt idx="179">
                  <c:v>0.833588</c:v>
                </c:pt>
                <c:pt idx="180">
                  <c:v>0.82855199999999996</c:v>
                </c:pt>
                <c:pt idx="181">
                  <c:v>0.82351700000000005</c:v>
                </c:pt>
                <c:pt idx="182">
                  <c:v>0.81848100000000001</c:v>
                </c:pt>
                <c:pt idx="183">
                  <c:v>0.813446</c:v>
                </c:pt>
                <c:pt idx="184">
                  <c:v>0.80841099999999999</c:v>
                </c:pt>
                <c:pt idx="185">
                  <c:v>0.80337499999999995</c:v>
                </c:pt>
                <c:pt idx="186">
                  <c:v>0.79834000000000005</c:v>
                </c:pt>
                <c:pt idx="187">
                  <c:v>0.79330400000000001</c:v>
                </c:pt>
                <c:pt idx="188">
                  <c:v>0.788269</c:v>
                </c:pt>
                <c:pt idx="189">
                  <c:v>0.78323399999999999</c:v>
                </c:pt>
                <c:pt idx="190">
                  <c:v>0.77819799999999995</c:v>
                </c:pt>
                <c:pt idx="191">
                  <c:v>0.77316300000000004</c:v>
                </c:pt>
                <c:pt idx="192">
                  <c:v>0.768127</c:v>
                </c:pt>
                <c:pt idx="193">
                  <c:v>0.76309199999999999</c:v>
                </c:pt>
                <c:pt idx="194">
                  <c:v>0.75805699999999998</c:v>
                </c:pt>
                <c:pt idx="195">
                  <c:v>0.75302100000000005</c:v>
                </c:pt>
                <c:pt idx="196">
                  <c:v>0.74798600000000004</c:v>
                </c:pt>
                <c:pt idx="197">
                  <c:v>0.74295</c:v>
                </c:pt>
                <c:pt idx="198">
                  <c:v>0.73791499999999999</c:v>
                </c:pt>
                <c:pt idx="199">
                  <c:v>0.73287999999999998</c:v>
                </c:pt>
                <c:pt idx="200">
                  <c:v>0.72784400000000005</c:v>
                </c:pt>
                <c:pt idx="201">
                  <c:v>0.72280900000000003</c:v>
                </c:pt>
                <c:pt idx="202">
                  <c:v>0.71777299999999999</c:v>
                </c:pt>
                <c:pt idx="203">
                  <c:v>0.71273799999999998</c:v>
                </c:pt>
                <c:pt idx="204">
                  <c:v>0.70770299999999997</c:v>
                </c:pt>
                <c:pt idx="205">
                  <c:v>0.70266700000000004</c:v>
                </c:pt>
                <c:pt idx="206">
                  <c:v>0.69763200000000003</c:v>
                </c:pt>
                <c:pt idx="207">
                  <c:v>0.69259599999999999</c:v>
                </c:pt>
                <c:pt idx="208">
                  <c:v>0.68756099999999998</c:v>
                </c:pt>
                <c:pt idx="209">
                  <c:v>0.68252599999999997</c:v>
                </c:pt>
                <c:pt idx="210">
                  <c:v>0.67749000000000004</c:v>
                </c:pt>
                <c:pt idx="211">
                  <c:v>0.67245500000000002</c:v>
                </c:pt>
                <c:pt idx="212">
                  <c:v>0.66741899999999998</c:v>
                </c:pt>
                <c:pt idx="213">
                  <c:v>0.66238399999999997</c:v>
                </c:pt>
                <c:pt idx="214">
                  <c:v>0.65734899999999996</c:v>
                </c:pt>
                <c:pt idx="215">
                  <c:v>0.65231300000000003</c:v>
                </c:pt>
                <c:pt idx="216">
                  <c:v>0.64727800000000002</c:v>
                </c:pt>
                <c:pt idx="217">
                  <c:v>0.64224199999999998</c:v>
                </c:pt>
                <c:pt idx="218">
                  <c:v>0.63720699999999997</c:v>
                </c:pt>
                <c:pt idx="219">
                  <c:v>0.63217199999999996</c:v>
                </c:pt>
                <c:pt idx="220">
                  <c:v>0.62713600000000003</c:v>
                </c:pt>
                <c:pt idx="221">
                  <c:v>0.62210100000000002</c:v>
                </c:pt>
                <c:pt idx="222">
                  <c:v>0.61706499999999997</c:v>
                </c:pt>
                <c:pt idx="223">
                  <c:v>0.61202999999999996</c:v>
                </c:pt>
                <c:pt idx="224">
                  <c:v>0.60699499999999995</c:v>
                </c:pt>
                <c:pt idx="225">
                  <c:v>0.60195900000000002</c:v>
                </c:pt>
                <c:pt idx="226">
                  <c:v>0.59692400000000001</c:v>
                </c:pt>
                <c:pt idx="227">
                  <c:v>0.59188799999999997</c:v>
                </c:pt>
                <c:pt idx="228">
                  <c:v>0.58685299999999996</c:v>
                </c:pt>
                <c:pt idx="229">
                  <c:v>0.58181799999999995</c:v>
                </c:pt>
                <c:pt idx="230">
                  <c:v>0.57678200000000002</c:v>
                </c:pt>
                <c:pt idx="231">
                  <c:v>0.57174700000000001</c:v>
                </c:pt>
                <c:pt idx="232">
                  <c:v>0.56671099999999996</c:v>
                </c:pt>
                <c:pt idx="233">
                  <c:v>0.56167599999999995</c:v>
                </c:pt>
                <c:pt idx="234">
                  <c:v>0.55664100000000005</c:v>
                </c:pt>
                <c:pt idx="235">
                  <c:v>0.55160500000000001</c:v>
                </c:pt>
                <c:pt idx="236">
                  <c:v>0.54657</c:v>
                </c:pt>
                <c:pt idx="237">
                  <c:v>0.54153399999999996</c:v>
                </c:pt>
                <c:pt idx="238">
                  <c:v>0.53649899999999995</c:v>
                </c:pt>
                <c:pt idx="239">
                  <c:v>0.53146400000000005</c:v>
                </c:pt>
                <c:pt idx="240">
                  <c:v>0.52642800000000001</c:v>
                </c:pt>
                <c:pt idx="241">
                  <c:v>0.521393</c:v>
                </c:pt>
                <c:pt idx="242">
                  <c:v>0.51635699999999995</c:v>
                </c:pt>
                <c:pt idx="243">
                  <c:v>0.51132200000000005</c:v>
                </c:pt>
                <c:pt idx="244">
                  <c:v>0.50628700000000004</c:v>
                </c:pt>
                <c:pt idx="245">
                  <c:v>0.501251</c:v>
                </c:pt>
                <c:pt idx="246">
                  <c:v>0.49621599999999999</c:v>
                </c:pt>
                <c:pt idx="247">
                  <c:v>0.49118000000000001</c:v>
                </c:pt>
                <c:pt idx="248">
                  <c:v>0.48614499999999999</c:v>
                </c:pt>
                <c:pt idx="249">
                  <c:v>0.48110999999999998</c:v>
                </c:pt>
                <c:pt idx="250">
                  <c:v>0.476074</c:v>
                </c:pt>
                <c:pt idx="251">
                  <c:v>0.47103899999999999</c:v>
                </c:pt>
                <c:pt idx="252">
                  <c:v>0.466003</c:v>
                </c:pt>
                <c:pt idx="253">
                  <c:v>0.46096799999999999</c:v>
                </c:pt>
                <c:pt idx="254">
                  <c:v>0.45593299999999998</c:v>
                </c:pt>
                <c:pt idx="255">
                  <c:v>0.45089699999999999</c:v>
                </c:pt>
                <c:pt idx="256">
                  <c:v>0.44586199999999998</c:v>
                </c:pt>
                <c:pt idx="257">
                  <c:v>0.440826</c:v>
                </c:pt>
                <c:pt idx="258">
                  <c:v>0.43579099999999998</c:v>
                </c:pt>
                <c:pt idx="259">
                  <c:v>0.43075600000000003</c:v>
                </c:pt>
                <c:pt idx="260">
                  <c:v>0.42571999999999999</c:v>
                </c:pt>
                <c:pt idx="261">
                  <c:v>0.42068499999999998</c:v>
                </c:pt>
                <c:pt idx="262">
                  <c:v>0.41564899999999999</c:v>
                </c:pt>
                <c:pt idx="263">
                  <c:v>0.41061399999999998</c:v>
                </c:pt>
                <c:pt idx="264">
                  <c:v>0.40557900000000002</c:v>
                </c:pt>
                <c:pt idx="265">
                  <c:v>0.40054299999999998</c:v>
                </c:pt>
                <c:pt idx="266">
                  <c:v>0.39550800000000003</c:v>
                </c:pt>
                <c:pt idx="267">
                  <c:v>0.39047199999999999</c:v>
                </c:pt>
                <c:pt idx="268">
                  <c:v>0.38543699999999997</c:v>
                </c:pt>
                <c:pt idx="269">
                  <c:v>0.38040200000000002</c:v>
                </c:pt>
                <c:pt idx="270">
                  <c:v>0.37536599999999998</c:v>
                </c:pt>
                <c:pt idx="271">
                  <c:v>0.37033100000000002</c:v>
                </c:pt>
                <c:pt idx="272">
                  <c:v>0.36529499999999998</c:v>
                </c:pt>
                <c:pt idx="273">
                  <c:v>0.36026000000000002</c:v>
                </c:pt>
                <c:pt idx="274">
                  <c:v>0.35522500000000001</c:v>
                </c:pt>
                <c:pt idx="275">
                  <c:v>0.35018899999999997</c:v>
                </c:pt>
                <c:pt idx="276">
                  <c:v>0.34515400000000002</c:v>
                </c:pt>
                <c:pt idx="277">
                  <c:v>0.34011799999999998</c:v>
                </c:pt>
                <c:pt idx="278">
                  <c:v>0.33508300000000002</c:v>
                </c:pt>
                <c:pt idx="279">
                  <c:v>0.33004800000000001</c:v>
                </c:pt>
                <c:pt idx="280">
                  <c:v>0.32501200000000002</c:v>
                </c:pt>
                <c:pt idx="281">
                  <c:v>0.31997700000000001</c:v>
                </c:pt>
                <c:pt idx="282">
                  <c:v>0.31494100000000003</c:v>
                </c:pt>
                <c:pt idx="283">
                  <c:v>0.30990600000000001</c:v>
                </c:pt>
                <c:pt idx="284">
                  <c:v>0.304871</c:v>
                </c:pt>
                <c:pt idx="285">
                  <c:v>0.29983500000000002</c:v>
                </c:pt>
                <c:pt idx="286">
                  <c:v>0.29480000000000001</c:v>
                </c:pt>
                <c:pt idx="287">
                  <c:v>0.28976400000000002</c:v>
                </c:pt>
                <c:pt idx="288">
                  <c:v>0.28472900000000001</c:v>
                </c:pt>
                <c:pt idx="289">
                  <c:v>0.279694</c:v>
                </c:pt>
                <c:pt idx="290">
                  <c:v>0.27465800000000001</c:v>
                </c:pt>
                <c:pt idx="291">
                  <c:v>0.269623</c:v>
                </c:pt>
                <c:pt idx="292">
                  <c:v>0.26458700000000002</c:v>
                </c:pt>
                <c:pt idx="293">
                  <c:v>0.259552</c:v>
                </c:pt>
                <c:pt idx="294">
                  <c:v>0.25451699999999999</c:v>
                </c:pt>
                <c:pt idx="295">
                  <c:v>0.24948100000000001</c:v>
                </c:pt>
                <c:pt idx="296">
                  <c:v>0.244446</c:v>
                </c:pt>
                <c:pt idx="297">
                  <c:v>0.23941000000000001</c:v>
                </c:pt>
                <c:pt idx="298">
                  <c:v>0.234375</c:v>
                </c:pt>
                <c:pt idx="299">
                  <c:v>0.22933999999999999</c:v>
                </c:pt>
                <c:pt idx="300">
                  <c:v>0.224304</c:v>
                </c:pt>
                <c:pt idx="301">
                  <c:v>0.21926899999999999</c:v>
                </c:pt>
                <c:pt idx="302">
                  <c:v>0.21423300000000001</c:v>
                </c:pt>
                <c:pt idx="303">
                  <c:v>0.209198</c:v>
                </c:pt>
                <c:pt idx="304">
                  <c:v>0.20416300000000001</c:v>
                </c:pt>
                <c:pt idx="305">
                  <c:v>0.199127</c:v>
                </c:pt>
                <c:pt idx="306">
                  <c:v>0.19409199999999999</c:v>
                </c:pt>
                <c:pt idx="307">
                  <c:v>0.189056</c:v>
                </c:pt>
                <c:pt idx="308">
                  <c:v>0.18402099999999999</c:v>
                </c:pt>
                <c:pt idx="309">
                  <c:v>0.17898600000000001</c:v>
                </c:pt>
                <c:pt idx="310">
                  <c:v>0.17394999999999999</c:v>
                </c:pt>
                <c:pt idx="311">
                  <c:v>0.16891500000000001</c:v>
                </c:pt>
                <c:pt idx="312">
                  <c:v>0.163879</c:v>
                </c:pt>
                <c:pt idx="313">
                  <c:v>0.15884400000000001</c:v>
                </c:pt>
                <c:pt idx="314">
                  <c:v>0.153809</c:v>
                </c:pt>
                <c:pt idx="315">
                  <c:v>0.14877299999999999</c:v>
                </c:pt>
                <c:pt idx="316">
                  <c:v>0.143738</c:v>
                </c:pt>
                <c:pt idx="317">
                  <c:v>0.13870199999999999</c:v>
                </c:pt>
                <c:pt idx="318">
                  <c:v>0.13366700000000001</c:v>
                </c:pt>
                <c:pt idx="319">
                  <c:v>0.128632</c:v>
                </c:pt>
                <c:pt idx="320">
                  <c:v>0.123596</c:v>
                </c:pt>
                <c:pt idx="321">
                  <c:v>0.118561</c:v>
                </c:pt>
                <c:pt idx="322">
                  <c:v>0.113525</c:v>
                </c:pt>
                <c:pt idx="323">
                  <c:v>0.10849</c:v>
                </c:pt>
                <c:pt idx="324">
                  <c:v>0.10345500000000001</c:v>
                </c:pt>
                <c:pt idx="325">
                  <c:v>9.8419199999999998E-2</c:v>
                </c:pt>
                <c:pt idx="326">
                  <c:v>9.3383800000000003E-2</c:v>
                </c:pt>
                <c:pt idx="327">
                  <c:v>8.8348399999999994E-2</c:v>
                </c:pt>
                <c:pt idx="328">
                  <c:v>8.3312999999999998E-2</c:v>
                </c:pt>
                <c:pt idx="329">
                  <c:v>7.8277600000000003E-2</c:v>
                </c:pt>
                <c:pt idx="330">
                  <c:v>7.3242199999999993E-2</c:v>
                </c:pt>
                <c:pt idx="331">
                  <c:v>6.8206799999999998E-2</c:v>
                </c:pt>
                <c:pt idx="332">
                  <c:v>6.3171400000000003E-2</c:v>
                </c:pt>
                <c:pt idx="333">
                  <c:v>5.8136E-2</c:v>
                </c:pt>
                <c:pt idx="334">
                  <c:v>5.3100599999999998E-2</c:v>
                </c:pt>
                <c:pt idx="335">
                  <c:v>4.8065200000000002E-2</c:v>
                </c:pt>
                <c:pt idx="336">
                  <c:v>4.30298E-2</c:v>
                </c:pt>
                <c:pt idx="337">
                  <c:v>3.7994399999999998E-2</c:v>
                </c:pt>
                <c:pt idx="338">
                  <c:v>3.2959000000000002E-2</c:v>
                </c:pt>
                <c:pt idx="339">
                  <c:v>2.79236E-2</c:v>
                </c:pt>
                <c:pt idx="340">
                  <c:v>2.2888200000000001E-2</c:v>
                </c:pt>
                <c:pt idx="341">
                  <c:v>1.7852799999999999E-2</c:v>
                </c:pt>
                <c:pt idx="342">
                  <c:v>1.28174E-2</c:v>
                </c:pt>
                <c:pt idx="343">
                  <c:v>7.78198E-3</c:v>
                </c:pt>
                <c:pt idx="344">
                  <c:v>2.7465800000000002E-3</c:v>
                </c:pt>
                <c:pt idx="345">
                  <c:v>-2.28882E-3</c:v>
                </c:pt>
                <c:pt idx="346">
                  <c:v>-7.3242200000000002E-3</c:v>
                </c:pt>
                <c:pt idx="347">
                  <c:v>-1.23596E-2</c:v>
                </c:pt>
                <c:pt idx="348">
                  <c:v>-1.7395000000000001E-2</c:v>
                </c:pt>
                <c:pt idx="349">
                  <c:v>-2.24304E-2</c:v>
                </c:pt>
                <c:pt idx="350">
                  <c:v>-2.7465799999999999E-2</c:v>
                </c:pt>
                <c:pt idx="351">
                  <c:v>-3.2501200000000001E-2</c:v>
                </c:pt>
                <c:pt idx="352">
                  <c:v>-3.7536600000000003E-2</c:v>
                </c:pt>
                <c:pt idx="353">
                  <c:v>-4.2571999999999999E-2</c:v>
                </c:pt>
                <c:pt idx="354">
                  <c:v>-4.7607400000000001E-2</c:v>
                </c:pt>
                <c:pt idx="355">
                  <c:v>-5.2642799999999997E-2</c:v>
                </c:pt>
                <c:pt idx="356">
                  <c:v>-5.7678199999999999E-2</c:v>
                </c:pt>
                <c:pt idx="357">
                  <c:v>-6.2713599999999994E-2</c:v>
                </c:pt>
                <c:pt idx="358">
                  <c:v>-6.7749000000000004E-2</c:v>
                </c:pt>
                <c:pt idx="359">
                  <c:v>-7.2784399999999999E-2</c:v>
                </c:pt>
                <c:pt idx="360">
                  <c:v>-7.7819799999999995E-2</c:v>
                </c:pt>
                <c:pt idx="361">
                  <c:v>-8.2855200000000004E-2</c:v>
                </c:pt>
                <c:pt idx="362">
                  <c:v>-8.7890599999999999E-2</c:v>
                </c:pt>
                <c:pt idx="363">
                  <c:v>-9.2925999999999995E-2</c:v>
                </c:pt>
                <c:pt idx="364">
                  <c:v>-9.7961400000000004E-2</c:v>
                </c:pt>
                <c:pt idx="365">
                  <c:v>-0.10299700000000001</c:v>
                </c:pt>
              </c:numCache>
            </c:numRef>
          </c:xVal>
          <c:yVal>
            <c:numRef>
              <c:f>'20221202T090000'!$AV$11:$AV$398</c:f>
              <c:numCache>
                <c:formatCode>General</c:formatCode>
                <c:ptCount val="388"/>
                <c:pt idx="0">
                  <c:v>-13.356172839506172</c:v>
                </c:pt>
                <c:pt idx="1">
                  <c:v>-10.251641975308642</c:v>
                </c:pt>
                <c:pt idx="2">
                  <c:v>-7.3920370370370376</c:v>
                </c:pt>
                <c:pt idx="3">
                  <c:v>-4.782592592592593</c:v>
                </c:pt>
                <c:pt idx="4">
                  <c:v>-2.4093827160493824</c:v>
                </c:pt>
                <c:pt idx="5">
                  <c:v>-0.31938024691358025</c:v>
                </c:pt>
                <c:pt idx="6">
                  <c:v>1.4753950617283949</c:v>
                </c:pt>
                <c:pt idx="7">
                  <c:v>2.9764074074074074</c:v>
                </c:pt>
                <c:pt idx="8">
                  <c:v>4.2494814814814816</c:v>
                </c:pt>
                <c:pt idx="9">
                  <c:v>5.3277654320987651</c:v>
                </c:pt>
                <c:pt idx="10">
                  <c:v>6.2466790123456777</c:v>
                </c:pt>
                <c:pt idx="11">
                  <c:v>7.0416543209876536</c:v>
                </c:pt>
                <c:pt idx="12">
                  <c:v>7.7424197530864189</c:v>
                </c:pt>
                <c:pt idx="13">
                  <c:v>8.3791481481481469</c:v>
                </c:pt>
                <c:pt idx="14">
                  <c:v>8.9480493827160483</c:v>
                </c:pt>
                <c:pt idx="15">
                  <c:v>9.4642222222222205</c:v>
                </c:pt>
                <c:pt idx="16">
                  <c:v>9.9238641975308628</c:v>
                </c:pt>
                <c:pt idx="17">
                  <c:v>10.357135802469136</c:v>
                </c:pt>
                <c:pt idx="18">
                  <c:v>10.737666666666666</c:v>
                </c:pt>
                <c:pt idx="19">
                  <c:v>11.099358024691359</c:v>
                </c:pt>
                <c:pt idx="20">
                  <c:v>11.434666666666667</c:v>
                </c:pt>
                <c:pt idx="21">
                  <c:v>11.739851851851853</c:v>
                </c:pt>
                <c:pt idx="22">
                  <c:v>12.033716049382717</c:v>
                </c:pt>
                <c:pt idx="23">
                  <c:v>12.312518518518518</c:v>
                </c:pt>
                <c:pt idx="24">
                  <c:v>12.561234567901234</c:v>
                </c:pt>
                <c:pt idx="25">
                  <c:v>12.806049382716049</c:v>
                </c:pt>
                <c:pt idx="26">
                  <c:v>13.032098765432098</c:v>
                </c:pt>
                <c:pt idx="27">
                  <c:v>13.246913580246913</c:v>
                </c:pt>
                <c:pt idx="28">
                  <c:v>13.431481481481482</c:v>
                </c:pt>
                <c:pt idx="29">
                  <c:v>13.619876543209877</c:v>
                </c:pt>
                <c:pt idx="30">
                  <c:v>13.796913580246912</c:v>
                </c:pt>
                <c:pt idx="31">
                  <c:v>13.959012345679012</c:v>
                </c:pt>
                <c:pt idx="32">
                  <c:v>14.113456790123456</c:v>
                </c:pt>
                <c:pt idx="33">
                  <c:v>14.260370370370369</c:v>
                </c:pt>
                <c:pt idx="34">
                  <c:v>14.407283950617282</c:v>
                </c:pt>
                <c:pt idx="35">
                  <c:v>14.535432098765432</c:v>
                </c:pt>
                <c:pt idx="36">
                  <c:v>14.652222222222221</c:v>
                </c:pt>
                <c:pt idx="37">
                  <c:v>14.776543209876543</c:v>
                </c:pt>
                <c:pt idx="38">
                  <c:v>14.89716049382716</c:v>
                </c:pt>
                <c:pt idx="39">
                  <c:v>15.006419753086417</c:v>
                </c:pt>
                <c:pt idx="40">
                  <c:v>15.096790123456788</c:v>
                </c:pt>
                <c:pt idx="41">
                  <c:v>15.198518518518517</c:v>
                </c:pt>
                <c:pt idx="42">
                  <c:v>15.285185185185183</c:v>
                </c:pt>
                <c:pt idx="43">
                  <c:v>15.36432098765432</c:v>
                </c:pt>
                <c:pt idx="44">
                  <c:v>15.454691358024689</c:v>
                </c:pt>
                <c:pt idx="45">
                  <c:v>15.53753086419753</c:v>
                </c:pt>
                <c:pt idx="46">
                  <c:v>15.609135802469137</c:v>
                </c:pt>
                <c:pt idx="47">
                  <c:v>15.67320987654321</c:v>
                </c:pt>
                <c:pt idx="48">
                  <c:v>15.748518518518516</c:v>
                </c:pt>
                <c:pt idx="49">
                  <c:v>15.816419753086418</c:v>
                </c:pt>
                <c:pt idx="50">
                  <c:v>15.869135802469136</c:v>
                </c:pt>
                <c:pt idx="51">
                  <c:v>15.925679012345679</c:v>
                </c:pt>
                <c:pt idx="52">
                  <c:v>15.985925925925924</c:v>
                </c:pt>
                <c:pt idx="53">
                  <c:v>16.034938271604936</c:v>
                </c:pt>
                <c:pt idx="54">
                  <c:v>16.087654320987653</c:v>
                </c:pt>
                <c:pt idx="55">
                  <c:v>16.136666666666663</c:v>
                </c:pt>
                <c:pt idx="56">
                  <c:v>16.193209876543211</c:v>
                </c:pt>
                <c:pt idx="57">
                  <c:v>16.238395061728394</c:v>
                </c:pt>
                <c:pt idx="58">
                  <c:v>16.287283950617283</c:v>
                </c:pt>
                <c:pt idx="59">
                  <c:v>16.32506172839506</c:v>
                </c:pt>
                <c:pt idx="60">
                  <c:v>16.373950617283949</c:v>
                </c:pt>
                <c:pt idx="61">
                  <c:v>16.430493827160493</c:v>
                </c:pt>
                <c:pt idx="62">
                  <c:v>16.487037037037037</c:v>
                </c:pt>
                <c:pt idx="63">
                  <c:v>16.558641975308642</c:v>
                </c:pt>
                <c:pt idx="64">
                  <c:v>16.607530864197528</c:v>
                </c:pt>
                <c:pt idx="65">
                  <c:v>16.637777777777774</c:v>
                </c:pt>
                <c:pt idx="66">
                  <c:v>16.671604938271606</c:v>
                </c:pt>
                <c:pt idx="67">
                  <c:v>16.713086419753086</c:v>
                </c:pt>
                <c:pt idx="68">
                  <c:v>16.750740740740738</c:v>
                </c:pt>
                <c:pt idx="69">
                  <c:v>16.77333333333333</c:v>
                </c:pt>
                <c:pt idx="70">
                  <c:v>16.788395061728394</c:v>
                </c:pt>
                <c:pt idx="71">
                  <c:v>16.810987654320986</c:v>
                </c:pt>
                <c:pt idx="72">
                  <c:v>16.837407407407408</c:v>
                </c:pt>
                <c:pt idx="73">
                  <c:v>16.86753086419753</c:v>
                </c:pt>
                <c:pt idx="74">
                  <c:v>16.886419753086418</c:v>
                </c:pt>
                <c:pt idx="75">
                  <c:v>16.901481481481479</c:v>
                </c:pt>
                <c:pt idx="76">
                  <c:v>16.931604938271605</c:v>
                </c:pt>
                <c:pt idx="77">
                  <c:v>16.976790123456787</c:v>
                </c:pt>
                <c:pt idx="78">
                  <c:v>16.999382716049382</c:v>
                </c:pt>
                <c:pt idx="79">
                  <c:v>17.014444444444443</c:v>
                </c:pt>
                <c:pt idx="80">
                  <c:v>17.021975308641974</c:v>
                </c:pt>
                <c:pt idx="81">
                  <c:v>17.018271604938271</c:v>
                </c:pt>
                <c:pt idx="82">
                  <c:v>17.029506172839504</c:v>
                </c:pt>
                <c:pt idx="83">
                  <c:v>17.040864197530862</c:v>
                </c:pt>
                <c:pt idx="84">
                  <c:v>17.040864197530862</c:v>
                </c:pt>
                <c:pt idx="85">
                  <c:v>17.048395061728392</c:v>
                </c:pt>
                <c:pt idx="86">
                  <c:v>17.067283950617281</c:v>
                </c:pt>
                <c:pt idx="87">
                  <c:v>17.104938271604937</c:v>
                </c:pt>
                <c:pt idx="88">
                  <c:v>17.127530864197528</c:v>
                </c:pt>
                <c:pt idx="89">
                  <c:v>17.135061728395058</c:v>
                </c:pt>
                <c:pt idx="90">
                  <c:v>17.138765432098765</c:v>
                </c:pt>
                <c:pt idx="91">
                  <c:v>17.146296296296295</c:v>
                </c:pt>
                <c:pt idx="92">
                  <c:v>17.157654320987653</c:v>
                </c:pt>
                <c:pt idx="93">
                  <c:v>17.161481481481481</c:v>
                </c:pt>
                <c:pt idx="94">
                  <c:v>17.176543209876542</c:v>
                </c:pt>
                <c:pt idx="95">
                  <c:v>17.184074074074076</c:v>
                </c:pt>
                <c:pt idx="96">
                  <c:v>17.187777777777779</c:v>
                </c:pt>
                <c:pt idx="97">
                  <c:v>17.21037037037037</c:v>
                </c:pt>
                <c:pt idx="98">
                  <c:v>17.225432098765431</c:v>
                </c:pt>
                <c:pt idx="99">
                  <c:v>17.232962962962961</c:v>
                </c:pt>
                <c:pt idx="100">
                  <c:v>17.229259259259258</c:v>
                </c:pt>
                <c:pt idx="101">
                  <c:v>17.244320987654319</c:v>
                </c:pt>
                <c:pt idx="102">
                  <c:v>17.244320987654319</c:v>
                </c:pt>
                <c:pt idx="103">
                  <c:v>17.248024691358022</c:v>
                </c:pt>
                <c:pt idx="104">
                  <c:v>17.263209876543208</c:v>
                </c:pt>
                <c:pt idx="105">
                  <c:v>17.251851851851853</c:v>
                </c:pt>
                <c:pt idx="106">
                  <c:v>17.266913580246914</c:v>
                </c:pt>
                <c:pt idx="107">
                  <c:v>17.270740740740738</c:v>
                </c:pt>
                <c:pt idx="108">
                  <c:v>17.281975308641975</c:v>
                </c:pt>
                <c:pt idx="109">
                  <c:v>17.293333333333333</c:v>
                </c:pt>
                <c:pt idx="110">
                  <c:v>17.304567901234567</c:v>
                </c:pt>
                <c:pt idx="111">
                  <c:v>17.334691358024692</c:v>
                </c:pt>
                <c:pt idx="112">
                  <c:v>17.34604938271605</c:v>
                </c:pt>
                <c:pt idx="113">
                  <c:v>17.361111111111111</c:v>
                </c:pt>
                <c:pt idx="114">
                  <c:v>17.364938271604938</c:v>
                </c:pt>
                <c:pt idx="115">
                  <c:v>17.364938271604938</c:v>
                </c:pt>
                <c:pt idx="116">
                  <c:v>17.349753086419753</c:v>
                </c:pt>
                <c:pt idx="117">
                  <c:v>17.342222222222222</c:v>
                </c:pt>
                <c:pt idx="118">
                  <c:v>17.319629629629631</c:v>
                </c:pt>
                <c:pt idx="119">
                  <c:v>17.319629629629631</c:v>
                </c:pt>
                <c:pt idx="120">
                  <c:v>17.338518518518516</c:v>
                </c:pt>
                <c:pt idx="121">
                  <c:v>17.349753086419753</c:v>
                </c:pt>
                <c:pt idx="122">
                  <c:v>17.361111111111111</c:v>
                </c:pt>
                <c:pt idx="123">
                  <c:v>17.383703703703702</c:v>
                </c:pt>
                <c:pt idx="124">
                  <c:v>17.383703703703702</c:v>
                </c:pt>
                <c:pt idx="125">
                  <c:v>17.39506172839506</c:v>
                </c:pt>
                <c:pt idx="126">
                  <c:v>17.406296296296293</c:v>
                </c:pt>
                <c:pt idx="127">
                  <c:v>17.410123456790124</c:v>
                </c:pt>
                <c:pt idx="128">
                  <c:v>17.417654320987655</c:v>
                </c:pt>
                <c:pt idx="129">
                  <c:v>17.421358024691358</c:v>
                </c:pt>
                <c:pt idx="130">
                  <c:v>17.440246913580246</c:v>
                </c:pt>
                <c:pt idx="131">
                  <c:v>17.447777777777777</c:v>
                </c:pt>
                <c:pt idx="132">
                  <c:v>17.436419753086419</c:v>
                </c:pt>
                <c:pt idx="133">
                  <c:v>17.443950617283949</c:v>
                </c:pt>
                <c:pt idx="134">
                  <c:v>17.45148148148148</c:v>
                </c:pt>
                <c:pt idx="135">
                  <c:v>17.481728395061729</c:v>
                </c:pt>
                <c:pt idx="136">
                  <c:v>17.489259259259256</c:v>
                </c:pt>
                <c:pt idx="137">
                  <c:v>17.515555555555554</c:v>
                </c:pt>
                <c:pt idx="138">
                  <c:v>17.538148148148146</c:v>
                </c:pt>
                <c:pt idx="139">
                  <c:v>17.534444444444443</c:v>
                </c:pt>
                <c:pt idx="140">
                  <c:v>17.526913580246916</c:v>
                </c:pt>
                <c:pt idx="141">
                  <c:v>17.530617283950615</c:v>
                </c:pt>
                <c:pt idx="142">
                  <c:v>17.534444444444443</c:v>
                </c:pt>
                <c:pt idx="143">
                  <c:v>17.530617283950615</c:v>
                </c:pt>
                <c:pt idx="144">
                  <c:v>17.526913580246916</c:v>
                </c:pt>
                <c:pt idx="145">
                  <c:v>17.523086419753085</c:v>
                </c:pt>
                <c:pt idx="146">
                  <c:v>17.515555555555554</c:v>
                </c:pt>
                <c:pt idx="147">
                  <c:v>17.508024691358024</c:v>
                </c:pt>
                <c:pt idx="148">
                  <c:v>17.508024691358024</c:v>
                </c:pt>
                <c:pt idx="149">
                  <c:v>17.511851851851851</c:v>
                </c:pt>
                <c:pt idx="150">
                  <c:v>17.523086419753085</c:v>
                </c:pt>
                <c:pt idx="151">
                  <c:v>17.530617283950615</c:v>
                </c:pt>
                <c:pt idx="152">
                  <c:v>17.534444444444443</c:v>
                </c:pt>
                <c:pt idx="153">
                  <c:v>17.538148148148146</c:v>
                </c:pt>
                <c:pt idx="154">
                  <c:v>17.54567901234568</c:v>
                </c:pt>
                <c:pt idx="155">
                  <c:v>17.557037037037034</c:v>
                </c:pt>
                <c:pt idx="156">
                  <c:v>17.572098765432099</c:v>
                </c:pt>
                <c:pt idx="157">
                  <c:v>17.575925925925926</c:v>
                </c:pt>
                <c:pt idx="158">
                  <c:v>17.557037037037034</c:v>
                </c:pt>
                <c:pt idx="159">
                  <c:v>17.564567901234565</c:v>
                </c:pt>
                <c:pt idx="160">
                  <c:v>17.564567901234565</c:v>
                </c:pt>
                <c:pt idx="161">
                  <c:v>17.572098765432099</c:v>
                </c:pt>
                <c:pt idx="162">
                  <c:v>17.579629629629629</c:v>
                </c:pt>
                <c:pt idx="163">
                  <c:v>17.583456790123453</c:v>
                </c:pt>
                <c:pt idx="164">
                  <c:v>17.594691358024694</c:v>
                </c:pt>
                <c:pt idx="165">
                  <c:v>17.606049382716048</c:v>
                </c:pt>
                <c:pt idx="166">
                  <c:v>17.617283950617285</c:v>
                </c:pt>
                <c:pt idx="167">
                  <c:v>17.598518518518517</c:v>
                </c:pt>
                <c:pt idx="168">
                  <c:v>17.58716049382716</c:v>
                </c:pt>
                <c:pt idx="169">
                  <c:v>17.590987654320987</c:v>
                </c:pt>
                <c:pt idx="170">
                  <c:v>17.590987654320987</c:v>
                </c:pt>
                <c:pt idx="171">
                  <c:v>17.594691358024694</c:v>
                </c:pt>
                <c:pt idx="172">
                  <c:v>17.60222222222222</c:v>
                </c:pt>
                <c:pt idx="173">
                  <c:v>17.621111111111112</c:v>
                </c:pt>
                <c:pt idx="174">
                  <c:v>17.617283950617285</c:v>
                </c:pt>
                <c:pt idx="175">
                  <c:v>17.609753086419751</c:v>
                </c:pt>
                <c:pt idx="176">
                  <c:v>17.613580246913582</c:v>
                </c:pt>
                <c:pt idx="177">
                  <c:v>17.632345679012342</c:v>
                </c:pt>
                <c:pt idx="178">
                  <c:v>17.662469135802468</c:v>
                </c:pt>
                <c:pt idx="179">
                  <c:v>17.666296296296295</c:v>
                </c:pt>
                <c:pt idx="180">
                  <c:v>17.666296296296295</c:v>
                </c:pt>
                <c:pt idx="181">
                  <c:v>17.669999999999998</c:v>
                </c:pt>
                <c:pt idx="182">
                  <c:v>17.666296296296295</c:v>
                </c:pt>
                <c:pt idx="183">
                  <c:v>17.658765432098765</c:v>
                </c:pt>
                <c:pt idx="184">
                  <c:v>17.651234567901231</c:v>
                </c:pt>
                <c:pt idx="185">
                  <c:v>17.651234567901231</c:v>
                </c:pt>
                <c:pt idx="186">
                  <c:v>17.628641975308639</c:v>
                </c:pt>
                <c:pt idx="187">
                  <c:v>17.639876543209876</c:v>
                </c:pt>
                <c:pt idx="188">
                  <c:v>17.636172839506173</c:v>
                </c:pt>
                <c:pt idx="189">
                  <c:v>17.636172839506173</c:v>
                </c:pt>
                <c:pt idx="190">
                  <c:v>17.647407407407407</c:v>
                </c:pt>
                <c:pt idx="191">
                  <c:v>17.643703703703704</c:v>
                </c:pt>
                <c:pt idx="192">
                  <c:v>17.632345679012342</c:v>
                </c:pt>
                <c:pt idx="193">
                  <c:v>17.632345679012342</c:v>
                </c:pt>
                <c:pt idx="194">
                  <c:v>17.636172839506173</c:v>
                </c:pt>
                <c:pt idx="195">
                  <c:v>17.651234567901231</c:v>
                </c:pt>
                <c:pt idx="196">
                  <c:v>17.669999999999998</c:v>
                </c:pt>
                <c:pt idx="197">
                  <c:v>17.685185185185183</c:v>
                </c:pt>
                <c:pt idx="198">
                  <c:v>17.68888888888889</c:v>
                </c:pt>
                <c:pt idx="199">
                  <c:v>17.677530864197529</c:v>
                </c:pt>
                <c:pt idx="200">
                  <c:v>17.662469135802468</c:v>
                </c:pt>
                <c:pt idx="201">
                  <c:v>17.654938271604937</c:v>
                </c:pt>
                <c:pt idx="202">
                  <c:v>17.658765432098765</c:v>
                </c:pt>
                <c:pt idx="203">
                  <c:v>17.636172839506173</c:v>
                </c:pt>
                <c:pt idx="204">
                  <c:v>17.624814814814812</c:v>
                </c:pt>
                <c:pt idx="205">
                  <c:v>17.624814814814812</c:v>
                </c:pt>
                <c:pt idx="206">
                  <c:v>17.624814814814812</c:v>
                </c:pt>
                <c:pt idx="207">
                  <c:v>17.636172839506173</c:v>
                </c:pt>
                <c:pt idx="208">
                  <c:v>17.636172839506173</c:v>
                </c:pt>
                <c:pt idx="209">
                  <c:v>17.654938271604937</c:v>
                </c:pt>
                <c:pt idx="210">
                  <c:v>17.666296296296295</c:v>
                </c:pt>
                <c:pt idx="211">
                  <c:v>17.673827160493826</c:v>
                </c:pt>
                <c:pt idx="212">
                  <c:v>17.673827160493826</c:v>
                </c:pt>
                <c:pt idx="213">
                  <c:v>17.669999999999998</c:v>
                </c:pt>
                <c:pt idx="214">
                  <c:v>17.685185185185183</c:v>
                </c:pt>
                <c:pt idx="215">
                  <c:v>17.692716049382714</c:v>
                </c:pt>
                <c:pt idx="216">
                  <c:v>17.692716049382714</c:v>
                </c:pt>
                <c:pt idx="217">
                  <c:v>17.685185185185183</c:v>
                </c:pt>
                <c:pt idx="218">
                  <c:v>17.677530864197529</c:v>
                </c:pt>
                <c:pt idx="219">
                  <c:v>17.677530864197529</c:v>
                </c:pt>
                <c:pt idx="220">
                  <c:v>17.677530864197529</c:v>
                </c:pt>
                <c:pt idx="221">
                  <c:v>17.68135802469136</c:v>
                </c:pt>
                <c:pt idx="222">
                  <c:v>17.692716049382714</c:v>
                </c:pt>
                <c:pt idx="223">
                  <c:v>17.69641975308642</c:v>
                </c:pt>
                <c:pt idx="224">
                  <c:v>17.707777777777778</c:v>
                </c:pt>
                <c:pt idx="225">
                  <c:v>17.703950617283951</c:v>
                </c:pt>
                <c:pt idx="226">
                  <c:v>17.700246913580244</c:v>
                </c:pt>
                <c:pt idx="227">
                  <c:v>17.68888888888889</c:v>
                </c:pt>
                <c:pt idx="228">
                  <c:v>17.68888888888889</c:v>
                </c:pt>
                <c:pt idx="229">
                  <c:v>17.685185185185183</c:v>
                </c:pt>
                <c:pt idx="230">
                  <c:v>17.677530864197529</c:v>
                </c:pt>
                <c:pt idx="231">
                  <c:v>17.69641975308642</c:v>
                </c:pt>
                <c:pt idx="232">
                  <c:v>17.707777777777778</c:v>
                </c:pt>
                <c:pt idx="233">
                  <c:v>17.715308641975309</c:v>
                </c:pt>
                <c:pt idx="234">
                  <c:v>17.722839506172836</c:v>
                </c:pt>
                <c:pt idx="235">
                  <c:v>17.73037037037037</c:v>
                </c:pt>
                <c:pt idx="236">
                  <c:v>17.734074074074073</c:v>
                </c:pt>
                <c:pt idx="237">
                  <c:v>17.715308641975309</c:v>
                </c:pt>
                <c:pt idx="238">
                  <c:v>17.715308641975309</c:v>
                </c:pt>
                <c:pt idx="239">
                  <c:v>17.700246913580244</c:v>
                </c:pt>
                <c:pt idx="240">
                  <c:v>17.700246913580244</c:v>
                </c:pt>
                <c:pt idx="241">
                  <c:v>17.707777777777778</c:v>
                </c:pt>
                <c:pt idx="242">
                  <c:v>17.715308641975309</c:v>
                </c:pt>
                <c:pt idx="243">
                  <c:v>17.734074074074073</c:v>
                </c:pt>
                <c:pt idx="244">
                  <c:v>17.741604938271603</c:v>
                </c:pt>
                <c:pt idx="245">
                  <c:v>17.745432098765431</c:v>
                </c:pt>
                <c:pt idx="246">
                  <c:v>17.745432098765431</c:v>
                </c:pt>
                <c:pt idx="247">
                  <c:v>17.741604938271603</c:v>
                </c:pt>
                <c:pt idx="248">
                  <c:v>17.7379012345679</c:v>
                </c:pt>
                <c:pt idx="249">
                  <c:v>17.7379012345679</c:v>
                </c:pt>
                <c:pt idx="250">
                  <c:v>17.741604938271603</c:v>
                </c:pt>
                <c:pt idx="251">
                  <c:v>17.745432098765431</c:v>
                </c:pt>
                <c:pt idx="252">
                  <c:v>17.741604938271603</c:v>
                </c:pt>
                <c:pt idx="253">
                  <c:v>17.73037037037037</c:v>
                </c:pt>
                <c:pt idx="254">
                  <c:v>17.707777777777778</c:v>
                </c:pt>
                <c:pt idx="255">
                  <c:v>17.707777777777778</c:v>
                </c:pt>
                <c:pt idx="256">
                  <c:v>17.707777777777778</c:v>
                </c:pt>
                <c:pt idx="257">
                  <c:v>17.707777777777778</c:v>
                </c:pt>
                <c:pt idx="258">
                  <c:v>17.711481481481481</c:v>
                </c:pt>
                <c:pt idx="259">
                  <c:v>17.692716049382714</c:v>
                </c:pt>
                <c:pt idx="260">
                  <c:v>17.685185185185183</c:v>
                </c:pt>
                <c:pt idx="261">
                  <c:v>17.692716049382714</c:v>
                </c:pt>
                <c:pt idx="262">
                  <c:v>17.700246913580244</c:v>
                </c:pt>
                <c:pt idx="263">
                  <c:v>17.700246913580244</c:v>
                </c:pt>
                <c:pt idx="264">
                  <c:v>17.703950617283951</c:v>
                </c:pt>
                <c:pt idx="265">
                  <c:v>17.722839506172836</c:v>
                </c:pt>
                <c:pt idx="266">
                  <c:v>17.7379012345679</c:v>
                </c:pt>
                <c:pt idx="267">
                  <c:v>17.749135802469137</c:v>
                </c:pt>
                <c:pt idx="268">
                  <c:v>17.760493827160492</c:v>
                </c:pt>
                <c:pt idx="269">
                  <c:v>17.771728395061729</c:v>
                </c:pt>
                <c:pt idx="270">
                  <c:v>17.768024691358022</c:v>
                </c:pt>
                <c:pt idx="271">
                  <c:v>17.752962962962961</c:v>
                </c:pt>
                <c:pt idx="272">
                  <c:v>17.756666666666668</c:v>
                </c:pt>
                <c:pt idx="273">
                  <c:v>17.756666666666668</c:v>
                </c:pt>
                <c:pt idx="274">
                  <c:v>17.764197530864198</c:v>
                </c:pt>
                <c:pt idx="275">
                  <c:v>17.764197530864198</c:v>
                </c:pt>
                <c:pt idx="276">
                  <c:v>17.756666666666668</c:v>
                </c:pt>
                <c:pt idx="277">
                  <c:v>17.752962962962961</c:v>
                </c:pt>
                <c:pt idx="278">
                  <c:v>17.749135802469137</c:v>
                </c:pt>
                <c:pt idx="279">
                  <c:v>17.741604938271603</c:v>
                </c:pt>
                <c:pt idx="280">
                  <c:v>17.734074074074073</c:v>
                </c:pt>
                <c:pt idx="281">
                  <c:v>17.726543209876542</c:v>
                </c:pt>
                <c:pt idx="282">
                  <c:v>17.73037037037037</c:v>
                </c:pt>
                <c:pt idx="283">
                  <c:v>17.756666666666668</c:v>
                </c:pt>
                <c:pt idx="284">
                  <c:v>17.756666666666668</c:v>
                </c:pt>
                <c:pt idx="285">
                  <c:v>17.752962962962961</c:v>
                </c:pt>
                <c:pt idx="286">
                  <c:v>17.764197530864198</c:v>
                </c:pt>
                <c:pt idx="287">
                  <c:v>17.741604938271603</c:v>
                </c:pt>
                <c:pt idx="288">
                  <c:v>17.741604938271603</c:v>
                </c:pt>
                <c:pt idx="289">
                  <c:v>17.741604938271603</c:v>
                </c:pt>
                <c:pt idx="290">
                  <c:v>17.726543209876542</c:v>
                </c:pt>
                <c:pt idx="291">
                  <c:v>17.722839506172836</c:v>
                </c:pt>
                <c:pt idx="292">
                  <c:v>17.726543209876542</c:v>
                </c:pt>
                <c:pt idx="293">
                  <c:v>17.734074074074073</c:v>
                </c:pt>
                <c:pt idx="294">
                  <c:v>17.749135802469137</c:v>
                </c:pt>
                <c:pt idx="295">
                  <c:v>17.756666666666668</c:v>
                </c:pt>
                <c:pt idx="296">
                  <c:v>17.756666666666668</c:v>
                </c:pt>
                <c:pt idx="297">
                  <c:v>17.756666666666668</c:v>
                </c:pt>
                <c:pt idx="298">
                  <c:v>17.749135802469137</c:v>
                </c:pt>
                <c:pt idx="299">
                  <c:v>17.752962962962961</c:v>
                </c:pt>
                <c:pt idx="300">
                  <c:v>17.752962962962961</c:v>
                </c:pt>
                <c:pt idx="301">
                  <c:v>17.756666666666668</c:v>
                </c:pt>
                <c:pt idx="302">
                  <c:v>17.741604938271603</c:v>
                </c:pt>
                <c:pt idx="303">
                  <c:v>17.756666666666668</c:v>
                </c:pt>
                <c:pt idx="304">
                  <c:v>17.756666666666668</c:v>
                </c:pt>
                <c:pt idx="305">
                  <c:v>17.760493827160492</c:v>
                </c:pt>
                <c:pt idx="306">
                  <c:v>17.771728395061729</c:v>
                </c:pt>
                <c:pt idx="307">
                  <c:v>17.78679012345679</c:v>
                </c:pt>
                <c:pt idx="308">
                  <c:v>17.798148148148147</c:v>
                </c:pt>
                <c:pt idx="309">
                  <c:v>17.790617283950617</c:v>
                </c:pt>
                <c:pt idx="310">
                  <c:v>17.801975308641975</c:v>
                </c:pt>
                <c:pt idx="311">
                  <c:v>17.801975308641975</c:v>
                </c:pt>
                <c:pt idx="312">
                  <c:v>17.794444444444444</c:v>
                </c:pt>
                <c:pt idx="313">
                  <c:v>17.790617283950617</c:v>
                </c:pt>
                <c:pt idx="314">
                  <c:v>17.790617283950617</c:v>
                </c:pt>
                <c:pt idx="315">
                  <c:v>17.809506172839505</c:v>
                </c:pt>
                <c:pt idx="316">
                  <c:v>17.817037037037036</c:v>
                </c:pt>
                <c:pt idx="317">
                  <c:v>17.828271604938269</c:v>
                </c:pt>
                <c:pt idx="318">
                  <c:v>17.8358024691358</c:v>
                </c:pt>
                <c:pt idx="319">
                  <c:v>17.843333333333334</c:v>
                </c:pt>
                <c:pt idx="320">
                  <c:v>17.858395061728395</c:v>
                </c:pt>
                <c:pt idx="321">
                  <c:v>17.850864197530864</c:v>
                </c:pt>
                <c:pt idx="322">
                  <c:v>17.843333333333334</c:v>
                </c:pt>
                <c:pt idx="323">
                  <c:v>17.850864197530864</c:v>
                </c:pt>
                <c:pt idx="324">
                  <c:v>17.858395061728395</c:v>
                </c:pt>
                <c:pt idx="325">
                  <c:v>17.862222222222222</c:v>
                </c:pt>
                <c:pt idx="326">
                  <c:v>17.843333333333334</c:v>
                </c:pt>
                <c:pt idx="327">
                  <c:v>17.824567901234566</c:v>
                </c:pt>
                <c:pt idx="328">
                  <c:v>17.809506172839505</c:v>
                </c:pt>
                <c:pt idx="329">
                  <c:v>17.805679012345678</c:v>
                </c:pt>
                <c:pt idx="330">
                  <c:v>17.809506172839505</c:v>
                </c:pt>
                <c:pt idx="331">
                  <c:v>17.78679012345679</c:v>
                </c:pt>
                <c:pt idx="332">
                  <c:v>17.783086419753086</c:v>
                </c:pt>
                <c:pt idx="333">
                  <c:v>17.783086419753086</c:v>
                </c:pt>
                <c:pt idx="334">
                  <c:v>17.78679012345679</c:v>
                </c:pt>
                <c:pt idx="335">
                  <c:v>17.798148148148147</c:v>
                </c:pt>
                <c:pt idx="336">
                  <c:v>17.813209876543205</c:v>
                </c:pt>
                <c:pt idx="337">
                  <c:v>17.828271604938269</c:v>
                </c:pt>
                <c:pt idx="338">
                  <c:v>17.839629629629631</c:v>
                </c:pt>
                <c:pt idx="339">
                  <c:v>17.850864197530864</c:v>
                </c:pt>
                <c:pt idx="340">
                  <c:v>17.858395061728395</c:v>
                </c:pt>
                <c:pt idx="341">
                  <c:v>17.869753086419752</c:v>
                </c:pt>
                <c:pt idx="342">
                  <c:v>17.858395061728395</c:v>
                </c:pt>
                <c:pt idx="343">
                  <c:v>17.8358024691358</c:v>
                </c:pt>
                <c:pt idx="344">
                  <c:v>17.824567901234566</c:v>
                </c:pt>
                <c:pt idx="345">
                  <c:v>17.832098765432097</c:v>
                </c:pt>
                <c:pt idx="346">
                  <c:v>17.858395061728395</c:v>
                </c:pt>
                <c:pt idx="347">
                  <c:v>17.862222222222222</c:v>
                </c:pt>
                <c:pt idx="348">
                  <c:v>17.858395061728395</c:v>
                </c:pt>
                <c:pt idx="349">
                  <c:v>17.854691358024692</c:v>
                </c:pt>
                <c:pt idx="350">
                  <c:v>17.854691358024692</c:v>
                </c:pt>
                <c:pt idx="351">
                  <c:v>17.862222222222222</c:v>
                </c:pt>
                <c:pt idx="352">
                  <c:v>17.843333333333334</c:v>
                </c:pt>
                <c:pt idx="353">
                  <c:v>17.824567901234566</c:v>
                </c:pt>
                <c:pt idx="354">
                  <c:v>17.817037037037036</c:v>
                </c:pt>
                <c:pt idx="355">
                  <c:v>17.813209876543205</c:v>
                </c:pt>
                <c:pt idx="356">
                  <c:v>17.824567901234566</c:v>
                </c:pt>
                <c:pt idx="357">
                  <c:v>17.843333333333334</c:v>
                </c:pt>
                <c:pt idx="358">
                  <c:v>17.862222222222222</c:v>
                </c:pt>
                <c:pt idx="359">
                  <c:v>17.873456790123456</c:v>
                </c:pt>
                <c:pt idx="360">
                  <c:v>17.888518518518516</c:v>
                </c:pt>
                <c:pt idx="361">
                  <c:v>17.903703703703702</c:v>
                </c:pt>
                <c:pt idx="362">
                  <c:v>17.907407407407408</c:v>
                </c:pt>
                <c:pt idx="363">
                  <c:v>17.911234567901232</c:v>
                </c:pt>
                <c:pt idx="364">
                  <c:v>17.903703703703702</c:v>
                </c:pt>
                <c:pt idx="365">
                  <c:v>17.899876543209874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D0-4F65-A235-9162CC21C93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'20221202T090000'!$AY$11:$AY$500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</c:numCache>
            </c:numRef>
          </c:xVal>
          <c:yVal>
            <c:numRef>
              <c:f>'20221202T090000'!$BD$11:$BD$500</c:f>
              <c:numCache>
                <c:formatCode>General</c:formatCode>
                <c:ptCount val="490"/>
                <c:pt idx="0">
                  <c:v>17.918765432098763</c:v>
                </c:pt>
                <c:pt idx="1">
                  <c:v>17.880987654320986</c:v>
                </c:pt>
                <c:pt idx="2">
                  <c:v>17.858395061728395</c:v>
                </c:pt>
                <c:pt idx="3">
                  <c:v>17.850864197530864</c:v>
                </c:pt>
                <c:pt idx="4">
                  <c:v>17.832098765432097</c:v>
                </c:pt>
                <c:pt idx="5">
                  <c:v>17.8358024691358</c:v>
                </c:pt>
                <c:pt idx="6">
                  <c:v>17.839629629629631</c:v>
                </c:pt>
                <c:pt idx="7">
                  <c:v>17.828271604938269</c:v>
                </c:pt>
                <c:pt idx="8">
                  <c:v>17.813209876543205</c:v>
                </c:pt>
                <c:pt idx="9">
                  <c:v>17.801975308641975</c:v>
                </c:pt>
                <c:pt idx="10">
                  <c:v>17.790617283950617</c:v>
                </c:pt>
                <c:pt idx="11">
                  <c:v>17.779259259259259</c:v>
                </c:pt>
                <c:pt idx="12">
                  <c:v>17.768024691358022</c:v>
                </c:pt>
                <c:pt idx="13">
                  <c:v>17.749135802469137</c:v>
                </c:pt>
                <c:pt idx="14">
                  <c:v>17.73037037037037</c:v>
                </c:pt>
                <c:pt idx="15">
                  <c:v>17.719012345679008</c:v>
                </c:pt>
                <c:pt idx="16">
                  <c:v>17.69641975308642</c:v>
                </c:pt>
                <c:pt idx="17">
                  <c:v>17.692716049382714</c:v>
                </c:pt>
                <c:pt idx="18">
                  <c:v>17.692716049382714</c:v>
                </c:pt>
                <c:pt idx="19">
                  <c:v>17.69641975308642</c:v>
                </c:pt>
                <c:pt idx="20">
                  <c:v>17.715308641975309</c:v>
                </c:pt>
                <c:pt idx="21">
                  <c:v>17.719012345679008</c:v>
                </c:pt>
                <c:pt idx="22">
                  <c:v>17.722839506172836</c:v>
                </c:pt>
                <c:pt idx="23">
                  <c:v>17.700246913580244</c:v>
                </c:pt>
                <c:pt idx="24">
                  <c:v>17.692716049382714</c:v>
                </c:pt>
                <c:pt idx="25">
                  <c:v>17.692716049382714</c:v>
                </c:pt>
                <c:pt idx="26">
                  <c:v>17.685185185185183</c:v>
                </c:pt>
                <c:pt idx="27">
                  <c:v>17.685185185185183</c:v>
                </c:pt>
                <c:pt idx="28">
                  <c:v>17.68888888888889</c:v>
                </c:pt>
                <c:pt idx="29">
                  <c:v>17.700246913580244</c:v>
                </c:pt>
                <c:pt idx="30">
                  <c:v>17.69641975308642</c:v>
                </c:pt>
                <c:pt idx="31">
                  <c:v>17.703950617283951</c:v>
                </c:pt>
                <c:pt idx="32">
                  <c:v>17.719012345679008</c:v>
                </c:pt>
                <c:pt idx="33">
                  <c:v>17.73037037037037</c:v>
                </c:pt>
                <c:pt idx="34">
                  <c:v>17.734074074074073</c:v>
                </c:pt>
                <c:pt idx="35">
                  <c:v>17.722839506172836</c:v>
                </c:pt>
                <c:pt idx="36">
                  <c:v>17.715308641975309</c:v>
                </c:pt>
                <c:pt idx="37">
                  <c:v>17.700246913580244</c:v>
                </c:pt>
                <c:pt idx="38">
                  <c:v>17.685185185185183</c:v>
                </c:pt>
                <c:pt idx="39">
                  <c:v>17.685185185185183</c:v>
                </c:pt>
                <c:pt idx="40">
                  <c:v>17.666296296296295</c:v>
                </c:pt>
                <c:pt idx="41">
                  <c:v>17.651234567901231</c:v>
                </c:pt>
                <c:pt idx="42">
                  <c:v>17.636172839506173</c:v>
                </c:pt>
                <c:pt idx="43">
                  <c:v>17.624814814814812</c:v>
                </c:pt>
                <c:pt idx="44">
                  <c:v>17.636172839506173</c:v>
                </c:pt>
                <c:pt idx="45">
                  <c:v>17.636172839506173</c:v>
                </c:pt>
                <c:pt idx="46">
                  <c:v>17.632345679012342</c:v>
                </c:pt>
                <c:pt idx="47">
                  <c:v>17.617283950617285</c:v>
                </c:pt>
                <c:pt idx="48">
                  <c:v>17.621111111111112</c:v>
                </c:pt>
                <c:pt idx="49">
                  <c:v>17.624814814814812</c:v>
                </c:pt>
                <c:pt idx="50">
                  <c:v>17.624814814814812</c:v>
                </c:pt>
                <c:pt idx="51">
                  <c:v>17.636172839506173</c:v>
                </c:pt>
                <c:pt idx="52">
                  <c:v>17.639876543209876</c:v>
                </c:pt>
                <c:pt idx="53">
                  <c:v>17.647407407407407</c:v>
                </c:pt>
                <c:pt idx="54">
                  <c:v>17.632345679012342</c:v>
                </c:pt>
                <c:pt idx="55">
                  <c:v>17.643703703703704</c:v>
                </c:pt>
                <c:pt idx="56">
                  <c:v>17.654938271604937</c:v>
                </c:pt>
                <c:pt idx="57">
                  <c:v>17.654938271604937</c:v>
                </c:pt>
                <c:pt idx="58">
                  <c:v>17.658765432098765</c:v>
                </c:pt>
                <c:pt idx="59">
                  <c:v>17.651234567901231</c:v>
                </c:pt>
                <c:pt idx="60">
                  <c:v>17.651234567901231</c:v>
                </c:pt>
                <c:pt idx="61">
                  <c:v>17.654938271604937</c:v>
                </c:pt>
                <c:pt idx="62">
                  <c:v>17.666296296296295</c:v>
                </c:pt>
                <c:pt idx="63">
                  <c:v>17.685185185185183</c:v>
                </c:pt>
                <c:pt idx="64">
                  <c:v>17.669999999999998</c:v>
                </c:pt>
                <c:pt idx="65">
                  <c:v>17.673827160493826</c:v>
                </c:pt>
                <c:pt idx="66">
                  <c:v>17.68135802469136</c:v>
                </c:pt>
                <c:pt idx="67">
                  <c:v>17.669999999999998</c:v>
                </c:pt>
                <c:pt idx="68">
                  <c:v>17.677530864197529</c:v>
                </c:pt>
                <c:pt idx="69">
                  <c:v>17.68135802469136</c:v>
                </c:pt>
                <c:pt idx="70">
                  <c:v>17.69641975308642</c:v>
                </c:pt>
                <c:pt idx="71">
                  <c:v>17.700246913580244</c:v>
                </c:pt>
                <c:pt idx="72">
                  <c:v>17.692716049382714</c:v>
                </c:pt>
                <c:pt idx="73">
                  <c:v>17.673827160493826</c:v>
                </c:pt>
                <c:pt idx="74">
                  <c:v>17.673827160493826</c:v>
                </c:pt>
                <c:pt idx="75">
                  <c:v>17.658765432098765</c:v>
                </c:pt>
                <c:pt idx="76">
                  <c:v>17.639876543209876</c:v>
                </c:pt>
                <c:pt idx="77">
                  <c:v>17.639876543209876</c:v>
                </c:pt>
                <c:pt idx="78">
                  <c:v>17.636172839506173</c:v>
                </c:pt>
                <c:pt idx="79">
                  <c:v>17.628641975308639</c:v>
                </c:pt>
                <c:pt idx="80">
                  <c:v>17.632345679012342</c:v>
                </c:pt>
                <c:pt idx="81">
                  <c:v>17.639876543209876</c:v>
                </c:pt>
                <c:pt idx="82">
                  <c:v>17.647407407407407</c:v>
                </c:pt>
                <c:pt idx="83">
                  <c:v>17.639876543209876</c:v>
                </c:pt>
                <c:pt idx="84">
                  <c:v>17.632345679012342</c:v>
                </c:pt>
                <c:pt idx="85">
                  <c:v>17.617283950617285</c:v>
                </c:pt>
                <c:pt idx="86">
                  <c:v>17.606049382716048</c:v>
                </c:pt>
                <c:pt idx="87">
                  <c:v>17.60222222222222</c:v>
                </c:pt>
                <c:pt idx="88">
                  <c:v>17.617283950617285</c:v>
                </c:pt>
                <c:pt idx="89">
                  <c:v>17.628641975308639</c:v>
                </c:pt>
                <c:pt idx="90">
                  <c:v>17.632345679012342</c:v>
                </c:pt>
                <c:pt idx="91">
                  <c:v>17.651234567901231</c:v>
                </c:pt>
                <c:pt idx="92">
                  <c:v>17.658765432098765</c:v>
                </c:pt>
                <c:pt idx="93">
                  <c:v>17.636172839506173</c:v>
                </c:pt>
                <c:pt idx="94">
                  <c:v>17.624814814814812</c:v>
                </c:pt>
                <c:pt idx="95">
                  <c:v>17.609753086419751</c:v>
                </c:pt>
                <c:pt idx="96">
                  <c:v>17.598518518518517</c:v>
                </c:pt>
                <c:pt idx="97">
                  <c:v>17.58716049382716</c:v>
                </c:pt>
                <c:pt idx="98">
                  <c:v>17.575925925925926</c:v>
                </c:pt>
                <c:pt idx="99">
                  <c:v>17.564567901234565</c:v>
                </c:pt>
                <c:pt idx="100">
                  <c:v>17.549506172839507</c:v>
                </c:pt>
                <c:pt idx="101">
                  <c:v>17.549506172839507</c:v>
                </c:pt>
                <c:pt idx="102">
                  <c:v>17.564567901234565</c:v>
                </c:pt>
                <c:pt idx="103">
                  <c:v>17.575925925925926</c:v>
                </c:pt>
                <c:pt idx="104">
                  <c:v>17.594691358024694</c:v>
                </c:pt>
                <c:pt idx="105">
                  <c:v>17.609753086419751</c:v>
                </c:pt>
                <c:pt idx="106">
                  <c:v>17.628641975308639</c:v>
                </c:pt>
                <c:pt idx="107">
                  <c:v>17.632345679012342</c:v>
                </c:pt>
                <c:pt idx="108">
                  <c:v>17.632345679012342</c:v>
                </c:pt>
                <c:pt idx="109">
                  <c:v>17.636172839506173</c:v>
                </c:pt>
                <c:pt idx="110">
                  <c:v>17.643703703703704</c:v>
                </c:pt>
                <c:pt idx="111">
                  <c:v>17.643703703703704</c:v>
                </c:pt>
                <c:pt idx="112">
                  <c:v>17.647407407407407</c:v>
                </c:pt>
                <c:pt idx="113">
                  <c:v>17.636172839506173</c:v>
                </c:pt>
                <c:pt idx="114">
                  <c:v>17.613580246913582</c:v>
                </c:pt>
                <c:pt idx="115">
                  <c:v>17.617283950617285</c:v>
                </c:pt>
                <c:pt idx="116">
                  <c:v>17.617283950617285</c:v>
                </c:pt>
                <c:pt idx="117">
                  <c:v>17.60222222222222</c:v>
                </c:pt>
                <c:pt idx="118">
                  <c:v>17.594691358024694</c:v>
                </c:pt>
                <c:pt idx="119">
                  <c:v>17.572098765432099</c:v>
                </c:pt>
                <c:pt idx="120">
                  <c:v>17.557037037037034</c:v>
                </c:pt>
                <c:pt idx="121">
                  <c:v>17.549506172839507</c:v>
                </c:pt>
                <c:pt idx="122">
                  <c:v>17.549506172839507</c:v>
                </c:pt>
                <c:pt idx="123">
                  <c:v>17.557037037037034</c:v>
                </c:pt>
                <c:pt idx="124">
                  <c:v>17.568271604938271</c:v>
                </c:pt>
                <c:pt idx="125">
                  <c:v>17.572098765432099</c:v>
                </c:pt>
                <c:pt idx="126">
                  <c:v>17.572098765432099</c:v>
                </c:pt>
                <c:pt idx="127">
                  <c:v>17.575925925925926</c:v>
                </c:pt>
                <c:pt idx="128">
                  <c:v>17.583456790123453</c:v>
                </c:pt>
                <c:pt idx="129">
                  <c:v>17.579629629629629</c:v>
                </c:pt>
                <c:pt idx="130">
                  <c:v>17.564567901234565</c:v>
                </c:pt>
                <c:pt idx="131">
                  <c:v>17.564567901234565</c:v>
                </c:pt>
                <c:pt idx="132">
                  <c:v>17.575925925925926</c:v>
                </c:pt>
                <c:pt idx="133">
                  <c:v>17.58716049382716</c:v>
                </c:pt>
                <c:pt idx="134">
                  <c:v>17.606049382716048</c:v>
                </c:pt>
                <c:pt idx="135">
                  <c:v>17.613580246913582</c:v>
                </c:pt>
                <c:pt idx="136">
                  <c:v>17.606049382716048</c:v>
                </c:pt>
                <c:pt idx="137">
                  <c:v>17.60222222222222</c:v>
                </c:pt>
                <c:pt idx="138">
                  <c:v>17.598518518518517</c:v>
                </c:pt>
                <c:pt idx="139">
                  <c:v>17.60222222222222</c:v>
                </c:pt>
                <c:pt idx="140">
                  <c:v>17.60222222222222</c:v>
                </c:pt>
                <c:pt idx="141">
                  <c:v>17.60222222222222</c:v>
                </c:pt>
                <c:pt idx="142">
                  <c:v>17.621111111111112</c:v>
                </c:pt>
                <c:pt idx="143">
                  <c:v>17.628641975308639</c:v>
                </c:pt>
                <c:pt idx="144">
                  <c:v>17.621111111111112</c:v>
                </c:pt>
                <c:pt idx="145">
                  <c:v>17.621111111111112</c:v>
                </c:pt>
                <c:pt idx="146">
                  <c:v>17.60222222222222</c:v>
                </c:pt>
                <c:pt idx="147">
                  <c:v>17.58716049382716</c:v>
                </c:pt>
                <c:pt idx="148">
                  <c:v>17.572098765432099</c:v>
                </c:pt>
                <c:pt idx="149">
                  <c:v>17.560740740740737</c:v>
                </c:pt>
                <c:pt idx="150">
                  <c:v>17.560740740740737</c:v>
                </c:pt>
                <c:pt idx="151">
                  <c:v>17.557037037037034</c:v>
                </c:pt>
                <c:pt idx="152">
                  <c:v>17.557037037037034</c:v>
                </c:pt>
                <c:pt idx="153">
                  <c:v>17.553209876543207</c:v>
                </c:pt>
                <c:pt idx="154">
                  <c:v>17.557037037037034</c:v>
                </c:pt>
                <c:pt idx="155">
                  <c:v>17.557037037037034</c:v>
                </c:pt>
                <c:pt idx="156">
                  <c:v>17.572098765432099</c:v>
                </c:pt>
                <c:pt idx="157">
                  <c:v>17.572098765432099</c:v>
                </c:pt>
                <c:pt idx="158">
                  <c:v>17.58716049382716</c:v>
                </c:pt>
                <c:pt idx="159">
                  <c:v>17.594691358024694</c:v>
                </c:pt>
                <c:pt idx="160">
                  <c:v>17.590987654320987</c:v>
                </c:pt>
                <c:pt idx="161">
                  <c:v>17.58716049382716</c:v>
                </c:pt>
                <c:pt idx="162">
                  <c:v>17.590987654320987</c:v>
                </c:pt>
                <c:pt idx="163">
                  <c:v>17.583456790123453</c:v>
                </c:pt>
                <c:pt idx="164">
                  <c:v>17.575925925925926</c:v>
                </c:pt>
                <c:pt idx="165">
                  <c:v>17.568271604938271</c:v>
                </c:pt>
                <c:pt idx="166">
                  <c:v>17.568271604938271</c:v>
                </c:pt>
                <c:pt idx="167">
                  <c:v>17.564567901234565</c:v>
                </c:pt>
                <c:pt idx="168">
                  <c:v>17.568271604938271</c:v>
                </c:pt>
                <c:pt idx="169">
                  <c:v>17.560740740740737</c:v>
                </c:pt>
                <c:pt idx="170">
                  <c:v>17.560740740740737</c:v>
                </c:pt>
                <c:pt idx="171">
                  <c:v>17.557037037037034</c:v>
                </c:pt>
                <c:pt idx="172">
                  <c:v>17.553209876543207</c:v>
                </c:pt>
                <c:pt idx="173">
                  <c:v>17.549506172839507</c:v>
                </c:pt>
                <c:pt idx="174">
                  <c:v>17.526913580246916</c:v>
                </c:pt>
                <c:pt idx="175">
                  <c:v>17.508024691358024</c:v>
                </c:pt>
                <c:pt idx="176">
                  <c:v>17.492962962962959</c:v>
                </c:pt>
                <c:pt idx="177">
                  <c:v>17.474197530864195</c:v>
                </c:pt>
                <c:pt idx="178">
                  <c:v>17.481728395061729</c:v>
                </c:pt>
                <c:pt idx="179">
                  <c:v>17.492962962962959</c:v>
                </c:pt>
                <c:pt idx="180">
                  <c:v>17.511851851851851</c:v>
                </c:pt>
                <c:pt idx="181">
                  <c:v>17.515555555555554</c:v>
                </c:pt>
                <c:pt idx="182">
                  <c:v>17.526913580246916</c:v>
                </c:pt>
                <c:pt idx="183">
                  <c:v>17.538148148148146</c:v>
                </c:pt>
                <c:pt idx="184">
                  <c:v>17.523086419753085</c:v>
                </c:pt>
                <c:pt idx="185">
                  <c:v>17.526913580246916</c:v>
                </c:pt>
                <c:pt idx="186">
                  <c:v>17.523086419753085</c:v>
                </c:pt>
                <c:pt idx="187">
                  <c:v>17.519382716049382</c:v>
                </c:pt>
                <c:pt idx="188">
                  <c:v>17.526913580246916</c:v>
                </c:pt>
                <c:pt idx="189">
                  <c:v>17.530617283950615</c:v>
                </c:pt>
                <c:pt idx="190">
                  <c:v>17.526913580246916</c:v>
                </c:pt>
                <c:pt idx="191">
                  <c:v>17.511851851851851</c:v>
                </c:pt>
                <c:pt idx="192">
                  <c:v>17.511851851851851</c:v>
                </c:pt>
                <c:pt idx="193">
                  <c:v>17.504320987654321</c:v>
                </c:pt>
                <c:pt idx="194">
                  <c:v>17.496790123456787</c:v>
                </c:pt>
                <c:pt idx="195">
                  <c:v>17.500493827160494</c:v>
                </c:pt>
                <c:pt idx="196">
                  <c:v>17.511851851851851</c:v>
                </c:pt>
                <c:pt idx="197">
                  <c:v>17.515555555555554</c:v>
                </c:pt>
                <c:pt idx="198">
                  <c:v>17.500493827160494</c:v>
                </c:pt>
                <c:pt idx="199">
                  <c:v>17.474197530864195</c:v>
                </c:pt>
                <c:pt idx="200">
                  <c:v>17.462839506172838</c:v>
                </c:pt>
                <c:pt idx="201">
                  <c:v>17.462839506172838</c:v>
                </c:pt>
                <c:pt idx="202">
                  <c:v>17.470370370370368</c:v>
                </c:pt>
                <c:pt idx="203">
                  <c:v>17.477901234567902</c:v>
                </c:pt>
                <c:pt idx="204">
                  <c:v>17.477901234567902</c:v>
                </c:pt>
                <c:pt idx="205">
                  <c:v>17.477901234567902</c:v>
                </c:pt>
                <c:pt idx="206">
                  <c:v>17.481728395061729</c:v>
                </c:pt>
                <c:pt idx="207">
                  <c:v>17.477901234567902</c:v>
                </c:pt>
                <c:pt idx="208">
                  <c:v>17.481728395061729</c:v>
                </c:pt>
                <c:pt idx="209">
                  <c:v>17.504320987654321</c:v>
                </c:pt>
                <c:pt idx="210">
                  <c:v>17.500493827160494</c:v>
                </c:pt>
                <c:pt idx="211">
                  <c:v>17.500493827160494</c:v>
                </c:pt>
                <c:pt idx="212">
                  <c:v>17.508024691358024</c:v>
                </c:pt>
                <c:pt idx="213">
                  <c:v>17.523086419753085</c:v>
                </c:pt>
                <c:pt idx="214">
                  <c:v>17.530617283950615</c:v>
                </c:pt>
                <c:pt idx="215">
                  <c:v>17.515555555555554</c:v>
                </c:pt>
                <c:pt idx="216">
                  <c:v>17.515555555555554</c:v>
                </c:pt>
                <c:pt idx="217">
                  <c:v>17.511851851851851</c:v>
                </c:pt>
                <c:pt idx="218">
                  <c:v>17.504320987654321</c:v>
                </c:pt>
                <c:pt idx="219">
                  <c:v>17.500493827160494</c:v>
                </c:pt>
                <c:pt idx="220">
                  <c:v>17.492962962962959</c:v>
                </c:pt>
                <c:pt idx="221">
                  <c:v>17.489259259259256</c:v>
                </c:pt>
                <c:pt idx="222">
                  <c:v>17.474197530864195</c:v>
                </c:pt>
                <c:pt idx="223">
                  <c:v>17.45901234567901</c:v>
                </c:pt>
                <c:pt idx="224">
                  <c:v>17.462839506172838</c:v>
                </c:pt>
                <c:pt idx="225">
                  <c:v>17.462839506172838</c:v>
                </c:pt>
                <c:pt idx="226">
                  <c:v>17.455308641975307</c:v>
                </c:pt>
                <c:pt idx="227">
                  <c:v>17.455308641975307</c:v>
                </c:pt>
                <c:pt idx="228">
                  <c:v>17.455308641975307</c:v>
                </c:pt>
                <c:pt idx="229">
                  <c:v>17.436419753086419</c:v>
                </c:pt>
                <c:pt idx="230">
                  <c:v>17.417654320987655</c:v>
                </c:pt>
                <c:pt idx="231">
                  <c:v>17.417654320987655</c:v>
                </c:pt>
                <c:pt idx="232">
                  <c:v>17.40259259259259</c:v>
                </c:pt>
                <c:pt idx="233">
                  <c:v>17.406296296296293</c:v>
                </c:pt>
                <c:pt idx="234">
                  <c:v>17.410123456790124</c:v>
                </c:pt>
                <c:pt idx="235">
                  <c:v>17.39506172839506</c:v>
                </c:pt>
                <c:pt idx="236">
                  <c:v>17.376172839506172</c:v>
                </c:pt>
                <c:pt idx="237">
                  <c:v>17.364938271604938</c:v>
                </c:pt>
                <c:pt idx="238">
                  <c:v>17.349753086419753</c:v>
                </c:pt>
                <c:pt idx="239">
                  <c:v>17.338518518518516</c:v>
                </c:pt>
                <c:pt idx="240">
                  <c:v>17.342222222222222</c:v>
                </c:pt>
                <c:pt idx="241">
                  <c:v>17.330987654320985</c:v>
                </c:pt>
                <c:pt idx="242">
                  <c:v>17.312098765432097</c:v>
                </c:pt>
                <c:pt idx="243">
                  <c:v>17.312098765432097</c:v>
                </c:pt>
                <c:pt idx="244">
                  <c:v>17.293333333333333</c:v>
                </c:pt>
                <c:pt idx="245">
                  <c:v>17.293333333333333</c:v>
                </c:pt>
                <c:pt idx="246">
                  <c:v>17.297037037037036</c:v>
                </c:pt>
                <c:pt idx="247">
                  <c:v>17.300864197530863</c:v>
                </c:pt>
                <c:pt idx="248">
                  <c:v>17.297037037037036</c:v>
                </c:pt>
                <c:pt idx="249">
                  <c:v>17.300864197530863</c:v>
                </c:pt>
                <c:pt idx="250">
                  <c:v>17.315925925925924</c:v>
                </c:pt>
                <c:pt idx="251">
                  <c:v>17.304567901234567</c:v>
                </c:pt>
                <c:pt idx="252">
                  <c:v>17.312098765432097</c:v>
                </c:pt>
                <c:pt idx="253">
                  <c:v>17.312098765432097</c:v>
                </c:pt>
                <c:pt idx="254">
                  <c:v>17.289506172839506</c:v>
                </c:pt>
                <c:pt idx="255">
                  <c:v>17.270740740740738</c:v>
                </c:pt>
                <c:pt idx="256">
                  <c:v>17.255679012345677</c:v>
                </c:pt>
                <c:pt idx="257">
                  <c:v>17.248024691358022</c:v>
                </c:pt>
                <c:pt idx="258">
                  <c:v>17.251851851851853</c:v>
                </c:pt>
                <c:pt idx="259">
                  <c:v>17.266913580246914</c:v>
                </c:pt>
                <c:pt idx="260">
                  <c:v>17.278271604938272</c:v>
                </c:pt>
                <c:pt idx="261">
                  <c:v>17.278271604938272</c:v>
                </c:pt>
                <c:pt idx="262">
                  <c:v>17.263209876543208</c:v>
                </c:pt>
                <c:pt idx="263">
                  <c:v>17.240493827160492</c:v>
                </c:pt>
                <c:pt idx="264">
                  <c:v>17.217901234567901</c:v>
                </c:pt>
                <c:pt idx="265">
                  <c:v>17.187777777777779</c:v>
                </c:pt>
                <c:pt idx="266">
                  <c:v>17.153950617283947</c:v>
                </c:pt>
                <c:pt idx="267">
                  <c:v>17.150123456790123</c:v>
                </c:pt>
                <c:pt idx="268">
                  <c:v>17.157654320987653</c:v>
                </c:pt>
                <c:pt idx="269">
                  <c:v>17.153950617283947</c:v>
                </c:pt>
                <c:pt idx="270">
                  <c:v>17.138765432098765</c:v>
                </c:pt>
                <c:pt idx="271">
                  <c:v>17.123703703703701</c:v>
                </c:pt>
                <c:pt idx="272">
                  <c:v>17.10864197530864</c:v>
                </c:pt>
                <c:pt idx="273">
                  <c:v>17.089876543209876</c:v>
                </c:pt>
                <c:pt idx="274">
                  <c:v>17.063456790123453</c:v>
                </c:pt>
                <c:pt idx="275">
                  <c:v>17.044691358024689</c:v>
                </c:pt>
                <c:pt idx="276">
                  <c:v>17.01074074074074</c:v>
                </c:pt>
                <c:pt idx="277">
                  <c:v>16.995679012345676</c:v>
                </c:pt>
                <c:pt idx="278">
                  <c:v>16.988148148148149</c:v>
                </c:pt>
                <c:pt idx="279">
                  <c:v>16.969259259259257</c:v>
                </c:pt>
                <c:pt idx="280">
                  <c:v>16.950493827160493</c:v>
                </c:pt>
                <c:pt idx="281">
                  <c:v>16.935432098765432</c:v>
                </c:pt>
                <c:pt idx="282">
                  <c:v>16.912716049382716</c:v>
                </c:pt>
                <c:pt idx="283">
                  <c:v>16.882592592592591</c:v>
                </c:pt>
                <c:pt idx="284">
                  <c:v>16.871358024691357</c:v>
                </c:pt>
                <c:pt idx="285">
                  <c:v>16.841234567901232</c:v>
                </c:pt>
                <c:pt idx="286">
                  <c:v>16.818518518518516</c:v>
                </c:pt>
                <c:pt idx="287">
                  <c:v>16.77333333333333</c:v>
                </c:pt>
                <c:pt idx="288">
                  <c:v>16.754567901234566</c:v>
                </c:pt>
                <c:pt idx="289">
                  <c:v>16.728148148148147</c:v>
                </c:pt>
                <c:pt idx="290">
                  <c:v>16.682962962962961</c:v>
                </c:pt>
                <c:pt idx="291">
                  <c:v>16.656543209876542</c:v>
                </c:pt>
                <c:pt idx="292">
                  <c:v>16.630246913580244</c:v>
                </c:pt>
                <c:pt idx="293">
                  <c:v>16.592469135802467</c:v>
                </c:pt>
                <c:pt idx="294">
                  <c:v>16.562345679012346</c:v>
                </c:pt>
                <c:pt idx="295">
                  <c:v>16.53222222222222</c:v>
                </c:pt>
                <c:pt idx="296">
                  <c:v>16.49074074074074</c:v>
                </c:pt>
                <c:pt idx="297">
                  <c:v>16.456913580246912</c:v>
                </c:pt>
                <c:pt idx="298">
                  <c:v>16.434320987654321</c:v>
                </c:pt>
                <c:pt idx="299">
                  <c:v>16.407901234567902</c:v>
                </c:pt>
                <c:pt idx="300">
                  <c:v>16.385308641975307</c:v>
                </c:pt>
                <c:pt idx="301">
                  <c:v>16.355185185185185</c:v>
                </c:pt>
                <c:pt idx="302">
                  <c:v>16.306172839506171</c:v>
                </c:pt>
                <c:pt idx="303">
                  <c:v>16.257160493827158</c:v>
                </c:pt>
                <c:pt idx="304">
                  <c:v>16.208271604938268</c:v>
                </c:pt>
                <c:pt idx="305">
                  <c:v>16.178024691358022</c:v>
                </c:pt>
                <c:pt idx="306">
                  <c:v>16.147901234567904</c:v>
                </c:pt>
                <c:pt idx="307">
                  <c:v>16.117777777777775</c:v>
                </c:pt>
                <c:pt idx="308">
                  <c:v>16.080123456790126</c:v>
                </c:pt>
                <c:pt idx="309">
                  <c:v>16.016049382716048</c:v>
                </c:pt>
                <c:pt idx="310">
                  <c:v>15.974691358024689</c:v>
                </c:pt>
                <c:pt idx="311">
                  <c:v>15.925679012345679</c:v>
                </c:pt>
                <c:pt idx="312">
                  <c:v>15.869135802469136</c:v>
                </c:pt>
                <c:pt idx="313">
                  <c:v>15.801358024691359</c:v>
                </c:pt>
                <c:pt idx="314">
                  <c:v>15.725925925925925</c:v>
                </c:pt>
                <c:pt idx="315">
                  <c:v>15.669506172839506</c:v>
                </c:pt>
                <c:pt idx="316">
                  <c:v>15.609135802469137</c:v>
                </c:pt>
                <c:pt idx="317">
                  <c:v>15.533827160493827</c:v>
                </c:pt>
                <c:pt idx="318">
                  <c:v>15.454691358024689</c:v>
                </c:pt>
                <c:pt idx="319">
                  <c:v>15.368024691358023</c:v>
                </c:pt>
                <c:pt idx="320">
                  <c:v>15.281358024691359</c:v>
                </c:pt>
                <c:pt idx="321">
                  <c:v>15.19469135802469</c:v>
                </c:pt>
                <c:pt idx="322">
                  <c:v>15.096790123456788</c:v>
                </c:pt>
                <c:pt idx="323">
                  <c:v>14.998765432098764</c:v>
                </c:pt>
                <c:pt idx="324">
                  <c:v>14.908395061728394</c:v>
                </c:pt>
                <c:pt idx="325">
                  <c:v>14.799135802469134</c:v>
                </c:pt>
                <c:pt idx="326">
                  <c:v>14.670987654320987</c:v>
                </c:pt>
                <c:pt idx="327">
                  <c:v>14.554197530864196</c:v>
                </c:pt>
                <c:pt idx="328">
                  <c:v>14.433703703703703</c:v>
                </c:pt>
                <c:pt idx="329">
                  <c:v>14.316913580246911</c:v>
                </c:pt>
                <c:pt idx="330">
                  <c:v>14.188765432098766</c:v>
                </c:pt>
                <c:pt idx="331">
                  <c:v>14.060740740740741</c:v>
                </c:pt>
                <c:pt idx="332">
                  <c:v>13.928765432098766</c:v>
                </c:pt>
                <c:pt idx="333">
                  <c:v>13.77432098765432</c:v>
                </c:pt>
                <c:pt idx="334">
                  <c:v>13.612345679012344</c:v>
                </c:pt>
                <c:pt idx="335">
                  <c:v>13.454074074074072</c:v>
                </c:pt>
                <c:pt idx="336">
                  <c:v>13.284567901234567</c:v>
                </c:pt>
                <c:pt idx="337">
                  <c:v>13.092469135802469</c:v>
                </c:pt>
                <c:pt idx="338">
                  <c:v>12.896543209876542</c:v>
                </c:pt>
                <c:pt idx="339">
                  <c:v>12.689259259259259</c:v>
                </c:pt>
                <c:pt idx="340">
                  <c:v>12.467037037037036</c:v>
                </c:pt>
                <c:pt idx="341">
                  <c:v>12.244703703703705</c:v>
                </c:pt>
                <c:pt idx="342">
                  <c:v>11.98474074074074</c:v>
                </c:pt>
                <c:pt idx="343">
                  <c:v>11.717246913580246</c:v>
                </c:pt>
                <c:pt idx="344">
                  <c:v>11.4309012345679</c:v>
                </c:pt>
                <c:pt idx="345">
                  <c:v>11.121962962962963</c:v>
                </c:pt>
                <c:pt idx="346">
                  <c:v>10.794185185185187</c:v>
                </c:pt>
                <c:pt idx="347">
                  <c:v>10.44379012345679</c:v>
                </c:pt>
                <c:pt idx="348">
                  <c:v>10.063271604938272</c:v>
                </c:pt>
                <c:pt idx="349">
                  <c:v>9.6525925925925922</c:v>
                </c:pt>
                <c:pt idx="350">
                  <c:v>9.2004814814814821</c:v>
                </c:pt>
                <c:pt idx="351">
                  <c:v>8.7069259259259244</c:v>
                </c:pt>
                <c:pt idx="352">
                  <c:v>8.171925925925926</c:v>
                </c:pt>
                <c:pt idx="353">
                  <c:v>7.5766419753086414</c:v>
                </c:pt>
                <c:pt idx="354">
                  <c:v>6.9173209876543202</c:v>
                </c:pt>
                <c:pt idx="355">
                  <c:v>6.1445802469135797</c:v>
                </c:pt>
                <c:pt idx="356">
                  <c:v>5.2682345679012341</c:v>
                </c:pt>
                <c:pt idx="357">
                  <c:v>4.2498518518518518</c:v>
                </c:pt>
                <c:pt idx="358">
                  <c:v>3.028777777777778</c:v>
                </c:pt>
                <c:pt idx="359">
                  <c:v>1.5345432098765432</c:v>
                </c:pt>
                <c:pt idx="360">
                  <c:v>-0.2974518518518518</c:v>
                </c:pt>
                <c:pt idx="361">
                  <c:v>-2.4587407407407409</c:v>
                </c:pt>
                <c:pt idx="362">
                  <c:v>-4.966074074074073</c:v>
                </c:pt>
                <c:pt idx="363">
                  <c:v>-7.8102345679012339</c:v>
                </c:pt>
                <c:pt idx="364">
                  <c:v>-10.963728395061729</c:v>
                </c:pt>
                <c:pt idx="365">
                  <c:v>-14.369629629629628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3D0-4F65-A235-9162CC21C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467199"/>
        <c:axId val="792460959"/>
      </c:scatterChart>
      <c:valAx>
        <c:axId val="79246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2460959"/>
        <c:crosses val="autoZero"/>
        <c:crossBetween val="midCat"/>
      </c:valAx>
      <c:valAx>
        <c:axId val="792460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246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44</xdr:col>
      <xdr:colOff>533400</xdr:colOff>
      <xdr:row>11</xdr:row>
      <xdr:rowOff>3810</xdr:rowOff>
    </xdr:from>
    <xdr:to>
      <xdr:col>52</xdr:col>
      <xdr:colOff>228600</xdr:colOff>
      <xdr:row>26</xdr:row>
      <xdr:rowOff>3810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22Dec/0112/9am011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2022Dec/0212/9am021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2022Dec/0512/9pm05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01"/>
      <sheetName val="yt03"/>
      <sheetName val="yt04"/>
      <sheetName val="yt11"/>
      <sheetName val="yt13"/>
      <sheetName val="y02"/>
      <sheetName val="y03"/>
      <sheetName val="y13"/>
      <sheetName val="y16"/>
      <sheetName val="Sheet2"/>
      <sheetName val="9am0112"/>
    </sheetNames>
    <definedNames>
      <definedName name="newGraph"/>
    </definedNames>
    <sheetDataSet>
      <sheetData sheetId="0"/>
      <sheetData sheetId="1">
        <row r="10">
          <cell r="L10" t="str">
            <v>j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01"/>
      <sheetName val="yt03"/>
      <sheetName val="yt04"/>
      <sheetName val="yt11"/>
      <sheetName val="yt13"/>
      <sheetName val="Sheet2"/>
      <sheetName val="9am021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01"/>
      <sheetName val="yt03"/>
      <sheetName val="yt04"/>
      <sheetName val="yt11"/>
      <sheetName val="yt13"/>
      <sheetName val="y03"/>
      <sheetName val="y13"/>
      <sheetName val="y16"/>
      <sheetName val="Sheet2"/>
      <sheetName val="9pm051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activeCell="F2" sqref="F2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6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6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6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6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6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6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-0.31565162935699997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-0.31388441074300005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-0.31263919547899999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</v>
      </c>
      <c r="M11">
        <f>L11*G11</f>
        <v>-0.12149000000000001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3.3258099999999997</v>
      </c>
      <c r="U11">
        <f>T11*O11</f>
        <v>-0.31565162935699997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-3.6856100000000001</v>
      </c>
      <c r="AE11">
        <f>AD11*Y11</f>
        <v>-4.477647589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53340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96EFC-9593-4E83-BD19-EE0BDC54BED6}">
  <dimension ref="A1:FH382"/>
  <sheetViews>
    <sheetView workbookViewId="0">
      <selection activeCell="F9" sqref="F9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2680.416147541127</v>
      </c>
      <c r="H2" s="2"/>
      <c r="I2" s="6" t="s">
        <v>12</v>
      </c>
      <c r="J2" s="2"/>
      <c r="K2" s="7" t="s">
        <v>13</v>
      </c>
      <c r="L2" s="3">
        <f>L4*I6*L9/100*100</f>
        <v>24.640476465432098</v>
      </c>
      <c r="M2" s="8" t="s">
        <v>14</v>
      </c>
      <c r="N2" s="9"/>
      <c r="O2" s="2">
        <f>ABS(S7-S6)/ABS(T7-T6)*1000</f>
        <v>2019.2791426240112</v>
      </c>
      <c r="P2" s="2"/>
      <c r="Q2" s="6" t="s">
        <v>15</v>
      </c>
      <c r="R2" s="2"/>
      <c r="S2" s="7" t="s">
        <v>13</v>
      </c>
      <c r="T2" s="3">
        <f>T4*Q6*T9/100*100</f>
        <v>24.477629592592585</v>
      </c>
      <c r="U2" s="8" t="s">
        <v>14</v>
      </c>
      <c r="X2" s="9"/>
      <c r="Y2" s="2">
        <f>ABS(AC7-AC6)/ABS(AD7-AD6)*1000</f>
        <v>5366.5009672134011</v>
      </c>
      <c r="Z2" s="2"/>
      <c r="AA2" s="6" t="s">
        <v>12</v>
      </c>
      <c r="AB2" s="2"/>
      <c r="AC2" s="7" t="s">
        <v>13</v>
      </c>
      <c r="AD2" s="3">
        <f>AD4*AA6*AD9/100*100</f>
        <v>24.240362696296298</v>
      </c>
      <c r="AE2" s="8" t="s">
        <v>14</v>
      </c>
      <c r="AF2" s="9"/>
      <c r="AG2" s="2">
        <f>ABS(AK7-AK6)/ABS(AL7-AL6)*1000</f>
        <v>267.71082352942028</v>
      </c>
      <c r="AH2" s="2"/>
      <c r="AI2" s="6" t="s">
        <v>15</v>
      </c>
      <c r="AJ2" s="2"/>
      <c r="AK2" s="7" t="s">
        <v>13</v>
      </c>
      <c r="AL2" s="3">
        <f>AL4*AI6*AL9/100*100</f>
        <v>24.172746943209876</v>
      </c>
      <c r="AM2" s="8" t="s">
        <v>14</v>
      </c>
      <c r="AP2" s="9"/>
      <c r="AQ2" s="2">
        <f>ABS(AU7-AU6)/ABS(AV7-AV6)*1000</f>
        <v>1336.4346774192836</v>
      </c>
      <c r="AR2" s="2"/>
      <c r="AS2" s="6" t="s">
        <v>12</v>
      </c>
      <c r="AT2" s="2"/>
      <c r="AU2" s="7" t="s">
        <v>13</v>
      </c>
      <c r="AV2" s="3">
        <f>AV4*AS6*AV9/100*100</f>
        <v>24.253476140740737</v>
      </c>
      <c r="AW2" s="8" t="s">
        <v>14</v>
      </c>
      <c r="AX2" s="9"/>
      <c r="AY2" s="2">
        <f>ABS(BC7-BC6)/ABS(BD7-BD6)*1000</f>
        <v>1014.2970713115295</v>
      </c>
      <c r="AZ2" s="2"/>
      <c r="BA2" s="6" t="s">
        <v>15</v>
      </c>
      <c r="BB2" s="2"/>
      <c r="BC2" s="7" t="s">
        <v>13</v>
      </c>
      <c r="BD2" s="3">
        <f>BD4*BA6*BD9/100*100</f>
        <v>24.302727540740744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1.73889</v>
      </c>
      <c r="J3" s="2"/>
      <c r="K3" s="10">
        <f>INDEX(L11:L1056,MATCH(I3,K11:K1056,0))</f>
        <v>-1.084316049382716</v>
      </c>
      <c r="L3" s="26" t="s">
        <v>16</v>
      </c>
      <c r="M3" s="11">
        <f>M9</f>
        <v>24.640476465432098</v>
      </c>
      <c r="N3" s="9"/>
      <c r="O3" s="2" t="s">
        <v>44</v>
      </c>
      <c r="P3" s="2"/>
      <c r="Q3" s="2">
        <f>INDEX(S11:S1056,MATCH(0,T11:T1056,-1))</f>
        <v>1.74255</v>
      </c>
      <c r="R3" s="2"/>
      <c r="S3" s="10">
        <f>INDEX(T11:T1056,MATCH(Q3,S11:S1056,0))</f>
        <v>0.25077160493827155</v>
      </c>
      <c r="T3" s="26" t="s">
        <v>16</v>
      </c>
      <c r="U3" s="11">
        <f>U9</f>
        <v>24.477629592592589</v>
      </c>
      <c r="X3" s="9"/>
      <c r="Y3" s="2" t="s">
        <v>44</v>
      </c>
      <c r="Z3" s="2"/>
      <c r="AA3" s="2">
        <f>INDEX(AC11:AC856,MATCH(0,AD11:AD856,1))</f>
        <v>1.72943</v>
      </c>
      <c r="AB3" s="2"/>
      <c r="AC3" s="10">
        <f>INDEX(AD11:AD1056,MATCH(AA3,AC11:AC1056,0))</f>
        <v>-0.41353209876543207</v>
      </c>
      <c r="AD3" s="26" t="s">
        <v>16</v>
      </c>
      <c r="AE3" s="11">
        <f>AE9</f>
        <v>24.240362696296298</v>
      </c>
      <c r="AF3" s="9"/>
      <c r="AG3" s="2" t="s">
        <v>44</v>
      </c>
      <c r="AH3" s="2"/>
      <c r="AI3" s="2">
        <f>INDEX(AK11:AK1056,MATCH(0,AL11:AL1056,-1))</f>
        <v>1.73248</v>
      </c>
      <c r="AJ3" s="2"/>
      <c r="AK3" s="10">
        <f>INDEX(AL11:AL1056,MATCH(AI3,AK11:AK1056,0))</f>
        <v>1.1528864197530864</v>
      </c>
      <c r="AL3" s="26" t="s">
        <v>16</v>
      </c>
      <c r="AM3" s="11">
        <f>AM9</f>
        <v>24.172746943209876</v>
      </c>
      <c r="AP3" s="9"/>
      <c r="AQ3" s="2" t="s">
        <v>44</v>
      </c>
      <c r="AR3" s="2"/>
      <c r="AS3" s="2">
        <f>INDEX(AU11:AU856,MATCH(0,AV11:AV856,1))</f>
        <v>1.72882</v>
      </c>
      <c r="AT3" s="2"/>
      <c r="AU3" s="10">
        <f>INDEX(AV11:AV1056,MATCH(AS3,AU11:AU1056,0))</f>
        <v>-0.15970864197530862</v>
      </c>
      <c r="AV3" s="26" t="s">
        <v>16</v>
      </c>
      <c r="AW3" s="11">
        <f>AW9</f>
        <v>24.253476140740737</v>
      </c>
      <c r="AX3" s="9"/>
      <c r="AY3" s="2" t="s">
        <v>44</v>
      </c>
      <c r="AZ3" s="2"/>
      <c r="BA3" s="2">
        <f>INDEX(BC11:BC1056,MATCH(0,BD11:BD1056,-1))</f>
        <v>1.73187</v>
      </c>
      <c r="BB3" s="2"/>
      <c r="BC3" s="10">
        <f>INDEX(BD11:BD1056,MATCH(BA3,BC11:BC1056,0))</f>
        <v>1.4678518518518517</v>
      </c>
      <c r="BD3" s="26" t="s">
        <v>16</v>
      </c>
      <c r="BE3" s="11">
        <f>BE9</f>
        <v>24.302727540740744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2.4914701861001953</v>
      </c>
      <c r="H4" s="2"/>
      <c r="I4" s="2">
        <f>INDEX(K11:K1000,1+MATCH(0,L11:L856,1))</f>
        <v>1.7337</v>
      </c>
      <c r="J4" s="2"/>
      <c r="K4" s="10">
        <f>INDEX(L11:L1056,MATCH(I4,K11:K1056,0))</f>
        <v>0.99879135802469143</v>
      </c>
      <c r="L4" s="25">
        <f>M3/(I6*L9)</f>
        <v>0.76598929923209513</v>
      </c>
      <c r="M4" s="8" t="s">
        <v>17</v>
      </c>
      <c r="N4" s="9"/>
      <c r="O4" s="2">
        <f>ABS(Q3-Q4)/ABS(S3-S4)*1000</f>
        <v>2.1319000956243714</v>
      </c>
      <c r="P4" s="2"/>
      <c r="Q4" s="2">
        <f>INDEX(S11:S856,1+MATCH(0,T11:T856,-1))</f>
        <v>1.7468300000000001</v>
      </c>
      <c r="R4" s="2"/>
      <c r="S4" s="10">
        <f>INDEX(T11:T856,MATCH(Q4,S11:S856,0))</f>
        <v>-1.756827160493827</v>
      </c>
      <c r="T4" s="25">
        <f>U3/(Q6*T9)</f>
        <v>0.75924997558003071</v>
      </c>
      <c r="U4" s="8" t="s">
        <v>17</v>
      </c>
      <c r="X4" s="9"/>
      <c r="Y4" s="2">
        <f>ABS(AA3-AA4)/ABS(AC3-AC4)*1000</f>
        <v>2.7898763041356207</v>
      </c>
      <c r="Z4" s="2"/>
      <c r="AA4" s="2">
        <f>INDEX(AC11:AC1000,1+MATCH(0,AD11:AD856,1))</f>
        <v>1.72424</v>
      </c>
      <c r="AB4" s="2"/>
      <c r="AC4" s="10">
        <f>INDEX(AD11:AD1056,MATCH(AA4,AC11:AC1056,0))</f>
        <v>1.4467654320987653</v>
      </c>
      <c r="AD4" s="25">
        <f>AE3/(AA6*AD9)</f>
        <v>0.76901798743021366</v>
      </c>
      <c r="AE4" s="8" t="s">
        <v>17</v>
      </c>
      <c r="AF4" s="9"/>
      <c r="AG4" s="2">
        <f>ABS(AI3-AI4)/ABS(AK3-AK4)*1000</f>
        <v>3.05784369511071</v>
      </c>
      <c r="AH4" s="2"/>
      <c r="AI4" s="2">
        <f>INDEX(AK11:AK856,1+MATCH(0,AL11:AL856,-1))</f>
        <v>1.7379800000000001</v>
      </c>
      <c r="AJ4" s="2"/>
      <c r="AK4" s="10">
        <f>INDEX(AL11:AL856,MATCH(AI4,AK11:AK856,0))</f>
        <v>-0.64576666666666649</v>
      </c>
      <c r="AL4" s="25">
        <f>AM3/(AI6*AL9)</f>
        <v>0.76444186478249787</v>
      </c>
      <c r="AM4" s="8" t="s">
        <v>17</v>
      </c>
      <c r="AP4" s="9"/>
      <c r="AQ4" s="2">
        <f>ABS(AS3-AS4)/ABS(AU3-AU4)*1000</f>
        <v>2.8765188640901616</v>
      </c>
      <c r="AR4" s="2"/>
      <c r="AS4" s="2">
        <f>INDEX(AU11:AU1000,1+MATCH(0,AV11:AV856,1))</f>
        <v>1.72363</v>
      </c>
      <c r="AT4" s="2"/>
      <c r="AU4" s="10">
        <f>INDEX(AV11:AV1056,MATCH(AS4,AU11:AU1056,0))</f>
        <v>1.6445555555555553</v>
      </c>
      <c r="AV4" s="25">
        <f>AW3/(AS6*AV9)</f>
        <v>0.77025646291312144</v>
      </c>
      <c r="AW4" s="8" t="s">
        <v>17</v>
      </c>
      <c r="AX4" s="9"/>
      <c r="AY4" s="2">
        <f>ABS(BA3-BA4)/ABS(BC3-BC4)*1000</f>
        <v>3.3038160552239551</v>
      </c>
      <c r="AZ4" s="2"/>
      <c r="BA4" s="2">
        <f>INDEX(BC11:BC856,1+MATCH(0,BD11:BD856,-1))</f>
        <v>1.73767</v>
      </c>
      <c r="BB4" s="2"/>
      <c r="BC4" s="10">
        <f>INDEX(BD11:BD856,MATCH(BA4,BC11:BC856,0))</f>
        <v>-0.2876938271604938</v>
      </c>
      <c r="BD4" s="25">
        <f>BE3/(BA6*BD9)</f>
        <v>0.76751414442880017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16.28358024691358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16.249629629629627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16.072592592592592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16.264691358024692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16.18938271604938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16.2420987654321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1.7361884588906531</v>
      </c>
      <c r="J6" s="25"/>
      <c r="K6" s="2">
        <f>INDEX(K11:K1056,MATCH(L6,L11:L1056,0))</f>
        <v>3.7771600000000002E-2</v>
      </c>
      <c r="L6" s="10">
        <f>INDEX(L11:L1056,MATCH(0,K11:K1056,-1))</f>
        <v>18.51395061728395</v>
      </c>
      <c r="M6" s="8" t="s">
        <v>22</v>
      </c>
      <c r="N6" s="9"/>
      <c r="O6" s="2"/>
      <c r="P6" s="2"/>
      <c r="Q6" s="27">
        <f>(Q3-Q4)/(S3-S4)*(-S4)+Q4</f>
        <v>1.7430846200085479</v>
      </c>
      <c r="R6" s="27"/>
      <c r="S6" s="2">
        <f>INDEX(S11:S1056,MATCH(T6,T11:T1056,0))</f>
        <v>-1.45691E-2</v>
      </c>
      <c r="T6" s="10">
        <f>INDEX(T11:T1056,MATCH(0,S11:S1056,1))</f>
        <v>18.502716049382713</v>
      </c>
      <c r="U6" s="8" t="s">
        <v>22</v>
      </c>
      <c r="X6" s="9"/>
      <c r="Y6" s="2"/>
      <c r="Z6" s="2"/>
      <c r="AA6" s="25">
        <f>(AA3-AA4)/(AC3-AC4)*(-AC4)+AA4</f>
        <v>1.7282762965966549</v>
      </c>
      <c r="AB6" s="25"/>
      <c r="AC6" s="2">
        <f>INDEX(AC11:AC1056,MATCH(AD6,AD11:AD1056,0))</f>
        <v>3.7738000000000001E-2</v>
      </c>
      <c r="AD6" s="10">
        <f>INDEX(AD11:AD1056,MATCH(0,AC11:AC1056,-1))</f>
        <v>18.231481481481481</v>
      </c>
      <c r="AE6" s="8" t="s">
        <v>22</v>
      </c>
      <c r="AF6" s="9"/>
      <c r="AG6" s="2"/>
      <c r="AH6" s="2"/>
      <c r="AI6" s="27">
        <f>(AI3-AI4)/(AK3-AK4)*(-AK4)+AI4</f>
        <v>1.7360053464698209</v>
      </c>
      <c r="AJ6" s="27"/>
      <c r="AK6" s="2">
        <f>INDEX(AK11:AK1056,MATCH(AL6,AL11:AL1056,0))</f>
        <v>-4.3975799999999999E-3</v>
      </c>
      <c r="AL6" s="10">
        <f>INDEX(AL11:AL1056,MATCH(0,AK11:AK1056,1))</f>
        <v>18.231481481481481</v>
      </c>
      <c r="AM6" s="8" t="s">
        <v>22</v>
      </c>
      <c r="AP6" s="9"/>
      <c r="AQ6" s="2"/>
      <c r="AR6" s="2"/>
      <c r="AS6" s="25">
        <f>(AS3-AS4)/(AU3-AU4)*(-AU4)+AS4</f>
        <v>1.7283605950785998</v>
      </c>
      <c r="AT6" s="25"/>
      <c r="AU6" s="2">
        <f>INDEX(AU11:AU1056,MATCH(AV6,AV11:AV1056,0))</f>
        <v>2.47803E-3</v>
      </c>
      <c r="AV6" s="10">
        <f>INDEX(AV11:AV1056,MATCH(0,AU11:AU1056,-1))</f>
        <v>18.216296296296292</v>
      </c>
      <c r="AW6" s="8" t="s">
        <v>22</v>
      </c>
      <c r="AX6" s="9"/>
      <c r="AY6" s="2"/>
      <c r="AZ6" s="2"/>
      <c r="BA6" s="27">
        <f>(BA3-BA4)/(BC3-BC4)*(-BC4)+BA4</f>
        <v>1.7367195125148385</v>
      </c>
      <c r="BB6" s="27"/>
      <c r="BC6" s="2">
        <f>INDEX(BC11:BC1056,MATCH(BD6,BD11:BD1056,0))</f>
        <v>-1.45538E-2</v>
      </c>
      <c r="BD6" s="10">
        <f>INDEX(BD11:BD1056,MATCH(0,BC11:BC1056,1))</f>
        <v>18.246543209876542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-2.6001000000000002E-3</v>
      </c>
      <c r="L7" s="10">
        <f>INDEX(L11:L856,1+MATCH(0,K11:K856,-1))</f>
        <v>18.529012345679011</v>
      </c>
      <c r="M7" s="12">
        <f>INDEX(K11:K1056,MATCH(M9,M11:M1056,0))</f>
        <v>1.5124500000000001</v>
      </c>
      <c r="N7" s="9"/>
      <c r="O7" s="2"/>
      <c r="P7" s="2"/>
      <c r="Q7" s="2"/>
      <c r="R7" s="2"/>
      <c r="S7" s="2">
        <f>INDEX(S11:S1056,MATCH(T7,T11:T1056,0))</f>
        <v>6.3781700000000005E-4</v>
      </c>
      <c r="T7" s="10">
        <f>INDEX(T11:T1056,1+MATCH(0,S11:S1056,1))</f>
        <v>18.495185185185186</v>
      </c>
      <c r="U7" s="12">
        <f>INDEX(S11:S1056,MATCH(U9,U11:U1056,0))</f>
        <v>1.50604</v>
      </c>
      <c r="X7" s="9"/>
      <c r="Y7" s="2"/>
      <c r="Z7" s="2"/>
      <c r="AA7" s="2"/>
      <c r="AB7" s="2"/>
      <c r="AC7" s="2">
        <f>INDEX(AC11:AC856,MATCH(AD7,AD11:AD856,1))</f>
        <v>-2.6763899999999998E-3</v>
      </c>
      <c r="AD7" s="10">
        <f>INDEX(AD11:AD856,1+MATCH(0,AC11:AC856,-1))</f>
        <v>18.239012345679011</v>
      </c>
      <c r="AE7" s="12">
        <f>INDEX(AC11:AC1056,MATCH(AE9,AE11:AE1056,0))</f>
        <v>1.50665</v>
      </c>
      <c r="AF7" s="9"/>
      <c r="AG7" s="2"/>
      <c r="AH7" s="2"/>
      <c r="AI7" s="2"/>
      <c r="AJ7" s="2"/>
      <c r="AK7" s="2">
        <f>INDEX(AK11:AK1056,MATCH(AL7,AL11:AL1056,0))</f>
        <v>6.5917999999999999E-4</v>
      </c>
      <c r="AL7" s="10">
        <f>INDEX(AL11:AL1056,1+MATCH(0,AK11:AK1056,1))</f>
        <v>18.212592592592593</v>
      </c>
      <c r="AM7" s="12">
        <f>INDEX(AK11:AK1056,MATCH(AM9,AM11:AM1056,0))</f>
        <v>1.4856</v>
      </c>
      <c r="AP7" s="9"/>
      <c r="AQ7" s="2"/>
      <c r="AR7" s="2"/>
      <c r="AS7" s="2"/>
      <c r="AT7" s="2"/>
      <c r="AU7" s="2">
        <f>INDEX(AU11:AU856,MATCH(AV7,AV11:AV856,1))</f>
        <v>-2.6367199999999999E-3</v>
      </c>
      <c r="AV7" s="10">
        <f>INDEX(AV11:AV856,1+MATCH(0,AU11:AU856,-1))</f>
        <v>18.22012345679012</v>
      </c>
      <c r="AW7" s="12">
        <f>INDEX(AU11:AU1056,MATCH(AW9,AW11:AW1056,0))</f>
        <v>1.4975000000000001</v>
      </c>
      <c r="AX7" s="9"/>
      <c r="AY7" s="2"/>
      <c r="AZ7" s="2"/>
      <c r="BA7" s="2"/>
      <c r="BB7" s="2"/>
      <c r="BC7" s="2">
        <f>INDEX(BC11:BC1056,MATCH(BD7,BD11:BD1056,0))</f>
        <v>7.2326699999999999E-4</v>
      </c>
      <c r="BD7" s="10">
        <f>INDEX(BD11:BD1056,1+MATCH(0,BC11:BC1056,1))</f>
        <v>18.231481481481481</v>
      </c>
      <c r="BE7" s="12">
        <f>INDEX(BC11:BC1056,MATCH(BE9,BE11:BE1056,0))</f>
        <v>1.49597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0.66089173668361945</v>
      </c>
      <c r="J9" s="2"/>
      <c r="K9" s="2"/>
      <c r="L9" s="3">
        <f>(L6-L7)/(K6-K7)*(-K7)+L7</f>
        <v>18.528042309737991</v>
      </c>
      <c r="M9" s="15">
        <f>MAX(M11:M1056)</f>
        <v>24.640476465432098</v>
      </c>
      <c r="N9" s="9"/>
      <c r="O9" s="2"/>
      <c r="P9" s="2"/>
      <c r="Q9" s="2"/>
      <c r="R9" s="2"/>
      <c r="S9" s="2"/>
      <c r="T9" s="3">
        <f>(T6-T7)/(S6-S7)*(-S7)+T7</f>
        <v>18.495501048894436</v>
      </c>
      <c r="U9" s="15">
        <f>MAX(U11:U1056)</f>
        <v>24.477629592592589</v>
      </c>
      <c r="X9" s="9"/>
      <c r="Y9" s="2"/>
      <c r="Z9" s="2"/>
      <c r="AA9" s="14">
        <f>(MAX(AD2,AL2)-MIN(AD2,AL2))/MAX(AD2,AL2)%</f>
        <v>0.27893870208778976</v>
      </c>
      <c r="AB9" s="2"/>
      <c r="AC9" s="2"/>
      <c r="AD9" s="3">
        <f>(AD6-AD7)/(AC6-AC7)*(-AC7)+AD7</f>
        <v>18.238513624069466</v>
      </c>
      <c r="AE9" s="15">
        <f>MAX(AE11:AE1056)</f>
        <v>24.240362696296298</v>
      </c>
      <c r="AF9" s="9"/>
      <c r="AG9" s="2"/>
      <c r="AH9" s="2"/>
      <c r="AI9" s="2"/>
      <c r="AJ9" s="2"/>
      <c r="AK9" s="2"/>
      <c r="AL9" s="3">
        <f>(AL6-AL7)/(AK6-AK7)*(-AK7)+AL7</f>
        <v>18.215054876303462</v>
      </c>
      <c r="AM9" s="15">
        <f>MAX(AM11:AM1056)</f>
        <v>24.172746943209876</v>
      </c>
      <c r="AP9" s="9"/>
      <c r="AQ9" s="2"/>
      <c r="AR9" s="2"/>
      <c r="AS9" s="14">
        <f>(MAX(AV2,BD2)-MIN(AV2,BD2))/MAX(AV2,BD2)%</f>
        <v>0.20265791120540708</v>
      </c>
      <c r="AT9" s="2"/>
      <c r="AU9" s="2"/>
      <c r="AV9" s="3">
        <f>(AV6-AV7)/(AU6-AU7)*(-AU7)+AV7</f>
        <v>18.218150505889824</v>
      </c>
      <c r="AW9" s="15">
        <f>MAX(AW11:AW1056)</f>
        <v>24.253476140740737</v>
      </c>
      <c r="AX9" s="9"/>
      <c r="AY9" s="2"/>
      <c r="AZ9" s="2"/>
      <c r="BA9" s="2"/>
      <c r="BB9" s="2"/>
      <c r="BC9" s="2"/>
      <c r="BD9" s="3">
        <f>(BD6-BD7)/(BC6-BC7)*(-BC7)+BD7</f>
        <v>18.23219455363801</v>
      </c>
      <c r="BE9" s="15">
        <f>MAX(BE11:BE1056)</f>
        <v>24.302727540740744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1.7361884588906531</v>
      </c>
      <c r="B11" s="18">
        <f>IFERROR(L9,0)</f>
        <v>18.528042309737991</v>
      </c>
      <c r="C11" s="19">
        <f>IFERROR(L4,0)</f>
        <v>0.76598929923209513</v>
      </c>
      <c r="D11" s="20">
        <f>IFERROR(L2,0)</f>
        <v>24.640476465432098</v>
      </c>
      <c r="E11" s="20">
        <f>IFERROR(I9,0)</f>
        <v>0.66089173668361945</v>
      </c>
      <c r="F11" s="9"/>
      <c r="G11" s="21">
        <v>1.76498</v>
      </c>
      <c r="H11" s="21">
        <v>2.8833500000000001</v>
      </c>
      <c r="I11" s="21">
        <v>1.27899E-2</v>
      </c>
      <c r="J11" s="21">
        <v>1</v>
      </c>
      <c r="K11" s="21">
        <v>1.7645299999999999</v>
      </c>
      <c r="L11">
        <f>-I11/$F$2*1000</f>
        <v>-15.79</v>
      </c>
      <c r="M11">
        <f>L11*G11</f>
        <v>-27.869034199999998</v>
      </c>
      <c r="N11" s="9"/>
      <c r="O11" s="21">
        <v>-9.49097E-2</v>
      </c>
      <c r="P11" s="21">
        <v>6.6421200000000002</v>
      </c>
      <c r="Q11" s="21">
        <v>-1.5075699999999999E-2</v>
      </c>
      <c r="R11" s="21">
        <v>1</v>
      </c>
      <c r="S11" s="21">
        <v>-9.5336900000000002E-2</v>
      </c>
      <c r="T11">
        <f>-Q11/$F$2*1000</f>
        <v>18.611975308641973</v>
      </c>
      <c r="U11">
        <f>T11*O11</f>
        <v>-1.7664569929506171</v>
      </c>
      <c r="V11" s="22"/>
      <c r="W11" s="23"/>
      <c r="X11" s="9"/>
      <c r="Y11" s="21">
        <v>1.76498</v>
      </c>
      <c r="Z11" s="21">
        <v>14.079599999999999</v>
      </c>
      <c r="AA11" s="21">
        <v>1.5869100000000001E-2</v>
      </c>
      <c r="AB11" s="21">
        <v>1</v>
      </c>
      <c r="AC11" s="21">
        <v>1.7645299999999999</v>
      </c>
      <c r="AD11">
        <f>-AA11/$F$2*1000</f>
        <v>-19.59148148148148</v>
      </c>
      <c r="AE11">
        <f>AD11*Y11</f>
        <v>-34.578572985185183</v>
      </c>
      <c r="AF11" s="9"/>
      <c r="AG11" s="21">
        <v>-9.49097E-2</v>
      </c>
      <c r="AH11" s="21">
        <v>17.8384</v>
      </c>
      <c r="AI11" s="21">
        <v>-1.4932300000000001E-2</v>
      </c>
      <c r="AJ11" s="21">
        <v>1</v>
      </c>
      <c r="AK11" s="21">
        <v>-9.5336900000000002E-2</v>
      </c>
      <c r="AL11">
        <f>-AI11/$F$2*1000</f>
        <v>18.434938271604938</v>
      </c>
      <c r="AM11">
        <f>AL11*AG11</f>
        <v>-1.7496544608765432</v>
      </c>
      <c r="AP11" s="9"/>
      <c r="AQ11" s="21">
        <v>1.76498</v>
      </c>
      <c r="AR11" s="21">
        <v>23.331800000000001</v>
      </c>
      <c r="AS11" s="21">
        <v>1.5374799999999999E-2</v>
      </c>
      <c r="AT11" s="21">
        <v>1</v>
      </c>
      <c r="AU11" s="21">
        <v>1.7648299999999999</v>
      </c>
      <c r="AV11">
        <f>-AS11/$F$2*1000</f>
        <v>-18.981234567901232</v>
      </c>
      <c r="AW11">
        <f>AV11*AQ11</f>
        <v>-33.50149938765432</v>
      </c>
      <c r="AX11" s="9"/>
      <c r="AY11" s="21">
        <v>-9.49097E-2</v>
      </c>
      <c r="AZ11" s="21">
        <v>27.090599999999998</v>
      </c>
      <c r="BA11" s="21">
        <v>-1.4913900000000001E-2</v>
      </c>
      <c r="BB11" s="21">
        <v>1</v>
      </c>
      <c r="BC11" s="21">
        <v>-9.5245399999999994E-2</v>
      </c>
      <c r="BD11">
        <f>-BA11/$F$2*1000</f>
        <v>18.412222222222223</v>
      </c>
      <c r="BE11">
        <f>BD11*AY11</f>
        <v>-1.7474984874444446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1.7430846200085479</v>
      </c>
      <c r="B12" s="18">
        <f>IFERROR(T9,0)</f>
        <v>18.495501048894436</v>
      </c>
      <c r="C12" s="19">
        <f>IFERROR(T4,0)</f>
        <v>0.75924997558003071</v>
      </c>
      <c r="D12" s="20">
        <f>IFERROR(T2,0)</f>
        <v>24.477629592592585</v>
      </c>
      <c r="E12" s="20"/>
      <c r="F12" s="9"/>
      <c r="G12" s="21">
        <v>1.7599499999999999</v>
      </c>
      <c r="H12" s="21">
        <v>2.8934199999999999</v>
      </c>
      <c r="I12" s="21">
        <v>9.9853500000000005E-3</v>
      </c>
      <c r="J12" s="21">
        <v>2</v>
      </c>
      <c r="K12" s="21">
        <v>1.7596400000000001</v>
      </c>
      <c r="L12">
        <f t="shared" ref="L12:L75" si="0">-I12/$F$2*1000</f>
        <v>-12.327592592592593</v>
      </c>
      <c r="M12">
        <f t="shared" ref="M12:M75" si="1">L12*G12</f>
        <v>-21.695946583333331</v>
      </c>
      <c r="N12" s="9"/>
      <c r="O12" s="21">
        <v>-8.9874300000000004E-2</v>
      </c>
      <c r="P12" s="21">
        <v>6.65219</v>
      </c>
      <c r="Q12" s="21">
        <v>-1.5069600000000001E-2</v>
      </c>
      <c r="R12" s="21">
        <v>2</v>
      </c>
      <c r="S12" s="21">
        <v>-9.0271000000000004E-2</v>
      </c>
      <c r="T12">
        <f t="shared" ref="T12:T75" si="2">-Q12/$F$2*1000</f>
        <v>18.604444444444443</v>
      </c>
      <c r="U12">
        <f t="shared" ref="U12:U75" si="3">T12*O12</f>
        <v>-1.6720614213333334</v>
      </c>
      <c r="V12" s="22"/>
      <c r="W12" s="23"/>
      <c r="X12" s="9"/>
      <c r="Y12" s="21">
        <v>1.7599499999999999</v>
      </c>
      <c r="Z12" s="21">
        <v>14.089700000000001</v>
      </c>
      <c r="AA12" s="21">
        <v>1.31317E-2</v>
      </c>
      <c r="AB12" s="21">
        <v>2</v>
      </c>
      <c r="AC12" s="21">
        <v>1.7596400000000001</v>
      </c>
      <c r="AD12">
        <f t="shared" ref="AD12:AD75" si="4">-AA12/$F$2*1000</f>
        <v>-16.211975308641971</v>
      </c>
      <c r="AE12">
        <f t="shared" ref="AE12:AE75" si="5">AD12*Y12</f>
        <v>-28.532265944444436</v>
      </c>
      <c r="AF12" s="9"/>
      <c r="AG12" s="21">
        <v>-8.9874300000000004E-2</v>
      </c>
      <c r="AH12" s="21">
        <v>17.848400000000002</v>
      </c>
      <c r="AI12" s="21">
        <v>-1.4919999999999999E-2</v>
      </c>
      <c r="AJ12" s="21">
        <v>2</v>
      </c>
      <c r="AK12" s="21">
        <v>-9.0301500000000007E-2</v>
      </c>
      <c r="AL12">
        <f t="shared" ref="AL12:AL75" si="6">-AI12/$F$2*1000</f>
        <v>18.41975308641975</v>
      </c>
      <c r="AM12">
        <f t="shared" ref="AM12:AM75" si="7">AL12*AG12</f>
        <v>-1.6554624148148145</v>
      </c>
      <c r="AP12" s="9"/>
      <c r="AQ12" s="21">
        <v>1.7599499999999999</v>
      </c>
      <c r="AR12" s="21">
        <v>23.341899999999999</v>
      </c>
      <c r="AS12" s="21">
        <v>1.2716699999999999E-2</v>
      </c>
      <c r="AT12" s="21">
        <v>2</v>
      </c>
      <c r="AU12" s="21">
        <v>1.7593399999999999</v>
      </c>
      <c r="AV12">
        <f t="shared" ref="AV12:AV75" si="8">-AS12/$F$2*1000</f>
        <v>-15.699629629629626</v>
      </c>
      <c r="AW12">
        <f t="shared" ref="AW12:AW75" si="9">AV12*AQ12</f>
        <v>-27.630563166666661</v>
      </c>
      <c r="AX12" s="9"/>
      <c r="AY12" s="21">
        <v>-8.9874300000000004E-2</v>
      </c>
      <c r="AZ12" s="21">
        <v>27.1007</v>
      </c>
      <c r="BA12" s="21">
        <v>-1.4892600000000001E-2</v>
      </c>
      <c r="BB12" s="21">
        <v>2</v>
      </c>
      <c r="BC12" s="21">
        <v>-9.0423600000000007E-2</v>
      </c>
      <c r="BD12">
        <f t="shared" ref="BD12:BD75" si="10">-BA12/$F$2*1000</f>
        <v>18.385925925925928</v>
      </c>
      <c r="BE12">
        <f t="shared" ref="BE12:BE75" si="11">BD12*AY12</f>
        <v>-1.6524222224444447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1.7282762965966549</v>
      </c>
      <c r="B13" s="18">
        <f>IFERROR(AD9,0)</f>
        <v>18.238513624069466</v>
      </c>
      <c r="C13" s="19">
        <f>IFERROR(AD4,0)</f>
        <v>0.76901798743021366</v>
      </c>
      <c r="D13" s="20">
        <f>IFERROR(AD2,0)</f>
        <v>24.240362696296298</v>
      </c>
      <c r="E13" s="20">
        <f>IFERROR(AA9,0)</f>
        <v>0.27893870208778976</v>
      </c>
      <c r="F13" s="9"/>
      <c r="G13" s="21">
        <v>1.75491</v>
      </c>
      <c r="H13" s="21">
        <v>2.9034900000000001</v>
      </c>
      <c r="I13" s="21">
        <v>7.3577900000000003E-3</v>
      </c>
      <c r="J13" s="21">
        <v>3</v>
      </c>
      <c r="K13" s="21">
        <v>1.7547600000000001</v>
      </c>
      <c r="L13">
        <f t="shared" si="0"/>
        <v>-9.0836913580246907</v>
      </c>
      <c r="M13">
        <f t="shared" si="1"/>
        <v>-15.94106080111111</v>
      </c>
      <c r="N13" s="9"/>
      <c r="O13" s="21">
        <v>-8.4838899999999995E-2</v>
      </c>
      <c r="P13" s="21">
        <v>6.6622599999999998</v>
      </c>
      <c r="Q13" s="21">
        <v>-1.50665E-2</v>
      </c>
      <c r="R13" s="21">
        <v>3</v>
      </c>
      <c r="S13" s="21">
        <v>-8.5266099999999997E-2</v>
      </c>
      <c r="T13">
        <f t="shared" si="2"/>
        <v>18.600617283950616</v>
      </c>
      <c r="U13">
        <f t="shared" si="3"/>
        <v>-1.5780559096913578</v>
      </c>
      <c r="V13" s="22"/>
      <c r="W13" s="23"/>
      <c r="X13" s="9"/>
      <c r="Y13" s="21">
        <v>1.75491</v>
      </c>
      <c r="Z13" s="21">
        <v>14.0997</v>
      </c>
      <c r="AA13" s="21">
        <v>1.05713E-2</v>
      </c>
      <c r="AB13" s="21">
        <v>3</v>
      </c>
      <c r="AC13" s="21">
        <v>1.7544599999999999</v>
      </c>
      <c r="AD13">
        <f t="shared" si="4"/>
        <v>-13.050987654320988</v>
      </c>
      <c r="AE13">
        <f t="shared" si="5"/>
        <v>-22.903308744444445</v>
      </c>
      <c r="AF13" s="9"/>
      <c r="AG13" s="21">
        <v>-8.4838899999999995E-2</v>
      </c>
      <c r="AH13" s="21">
        <v>17.858499999999999</v>
      </c>
      <c r="AI13" s="21">
        <v>-1.49017E-2</v>
      </c>
      <c r="AJ13" s="21">
        <v>3</v>
      </c>
      <c r="AK13" s="21">
        <v>-8.5388199999999997E-2</v>
      </c>
      <c r="AL13">
        <f t="shared" si="6"/>
        <v>18.397160493827158</v>
      </c>
      <c r="AM13">
        <f t="shared" si="7"/>
        <v>-1.5607948594197527</v>
      </c>
      <c r="AP13" s="9"/>
      <c r="AQ13" s="21">
        <v>1.75491</v>
      </c>
      <c r="AR13" s="21">
        <v>23.352</v>
      </c>
      <c r="AS13" s="21">
        <v>1.0208099999999999E-2</v>
      </c>
      <c r="AT13" s="21">
        <v>3</v>
      </c>
      <c r="AU13" s="21">
        <v>1.7544599999999999</v>
      </c>
      <c r="AV13">
        <f t="shared" si="8"/>
        <v>-12.602592592592591</v>
      </c>
      <c r="AW13">
        <f t="shared" si="9"/>
        <v>-22.116415766666663</v>
      </c>
      <c r="AX13" s="9"/>
      <c r="AY13" s="21">
        <v>-8.4838899999999995E-2</v>
      </c>
      <c r="AZ13" s="21">
        <v>27.110700000000001</v>
      </c>
      <c r="BA13" s="21">
        <v>-1.48773E-2</v>
      </c>
      <c r="BB13" s="21">
        <v>3</v>
      </c>
      <c r="BC13" s="21">
        <v>-8.5266099999999997E-2</v>
      </c>
      <c r="BD13">
        <f t="shared" si="10"/>
        <v>18.367037037037036</v>
      </c>
      <c r="BE13">
        <f t="shared" si="11"/>
        <v>-1.5582392184814813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1.7360053464698209</v>
      </c>
      <c r="B14" s="18">
        <f>IFERROR(AL9,0)</f>
        <v>18.215054876303462</v>
      </c>
      <c r="C14" s="19">
        <f>IFERROR(AL4,0)</f>
        <v>0.76444186478249787</v>
      </c>
      <c r="D14" s="20">
        <f>IFERROR(AL2,0)</f>
        <v>24.172746943209876</v>
      </c>
      <c r="E14" s="20"/>
      <c r="F14" s="9"/>
      <c r="G14" s="21">
        <v>1.7498800000000001</v>
      </c>
      <c r="H14" s="21">
        <v>2.9135599999999999</v>
      </c>
      <c r="I14" s="21">
        <v>4.9505599999999997E-3</v>
      </c>
      <c r="J14" s="21">
        <v>4</v>
      </c>
      <c r="K14" s="21">
        <v>1.7495700000000001</v>
      </c>
      <c r="L14">
        <f t="shared" si="0"/>
        <v>-6.1118024691358022</v>
      </c>
      <c r="M14">
        <f t="shared" si="1"/>
        <v>-10.694920904691358</v>
      </c>
      <c r="N14" s="9"/>
      <c r="O14" s="21">
        <v>-7.9803499999999999E-2</v>
      </c>
      <c r="P14" s="21">
        <v>6.6723299999999997</v>
      </c>
      <c r="Q14" s="21">
        <v>-1.5069600000000001E-2</v>
      </c>
      <c r="R14" s="21">
        <v>4</v>
      </c>
      <c r="S14" s="21">
        <v>-8.0200199999999999E-2</v>
      </c>
      <c r="T14">
        <f t="shared" si="2"/>
        <v>18.604444444444443</v>
      </c>
      <c r="U14">
        <f t="shared" si="3"/>
        <v>-1.4846997822222221</v>
      </c>
      <c r="V14" s="22"/>
      <c r="W14" s="23"/>
      <c r="X14" s="9"/>
      <c r="Y14" s="21">
        <v>1.7498800000000001</v>
      </c>
      <c r="Z14" s="21">
        <v>14.1098</v>
      </c>
      <c r="AA14" s="21">
        <v>8.1909200000000008E-3</v>
      </c>
      <c r="AB14" s="21">
        <v>4</v>
      </c>
      <c r="AC14" s="21">
        <v>1.7489600000000001</v>
      </c>
      <c r="AD14">
        <f t="shared" si="4"/>
        <v>-10.112246913580249</v>
      </c>
      <c r="AE14">
        <f t="shared" si="5"/>
        <v>-17.695218629135805</v>
      </c>
      <c r="AF14" s="9"/>
      <c r="AG14" s="21">
        <v>-7.9803499999999999E-2</v>
      </c>
      <c r="AH14" s="21">
        <v>17.868600000000001</v>
      </c>
      <c r="AI14" s="21">
        <v>-1.48865E-2</v>
      </c>
      <c r="AJ14" s="21">
        <v>4</v>
      </c>
      <c r="AK14" s="21">
        <v>-8.0261200000000005E-2</v>
      </c>
      <c r="AL14">
        <f t="shared" si="6"/>
        <v>18.378395061728394</v>
      </c>
      <c r="AM14">
        <f t="shared" si="7"/>
        <v>-1.4666602503086419</v>
      </c>
      <c r="AP14" s="9"/>
      <c r="AQ14" s="21">
        <v>1.7498800000000001</v>
      </c>
      <c r="AR14" s="21">
        <v>23.361999999999998</v>
      </c>
      <c r="AS14" s="21">
        <v>7.8735400000000001E-3</v>
      </c>
      <c r="AT14" s="21">
        <v>4</v>
      </c>
      <c r="AU14" s="21">
        <v>1.7489600000000001</v>
      </c>
      <c r="AV14">
        <f t="shared" si="8"/>
        <v>-9.7204197530864196</v>
      </c>
      <c r="AW14">
        <f t="shared" si="9"/>
        <v>-17.009568117530865</v>
      </c>
      <c r="AX14" s="9"/>
      <c r="AY14" s="21">
        <v>-7.9803499999999999E-2</v>
      </c>
      <c r="AZ14" s="21">
        <v>27.120799999999999</v>
      </c>
      <c r="BA14" s="21">
        <v>-1.4871199999999999E-2</v>
      </c>
      <c r="BB14" s="21">
        <v>4</v>
      </c>
      <c r="BC14" s="21">
        <v>-8.0230700000000002E-2</v>
      </c>
      <c r="BD14">
        <f t="shared" si="10"/>
        <v>18.359506172839506</v>
      </c>
      <c r="BE14">
        <f t="shared" si="11"/>
        <v>-1.4651528508641976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1.7283605950785998</v>
      </c>
      <c r="B15" s="18">
        <f>IFERROR(AV9,0)</f>
        <v>18.218150505889824</v>
      </c>
      <c r="C15" s="19">
        <f>IFERROR(AV4,0)</f>
        <v>0.77025646291312144</v>
      </c>
      <c r="D15" s="20">
        <f>IFERROR(AV2,0)</f>
        <v>24.253476140740737</v>
      </c>
      <c r="E15" s="20">
        <f>IFERROR(AS9,0)</f>
        <v>0.20265791120540708</v>
      </c>
      <c r="F15" s="9"/>
      <c r="G15" s="21">
        <v>1.7448399999999999</v>
      </c>
      <c r="H15" s="21">
        <v>2.9236300000000002</v>
      </c>
      <c r="I15" s="21">
        <v>2.8146400000000002E-3</v>
      </c>
      <c r="J15" s="21">
        <v>5</v>
      </c>
      <c r="K15" s="21">
        <v>1.74438</v>
      </c>
      <c r="L15">
        <f t="shared" si="0"/>
        <v>-3.4748641975308643</v>
      </c>
      <c r="M15">
        <f t="shared" si="1"/>
        <v>-6.063082046419753</v>
      </c>
      <c r="N15" s="9"/>
      <c r="O15" s="21">
        <v>-7.4768100000000004E-2</v>
      </c>
      <c r="P15" s="21">
        <v>6.6824000000000003</v>
      </c>
      <c r="Q15" s="21">
        <v>-1.50665E-2</v>
      </c>
      <c r="R15" s="21">
        <v>5</v>
      </c>
      <c r="S15" s="21">
        <v>-7.5073200000000007E-2</v>
      </c>
      <c r="T15">
        <f t="shared" si="2"/>
        <v>18.600617283950616</v>
      </c>
      <c r="U15">
        <f t="shared" si="3"/>
        <v>-1.390732813148148</v>
      </c>
      <c r="V15" s="22"/>
      <c r="W15" s="23"/>
      <c r="X15" s="9"/>
      <c r="Y15" s="21">
        <v>1.7448399999999999</v>
      </c>
      <c r="Z15" s="21">
        <v>14.119899999999999</v>
      </c>
      <c r="AA15" s="21">
        <v>5.9570300000000003E-3</v>
      </c>
      <c r="AB15" s="21">
        <v>5</v>
      </c>
      <c r="AC15" s="21">
        <v>1.7440800000000001</v>
      </c>
      <c r="AD15">
        <f t="shared" si="4"/>
        <v>-7.3543580246913578</v>
      </c>
      <c r="AE15">
        <f t="shared" si="5"/>
        <v>-12.832178055802469</v>
      </c>
      <c r="AF15" s="9"/>
      <c r="AG15" s="21">
        <v>-7.4768100000000004E-2</v>
      </c>
      <c r="AH15" s="21">
        <v>17.878699999999998</v>
      </c>
      <c r="AI15" s="21">
        <v>-1.48804E-2</v>
      </c>
      <c r="AJ15" s="21">
        <v>5</v>
      </c>
      <c r="AK15" s="21">
        <v>-7.5256299999999998E-2</v>
      </c>
      <c r="AL15">
        <f t="shared" si="6"/>
        <v>18.370864197530864</v>
      </c>
      <c r="AM15">
        <f t="shared" si="7"/>
        <v>-1.3735546114074075</v>
      </c>
      <c r="AP15" s="9"/>
      <c r="AQ15" s="21">
        <v>1.7448399999999999</v>
      </c>
      <c r="AR15" s="21">
        <v>23.3721</v>
      </c>
      <c r="AS15" s="21">
        <v>5.6854200000000001E-3</v>
      </c>
      <c r="AT15" s="21">
        <v>5</v>
      </c>
      <c r="AU15" s="21">
        <v>1.7446900000000001</v>
      </c>
      <c r="AV15">
        <f t="shared" si="8"/>
        <v>-7.0190370370370365</v>
      </c>
      <c r="AW15">
        <f t="shared" si="9"/>
        <v>-12.247096583703703</v>
      </c>
      <c r="AX15" s="9"/>
      <c r="AY15" s="21">
        <v>-7.4768100000000004E-2</v>
      </c>
      <c r="AZ15" s="21">
        <v>27.1309</v>
      </c>
      <c r="BA15" s="21">
        <v>-1.4865099999999999E-2</v>
      </c>
      <c r="BB15" s="21">
        <v>5</v>
      </c>
      <c r="BC15" s="21">
        <v>-7.5134300000000001E-2</v>
      </c>
      <c r="BD15">
        <f t="shared" si="10"/>
        <v>18.351975308641972</v>
      </c>
      <c r="BE15">
        <f t="shared" si="11"/>
        <v>-1.3721423250740739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1.7367195125148385</v>
      </c>
      <c r="B16" s="18">
        <f>IFERROR(BD9,0)</f>
        <v>18.23219455363801</v>
      </c>
      <c r="C16" s="19">
        <f>IFERROR(BD4,0)</f>
        <v>0.76751414442880017</v>
      </c>
      <c r="D16" s="20">
        <f>IFERROR(BD2,0)</f>
        <v>24.302727540740744</v>
      </c>
      <c r="E16" s="20"/>
      <c r="F16" s="9"/>
      <c r="G16" s="21">
        <v>1.7398100000000001</v>
      </c>
      <c r="H16" s="21">
        <v>2.93371</v>
      </c>
      <c r="I16" s="21">
        <v>8.7829599999999998E-4</v>
      </c>
      <c r="J16" s="21">
        <v>6</v>
      </c>
      <c r="K16" s="21">
        <v>1.73889</v>
      </c>
      <c r="L16">
        <f t="shared" si="0"/>
        <v>-1.084316049382716</v>
      </c>
      <c r="M16">
        <f t="shared" si="1"/>
        <v>-1.8865039058765432</v>
      </c>
      <c r="N16" s="9"/>
      <c r="O16" s="21">
        <v>-6.9732699999999995E-2</v>
      </c>
      <c r="P16" s="21">
        <v>6.6924700000000001</v>
      </c>
      <c r="Q16" s="21">
        <v>-1.5063500000000001E-2</v>
      </c>
      <c r="R16" s="21">
        <v>6</v>
      </c>
      <c r="S16" s="21">
        <v>-7.0159899999999997E-2</v>
      </c>
      <c r="T16">
        <f t="shared" si="2"/>
        <v>18.596913580246913</v>
      </c>
      <c r="U16">
        <f t="shared" si="3"/>
        <v>-1.2968129956172838</v>
      </c>
      <c r="V16" s="22"/>
      <c r="W16" s="23"/>
      <c r="X16" s="9"/>
      <c r="Y16" s="21">
        <v>1.7398100000000001</v>
      </c>
      <c r="Z16" s="21">
        <v>14.13</v>
      </c>
      <c r="AA16" s="21">
        <v>3.8867200000000002E-3</v>
      </c>
      <c r="AB16" s="21">
        <v>6</v>
      </c>
      <c r="AC16" s="21">
        <v>1.7395</v>
      </c>
      <c r="AD16">
        <f t="shared" si="4"/>
        <v>-4.7984197530864199</v>
      </c>
      <c r="AE16">
        <f t="shared" si="5"/>
        <v>-8.3483386706172844</v>
      </c>
      <c r="AF16" s="9"/>
      <c r="AG16" s="21">
        <v>-6.9732699999999995E-2</v>
      </c>
      <c r="AH16" s="21">
        <v>17.8887</v>
      </c>
      <c r="AI16" s="21">
        <v>-1.4871199999999999E-2</v>
      </c>
      <c r="AJ16" s="21">
        <v>6</v>
      </c>
      <c r="AK16" s="21">
        <v>-7.0129399999999995E-2</v>
      </c>
      <c r="AL16">
        <f t="shared" si="6"/>
        <v>18.359506172839506</v>
      </c>
      <c r="AM16">
        <f t="shared" si="7"/>
        <v>-1.2802579360987654</v>
      </c>
      <c r="AP16" s="9"/>
      <c r="AQ16" s="21">
        <v>1.7398100000000001</v>
      </c>
      <c r="AR16" s="21">
        <v>23.382200000000001</v>
      </c>
      <c r="AS16" s="21">
        <v>3.6767599999999998E-3</v>
      </c>
      <c r="AT16" s="21">
        <v>6</v>
      </c>
      <c r="AU16" s="21">
        <v>1.73889</v>
      </c>
      <c r="AV16">
        <f t="shared" si="8"/>
        <v>-4.5392098765432092</v>
      </c>
      <c r="AW16">
        <f t="shared" si="9"/>
        <v>-7.8973627353086409</v>
      </c>
      <c r="AX16" s="9"/>
      <c r="AY16" s="21">
        <v>-6.9732699999999995E-2</v>
      </c>
      <c r="AZ16" s="21">
        <v>27.140999999999998</v>
      </c>
      <c r="BA16" s="21">
        <v>-1.4849899999999999E-2</v>
      </c>
      <c r="BB16" s="21">
        <v>6</v>
      </c>
      <c r="BC16" s="21">
        <v>-7.0129399999999995E-2</v>
      </c>
      <c r="BD16">
        <f t="shared" si="10"/>
        <v>18.333209876543208</v>
      </c>
      <c r="BE16">
        <f t="shared" si="11"/>
        <v>-1.2784242243580244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1.7347699999999999</v>
      </c>
      <c r="H17" s="21">
        <v>2.9437799999999998</v>
      </c>
      <c r="I17" s="21">
        <v>-8.0902100000000005E-4</v>
      </c>
      <c r="J17" s="21">
        <v>7</v>
      </c>
      <c r="K17" s="21">
        <v>1.7337</v>
      </c>
      <c r="L17">
        <f t="shared" si="0"/>
        <v>0.99879135802469143</v>
      </c>
      <c r="M17">
        <f t="shared" si="1"/>
        <v>1.7326732841604939</v>
      </c>
      <c r="N17" s="9"/>
      <c r="O17" s="21">
        <v>-6.4697299999999999E-2</v>
      </c>
      <c r="P17" s="21">
        <v>6.7025399999999999</v>
      </c>
      <c r="Q17" s="21">
        <v>-1.50574E-2</v>
      </c>
      <c r="R17" s="21">
        <v>7</v>
      </c>
      <c r="S17" s="21">
        <v>-6.5124500000000002E-2</v>
      </c>
      <c r="T17">
        <f t="shared" si="2"/>
        <v>18.589382716049382</v>
      </c>
      <c r="U17">
        <f t="shared" si="3"/>
        <v>-1.2026828703950616</v>
      </c>
      <c r="V17" s="22"/>
      <c r="W17" s="23"/>
      <c r="X17" s="9"/>
      <c r="Y17" s="21">
        <v>1.7347699999999999</v>
      </c>
      <c r="Z17" s="21">
        <v>14.14</v>
      </c>
      <c r="AA17" s="21">
        <v>2.0156900000000001E-3</v>
      </c>
      <c r="AB17" s="21">
        <v>7</v>
      </c>
      <c r="AC17" s="21">
        <v>1.7337</v>
      </c>
      <c r="AD17">
        <f t="shared" si="4"/>
        <v>-2.4885061728395064</v>
      </c>
      <c r="AE17">
        <f t="shared" si="5"/>
        <v>-4.3169858534567904</v>
      </c>
      <c r="AF17" s="9"/>
      <c r="AG17" s="21">
        <v>-6.4697299999999999E-2</v>
      </c>
      <c r="AH17" s="21">
        <v>17.898800000000001</v>
      </c>
      <c r="AI17" s="21">
        <v>-1.48529E-2</v>
      </c>
      <c r="AJ17" s="21">
        <v>7</v>
      </c>
      <c r="AK17" s="21">
        <v>-6.5063499999999996E-2</v>
      </c>
      <c r="AL17">
        <f t="shared" si="6"/>
        <v>18.336913580246915</v>
      </c>
      <c r="AM17">
        <f t="shared" si="7"/>
        <v>-1.1863487989753088</v>
      </c>
      <c r="AP17" s="9"/>
      <c r="AQ17" s="21">
        <v>1.7347699999999999</v>
      </c>
      <c r="AR17" s="21">
        <v>23.392299999999999</v>
      </c>
      <c r="AS17" s="21">
        <v>1.8041999999999999E-3</v>
      </c>
      <c r="AT17" s="21">
        <v>7</v>
      </c>
      <c r="AU17" s="21">
        <v>1.7340100000000001</v>
      </c>
      <c r="AV17">
        <f t="shared" si="8"/>
        <v>-2.2274074074074073</v>
      </c>
      <c r="AW17">
        <f t="shared" si="9"/>
        <v>-3.8640395481481478</v>
      </c>
      <c r="AX17" s="9"/>
      <c r="AY17" s="21">
        <v>-6.4697299999999999E-2</v>
      </c>
      <c r="AZ17" s="21">
        <v>27.151</v>
      </c>
      <c r="BA17" s="21">
        <v>-1.48407E-2</v>
      </c>
      <c r="BB17" s="21">
        <v>7</v>
      </c>
      <c r="BC17" s="21">
        <v>-6.5093999999999999E-2</v>
      </c>
      <c r="BD17">
        <f t="shared" si="10"/>
        <v>18.32185185185185</v>
      </c>
      <c r="BE17">
        <f t="shared" si="11"/>
        <v>-1.1853743458148147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1.7297400000000001</v>
      </c>
      <c r="H18" s="21">
        <v>2.9538500000000001</v>
      </c>
      <c r="I18" s="21">
        <v>-2.23755E-3</v>
      </c>
      <c r="J18" s="21">
        <v>8</v>
      </c>
      <c r="K18" s="21">
        <v>1.72943</v>
      </c>
      <c r="L18">
        <f t="shared" si="0"/>
        <v>2.7624074074074074</v>
      </c>
      <c r="M18">
        <f t="shared" si="1"/>
        <v>4.778246588888889</v>
      </c>
      <c r="N18" s="9"/>
      <c r="O18" s="21">
        <v>-5.9661899999999997E-2</v>
      </c>
      <c r="P18" s="21">
        <v>6.7126099999999997</v>
      </c>
      <c r="Q18" s="21">
        <v>-1.50513E-2</v>
      </c>
      <c r="R18" s="21">
        <v>8</v>
      </c>
      <c r="S18" s="21">
        <v>-6.0089099999999999E-2</v>
      </c>
      <c r="T18">
        <f t="shared" si="2"/>
        <v>18.581851851851848</v>
      </c>
      <c r="U18">
        <f t="shared" si="3"/>
        <v>-1.1086285869999997</v>
      </c>
      <c r="V18" s="22"/>
      <c r="W18" s="23"/>
      <c r="X18" s="9"/>
      <c r="Y18" s="21">
        <v>1.7297400000000001</v>
      </c>
      <c r="Z18" s="21">
        <v>14.1501</v>
      </c>
      <c r="AA18" s="21">
        <v>3.3496099999999999E-4</v>
      </c>
      <c r="AB18" s="21">
        <v>8</v>
      </c>
      <c r="AC18" s="21">
        <v>1.72943</v>
      </c>
      <c r="AD18">
        <f t="shared" si="4"/>
        <v>-0.41353209876543207</v>
      </c>
      <c r="AE18">
        <f t="shared" si="5"/>
        <v>-0.71530301251851847</v>
      </c>
      <c r="AF18" s="9"/>
      <c r="AG18" s="21">
        <v>-5.9661899999999997E-2</v>
      </c>
      <c r="AH18" s="21">
        <v>17.908899999999999</v>
      </c>
      <c r="AI18" s="21">
        <v>-1.4831499999999999E-2</v>
      </c>
      <c r="AJ18" s="21">
        <v>8</v>
      </c>
      <c r="AK18" s="21">
        <v>-6.0180699999999997E-2</v>
      </c>
      <c r="AL18">
        <f t="shared" si="6"/>
        <v>18.310493827160489</v>
      </c>
      <c r="AM18">
        <f t="shared" si="7"/>
        <v>-1.0924388516666663</v>
      </c>
      <c r="AP18" s="9"/>
      <c r="AQ18" s="21">
        <v>1.7297400000000001</v>
      </c>
      <c r="AR18" s="21">
        <v>23.4023</v>
      </c>
      <c r="AS18" s="21">
        <v>1.29364E-4</v>
      </c>
      <c r="AT18" s="21">
        <v>8</v>
      </c>
      <c r="AU18" s="21">
        <v>1.72882</v>
      </c>
      <c r="AV18">
        <f t="shared" si="8"/>
        <v>-0.15970864197530862</v>
      </c>
      <c r="AW18">
        <f t="shared" si="9"/>
        <v>-0.27625442637037034</v>
      </c>
      <c r="AX18" s="9"/>
      <c r="AY18" s="21">
        <v>-5.9661899999999997E-2</v>
      </c>
      <c r="AZ18" s="21">
        <v>27.161100000000001</v>
      </c>
      <c r="BA18" s="21">
        <v>-1.4831499999999999E-2</v>
      </c>
      <c r="BB18" s="21">
        <v>8</v>
      </c>
      <c r="BC18" s="21">
        <v>-6.0180699999999997E-2</v>
      </c>
      <c r="BD18">
        <f t="shared" si="10"/>
        <v>18.310493827160489</v>
      </c>
      <c r="BE18">
        <f t="shared" si="11"/>
        <v>-1.0924388516666663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1.7246999999999999</v>
      </c>
      <c r="H19" s="21">
        <v>2.9639199999999999</v>
      </c>
      <c r="I19" s="21">
        <v>-3.48358E-3</v>
      </c>
      <c r="J19" s="21">
        <v>9</v>
      </c>
      <c r="K19" s="21">
        <v>1.72394</v>
      </c>
      <c r="L19">
        <f t="shared" si="0"/>
        <v>4.3007160493827152</v>
      </c>
      <c r="M19">
        <f t="shared" si="1"/>
        <v>7.4174449703703687</v>
      </c>
      <c r="N19" s="9"/>
      <c r="O19" s="21">
        <v>-5.4626500000000001E-2</v>
      </c>
      <c r="P19" s="21">
        <v>6.7226800000000004</v>
      </c>
      <c r="Q19" s="21">
        <v>-1.5042099999999999E-2</v>
      </c>
      <c r="R19" s="21">
        <v>9</v>
      </c>
      <c r="S19" s="21">
        <v>-5.5114700000000003E-2</v>
      </c>
      <c r="T19">
        <f t="shared" si="2"/>
        <v>18.570493827160494</v>
      </c>
      <c r="U19">
        <f t="shared" si="3"/>
        <v>-1.0144410810493827</v>
      </c>
      <c r="V19" s="22"/>
      <c r="W19" s="23"/>
      <c r="X19" s="9"/>
      <c r="Y19" s="21">
        <v>1.7246999999999999</v>
      </c>
      <c r="Z19" s="21">
        <v>14.1602</v>
      </c>
      <c r="AA19" s="21">
        <v>-1.1718799999999999E-3</v>
      </c>
      <c r="AB19" s="21">
        <v>9</v>
      </c>
      <c r="AC19" s="21">
        <v>1.72424</v>
      </c>
      <c r="AD19">
        <f t="shared" si="4"/>
        <v>1.4467654320987653</v>
      </c>
      <c r="AE19">
        <f t="shared" si="5"/>
        <v>2.4952363407407403</v>
      </c>
      <c r="AF19" s="9"/>
      <c r="AG19" s="21">
        <v>-5.4626500000000001E-2</v>
      </c>
      <c r="AH19" s="21">
        <v>17.918900000000001</v>
      </c>
      <c r="AI19" s="21">
        <v>-1.4819300000000001E-2</v>
      </c>
      <c r="AJ19" s="21">
        <v>9</v>
      </c>
      <c r="AK19" s="21">
        <v>-5.5175799999999997E-2</v>
      </c>
      <c r="AL19">
        <f t="shared" si="6"/>
        <v>18.295432098765431</v>
      </c>
      <c r="AM19">
        <f t="shared" si="7"/>
        <v>-0.99941542154320984</v>
      </c>
      <c r="AP19" s="9"/>
      <c r="AQ19" s="21">
        <v>1.7246999999999999</v>
      </c>
      <c r="AR19" s="21">
        <v>23.412400000000002</v>
      </c>
      <c r="AS19" s="21">
        <v>-1.33209E-3</v>
      </c>
      <c r="AT19" s="21">
        <v>9</v>
      </c>
      <c r="AU19" s="21">
        <v>1.72363</v>
      </c>
      <c r="AV19">
        <f t="shared" si="8"/>
        <v>1.6445555555555553</v>
      </c>
      <c r="AW19">
        <f t="shared" si="9"/>
        <v>2.8363649666666659</v>
      </c>
      <c r="AX19" s="9"/>
      <c r="AY19" s="21">
        <v>-5.4626500000000001E-2</v>
      </c>
      <c r="AZ19" s="21">
        <v>27.171199999999999</v>
      </c>
      <c r="BA19" s="21">
        <v>-1.4822399999999999E-2</v>
      </c>
      <c r="BB19" s="21">
        <v>9</v>
      </c>
      <c r="BC19" s="21">
        <v>-5.52063E-2</v>
      </c>
      <c r="BD19">
        <f t="shared" si="10"/>
        <v>18.299259259259259</v>
      </c>
      <c r="BE19">
        <f t="shared" si="11"/>
        <v>-0.9996244859259259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1.71967</v>
      </c>
      <c r="H20" s="21">
        <v>2.9739900000000001</v>
      </c>
      <c r="I20" s="21">
        <v>-4.5459000000000003E-3</v>
      </c>
      <c r="J20" s="21">
        <v>10</v>
      </c>
      <c r="K20" s="21">
        <v>1.71936</v>
      </c>
      <c r="L20">
        <f t="shared" si="0"/>
        <v>5.612222222222222</v>
      </c>
      <c r="M20">
        <f t="shared" si="1"/>
        <v>9.651170188888889</v>
      </c>
      <c r="N20" s="9"/>
      <c r="O20" s="21">
        <v>-4.9591099999999999E-2</v>
      </c>
      <c r="P20" s="21">
        <v>6.7327599999999999</v>
      </c>
      <c r="Q20" s="21">
        <v>-1.5029900000000001E-2</v>
      </c>
      <c r="R20" s="21">
        <v>10</v>
      </c>
      <c r="S20" s="21">
        <v>-5.00793E-2</v>
      </c>
      <c r="T20">
        <f t="shared" si="2"/>
        <v>18.555432098765429</v>
      </c>
      <c r="U20">
        <f t="shared" si="3"/>
        <v>-0.92018428875308622</v>
      </c>
      <c r="V20" s="22"/>
      <c r="W20" s="23"/>
      <c r="X20" s="9"/>
      <c r="Y20" s="21">
        <v>1.71967</v>
      </c>
      <c r="Z20" s="21">
        <v>14.170199999999999</v>
      </c>
      <c r="AA20" s="21">
        <v>-2.4685699999999998E-3</v>
      </c>
      <c r="AB20" s="21">
        <v>10</v>
      </c>
      <c r="AC20" s="21">
        <v>1.71936</v>
      </c>
      <c r="AD20">
        <f t="shared" si="4"/>
        <v>3.0476172839506166</v>
      </c>
      <c r="AE20">
        <f t="shared" si="5"/>
        <v>5.2408960146913568</v>
      </c>
      <c r="AF20" s="9"/>
      <c r="AG20" s="21">
        <v>-4.9591099999999999E-2</v>
      </c>
      <c r="AH20" s="21">
        <v>17.928999999999998</v>
      </c>
      <c r="AI20" s="21">
        <v>-1.4801E-2</v>
      </c>
      <c r="AJ20" s="21">
        <v>10</v>
      </c>
      <c r="AK20" s="21">
        <v>-5.0048799999999997E-2</v>
      </c>
      <c r="AL20">
        <f t="shared" si="6"/>
        <v>18.27283950617284</v>
      </c>
      <c r="AM20">
        <f t="shared" si="7"/>
        <v>-0.90617021123456787</v>
      </c>
      <c r="AP20" s="9"/>
      <c r="AQ20" s="21">
        <v>1.71967</v>
      </c>
      <c r="AR20" s="21">
        <v>23.422499999999999</v>
      </c>
      <c r="AS20" s="21">
        <v>-2.6074200000000001E-3</v>
      </c>
      <c r="AT20" s="21">
        <v>10</v>
      </c>
      <c r="AU20" s="21">
        <v>1.71875</v>
      </c>
      <c r="AV20">
        <f t="shared" si="8"/>
        <v>3.2190370370370367</v>
      </c>
      <c r="AW20">
        <f t="shared" si="9"/>
        <v>5.5356814214814811</v>
      </c>
      <c r="AX20" s="9"/>
      <c r="AY20" s="21">
        <v>-4.9591099999999999E-2</v>
      </c>
      <c r="AZ20" s="21">
        <v>27.1812</v>
      </c>
      <c r="BA20" s="21">
        <v>-1.4822399999999999E-2</v>
      </c>
      <c r="BB20" s="21">
        <v>10</v>
      </c>
      <c r="BC20" s="21">
        <v>-4.9987799999999999E-2</v>
      </c>
      <c r="BD20">
        <f t="shared" si="10"/>
        <v>18.299259259259259</v>
      </c>
      <c r="BE20">
        <f t="shared" si="11"/>
        <v>-0.90748039585185181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1.7146300000000001</v>
      </c>
      <c r="H21" s="21">
        <v>2.9840599999999999</v>
      </c>
      <c r="I21" s="21">
        <v>-5.4016100000000003E-3</v>
      </c>
      <c r="J21" s="21">
        <v>11</v>
      </c>
      <c r="K21" s="21">
        <v>1.71417</v>
      </c>
      <c r="L21">
        <f t="shared" si="0"/>
        <v>6.6686543209876543</v>
      </c>
      <c r="M21">
        <f t="shared" si="1"/>
        <v>11.434274758395063</v>
      </c>
      <c r="N21" s="9"/>
      <c r="O21" s="21">
        <v>-4.4555699999999997E-2</v>
      </c>
      <c r="P21" s="21">
        <v>6.7428299999999997</v>
      </c>
      <c r="Q21" s="21">
        <v>-1.50177E-2</v>
      </c>
      <c r="R21" s="21">
        <v>11</v>
      </c>
      <c r="S21" s="21">
        <v>-4.4839499999999997E-2</v>
      </c>
      <c r="T21">
        <f t="shared" si="2"/>
        <v>18.540370370370372</v>
      </c>
      <c r="U21">
        <f t="shared" si="3"/>
        <v>-0.82607918011111114</v>
      </c>
      <c r="V21" s="22"/>
      <c r="W21" s="23"/>
      <c r="X21" s="9"/>
      <c r="Y21" s="21">
        <v>1.7146300000000001</v>
      </c>
      <c r="Z21" s="21">
        <v>14.180300000000001</v>
      </c>
      <c r="AA21" s="21">
        <v>-3.6056500000000002E-3</v>
      </c>
      <c r="AB21" s="21">
        <v>11</v>
      </c>
      <c r="AC21" s="21">
        <v>1.71387</v>
      </c>
      <c r="AD21">
        <f t="shared" si="4"/>
        <v>4.4514197530864195</v>
      </c>
      <c r="AE21">
        <f t="shared" si="5"/>
        <v>7.6325378512345674</v>
      </c>
      <c r="AF21" s="9"/>
      <c r="AG21" s="21">
        <v>-4.4555699999999997E-2</v>
      </c>
      <c r="AH21" s="21">
        <v>17.9391</v>
      </c>
      <c r="AI21" s="21">
        <v>-1.47919E-2</v>
      </c>
      <c r="AJ21" s="21">
        <v>11</v>
      </c>
      <c r="AK21" s="21">
        <v>-4.4833400000000002E-2</v>
      </c>
      <c r="AL21">
        <f t="shared" si="6"/>
        <v>18.261604938271603</v>
      </c>
      <c r="AM21">
        <f t="shared" si="7"/>
        <v>-0.81365859114814798</v>
      </c>
      <c r="AP21" s="9"/>
      <c r="AQ21" s="21">
        <v>1.7146300000000001</v>
      </c>
      <c r="AR21" s="21">
        <v>23.432500000000001</v>
      </c>
      <c r="AS21" s="21">
        <v>-3.7313799999999999E-3</v>
      </c>
      <c r="AT21" s="21">
        <v>11</v>
      </c>
      <c r="AU21" s="21">
        <v>1.71417</v>
      </c>
      <c r="AV21">
        <f t="shared" si="8"/>
        <v>4.6066419753086416</v>
      </c>
      <c r="AW21">
        <f t="shared" si="9"/>
        <v>7.8986865301234568</v>
      </c>
      <c r="AX21" s="9"/>
      <c r="AY21" s="21">
        <v>-4.4555699999999997E-2</v>
      </c>
      <c r="AZ21" s="21">
        <v>27.191299999999998</v>
      </c>
      <c r="BA21" s="21">
        <v>-1.48132E-2</v>
      </c>
      <c r="BB21" s="21">
        <v>11</v>
      </c>
      <c r="BC21" s="21">
        <v>-4.4845599999999999E-2</v>
      </c>
      <c r="BD21">
        <f t="shared" si="10"/>
        <v>18.287901234567901</v>
      </c>
      <c r="BE21">
        <f t="shared" si="11"/>
        <v>-0.81483024103703694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1.7095899999999999</v>
      </c>
      <c r="H22" s="21">
        <v>2.9941300000000002</v>
      </c>
      <c r="I22" s="21">
        <v>-6.14929E-3</v>
      </c>
      <c r="J22" s="21">
        <v>12</v>
      </c>
      <c r="K22" s="21">
        <v>1.7089799999999999</v>
      </c>
      <c r="L22">
        <f t="shared" si="0"/>
        <v>7.5917160493827156</v>
      </c>
      <c r="M22">
        <f t="shared" si="1"/>
        <v>12.978721840864196</v>
      </c>
      <c r="N22" s="9"/>
      <c r="O22" s="21">
        <v>-3.9520300000000001E-2</v>
      </c>
      <c r="P22" s="21">
        <v>6.7529000000000003</v>
      </c>
      <c r="Q22" s="21">
        <v>-1.50116E-2</v>
      </c>
      <c r="R22" s="21">
        <v>12</v>
      </c>
      <c r="S22" s="21">
        <v>-3.9798E-2</v>
      </c>
      <c r="T22">
        <f t="shared" si="2"/>
        <v>18.532839506172838</v>
      </c>
      <c r="U22">
        <f t="shared" si="3"/>
        <v>-0.73242337713580241</v>
      </c>
      <c r="V22" s="22"/>
      <c r="W22" s="23"/>
      <c r="X22" s="9"/>
      <c r="Y22" s="21">
        <v>1.7095899999999999</v>
      </c>
      <c r="Z22" s="21">
        <v>14.1904</v>
      </c>
      <c r="AA22" s="21">
        <v>-4.5697000000000003E-3</v>
      </c>
      <c r="AB22" s="21">
        <v>12</v>
      </c>
      <c r="AC22" s="21">
        <v>1.7095899999999999</v>
      </c>
      <c r="AD22">
        <f t="shared" si="4"/>
        <v>5.6416049382716054</v>
      </c>
      <c r="AE22">
        <f t="shared" si="5"/>
        <v>9.644831386419753</v>
      </c>
      <c r="AF22" s="9"/>
      <c r="AG22" s="21">
        <v>-3.9520300000000001E-2</v>
      </c>
      <c r="AH22" s="21">
        <v>17.949200000000001</v>
      </c>
      <c r="AI22" s="21">
        <v>-1.47888E-2</v>
      </c>
      <c r="AJ22" s="21">
        <v>12</v>
      </c>
      <c r="AK22" s="21">
        <v>-3.9810199999999997E-2</v>
      </c>
      <c r="AL22">
        <f t="shared" si="6"/>
        <v>18.257777777777775</v>
      </c>
      <c r="AM22">
        <f t="shared" si="7"/>
        <v>-0.721552855111111</v>
      </c>
      <c r="AP22" s="9"/>
      <c r="AQ22" s="21">
        <v>1.7095899999999999</v>
      </c>
      <c r="AR22" s="21">
        <v>23.442599999999999</v>
      </c>
      <c r="AS22" s="21">
        <v>-4.66614E-3</v>
      </c>
      <c r="AT22" s="21">
        <v>12</v>
      </c>
      <c r="AU22" s="21">
        <v>1.70868</v>
      </c>
      <c r="AV22">
        <f t="shared" si="8"/>
        <v>5.7606666666666664</v>
      </c>
      <c r="AW22">
        <f t="shared" si="9"/>
        <v>9.848378126666665</v>
      </c>
      <c r="AX22" s="9"/>
      <c r="AY22" s="21">
        <v>-3.9520300000000001E-2</v>
      </c>
      <c r="AZ22" s="21">
        <v>27.2014</v>
      </c>
      <c r="BA22" s="21">
        <v>-1.48132E-2</v>
      </c>
      <c r="BB22" s="21">
        <v>12</v>
      </c>
      <c r="BC22" s="21">
        <v>-3.9801000000000003E-2</v>
      </c>
      <c r="BD22">
        <f t="shared" si="10"/>
        <v>18.287901234567901</v>
      </c>
      <c r="BE22">
        <f t="shared" si="11"/>
        <v>-0.72274334316049382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1.7045600000000001</v>
      </c>
      <c r="H23" s="21">
        <v>3.0042</v>
      </c>
      <c r="I23" s="21">
        <v>-6.7718500000000003E-3</v>
      </c>
      <c r="J23" s="21">
        <v>13</v>
      </c>
      <c r="K23" s="21">
        <v>1.7034899999999999</v>
      </c>
      <c r="L23">
        <f t="shared" si="0"/>
        <v>8.3603086419753083</v>
      </c>
      <c r="M23">
        <f t="shared" si="1"/>
        <v>14.250647698765432</v>
      </c>
      <c r="N23" s="9"/>
      <c r="O23" s="21">
        <v>-3.4484899999999999E-2</v>
      </c>
      <c r="P23" s="21">
        <v>6.7629700000000001</v>
      </c>
      <c r="Q23" s="21">
        <v>-1.49994E-2</v>
      </c>
      <c r="R23" s="21">
        <v>13</v>
      </c>
      <c r="S23" s="21">
        <v>-3.4701500000000003E-2</v>
      </c>
      <c r="T23">
        <f t="shared" si="2"/>
        <v>18.517777777777777</v>
      </c>
      <c r="U23">
        <f t="shared" si="3"/>
        <v>-0.63858371488888888</v>
      </c>
      <c r="V23" s="22"/>
      <c r="W23" s="23"/>
      <c r="X23" s="9"/>
      <c r="Y23" s="21">
        <v>1.7045600000000001</v>
      </c>
      <c r="Z23" s="21">
        <v>14.2005</v>
      </c>
      <c r="AA23" s="21">
        <v>-5.3863499999999998E-3</v>
      </c>
      <c r="AB23" s="21">
        <v>13</v>
      </c>
      <c r="AC23" s="21">
        <v>1.7038</v>
      </c>
      <c r="AD23">
        <f t="shared" si="4"/>
        <v>6.649814814814814</v>
      </c>
      <c r="AE23">
        <f t="shared" si="5"/>
        <v>11.335008340740739</v>
      </c>
      <c r="AF23" s="9"/>
      <c r="AG23" s="21">
        <v>-3.4484899999999999E-2</v>
      </c>
      <c r="AH23" s="21">
        <v>17.959199999999999</v>
      </c>
      <c r="AI23" s="21">
        <v>-1.47858E-2</v>
      </c>
      <c r="AJ23" s="21">
        <v>13</v>
      </c>
      <c r="AK23" s="21">
        <v>-3.4667999999999997E-2</v>
      </c>
      <c r="AL23">
        <f t="shared" si="6"/>
        <v>18.254074074074072</v>
      </c>
      <c r="AM23">
        <f t="shared" si="7"/>
        <v>-0.62948991903703699</v>
      </c>
      <c r="AP23" s="9"/>
      <c r="AQ23" s="21">
        <v>1.7045600000000001</v>
      </c>
      <c r="AR23" s="21">
        <v>23.4527</v>
      </c>
      <c r="AS23" s="21">
        <v>-5.4779099999999999E-3</v>
      </c>
      <c r="AT23" s="21">
        <v>13</v>
      </c>
      <c r="AU23" s="21">
        <v>1.7040999999999999</v>
      </c>
      <c r="AV23">
        <f t="shared" si="8"/>
        <v>6.7628518518518517</v>
      </c>
      <c r="AW23">
        <f t="shared" si="9"/>
        <v>11.527686752592594</v>
      </c>
      <c r="AX23" s="9"/>
      <c r="AY23" s="21">
        <v>-3.4484899999999999E-2</v>
      </c>
      <c r="AZ23" s="21">
        <v>27.211400000000001</v>
      </c>
      <c r="BA23" s="21">
        <v>-1.4804100000000001E-2</v>
      </c>
      <c r="BB23" s="21">
        <v>13</v>
      </c>
      <c r="BC23" s="21">
        <v>-3.4707599999999998E-2</v>
      </c>
      <c r="BD23">
        <f t="shared" si="10"/>
        <v>18.276666666666667</v>
      </c>
      <c r="BE23">
        <f t="shared" si="11"/>
        <v>-0.63026902233333337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1.6995199999999999</v>
      </c>
      <c r="H24" s="21">
        <v>3.0142699999999998</v>
      </c>
      <c r="I24" s="21">
        <v>-7.31506E-3</v>
      </c>
      <c r="J24" s="21">
        <v>14</v>
      </c>
      <c r="K24" s="21">
        <v>1.69861</v>
      </c>
      <c r="L24">
        <f t="shared" si="0"/>
        <v>9.0309382716049367</v>
      </c>
      <c r="M24">
        <f t="shared" si="1"/>
        <v>15.348260211358021</v>
      </c>
      <c r="N24" s="9"/>
      <c r="O24" s="21">
        <v>-2.94495E-2</v>
      </c>
      <c r="P24" s="21">
        <v>6.7730399999999999</v>
      </c>
      <c r="Q24" s="21">
        <v>-1.4993299999999999E-2</v>
      </c>
      <c r="R24" s="21">
        <v>14</v>
      </c>
      <c r="S24" s="21">
        <v>-2.97089E-2</v>
      </c>
      <c r="T24">
        <f t="shared" si="2"/>
        <v>18.510246913580243</v>
      </c>
      <c r="U24">
        <f t="shared" si="3"/>
        <v>-0.54511751648148132</v>
      </c>
      <c r="V24" s="22"/>
      <c r="W24" s="23"/>
      <c r="X24" s="9"/>
      <c r="Y24" s="21">
        <v>1.6995199999999999</v>
      </c>
      <c r="Z24" s="21">
        <v>14.2105</v>
      </c>
      <c r="AA24" s="21">
        <v>-6.0943600000000001E-3</v>
      </c>
      <c r="AB24" s="21">
        <v>14</v>
      </c>
      <c r="AC24" s="21">
        <v>1.69922</v>
      </c>
      <c r="AD24">
        <f t="shared" si="4"/>
        <v>7.5239012345679015</v>
      </c>
      <c r="AE24">
        <f t="shared" si="5"/>
        <v>12.78702062617284</v>
      </c>
      <c r="AF24" s="9"/>
      <c r="AG24" s="21">
        <v>-2.94495E-2</v>
      </c>
      <c r="AH24" s="21">
        <v>17.9693</v>
      </c>
      <c r="AI24" s="21">
        <v>-1.4782699999999999E-2</v>
      </c>
      <c r="AJ24" s="21">
        <v>14</v>
      </c>
      <c r="AK24" s="21">
        <v>-2.9730199999999998E-2</v>
      </c>
      <c r="AL24">
        <f t="shared" si="6"/>
        <v>18.250246913580245</v>
      </c>
      <c r="AM24">
        <f t="shared" si="7"/>
        <v>-0.5374606464814814</v>
      </c>
      <c r="AP24" s="9"/>
      <c r="AQ24" s="21">
        <v>1.6995199999999999</v>
      </c>
      <c r="AR24" s="21">
        <v>23.462800000000001</v>
      </c>
      <c r="AS24" s="21">
        <v>-6.1706499999999997E-3</v>
      </c>
      <c r="AT24" s="21">
        <v>14</v>
      </c>
      <c r="AU24" s="21">
        <v>1.6995199999999999</v>
      </c>
      <c r="AV24">
        <f t="shared" si="8"/>
        <v>7.6180864197530855</v>
      </c>
      <c r="AW24">
        <f t="shared" si="9"/>
        <v>12.947090232098763</v>
      </c>
      <c r="AX24" s="9"/>
      <c r="AY24" s="21">
        <v>-2.94495E-2</v>
      </c>
      <c r="AZ24" s="21">
        <v>27.221499999999999</v>
      </c>
      <c r="BA24" s="21">
        <v>-1.4801E-2</v>
      </c>
      <c r="BB24" s="21">
        <v>14</v>
      </c>
      <c r="BC24" s="21">
        <v>-2.9769899999999998E-2</v>
      </c>
      <c r="BD24">
        <f t="shared" si="10"/>
        <v>18.27283950617284</v>
      </c>
      <c r="BE24">
        <f t="shared" si="11"/>
        <v>-0.53812598703703707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1.6944900000000001</v>
      </c>
      <c r="H25" s="21">
        <v>3.02434</v>
      </c>
      <c r="I25" s="21">
        <v>-7.7941900000000003E-3</v>
      </c>
      <c r="J25" s="21">
        <v>15</v>
      </c>
      <c r="K25" s="21">
        <v>1.6940299999999999</v>
      </c>
      <c r="L25">
        <f t="shared" si="0"/>
        <v>9.6224567901234561</v>
      </c>
      <c r="M25">
        <f t="shared" si="1"/>
        <v>16.305156806296296</v>
      </c>
      <c r="N25" s="9"/>
      <c r="O25" s="21">
        <v>-2.4414100000000001E-2</v>
      </c>
      <c r="P25" s="21">
        <v>6.7831099999999998</v>
      </c>
      <c r="Q25" s="21">
        <v>-1.49902E-2</v>
      </c>
      <c r="R25" s="21">
        <v>15</v>
      </c>
      <c r="S25" s="21">
        <v>-2.4642899999999999E-2</v>
      </c>
      <c r="T25">
        <f t="shared" si="2"/>
        <v>18.506419753086419</v>
      </c>
      <c r="U25">
        <f t="shared" si="3"/>
        <v>-0.45181758249382714</v>
      </c>
      <c r="V25" s="22"/>
      <c r="W25" s="23"/>
      <c r="X25" s="9"/>
      <c r="Y25" s="21">
        <v>1.6944900000000001</v>
      </c>
      <c r="Z25" s="21">
        <v>14.220599999999999</v>
      </c>
      <c r="AA25" s="21">
        <v>-6.7077600000000001E-3</v>
      </c>
      <c r="AB25" s="21">
        <v>15</v>
      </c>
      <c r="AC25" s="21">
        <v>1.69434</v>
      </c>
      <c r="AD25">
        <f t="shared" si="4"/>
        <v>8.2811851851851852</v>
      </c>
      <c r="AE25">
        <f t="shared" si="5"/>
        <v>14.032385484444445</v>
      </c>
      <c r="AF25" s="9"/>
      <c r="AG25" s="21">
        <v>-2.4414100000000001E-2</v>
      </c>
      <c r="AH25" s="21">
        <v>17.979399999999998</v>
      </c>
      <c r="AI25" s="21">
        <v>-1.47736E-2</v>
      </c>
      <c r="AJ25" s="21">
        <v>15</v>
      </c>
      <c r="AK25" s="21">
        <v>-2.4554400000000001E-2</v>
      </c>
      <c r="AL25">
        <f t="shared" si="6"/>
        <v>18.239012345679011</v>
      </c>
      <c r="AM25">
        <f t="shared" si="7"/>
        <v>-0.44528907130864198</v>
      </c>
      <c r="AP25" s="9"/>
      <c r="AQ25" s="21">
        <v>1.6944900000000001</v>
      </c>
      <c r="AR25" s="21">
        <v>23.472799999999999</v>
      </c>
      <c r="AS25" s="21">
        <v>-6.7749000000000004E-3</v>
      </c>
      <c r="AT25" s="21">
        <v>15</v>
      </c>
      <c r="AU25" s="21">
        <v>1.69434</v>
      </c>
      <c r="AV25">
        <f t="shared" si="8"/>
        <v>8.3640740740740736</v>
      </c>
      <c r="AW25">
        <f t="shared" si="9"/>
        <v>14.172839877777777</v>
      </c>
      <c r="AX25" s="9"/>
      <c r="AY25" s="21">
        <v>-2.4414100000000001E-2</v>
      </c>
      <c r="AZ25" s="21">
        <v>27.2316</v>
      </c>
      <c r="BA25" s="21">
        <v>-1.47949E-2</v>
      </c>
      <c r="BB25" s="21">
        <v>15</v>
      </c>
      <c r="BC25" s="21">
        <v>-2.47192E-2</v>
      </c>
      <c r="BD25">
        <f t="shared" si="10"/>
        <v>18.265308641975306</v>
      </c>
      <c r="BE25">
        <f t="shared" si="11"/>
        <v>-0.44593107171604934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1.6894499999999999</v>
      </c>
      <c r="H26" s="21">
        <v>3.0344199999999999</v>
      </c>
      <c r="I26" s="21">
        <v>-8.22144E-3</v>
      </c>
      <c r="J26" s="21">
        <v>16</v>
      </c>
      <c r="K26" s="21">
        <v>1.6888399999999999</v>
      </c>
      <c r="L26">
        <f t="shared" si="0"/>
        <v>10.149925925925926</v>
      </c>
      <c r="M26">
        <f t="shared" si="1"/>
        <v>17.147792355555556</v>
      </c>
      <c r="N26" s="9"/>
      <c r="O26" s="21">
        <v>-1.9378699999999999E-2</v>
      </c>
      <c r="P26" s="21">
        <v>6.7931800000000004</v>
      </c>
      <c r="Q26" s="21">
        <v>-1.49902E-2</v>
      </c>
      <c r="R26" s="21">
        <v>16</v>
      </c>
      <c r="S26" s="21">
        <v>-1.95953E-2</v>
      </c>
      <c r="T26">
        <f t="shared" si="2"/>
        <v>18.506419753086419</v>
      </c>
      <c r="U26">
        <f t="shared" si="3"/>
        <v>-0.35863035646913577</v>
      </c>
      <c r="V26" s="22"/>
      <c r="W26" s="23"/>
      <c r="X26" s="9"/>
      <c r="Y26" s="21">
        <v>1.6894499999999999</v>
      </c>
      <c r="Z26" s="21">
        <v>14.230700000000001</v>
      </c>
      <c r="AA26" s="21">
        <v>-7.2509799999999998E-3</v>
      </c>
      <c r="AB26" s="21">
        <v>16</v>
      </c>
      <c r="AC26" s="21">
        <v>1.6891499999999999</v>
      </c>
      <c r="AD26">
        <f t="shared" si="4"/>
        <v>8.951827160493826</v>
      </c>
      <c r="AE26">
        <f t="shared" si="5"/>
        <v>15.123664396296293</v>
      </c>
      <c r="AF26" s="9"/>
      <c r="AG26" s="21">
        <v>-1.9378699999999999E-2</v>
      </c>
      <c r="AH26" s="21">
        <v>17.9894</v>
      </c>
      <c r="AI26" s="21">
        <v>-1.4770500000000001E-2</v>
      </c>
      <c r="AJ26" s="21">
        <v>16</v>
      </c>
      <c r="AK26" s="21">
        <v>-1.9613599999999998E-2</v>
      </c>
      <c r="AL26">
        <f t="shared" si="6"/>
        <v>18.235185185185184</v>
      </c>
      <c r="AM26">
        <f t="shared" si="7"/>
        <v>-0.35337418314814811</v>
      </c>
      <c r="AP26" s="9"/>
      <c r="AQ26" s="21">
        <v>1.6894499999999999</v>
      </c>
      <c r="AR26" s="21">
        <v>23.482900000000001</v>
      </c>
      <c r="AS26" s="21">
        <v>-7.2967500000000003E-3</v>
      </c>
      <c r="AT26" s="21">
        <v>16</v>
      </c>
      <c r="AU26" s="21">
        <v>1.6888399999999999</v>
      </c>
      <c r="AV26">
        <f t="shared" si="8"/>
        <v>9.0083333333333329</v>
      </c>
      <c r="AW26">
        <f t="shared" si="9"/>
        <v>15.219128749999998</v>
      </c>
      <c r="AX26" s="9"/>
      <c r="AY26" s="21">
        <v>-1.9378699999999999E-2</v>
      </c>
      <c r="AZ26" s="21">
        <v>27.241700000000002</v>
      </c>
      <c r="BA26" s="21">
        <v>-1.4782699999999999E-2</v>
      </c>
      <c r="BB26" s="21">
        <v>16</v>
      </c>
      <c r="BC26" s="21">
        <v>-1.96594E-2</v>
      </c>
      <c r="BD26">
        <f t="shared" si="10"/>
        <v>18.250246913580245</v>
      </c>
      <c r="BE26">
        <f t="shared" si="11"/>
        <v>-0.35366605986419747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1.68442</v>
      </c>
      <c r="H27" s="21">
        <v>3.0444900000000001</v>
      </c>
      <c r="I27" s="21">
        <v>-8.6181599999999997E-3</v>
      </c>
      <c r="J27" s="21">
        <v>17</v>
      </c>
      <c r="K27" s="21">
        <v>1.6836500000000001</v>
      </c>
      <c r="L27">
        <f t="shared" si="0"/>
        <v>10.639703703703704</v>
      </c>
      <c r="M27">
        <f t="shared" si="1"/>
        <v>17.921729712592594</v>
      </c>
      <c r="N27" s="9"/>
      <c r="O27" s="21">
        <v>-1.43433E-2</v>
      </c>
      <c r="P27" s="21">
        <v>6.8032500000000002</v>
      </c>
      <c r="Q27" s="21">
        <v>-1.4987199999999999E-2</v>
      </c>
      <c r="R27" s="21">
        <v>17</v>
      </c>
      <c r="S27" s="21">
        <v>-1.45691E-2</v>
      </c>
      <c r="T27">
        <f t="shared" si="2"/>
        <v>18.502716049382713</v>
      </c>
      <c r="U27">
        <f t="shared" si="3"/>
        <v>-0.26539000711111105</v>
      </c>
      <c r="X27" s="9"/>
      <c r="Y27" s="21">
        <v>1.68442</v>
      </c>
      <c r="Z27" s="21">
        <v>14.2407</v>
      </c>
      <c r="AA27" s="21">
        <v>-7.7270500000000001E-3</v>
      </c>
      <c r="AB27" s="21">
        <v>17</v>
      </c>
      <c r="AC27" s="21">
        <v>1.6839599999999999</v>
      </c>
      <c r="AD27">
        <f t="shared" si="4"/>
        <v>9.539567901234566</v>
      </c>
      <c r="AE27">
        <f t="shared" si="5"/>
        <v>16.068638964197529</v>
      </c>
      <c r="AF27" s="9"/>
      <c r="AG27" s="21">
        <v>-1.43433E-2</v>
      </c>
      <c r="AH27" s="21">
        <v>17.999500000000001</v>
      </c>
      <c r="AI27" s="21">
        <v>-1.4770500000000001E-2</v>
      </c>
      <c r="AJ27" s="21">
        <v>17</v>
      </c>
      <c r="AK27" s="21">
        <v>-1.4511100000000001E-2</v>
      </c>
      <c r="AL27">
        <f t="shared" si="6"/>
        <v>18.235185185185184</v>
      </c>
      <c r="AM27">
        <f t="shared" si="7"/>
        <v>-0.26155273166666665</v>
      </c>
      <c r="AP27" s="9"/>
      <c r="AQ27" s="21">
        <v>1.68442</v>
      </c>
      <c r="AR27" s="21">
        <v>23.492999999999999</v>
      </c>
      <c r="AS27" s="21">
        <v>-7.7575700000000001E-3</v>
      </c>
      <c r="AT27" s="21">
        <v>17</v>
      </c>
      <c r="AU27" s="21">
        <v>1.6830400000000001</v>
      </c>
      <c r="AV27">
        <f t="shared" si="8"/>
        <v>9.5772469135802467</v>
      </c>
      <c r="AW27">
        <f t="shared" si="9"/>
        <v>16.132106246172839</v>
      </c>
      <c r="AX27" s="9"/>
      <c r="AY27" s="21">
        <v>-1.43433E-2</v>
      </c>
      <c r="AZ27" s="21">
        <v>27.2517</v>
      </c>
      <c r="BA27" s="21">
        <v>-1.47797E-2</v>
      </c>
      <c r="BB27" s="21">
        <v>17</v>
      </c>
      <c r="BC27" s="21">
        <v>-1.45538E-2</v>
      </c>
      <c r="BD27">
        <f t="shared" si="10"/>
        <v>18.246543209876542</v>
      </c>
      <c r="BE27">
        <f t="shared" si="11"/>
        <v>-0.26171564322222218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1.6793800000000001</v>
      </c>
      <c r="H28" s="21">
        <v>3.0545599999999999</v>
      </c>
      <c r="I28" s="21">
        <v>-8.97827E-3</v>
      </c>
      <c r="J28" s="21">
        <v>18</v>
      </c>
      <c r="K28" s="21">
        <v>1.6784699999999999</v>
      </c>
      <c r="L28">
        <f t="shared" si="0"/>
        <v>11.084283950617284</v>
      </c>
      <c r="M28">
        <f t="shared" si="1"/>
        <v>18.614724780987654</v>
      </c>
      <c r="N28" s="9"/>
      <c r="O28" s="21">
        <v>-9.3078599999999994E-3</v>
      </c>
      <c r="P28" s="21">
        <v>6.81332</v>
      </c>
      <c r="Q28" s="21">
        <v>-1.4987199999999999E-2</v>
      </c>
      <c r="R28" s="21">
        <v>18</v>
      </c>
      <c r="S28" s="21">
        <v>-9.4879200000000004E-3</v>
      </c>
      <c r="T28">
        <f t="shared" si="2"/>
        <v>18.502716049382713</v>
      </c>
      <c r="U28">
        <f t="shared" si="3"/>
        <v>-0.17222069060740736</v>
      </c>
      <c r="X28" s="9"/>
      <c r="Y28" s="21">
        <v>1.6793800000000001</v>
      </c>
      <c r="Z28" s="21">
        <v>14.2508</v>
      </c>
      <c r="AA28" s="21">
        <v>-8.1481899999999996E-3</v>
      </c>
      <c r="AB28" s="21">
        <v>18</v>
      </c>
      <c r="AC28" s="21">
        <v>1.6787700000000001</v>
      </c>
      <c r="AD28">
        <f t="shared" si="4"/>
        <v>10.059493827160493</v>
      </c>
      <c r="AE28">
        <f t="shared" si="5"/>
        <v>16.893712743456788</v>
      </c>
      <c r="AF28" s="9"/>
      <c r="AG28" s="21">
        <v>-9.3078599999999994E-3</v>
      </c>
      <c r="AH28" s="21">
        <v>18.009599999999999</v>
      </c>
      <c r="AI28" s="21">
        <v>-1.4770500000000001E-2</v>
      </c>
      <c r="AJ28" s="21">
        <v>18</v>
      </c>
      <c r="AK28" s="21">
        <v>-9.50317E-3</v>
      </c>
      <c r="AL28">
        <f t="shared" si="6"/>
        <v>18.235185185185184</v>
      </c>
      <c r="AM28">
        <f t="shared" si="7"/>
        <v>-0.16973055077777777</v>
      </c>
      <c r="AP28" s="9"/>
      <c r="AQ28" s="21">
        <v>1.6793800000000001</v>
      </c>
      <c r="AR28" s="21">
        <v>23.503</v>
      </c>
      <c r="AS28" s="21">
        <v>-8.1878699999999999E-3</v>
      </c>
      <c r="AT28" s="21">
        <v>18</v>
      </c>
      <c r="AU28" s="21">
        <v>1.6787700000000001</v>
      </c>
      <c r="AV28">
        <f t="shared" si="8"/>
        <v>10.10848148148148</v>
      </c>
      <c r="AW28">
        <f t="shared" si="9"/>
        <v>16.97598163037037</v>
      </c>
      <c r="AX28" s="9"/>
      <c r="AY28" s="21">
        <v>-9.3078599999999994E-3</v>
      </c>
      <c r="AZ28" s="21">
        <v>27.261800000000001</v>
      </c>
      <c r="BA28" s="21">
        <v>-1.4776600000000001E-2</v>
      </c>
      <c r="BB28" s="21">
        <v>18</v>
      </c>
      <c r="BC28" s="21">
        <v>-9.4818100000000002E-3</v>
      </c>
      <c r="BD28">
        <f t="shared" si="10"/>
        <v>18.242716049382715</v>
      </c>
      <c r="BE28">
        <f t="shared" si="11"/>
        <v>-0.16980064700740738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1.67435</v>
      </c>
      <c r="H29" s="21">
        <v>3.0646300000000002</v>
      </c>
      <c r="I29" s="21">
        <v>-9.3017599999999992E-3</v>
      </c>
      <c r="J29" s="21">
        <v>19</v>
      </c>
      <c r="K29" s="21">
        <v>1.6732800000000001</v>
      </c>
      <c r="L29">
        <f t="shared" si="0"/>
        <v>11.483654320987652</v>
      </c>
      <c r="M29">
        <f t="shared" si="1"/>
        <v>19.227656612345676</v>
      </c>
      <c r="N29" s="9"/>
      <c r="O29" s="21">
        <v>-4.2724599999999996E-3</v>
      </c>
      <c r="P29" s="21">
        <v>6.8233899999999998</v>
      </c>
      <c r="Q29" s="21">
        <v>-1.4987199999999999E-2</v>
      </c>
      <c r="R29" s="21">
        <v>19</v>
      </c>
      <c r="S29" s="21">
        <v>-4.4464099999999996E-3</v>
      </c>
      <c r="T29">
        <f t="shared" si="2"/>
        <v>18.502716049382713</v>
      </c>
      <c r="U29">
        <f t="shared" si="3"/>
        <v>-7.9052114212345662E-2</v>
      </c>
      <c r="X29" s="9"/>
      <c r="Y29" s="21">
        <v>1.67435</v>
      </c>
      <c r="Z29" s="21">
        <v>14.260899999999999</v>
      </c>
      <c r="AA29" s="21">
        <v>-8.5357699999999998E-3</v>
      </c>
      <c r="AB29" s="21">
        <v>19</v>
      </c>
      <c r="AC29" s="21">
        <v>1.6732800000000001</v>
      </c>
      <c r="AD29">
        <f t="shared" si="4"/>
        <v>10.537987654320986</v>
      </c>
      <c r="AE29">
        <f t="shared" si="5"/>
        <v>17.644279629012342</v>
      </c>
      <c r="AF29" s="9"/>
      <c r="AG29" s="21">
        <v>-4.2724599999999996E-3</v>
      </c>
      <c r="AH29" s="21">
        <v>18.019600000000001</v>
      </c>
      <c r="AI29" s="21">
        <v>-1.4767499999999999E-2</v>
      </c>
      <c r="AJ29" s="21">
        <v>19</v>
      </c>
      <c r="AK29" s="21">
        <v>-4.3975799999999999E-3</v>
      </c>
      <c r="AL29">
        <f t="shared" si="6"/>
        <v>18.231481481481481</v>
      </c>
      <c r="AM29">
        <f t="shared" si="7"/>
        <v>-7.7893275370370357E-2</v>
      </c>
      <c r="AP29" s="9"/>
      <c r="AQ29" s="21">
        <v>1.67435</v>
      </c>
      <c r="AR29" s="21">
        <v>23.513100000000001</v>
      </c>
      <c r="AS29" s="21">
        <v>-8.5754400000000001E-3</v>
      </c>
      <c r="AT29" s="21">
        <v>19</v>
      </c>
      <c r="AU29" s="21">
        <v>1.6738900000000001</v>
      </c>
      <c r="AV29">
        <f t="shared" si="8"/>
        <v>10.586962962962962</v>
      </c>
      <c r="AW29">
        <f t="shared" si="9"/>
        <v>17.726281437037038</v>
      </c>
      <c r="AX29" s="9"/>
      <c r="AY29" s="21">
        <v>-4.2724599999999996E-3</v>
      </c>
      <c r="AZ29" s="21">
        <v>27.271899999999999</v>
      </c>
      <c r="BA29" s="21">
        <v>-1.47797E-2</v>
      </c>
      <c r="BB29" s="21">
        <v>19</v>
      </c>
      <c r="BC29" s="21">
        <v>-4.3670699999999998E-3</v>
      </c>
      <c r="BD29">
        <f t="shared" si="10"/>
        <v>18.246543209876542</v>
      </c>
      <c r="BE29">
        <f t="shared" si="11"/>
        <v>-7.7957626002469124E-2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1.6693100000000001</v>
      </c>
      <c r="H30" s="21">
        <v>3.0747</v>
      </c>
      <c r="I30" s="21">
        <v>-9.5794699999999997E-3</v>
      </c>
      <c r="J30" s="21">
        <v>20</v>
      </c>
      <c r="K30" s="21">
        <v>1.6687000000000001</v>
      </c>
      <c r="L30">
        <f t="shared" si="0"/>
        <v>11.826506172839505</v>
      </c>
      <c r="M30">
        <f t="shared" si="1"/>
        <v>19.742105019382713</v>
      </c>
      <c r="N30" s="9"/>
      <c r="O30" s="21">
        <v>7.6293900000000002E-4</v>
      </c>
      <c r="P30" s="21">
        <v>6.8334700000000002</v>
      </c>
      <c r="Q30" s="21">
        <v>-1.4981100000000001E-2</v>
      </c>
      <c r="R30" s="21">
        <v>20</v>
      </c>
      <c r="S30" s="21">
        <v>6.3781700000000005E-4</v>
      </c>
      <c r="T30">
        <f t="shared" si="2"/>
        <v>18.495185185185186</v>
      </c>
      <c r="U30">
        <f t="shared" si="3"/>
        <v>1.411069809E-2</v>
      </c>
      <c r="X30" s="9"/>
      <c r="Y30" s="21">
        <v>1.6693100000000001</v>
      </c>
      <c r="Z30" s="21">
        <v>14.271000000000001</v>
      </c>
      <c r="AA30" s="21">
        <v>-8.8867200000000007E-3</v>
      </c>
      <c r="AB30" s="21">
        <v>20</v>
      </c>
      <c r="AC30" s="21">
        <v>1.6684000000000001</v>
      </c>
      <c r="AD30">
        <f t="shared" si="4"/>
        <v>10.971259259259259</v>
      </c>
      <c r="AE30">
        <f t="shared" si="5"/>
        <v>18.314432794074076</v>
      </c>
      <c r="AF30" s="9"/>
      <c r="AG30" s="21">
        <v>7.6293900000000002E-4</v>
      </c>
      <c r="AH30" s="21">
        <v>18.029699999999998</v>
      </c>
      <c r="AI30" s="21">
        <v>-1.47522E-2</v>
      </c>
      <c r="AJ30" s="21">
        <v>20</v>
      </c>
      <c r="AK30" s="21">
        <v>6.5917999999999999E-4</v>
      </c>
      <c r="AL30">
        <f t="shared" si="6"/>
        <v>18.212592592592593</v>
      </c>
      <c r="AM30">
        <f t="shared" si="7"/>
        <v>1.389509718E-2</v>
      </c>
      <c r="AP30" s="9"/>
      <c r="AQ30" s="21">
        <v>1.6693100000000001</v>
      </c>
      <c r="AR30" s="21">
        <v>23.523199999999999</v>
      </c>
      <c r="AS30" s="21">
        <v>-8.9172399999999999E-3</v>
      </c>
      <c r="AT30" s="21">
        <v>20</v>
      </c>
      <c r="AU30" s="21">
        <v>1.6684000000000001</v>
      </c>
      <c r="AV30">
        <f t="shared" si="8"/>
        <v>11.008938271604938</v>
      </c>
      <c r="AW30">
        <f t="shared" si="9"/>
        <v>18.377330746172841</v>
      </c>
      <c r="AX30" s="9"/>
      <c r="AY30" s="21">
        <v>7.6293900000000002E-4</v>
      </c>
      <c r="AZ30" s="21">
        <v>27.2819</v>
      </c>
      <c r="BA30" s="21">
        <v>-1.4767499999999999E-2</v>
      </c>
      <c r="BB30" s="21">
        <v>20</v>
      </c>
      <c r="BC30" s="21">
        <v>7.2326699999999999E-4</v>
      </c>
      <c r="BD30">
        <f t="shared" si="10"/>
        <v>18.231481481481481</v>
      </c>
      <c r="BE30">
        <f t="shared" si="11"/>
        <v>1.3909508250000001E-2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1.66428</v>
      </c>
      <c r="H31" s="21">
        <v>3.0847699999999998</v>
      </c>
      <c r="I31" s="21">
        <v>-9.8480200000000007E-3</v>
      </c>
      <c r="J31" s="21">
        <v>21</v>
      </c>
      <c r="K31" s="21">
        <v>1.66351</v>
      </c>
      <c r="L31">
        <f t="shared" si="0"/>
        <v>12.158049382716049</v>
      </c>
      <c r="M31">
        <f t="shared" si="1"/>
        <v>20.234398426666665</v>
      </c>
      <c r="N31" s="9"/>
      <c r="O31" s="21">
        <v>5.7983399999999999E-3</v>
      </c>
      <c r="P31" s="21">
        <v>6.84354</v>
      </c>
      <c r="Q31" s="21">
        <v>-1.4975E-2</v>
      </c>
      <c r="R31" s="21">
        <v>21</v>
      </c>
      <c r="S31" s="21">
        <v>5.6854200000000001E-3</v>
      </c>
      <c r="T31">
        <f t="shared" si="2"/>
        <v>18.487654320987652</v>
      </c>
      <c r="U31">
        <f t="shared" si="3"/>
        <v>0.10719770555555554</v>
      </c>
      <c r="X31" s="9"/>
      <c r="Y31" s="21">
        <v>1.66428</v>
      </c>
      <c r="Z31" s="21">
        <v>14.281000000000001</v>
      </c>
      <c r="AA31" s="21">
        <v>-9.1949500000000003E-3</v>
      </c>
      <c r="AB31" s="21">
        <v>21</v>
      </c>
      <c r="AC31" s="21">
        <v>1.66351</v>
      </c>
      <c r="AD31">
        <f t="shared" si="4"/>
        <v>11.351790123456791</v>
      </c>
      <c r="AE31">
        <f t="shared" si="5"/>
        <v>18.892557266666667</v>
      </c>
      <c r="AF31" s="9"/>
      <c r="AG31" s="21">
        <v>5.7983399999999999E-3</v>
      </c>
      <c r="AH31" s="21">
        <v>18.0398</v>
      </c>
      <c r="AI31" s="21">
        <v>-1.474E-2</v>
      </c>
      <c r="AJ31" s="21">
        <v>21</v>
      </c>
      <c r="AK31" s="21">
        <v>5.6335400000000002E-3</v>
      </c>
      <c r="AL31">
        <f t="shared" si="6"/>
        <v>18.197530864197528</v>
      </c>
      <c r="AM31">
        <f t="shared" si="7"/>
        <v>0.10551547111111109</v>
      </c>
      <c r="AP31" s="9"/>
      <c r="AQ31" s="21">
        <v>1.66428</v>
      </c>
      <c r="AR31" s="21">
        <v>23.533300000000001</v>
      </c>
      <c r="AS31" s="21">
        <v>-9.2193599999999994E-3</v>
      </c>
      <c r="AT31" s="21">
        <v>21</v>
      </c>
      <c r="AU31" s="21">
        <v>1.6632100000000001</v>
      </c>
      <c r="AV31">
        <f t="shared" si="8"/>
        <v>11.381925925925923</v>
      </c>
      <c r="AW31">
        <f t="shared" si="9"/>
        <v>18.942711679999995</v>
      </c>
      <c r="AX31" s="9"/>
      <c r="AY31" s="21">
        <v>5.7983399999999999E-3</v>
      </c>
      <c r="AZ31" s="21">
        <v>27.292000000000002</v>
      </c>
      <c r="BA31" s="21">
        <v>-1.47644E-2</v>
      </c>
      <c r="BB31" s="21">
        <v>21</v>
      </c>
      <c r="BC31" s="21">
        <v>5.6640600000000003E-3</v>
      </c>
      <c r="BD31">
        <f t="shared" si="10"/>
        <v>18.227654320987654</v>
      </c>
      <c r="BE31">
        <f t="shared" si="11"/>
        <v>0.10569013715555554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1.65924</v>
      </c>
      <c r="H32" s="21">
        <v>3.09484</v>
      </c>
      <c r="I32" s="21">
        <v>-1.0092200000000001E-2</v>
      </c>
      <c r="J32" s="21">
        <v>22</v>
      </c>
      <c r="K32" s="21">
        <v>1.65863</v>
      </c>
      <c r="L32">
        <f t="shared" si="0"/>
        <v>12.459506172839507</v>
      </c>
      <c r="M32">
        <f t="shared" si="1"/>
        <v>20.673311022222226</v>
      </c>
      <c r="N32" s="9"/>
      <c r="O32" s="21">
        <v>1.08337E-2</v>
      </c>
      <c r="P32" s="21">
        <v>6.8536099999999998</v>
      </c>
      <c r="Q32" s="21">
        <v>-1.49689E-2</v>
      </c>
      <c r="R32" s="21">
        <v>22</v>
      </c>
      <c r="S32" s="21">
        <v>1.06537E-2</v>
      </c>
      <c r="T32">
        <f t="shared" si="2"/>
        <v>18.480123456790125</v>
      </c>
      <c r="U32">
        <f t="shared" si="3"/>
        <v>0.20020811349382717</v>
      </c>
      <c r="X32" s="9"/>
      <c r="Y32" s="21">
        <v>1.65924</v>
      </c>
      <c r="Z32" s="21">
        <v>14.2911</v>
      </c>
      <c r="AA32" s="21">
        <v>-9.4818100000000002E-3</v>
      </c>
      <c r="AB32" s="21">
        <v>22</v>
      </c>
      <c r="AC32" s="21">
        <v>1.6583300000000001</v>
      </c>
      <c r="AD32">
        <f t="shared" si="4"/>
        <v>11.705938271604937</v>
      </c>
      <c r="AE32">
        <f t="shared" si="5"/>
        <v>19.422961017777777</v>
      </c>
      <c r="AF32" s="9"/>
      <c r="AG32" s="21">
        <v>1.08337E-2</v>
      </c>
      <c r="AH32" s="21">
        <v>18.049900000000001</v>
      </c>
      <c r="AI32" s="21">
        <v>-1.4736900000000001E-2</v>
      </c>
      <c r="AJ32" s="21">
        <v>22</v>
      </c>
      <c r="AK32" s="21">
        <v>1.06964E-2</v>
      </c>
      <c r="AL32">
        <f t="shared" si="6"/>
        <v>18.193703703703704</v>
      </c>
      <c r="AM32">
        <f t="shared" si="7"/>
        <v>0.19710512781481482</v>
      </c>
      <c r="AP32" s="9"/>
      <c r="AQ32" s="21">
        <v>1.65924</v>
      </c>
      <c r="AR32" s="21">
        <v>23.543299999999999</v>
      </c>
      <c r="AS32" s="21">
        <v>-9.5092800000000002E-3</v>
      </c>
      <c r="AT32" s="21">
        <v>22</v>
      </c>
      <c r="AU32" s="21">
        <v>1.6583300000000001</v>
      </c>
      <c r="AV32">
        <f t="shared" si="8"/>
        <v>11.739851851851853</v>
      </c>
      <c r="AW32">
        <f t="shared" si="9"/>
        <v>19.47923178666667</v>
      </c>
      <c r="AX32" s="9"/>
      <c r="AY32" s="21">
        <v>1.08337E-2</v>
      </c>
      <c r="AZ32" s="21">
        <v>27.302099999999999</v>
      </c>
      <c r="BA32" s="21">
        <v>-1.4761399999999999E-2</v>
      </c>
      <c r="BB32" s="21">
        <v>22</v>
      </c>
      <c r="BC32" s="21">
        <v>1.06903E-2</v>
      </c>
      <c r="BD32">
        <f t="shared" si="10"/>
        <v>18.22395061728395</v>
      </c>
      <c r="BE32">
        <f t="shared" si="11"/>
        <v>0.19743281380246913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1.65421</v>
      </c>
      <c r="H33" s="21">
        <v>3.1049099999999998</v>
      </c>
      <c r="I33" s="21">
        <v>-1.03149E-2</v>
      </c>
      <c r="J33" s="21">
        <v>23</v>
      </c>
      <c r="K33" s="21">
        <v>1.6537500000000001</v>
      </c>
      <c r="L33">
        <f t="shared" si="0"/>
        <v>12.734444444444444</v>
      </c>
      <c r="M33">
        <f t="shared" si="1"/>
        <v>21.065445344444441</v>
      </c>
      <c r="N33" s="9"/>
      <c r="O33" s="21">
        <v>1.5869100000000001E-2</v>
      </c>
      <c r="P33" s="21">
        <v>6.8636799999999996</v>
      </c>
      <c r="Q33" s="21">
        <v>-1.49628E-2</v>
      </c>
      <c r="R33" s="21">
        <v>23</v>
      </c>
      <c r="S33" s="21">
        <v>1.5704300000000001E-2</v>
      </c>
      <c r="T33">
        <f t="shared" si="2"/>
        <v>18.472592592592594</v>
      </c>
      <c r="U33">
        <f t="shared" si="3"/>
        <v>0.29314341911111114</v>
      </c>
      <c r="X33" s="9"/>
      <c r="Y33" s="21">
        <v>1.65421</v>
      </c>
      <c r="Z33" s="21">
        <v>14.3012</v>
      </c>
      <c r="AA33" s="21">
        <v>-9.7442599999999994E-3</v>
      </c>
      <c r="AB33" s="21">
        <v>23</v>
      </c>
      <c r="AC33" s="21">
        <v>1.65405</v>
      </c>
      <c r="AD33">
        <f t="shared" si="4"/>
        <v>12.02995061728395</v>
      </c>
      <c r="AE33">
        <f t="shared" si="5"/>
        <v>19.900064610617282</v>
      </c>
      <c r="AF33" s="9"/>
      <c r="AG33" s="21">
        <v>1.5869100000000001E-2</v>
      </c>
      <c r="AH33" s="21">
        <v>18.059899999999999</v>
      </c>
      <c r="AI33" s="21">
        <v>-1.4733899999999999E-2</v>
      </c>
      <c r="AJ33" s="21">
        <v>23</v>
      </c>
      <c r="AK33" s="21">
        <v>1.5741000000000002E-2</v>
      </c>
      <c r="AL33">
        <f t="shared" si="6"/>
        <v>18.189999999999998</v>
      </c>
      <c r="AM33">
        <f t="shared" si="7"/>
        <v>0.28865892899999995</v>
      </c>
      <c r="AP33" s="9"/>
      <c r="AQ33" s="21">
        <v>1.65421</v>
      </c>
      <c r="AR33" s="21">
        <v>23.5534</v>
      </c>
      <c r="AS33" s="21">
        <v>-9.7717299999999993E-3</v>
      </c>
      <c r="AT33" s="21">
        <v>23</v>
      </c>
      <c r="AU33" s="21">
        <v>1.6537500000000001</v>
      </c>
      <c r="AV33">
        <f t="shared" si="8"/>
        <v>12.063864197530862</v>
      </c>
      <c r="AW33">
        <f t="shared" si="9"/>
        <v>19.956164794197527</v>
      </c>
      <c r="AX33" s="9"/>
      <c r="AY33" s="21">
        <v>1.5869100000000001E-2</v>
      </c>
      <c r="AZ33" s="21">
        <v>27.312200000000001</v>
      </c>
      <c r="BA33" s="21">
        <v>-1.47552E-2</v>
      </c>
      <c r="BB33" s="21">
        <v>23</v>
      </c>
      <c r="BC33" s="21">
        <v>1.5780599999999999E-2</v>
      </c>
      <c r="BD33">
        <f t="shared" si="10"/>
        <v>18.216296296296292</v>
      </c>
      <c r="BE33">
        <f t="shared" si="11"/>
        <v>0.28907622755555551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1.64917</v>
      </c>
      <c r="H34" s="21">
        <v>3.1149800000000001</v>
      </c>
      <c r="I34" s="21">
        <v>-1.0537700000000001E-2</v>
      </c>
      <c r="J34" s="21">
        <v>24</v>
      </c>
      <c r="K34" s="21">
        <v>1.64856</v>
      </c>
      <c r="L34">
        <f t="shared" si="0"/>
        <v>13.009506172839506</v>
      </c>
      <c r="M34">
        <f t="shared" si="1"/>
        <v>21.454887295061727</v>
      </c>
      <c r="N34" s="9"/>
      <c r="O34" s="21">
        <v>2.0904499999999999E-2</v>
      </c>
      <c r="P34" s="21">
        <v>6.8737500000000002</v>
      </c>
      <c r="Q34" s="21">
        <v>-1.4959699999999999E-2</v>
      </c>
      <c r="R34" s="21">
        <v>24</v>
      </c>
      <c r="S34" s="21">
        <v>2.0803800000000001E-2</v>
      </c>
      <c r="T34">
        <f t="shared" si="2"/>
        <v>18.468765432098763</v>
      </c>
      <c r="U34">
        <f t="shared" si="3"/>
        <v>0.3860803069753086</v>
      </c>
      <c r="X34" s="9"/>
      <c r="Y34" s="21">
        <v>1.64917</v>
      </c>
      <c r="Z34" s="21">
        <v>14.311199999999999</v>
      </c>
      <c r="AA34" s="21">
        <v>-9.9853500000000005E-3</v>
      </c>
      <c r="AB34" s="21">
        <v>24</v>
      </c>
      <c r="AC34" s="21">
        <v>1.64886</v>
      </c>
      <c r="AD34">
        <f t="shared" si="4"/>
        <v>12.327592592592593</v>
      </c>
      <c r="AE34">
        <f t="shared" si="5"/>
        <v>20.330295875925927</v>
      </c>
      <c r="AF34" s="9"/>
      <c r="AG34" s="21">
        <v>2.0904499999999999E-2</v>
      </c>
      <c r="AH34" s="21">
        <v>18.07</v>
      </c>
      <c r="AI34" s="21">
        <v>-1.4715600000000001E-2</v>
      </c>
      <c r="AJ34" s="21">
        <v>24</v>
      </c>
      <c r="AK34" s="21">
        <v>2.0803800000000001E-2</v>
      </c>
      <c r="AL34">
        <f t="shared" si="6"/>
        <v>18.167407407407406</v>
      </c>
      <c r="AM34">
        <f t="shared" si="7"/>
        <v>0.37978056814814809</v>
      </c>
      <c r="AP34" s="9"/>
      <c r="AQ34" s="21">
        <v>1.64917</v>
      </c>
      <c r="AR34" s="21">
        <v>23.563500000000001</v>
      </c>
      <c r="AS34" s="21">
        <v>-1.0009799999999999E-2</v>
      </c>
      <c r="AT34" s="21">
        <v>24</v>
      </c>
      <c r="AU34" s="21">
        <v>1.64917</v>
      </c>
      <c r="AV34">
        <f t="shared" si="8"/>
        <v>12.357777777777777</v>
      </c>
      <c r="AW34">
        <f t="shared" si="9"/>
        <v>20.380076377777776</v>
      </c>
      <c r="AX34" s="9"/>
      <c r="AY34" s="21">
        <v>2.0904499999999999E-2</v>
      </c>
      <c r="AZ34" s="21">
        <v>27.322199999999999</v>
      </c>
      <c r="BA34" s="21">
        <v>-1.47522E-2</v>
      </c>
      <c r="BB34" s="21">
        <v>24</v>
      </c>
      <c r="BC34" s="21">
        <v>2.0840500000000001E-2</v>
      </c>
      <c r="BD34">
        <f t="shared" si="10"/>
        <v>18.212592592592593</v>
      </c>
      <c r="BE34">
        <f t="shared" si="11"/>
        <v>0.38072514185185186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1.6441300000000001</v>
      </c>
      <c r="H35" s="21">
        <v>3.1250499999999999</v>
      </c>
      <c r="I35" s="21">
        <v>-1.07239E-2</v>
      </c>
      <c r="J35" s="21">
        <v>25</v>
      </c>
      <c r="K35" s="21">
        <v>1.64307</v>
      </c>
      <c r="L35">
        <f t="shared" si="0"/>
        <v>13.239382716049382</v>
      </c>
      <c r="M35">
        <f t="shared" si="1"/>
        <v>21.767266304938271</v>
      </c>
      <c r="N35" s="9"/>
      <c r="O35" s="21">
        <v>2.5939899999999998E-2</v>
      </c>
      <c r="P35" s="21">
        <v>6.8838200000000001</v>
      </c>
      <c r="Q35" s="21">
        <v>-1.49567E-2</v>
      </c>
      <c r="R35" s="21">
        <v>25</v>
      </c>
      <c r="S35" s="21">
        <v>2.5842299999999999E-2</v>
      </c>
      <c r="T35">
        <f t="shared" si="2"/>
        <v>18.46506172839506</v>
      </c>
      <c r="U35">
        <f t="shared" si="3"/>
        <v>0.478981854728395</v>
      </c>
      <c r="X35" s="9"/>
      <c r="Y35" s="21">
        <v>1.6441300000000001</v>
      </c>
      <c r="Z35" s="21">
        <v>14.321300000000001</v>
      </c>
      <c r="AA35" s="21">
        <v>-1.02112E-2</v>
      </c>
      <c r="AB35" s="21">
        <v>25</v>
      </c>
      <c r="AC35" s="21">
        <v>1.64307</v>
      </c>
      <c r="AD35">
        <f t="shared" si="4"/>
        <v>12.606419753086419</v>
      </c>
      <c r="AE35">
        <f t="shared" si="5"/>
        <v>20.726592908641976</v>
      </c>
      <c r="AF35" s="9"/>
      <c r="AG35" s="21">
        <v>2.5939899999999998E-2</v>
      </c>
      <c r="AH35" s="21">
        <v>18.080100000000002</v>
      </c>
      <c r="AI35" s="21">
        <v>-1.47034E-2</v>
      </c>
      <c r="AJ35" s="21">
        <v>25</v>
      </c>
      <c r="AK35" s="21">
        <v>2.58789E-2</v>
      </c>
      <c r="AL35">
        <f t="shared" si="6"/>
        <v>18.152345679012342</v>
      </c>
      <c r="AM35">
        <f t="shared" si="7"/>
        <v>0.4708700316790122</v>
      </c>
      <c r="AP35" s="9"/>
      <c r="AQ35" s="21">
        <v>1.6441300000000001</v>
      </c>
      <c r="AR35" s="21">
        <v>23.573499999999999</v>
      </c>
      <c r="AS35" s="21">
        <v>-1.02264E-2</v>
      </c>
      <c r="AT35" s="21">
        <v>25</v>
      </c>
      <c r="AU35" s="21">
        <v>1.64276</v>
      </c>
      <c r="AV35">
        <f t="shared" si="8"/>
        <v>12.625185185185185</v>
      </c>
      <c r="AW35">
        <f t="shared" si="9"/>
        <v>20.757445718518518</v>
      </c>
      <c r="AX35" s="9"/>
      <c r="AY35" s="21">
        <v>2.5939899999999998E-2</v>
      </c>
      <c r="AZ35" s="21">
        <v>27.3323</v>
      </c>
      <c r="BA35" s="21">
        <v>-1.474E-2</v>
      </c>
      <c r="BB35" s="21">
        <v>25</v>
      </c>
      <c r="BC35" s="21">
        <v>2.59064E-2</v>
      </c>
      <c r="BD35">
        <f t="shared" si="10"/>
        <v>18.197530864197528</v>
      </c>
      <c r="BE35">
        <f t="shared" si="11"/>
        <v>0.47204213086419744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1.6391</v>
      </c>
      <c r="H36" s="21">
        <v>3.1351300000000002</v>
      </c>
      <c r="I36" s="21">
        <v>-1.0907E-2</v>
      </c>
      <c r="J36" s="21">
        <v>26</v>
      </c>
      <c r="K36" s="21">
        <v>1.63879</v>
      </c>
      <c r="L36">
        <f t="shared" si="0"/>
        <v>13.465432098765431</v>
      </c>
      <c r="M36">
        <f t="shared" si="1"/>
        <v>22.071189753086419</v>
      </c>
      <c r="N36" s="9"/>
      <c r="O36" s="21">
        <v>3.0975300000000001E-2</v>
      </c>
      <c r="P36" s="21">
        <v>6.8938899999999999</v>
      </c>
      <c r="Q36" s="21">
        <v>-1.4959699999999999E-2</v>
      </c>
      <c r="R36" s="21">
        <v>26</v>
      </c>
      <c r="S36" s="21">
        <v>3.0911299999999999E-2</v>
      </c>
      <c r="T36">
        <f t="shared" si="2"/>
        <v>18.468765432098763</v>
      </c>
      <c r="U36">
        <f t="shared" si="3"/>
        <v>0.57207554988888887</v>
      </c>
      <c r="X36" s="9"/>
      <c r="Y36" s="21">
        <v>1.6391</v>
      </c>
      <c r="Z36" s="21">
        <v>14.3314</v>
      </c>
      <c r="AA36" s="21">
        <v>-1.0418699999999999E-2</v>
      </c>
      <c r="AB36" s="21">
        <v>26</v>
      </c>
      <c r="AC36" s="21">
        <v>1.63849</v>
      </c>
      <c r="AD36">
        <f t="shared" si="4"/>
        <v>12.862592592592591</v>
      </c>
      <c r="AE36">
        <f t="shared" si="5"/>
        <v>21.083075518518516</v>
      </c>
      <c r="AF36" s="9"/>
      <c r="AG36" s="21">
        <v>3.0975300000000001E-2</v>
      </c>
      <c r="AH36" s="21">
        <v>18.0901</v>
      </c>
      <c r="AI36" s="21">
        <v>-1.4700299999999999E-2</v>
      </c>
      <c r="AJ36" s="21">
        <v>26</v>
      </c>
      <c r="AK36" s="21">
        <v>3.09235E-2</v>
      </c>
      <c r="AL36">
        <f t="shared" si="6"/>
        <v>18.148518518518514</v>
      </c>
      <c r="AM36">
        <f t="shared" si="7"/>
        <v>0.56215580566666656</v>
      </c>
      <c r="AP36" s="9"/>
      <c r="AQ36" s="21">
        <v>1.6391</v>
      </c>
      <c r="AR36" s="21">
        <v>23.583600000000001</v>
      </c>
      <c r="AS36" s="21">
        <v>-1.0440100000000001E-2</v>
      </c>
      <c r="AT36" s="21">
        <v>26</v>
      </c>
      <c r="AU36" s="21">
        <v>1.63849</v>
      </c>
      <c r="AV36">
        <f t="shared" si="8"/>
        <v>12.889012345679014</v>
      </c>
      <c r="AW36">
        <f t="shared" si="9"/>
        <v>21.126380135802471</v>
      </c>
      <c r="AX36" s="9"/>
      <c r="AY36" s="21">
        <v>3.0975300000000001E-2</v>
      </c>
      <c r="AZ36" s="21">
        <v>27.342400000000001</v>
      </c>
      <c r="BA36" s="21">
        <v>-1.4733899999999999E-2</v>
      </c>
      <c r="BB36" s="21">
        <v>26</v>
      </c>
      <c r="BC36" s="21">
        <v>3.0877700000000001E-2</v>
      </c>
      <c r="BD36">
        <f t="shared" si="10"/>
        <v>18.189999999999998</v>
      </c>
      <c r="BE36">
        <f t="shared" si="11"/>
        <v>0.56344070699999993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1.6340600000000001</v>
      </c>
      <c r="H37" s="21">
        <v>3.1452</v>
      </c>
      <c r="I37" s="21">
        <v>-1.1080899999999999E-2</v>
      </c>
      <c r="J37" s="21">
        <v>27</v>
      </c>
      <c r="K37" s="21">
        <v>1.633</v>
      </c>
      <c r="L37">
        <f t="shared" si="0"/>
        <v>13.680123456790122</v>
      </c>
      <c r="M37">
        <f t="shared" si="1"/>
        <v>22.354142535802467</v>
      </c>
      <c r="N37" s="9"/>
      <c r="O37" s="21">
        <v>3.60107E-2</v>
      </c>
      <c r="P37" s="21">
        <v>6.9039599999999997</v>
      </c>
      <c r="Q37" s="21">
        <v>-1.4953599999999999E-2</v>
      </c>
      <c r="R37" s="21">
        <v>27</v>
      </c>
      <c r="S37" s="21">
        <v>3.5900899999999999E-2</v>
      </c>
      <c r="T37">
        <f t="shared" si="2"/>
        <v>18.461234567901233</v>
      </c>
      <c r="U37">
        <f t="shared" si="3"/>
        <v>0.66480197965432097</v>
      </c>
      <c r="X37" s="9"/>
      <c r="Y37" s="21">
        <v>1.6340600000000001</v>
      </c>
      <c r="Z37" s="21">
        <v>14.3415</v>
      </c>
      <c r="AA37" s="21">
        <v>-1.06201E-2</v>
      </c>
      <c r="AB37" s="21">
        <v>27</v>
      </c>
      <c r="AC37" s="21">
        <v>1.63361</v>
      </c>
      <c r="AD37">
        <f t="shared" si="4"/>
        <v>13.111234567901235</v>
      </c>
      <c r="AE37">
        <f t="shared" si="5"/>
        <v>21.424543958024692</v>
      </c>
      <c r="AF37" s="9"/>
      <c r="AG37" s="21">
        <v>3.60107E-2</v>
      </c>
      <c r="AH37" s="21">
        <v>18.100200000000001</v>
      </c>
      <c r="AI37" s="21">
        <v>-1.46851E-2</v>
      </c>
      <c r="AJ37" s="21">
        <v>27</v>
      </c>
      <c r="AK37" s="21">
        <v>3.5824599999999998E-2</v>
      </c>
      <c r="AL37">
        <f t="shared" si="6"/>
        <v>18.12975308641975</v>
      </c>
      <c r="AM37">
        <f t="shared" si="7"/>
        <v>0.65286509946913573</v>
      </c>
      <c r="AP37" s="9"/>
      <c r="AQ37" s="21">
        <v>1.6340600000000001</v>
      </c>
      <c r="AR37" s="21">
        <v>23.593699999999998</v>
      </c>
      <c r="AS37" s="21">
        <v>-1.0644499999999999E-2</v>
      </c>
      <c r="AT37" s="21">
        <v>27</v>
      </c>
      <c r="AU37" s="21">
        <v>1.6333</v>
      </c>
      <c r="AV37">
        <f t="shared" si="8"/>
        <v>13.141358024691357</v>
      </c>
      <c r="AW37">
        <f t="shared" si="9"/>
        <v>21.473767493827161</v>
      </c>
      <c r="AX37" s="9"/>
      <c r="AY37" s="21">
        <v>3.60107E-2</v>
      </c>
      <c r="AZ37" s="21">
        <v>27.352399999999999</v>
      </c>
      <c r="BA37" s="21">
        <v>-1.4733899999999999E-2</v>
      </c>
      <c r="BB37" s="21">
        <v>27</v>
      </c>
      <c r="BC37" s="21">
        <v>3.5983300000000003E-2</v>
      </c>
      <c r="BD37">
        <f t="shared" si="10"/>
        <v>18.189999999999998</v>
      </c>
      <c r="BE37">
        <f t="shared" si="11"/>
        <v>0.65503463299999987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1.62903</v>
      </c>
      <c r="H38" s="21">
        <v>3.1552699999999998</v>
      </c>
      <c r="I38" s="21">
        <v>-1.1251799999999999E-2</v>
      </c>
      <c r="J38" s="21">
        <v>28</v>
      </c>
      <c r="K38" s="21">
        <v>1.62842</v>
      </c>
      <c r="L38">
        <f t="shared" si="0"/>
        <v>13.89111111111111</v>
      </c>
      <c r="M38">
        <f t="shared" si="1"/>
        <v>22.629036733333333</v>
      </c>
      <c r="N38" s="9"/>
      <c r="O38" s="21">
        <v>4.1046100000000002E-2</v>
      </c>
      <c r="P38" s="21">
        <v>6.9140300000000003</v>
      </c>
      <c r="Q38" s="21">
        <v>-1.49506E-2</v>
      </c>
      <c r="R38" s="21">
        <v>28</v>
      </c>
      <c r="S38" s="21">
        <v>4.09973E-2</v>
      </c>
      <c r="T38">
        <f t="shared" si="2"/>
        <v>18.45753086419753</v>
      </c>
      <c r="U38">
        <f t="shared" si="3"/>
        <v>0.75760965760493826</v>
      </c>
      <c r="X38" s="9"/>
      <c r="Y38" s="21">
        <v>1.62903</v>
      </c>
      <c r="Z38" s="21">
        <v>14.3515</v>
      </c>
      <c r="AA38" s="21">
        <v>-1.0803200000000001E-2</v>
      </c>
      <c r="AB38" s="21">
        <v>28</v>
      </c>
      <c r="AC38" s="21">
        <v>1.62842</v>
      </c>
      <c r="AD38">
        <f t="shared" si="4"/>
        <v>13.337283950617284</v>
      </c>
      <c r="AE38">
        <f t="shared" si="5"/>
        <v>21.726835674074074</v>
      </c>
      <c r="AF38" s="9"/>
      <c r="AG38" s="21">
        <v>4.1046100000000002E-2</v>
      </c>
      <c r="AH38" s="21">
        <v>18.110299999999999</v>
      </c>
      <c r="AI38" s="21">
        <v>-1.4672899999999999E-2</v>
      </c>
      <c r="AJ38" s="21">
        <v>28</v>
      </c>
      <c r="AK38" s="21">
        <v>4.0954600000000001E-2</v>
      </c>
      <c r="AL38">
        <f t="shared" si="6"/>
        <v>18.11469135802469</v>
      </c>
      <c r="AM38">
        <f t="shared" si="7"/>
        <v>0.74353743295061725</v>
      </c>
      <c r="AP38" s="9"/>
      <c r="AQ38" s="21">
        <v>1.62903</v>
      </c>
      <c r="AR38" s="21">
        <v>23.6038</v>
      </c>
      <c r="AS38" s="21">
        <v>-1.08246E-2</v>
      </c>
      <c r="AT38" s="21">
        <v>28</v>
      </c>
      <c r="AU38" s="21">
        <v>1.6281099999999999</v>
      </c>
      <c r="AV38">
        <f t="shared" si="8"/>
        <v>13.363703703703703</v>
      </c>
      <c r="AW38">
        <f t="shared" si="9"/>
        <v>21.769874244444441</v>
      </c>
      <c r="AX38" s="9"/>
      <c r="AY38" s="21">
        <v>4.1046100000000002E-2</v>
      </c>
      <c r="AZ38" s="21">
        <v>27.362500000000001</v>
      </c>
      <c r="BA38" s="21">
        <v>-1.4733899999999999E-2</v>
      </c>
      <c r="BB38" s="21">
        <v>28</v>
      </c>
      <c r="BC38" s="21">
        <v>4.09027E-2</v>
      </c>
      <c r="BD38">
        <f t="shared" si="10"/>
        <v>18.189999999999998</v>
      </c>
      <c r="BE38">
        <f t="shared" si="11"/>
        <v>0.74662855899999991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1.62399</v>
      </c>
      <c r="H39" s="21">
        <v>3.16534</v>
      </c>
      <c r="I39" s="21">
        <v>-1.14044E-2</v>
      </c>
      <c r="J39" s="21">
        <v>29</v>
      </c>
      <c r="K39" s="21">
        <v>1.62323</v>
      </c>
      <c r="L39">
        <f t="shared" si="0"/>
        <v>14.079506172839505</v>
      </c>
      <c r="M39">
        <f t="shared" si="1"/>
        <v>22.864977229629627</v>
      </c>
      <c r="N39" s="9"/>
      <c r="O39" s="21">
        <v>4.6081499999999997E-2</v>
      </c>
      <c r="P39" s="21">
        <v>6.9241000000000001</v>
      </c>
      <c r="Q39" s="21">
        <v>-1.4947500000000001E-2</v>
      </c>
      <c r="R39" s="21">
        <v>29</v>
      </c>
      <c r="S39" s="21">
        <v>4.6023599999999998E-2</v>
      </c>
      <c r="T39">
        <f t="shared" si="2"/>
        <v>18.453703703703706</v>
      </c>
      <c r="U39">
        <f t="shared" si="3"/>
        <v>0.85037434722222227</v>
      </c>
      <c r="X39" s="9"/>
      <c r="Y39" s="21">
        <v>1.62399</v>
      </c>
      <c r="Z39" s="21">
        <v>14.361599999999999</v>
      </c>
      <c r="AA39" s="21">
        <v>-1.0980200000000001E-2</v>
      </c>
      <c r="AB39" s="21">
        <v>29</v>
      </c>
      <c r="AC39" s="21">
        <v>1.6229199999999999</v>
      </c>
      <c r="AD39">
        <f t="shared" si="4"/>
        <v>13.555802469135802</v>
      </c>
      <c r="AE39">
        <f t="shared" si="5"/>
        <v>22.014487651851852</v>
      </c>
      <c r="AF39" s="9"/>
      <c r="AG39" s="21">
        <v>4.6081499999999997E-2</v>
      </c>
      <c r="AH39" s="21">
        <v>18.1204</v>
      </c>
      <c r="AI39" s="21">
        <v>-1.4660599999999999E-2</v>
      </c>
      <c r="AJ39" s="21">
        <v>29</v>
      </c>
      <c r="AK39" s="21">
        <v>4.60449E-2</v>
      </c>
      <c r="AL39">
        <f t="shared" si="6"/>
        <v>18.099506172839504</v>
      </c>
      <c r="AM39">
        <f t="shared" si="7"/>
        <v>0.83405239370370354</v>
      </c>
      <c r="AP39" s="9"/>
      <c r="AQ39" s="21">
        <v>1.62399</v>
      </c>
      <c r="AR39" s="21">
        <v>23.613800000000001</v>
      </c>
      <c r="AS39" s="21">
        <v>-1.09894E-2</v>
      </c>
      <c r="AT39" s="21">
        <v>29</v>
      </c>
      <c r="AU39" s="21">
        <v>1.62323</v>
      </c>
      <c r="AV39">
        <f t="shared" si="8"/>
        <v>13.56716049382716</v>
      </c>
      <c r="AW39">
        <f t="shared" si="9"/>
        <v>22.032932970370371</v>
      </c>
      <c r="AX39" s="9"/>
      <c r="AY39" s="21">
        <v>4.6081499999999997E-2</v>
      </c>
      <c r="AZ39" s="21">
        <v>27.372599999999998</v>
      </c>
      <c r="BA39" s="21">
        <v>-1.4736900000000001E-2</v>
      </c>
      <c r="BB39" s="21">
        <v>29</v>
      </c>
      <c r="BC39" s="21">
        <v>4.5938100000000003E-2</v>
      </c>
      <c r="BD39">
        <f t="shared" si="10"/>
        <v>18.193703703703704</v>
      </c>
      <c r="BE39">
        <f t="shared" si="11"/>
        <v>0.83839315722222219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1.61896</v>
      </c>
      <c r="H40" s="21">
        <v>3.1754099999999998</v>
      </c>
      <c r="I40" s="21">
        <v>-1.1544799999999999E-2</v>
      </c>
      <c r="J40" s="21">
        <v>30</v>
      </c>
      <c r="K40" s="21">
        <v>1.6186499999999999</v>
      </c>
      <c r="L40">
        <f t="shared" si="0"/>
        <v>14.252839506172839</v>
      </c>
      <c r="M40">
        <f t="shared" si="1"/>
        <v>23.074777046913578</v>
      </c>
      <c r="N40" s="9"/>
      <c r="O40" s="21">
        <v>5.11169E-2</v>
      </c>
      <c r="P40" s="21">
        <v>6.9341799999999996</v>
      </c>
      <c r="Q40" s="21">
        <v>-1.4938399999999999E-2</v>
      </c>
      <c r="R40" s="21">
        <v>30</v>
      </c>
      <c r="S40" s="21">
        <v>5.05981E-2</v>
      </c>
      <c r="T40">
        <f t="shared" si="2"/>
        <v>18.442469135802465</v>
      </c>
      <c r="U40">
        <f t="shared" si="3"/>
        <v>0.94272185056790103</v>
      </c>
      <c r="X40" s="9"/>
      <c r="Y40" s="21">
        <v>1.61896</v>
      </c>
      <c r="Z40" s="21">
        <v>14.371700000000001</v>
      </c>
      <c r="AA40" s="21">
        <v>-1.1145E-2</v>
      </c>
      <c r="AB40" s="21">
        <v>30</v>
      </c>
      <c r="AC40" s="21">
        <v>1.61835</v>
      </c>
      <c r="AD40">
        <f t="shared" si="4"/>
        <v>13.75925925925926</v>
      </c>
      <c r="AE40">
        <f t="shared" si="5"/>
        <v>22.27569037037037</v>
      </c>
      <c r="AF40" s="9"/>
      <c r="AG40" s="21">
        <v>5.11169E-2</v>
      </c>
      <c r="AH40" s="21">
        <v>18.130400000000002</v>
      </c>
      <c r="AI40" s="21">
        <v>-1.4660599999999999E-2</v>
      </c>
      <c r="AJ40" s="21">
        <v>30</v>
      </c>
      <c r="AK40" s="21">
        <v>5.1092499999999999E-2</v>
      </c>
      <c r="AL40">
        <f t="shared" si="6"/>
        <v>18.099506172839504</v>
      </c>
      <c r="AM40">
        <f t="shared" si="7"/>
        <v>0.92519064708641963</v>
      </c>
      <c r="AP40" s="9"/>
      <c r="AQ40" s="21">
        <v>1.61896</v>
      </c>
      <c r="AR40" s="21">
        <v>23.623899999999999</v>
      </c>
      <c r="AS40" s="21">
        <v>-1.1151100000000001E-2</v>
      </c>
      <c r="AT40" s="21">
        <v>30</v>
      </c>
      <c r="AU40" s="21">
        <v>1.6186499999999999</v>
      </c>
      <c r="AV40">
        <f t="shared" si="8"/>
        <v>13.76679012345679</v>
      </c>
      <c r="AW40">
        <f t="shared" si="9"/>
        <v>22.287882538271603</v>
      </c>
      <c r="AX40" s="9"/>
      <c r="AY40" s="21">
        <v>5.11169E-2</v>
      </c>
      <c r="AZ40" s="21">
        <v>27.3827</v>
      </c>
      <c r="BA40" s="21">
        <v>-1.4727799999999999E-2</v>
      </c>
      <c r="BB40" s="21">
        <v>30</v>
      </c>
      <c r="BC40" s="21">
        <v>5.0628699999999999E-2</v>
      </c>
      <c r="BD40">
        <f t="shared" si="10"/>
        <v>18.182469135802467</v>
      </c>
      <c r="BE40">
        <f t="shared" si="11"/>
        <v>0.92943145656790116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1.61392</v>
      </c>
      <c r="H41" s="21">
        <v>3.1854800000000001</v>
      </c>
      <c r="I41" s="21">
        <v>-1.1672999999999999E-2</v>
      </c>
      <c r="J41" s="21">
        <v>31</v>
      </c>
      <c r="K41" s="21">
        <v>1.6131599999999999</v>
      </c>
      <c r="L41">
        <f t="shared" si="0"/>
        <v>14.41111111111111</v>
      </c>
      <c r="M41">
        <f t="shared" si="1"/>
        <v>23.258380444444441</v>
      </c>
      <c r="N41" s="9"/>
      <c r="O41" s="21">
        <v>5.6152300000000002E-2</v>
      </c>
      <c r="P41" s="21">
        <v>6.9442500000000003</v>
      </c>
      <c r="Q41" s="21">
        <v>-1.49231E-2</v>
      </c>
      <c r="R41" s="21">
        <v>31</v>
      </c>
      <c r="S41" s="21">
        <v>5.5633500000000002E-2</v>
      </c>
      <c r="T41">
        <f t="shared" si="2"/>
        <v>18.423580246913577</v>
      </c>
      <c r="U41">
        <f t="shared" si="3"/>
        <v>1.0345264050987653</v>
      </c>
      <c r="X41" s="9"/>
      <c r="Y41" s="21">
        <v>1.61392</v>
      </c>
      <c r="Z41" s="21">
        <v>14.3817</v>
      </c>
      <c r="AA41" s="21">
        <v>-1.1291499999999999E-2</v>
      </c>
      <c r="AB41" s="21">
        <v>31</v>
      </c>
      <c r="AC41" s="21">
        <v>1.6134599999999999</v>
      </c>
      <c r="AD41">
        <f t="shared" si="4"/>
        <v>13.940123456790122</v>
      </c>
      <c r="AE41">
        <f t="shared" si="5"/>
        <v>22.498244049382713</v>
      </c>
      <c r="AF41" s="9"/>
      <c r="AG41" s="21">
        <v>5.6152300000000002E-2</v>
      </c>
      <c r="AH41" s="21">
        <v>18.140499999999999</v>
      </c>
      <c r="AI41" s="21">
        <v>-1.4672899999999999E-2</v>
      </c>
      <c r="AJ41" s="21">
        <v>31</v>
      </c>
      <c r="AK41" s="21">
        <v>5.5633500000000002E-2</v>
      </c>
      <c r="AL41">
        <f t="shared" si="6"/>
        <v>18.11469135802469</v>
      </c>
      <c r="AM41">
        <f t="shared" si="7"/>
        <v>1.0171815835432099</v>
      </c>
      <c r="AP41" s="9"/>
      <c r="AQ41" s="21">
        <v>1.61392</v>
      </c>
      <c r="AR41" s="21">
        <v>23.634</v>
      </c>
      <c r="AS41" s="21">
        <v>-1.13007E-2</v>
      </c>
      <c r="AT41" s="21">
        <v>31</v>
      </c>
      <c r="AU41" s="21">
        <v>1.6128499999999999</v>
      </c>
      <c r="AV41">
        <f t="shared" si="8"/>
        <v>13.951481481481482</v>
      </c>
      <c r="AW41">
        <f t="shared" si="9"/>
        <v>22.516574992592592</v>
      </c>
      <c r="AX41" s="9"/>
      <c r="AY41" s="21">
        <v>5.6152300000000002E-2</v>
      </c>
      <c r="AZ41" s="21">
        <v>27.392700000000001</v>
      </c>
      <c r="BA41" s="21">
        <v>-1.4721700000000001E-2</v>
      </c>
      <c r="BB41" s="21">
        <v>31</v>
      </c>
      <c r="BC41" s="21">
        <v>5.5694599999999997E-2</v>
      </c>
      <c r="BD41">
        <f t="shared" si="10"/>
        <v>18.174938271604937</v>
      </c>
      <c r="BE41">
        <f t="shared" si="11"/>
        <v>1.0205645863086419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1.6088899999999999</v>
      </c>
      <c r="H42" s="21">
        <v>3.1955499999999999</v>
      </c>
      <c r="I42" s="21">
        <v>-1.1795E-2</v>
      </c>
      <c r="J42" s="21">
        <v>32</v>
      </c>
      <c r="K42" s="21">
        <v>1.6079699999999999</v>
      </c>
      <c r="L42">
        <f t="shared" si="0"/>
        <v>14.561728395061728</v>
      </c>
      <c r="M42">
        <f t="shared" si="1"/>
        <v>23.428219197530861</v>
      </c>
      <c r="N42" s="9"/>
      <c r="O42" s="21">
        <v>6.1187699999999998E-2</v>
      </c>
      <c r="P42" s="21">
        <v>6.9543200000000001</v>
      </c>
      <c r="Q42" s="21">
        <v>-1.4913900000000001E-2</v>
      </c>
      <c r="R42" s="21">
        <v>32</v>
      </c>
      <c r="S42" s="21">
        <v>6.0577400000000003E-2</v>
      </c>
      <c r="T42">
        <f t="shared" si="2"/>
        <v>18.412222222222223</v>
      </c>
      <c r="U42">
        <f t="shared" si="3"/>
        <v>1.1266015296666667</v>
      </c>
      <c r="X42" s="9"/>
      <c r="Y42" s="21">
        <v>1.6088899999999999</v>
      </c>
      <c r="Z42" s="21">
        <v>14.3918</v>
      </c>
      <c r="AA42" s="21">
        <v>-1.1438E-2</v>
      </c>
      <c r="AB42" s="21">
        <v>32</v>
      </c>
      <c r="AC42" s="21">
        <v>1.6073599999999999</v>
      </c>
      <c r="AD42">
        <f t="shared" si="4"/>
        <v>14.120987654320988</v>
      </c>
      <c r="AE42">
        <f t="shared" si="5"/>
        <v>22.719115827160493</v>
      </c>
      <c r="AF42" s="9"/>
      <c r="AG42" s="21">
        <v>6.1187699999999998E-2</v>
      </c>
      <c r="AH42" s="21">
        <v>18.150600000000001</v>
      </c>
      <c r="AI42" s="21">
        <v>-1.46759E-2</v>
      </c>
      <c r="AJ42" s="21">
        <v>32</v>
      </c>
      <c r="AK42" s="21">
        <v>6.0577400000000003E-2</v>
      </c>
      <c r="AL42">
        <f t="shared" si="6"/>
        <v>18.118395061728396</v>
      </c>
      <c r="AM42">
        <f t="shared" si="7"/>
        <v>1.1086229215185186</v>
      </c>
      <c r="AP42" s="9"/>
      <c r="AQ42" s="21">
        <v>1.6088899999999999</v>
      </c>
      <c r="AR42" s="21">
        <v>23.643999999999998</v>
      </c>
      <c r="AS42" s="21">
        <v>-1.14471E-2</v>
      </c>
      <c r="AT42" s="21">
        <v>32</v>
      </c>
      <c r="AU42" s="21">
        <v>1.6088899999999999</v>
      </c>
      <c r="AV42">
        <f t="shared" si="8"/>
        <v>14.132222222222222</v>
      </c>
      <c r="AW42">
        <f t="shared" si="9"/>
        <v>22.737191011111108</v>
      </c>
      <c r="AX42" s="9"/>
      <c r="AY42" s="21">
        <v>6.1187699999999998E-2</v>
      </c>
      <c r="AZ42" s="21">
        <v>27.402799999999999</v>
      </c>
      <c r="BA42" s="21">
        <v>-1.47186E-2</v>
      </c>
      <c r="BB42" s="21">
        <v>32</v>
      </c>
      <c r="BC42" s="21">
        <v>6.0668899999999998E-2</v>
      </c>
      <c r="BD42">
        <f t="shared" si="10"/>
        <v>18.171111111111109</v>
      </c>
      <c r="BE42">
        <f t="shared" si="11"/>
        <v>1.1118484953333332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1.60385</v>
      </c>
      <c r="H43" s="21">
        <v>3.2056200000000001</v>
      </c>
      <c r="I43" s="21">
        <v>-1.19019E-2</v>
      </c>
      <c r="J43" s="21">
        <v>33</v>
      </c>
      <c r="K43" s="21">
        <v>1.6033900000000001</v>
      </c>
      <c r="L43">
        <f t="shared" si="0"/>
        <v>14.693703703703703</v>
      </c>
      <c r="M43">
        <f t="shared" si="1"/>
        <v>23.566496685185182</v>
      </c>
      <c r="N43" s="9"/>
      <c r="O43" s="21">
        <v>6.6223099999999993E-2</v>
      </c>
      <c r="P43" s="21">
        <v>6.9643899999999999</v>
      </c>
      <c r="Q43" s="21">
        <v>-1.4913900000000001E-2</v>
      </c>
      <c r="R43" s="21">
        <v>33</v>
      </c>
      <c r="S43" s="21">
        <v>6.5734899999999999E-2</v>
      </c>
      <c r="T43">
        <f t="shared" si="2"/>
        <v>18.412222222222223</v>
      </c>
      <c r="U43">
        <f t="shared" si="3"/>
        <v>1.2193144334444443</v>
      </c>
      <c r="X43" s="9"/>
      <c r="Y43" s="21">
        <v>1.60385</v>
      </c>
      <c r="Z43" s="21">
        <v>14.401899999999999</v>
      </c>
      <c r="AA43" s="21">
        <v>-1.15692E-2</v>
      </c>
      <c r="AB43" s="21">
        <v>33</v>
      </c>
      <c r="AC43" s="21">
        <v>1.6030899999999999</v>
      </c>
      <c r="AD43">
        <f t="shared" si="4"/>
        <v>14.282962962962962</v>
      </c>
      <c r="AE43">
        <f t="shared" si="5"/>
        <v>22.907730148148147</v>
      </c>
      <c r="AF43" s="9"/>
      <c r="AG43" s="21">
        <v>6.6223099999999993E-2</v>
      </c>
      <c r="AH43" s="21">
        <v>18.160599999999999</v>
      </c>
      <c r="AI43" s="21">
        <v>-1.4694199999999999E-2</v>
      </c>
      <c r="AJ43" s="21">
        <v>33</v>
      </c>
      <c r="AK43" s="21">
        <v>6.5826399999999993E-2</v>
      </c>
      <c r="AL43">
        <f t="shared" si="6"/>
        <v>18.140987654320988</v>
      </c>
      <c r="AM43">
        <f t="shared" si="7"/>
        <v>1.2013524395308641</v>
      </c>
      <c r="AP43" s="9"/>
      <c r="AQ43" s="21">
        <v>1.60385</v>
      </c>
      <c r="AR43" s="21">
        <v>23.6541</v>
      </c>
      <c r="AS43" s="21">
        <v>-1.15814E-2</v>
      </c>
      <c r="AT43" s="21">
        <v>33</v>
      </c>
      <c r="AU43" s="21">
        <v>1.6030899999999999</v>
      </c>
      <c r="AV43">
        <f t="shared" si="8"/>
        <v>14.298024691358025</v>
      </c>
      <c r="AW43">
        <f t="shared" si="9"/>
        <v>22.931886901234567</v>
      </c>
      <c r="AX43" s="9"/>
      <c r="AY43" s="21">
        <v>6.6223099999999993E-2</v>
      </c>
      <c r="AZ43" s="21">
        <v>27.4129</v>
      </c>
      <c r="BA43" s="21">
        <v>-1.4715600000000001E-2</v>
      </c>
      <c r="BB43" s="21">
        <v>33</v>
      </c>
      <c r="BC43" s="21">
        <v>6.5734899999999999E-2</v>
      </c>
      <c r="BD43">
        <f t="shared" si="10"/>
        <v>18.167407407407406</v>
      </c>
      <c r="BE43">
        <f t="shared" si="11"/>
        <v>1.2031020374814814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1.5988199999999999</v>
      </c>
      <c r="H44" s="21">
        <v>3.2156899999999999</v>
      </c>
      <c r="I44" s="21">
        <v>-1.20056E-2</v>
      </c>
      <c r="J44" s="21">
        <v>34</v>
      </c>
      <c r="K44" s="21">
        <v>1.5982099999999999</v>
      </c>
      <c r="L44">
        <f t="shared" si="0"/>
        <v>14.821728395061728</v>
      </c>
      <c r="M44">
        <f t="shared" si="1"/>
        <v>23.697275792592588</v>
      </c>
      <c r="N44" s="9"/>
      <c r="O44" s="21">
        <v>7.1258500000000002E-2</v>
      </c>
      <c r="P44" s="21">
        <v>6.9744599999999997</v>
      </c>
      <c r="Q44" s="21">
        <v>-1.4904799999999999E-2</v>
      </c>
      <c r="R44" s="21">
        <v>34</v>
      </c>
      <c r="S44" s="21">
        <v>7.0800799999999997E-2</v>
      </c>
      <c r="T44">
        <f t="shared" si="2"/>
        <v>18.400987654320986</v>
      </c>
      <c r="U44">
        <f t="shared" si="3"/>
        <v>1.3112267787654319</v>
      </c>
      <c r="X44" s="9"/>
      <c r="Y44" s="21">
        <v>1.5988199999999999</v>
      </c>
      <c r="Z44" s="21">
        <v>14.411899999999999</v>
      </c>
      <c r="AA44" s="21">
        <v>-1.1688199999999999E-2</v>
      </c>
      <c r="AB44" s="21">
        <v>34</v>
      </c>
      <c r="AC44" s="21">
        <v>1.5979000000000001</v>
      </c>
      <c r="AD44">
        <f t="shared" si="4"/>
        <v>14.429876543209874</v>
      </c>
      <c r="AE44">
        <f t="shared" si="5"/>
        <v>23.070775214814809</v>
      </c>
      <c r="AF44" s="9"/>
      <c r="AG44" s="21">
        <v>7.1258500000000002E-2</v>
      </c>
      <c r="AH44" s="21">
        <v>18.1707</v>
      </c>
      <c r="AI44" s="21">
        <v>-1.4700299999999999E-2</v>
      </c>
      <c r="AJ44" s="21">
        <v>34</v>
      </c>
      <c r="AK44" s="21">
        <v>7.07092E-2</v>
      </c>
      <c r="AL44">
        <f t="shared" si="6"/>
        <v>18.148518518518514</v>
      </c>
      <c r="AM44">
        <f t="shared" si="7"/>
        <v>1.2932362068518517</v>
      </c>
      <c r="AP44" s="9"/>
      <c r="AQ44" s="21">
        <v>1.5988199999999999</v>
      </c>
      <c r="AR44" s="21">
        <v>23.664200000000001</v>
      </c>
      <c r="AS44" s="21">
        <v>-1.17065E-2</v>
      </c>
      <c r="AT44" s="21">
        <v>34</v>
      </c>
      <c r="AU44" s="21">
        <v>1.5982099999999999</v>
      </c>
      <c r="AV44">
        <f t="shared" si="8"/>
        <v>14.452469135802467</v>
      </c>
      <c r="AW44">
        <f t="shared" si="9"/>
        <v>23.106896703703697</v>
      </c>
      <c r="AX44" s="9"/>
      <c r="AY44" s="21">
        <v>7.1258500000000002E-2</v>
      </c>
      <c r="AZ44" s="21">
        <v>27.422899999999998</v>
      </c>
      <c r="BA44" s="21">
        <v>-1.4700299999999999E-2</v>
      </c>
      <c r="BB44" s="21">
        <v>34</v>
      </c>
      <c r="BC44" s="21">
        <v>7.0800799999999997E-2</v>
      </c>
      <c r="BD44">
        <f t="shared" si="10"/>
        <v>18.148518518518514</v>
      </c>
      <c r="BE44">
        <f t="shared" si="11"/>
        <v>1.2932362068518517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1.59378</v>
      </c>
      <c r="H45" s="21">
        <v>3.2257600000000002</v>
      </c>
      <c r="I45" s="21">
        <v>-1.21063E-2</v>
      </c>
      <c r="J45" s="21">
        <v>35</v>
      </c>
      <c r="K45" s="21">
        <v>1.5930200000000001</v>
      </c>
      <c r="L45">
        <f t="shared" si="0"/>
        <v>14.946049382716049</v>
      </c>
      <c r="M45">
        <f t="shared" si="1"/>
        <v>23.820714585185186</v>
      </c>
      <c r="N45" s="9"/>
      <c r="O45" s="21">
        <v>7.6293899999999998E-2</v>
      </c>
      <c r="P45" s="21">
        <v>6.9845300000000003</v>
      </c>
      <c r="Q45" s="21">
        <v>-1.4898700000000001E-2</v>
      </c>
      <c r="R45" s="21">
        <v>35</v>
      </c>
      <c r="S45" s="21">
        <v>7.5775099999999998E-2</v>
      </c>
      <c r="T45">
        <f t="shared" si="2"/>
        <v>18.393456790123455</v>
      </c>
      <c r="U45">
        <f t="shared" si="3"/>
        <v>1.4033085529999998</v>
      </c>
      <c r="X45" s="9"/>
      <c r="Y45" s="21">
        <v>1.59378</v>
      </c>
      <c r="Z45" s="21">
        <v>14.422000000000001</v>
      </c>
      <c r="AA45" s="21">
        <v>-1.18011E-2</v>
      </c>
      <c r="AB45" s="21">
        <v>35</v>
      </c>
      <c r="AC45" s="21">
        <v>1.5930200000000001</v>
      </c>
      <c r="AD45">
        <f t="shared" si="4"/>
        <v>14.56925925925926</v>
      </c>
      <c r="AE45">
        <f t="shared" si="5"/>
        <v>23.220194022222223</v>
      </c>
      <c r="AF45" s="9"/>
      <c r="AG45" s="21">
        <v>7.6293899999999998E-2</v>
      </c>
      <c r="AH45" s="21">
        <v>18.180800000000001</v>
      </c>
      <c r="AI45" s="21">
        <v>-1.46973E-2</v>
      </c>
      <c r="AJ45" s="21">
        <v>35</v>
      </c>
      <c r="AK45" s="21">
        <v>7.5836200000000006E-2</v>
      </c>
      <c r="AL45">
        <f t="shared" si="6"/>
        <v>18.144814814814815</v>
      </c>
      <c r="AM45">
        <f t="shared" si="7"/>
        <v>1.3843386870000001</v>
      </c>
      <c r="AP45" s="9"/>
      <c r="AQ45" s="21">
        <v>1.59378</v>
      </c>
      <c r="AR45" s="21">
        <v>23.674199999999999</v>
      </c>
      <c r="AS45" s="21">
        <v>-1.18225E-2</v>
      </c>
      <c r="AT45" s="21">
        <v>35</v>
      </c>
      <c r="AU45" s="21">
        <v>1.5933200000000001</v>
      </c>
      <c r="AV45">
        <f t="shared" si="8"/>
        <v>14.595679012345677</v>
      </c>
      <c r="AW45">
        <f t="shared" si="9"/>
        <v>23.262301296296293</v>
      </c>
      <c r="AX45" s="9"/>
      <c r="AY45" s="21">
        <v>7.6293899999999998E-2</v>
      </c>
      <c r="AZ45" s="21">
        <v>27.433</v>
      </c>
      <c r="BA45" s="21">
        <v>-1.4688100000000001E-2</v>
      </c>
      <c r="BB45" s="21">
        <v>35</v>
      </c>
      <c r="BC45" s="21">
        <v>7.5775099999999998E-2</v>
      </c>
      <c r="BD45">
        <f t="shared" si="10"/>
        <v>18.133456790123457</v>
      </c>
      <c r="BE45">
        <f t="shared" si="11"/>
        <v>1.383472139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1.5887500000000001</v>
      </c>
      <c r="H46" s="21">
        <v>3.23584</v>
      </c>
      <c r="I46" s="21">
        <v>-1.22101E-2</v>
      </c>
      <c r="J46" s="21">
        <v>36</v>
      </c>
      <c r="K46" s="21">
        <v>1.5878300000000001</v>
      </c>
      <c r="L46">
        <f t="shared" si="0"/>
        <v>15.074197530864195</v>
      </c>
      <c r="M46">
        <f t="shared" si="1"/>
        <v>23.94913132716049</v>
      </c>
      <c r="N46" s="9"/>
      <c r="O46" s="21">
        <v>8.1329299999999993E-2</v>
      </c>
      <c r="P46" s="21">
        <v>6.9946000000000002</v>
      </c>
      <c r="Q46" s="21">
        <v>-1.48956E-2</v>
      </c>
      <c r="R46" s="21">
        <v>36</v>
      </c>
      <c r="S46" s="21">
        <v>8.0841099999999999E-2</v>
      </c>
      <c r="T46">
        <f t="shared" si="2"/>
        <v>18.389629629629628</v>
      </c>
      <c r="U46">
        <f t="shared" si="3"/>
        <v>1.4956157050370367</v>
      </c>
      <c r="X46" s="9"/>
      <c r="Y46" s="21">
        <v>1.5887500000000001</v>
      </c>
      <c r="Z46" s="21">
        <v>14.4321</v>
      </c>
      <c r="AA46" s="21">
        <v>-1.1908E-2</v>
      </c>
      <c r="AB46" s="21">
        <v>36</v>
      </c>
      <c r="AC46" s="21">
        <v>1.5878300000000001</v>
      </c>
      <c r="AD46">
        <f t="shared" si="4"/>
        <v>14.701234567901233</v>
      </c>
      <c r="AE46">
        <f t="shared" si="5"/>
        <v>23.356586419753086</v>
      </c>
      <c r="AF46" s="9"/>
      <c r="AG46" s="21">
        <v>8.1329299999999993E-2</v>
      </c>
      <c r="AH46" s="21">
        <v>18.190899999999999</v>
      </c>
      <c r="AI46" s="21">
        <v>-1.46973E-2</v>
      </c>
      <c r="AJ46" s="21">
        <v>36</v>
      </c>
      <c r="AK46" s="21">
        <v>8.0932599999999993E-2</v>
      </c>
      <c r="AL46">
        <f t="shared" si="6"/>
        <v>18.144814814814815</v>
      </c>
      <c r="AM46">
        <f t="shared" si="7"/>
        <v>1.4757050875185185</v>
      </c>
      <c r="AP46" s="9"/>
      <c r="AQ46" s="21">
        <v>1.5887500000000001</v>
      </c>
      <c r="AR46" s="21">
        <v>23.6843</v>
      </c>
      <c r="AS46" s="21">
        <v>-1.1920200000000001E-2</v>
      </c>
      <c r="AT46" s="21">
        <v>36</v>
      </c>
      <c r="AU46" s="21">
        <v>1.5878300000000001</v>
      </c>
      <c r="AV46">
        <f t="shared" si="8"/>
        <v>14.716296296296298</v>
      </c>
      <c r="AW46">
        <f t="shared" si="9"/>
        <v>23.380515740740744</v>
      </c>
      <c r="AX46" s="9"/>
      <c r="AY46" s="21">
        <v>8.1329299999999993E-2</v>
      </c>
      <c r="AZ46" s="21">
        <v>27.443100000000001</v>
      </c>
      <c r="BA46" s="21">
        <v>-1.46851E-2</v>
      </c>
      <c r="BB46" s="21">
        <v>36</v>
      </c>
      <c r="BC46" s="21">
        <v>8.0841099999999999E-2</v>
      </c>
      <c r="BD46">
        <f t="shared" si="10"/>
        <v>18.12975308641975</v>
      </c>
      <c r="BE46">
        <f t="shared" si="11"/>
        <v>1.4744801276913577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1.58371</v>
      </c>
      <c r="H47" s="21">
        <v>3.2459099999999999</v>
      </c>
      <c r="I47" s="21">
        <v>-1.2301599999999999E-2</v>
      </c>
      <c r="J47" s="21">
        <v>37</v>
      </c>
      <c r="K47" s="21">
        <v>1.5835600000000001</v>
      </c>
      <c r="L47">
        <f t="shared" si="0"/>
        <v>15.187160493827157</v>
      </c>
      <c r="M47">
        <f t="shared" si="1"/>
        <v>24.052057945679007</v>
      </c>
      <c r="N47" s="9"/>
      <c r="O47" s="21">
        <v>8.6364700000000003E-2</v>
      </c>
      <c r="P47" s="21">
        <v>7.00467</v>
      </c>
      <c r="Q47" s="21">
        <v>-1.48804E-2</v>
      </c>
      <c r="R47" s="21">
        <v>37</v>
      </c>
      <c r="S47" s="21">
        <v>8.5968000000000003E-2</v>
      </c>
      <c r="T47">
        <f t="shared" si="2"/>
        <v>18.370864197530864</v>
      </c>
      <c r="U47">
        <f t="shared" si="3"/>
        <v>1.5865941751604937</v>
      </c>
      <c r="X47" s="9"/>
      <c r="Y47" s="21">
        <v>1.58371</v>
      </c>
      <c r="Z47" s="21">
        <v>14.4422</v>
      </c>
      <c r="AA47" s="21">
        <v>-1.2014800000000001E-2</v>
      </c>
      <c r="AB47" s="21">
        <v>37</v>
      </c>
      <c r="AC47" s="21">
        <v>1.58264</v>
      </c>
      <c r="AD47">
        <f t="shared" si="4"/>
        <v>14.833086419753087</v>
      </c>
      <c r="AE47">
        <f t="shared" si="5"/>
        <v>23.491307293827163</v>
      </c>
      <c r="AF47" s="9"/>
      <c r="AG47" s="21">
        <v>8.6364700000000003E-2</v>
      </c>
      <c r="AH47" s="21">
        <v>18.200900000000001</v>
      </c>
      <c r="AI47" s="21">
        <v>-1.46912E-2</v>
      </c>
      <c r="AJ47" s="21">
        <v>37</v>
      </c>
      <c r="AK47" s="21">
        <v>8.5845900000000003E-2</v>
      </c>
      <c r="AL47">
        <f t="shared" si="6"/>
        <v>18.137283950617284</v>
      </c>
      <c r="AM47">
        <f t="shared" si="7"/>
        <v>1.5664210872098767</v>
      </c>
      <c r="AP47" s="9"/>
      <c r="AQ47" s="21">
        <v>1.58371</v>
      </c>
      <c r="AR47" s="21">
        <v>23.694400000000002</v>
      </c>
      <c r="AS47" s="21">
        <v>-1.2014800000000001E-2</v>
      </c>
      <c r="AT47" s="21">
        <v>37</v>
      </c>
      <c r="AU47" s="21">
        <v>1.58264</v>
      </c>
      <c r="AV47">
        <f t="shared" si="8"/>
        <v>14.833086419753087</v>
      </c>
      <c r="AW47">
        <f t="shared" si="9"/>
        <v>23.491307293827163</v>
      </c>
      <c r="AX47" s="9"/>
      <c r="AY47" s="21">
        <v>8.6364700000000003E-2</v>
      </c>
      <c r="AZ47" s="21">
        <v>27.453199999999999</v>
      </c>
      <c r="BA47" s="21">
        <v>-1.4672899999999999E-2</v>
      </c>
      <c r="BB47" s="21">
        <v>37</v>
      </c>
      <c r="BC47" s="21">
        <v>8.5723900000000006E-2</v>
      </c>
      <c r="BD47">
        <f t="shared" si="10"/>
        <v>18.11469135802469</v>
      </c>
      <c r="BE47">
        <f t="shared" si="11"/>
        <v>1.5644698847283949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1.57867</v>
      </c>
      <c r="H48" s="21">
        <v>3.2559800000000001</v>
      </c>
      <c r="I48" s="21">
        <v>-1.23871E-2</v>
      </c>
      <c r="J48" s="21">
        <v>38</v>
      </c>
      <c r="K48" s="21">
        <v>1.57806</v>
      </c>
      <c r="L48">
        <f t="shared" si="0"/>
        <v>15.292716049382715</v>
      </c>
      <c r="M48">
        <f t="shared" si="1"/>
        <v>24.142152045679012</v>
      </c>
      <c r="N48" s="9"/>
      <c r="O48" s="21">
        <v>9.1400099999999998E-2</v>
      </c>
      <c r="P48" s="21">
        <v>7.0147399999999998</v>
      </c>
      <c r="Q48" s="21">
        <v>-1.4871199999999999E-2</v>
      </c>
      <c r="R48" s="21">
        <v>38</v>
      </c>
      <c r="S48" s="21">
        <v>9.0911900000000004E-2</v>
      </c>
      <c r="T48">
        <f t="shared" si="2"/>
        <v>18.359506172839506</v>
      </c>
      <c r="U48">
        <f t="shared" si="3"/>
        <v>1.678060700148148</v>
      </c>
      <c r="X48" s="9"/>
      <c r="Y48" s="21">
        <v>1.57867</v>
      </c>
      <c r="Z48" s="21">
        <v>14.452199999999999</v>
      </c>
      <c r="AA48" s="21">
        <v>-1.2112400000000001E-2</v>
      </c>
      <c r="AB48" s="21">
        <v>38</v>
      </c>
      <c r="AC48" s="21">
        <v>1.57806</v>
      </c>
      <c r="AD48">
        <f t="shared" si="4"/>
        <v>14.95358024691358</v>
      </c>
      <c r="AE48">
        <f t="shared" si="5"/>
        <v>23.606768528395062</v>
      </c>
      <c r="AF48" s="9"/>
      <c r="AG48" s="21">
        <v>9.1400099999999998E-2</v>
      </c>
      <c r="AH48" s="21">
        <v>18.210999999999999</v>
      </c>
      <c r="AI48" s="21">
        <v>-1.4678999999999999E-2</v>
      </c>
      <c r="AJ48" s="21">
        <v>38</v>
      </c>
      <c r="AK48" s="21">
        <v>9.0972899999999995E-2</v>
      </c>
      <c r="AL48">
        <f t="shared" si="6"/>
        <v>18.12222222222222</v>
      </c>
      <c r="AM48">
        <f t="shared" si="7"/>
        <v>1.6563729233333331</v>
      </c>
      <c r="AP48" s="9"/>
      <c r="AQ48" s="21">
        <v>1.57867</v>
      </c>
      <c r="AR48" s="21">
        <v>23.704499999999999</v>
      </c>
      <c r="AS48" s="21">
        <v>-1.2109399999999999E-2</v>
      </c>
      <c r="AT48" s="21">
        <v>38</v>
      </c>
      <c r="AU48" s="21">
        <v>1.57745</v>
      </c>
      <c r="AV48">
        <f t="shared" si="8"/>
        <v>14.949876543209875</v>
      </c>
      <c r="AW48">
        <f t="shared" si="9"/>
        <v>23.600921602469132</v>
      </c>
      <c r="AX48" s="9"/>
      <c r="AY48" s="21">
        <v>9.1400099999999998E-2</v>
      </c>
      <c r="AZ48" s="21">
        <v>27.463200000000001</v>
      </c>
      <c r="BA48" s="21">
        <v>-1.46576E-2</v>
      </c>
      <c r="BB48" s="21">
        <v>38</v>
      </c>
      <c r="BC48" s="21">
        <v>9.0911900000000004E-2</v>
      </c>
      <c r="BD48">
        <f t="shared" si="10"/>
        <v>18.095802469135801</v>
      </c>
      <c r="BE48">
        <f t="shared" si="11"/>
        <v>1.653958155259259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1.5736399999999999</v>
      </c>
      <c r="H49" s="21">
        <v>3.2660499999999999</v>
      </c>
      <c r="I49" s="21">
        <v>-1.24756E-2</v>
      </c>
      <c r="J49" s="21">
        <v>39</v>
      </c>
      <c r="K49" s="21">
        <v>1.57318</v>
      </c>
      <c r="L49">
        <f t="shared" si="0"/>
        <v>15.401975308641974</v>
      </c>
      <c r="M49">
        <f t="shared" si="1"/>
        <v>24.237164424691354</v>
      </c>
      <c r="N49" s="9"/>
      <c r="O49" s="21">
        <v>9.6435499999999993E-2</v>
      </c>
      <c r="P49" s="21">
        <v>7.0248100000000004</v>
      </c>
      <c r="Q49" s="21">
        <v>-1.4871199999999999E-2</v>
      </c>
      <c r="R49" s="21">
        <v>39</v>
      </c>
      <c r="S49" s="21">
        <v>9.5886200000000005E-2</v>
      </c>
      <c r="T49">
        <f t="shared" si="2"/>
        <v>18.359506172839506</v>
      </c>
      <c r="U49">
        <f t="shared" si="3"/>
        <v>1.7705081575308641</v>
      </c>
      <c r="X49" s="9"/>
      <c r="Y49" s="21">
        <v>1.5736399999999999</v>
      </c>
      <c r="Z49" s="21">
        <v>14.462300000000001</v>
      </c>
      <c r="AA49" s="21">
        <v>-1.2204E-2</v>
      </c>
      <c r="AB49" s="21">
        <v>39</v>
      </c>
      <c r="AC49" s="21">
        <v>1.5728800000000001</v>
      </c>
      <c r="AD49">
        <f t="shared" si="4"/>
        <v>15.066666666666666</v>
      </c>
      <c r="AE49">
        <f t="shared" si="5"/>
        <v>23.709509333333333</v>
      </c>
      <c r="AF49" s="9"/>
      <c r="AG49" s="21">
        <v>9.6435499999999993E-2</v>
      </c>
      <c r="AH49" s="21">
        <v>18.2211</v>
      </c>
      <c r="AI49" s="21">
        <v>-1.4672899999999999E-2</v>
      </c>
      <c r="AJ49" s="21">
        <v>39</v>
      </c>
      <c r="AK49" s="21">
        <v>9.6008300000000005E-2</v>
      </c>
      <c r="AL49">
        <f t="shared" si="6"/>
        <v>18.11469135802469</v>
      </c>
      <c r="AM49">
        <f t="shared" si="7"/>
        <v>1.7468993184567898</v>
      </c>
      <c r="AP49" s="9"/>
      <c r="AQ49" s="21">
        <v>1.5736399999999999</v>
      </c>
      <c r="AR49" s="21">
        <v>23.714500000000001</v>
      </c>
      <c r="AS49" s="21">
        <v>-1.2197899999999999E-2</v>
      </c>
      <c r="AT49" s="21">
        <v>39</v>
      </c>
      <c r="AU49" s="21">
        <v>1.5728800000000001</v>
      </c>
      <c r="AV49">
        <f t="shared" si="8"/>
        <v>15.059135802469134</v>
      </c>
      <c r="AW49">
        <f t="shared" si="9"/>
        <v>23.697658464197527</v>
      </c>
      <c r="AX49" s="9"/>
      <c r="AY49" s="21">
        <v>9.6435499999999993E-2</v>
      </c>
      <c r="AZ49" s="21">
        <v>27.473299999999998</v>
      </c>
      <c r="BA49" s="21">
        <v>-1.4648400000000001E-2</v>
      </c>
      <c r="BB49" s="21">
        <v>39</v>
      </c>
      <c r="BC49" s="21">
        <v>9.5947299999999999E-2</v>
      </c>
      <c r="BD49">
        <f t="shared" si="10"/>
        <v>18.084444444444443</v>
      </c>
      <c r="BE49">
        <f t="shared" si="11"/>
        <v>1.7439824422222221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1.5686</v>
      </c>
      <c r="H50" s="21">
        <v>3.2761200000000001</v>
      </c>
      <c r="I50" s="21">
        <v>-1.2554900000000001E-2</v>
      </c>
      <c r="J50" s="21">
        <v>40</v>
      </c>
      <c r="K50" s="21">
        <v>1.56769</v>
      </c>
      <c r="L50">
        <f t="shared" si="0"/>
        <v>15.499876543209876</v>
      </c>
      <c r="M50">
        <f t="shared" si="1"/>
        <v>24.31310634567901</v>
      </c>
      <c r="N50" s="9"/>
      <c r="O50" s="21">
        <v>0.10147100000000001</v>
      </c>
      <c r="P50" s="21">
        <v>7.0348899999999999</v>
      </c>
      <c r="Q50" s="21">
        <v>-1.4871199999999999E-2</v>
      </c>
      <c r="R50" s="21">
        <v>40</v>
      </c>
      <c r="S50" s="21">
        <v>0.100952</v>
      </c>
      <c r="T50">
        <f t="shared" si="2"/>
        <v>18.359506172839506</v>
      </c>
      <c r="U50">
        <f t="shared" si="3"/>
        <v>1.8629574508641975</v>
      </c>
      <c r="X50" s="9"/>
      <c r="Y50" s="21">
        <v>1.5686</v>
      </c>
      <c r="Z50" s="21">
        <v>14.4724</v>
      </c>
      <c r="AA50" s="21">
        <v>-1.2295499999999999E-2</v>
      </c>
      <c r="AB50" s="21">
        <v>40</v>
      </c>
      <c r="AC50" s="21">
        <v>1.56769</v>
      </c>
      <c r="AD50">
        <f t="shared" si="4"/>
        <v>15.179629629629629</v>
      </c>
      <c r="AE50">
        <f t="shared" si="5"/>
        <v>23.810767037037035</v>
      </c>
      <c r="AF50" s="9"/>
      <c r="AG50" s="21">
        <v>0.10147100000000001</v>
      </c>
      <c r="AH50" s="21">
        <v>18.231100000000001</v>
      </c>
      <c r="AI50" s="21">
        <v>-1.46637E-2</v>
      </c>
      <c r="AJ50" s="21">
        <v>40</v>
      </c>
      <c r="AK50" s="21">
        <v>0.100983</v>
      </c>
      <c r="AL50">
        <f t="shared" si="6"/>
        <v>18.103333333333332</v>
      </c>
      <c r="AM50">
        <f t="shared" si="7"/>
        <v>1.8369633366666667</v>
      </c>
      <c r="AP50" s="9"/>
      <c r="AQ50" s="21">
        <v>1.5686</v>
      </c>
      <c r="AR50" s="21">
        <v>23.724599999999999</v>
      </c>
      <c r="AS50" s="21">
        <v>-1.22833E-2</v>
      </c>
      <c r="AT50" s="21">
        <v>40</v>
      </c>
      <c r="AU50" s="21">
        <v>1.56769</v>
      </c>
      <c r="AV50">
        <f t="shared" si="8"/>
        <v>15.164567901234568</v>
      </c>
      <c r="AW50">
        <f t="shared" si="9"/>
        <v>23.787141209876545</v>
      </c>
      <c r="AX50" s="9"/>
      <c r="AY50" s="21">
        <v>0.10147100000000001</v>
      </c>
      <c r="AZ50" s="21">
        <v>27.4834</v>
      </c>
      <c r="BA50" s="21">
        <v>-1.46515E-2</v>
      </c>
      <c r="BB50" s="21">
        <v>40</v>
      </c>
      <c r="BC50" s="21">
        <v>0.100983</v>
      </c>
      <c r="BD50">
        <f t="shared" si="10"/>
        <v>18.088271604938271</v>
      </c>
      <c r="BE50">
        <f t="shared" si="11"/>
        <v>1.8354350080246913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1.5635699999999999</v>
      </c>
      <c r="H51" s="21">
        <v>3.2861899999999999</v>
      </c>
      <c r="I51" s="21">
        <v>-1.26312E-2</v>
      </c>
      <c r="J51" s="21">
        <v>41</v>
      </c>
      <c r="K51" s="21">
        <v>1.56281</v>
      </c>
      <c r="L51">
        <f t="shared" si="0"/>
        <v>15.594074074074072</v>
      </c>
      <c r="M51">
        <f t="shared" si="1"/>
        <v>24.382426399999996</v>
      </c>
      <c r="N51" s="9"/>
      <c r="O51" s="21">
        <v>0.106506</v>
      </c>
      <c r="P51" s="21">
        <v>7.0449599999999997</v>
      </c>
      <c r="Q51" s="21">
        <v>-1.4865099999999999E-2</v>
      </c>
      <c r="R51" s="21">
        <v>41</v>
      </c>
      <c r="S51" s="21">
        <v>0.106171</v>
      </c>
      <c r="T51">
        <f t="shared" si="2"/>
        <v>18.351975308641972</v>
      </c>
      <c r="U51">
        <f t="shared" si="3"/>
        <v>1.954595482222222</v>
      </c>
      <c r="X51" s="9"/>
      <c r="Y51" s="21">
        <v>1.5635699999999999</v>
      </c>
      <c r="Z51" s="21">
        <v>14.4824</v>
      </c>
      <c r="AA51" s="21">
        <v>-1.2377900000000001E-2</v>
      </c>
      <c r="AB51" s="21">
        <v>41</v>
      </c>
      <c r="AC51" s="21">
        <v>1.56281</v>
      </c>
      <c r="AD51">
        <f t="shared" si="4"/>
        <v>15.281358024691359</v>
      </c>
      <c r="AE51">
        <f t="shared" si="5"/>
        <v>23.893472966666668</v>
      </c>
      <c r="AF51" s="9"/>
      <c r="AG51" s="21">
        <v>0.106506</v>
      </c>
      <c r="AH51" s="21">
        <v>18.241199999999999</v>
      </c>
      <c r="AI51" s="21">
        <v>-1.46423E-2</v>
      </c>
      <c r="AJ51" s="21">
        <v>41</v>
      </c>
      <c r="AK51" s="21">
        <v>0.105988</v>
      </c>
      <c r="AL51">
        <f t="shared" si="6"/>
        <v>18.076913580246913</v>
      </c>
      <c r="AM51">
        <f t="shared" si="7"/>
        <v>1.9252997577777777</v>
      </c>
      <c r="AP51" s="9"/>
      <c r="AQ51" s="21">
        <v>1.5635699999999999</v>
      </c>
      <c r="AR51" s="21">
        <v>23.7347</v>
      </c>
      <c r="AS51" s="21">
        <v>-1.2356600000000001E-2</v>
      </c>
      <c r="AT51" s="21">
        <v>41</v>
      </c>
      <c r="AU51" s="21">
        <v>1.56281</v>
      </c>
      <c r="AV51">
        <f t="shared" si="8"/>
        <v>15.255061728395061</v>
      </c>
      <c r="AW51">
        <f t="shared" si="9"/>
        <v>23.852356866666664</v>
      </c>
      <c r="AX51" s="9"/>
      <c r="AY51" s="21">
        <v>0.106506</v>
      </c>
      <c r="AZ51" s="21">
        <v>27.493400000000001</v>
      </c>
      <c r="BA51" s="21">
        <v>-1.46515E-2</v>
      </c>
      <c r="BB51" s="21">
        <v>41</v>
      </c>
      <c r="BC51" s="21">
        <v>0.105957</v>
      </c>
      <c r="BD51">
        <f t="shared" si="10"/>
        <v>18.088271604938271</v>
      </c>
      <c r="BE51">
        <f t="shared" si="11"/>
        <v>1.9265094555555555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1.55853</v>
      </c>
      <c r="H52" s="21">
        <v>3.2962600000000002</v>
      </c>
      <c r="I52" s="21">
        <v>-1.27014E-2</v>
      </c>
      <c r="J52" s="21">
        <v>42</v>
      </c>
      <c r="K52" s="21">
        <v>1.55762</v>
      </c>
      <c r="L52">
        <f t="shared" si="0"/>
        <v>15.680740740740738</v>
      </c>
      <c r="M52">
        <f t="shared" si="1"/>
        <v>24.438904866666661</v>
      </c>
      <c r="N52" s="9"/>
      <c r="O52" s="21">
        <v>0.111542</v>
      </c>
      <c r="P52" s="21">
        <v>7.0550300000000004</v>
      </c>
      <c r="Q52" s="21">
        <v>-1.4855999999999999E-2</v>
      </c>
      <c r="R52" s="21">
        <v>42</v>
      </c>
      <c r="S52" s="21">
        <v>0.111053</v>
      </c>
      <c r="T52">
        <f t="shared" si="2"/>
        <v>18.340740740740738</v>
      </c>
      <c r="U52">
        <f t="shared" si="3"/>
        <v>2.0457629037037033</v>
      </c>
      <c r="X52" s="9"/>
      <c r="Y52" s="21">
        <v>1.55853</v>
      </c>
      <c r="Z52" s="21">
        <v>14.4925</v>
      </c>
      <c r="AA52" s="21">
        <v>-1.24542E-2</v>
      </c>
      <c r="AB52" s="21">
        <v>42</v>
      </c>
      <c r="AC52" s="21">
        <v>1.55762</v>
      </c>
      <c r="AD52">
        <f t="shared" si="4"/>
        <v>15.375555555555556</v>
      </c>
      <c r="AE52">
        <f t="shared" si="5"/>
        <v>23.963264599999999</v>
      </c>
      <c r="AF52" s="9"/>
      <c r="AG52" s="21">
        <v>0.111542</v>
      </c>
      <c r="AH52" s="21">
        <v>18.251300000000001</v>
      </c>
      <c r="AI52" s="21">
        <v>-1.4624E-2</v>
      </c>
      <c r="AJ52" s="21">
        <v>42</v>
      </c>
      <c r="AK52" s="21">
        <v>0.111053</v>
      </c>
      <c r="AL52">
        <f t="shared" si="6"/>
        <v>18.054320987654318</v>
      </c>
      <c r="AM52">
        <f t="shared" si="7"/>
        <v>2.0138150716049381</v>
      </c>
      <c r="AP52" s="9"/>
      <c r="AQ52" s="21">
        <v>1.55853</v>
      </c>
      <c r="AR52" s="21">
        <v>23.744700000000002</v>
      </c>
      <c r="AS52" s="21">
        <v>-1.2423699999999999E-2</v>
      </c>
      <c r="AT52" s="21">
        <v>42</v>
      </c>
      <c r="AU52" s="21">
        <v>1.55792</v>
      </c>
      <c r="AV52">
        <f t="shared" si="8"/>
        <v>15.3379012345679</v>
      </c>
      <c r="AW52">
        <f t="shared" si="9"/>
        <v>23.904579211111109</v>
      </c>
      <c r="AX52" s="9"/>
      <c r="AY52" s="21">
        <v>0.111542</v>
      </c>
      <c r="AZ52" s="21">
        <v>27.503499999999999</v>
      </c>
      <c r="BA52" s="21">
        <v>-1.4639299999999999E-2</v>
      </c>
      <c r="BB52" s="21">
        <v>42</v>
      </c>
      <c r="BC52" s="21">
        <v>0.111053</v>
      </c>
      <c r="BD52">
        <f t="shared" si="10"/>
        <v>18.07320987654321</v>
      </c>
      <c r="BE52">
        <f t="shared" si="11"/>
        <v>2.0159219760493827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1.5535000000000001</v>
      </c>
      <c r="H53" s="21">
        <v>3.30633</v>
      </c>
      <c r="I53" s="21">
        <v>-1.27686E-2</v>
      </c>
      <c r="J53" s="21">
        <v>43</v>
      </c>
      <c r="K53" s="21">
        <v>1.5527299999999999</v>
      </c>
      <c r="L53">
        <f t="shared" si="0"/>
        <v>15.763703703703703</v>
      </c>
      <c r="M53">
        <f t="shared" si="1"/>
        <v>24.488913703703705</v>
      </c>
      <c r="N53" s="9"/>
      <c r="O53" s="21">
        <v>0.116577</v>
      </c>
      <c r="P53" s="21">
        <v>7.0651000000000002</v>
      </c>
      <c r="Q53" s="21">
        <v>-1.48529E-2</v>
      </c>
      <c r="R53" s="21">
        <v>43</v>
      </c>
      <c r="S53" s="21">
        <v>0.116119</v>
      </c>
      <c r="T53">
        <f t="shared" si="2"/>
        <v>18.336913580246915</v>
      </c>
      <c r="U53">
        <f t="shared" si="3"/>
        <v>2.1376623744444445</v>
      </c>
      <c r="X53" s="9"/>
      <c r="Y53" s="21">
        <v>1.5535000000000001</v>
      </c>
      <c r="Z53" s="21">
        <v>14.502599999999999</v>
      </c>
      <c r="AA53" s="21">
        <v>-1.25244E-2</v>
      </c>
      <c r="AB53" s="21">
        <v>43</v>
      </c>
      <c r="AC53" s="21">
        <v>1.5527299999999999</v>
      </c>
      <c r="AD53">
        <f t="shared" si="4"/>
        <v>15.462222222222222</v>
      </c>
      <c r="AE53">
        <f t="shared" si="5"/>
        <v>24.020562222222225</v>
      </c>
      <c r="AF53" s="9"/>
      <c r="AG53" s="21">
        <v>0.116577</v>
      </c>
      <c r="AH53" s="21">
        <v>18.261399999999998</v>
      </c>
      <c r="AI53" s="21">
        <v>-1.46027E-2</v>
      </c>
      <c r="AJ53" s="21">
        <v>43</v>
      </c>
      <c r="AK53" s="21">
        <v>0.115997</v>
      </c>
      <c r="AL53">
        <f t="shared" si="6"/>
        <v>18.028024691358024</v>
      </c>
      <c r="AM53">
        <f t="shared" si="7"/>
        <v>2.1016530344444444</v>
      </c>
      <c r="AP53" s="9"/>
      <c r="AQ53" s="21">
        <v>1.5535000000000001</v>
      </c>
      <c r="AR53" s="21">
        <v>23.754799999999999</v>
      </c>
      <c r="AS53" s="21">
        <v>-1.24847E-2</v>
      </c>
      <c r="AT53" s="21">
        <v>43</v>
      </c>
      <c r="AU53" s="21">
        <v>1.55304</v>
      </c>
      <c r="AV53">
        <f t="shared" si="8"/>
        <v>15.413209876543208</v>
      </c>
      <c r="AW53">
        <f t="shared" si="9"/>
        <v>23.944421543209874</v>
      </c>
      <c r="AX53" s="9"/>
      <c r="AY53" s="21">
        <v>0.116577</v>
      </c>
      <c r="AZ53" s="21">
        <v>27.5136</v>
      </c>
      <c r="BA53" s="21">
        <v>-1.46301E-2</v>
      </c>
      <c r="BB53" s="21">
        <v>43</v>
      </c>
      <c r="BC53" s="21">
        <v>0.116119</v>
      </c>
      <c r="BD53">
        <f t="shared" si="10"/>
        <v>18.061851851851848</v>
      </c>
      <c r="BE53">
        <f t="shared" si="11"/>
        <v>2.105596503333333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1.5484599999999999</v>
      </c>
      <c r="H54" s="21">
        <v>3.3163999999999998</v>
      </c>
      <c r="I54" s="21">
        <v>-1.2826499999999999E-2</v>
      </c>
      <c r="J54" s="21">
        <v>44</v>
      </c>
      <c r="K54" s="21">
        <v>1.5478499999999999</v>
      </c>
      <c r="L54">
        <f t="shared" si="0"/>
        <v>15.835185185185185</v>
      </c>
      <c r="M54">
        <f t="shared" si="1"/>
        <v>24.520150851851852</v>
      </c>
      <c r="N54" s="9"/>
      <c r="O54" s="21">
        <v>0.121613</v>
      </c>
      <c r="P54" s="21">
        <v>7.07517</v>
      </c>
      <c r="Q54" s="21">
        <v>-1.4843800000000001E-2</v>
      </c>
      <c r="R54" s="21">
        <v>44</v>
      </c>
      <c r="S54" s="21">
        <v>0.121124</v>
      </c>
      <c r="T54">
        <f t="shared" si="2"/>
        <v>18.325679012345677</v>
      </c>
      <c r="U54">
        <f t="shared" si="3"/>
        <v>2.2286408017283947</v>
      </c>
      <c r="X54" s="9"/>
      <c r="Y54" s="21">
        <v>1.5484599999999999</v>
      </c>
      <c r="Z54" s="21">
        <v>14.512700000000001</v>
      </c>
      <c r="AA54" s="21">
        <v>-1.25854E-2</v>
      </c>
      <c r="AB54" s="21">
        <v>44</v>
      </c>
      <c r="AC54" s="21">
        <v>1.54755</v>
      </c>
      <c r="AD54">
        <f t="shared" si="4"/>
        <v>15.53753086419753</v>
      </c>
      <c r="AE54">
        <f t="shared" si="5"/>
        <v>24.059245041975306</v>
      </c>
      <c r="AF54" s="9"/>
      <c r="AG54" s="21">
        <v>0.121613</v>
      </c>
      <c r="AH54" s="21">
        <v>18.2714</v>
      </c>
      <c r="AI54" s="21">
        <v>-1.4593500000000001E-2</v>
      </c>
      <c r="AJ54" s="21">
        <v>44</v>
      </c>
      <c r="AK54" s="21">
        <v>0.121185</v>
      </c>
      <c r="AL54">
        <f t="shared" si="6"/>
        <v>18.016666666666666</v>
      </c>
      <c r="AM54">
        <f t="shared" si="7"/>
        <v>2.1910608833333334</v>
      </c>
      <c r="AP54" s="9"/>
      <c r="AQ54" s="21">
        <v>1.5484599999999999</v>
      </c>
      <c r="AR54" s="21">
        <v>23.764900000000001</v>
      </c>
      <c r="AS54" s="21">
        <v>-1.25519E-2</v>
      </c>
      <c r="AT54" s="21">
        <v>44</v>
      </c>
      <c r="AU54" s="21">
        <v>1.5478499999999999</v>
      </c>
      <c r="AV54">
        <f t="shared" si="8"/>
        <v>15.496172839506173</v>
      </c>
      <c r="AW54">
        <f t="shared" si="9"/>
        <v>23.995203795061727</v>
      </c>
      <c r="AX54" s="9"/>
      <c r="AY54" s="21">
        <v>0.121613</v>
      </c>
      <c r="AZ54" s="21">
        <v>27.523700000000002</v>
      </c>
      <c r="BA54" s="21">
        <v>-1.4633200000000001E-2</v>
      </c>
      <c r="BB54" s="21">
        <v>44</v>
      </c>
      <c r="BC54" s="21">
        <v>0.121155</v>
      </c>
      <c r="BD54">
        <f t="shared" si="10"/>
        <v>18.065679012345679</v>
      </c>
      <c r="BE54">
        <f t="shared" si="11"/>
        <v>2.1970214217283952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1.5434300000000001</v>
      </c>
      <c r="H55" s="21">
        <v>3.32647</v>
      </c>
      <c r="I55" s="21">
        <v>-1.2881500000000001E-2</v>
      </c>
      <c r="J55" s="21">
        <v>45</v>
      </c>
      <c r="K55" s="21">
        <v>1.54297</v>
      </c>
      <c r="L55">
        <f t="shared" si="0"/>
        <v>15.903086419753087</v>
      </c>
      <c r="M55">
        <f t="shared" si="1"/>
        <v>24.54530067283951</v>
      </c>
      <c r="N55" s="9"/>
      <c r="O55" s="21">
        <v>0.12664800000000001</v>
      </c>
      <c r="P55" s="21">
        <v>7.0852399999999998</v>
      </c>
      <c r="Q55" s="21">
        <v>-1.4837599999999999E-2</v>
      </c>
      <c r="R55" s="21">
        <v>45</v>
      </c>
      <c r="S55" s="21">
        <v>0.12615999999999999</v>
      </c>
      <c r="T55">
        <f t="shared" si="2"/>
        <v>18.318024691358023</v>
      </c>
      <c r="U55">
        <f t="shared" si="3"/>
        <v>2.319941191111111</v>
      </c>
      <c r="X55" s="9"/>
      <c r="Y55" s="21">
        <v>1.5434300000000001</v>
      </c>
      <c r="Z55" s="21">
        <v>14.5227</v>
      </c>
      <c r="AA55" s="21">
        <v>-1.26465E-2</v>
      </c>
      <c r="AB55" s="21">
        <v>45</v>
      </c>
      <c r="AC55" s="21">
        <v>1.54297</v>
      </c>
      <c r="AD55">
        <f t="shared" si="4"/>
        <v>15.612962962962962</v>
      </c>
      <c r="AE55">
        <f t="shared" si="5"/>
        <v>24.097515425925927</v>
      </c>
      <c r="AF55" s="9"/>
      <c r="AG55" s="21">
        <v>0.12664800000000001</v>
      </c>
      <c r="AH55" s="21">
        <v>18.281500000000001</v>
      </c>
      <c r="AI55" s="21">
        <v>-1.46027E-2</v>
      </c>
      <c r="AJ55" s="21">
        <v>45</v>
      </c>
      <c r="AK55" s="21">
        <v>0.12615999999999999</v>
      </c>
      <c r="AL55">
        <f t="shared" si="6"/>
        <v>18.028024691358024</v>
      </c>
      <c r="AM55">
        <f t="shared" si="7"/>
        <v>2.2832132711111113</v>
      </c>
      <c r="AP55" s="9"/>
      <c r="AQ55" s="21">
        <v>1.5434300000000001</v>
      </c>
      <c r="AR55" s="21">
        <v>23.774999999999999</v>
      </c>
      <c r="AS55" s="21">
        <v>-1.2619E-2</v>
      </c>
      <c r="AT55" s="21">
        <v>45</v>
      </c>
      <c r="AU55" s="21">
        <v>1.5432699999999999</v>
      </c>
      <c r="AV55">
        <f t="shared" si="8"/>
        <v>15.579012345679011</v>
      </c>
      <c r="AW55">
        <f t="shared" si="9"/>
        <v>24.045115024691359</v>
      </c>
      <c r="AX55" s="9"/>
      <c r="AY55" s="21">
        <v>0.12664800000000001</v>
      </c>
      <c r="AZ55" s="21">
        <v>27.5337</v>
      </c>
      <c r="BA55" s="21">
        <v>-1.46362E-2</v>
      </c>
      <c r="BB55" s="21">
        <v>45</v>
      </c>
      <c r="BC55" s="21">
        <v>0.12606800000000001</v>
      </c>
      <c r="BD55">
        <f t="shared" si="10"/>
        <v>18.069382716049383</v>
      </c>
      <c r="BE55">
        <f t="shared" si="11"/>
        <v>2.2884511822222224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1.5383899999999999</v>
      </c>
      <c r="H56" s="21">
        <v>3.3365499999999999</v>
      </c>
      <c r="I56" s="21">
        <v>-1.2936400000000001E-2</v>
      </c>
      <c r="J56" s="21">
        <v>46</v>
      </c>
      <c r="K56" s="21">
        <v>1.53809</v>
      </c>
      <c r="L56">
        <f t="shared" si="0"/>
        <v>15.970864197530865</v>
      </c>
      <c r="M56">
        <f t="shared" si="1"/>
        <v>24.569417772839508</v>
      </c>
      <c r="N56" s="9"/>
      <c r="O56" s="21">
        <v>0.13168299999999999</v>
      </c>
      <c r="P56" s="21">
        <v>7.0953099999999996</v>
      </c>
      <c r="Q56" s="21">
        <v>-1.48285E-2</v>
      </c>
      <c r="R56" s="21">
        <v>46</v>
      </c>
      <c r="S56" s="21">
        <v>0.13128699999999999</v>
      </c>
      <c r="T56">
        <f t="shared" si="2"/>
        <v>18.306790123456789</v>
      </c>
      <c r="U56">
        <f t="shared" si="3"/>
        <v>2.4106930438271603</v>
      </c>
      <c r="X56" s="9"/>
      <c r="Y56" s="21">
        <v>1.5383899999999999</v>
      </c>
      <c r="Z56" s="21">
        <v>14.5328</v>
      </c>
      <c r="AA56" s="21">
        <v>-1.27075E-2</v>
      </c>
      <c r="AB56" s="21">
        <v>46</v>
      </c>
      <c r="AC56" s="21">
        <v>1.53809</v>
      </c>
      <c r="AD56">
        <f t="shared" si="4"/>
        <v>15.68827160493827</v>
      </c>
      <c r="AE56">
        <f t="shared" si="5"/>
        <v>24.134680154320986</v>
      </c>
      <c r="AF56" s="9"/>
      <c r="AG56" s="21">
        <v>0.13168299999999999</v>
      </c>
      <c r="AH56" s="21">
        <v>18.291599999999999</v>
      </c>
      <c r="AI56" s="21">
        <v>-1.4621E-2</v>
      </c>
      <c r="AJ56" s="21">
        <v>46</v>
      </c>
      <c r="AK56" s="21">
        <v>0.13125600000000001</v>
      </c>
      <c r="AL56">
        <f t="shared" si="6"/>
        <v>18.050617283950618</v>
      </c>
      <c r="AM56">
        <f t="shared" si="7"/>
        <v>2.376959435802469</v>
      </c>
      <c r="AP56" s="9"/>
      <c r="AQ56" s="21">
        <v>1.5383899999999999</v>
      </c>
      <c r="AR56" s="21">
        <v>23.785</v>
      </c>
      <c r="AS56" s="21">
        <v>-1.2683099999999999E-2</v>
      </c>
      <c r="AT56" s="21">
        <v>46</v>
      </c>
      <c r="AU56" s="21">
        <v>1.53809</v>
      </c>
      <c r="AV56">
        <f t="shared" si="8"/>
        <v>15.658148148148147</v>
      </c>
      <c r="AW56">
        <f t="shared" si="9"/>
        <v>24.088338529629628</v>
      </c>
      <c r="AX56" s="9"/>
      <c r="AY56" s="21">
        <v>0.13168299999999999</v>
      </c>
      <c r="AZ56" s="21">
        <v>27.543800000000001</v>
      </c>
      <c r="BA56" s="21">
        <v>-1.4633200000000001E-2</v>
      </c>
      <c r="BB56" s="21">
        <v>46</v>
      </c>
      <c r="BC56" s="21">
        <v>0.13119500000000001</v>
      </c>
      <c r="BD56">
        <f t="shared" si="10"/>
        <v>18.065679012345679</v>
      </c>
      <c r="BE56">
        <f t="shared" si="11"/>
        <v>2.3789428093827159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1.5333600000000001</v>
      </c>
      <c r="H57" s="21">
        <v>3.3466200000000002</v>
      </c>
      <c r="I57" s="21">
        <v>-1.2985200000000001E-2</v>
      </c>
      <c r="J57" s="21">
        <v>47</v>
      </c>
      <c r="K57" s="21">
        <v>1.5325899999999999</v>
      </c>
      <c r="L57">
        <f t="shared" si="0"/>
        <v>16.031111111111109</v>
      </c>
      <c r="M57">
        <f t="shared" si="1"/>
        <v>24.581464533333332</v>
      </c>
      <c r="N57" s="9"/>
      <c r="O57" s="21">
        <v>0.13671900000000001</v>
      </c>
      <c r="P57" s="21">
        <v>7.1053800000000003</v>
      </c>
      <c r="Q57" s="21">
        <v>-1.4819300000000001E-2</v>
      </c>
      <c r="R57" s="21">
        <v>47</v>
      </c>
      <c r="S57" s="21">
        <v>0.13626099999999999</v>
      </c>
      <c r="T57">
        <f t="shared" si="2"/>
        <v>18.295432098765431</v>
      </c>
      <c r="U57">
        <f t="shared" si="3"/>
        <v>2.5013331811111112</v>
      </c>
      <c r="X57" s="9"/>
      <c r="Y57" s="21">
        <v>1.5333600000000001</v>
      </c>
      <c r="Z57" s="21">
        <v>14.542899999999999</v>
      </c>
      <c r="AA57" s="21">
        <v>-1.2759400000000001E-2</v>
      </c>
      <c r="AB57" s="21">
        <v>47</v>
      </c>
      <c r="AC57" s="21">
        <v>1.5325899999999999</v>
      </c>
      <c r="AD57">
        <f t="shared" si="4"/>
        <v>15.752345679012343</v>
      </c>
      <c r="AE57">
        <f t="shared" si="5"/>
        <v>24.154016770370369</v>
      </c>
      <c r="AF57" s="9"/>
      <c r="AG57" s="21">
        <v>0.13671900000000001</v>
      </c>
      <c r="AH57" s="21">
        <v>18.301600000000001</v>
      </c>
      <c r="AI57" s="21">
        <v>-1.46301E-2</v>
      </c>
      <c r="AJ57" s="21">
        <v>47</v>
      </c>
      <c r="AK57" s="21">
        <v>0.13641400000000001</v>
      </c>
      <c r="AL57">
        <f t="shared" si="6"/>
        <v>18.061851851851848</v>
      </c>
      <c r="AM57">
        <f t="shared" si="7"/>
        <v>2.469398323333333</v>
      </c>
      <c r="AP57" s="9"/>
      <c r="AQ57" s="21">
        <v>1.5333600000000001</v>
      </c>
      <c r="AR57" s="21">
        <v>23.795100000000001</v>
      </c>
      <c r="AS57" s="21">
        <v>-1.27502E-2</v>
      </c>
      <c r="AT57" s="21">
        <v>47</v>
      </c>
      <c r="AU57" s="21">
        <v>1.5325899999999999</v>
      </c>
      <c r="AV57">
        <f t="shared" si="8"/>
        <v>15.740987654320987</v>
      </c>
      <c r="AW57">
        <f t="shared" si="9"/>
        <v>24.136600829629629</v>
      </c>
      <c r="AX57" s="9"/>
      <c r="AY57" s="21">
        <v>0.13671900000000001</v>
      </c>
      <c r="AZ57" s="21">
        <v>27.553899999999999</v>
      </c>
      <c r="BA57" s="21">
        <v>-1.46088E-2</v>
      </c>
      <c r="BB57" s="21">
        <v>47</v>
      </c>
      <c r="BC57" s="21">
        <v>0.13613900000000001</v>
      </c>
      <c r="BD57">
        <f t="shared" si="10"/>
        <v>18.035555555555554</v>
      </c>
      <c r="BE57">
        <f t="shared" si="11"/>
        <v>2.4658031199999999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1.5283199999999999</v>
      </c>
      <c r="H58" s="21">
        <v>3.35669</v>
      </c>
      <c r="I58" s="21">
        <v>-1.30341E-2</v>
      </c>
      <c r="J58" s="21">
        <v>48</v>
      </c>
      <c r="K58" s="21">
        <v>1.5277099999999999</v>
      </c>
      <c r="L58">
        <f t="shared" si="0"/>
        <v>16.09148148148148</v>
      </c>
      <c r="M58">
        <f t="shared" si="1"/>
        <v>24.592932977777775</v>
      </c>
      <c r="N58" s="9"/>
      <c r="O58" s="21">
        <v>0.14175399999999999</v>
      </c>
      <c r="P58" s="21">
        <v>7.1154500000000001</v>
      </c>
      <c r="Q58" s="21">
        <v>-1.4819300000000001E-2</v>
      </c>
      <c r="R58" s="21">
        <v>48</v>
      </c>
      <c r="S58" s="21">
        <v>0.14135700000000001</v>
      </c>
      <c r="T58">
        <f t="shared" si="2"/>
        <v>18.295432098765431</v>
      </c>
      <c r="U58">
        <f t="shared" si="3"/>
        <v>2.5934506817283949</v>
      </c>
      <c r="X58" s="9"/>
      <c r="Y58" s="21">
        <v>1.5283199999999999</v>
      </c>
      <c r="Z58" s="21">
        <v>14.552899999999999</v>
      </c>
      <c r="AA58" s="21">
        <v>-1.2811299999999999E-2</v>
      </c>
      <c r="AB58" s="21">
        <v>48</v>
      </c>
      <c r="AC58" s="21">
        <v>1.5280199999999999</v>
      </c>
      <c r="AD58">
        <f t="shared" si="4"/>
        <v>15.816419753086418</v>
      </c>
      <c r="AE58">
        <f t="shared" si="5"/>
        <v>24.172550637037034</v>
      </c>
      <c r="AF58" s="9"/>
      <c r="AG58" s="21">
        <v>0.14175399999999999</v>
      </c>
      <c r="AH58" s="21">
        <v>18.311699999999998</v>
      </c>
      <c r="AI58" s="21">
        <v>-1.4624E-2</v>
      </c>
      <c r="AJ58" s="21">
        <v>48</v>
      </c>
      <c r="AK58" s="21">
        <v>0.141235</v>
      </c>
      <c r="AL58">
        <f t="shared" si="6"/>
        <v>18.054320987654318</v>
      </c>
      <c r="AM58">
        <f t="shared" si="7"/>
        <v>2.5592722172839499</v>
      </c>
      <c r="AP58" s="9"/>
      <c r="AQ58" s="21">
        <v>1.5283199999999999</v>
      </c>
      <c r="AR58" s="21">
        <v>23.805199999999999</v>
      </c>
      <c r="AS58" s="21">
        <v>-1.2811299999999999E-2</v>
      </c>
      <c r="AT58" s="21">
        <v>48</v>
      </c>
      <c r="AU58" s="21">
        <v>1.5274000000000001</v>
      </c>
      <c r="AV58">
        <f t="shared" si="8"/>
        <v>15.816419753086418</v>
      </c>
      <c r="AW58">
        <f t="shared" si="9"/>
        <v>24.172550637037034</v>
      </c>
      <c r="AX58" s="9"/>
      <c r="AY58" s="21">
        <v>0.14175399999999999</v>
      </c>
      <c r="AZ58" s="21">
        <v>27.5639</v>
      </c>
      <c r="BA58" s="21">
        <v>-1.46027E-2</v>
      </c>
      <c r="BB58" s="21">
        <v>48</v>
      </c>
      <c r="BC58" s="21">
        <v>0.141296</v>
      </c>
      <c r="BD58">
        <f t="shared" si="10"/>
        <v>18.028024691358024</v>
      </c>
      <c r="BE58">
        <f t="shared" si="11"/>
        <v>2.5555446120987653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1.52328</v>
      </c>
      <c r="H59" s="21">
        <v>3.3667600000000002</v>
      </c>
      <c r="I59" s="21">
        <v>-1.3085899999999999E-2</v>
      </c>
      <c r="J59" s="21">
        <v>49</v>
      </c>
      <c r="K59" s="21">
        <v>1.5225200000000001</v>
      </c>
      <c r="L59">
        <f t="shared" si="0"/>
        <v>16.155432098765431</v>
      </c>
      <c r="M59">
        <f t="shared" si="1"/>
        <v>24.609246607407403</v>
      </c>
      <c r="N59" s="9"/>
      <c r="O59" s="21">
        <v>0.14679</v>
      </c>
      <c r="P59" s="21">
        <v>7.1255199999999999</v>
      </c>
      <c r="Q59" s="21">
        <v>-1.48132E-2</v>
      </c>
      <c r="R59" s="21">
        <v>49</v>
      </c>
      <c r="S59" s="21">
        <v>0.14633199999999999</v>
      </c>
      <c r="T59">
        <f t="shared" si="2"/>
        <v>18.287901234567901</v>
      </c>
      <c r="U59">
        <f t="shared" si="3"/>
        <v>2.6844810222222222</v>
      </c>
      <c r="X59" s="9"/>
      <c r="Y59" s="21">
        <v>1.52328</v>
      </c>
      <c r="Z59" s="21">
        <v>14.563000000000001</v>
      </c>
      <c r="AA59" s="21">
        <v>-1.28632E-2</v>
      </c>
      <c r="AB59" s="21">
        <v>49</v>
      </c>
      <c r="AC59" s="21">
        <v>1.5228299999999999</v>
      </c>
      <c r="AD59">
        <f t="shared" si="4"/>
        <v>15.880493827160493</v>
      </c>
      <c r="AE59">
        <f t="shared" si="5"/>
        <v>24.190438637037033</v>
      </c>
      <c r="AF59" s="9"/>
      <c r="AG59" s="21">
        <v>0.14679</v>
      </c>
      <c r="AH59" s="21">
        <v>18.3218</v>
      </c>
      <c r="AI59" s="21">
        <v>-1.46149E-2</v>
      </c>
      <c r="AJ59" s="21">
        <v>49</v>
      </c>
      <c r="AK59" s="21">
        <v>0.146423</v>
      </c>
      <c r="AL59">
        <f t="shared" si="6"/>
        <v>18.043086419753088</v>
      </c>
      <c r="AM59">
        <f t="shared" si="7"/>
        <v>2.6485446555555558</v>
      </c>
      <c r="AP59" s="9"/>
      <c r="AQ59" s="21">
        <v>1.52328</v>
      </c>
      <c r="AR59" s="21">
        <v>23.815200000000001</v>
      </c>
      <c r="AS59" s="21">
        <v>-1.28723E-2</v>
      </c>
      <c r="AT59" s="21">
        <v>49</v>
      </c>
      <c r="AU59" s="21">
        <v>1.5228299999999999</v>
      </c>
      <c r="AV59">
        <f t="shared" si="8"/>
        <v>15.891728395061728</v>
      </c>
      <c r="AW59">
        <f t="shared" si="9"/>
        <v>24.207552029629628</v>
      </c>
      <c r="AX59" s="9"/>
      <c r="AY59" s="21">
        <v>0.14679</v>
      </c>
      <c r="AZ59" s="21">
        <v>27.574000000000002</v>
      </c>
      <c r="BA59" s="21">
        <v>-1.46088E-2</v>
      </c>
      <c r="BB59" s="21">
        <v>49</v>
      </c>
      <c r="BC59" s="21">
        <v>0.14624000000000001</v>
      </c>
      <c r="BD59">
        <f t="shared" si="10"/>
        <v>18.035555555555554</v>
      </c>
      <c r="BE59">
        <f t="shared" si="11"/>
        <v>2.6474392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1.5182500000000001</v>
      </c>
      <c r="H60" s="21">
        <v>3.37683</v>
      </c>
      <c r="I60" s="21">
        <v>-1.31348E-2</v>
      </c>
      <c r="J60" s="21">
        <v>50</v>
      </c>
      <c r="K60" s="21">
        <v>1.5179400000000001</v>
      </c>
      <c r="L60">
        <f t="shared" si="0"/>
        <v>16.215802469135802</v>
      </c>
      <c r="M60">
        <f t="shared" si="1"/>
        <v>24.619642098765432</v>
      </c>
      <c r="N60" s="9"/>
      <c r="O60" s="21">
        <v>0.15182499999999999</v>
      </c>
      <c r="P60" s="21">
        <v>7.1356000000000002</v>
      </c>
      <c r="Q60" s="21">
        <v>-1.4825400000000001E-2</v>
      </c>
      <c r="R60" s="21">
        <v>50</v>
      </c>
      <c r="S60" s="21">
        <v>0.151337</v>
      </c>
      <c r="T60">
        <f t="shared" si="2"/>
        <v>18.302962962962962</v>
      </c>
      <c r="U60">
        <f t="shared" si="3"/>
        <v>2.7788473518518515</v>
      </c>
      <c r="X60" s="9"/>
      <c r="Y60" s="21">
        <v>1.5182500000000001</v>
      </c>
      <c r="Z60" s="21">
        <v>14.5731</v>
      </c>
      <c r="AA60" s="21">
        <v>-1.2908899999999999E-2</v>
      </c>
      <c r="AB60" s="21">
        <v>50</v>
      </c>
      <c r="AC60" s="21">
        <v>1.5176400000000001</v>
      </c>
      <c r="AD60">
        <f t="shared" si="4"/>
        <v>15.936913580246911</v>
      </c>
      <c r="AE60">
        <f t="shared" si="5"/>
        <v>24.196219043209872</v>
      </c>
      <c r="AF60" s="9"/>
      <c r="AG60" s="21">
        <v>0.15182499999999999</v>
      </c>
      <c r="AH60" s="21">
        <v>18.331800000000001</v>
      </c>
      <c r="AI60" s="21">
        <v>-1.46088E-2</v>
      </c>
      <c r="AJ60" s="21">
        <v>50</v>
      </c>
      <c r="AK60" s="21">
        <v>0.151367</v>
      </c>
      <c r="AL60">
        <f t="shared" si="6"/>
        <v>18.035555555555554</v>
      </c>
      <c r="AM60">
        <f t="shared" si="7"/>
        <v>2.738248222222222</v>
      </c>
      <c r="AP60" s="9"/>
      <c r="AQ60" s="21">
        <v>1.5182500000000001</v>
      </c>
      <c r="AR60" s="21">
        <v>23.825299999999999</v>
      </c>
      <c r="AS60" s="21">
        <v>-1.29272E-2</v>
      </c>
      <c r="AT60" s="21">
        <v>50</v>
      </c>
      <c r="AU60" s="21">
        <v>1.5173300000000001</v>
      </c>
      <c r="AV60">
        <f t="shared" si="8"/>
        <v>15.959506172839506</v>
      </c>
      <c r="AW60">
        <f t="shared" si="9"/>
        <v>24.230520246913581</v>
      </c>
      <c r="AX60" s="9"/>
      <c r="AY60" s="21">
        <v>0.15182499999999999</v>
      </c>
      <c r="AZ60" s="21">
        <v>27.584099999999999</v>
      </c>
      <c r="BA60" s="21">
        <v>-1.4611799999999999E-2</v>
      </c>
      <c r="BB60" s="21">
        <v>50</v>
      </c>
      <c r="BC60" s="21">
        <v>0.151306</v>
      </c>
      <c r="BD60">
        <f t="shared" si="10"/>
        <v>18.039259259259257</v>
      </c>
      <c r="BE60">
        <f t="shared" si="11"/>
        <v>2.7388105370370366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1.5132099999999999</v>
      </c>
      <c r="H61" s="21">
        <v>3.3868999999999998</v>
      </c>
      <c r="I61" s="21">
        <v>-1.31897E-2</v>
      </c>
      <c r="J61" s="21">
        <v>51</v>
      </c>
      <c r="K61" s="21">
        <v>1.5124500000000001</v>
      </c>
      <c r="L61">
        <f t="shared" si="0"/>
        <v>16.28358024691358</v>
      </c>
      <c r="M61">
        <f t="shared" si="1"/>
        <v>24.640476465432098</v>
      </c>
      <c r="N61" s="9"/>
      <c r="O61" s="21">
        <v>0.15686</v>
      </c>
      <c r="P61" s="21">
        <v>7.14567</v>
      </c>
      <c r="Q61" s="21">
        <v>-1.48285E-2</v>
      </c>
      <c r="R61" s="21">
        <v>51</v>
      </c>
      <c r="S61" s="21">
        <v>0.15634200000000001</v>
      </c>
      <c r="T61">
        <f t="shared" si="2"/>
        <v>18.306790123456789</v>
      </c>
      <c r="U61">
        <f t="shared" si="3"/>
        <v>2.8716030987654317</v>
      </c>
      <c r="X61" s="9"/>
      <c r="Y61" s="21">
        <v>1.5132099999999999</v>
      </c>
      <c r="Z61" s="21">
        <v>14.5832</v>
      </c>
      <c r="AA61" s="21">
        <v>-1.29669E-2</v>
      </c>
      <c r="AB61" s="21">
        <v>51</v>
      </c>
      <c r="AC61" s="21">
        <v>1.5127600000000001</v>
      </c>
      <c r="AD61">
        <f t="shared" si="4"/>
        <v>16.008518518518514</v>
      </c>
      <c r="AE61">
        <f t="shared" si="5"/>
        <v>24.224250307407399</v>
      </c>
      <c r="AF61" s="9"/>
      <c r="AG61" s="21">
        <v>0.15686</v>
      </c>
      <c r="AH61" s="21">
        <v>18.341899999999999</v>
      </c>
      <c r="AI61" s="21">
        <v>-1.46027E-2</v>
      </c>
      <c r="AJ61" s="21">
        <v>51</v>
      </c>
      <c r="AK61" s="21">
        <v>0.15646399999999999</v>
      </c>
      <c r="AL61">
        <f t="shared" si="6"/>
        <v>18.028024691358024</v>
      </c>
      <c r="AM61">
        <f t="shared" si="7"/>
        <v>2.8278759530864197</v>
      </c>
      <c r="AP61" s="9"/>
      <c r="AQ61" s="21">
        <v>1.5132099999999999</v>
      </c>
      <c r="AR61" s="21">
        <v>23.8354</v>
      </c>
      <c r="AS61" s="21">
        <v>-1.2970000000000001E-2</v>
      </c>
      <c r="AT61" s="21">
        <v>51</v>
      </c>
      <c r="AU61" s="21">
        <v>1.5124500000000001</v>
      </c>
      <c r="AV61">
        <f t="shared" si="8"/>
        <v>16.012345679012348</v>
      </c>
      <c r="AW61">
        <f t="shared" si="9"/>
        <v>24.230041604938275</v>
      </c>
      <c r="AX61" s="9"/>
      <c r="AY61" s="21">
        <v>0.15686</v>
      </c>
      <c r="AZ61" s="21">
        <v>27.594100000000001</v>
      </c>
      <c r="BA61" s="21">
        <v>-1.46027E-2</v>
      </c>
      <c r="BB61" s="21">
        <v>51</v>
      </c>
      <c r="BC61" s="21">
        <v>0.15634200000000001</v>
      </c>
      <c r="BD61">
        <f t="shared" si="10"/>
        <v>18.028024691358024</v>
      </c>
      <c r="BE61">
        <f t="shared" si="11"/>
        <v>2.8278759530864197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1.5081800000000001</v>
      </c>
      <c r="H62" s="21">
        <v>3.39697</v>
      </c>
      <c r="I62" s="21">
        <v>-1.3229400000000001E-2</v>
      </c>
      <c r="J62" s="21">
        <v>52</v>
      </c>
      <c r="K62" s="21">
        <v>1.5069600000000001</v>
      </c>
      <c r="L62">
        <f t="shared" si="0"/>
        <v>16.332592592592594</v>
      </c>
      <c r="M62">
        <f t="shared" si="1"/>
        <v>24.632489496296298</v>
      </c>
      <c r="N62" s="9"/>
      <c r="O62" s="21">
        <v>0.16189600000000001</v>
      </c>
      <c r="P62" s="21">
        <v>7.1557399999999998</v>
      </c>
      <c r="Q62" s="21">
        <v>-1.48285E-2</v>
      </c>
      <c r="R62" s="21">
        <v>52</v>
      </c>
      <c r="S62" s="21">
        <v>0.161438</v>
      </c>
      <c r="T62">
        <f t="shared" si="2"/>
        <v>18.306790123456789</v>
      </c>
      <c r="U62">
        <f t="shared" si="3"/>
        <v>2.9637960938271606</v>
      </c>
      <c r="X62" s="9"/>
      <c r="Y62" s="21">
        <v>1.5081800000000001</v>
      </c>
      <c r="Z62" s="21">
        <v>14.5932</v>
      </c>
      <c r="AA62" s="21">
        <v>-1.3018800000000001E-2</v>
      </c>
      <c r="AB62" s="21">
        <v>52</v>
      </c>
      <c r="AC62" s="21">
        <v>1.50665</v>
      </c>
      <c r="AD62">
        <f t="shared" si="4"/>
        <v>16.072592592592592</v>
      </c>
      <c r="AE62">
        <f t="shared" si="5"/>
        <v>24.240362696296298</v>
      </c>
      <c r="AF62" s="9"/>
      <c r="AG62" s="21">
        <v>0.16189600000000001</v>
      </c>
      <c r="AH62" s="21">
        <v>18.352</v>
      </c>
      <c r="AI62" s="21">
        <v>-1.4605699999999999E-2</v>
      </c>
      <c r="AJ62" s="21">
        <v>52</v>
      </c>
      <c r="AK62" s="21">
        <v>0.16134599999999999</v>
      </c>
      <c r="AL62">
        <f t="shared" si="6"/>
        <v>18.031728395061727</v>
      </c>
      <c r="AM62">
        <f t="shared" si="7"/>
        <v>2.9192647002469134</v>
      </c>
      <c r="AP62" s="9"/>
      <c r="AQ62" s="21">
        <v>1.5081800000000001</v>
      </c>
      <c r="AR62" s="21">
        <v>23.845500000000001</v>
      </c>
      <c r="AS62" s="21">
        <v>-1.3021899999999999E-2</v>
      </c>
      <c r="AT62" s="21">
        <v>52</v>
      </c>
      <c r="AU62" s="21">
        <v>1.50787</v>
      </c>
      <c r="AV62">
        <f t="shared" si="8"/>
        <v>16.076419753086416</v>
      </c>
      <c r="AW62">
        <f t="shared" si="9"/>
        <v>24.246134743209872</v>
      </c>
      <c r="AX62" s="9"/>
      <c r="AY62" s="21">
        <v>0.16189600000000001</v>
      </c>
      <c r="AZ62" s="21">
        <v>27.604199999999999</v>
      </c>
      <c r="BA62" s="21">
        <v>-1.4590499999999999E-2</v>
      </c>
      <c r="BB62" s="21">
        <v>52</v>
      </c>
      <c r="BC62" s="21">
        <v>0.161438</v>
      </c>
      <c r="BD62">
        <f t="shared" si="10"/>
        <v>18.012962962962959</v>
      </c>
      <c r="BE62">
        <f t="shared" si="11"/>
        <v>2.9162266518518516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1.5031399999999999</v>
      </c>
      <c r="H63" s="21">
        <v>3.4070399999999998</v>
      </c>
      <c r="I63" s="21">
        <v>-1.32721E-2</v>
      </c>
      <c r="J63" s="21">
        <v>53</v>
      </c>
      <c r="K63" s="21">
        <v>1.50299</v>
      </c>
      <c r="L63">
        <f t="shared" si="0"/>
        <v>16.385308641975307</v>
      </c>
      <c r="M63">
        <f t="shared" si="1"/>
        <v>24.629412832098762</v>
      </c>
      <c r="N63" s="9"/>
      <c r="O63" s="21">
        <v>0.166931</v>
      </c>
      <c r="P63" s="21">
        <v>7.1658099999999996</v>
      </c>
      <c r="Q63" s="21">
        <v>-1.4822399999999999E-2</v>
      </c>
      <c r="R63" s="21">
        <v>53</v>
      </c>
      <c r="S63" s="21">
        <v>0.166382</v>
      </c>
      <c r="T63">
        <f t="shared" si="2"/>
        <v>18.299259259259259</v>
      </c>
      <c r="U63">
        <f t="shared" si="3"/>
        <v>3.0547136474074073</v>
      </c>
      <c r="X63" s="9"/>
      <c r="Y63" s="21">
        <v>1.5031399999999999</v>
      </c>
      <c r="Z63" s="21">
        <v>14.603300000000001</v>
      </c>
      <c r="AA63" s="21">
        <v>-1.30554E-2</v>
      </c>
      <c r="AB63" s="21">
        <v>53</v>
      </c>
      <c r="AC63" s="21">
        <v>1.50238</v>
      </c>
      <c r="AD63">
        <f t="shared" si="4"/>
        <v>16.117777777777775</v>
      </c>
      <c r="AE63">
        <f t="shared" si="5"/>
        <v>24.227276488888883</v>
      </c>
      <c r="AF63" s="9"/>
      <c r="AG63" s="21">
        <v>0.166931</v>
      </c>
      <c r="AH63" s="21">
        <v>18.362100000000002</v>
      </c>
      <c r="AI63" s="21">
        <v>-1.46027E-2</v>
      </c>
      <c r="AJ63" s="21">
        <v>53</v>
      </c>
      <c r="AK63" s="21">
        <v>0.166351</v>
      </c>
      <c r="AL63">
        <f t="shared" si="6"/>
        <v>18.028024691358024</v>
      </c>
      <c r="AM63">
        <f t="shared" si="7"/>
        <v>3.0094361897530861</v>
      </c>
      <c r="AP63" s="9"/>
      <c r="AQ63" s="21">
        <v>1.5031399999999999</v>
      </c>
      <c r="AR63" s="21">
        <v>23.855499999999999</v>
      </c>
      <c r="AS63" s="21">
        <v>-1.30676E-2</v>
      </c>
      <c r="AT63" s="21">
        <v>53</v>
      </c>
      <c r="AU63" s="21">
        <v>1.5020800000000001</v>
      </c>
      <c r="AV63">
        <f t="shared" si="8"/>
        <v>16.132839506172839</v>
      </c>
      <c r="AW63">
        <f t="shared" si="9"/>
        <v>24.24991637530864</v>
      </c>
      <c r="AX63" s="9"/>
      <c r="AY63" s="21">
        <v>0.166931</v>
      </c>
      <c r="AZ63" s="21">
        <v>27.6143</v>
      </c>
      <c r="BA63" s="21">
        <v>-1.45813E-2</v>
      </c>
      <c r="BB63" s="21">
        <v>53</v>
      </c>
      <c r="BC63" s="21">
        <v>0.16628999999999999</v>
      </c>
      <c r="BD63">
        <f t="shared" si="10"/>
        <v>18.001604938271605</v>
      </c>
      <c r="BE63">
        <f t="shared" si="11"/>
        <v>3.0050259139506172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1.4981100000000001</v>
      </c>
      <c r="H64" s="21">
        <v>3.4171100000000001</v>
      </c>
      <c r="I64" s="21">
        <v>-1.33057E-2</v>
      </c>
      <c r="J64" s="21">
        <v>54</v>
      </c>
      <c r="K64" s="21">
        <v>1.4975000000000001</v>
      </c>
      <c r="L64">
        <f t="shared" si="0"/>
        <v>16.42679012345679</v>
      </c>
      <c r="M64">
        <f t="shared" si="1"/>
        <v>24.609138551851853</v>
      </c>
      <c r="N64" s="9"/>
      <c r="O64" s="21">
        <v>0.17196700000000001</v>
      </c>
      <c r="P64" s="21">
        <v>7.1758800000000003</v>
      </c>
      <c r="Q64" s="21">
        <v>-1.4819300000000001E-2</v>
      </c>
      <c r="R64" s="21">
        <v>54</v>
      </c>
      <c r="S64" s="21">
        <v>0.171539</v>
      </c>
      <c r="T64">
        <f t="shared" si="2"/>
        <v>18.295432098765431</v>
      </c>
      <c r="U64">
        <f t="shared" si="3"/>
        <v>3.1462105717283952</v>
      </c>
      <c r="X64" s="9"/>
      <c r="Y64" s="21">
        <v>1.4981100000000001</v>
      </c>
      <c r="Z64" s="21">
        <v>14.6134</v>
      </c>
      <c r="AA64" s="21">
        <v>-1.30981E-2</v>
      </c>
      <c r="AB64" s="21">
        <v>54</v>
      </c>
      <c r="AC64" s="21">
        <v>1.49719</v>
      </c>
      <c r="AD64">
        <f t="shared" si="4"/>
        <v>16.170493827160495</v>
      </c>
      <c r="AE64">
        <f t="shared" si="5"/>
        <v>24.22517850740741</v>
      </c>
      <c r="AF64" s="9"/>
      <c r="AG64" s="21">
        <v>0.17196700000000001</v>
      </c>
      <c r="AH64" s="21">
        <v>18.3721</v>
      </c>
      <c r="AI64" s="21">
        <v>-1.4590499999999999E-2</v>
      </c>
      <c r="AJ64" s="21">
        <v>54</v>
      </c>
      <c r="AK64" s="21">
        <v>0.17141700000000001</v>
      </c>
      <c r="AL64">
        <f t="shared" si="6"/>
        <v>18.012962962962959</v>
      </c>
      <c r="AM64">
        <f t="shared" si="7"/>
        <v>3.0976352018518511</v>
      </c>
      <c r="AP64" s="9"/>
      <c r="AQ64" s="21">
        <v>1.4981100000000001</v>
      </c>
      <c r="AR64" s="21">
        <v>23.865600000000001</v>
      </c>
      <c r="AS64" s="21">
        <v>-1.3113400000000001E-2</v>
      </c>
      <c r="AT64" s="21">
        <v>54</v>
      </c>
      <c r="AU64" s="21">
        <v>1.4975000000000001</v>
      </c>
      <c r="AV64">
        <f t="shared" si="8"/>
        <v>16.18938271604938</v>
      </c>
      <c r="AW64">
        <f t="shared" si="9"/>
        <v>24.253476140740737</v>
      </c>
      <c r="AX64" s="9"/>
      <c r="AY64" s="21">
        <v>0.17196700000000001</v>
      </c>
      <c r="AZ64" s="21">
        <v>27.624400000000001</v>
      </c>
      <c r="BA64" s="21">
        <v>-1.4578199999999999E-2</v>
      </c>
      <c r="BB64" s="21">
        <v>54</v>
      </c>
      <c r="BC64" s="21">
        <v>0.17144799999999999</v>
      </c>
      <c r="BD64">
        <f t="shared" si="10"/>
        <v>17.997777777777777</v>
      </c>
      <c r="BE64">
        <f t="shared" si="11"/>
        <v>3.0950238511111112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1.4930699999999999</v>
      </c>
      <c r="H65" s="21">
        <v>3.4271799999999999</v>
      </c>
      <c r="I65" s="21">
        <v>-1.3339200000000001E-2</v>
      </c>
      <c r="J65" s="21">
        <v>55</v>
      </c>
      <c r="K65" s="21">
        <v>1.49231</v>
      </c>
      <c r="L65">
        <f t="shared" si="0"/>
        <v>16.468148148148149</v>
      </c>
      <c r="M65">
        <f t="shared" si="1"/>
        <v>24.588097955555554</v>
      </c>
      <c r="N65" s="9"/>
      <c r="O65" s="21">
        <v>0.17700199999999999</v>
      </c>
      <c r="P65" s="21">
        <v>7.1859500000000001</v>
      </c>
      <c r="Q65" s="21">
        <v>-1.4810200000000001E-2</v>
      </c>
      <c r="R65" s="21">
        <v>55</v>
      </c>
      <c r="S65" s="21">
        <v>0.176514</v>
      </c>
      <c r="T65">
        <f t="shared" si="2"/>
        <v>18.284197530864198</v>
      </c>
      <c r="U65">
        <f t="shared" si="3"/>
        <v>3.2363395313580248</v>
      </c>
      <c r="X65" s="9"/>
      <c r="Y65" s="21">
        <v>1.4930699999999999</v>
      </c>
      <c r="Z65" s="21">
        <v>14.6234</v>
      </c>
      <c r="AA65" s="21">
        <v>-1.31378E-2</v>
      </c>
      <c r="AB65" s="21">
        <v>55</v>
      </c>
      <c r="AC65" s="21">
        <v>1.49231</v>
      </c>
      <c r="AD65">
        <f t="shared" si="4"/>
        <v>16.219506172839505</v>
      </c>
      <c r="AE65">
        <f t="shared" si="5"/>
        <v>24.21685808148148</v>
      </c>
      <c r="AF65" s="9"/>
      <c r="AG65" s="21">
        <v>0.17700199999999999</v>
      </c>
      <c r="AH65" s="21">
        <v>18.382200000000001</v>
      </c>
      <c r="AI65" s="21">
        <v>-1.4578199999999999E-2</v>
      </c>
      <c r="AJ65" s="21">
        <v>55</v>
      </c>
      <c r="AK65" s="21">
        <v>0.176453</v>
      </c>
      <c r="AL65">
        <f t="shared" si="6"/>
        <v>17.997777777777777</v>
      </c>
      <c r="AM65">
        <f t="shared" si="7"/>
        <v>3.185642662222222</v>
      </c>
      <c r="AP65" s="9"/>
      <c r="AQ65" s="21">
        <v>1.4930699999999999</v>
      </c>
      <c r="AR65" s="21">
        <v>23.875699999999998</v>
      </c>
      <c r="AS65" s="21">
        <v>-1.315E-2</v>
      </c>
      <c r="AT65" s="21">
        <v>55</v>
      </c>
      <c r="AU65" s="21">
        <v>1.49261</v>
      </c>
      <c r="AV65">
        <f t="shared" si="8"/>
        <v>16.234567901234566</v>
      </c>
      <c r="AW65">
        <f t="shared" si="9"/>
        <v>24.239346296296294</v>
      </c>
      <c r="AX65" s="9"/>
      <c r="AY65" s="21">
        <v>0.17700199999999999</v>
      </c>
      <c r="AZ65" s="21">
        <v>27.634399999999999</v>
      </c>
      <c r="BA65" s="21">
        <v>-1.4578199999999999E-2</v>
      </c>
      <c r="BB65" s="21">
        <v>55</v>
      </c>
      <c r="BC65" s="21">
        <v>0.176483</v>
      </c>
      <c r="BD65">
        <f t="shared" si="10"/>
        <v>17.997777777777777</v>
      </c>
      <c r="BE65">
        <f t="shared" si="11"/>
        <v>3.185642662222222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1.48804</v>
      </c>
      <c r="H66" s="21">
        <v>3.4372600000000002</v>
      </c>
      <c r="I66" s="21">
        <v>-1.3378900000000001E-2</v>
      </c>
      <c r="J66" s="21">
        <v>56</v>
      </c>
      <c r="K66" s="21">
        <v>1.48743</v>
      </c>
      <c r="L66">
        <f t="shared" si="0"/>
        <v>16.517160493827159</v>
      </c>
      <c r="M66">
        <f t="shared" si="1"/>
        <v>24.578195501234568</v>
      </c>
      <c r="N66" s="9"/>
      <c r="O66" s="21">
        <v>0.182037</v>
      </c>
      <c r="P66" s="21">
        <v>7.1960199999999999</v>
      </c>
      <c r="Q66" s="21">
        <v>-1.47949E-2</v>
      </c>
      <c r="R66" s="21">
        <v>56</v>
      </c>
      <c r="S66" s="21">
        <v>0.181427</v>
      </c>
      <c r="T66">
        <f t="shared" si="2"/>
        <v>18.265308641975306</v>
      </c>
      <c r="U66">
        <f t="shared" si="3"/>
        <v>3.324961989259259</v>
      </c>
      <c r="X66" s="9"/>
      <c r="Y66" s="21">
        <v>1.48804</v>
      </c>
      <c r="Z66" s="21">
        <v>14.6335</v>
      </c>
      <c r="AA66" s="21">
        <v>-1.31714E-2</v>
      </c>
      <c r="AB66" s="21">
        <v>56</v>
      </c>
      <c r="AC66" s="21">
        <v>1.48712</v>
      </c>
      <c r="AD66">
        <f t="shared" si="4"/>
        <v>16.260987654320989</v>
      </c>
      <c r="AE66">
        <f t="shared" si="5"/>
        <v>24.197000069135804</v>
      </c>
      <c r="AF66" s="9"/>
      <c r="AG66" s="21">
        <v>0.182037</v>
      </c>
      <c r="AH66" s="21">
        <v>18.392299999999999</v>
      </c>
      <c r="AI66" s="21">
        <v>-1.45752E-2</v>
      </c>
      <c r="AJ66" s="21">
        <v>56</v>
      </c>
      <c r="AK66" s="21">
        <v>0.18148800000000001</v>
      </c>
      <c r="AL66">
        <f t="shared" si="6"/>
        <v>17.994074074074071</v>
      </c>
      <c r="AM66">
        <f t="shared" si="7"/>
        <v>3.2755872622222215</v>
      </c>
      <c r="AP66" s="9"/>
      <c r="AQ66" s="21">
        <v>1.48804</v>
      </c>
      <c r="AR66" s="21">
        <v>23.8857</v>
      </c>
      <c r="AS66" s="21">
        <v>-1.31836E-2</v>
      </c>
      <c r="AT66" s="21">
        <v>56</v>
      </c>
      <c r="AU66" s="21">
        <v>1.48712</v>
      </c>
      <c r="AV66">
        <f t="shared" si="8"/>
        <v>16.276049382716046</v>
      </c>
      <c r="AW66">
        <f t="shared" si="9"/>
        <v>24.219412523456786</v>
      </c>
      <c r="AX66" s="9"/>
      <c r="AY66" s="21">
        <v>0.182037</v>
      </c>
      <c r="AZ66" s="21">
        <v>27.644500000000001</v>
      </c>
      <c r="BA66" s="21">
        <v>-1.4584400000000001E-2</v>
      </c>
      <c r="BB66" s="21">
        <v>56</v>
      </c>
      <c r="BC66" s="21">
        <v>0.18157999999999999</v>
      </c>
      <c r="BD66">
        <f t="shared" si="10"/>
        <v>18.005432098765432</v>
      </c>
      <c r="BE66">
        <f t="shared" si="11"/>
        <v>3.2776548429629631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1.4830000000000001</v>
      </c>
      <c r="H67" s="21">
        <v>3.44733</v>
      </c>
      <c r="I67" s="21">
        <v>-1.3412500000000001E-2</v>
      </c>
      <c r="J67" s="21">
        <v>57</v>
      </c>
      <c r="K67" s="21">
        <v>1.48254</v>
      </c>
      <c r="L67">
        <f t="shared" si="0"/>
        <v>16.558641975308642</v>
      </c>
      <c r="M67">
        <f t="shared" si="1"/>
        <v>24.556466049382717</v>
      </c>
      <c r="N67" s="9"/>
      <c r="O67" s="21">
        <v>0.18707299999999999</v>
      </c>
      <c r="P67" s="21">
        <v>7.2060899999999997</v>
      </c>
      <c r="Q67" s="21">
        <v>-1.47858E-2</v>
      </c>
      <c r="R67" s="21">
        <v>57</v>
      </c>
      <c r="S67" s="21">
        <v>0.18652299999999999</v>
      </c>
      <c r="T67">
        <f t="shared" si="2"/>
        <v>18.254074074074072</v>
      </c>
      <c r="U67">
        <f t="shared" si="3"/>
        <v>3.4148443992592585</v>
      </c>
      <c r="X67" s="9"/>
      <c r="Y67" s="21">
        <v>1.4830000000000001</v>
      </c>
      <c r="Z67" s="21">
        <v>14.643599999999999</v>
      </c>
      <c r="AA67" s="21">
        <v>-1.32111E-2</v>
      </c>
      <c r="AB67" s="21">
        <v>57</v>
      </c>
      <c r="AC67" s="21">
        <v>1.48254</v>
      </c>
      <c r="AD67">
        <f t="shared" si="4"/>
        <v>16.309999999999999</v>
      </c>
      <c r="AE67">
        <f t="shared" si="5"/>
        <v>24.187729999999998</v>
      </c>
      <c r="AF67" s="9"/>
      <c r="AG67" s="21">
        <v>0.18707299999999999</v>
      </c>
      <c r="AH67" s="21">
        <v>18.4023</v>
      </c>
      <c r="AI67" s="21">
        <v>-1.45813E-2</v>
      </c>
      <c r="AJ67" s="21">
        <v>57</v>
      </c>
      <c r="AK67" s="21">
        <v>0.18652299999999999</v>
      </c>
      <c r="AL67">
        <f t="shared" si="6"/>
        <v>18.001604938271605</v>
      </c>
      <c r="AM67">
        <f t="shared" si="7"/>
        <v>3.3676142406172835</v>
      </c>
      <c r="AP67" s="9"/>
      <c r="AQ67" s="21">
        <v>1.4830000000000001</v>
      </c>
      <c r="AR67" s="21">
        <v>23.895800000000001</v>
      </c>
      <c r="AS67" s="21">
        <v>-1.32172E-2</v>
      </c>
      <c r="AT67" s="21">
        <v>57</v>
      </c>
      <c r="AU67" s="21">
        <v>1.48254</v>
      </c>
      <c r="AV67">
        <f t="shared" si="8"/>
        <v>16.317530864197529</v>
      </c>
      <c r="AW67">
        <f t="shared" si="9"/>
        <v>24.198898271604936</v>
      </c>
      <c r="AX67" s="9"/>
      <c r="AY67" s="21">
        <v>0.18707299999999999</v>
      </c>
      <c r="AZ67" s="21">
        <v>27.654599999999999</v>
      </c>
      <c r="BA67" s="21">
        <v>-1.45874E-2</v>
      </c>
      <c r="BB67" s="21">
        <v>57</v>
      </c>
      <c r="BC67" s="21">
        <v>0.186584</v>
      </c>
      <c r="BD67">
        <f t="shared" si="10"/>
        <v>18.009135802469135</v>
      </c>
      <c r="BE67">
        <f t="shared" si="11"/>
        <v>3.3690230619753083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1.47797</v>
      </c>
      <c r="H68" s="21">
        <v>3.4573999999999998</v>
      </c>
      <c r="I68" s="21">
        <v>-1.3433799999999999E-2</v>
      </c>
      <c r="J68" s="21">
        <v>58</v>
      </c>
      <c r="K68" s="21">
        <v>1.47766</v>
      </c>
      <c r="L68">
        <f t="shared" si="0"/>
        <v>16.584938271604937</v>
      </c>
      <c r="M68">
        <f t="shared" si="1"/>
        <v>24.512041217283947</v>
      </c>
      <c r="N68" s="9"/>
      <c r="O68" s="21">
        <v>0.192108</v>
      </c>
      <c r="P68" s="21">
        <v>7.2161600000000004</v>
      </c>
      <c r="Q68" s="21">
        <v>-1.47736E-2</v>
      </c>
      <c r="R68" s="21">
        <v>58</v>
      </c>
      <c r="S68" s="21">
        <v>0.19162000000000001</v>
      </c>
      <c r="T68">
        <f t="shared" si="2"/>
        <v>18.239012345679011</v>
      </c>
      <c r="U68">
        <f t="shared" si="3"/>
        <v>3.5038601837037033</v>
      </c>
      <c r="X68" s="9"/>
      <c r="Y68" s="21">
        <v>1.47797</v>
      </c>
      <c r="Z68" s="21">
        <v>14.653700000000001</v>
      </c>
      <c r="AA68" s="21">
        <v>-1.3250700000000001E-2</v>
      </c>
      <c r="AB68" s="21">
        <v>58</v>
      </c>
      <c r="AC68" s="21">
        <v>1.47705</v>
      </c>
      <c r="AD68">
        <f t="shared" si="4"/>
        <v>16.358888888888888</v>
      </c>
      <c r="AE68">
        <f t="shared" si="5"/>
        <v>24.177947011111112</v>
      </c>
      <c r="AF68" s="9"/>
      <c r="AG68" s="21">
        <v>0.192108</v>
      </c>
      <c r="AH68" s="21">
        <v>18.412400000000002</v>
      </c>
      <c r="AI68" s="21">
        <v>-1.45813E-2</v>
      </c>
      <c r="AJ68" s="21">
        <v>58</v>
      </c>
      <c r="AK68" s="21">
        <v>0.19164999999999999</v>
      </c>
      <c r="AL68">
        <f t="shared" si="6"/>
        <v>18.001604938271605</v>
      </c>
      <c r="AM68">
        <f t="shared" si="7"/>
        <v>3.4582523214814813</v>
      </c>
      <c r="AP68" s="9"/>
      <c r="AQ68" s="21">
        <v>1.47797</v>
      </c>
      <c r="AR68" s="21">
        <v>23.905899999999999</v>
      </c>
      <c r="AS68" s="21">
        <v>-1.32538E-2</v>
      </c>
      <c r="AT68" s="21">
        <v>58</v>
      </c>
      <c r="AU68" s="21">
        <v>1.47736</v>
      </c>
      <c r="AV68">
        <f t="shared" si="8"/>
        <v>16.362716049382716</v>
      </c>
      <c r="AW68">
        <f t="shared" si="9"/>
        <v>24.183603439506172</v>
      </c>
      <c r="AX68" s="9"/>
      <c r="AY68" s="21">
        <v>0.192108</v>
      </c>
      <c r="AZ68" s="21">
        <v>27.6646</v>
      </c>
      <c r="BA68" s="21">
        <v>-1.4584400000000001E-2</v>
      </c>
      <c r="BB68" s="21">
        <v>58</v>
      </c>
      <c r="BC68" s="21">
        <v>0.191467</v>
      </c>
      <c r="BD68">
        <f t="shared" si="10"/>
        <v>18.005432098765432</v>
      </c>
      <c r="BE68">
        <f t="shared" si="11"/>
        <v>3.4589875496296298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1.4729300000000001</v>
      </c>
      <c r="H69" s="21">
        <v>3.4674700000000001</v>
      </c>
      <c r="I69" s="21">
        <v>-1.34491E-2</v>
      </c>
      <c r="J69" s="21">
        <v>59</v>
      </c>
      <c r="K69" s="21">
        <v>1.47217</v>
      </c>
      <c r="L69">
        <f t="shared" si="0"/>
        <v>16.603827160493829</v>
      </c>
      <c r="M69">
        <f t="shared" si="1"/>
        <v>24.456275139506175</v>
      </c>
      <c r="N69" s="9"/>
      <c r="O69" s="21">
        <v>0.19714400000000001</v>
      </c>
      <c r="P69" s="21">
        <v>7.2262300000000002</v>
      </c>
      <c r="Q69" s="21">
        <v>-1.4761399999999999E-2</v>
      </c>
      <c r="R69" s="21">
        <v>59</v>
      </c>
      <c r="S69" s="21">
        <v>0.196655</v>
      </c>
      <c r="T69">
        <f t="shared" si="2"/>
        <v>18.22395061728395</v>
      </c>
      <c r="U69">
        <f t="shared" si="3"/>
        <v>3.5927425204938275</v>
      </c>
      <c r="X69" s="9"/>
      <c r="Y69" s="21">
        <v>1.4729300000000001</v>
      </c>
      <c r="Z69" s="21">
        <v>14.6637</v>
      </c>
      <c r="AA69" s="21">
        <v>-1.3281299999999999E-2</v>
      </c>
      <c r="AB69" s="21">
        <v>59</v>
      </c>
      <c r="AC69" s="21">
        <v>1.47217</v>
      </c>
      <c r="AD69">
        <f t="shared" si="4"/>
        <v>16.396666666666665</v>
      </c>
      <c r="AE69">
        <f t="shared" si="5"/>
        <v>24.151142233333331</v>
      </c>
      <c r="AF69" s="9"/>
      <c r="AG69" s="21">
        <v>0.19714400000000001</v>
      </c>
      <c r="AH69" s="21">
        <v>18.422499999999999</v>
      </c>
      <c r="AI69" s="21">
        <v>-1.4578199999999999E-2</v>
      </c>
      <c r="AJ69" s="21">
        <v>59</v>
      </c>
      <c r="AK69" s="21">
        <v>0.196655</v>
      </c>
      <c r="AL69">
        <f t="shared" si="6"/>
        <v>17.997777777777777</v>
      </c>
      <c r="AM69">
        <f t="shared" si="7"/>
        <v>3.5481539022222224</v>
      </c>
      <c r="AP69" s="9"/>
      <c r="AQ69" s="21">
        <v>1.4729300000000001</v>
      </c>
      <c r="AR69" s="21">
        <v>23.916</v>
      </c>
      <c r="AS69" s="21">
        <v>-1.32782E-2</v>
      </c>
      <c r="AT69" s="21">
        <v>59</v>
      </c>
      <c r="AU69" s="21">
        <v>1.47217</v>
      </c>
      <c r="AV69">
        <f t="shared" si="8"/>
        <v>16.392839506172837</v>
      </c>
      <c r="AW69">
        <f t="shared" si="9"/>
        <v>24.145505093827158</v>
      </c>
      <c r="AX69" s="9"/>
      <c r="AY69" s="21">
        <v>0.19714400000000001</v>
      </c>
      <c r="AZ69" s="21">
        <v>27.674700000000001</v>
      </c>
      <c r="BA69" s="21">
        <v>-1.45813E-2</v>
      </c>
      <c r="BB69" s="21">
        <v>59</v>
      </c>
      <c r="BC69" s="21">
        <v>0.19662499999999999</v>
      </c>
      <c r="BD69">
        <f t="shared" si="10"/>
        <v>18.001604938271605</v>
      </c>
      <c r="BE69">
        <f t="shared" si="11"/>
        <v>3.5489084039506174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1.4679</v>
      </c>
      <c r="H70" s="21">
        <v>3.4775399999999999</v>
      </c>
      <c r="I70" s="21">
        <v>-1.34705E-2</v>
      </c>
      <c r="J70" s="21">
        <v>60</v>
      </c>
      <c r="K70" s="21">
        <v>1.46729</v>
      </c>
      <c r="L70">
        <f t="shared" si="0"/>
        <v>16.630246913580244</v>
      </c>
      <c r="M70">
        <f t="shared" si="1"/>
        <v>24.41153944444444</v>
      </c>
      <c r="N70" s="9"/>
      <c r="O70" s="21">
        <v>0.202179</v>
      </c>
      <c r="P70" s="21">
        <v>7.2363099999999996</v>
      </c>
      <c r="Q70" s="21">
        <v>-1.47583E-2</v>
      </c>
      <c r="R70" s="21">
        <v>60</v>
      </c>
      <c r="S70" s="21">
        <v>0.20169100000000001</v>
      </c>
      <c r="T70">
        <f t="shared" si="2"/>
        <v>18.22012345679012</v>
      </c>
      <c r="U70">
        <f t="shared" si="3"/>
        <v>3.6837263403703697</v>
      </c>
      <c r="X70" s="9"/>
      <c r="Y70" s="21">
        <v>1.4679</v>
      </c>
      <c r="Z70" s="21">
        <v>14.6738</v>
      </c>
      <c r="AA70" s="21">
        <v>-1.33118E-2</v>
      </c>
      <c r="AB70" s="21">
        <v>60</v>
      </c>
      <c r="AC70" s="21">
        <v>1.46698</v>
      </c>
      <c r="AD70">
        <f t="shared" si="4"/>
        <v>16.434320987654321</v>
      </c>
      <c r="AE70">
        <f t="shared" si="5"/>
        <v>24.123939777777778</v>
      </c>
      <c r="AF70" s="9"/>
      <c r="AG70" s="21">
        <v>0.202179</v>
      </c>
      <c r="AH70" s="21">
        <v>18.432600000000001</v>
      </c>
      <c r="AI70" s="21">
        <v>-1.45752E-2</v>
      </c>
      <c r="AJ70" s="21">
        <v>60</v>
      </c>
      <c r="AK70" s="21">
        <v>0.20169100000000001</v>
      </c>
      <c r="AL70">
        <f t="shared" si="6"/>
        <v>17.994074074074071</v>
      </c>
      <c r="AM70">
        <f t="shared" si="7"/>
        <v>3.6380239022222214</v>
      </c>
      <c r="AP70" s="9"/>
      <c r="AQ70" s="21">
        <v>1.4679</v>
      </c>
      <c r="AR70" s="21">
        <v>23.925999999999998</v>
      </c>
      <c r="AS70" s="21">
        <v>-1.33057E-2</v>
      </c>
      <c r="AT70" s="21">
        <v>60</v>
      </c>
      <c r="AU70" s="21">
        <v>1.4679</v>
      </c>
      <c r="AV70">
        <f t="shared" si="8"/>
        <v>16.42679012345679</v>
      </c>
      <c r="AW70">
        <f t="shared" si="9"/>
        <v>24.112885222222221</v>
      </c>
      <c r="AX70" s="9"/>
      <c r="AY70" s="21">
        <v>0.202179</v>
      </c>
      <c r="AZ70" s="21">
        <v>27.684799999999999</v>
      </c>
      <c r="BA70" s="21">
        <v>-1.45813E-2</v>
      </c>
      <c r="BB70" s="21">
        <v>60</v>
      </c>
      <c r="BC70" s="21">
        <v>0.20166000000000001</v>
      </c>
      <c r="BD70">
        <f t="shared" si="10"/>
        <v>18.001604938271605</v>
      </c>
      <c r="BE70">
        <f t="shared" si="11"/>
        <v>3.6395464848148147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1.46286</v>
      </c>
      <c r="H71" s="21">
        <v>3.4876100000000001</v>
      </c>
      <c r="I71" s="21">
        <v>-1.3507099999999999E-2</v>
      </c>
      <c r="J71" s="21">
        <v>61</v>
      </c>
      <c r="K71" s="21">
        <v>1.4621</v>
      </c>
      <c r="L71">
        <f t="shared" si="0"/>
        <v>16.67543209876543</v>
      </c>
      <c r="M71">
        <f t="shared" si="1"/>
        <v>24.393822599999996</v>
      </c>
      <c r="N71" s="9"/>
      <c r="O71" s="21">
        <v>0.20721400000000001</v>
      </c>
      <c r="P71" s="21">
        <v>7.2463800000000003</v>
      </c>
      <c r="Q71" s="21">
        <v>-1.47522E-2</v>
      </c>
      <c r="R71" s="21">
        <v>61</v>
      </c>
      <c r="S71" s="21">
        <v>0.20672599999999999</v>
      </c>
      <c r="T71">
        <f t="shared" si="2"/>
        <v>18.212592592592593</v>
      </c>
      <c r="U71">
        <f t="shared" si="3"/>
        <v>3.7739041614814814</v>
      </c>
      <c r="X71" s="9"/>
      <c r="Y71" s="21">
        <v>1.46286</v>
      </c>
      <c r="Z71" s="21">
        <v>14.6839</v>
      </c>
      <c r="AA71" s="21">
        <v>-1.33423E-2</v>
      </c>
      <c r="AB71" s="21">
        <v>61</v>
      </c>
      <c r="AC71" s="21">
        <v>1.46271</v>
      </c>
      <c r="AD71">
        <f t="shared" si="4"/>
        <v>16.471975308641973</v>
      </c>
      <c r="AE71">
        <f t="shared" si="5"/>
        <v>24.096193799999998</v>
      </c>
      <c r="AF71" s="9"/>
      <c r="AG71" s="21">
        <v>0.20721400000000001</v>
      </c>
      <c r="AH71" s="21">
        <v>18.442599999999999</v>
      </c>
      <c r="AI71" s="21">
        <v>-1.45691E-2</v>
      </c>
      <c r="AJ71" s="21">
        <v>61</v>
      </c>
      <c r="AK71" s="21">
        <v>0.20666499999999999</v>
      </c>
      <c r="AL71">
        <f t="shared" si="6"/>
        <v>17.98654320987654</v>
      </c>
      <c r="AM71">
        <f t="shared" si="7"/>
        <v>3.7270635646913575</v>
      </c>
      <c r="AP71" s="9"/>
      <c r="AQ71" s="21">
        <v>1.46286</v>
      </c>
      <c r="AR71" s="21">
        <v>23.9361</v>
      </c>
      <c r="AS71" s="21">
        <v>-1.33423E-2</v>
      </c>
      <c r="AT71" s="21">
        <v>61</v>
      </c>
      <c r="AU71" s="21">
        <v>1.4621</v>
      </c>
      <c r="AV71">
        <f t="shared" si="8"/>
        <v>16.471975308641973</v>
      </c>
      <c r="AW71">
        <f t="shared" si="9"/>
        <v>24.096193799999998</v>
      </c>
      <c r="AX71" s="9"/>
      <c r="AY71" s="21">
        <v>0.20721400000000001</v>
      </c>
      <c r="AZ71" s="21">
        <v>27.694900000000001</v>
      </c>
      <c r="BA71" s="21">
        <v>-1.4578199999999999E-2</v>
      </c>
      <c r="BB71" s="21">
        <v>61</v>
      </c>
      <c r="BC71" s="21">
        <v>0.20663500000000001</v>
      </c>
      <c r="BD71">
        <f t="shared" si="10"/>
        <v>17.997777777777777</v>
      </c>
      <c r="BE71">
        <f t="shared" si="11"/>
        <v>3.7293915244444444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1.4578199999999999</v>
      </c>
      <c r="H72" s="21">
        <v>3.4976799999999999</v>
      </c>
      <c r="I72" s="21">
        <v>-1.3543700000000001E-2</v>
      </c>
      <c r="J72" s="21">
        <v>62</v>
      </c>
      <c r="K72" s="21">
        <v>1.4572099999999999</v>
      </c>
      <c r="L72">
        <f t="shared" si="0"/>
        <v>16.720617283950617</v>
      </c>
      <c r="M72">
        <f t="shared" si="1"/>
        <v>24.375650288888885</v>
      </c>
      <c r="N72" s="9"/>
      <c r="O72" s="21">
        <v>0.21224999999999999</v>
      </c>
      <c r="P72" s="21">
        <v>7.2564500000000001</v>
      </c>
      <c r="Q72" s="21">
        <v>-1.47552E-2</v>
      </c>
      <c r="R72" s="21">
        <v>62</v>
      </c>
      <c r="S72" s="21">
        <v>0.2117</v>
      </c>
      <c r="T72">
        <f t="shared" si="2"/>
        <v>18.216296296296292</v>
      </c>
      <c r="U72">
        <f t="shared" si="3"/>
        <v>3.8664088888888881</v>
      </c>
      <c r="X72" s="9"/>
      <c r="Y72" s="21">
        <v>1.4578199999999999</v>
      </c>
      <c r="Z72" s="21">
        <v>14.693899999999999</v>
      </c>
      <c r="AA72" s="21">
        <v>-1.3369799999999999E-2</v>
      </c>
      <c r="AB72" s="21">
        <v>62</v>
      </c>
      <c r="AC72" s="21">
        <v>1.4569099999999999</v>
      </c>
      <c r="AD72">
        <f t="shared" si="4"/>
        <v>16.505925925925922</v>
      </c>
      <c r="AE72">
        <f t="shared" si="5"/>
        <v>24.062668933333327</v>
      </c>
      <c r="AF72" s="9"/>
      <c r="AG72" s="21">
        <v>0.21224999999999999</v>
      </c>
      <c r="AH72" s="21">
        <v>18.4527</v>
      </c>
      <c r="AI72" s="21">
        <v>-1.45691E-2</v>
      </c>
      <c r="AJ72" s="21">
        <v>62</v>
      </c>
      <c r="AK72" s="21">
        <v>0.2117</v>
      </c>
      <c r="AL72">
        <f t="shared" si="6"/>
        <v>17.98654320987654</v>
      </c>
      <c r="AM72">
        <f t="shared" si="7"/>
        <v>3.8176437962962955</v>
      </c>
      <c r="AP72" s="9"/>
      <c r="AQ72" s="21">
        <v>1.4578199999999999</v>
      </c>
      <c r="AR72" s="21">
        <v>23.946200000000001</v>
      </c>
      <c r="AS72" s="21">
        <v>-1.3384999999999999E-2</v>
      </c>
      <c r="AT72" s="21">
        <v>62</v>
      </c>
      <c r="AU72" s="21">
        <v>1.4578199999999999</v>
      </c>
      <c r="AV72">
        <f t="shared" si="8"/>
        <v>16.52469135802469</v>
      </c>
      <c r="AW72">
        <f t="shared" si="9"/>
        <v>24.090025555555552</v>
      </c>
      <c r="AX72" s="9"/>
      <c r="AY72" s="21">
        <v>0.21224999999999999</v>
      </c>
      <c r="AZ72" s="21">
        <v>27.704899999999999</v>
      </c>
      <c r="BA72" s="21">
        <v>-1.45752E-2</v>
      </c>
      <c r="BB72" s="21">
        <v>62</v>
      </c>
      <c r="BC72" s="21">
        <v>0.2117</v>
      </c>
      <c r="BD72">
        <f t="shared" si="10"/>
        <v>17.994074074074071</v>
      </c>
      <c r="BE72">
        <f t="shared" si="11"/>
        <v>3.8192422222222215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1.45279</v>
      </c>
      <c r="H73" s="21">
        <v>3.5077500000000001</v>
      </c>
      <c r="I73" s="21">
        <v>-1.35742E-2</v>
      </c>
      <c r="J73" s="21">
        <v>63</v>
      </c>
      <c r="K73" s="21">
        <v>1.4526399999999999</v>
      </c>
      <c r="L73">
        <f t="shared" si="0"/>
        <v>16.758271604938273</v>
      </c>
      <c r="M73">
        <f t="shared" si="1"/>
        <v>24.346249404938273</v>
      </c>
      <c r="N73" s="9"/>
      <c r="O73" s="21">
        <v>0.21728500000000001</v>
      </c>
      <c r="P73" s="21">
        <v>7.2665199999999999</v>
      </c>
      <c r="Q73" s="21">
        <v>-1.47583E-2</v>
      </c>
      <c r="R73" s="21">
        <v>63</v>
      </c>
      <c r="S73" s="21">
        <v>0.21676599999999999</v>
      </c>
      <c r="T73">
        <f t="shared" si="2"/>
        <v>18.22012345679012</v>
      </c>
      <c r="U73">
        <f t="shared" si="3"/>
        <v>3.9589595253086411</v>
      </c>
      <c r="X73" s="9"/>
      <c r="Y73" s="21">
        <v>1.45279</v>
      </c>
      <c r="Z73" s="21">
        <v>14.704000000000001</v>
      </c>
      <c r="AA73" s="21">
        <v>-1.34033E-2</v>
      </c>
      <c r="AB73" s="21">
        <v>63</v>
      </c>
      <c r="AC73" s="21">
        <v>1.4517199999999999</v>
      </c>
      <c r="AD73">
        <f t="shared" si="4"/>
        <v>16.547283950617281</v>
      </c>
      <c r="AE73">
        <f t="shared" si="5"/>
        <v>24.039728650617281</v>
      </c>
      <c r="AF73" s="9"/>
      <c r="AG73" s="21">
        <v>0.21728500000000001</v>
      </c>
      <c r="AH73" s="21">
        <v>18.462800000000001</v>
      </c>
      <c r="AI73" s="21">
        <v>-1.4572099999999999E-2</v>
      </c>
      <c r="AJ73" s="21">
        <v>63</v>
      </c>
      <c r="AK73" s="21">
        <v>0.21679699999999999</v>
      </c>
      <c r="AL73">
        <f t="shared" si="6"/>
        <v>17.990246913580243</v>
      </c>
      <c r="AM73">
        <f t="shared" si="7"/>
        <v>3.9090108006172835</v>
      </c>
      <c r="AP73" s="9"/>
      <c r="AQ73" s="21">
        <v>1.45279</v>
      </c>
      <c r="AR73" s="21">
        <v>23.956199999999999</v>
      </c>
      <c r="AS73" s="21">
        <v>-1.3418599999999999E-2</v>
      </c>
      <c r="AT73" s="21">
        <v>63</v>
      </c>
      <c r="AU73" s="21">
        <v>1.4520299999999999</v>
      </c>
      <c r="AV73">
        <f t="shared" si="8"/>
        <v>16.566172839506169</v>
      </c>
      <c r="AW73">
        <f t="shared" si="9"/>
        <v>24.067170239506169</v>
      </c>
      <c r="AX73" s="9"/>
      <c r="AY73" s="21">
        <v>0.21728500000000001</v>
      </c>
      <c r="AZ73" s="21">
        <v>27.715</v>
      </c>
      <c r="BA73" s="21">
        <v>-1.4578199999999999E-2</v>
      </c>
      <c r="BB73" s="21">
        <v>63</v>
      </c>
      <c r="BC73" s="21">
        <v>0.216888</v>
      </c>
      <c r="BD73">
        <f t="shared" si="10"/>
        <v>17.997777777777777</v>
      </c>
      <c r="BE73">
        <f t="shared" si="11"/>
        <v>3.9106471444444444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1.4477500000000001</v>
      </c>
      <c r="H74" s="21">
        <v>3.5178199999999999</v>
      </c>
      <c r="I74" s="21">
        <v>-1.35925E-2</v>
      </c>
      <c r="J74" s="21">
        <v>64</v>
      </c>
      <c r="K74" s="21">
        <v>1.4474499999999999</v>
      </c>
      <c r="L74">
        <f t="shared" si="0"/>
        <v>16.780864197530864</v>
      </c>
      <c r="M74">
        <f t="shared" si="1"/>
        <v>24.294496141975308</v>
      </c>
      <c r="N74" s="9"/>
      <c r="O74" s="21">
        <v>0.22232099999999999</v>
      </c>
      <c r="P74" s="21">
        <v>7.2765899999999997</v>
      </c>
      <c r="Q74" s="21">
        <v>-1.4767499999999999E-2</v>
      </c>
      <c r="R74" s="21">
        <v>64</v>
      </c>
      <c r="S74" s="21">
        <v>0.22174099999999999</v>
      </c>
      <c r="T74">
        <f t="shared" si="2"/>
        <v>18.231481481481481</v>
      </c>
      <c r="U74">
        <f t="shared" si="3"/>
        <v>4.0532411944444444</v>
      </c>
      <c r="X74" s="9"/>
      <c r="Y74" s="21">
        <v>1.4477500000000001</v>
      </c>
      <c r="Z74" s="21">
        <v>14.7141</v>
      </c>
      <c r="AA74" s="21">
        <v>-1.3427700000000001E-2</v>
      </c>
      <c r="AB74" s="21">
        <v>64</v>
      </c>
      <c r="AC74" s="21">
        <v>1.4468399999999999</v>
      </c>
      <c r="AD74">
        <f t="shared" si="4"/>
        <v>16.57740740740741</v>
      </c>
      <c r="AE74">
        <f t="shared" si="5"/>
        <v>23.999941574074079</v>
      </c>
      <c r="AF74" s="9"/>
      <c r="AG74" s="21">
        <v>0.22232099999999999</v>
      </c>
      <c r="AH74" s="21">
        <v>18.472799999999999</v>
      </c>
      <c r="AI74" s="21">
        <v>-1.4572099999999999E-2</v>
      </c>
      <c r="AJ74" s="21">
        <v>64</v>
      </c>
      <c r="AK74" s="21">
        <v>0.221771</v>
      </c>
      <c r="AL74">
        <f t="shared" si="6"/>
        <v>17.990246913580243</v>
      </c>
      <c r="AM74">
        <f t="shared" si="7"/>
        <v>3.9996096840740729</v>
      </c>
      <c r="AP74" s="9"/>
      <c r="AQ74" s="21">
        <v>1.4477500000000001</v>
      </c>
      <c r="AR74" s="21">
        <v>23.9663</v>
      </c>
      <c r="AS74" s="21">
        <v>-1.3446E-2</v>
      </c>
      <c r="AT74" s="21">
        <v>64</v>
      </c>
      <c r="AU74" s="21">
        <v>1.4471400000000001</v>
      </c>
      <c r="AV74">
        <f t="shared" si="8"/>
        <v>16.599999999999998</v>
      </c>
      <c r="AW74">
        <f t="shared" si="9"/>
        <v>24.032649999999997</v>
      </c>
      <c r="AX74" s="9"/>
      <c r="AY74" s="21">
        <v>0.22232099999999999</v>
      </c>
      <c r="AZ74" s="21">
        <v>27.725100000000001</v>
      </c>
      <c r="BA74" s="21">
        <v>-1.4578199999999999E-2</v>
      </c>
      <c r="BB74" s="21">
        <v>64</v>
      </c>
      <c r="BC74" s="21">
        <v>0.22174099999999999</v>
      </c>
      <c r="BD74">
        <f t="shared" si="10"/>
        <v>17.997777777777777</v>
      </c>
      <c r="BE74">
        <f t="shared" si="11"/>
        <v>4.0012839533333331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1.44272</v>
      </c>
      <c r="H75" s="21">
        <v>3.5278900000000002</v>
      </c>
      <c r="I75" s="21">
        <v>-1.36078E-2</v>
      </c>
      <c r="J75" s="21">
        <v>65</v>
      </c>
      <c r="K75" s="21">
        <v>1.4422600000000001</v>
      </c>
      <c r="L75">
        <f t="shared" si="0"/>
        <v>16.799753086419752</v>
      </c>
      <c r="M75">
        <f t="shared" si="1"/>
        <v>24.237339772839505</v>
      </c>
      <c r="N75" s="9"/>
      <c r="O75" s="21">
        <v>0.227356</v>
      </c>
      <c r="P75" s="21">
        <v>7.2866600000000004</v>
      </c>
      <c r="Q75" s="21">
        <v>-1.4767499999999999E-2</v>
      </c>
      <c r="R75" s="21">
        <v>65</v>
      </c>
      <c r="S75" s="21">
        <v>0.22686799999999999</v>
      </c>
      <c r="T75">
        <f t="shared" si="2"/>
        <v>18.231481481481481</v>
      </c>
      <c r="U75">
        <f t="shared" si="3"/>
        <v>4.1450367037037035</v>
      </c>
      <c r="X75" s="9"/>
      <c r="Y75" s="21">
        <v>1.44272</v>
      </c>
      <c r="Z75" s="21">
        <v>14.7241</v>
      </c>
      <c r="AA75" s="21">
        <v>-1.34521E-2</v>
      </c>
      <c r="AB75" s="21">
        <v>65</v>
      </c>
      <c r="AC75" s="21">
        <v>1.4422600000000001</v>
      </c>
      <c r="AD75">
        <f t="shared" si="4"/>
        <v>16.607530864197528</v>
      </c>
      <c r="AE75">
        <f t="shared" si="5"/>
        <v>23.960016928395056</v>
      </c>
      <c r="AF75" s="9"/>
      <c r="AG75" s="21">
        <v>0.227356</v>
      </c>
      <c r="AH75" s="21">
        <v>18.482900000000001</v>
      </c>
      <c r="AI75" s="21">
        <v>-1.4572099999999999E-2</v>
      </c>
      <c r="AJ75" s="21">
        <v>65</v>
      </c>
      <c r="AK75" s="21">
        <v>0.22683700000000001</v>
      </c>
      <c r="AL75">
        <f t="shared" si="6"/>
        <v>17.990246913580243</v>
      </c>
      <c r="AM75">
        <f t="shared" si="7"/>
        <v>4.0901905772839502</v>
      </c>
      <c r="AP75" s="9"/>
      <c r="AQ75" s="21">
        <v>1.44272</v>
      </c>
      <c r="AR75" s="21">
        <v>23.976400000000002</v>
      </c>
      <c r="AS75" s="21">
        <v>-1.3473499999999999E-2</v>
      </c>
      <c r="AT75" s="21">
        <v>65</v>
      </c>
      <c r="AU75" s="21">
        <v>1.4422600000000001</v>
      </c>
      <c r="AV75">
        <f t="shared" si="8"/>
        <v>16.633950617283947</v>
      </c>
      <c r="AW75">
        <f t="shared" si="9"/>
        <v>23.998133234567895</v>
      </c>
      <c r="AX75" s="9"/>
      <c r="AY75" s="21">
        <v>0.227356</v>
      </c>
      <c r="AZ75" s="21">
        <v>27.735099999999999</v>
      </c>
      <c r="BA75" s="21">
        <v>-1.4590499999999999E-2</v>
      </c>
      <c r="BB75" s="21">
        <v>65</v>
      </c>
      <c r="BC75" s="21">
        <v>0.22686799999999999</v>
      </c>
      <c r="BD75">
        <f t="shared" si="10"/>
        <v>18.012962962962959</v>
      </c>
      <c r="BE75">
        <f t="shared" si="11"/>
        <v>4.0953552074074064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1.4376800000000001</v>
      </c>
      <c r="H76" s="21">
        <v>3.5379700000000001</v>
      </c>
      <c r="I76" s="21">
        <v>-1.362E-2</v>
      </c>
      <c r="J76" s="21">
        <v>66</v>
      </c>
      <c r="K76" s="21">
        <v>1.4370700000000001</v>
      </c>
      <c r="L76">
        <f t="shared" ref="L76:L139" si="12">-I76/$F$2*1000</f>
        <v>16.814814814814813</v>
      </c>
      <c r="M76">
        <f t="shared" ref="M76:M139" si="13">L76*G76</f>
        <v>24.174322962962961</v>
      </c>
      <c r="N76" s="9"/>
      <c r="O76" s="21">
        <v>0.23239099999999999</v>
      </c>
      <c r="P76" s="21">
        <v>7.2967300000000002</v>
      </c>
      <c r="Q76" s="21">
        <v>-1.47736E-2</v>
      </c>
      <c r="R76" s="21">
        <v>66</v>
      </c>
      <c r="S76" s="21">
        <v>0.231903</v>
      </c>
      <c r="T76">
        <f t="shared" ref="T76:T139" si="14">-Q76/$F$2*1000</f>
        <v>18.239012345679011</v>
      </c>
      <c r="U76">
        <f t="shared" ref="U76:U139" si="15">T76*O76</f>
        <v>4.2385823180246911</v>
      </c>
      <c r="X76" s="9"/>
      <c r="Y76" s="21">
        <v>1.4376800000000001</v>
      </c>
      <c r="Z76" s="21">
        <v>14.7342</v>
      </c>
      <c r="AA76" s="21">
        <v>-1.34796E-2</v>
      </c>
      <c r="AB76" s="21">
        <v>66</v>
      </c>
      <c r="AC76" s="21">
        <v>1.4367700000000001</v>
      </c>
      <c r="AD76">
        <f t="shared" ref="AD76:AD139" si="16">-AA76/$F$2*1000</f>
        <v>16.641481481481478</v>
      </c>
      <c r="AE76">
        <f t="shared" ref="AE76:AE139" si="17">AD76*Y76</f>
        <v>23.925125096296291</v>
      </c>
      <c r="AF76" s="9"/>
      <c r="AG76" s="21">
        <v>0.23239099999999999</v>
      </c>
      <c r="AH76" s="21">
        <v>18.492999999999999</v>
      </c>
      <c r="AI76" s="21">
        <v>-1.4566000000000001E-2</v>
      </c>
      <c r="AJ76" s="21">
        <v>66</v>
      </c>
      <c r="AK76" s="21">
        <v>0.231964</v>
      </c>
      <c r="AL76">
        <f t="shared" ref="AL76:AL139" si="18">-AI76/$F$2*1000</f>
        <v>17.982716049382717</v>
      </c>
      <c r="AM76">
        <f t="shared" ref="AM76:AM139" si="19">AL76*AG76</f>
        <v>4.1790213654320985</v>
      </c>
      <c r="AP76" s="9"/>
      <c r="AQ76" s="21">
        <v>1.4376800000000001</v>
      </c>
      <c r="AR76" s="21">
        <v>23.986499999999999</v>
      </c>
      <c r="AS76" s="21">
        <v>-1.3501000000000001E-2</v>
      </c>
      <c r="AT76" s="21">
        <v>66</v>
      </c>
      <c r="AU76" s="21">
        <v>1.4370700000000001</v>
      </c>
      <c r="AV76">
        <f t="shared" ref="AV76:AV139" si="20">-AS76/$F$2*1000</f>
        <v>16.667901234567903</v>
      </c>
      <c r="AW76">
        <f t="shared" ref="AW76:AW139" si="21">AV76*AQ76</f>
        <v>23.963108246913585</v>
      </c>
      <c r="AX76" s="9"/>
      <c r="AY76" s="21">
        <v>0.23239099999999999</v>
      </c>
      <c r="AZ76" s="21">
        <v>27.745200000000001</v>
      </c>
      <c r="BA76" s="21">
        <v>-1.4584400000000001E-2</v>
      </c>
      <c r="BB76" s="21">
        <v>66</v>
      </c>
      <c r="BC76" s="21">
        <v>0.231934</v>
      </c>
      <c r="BD76">
        <f t="shared" ref="BD76:BD139" si="22">-BA76/$F$2*1000</f>
        <v>18.005432098765432</v>
      </c>
      <c r="BE76">
        <f t="shared" ref="BE76:BE139" si="23">BD76*AY76</f>
        <v>4.1843003708641975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1.43265</v>
      </c>
      <c r="H77" s="21">
        <v>3.5480399999999999</v>
      </c>
      <c r="I77" s="21">
        <v>-1.36261E-2</v>
      </c>
      <c r="J77" s="21">
        <v>67</v>
      </c>
      <c r="K77" s="21">
        <v>1.4315800000000001</v>
      </c>
      <c r="L77">
        <f t="shared" si="12"/>
        <v>16.822345679012344</v>
      </c>
      <c r="M77">
        <f t="shared" si="13"/>
        <v>24.100533537037034</v>
      </c>
      <c r="N77" s="9"/>
      <c r="O77" s="21">
        <v>0.237427</v>
      </c>
      <c r="P77" s="21">
        <v>7.3068</v>
      </c>
      <c r="Q77" s="21">
        <v>-1.47736E-2</v>
      </c>
      <c r="R77" s="21">
        <v>67</v>
      </c>
      <c r="S77" s="21">
        <v>0.236786</v>
      </c>
      <c r="T77">
        <f t="shared" si="14"/>
        <v>18.239012345679011</v>
      </c>
      <c r="U77">
        <f t="shared" si="15"/>
        <v>4.3304339841975308</v>
      </c>
      <c r="X77" s="9"/>
      <c r="Y77" s="21">
        <v>1.43265</v>
      </c>
      <c r="Z77" s="21">
        <v>14.744300000000001</v>
      </c>
      <c r="AA77" s="21">
        <v>-1.3501000000000001E-2</v>
      </c>
      <c r="AB77" s="21">
        <v>67</v>
      </c>
      <c r="AC77" s="21">
        <v>1.4325000000000001</v>
      </c>
      <c r="AD77">
        <f t="shared" si="16"/>
        <v>16.667901234567903</v>
      </c>
      <c r="AE77">
        <f t="shared" si="17"/>
        <v>23.879268703703705</v>
      </c>
      <c r="AF77" s="9"/>
      <c r="AG77" s="21">
        <v>0.237427</v>
      </c>
      <c r="AH77" s="21">
        <v>18.5031</v>
      </c>
      <c r="AI77" s="21">
        <v>-1.45691E-2</v>
      </c>
      <c r="AJ77" s="21">
        <v>67</v>
      </c>
      <c r="AK77" s="21">
        <v>0.23693800000000001</v>
      </c>
      <c r="AL77">
        <f t="shared" si="18"/>
        <v>17.98654320987654</v>
      </c>
      <c r="AM77">
        <f t="shared" si="19"/>
        <v>4.2704909946913574</v>
      </c>
      <c r="AP77" s="9"/>
      <c r="AQ77" s="21">
        <v>1.43265</v>
      </c>
      <c r="AR77" s="21">
        <v>23.996500000000001</v>
      </c>
      <c r="AS77" s="21">
        <v>-1.3528399999999999E-2</v>
      </c>
      <c r="AT77" s="21">
        <v>67</v>
      </c>
      <c r="AU77" s="21">
        <v>1.43188</v>
      </c>
      <c r="AV77">
        <f t="shared" si="20"/>
        <v>16.701728395061725</v>
      </c>
      <c r="AW77">
        <f t="shared" si="21"/>
        <v>23.927731185185181</v>
      </c>
      <c r="AX77" s="9"/>
      <c r="AY77" s="21">
        <v>0.237427</v>
      </c>
      <c r="AZ77" s="21">
        <v>27.755299999999998</v>
      </c>
      <c r="BA77" s="21">
        <v>-1.4584400000000001E-2</v>
      </c>
      <c r="BB77" s="21">
        <v>67</v>
      </c>
      <c r="BC77" s="21">
        <v>0.23690800000000001</v>
      </c>
      <c r="BD77">
        <f t="shared" si="22"/>
        <v>18.005432098765432</v>
      </c>
      <c r="BE77">
        <f t="shared" si="23"/>
        <v>4.2749757269135804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1.42761</v>
      </c>
      <c r="H78" s="21">
        <v>3.5581100000000001</v>
      </c>
      <c r="I78" s="21">
        <v>-1.36414E-2</v>
      </c>
      <c r="J78" s="21">
        <v>68</v>
      </c>
      <c r="K78" s="21">
        <v>1.4267000000000001</v>
      </c>
      <c r="L78">
        <f t="shared" si="12"/>
        <v>16.841234567901232</v>
      </c>
      <c r="M78">
        <f t="shared" si="13"/>
        <v>24.04271488148148</v>
      </c>
      <c r="N78" s="9"/>
      <c r="O78" s="21">
        <v>0.24246200000000001</v>
      </c>
      <c r="P78" s="21">
        <v>7.3168699999999998</v>
      </c>
      <c r="Q78" s="21">
        <v>-1.47736E-2</v>
      </c>
      <c r="R78" s="21">
        <v>68</v>
      </c>
      <c r="S78" s="21">
        <v>0.24197399999999999</v>
      </c>
      <c r="T78">
        <f t="shared" si="14"/>
        <v>18.239012345679011</v>
      </c>
      <c r="U78">
        <f t="shared" si="15"/>
        <v>4.4222674113580247</v>
      </c>
      <c r="X78" s="9"/>
      <c r="Y78" s="21">
        <v>1.42761</v>
      </c>
      <c r="Z78" s="21">
        <v>14.7544</v>
      </c>
      <c r="AA78" s="21">
        <v>-1.35132E-2</v>
      </c>
      <c r="AB78" s="21">
        <v>68</v>
      </c>
      <c r="AC78" s="21">
        <v>1.427</v>
      </c>
      <c r="AD78">
        <f t="shared" si="16"/>
        <v>16.682962962962961</v>
      </c>
      <c r="AE78">
        <f t="shared" si="17"/>
        <v>23.816764755555553</v>
      </c>
      <c r="AF78" s="9"/>
      <c r="AG78" s="21">
        <v>0.24246200000000001</v>
      </c>
      <c r="AH78" s="21">
        <v>18.513100000000001</v>
      </c>
      <c r="AI78" s="21">
        <v>-1.45813E-2</v>
      </c>
      <c r="AJ78" s="21">
        <v>68</v>
      </c>
      <c r="AK78" s="21">
        <v>0.24197399999999999</v>
      </c>
      <c r="AL78">
        <f t="shared" si="18"/>
        <v>18.001604938271605</v>
      </c>
      <c r="AM78">
        <f t="shared" si="19"/>
        <v>4.3647051365432104</v>
      </c>
      <c r="AP78" s="9"/>
      <c r="AQ78" s="21">
        <v>1.42761</v>
      </c>
      <c r="AR78" s="21">
        <v>24.006599999999999</v>
      </c>
      <c r="AS78" s="21">
        <v>-1.3555899999999999E-2</v>
      </c>
      <c r="AT78" s="21">
        <v>68</v>
      </c>
      <c r="AU78" s="21">
        <v>1.427</v>
      </c>
      <c r="AV78">
        <f t="shared" si="20"/>
        <v>16.735679012345678</v>
      </c>
      <c r="AW78">
        <f t="shared" si="21"/>
        <v>23.892022714814814</v>
      </c>
      <c r="AX78" s="9"/>
      <c r="AY78" s="21">
        <v>0.24246200000000001</v>
      </c>
      <c r="AZ78" s="21">
        <v>27.7654</v>
      </c>
      <c r="BA78" s="21">
        <v>-1.4578199999999999E-2</v>
      </c>
      <c r="BB78" s="21">
        <v>68</v>
      </c>
      <c r="BC78" s="21">
        <v>0.24191299999999999</v>
      </c>
      <c r="BD78">
        <f t="shared" si="22"/>
        <v>17.997777777777777</v>
      </c>
      <c r="BE78">
        <f t="shared" si="23"/>
        <v>4.3637771955555555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1.42258</v>
      </c>
      <c r="H79" s="21">
        <v>3.5681799999999999</v>
      </c>
      <c r="I79" s="21">
        <v>-1.36627E-2</v>
      </c>
      <c r="J79" s="21">
        <v>69</v>
      </c>
      <c r="K79" s="21">
        <v>1.4221200000000001</v>
      </c>
      <c r="L79">
        <f t="shared" si="12"/>
        <v>16.86753086419753</v>
      </c>
      <c r="M79">
        <f t="shared" si="13"/>
        <v>23.995412056790123</v>
      </c>
      <c r="N79" s="9"/>
      <c r="O79" s="21">
        <v>0.247498</v>
      </c>
      <c r="P79" s="21">
        <v>7.3269399999999996</v>
      </c>
      <c r="Q79" s="21">
        <v>-1.47644E-2</v>
      </c>
      <c r="R79" s="21">
        <v>69</v>
      </c>
      <c r="S79" s="21">
        <v>0.246979</v>
      </c>
      <c r="T79">
        <f t="shared" si="14"/>
        <v>18.227654320987654</v>
      </c>
      <c r="U79">
        <f t="shared" si="15"/>
        <v>4.5113079891358021</v>
      </c>
      <c r="X79" s="9"/>
      <c r="Y79" s="21">
        <v>1.42258</v>
      </c>
      <c r="Z79" s="21">
        <v>14.7644</v>
      </c>
      <c r="AA79" s="21">
        <v>-1.3528399999999999E-2</v>
      </c>
      <c r="AB79" s="21">
        <v>69</v>
      </c>
      <c r="AC79" s="21">
        <v>1.42242</v>
      </c>
      <c r="AD79">
        <f t="shared" si="16"/>
        <v>16.701728395061725</v>
      </c>
      <c r="AE79">
        <f t="shared" si="17"/>
        <v>23.759544780246909</v>
      </c>
      <c r="AF79" s="9"/>
      <c r="AG79" s="21">
        <v>0.247498</v>
      </c>
      <c r="AH79" s="21">
        <v>18.523199999999999</v>
      </c>
      <c r="AI79" s="21">
        <v>-1.4590499999999999E-2</v>
      </c>
      <c r="AJ79" s="21">
        <v>69</v>
      </c>
      <c r="AK79" s="21">
        <v>0.24700900000000001</v>
      </c>
      <c r="AL79">
        <f t="shared" si="18"/>
        <v>18.012962962962959</v>
      </c>
      <c r="AM79">
        <f t="shared" si="19"/>
        <v>4.4581723074074064</v>
      </c>
      <c r="AP79" s="9"/>
      <c r="AQ79" s="21">
        <v>1.42258</v>
      </c>
      <c r="AR79" s="21">
        <v>24.0167</v>
      </c>
      <c r="AS79" s="21">
        <v>-1.35773E-2</v>
      </c>
      <c r="AT79" s="21">
        <v>69</v>
      </c>
      <c r="AU79" s="21">
        <v>1.42242</v>
      </c>
      <c r="AV79">
        <f t="shared" si="20"/>
        <v>16.7620987654321</v>
      </c>
      <c r="AW79">
        <f t="shared" si="21"/>
        <v>23.845426461728398</v>
      </c>
      <c r="AX79" s="9"/>
      <c r="AY79" s="21">
        <v>0.247498</v>
      </c>
      <c r="AZ79" s="21">
        <v>27.775400000000001</v>
      </c>
      <c r="BA79" s="21">
        <v>-1.4566000000000001E-2</v>
      </c>
      <c r="BB79" s="21">
        <v>69</v>
      </c>
      <c r="BC79" s="21">
        <v>0.246979</v>
      </c>
      <c r="BD79">
        <f t="shared" si="22"/>
        <v>17.982716049382717</v>
      </c>
      <c r="BE79">
        <f t="shared" si="23"/>
        <v>4.4506862567901235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1.41754</v>
      </c>
      <c r="H80" s="21">
        <v>3.5782500000000002</v>
      </c>
      <c r="I80" s="21">
        <v>-1.3687100000000001E-2</v>
      </c>
      <c r="J80" s="21">
        <v>70</v>
      </c>
      <c r="K80" s="21">
        <v>1.41693</v>
      </c>
      <c r="L80">
        <f t="shared" si="12"/>
        <v>16.897654320987655</v>
      </c>
      <c r="M80">
        <f t="shared" si="13"/>
        <v>23.953100906172843</v>
      </c>
      <c r="N80" s="9"/>
      <c r="O80" s="21">
        <v>0.25253300000000001</v>
      </c>
      <c r="P80" s="21">
        <v>7.3370199999999999</v>
      </c>
      <c r="Q80" s="21">
        <v>-1.4749099999999999E-2</v>
      </c>
      <c r="R80" s="21">
        <v>70</v>
      </c>
      <c r="S80" s="21">
        <v>0.25204500000000002</v>
      </c>
      <c r="T80">
        <f t="shared" si="14"/>
        <v>18.208765432098765</v>
      </c>
      <c r="U80">
        <f t="shared" si="15"/>
        <v>4.5983141608641978</v>
      </c>
      <c r="X80" s="9"/>
      <c r="Y80" s="21">
        <v>1.41754</v>
      </c>
      <c r="Z80" s="21">
        <v>14.7745</v>
      </c>
      <c r="AA80" s="21">
        <v>-1.3549800000000001E-2</v>
      </c>
      <c r="AB80" s="21">
        <v>70</v>
      </c>
      <c r="AC80" s="21">
        <v>1.4172400000000001</v>
      </c>
      <c r="AD80">
        <f t="shared" si="16"/>
        <v>16.728148148148147</v>
      </c>
      <c r="AE80">
        <f t="shared" si="17"/>
        <v>23.712819125925925</v>
      </c>
      <c r="AF80" s="9"/>
      <c r="AG80" s="21">
        <v>0.25253300000000001</v>
      </c>
      <c r="AH80" s="21">
        <v>18.533300000000001</v>
      </c>
      <c r="AI80" s="21">
        <v>-1.45966E-2</v>
      </c>
      <c r="AJ80" s="21">
        <v>70</v>
      </c>
      <c r="AK80" s="21">
        <v>0.25195299999999998</v>
      </c>
      <c r="AL80">
        <f t="shared" si="18"/>
        <v>18.020493827160493</v>
      </c>
      <c r="AM80">
        <f t="shared" si="19"/>
        <v>4.5507693676543211</v>
      </c>
      <c r="AP80" s="9"/>
      <c r="AQ80" s="21">
        <v>1.41754</v>
      </c>
      <c r="AR80" s="21">
        <v>24.026700000000002</v>
      </c>
      <c r="AS80" s="21">
        <v>-1.3598600000000001E-2</v>
      </c>
      <c r="AT80" s="21">
        <v>70</v>
      </c>
      <c r="AU80" s="21">
        <v>1.41693</v>
      </c>
      <c r="AV80">
        <f t="shared" si="20"/>
        <v>16.788395061728394</v>
      </c>
      <c r="AW80">
        <f t="shared" si="21"/>
        <v>23.798221535802469</v>
      </c>
      <c r="AX80" s="9"/>
      <c r="AY80" s="21">
        <v>0.25253300000000001</v>
      </c>
      <c r="AZ80" s="21">
        <v>27.785499999999999</v>
      </c>
      <c r="BA80" s="21">
        <v>-1.4556899999999999E-2</v>
      </c>
      <c r="BB80" s="21">
        <v>70</v>
      </c>
      <c r="BC80" s="21">
        <v>0.25198399999999999</v>
      </c>
      <c r="BD80">
        <f t="shared" si="22"/>
        <v>17.971481481481479</v>
      </c>
      <c r="BE80">
        <f t="shared" si="23"/>
        <v>4.5383921329629624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1.4125099999999999</v>
      </c>
      <c r="H81" s="21">
        <v>3.58832</v>
      </c>
      <c r="I81" s="21">
        <v>-1.37115E-2</v>
      </c>
      <c r="J81" s="21">
        <v>71</v>
      </c>
      <c r="K81" s="21">
        <v>1.41205</v>
      </c>
      <c r="L81">
        <f t="shared" si="12"/>
        <v>16.927777777777777</v>
      </c>
      <c r="M81">
        <f t="shared" si="13"/>
        <v>23.910655388888888</v>
      </c>
      <c r="N81" s="9"/>
      <c r="O81" s="21">
        <v>0.25756800000000002</v>
      </c>
      <c r="P81" s="21">
        <v>7.3470899999999997</v>
      </c>
      <c r="Q81" s="21">
        <v>-1.474E-2</v>
      </c>
      <c r="R81" s="21">
        <v>71</v>
      </c>
      <c r="S81" s="21">
        <v>0.257019</v>
      </c>
      <c r="T81">
        <f t="shared" si="14"/>
        <v>18.197530864197528</v>
      </c>
      <c r="U81">
        <f t="shared" si="15"/>
        <v>4.6871016296296295</v>
      </c>
      <c r="X81" s="9"/>
      <c r="Y81" s="21">
        <v>1.4125099999999999</v>
      </c>
      <c r="Z81" s="21">
        <v>14.784599999999999</v>
      </c>
      <c r="AA81" s="21">
        <v>-1.35712E-2</v>
      </c>
      <c r="AB81" s="21">
        <v>71</v>
      </c>
      <c r="AC81" s="21">
        <v>1.41174</v>
      </c>
      <c r="AD81">
        <f t="shared" si="16"/>
        <v>16.754567901234566</v>
      </c>
      <c r="AE81">
        <f t="shared" si="17"/>
        <v>23.665994706172835</v>
      </c>
      <c r="AF81" s="9"/>
      <c r="AG81" s="21">
        <v>0.25756800000000002</v>
      </c>
      <c r="AH81" s="21">
        <v>18.543299999999999</v>
      </c>
      <c r="AI81" s="21">
        <v>-1.4593500000000001E-2</v>
      </c>
      <c r="AJ81" s="21">
        <v>71</v>
      </c>
      <c r="AK81" s="21">
        <v>0.25707999999999998</v>
      </c>
      <c r="AL81">
        <f t="shared" si="18"/>
        <v>18.016666666666666</v>
      </c>
      <c r="AM81">
        <f t="shared" si="19"/>
        <v>4.6405168000000003</v>
      </c>
      <c r="AP81" s="9"/>
      <c r="AQ81" s="21">
        <v>1.4125099999999999</v>
      </c>
      <c r="AR81" s="21">
        <v>24.036799999999999</v>
      </c>
      <c r="AS81" s="21">
        <v>-1.3616899999999999E-2</v>
      </c>
      <c r="AT81" s="21">
        <v>71</v>
      </c>
      <c r="AU81" s="21">
        <v>1.41235</v>
      </c>
      <c r="AV81">
        <f t="shared" si="20"/>
        <v>16.810987654320986</v>
      </c>
      <c r="AW81">
        <f t="shared" si="21"/>
        <v>23.745688171604936</v>
      </c>
      <c r="AX81" s="9"/>
      <c r="AY81" s="21">
        <v>0.25756800000000002</v>
      </c>
      <c r="AZ81" s="21">
        <v>27.7956</v>
      </c>
      <c r="BA81" s="21">
        <v>-1.4550799999999999E-2</v>
      </c>
      <c r="BB81" s="21">
        <v>71</v>
      </c>
      <c r="BC81" s="21">
        <v>0.25707999999999998</v>
      </c>
      <c r="BD81">
        <f t="shared" si="22"/>
        <v>17.963950617283949</v>
      </c>
      <c r="BE81">
        <f t="shared" si="23"/>
        <v>4.6269388325925922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1.40747</v>
      </c>
      <c r="H82" s="21">
        <v>3.5983900000000002</v>
      </c>
      <c r="I82" s="21">
        <v>-1.3732899999999999E-2</v>
      </c>
      <c r="J82" s="21">
        <v>72</v>
      </c>
      <c r="K82" s="21">
        <v>1.40686</v>
      </c>
      <c r="L82">
        <f t="shared" si="12"/>
        <v>16.954197530864196</v>
      </c>
      <c r="M82">
        <f t="shared" si="13"/>
        <v>23.86252439876543</v>
      </c>
      <c r="N82" s="9"/>
      <c r="O82" s="21">
        <v>0.262604</v>
      </c>
      <c r="P82" s="21">
        <v>7.3571600000000004</v>
      </c>
      <c r="Q82" s="21">
        <v>-1.4733899999999999E-2</v>
      </c>
      <c r="R82" s="21">
        <v>72</v>
      </c>
      <c r="S82" s="21">
        <v>0.26205400000000001</v>
      </c>
      <c r="T82">
        <f t="shared" si="14"/>
        <v>18.189999999999998</v>
      </c>
      <c r="U82">
        <f t="shared" si="15"/>
        <v>4.7767667599999992</v>
      </c>
      <c r="X82" s="9"/>
      <c r="Y82" s="21">
        <v>1.40747</v>
      </c>
      <c r="Z82" s="21">
        <v>14.794600000000001</v>
      </c>
      <c r="AA82" s="21">
        <v>-1.3595599999999999E-2</v>
      </c>
      <c r="AB82" s="21">
        <v>72</v>
      </c>
      <c r="AC82" s="21">
        <v>1.40686</v>
      </c>
      <c r="AD82">
        <f t="shared" si="16"/>
        <v>16.784691358024691</v>
      </c>
      <c r="AE82">
        <f t="shared" si="17"/>
        <v>23.623949545679011</v>
      </c>
      <c r="AF82" s="9"/>
      <c r="AG82" s="21">
        <v>0.262604</v>
      </c>
      <c r="AH82" s="21">
        <v>18.5534</v>
      </c>
      <c r="AI82" s="21">
        <v>-1.4590499999999999E-2</v>
      </c>
      <c r="AJ82" s="21">
        <v>72</v>
      </c>
      <c r="AK82" s="21">
        <v>0.26205400000000001</v>
      </c>
      <c r="AL82">
        <f t="shared" si="18"/>
        <v>18.012962962962959</v>
      </c>
      <c r="AM82">
        <f t="shared" si="19"/>
        <v>4.7302761259259247</v>
      </c>
      <c r="AP82" s="9"/>
      <c r="AQ82" s="21">
        <v>1.40747</v>
      </c>
      <c r="AR82" s="21">
        <v>24.046900000000001</v>
      </c>
      <c r="AS82" s="21">
        <v>-1.3632200000000001E-2</v>
      </c>
      <c r="AT82" s="21">
        <v>72</v>
      </c>
      <c r="AU82" s="21">
        <v>1.40717</v>
      </c>
      <c r="AV82">
        <f t="shared" si="20"/>
        <v>16.829876543209878</v>
      </c>
      <c r="AW82">
        <f t="shared" si="21"/>
        <v>23.687546338271606</v>
      </c>
      <c r="AX82" s="9"/>
      <c r="AY82" s="21">
        <v>0.262604</v>
      </c>
      <c r="AZ82" s="21">
        <v>27.805599999999998</v>
      </c>
      <c r="BA82" s="21">
        <v>-1.45477E-2</v>
      </c>
      <c r="BB82" s="21">
        <v>72</v>
      </c>
      <c r="BC82" s="21">
        <v>0.26205400000000001</v>
      </c>
      <c r="BD82">
        <f t="shared" si="22"/>
        <v>17.960123456790122</v>
      </c>
      <c r="BE82">
        <f t="shared" si="23"/>
        <v>4.7164002602469131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1.4024399999999999</v>
      </c>
      <c r="H83" s="21">
        <v>3.60846</v>
      </c>
      <c r="I83" s="21">
        <v>-1.3754300000000001E-2</v>
      </c>
      <c r="J83" s="21">
        <v>73</v>
      </c>
      <c r="K83" s="21">
        <v>1.40228</v>
      </c>
      <c r="L83">
        <f t="shared" si="12"/>
        <v>16.980617283950615</v>
      </c>
      <c r="M83">
        <f t="shared" si="13"/>
        <v>23.814296903703699</v>
      </c>
      <c r="N83" s="9"/>
      <c r="O83" s="21">
        <v>0.26763900000000002</v>
      </c>
      <c r="P83" s="21">
        <v>7.3672300000000002</v>
      </c>
      <c r="Q83" s="21">
        <v>-1.47247E-2</v>
      </c>
      <c r="R83" s="21">
        <v>73</v>
      </c>
      <c r="S83" s="21">
        <v>0.26712000000000002</v>
      </c>
      <c r="T83">
        <f t="shared" si="14"/>
        <v>18.178641975308643</v>
      </c>
      <c r="U83">
        <f t="shared" si="15"/>
        <v>4.8653135596296302</v>
      </c>
      <c r="X83" s="9"/>
      <c r="Y83" s="21">
        <v>1.4024399999999999</v>
      </c>
      <c r="Z83" s="21">
        <v>14.8047</v>
      </c>
      <c r="AA83" s="21">
        <v>-1.36139E-2</v>
      </c>
      <c r="AB83" s="21">
        <v>73</v>
      </c>
      <c r="AC83" s="21">
        <v>1.40198</v>
      </c>
      <c r="AD83">
        <f t="shared" si="16"/>
        <v>16.807283950617283</v>
      </c>
      <c r="AE83">
        <f t="shared" si="17"/>
        <v>23.571207303703702</v>
      </c>
      <c r="AF83" s="9"/>
      <c r="AG83" s="21">
        <v>0.26763900000000002</v>
      </c>
      <c r="AH83" s="21">
        <v>18.563500000000001</v>
      </c>
      <c r="AI83" s="21">
        <v>-1.4584400000000001E-2</v>
      </c>
      <c r="AJ83" s="21">
        <v>73</v>
      </c>
      <c r="AK83" s="21">
        <v>0.26712000000000002</v>
      </c>
      <c r="AL83">
        <f t="shared" si="18"/>
        <v>18.005432098765432</v>
      </c>
      <c r="AM83">
        <f t="shared" si="19"/>
        <v>4.8189558414814817</v>
      </c>
      <c r="AP83" s="9"/>
      <c r="AQ83" s="21">
        <v>1.4024399999999999</v>
      </c>
      <c r="AR83" s="21">
        <v>24.056899999999999</v>
      </c>
      <c r="AS83" s="21">
        <v>-1.36475E-2</v>
      </c>
      <c r="AT83" s="21">
        <v>73</v>
      </c>
      <c r="AU83" s="21">
        <v>1.40167</v>
      </c>
      <c r="AV83">
        <f t="shared" si="20"/>
        <v>16.848765432098766</v>
      </c>
      <c r="AW83">
        <f t="shared" si="21"/>
        <v>23.629382592592592</v>
      </c>
      <c r="AX83" s="9"/>
      <c r="AY83" s="21">
        <v>0.26763900000000002</v>
      </c>
      <c r="AZ83" s="21">
        <v>27.8157</v>
      </c>
      <c r="BA83" s="21">
        <v>-1.45416E-2</v>
      </c>
      <c r="BB83" s="21">
        <v>73</v>
      </c>
      <c r="BC83" s="21">
        <v>0.26715100000000003</v>
      </c>
      <c r="BD83">
        <f t="shared" si="22"/>
        <v>17.952592592592595</v>
      </c>
      <c r="BE83">
        <f t="shared" si="23"/>
        <v>4.8048139288888896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1.3974</v>
      </c>
      <c r="H84" s="21">
        <v>3.6185299999999998</v>
      </c>
      <c r="I84" s="21">
        <v>-1.37634E-2</v>
      </c>
      <c r="J84" s="21">
        <v>74</v>
      </c>
      <c r="K84" s="21">
        <v>1.3970899999999999</v>
      </c>
      <c r="L84">
        <f t="shared" si="12"/>
        <v>16.991851851851852</v>
      </c>
      <c r="M84">
        <f t="shared" si="13"/>
        <v>23.744413777777776</v>
      </c>
      <c r="N84" s="9"/>
      <c r="O84" s="21">
        <v>0.272675</v>
      </c>
      <c r="P84" s="21">
        <v>7.3773</v>
      </c>
      <c r="Q84" s="21">
        <v>-1.47125E-2</v>
      </c>
      <c r="R84" s="21">
        <v>74</v>
      </c>
      <c r="S84" s="21">
        <v>0.27209499999999998</v>
      </c>
      <c r="T84">
        <f t="shared" si="14"/>
        <v>18.163580246913579</v>
      </c>
      <c r="U84">
        <f t="shared" si="15"/>
        <v>4.9527542438271599</v>
      </c>
      <c r="X84" s="9"/>
      <c r="Y84" s="21">
        <v>1.3974</v>
      </c>
      <c r="Z84" s="21">
        <v>14.8148</v>
      </c>
      <c r="AA84" s="21">
        <v>-1.3629199999999999E-2</v>
      </c>
      <c r="AB84" s="21">
        <v>74</v>
      </c>
      <c r="AC84" s="21">
        <v>1.39679</v>
      </c>
      <c r="AD84">
        <f t="shared" si="16"/>
        <v>16.826172839506171</v>
      </c>
      <c r="AE84">
        <f t="shared" si="17"/>
        <v>23.512893925925923</v>
      </c>
      <c r="AF84" s="9"/>
      <c r="AG84" s="21">
        <v>0.272675</v>
      </c>
      <c r="AH84" s="21">
        <v>18.573599999999999</v>
      </c>
      <c r="AI84" s="21">
        <v>-1.4584400000000001E-2</v>
      </c>
      <c r="AJ84" s="21">
        <v>74</v>
      </c>
      <c r="AK84" s="21">
        <v>0.27206399999999997</v>
      </c>
      <c r="AL84">
        <f t="shared" si="18"/>
        <v>18.005432098765432</v>
      </c>
      <c r="AM84">
        <f t="shared" si="19"/>
        <v>4.9096311975308646</v>
      </c>
      <c r="AP84" s="9"/>
      <c r="AQ84" s="21">
        <v>1.3974</v>
      </c>
      <c r="AR84" s="21">
        <v>24.067</v>
      </c>
      <c r="AS84" s="21">
        <v>-1.3665800000000001E-2</v>
      </c>
      <c r="AT84" s="21">
        <v>74</v>
      </c>
      <c r="AU84" s="21">
        <v>1.3964799999999999</v>
      </c>
      <c r="AV84">
        <f t="shared" si="20"/>
        <v>16.871358024691357</v>
      </c>
      <c r="AW84">
        <f t="shared" si="21"/>
        <v>23.576035703703702</v>
      </c>
      <c r="AX84" s="9"/>
      <c r="AY84" s="21">
        <v>0.272675</v>
      </c>
      <c r="AZ84" s="21">
        <v>27.825800000000001</v>
      </c>
      <c r="BA84" s="21">
        <v>-1.4544700000000001E-2</v>
      </c>
      <c r="BB84" s="21">
        <v>74</v>
      </c>
      <c r="BC84" s="21">
        <v>0.27212500000000001</v>
      </c>
      <c r="BD84">
        <f t="shared" si="22"/>
        <v>17.956419753086422</v>
      </c>
      <c r="BE84">
        <f t="shared" si="23"/>
        <v>4.8962667561728406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1.39236</v>
      </c>
      <c r="H85" s="21">
        <v>3.6286</v>
      </c>
      <c r="I85" s="21">
        <v>-1.37848E-2</v>
      </c>
      <c r="J85" s="21">
        <v>75</v>
      </c>
      <c r="K85" s="21">
        <v>1.3913</v>
      </c>
      <c r="L85">
        <f t="shared" si="12"/>
        <v>17.018271604938271</v>
      </c>
      <c r="M85">
        <f t="shared" si="13"/>
        <v>23.695560651851849</v>
      </c>
      <c r="N85" s="9"/>
      <c r="O85" s="21">
        <v>0.27771000000000001</v>
      </c>
      <c r="P85" s="21">
        <v>7.3873699999999998</v>
      </c>
      <c r="Q85" s="21">
        <v>-1.4700299999999999E-2</v>
      </c>
      <c r="R85" s="21">
        <v>75</v>
      </c>
      <c r="S85" s="21">
        <v>0.277252</v>
      </c>
      <c r="T85">
        <f t="shared" si="14"/>
        <v>18.148518518518514</v>
      </c>
      <c r="U85">
        <f t="shared" si="15"/>
        <v>5.0400250777777771</v>
      </c>
      <c r="X85" s="9"/>
      <c r="Y85" s="21">
        <v>1.39236</v>
      </c>
      <c r="Z85" s="21">
        <v>14.8249</v>
      </c>
      <c r="AA85" s="21">
        <v>-1.3644399999999999E-2</v>
      </c>
      <c r="AB85" s="21">
        <v>75</v>
      </c>
      <c r="AC85" s="21">
        <v>1.3913</v>
      </c>
      <c r="AD85">
        <f t="shared" si="16"/>
        <v>16.844938271604939</v>
      </c>
      <c r="AE85">
        <f t="shared" si="17"/>
        <v>23.454218251851852</v>
      </c>
      <c r="AF85" s="9"/>
      <c r="AG85" s="21">
        <v>0.27771000000000001</v>
      </c>
      <c r="AH85" s="21">
        <v>18.583600000000001</v>
      </c>
      <c r="AI85" s="21">
        <v>-1.4572099999999999E-2</v>
      </c>
      <c r="AJ85" s="21">
        <v>75</v>
      </c>
      <c r="AK85" s="21">
        <v>0.27722200000000002</v>
      </c>
      <c r="AL85">
        <f t="shared" si="18"/>
        <v>17.990246913580243</v>
      </c>
      <c r="AM85">
        <f t="shared" si="19"/>
        <v>4.9960714703703699</v>
      </c>
      <c r="AP85" s="9"/>
      <c r="AQ85" s="21">
        <v>1.39236</v>
      </c>
      <c r="AR85" s="21">
        <v>24.077100000000002</v>
      </c>
      <c r="AS85" s="21">
        <v>-1.3677999999999999E-2</v>
      </c>
      <c r="AT85" s="21">
        <v>75</v>
      </c>
      <c r="AU85" s="21">
        <v>1.3915999999999999</v>
      </c>
      <c r="AV85">
        <f t="shared" si="20"/>
        <v>16.886419753086418</v>
      </c>
      <c r="AW85">
        <f t="shared" si="21"/>
        <v>23.511975407407405</v>
      </c>
      <c r="AX85" s="9"/>
      <c r="AY85" s="21">
        <v>0.27771000000000001</v>
      </c>
      <c r="AZ85" s="21">
        <v>27.835899999999999</v>
      </c>
      <c r="BA85" s="21">
        <v>-1.4544700000000001E-2</v>
      </c>
      <c r="BB85" s="21">
        <v>75</v>
      </c>
      <c r="BC85" s="21">
        <v>0.277283</v>
      </c>
      <c r="BD85">
        <f t="shared" si="22"/>
        <v>17.956419753086422</v>
      </c>
      <c r="BE85">
        <f t="shared" si="23"/>
        <v>4.9866773296296305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1.38733</v>
      </c>
      <c r="H86" s="21">
        <v>3.6386799999999999</v>
      </c>
      <c r="I86" s="21">
        <v>-1.38E-2</v>
      </c>
      <c r="J86" s="21">
        <v>76</v>
      </c>
      <c r="K86" s="21">
        <v>1.38672</v>
      </c>
      <c r="L86">
        <f t="shared" si="12"/>
        <v>17.037037037037035</v>
      </c>
      <c r="M86">
        <f t="shared" si="13"/>
        <v>23.63599259259259</v>
      </c>
      <c r="N86" s="9"/>
      <c r="O86" s="21">
        <v>0.28274500000000002</v>
      </c>
      <c r="P86" s="21">
        <v>7.3974399999999996</v>
      </c>
      <c r="Q86" s="21">
        <v>-1.4694199999999999E-2</v>
      </c>
      <c r="R86" s="21">
        <v>76</v>
      </c>
      <c r="S86" s="21">
        <v>0.28228799999999998</v>
      </c>
      <c r="T86">
        <f t="shared" si="14"/>
        <v>18.140987654320988</v>
      </c>
      <c r="U86">
        <f t="shared" si="15"/>
        <v>5.1292735543209877</v>
      </c>
      <c r="X86" s="9"/>
      <c r="Y86" s="21">
        <v>1.38733</v>
      </c>
      <c r="Z86" s="21">
        <v>14.834899999999999</v>
      </c>
      <c r="AA86" s="21">
        <v>-1.36536E-2</v>
      </c>
      <c r="AB86" s="21">
        <v>76</v>
      </c>
      <c r="AC86" s="21">
        <v>1.3870199999999999</v>
      </c>
      <c r="AD86">
        <f t="shared" si="16"/>
        <v>16.856296296296296</v>
      </c>
      <c r="AE86">
        <f t="shared" si="17"/>
        <v>23.38524554074074</v>
      </c>
      <c r="AF86" s="9"/>
      <c r="AG86" s="21">
        <v>0.28274500000000002</v>
      </c>
      <c r="AH86" s="21">
        <v>18.593699999999998</v>
      </c>
      <c r="AI86" s="21">
        <v>-1.45752E-2</v>
      </c>
      <c r="AJ86" s="21">
        <v>76</v>
      </c>
      <c r="AK86" s="21">
        <v>0.28213500000000002</v>
      </c>
      <c r="AL86">
        <f t="shared" si="18"/>
        <v>17.994074074074071</v>
      </c>
      <c r="AM86">
        <f t="shared" si="19"/>
        <v>5.0877344740740735</v>
      </c>
      <c r="AP86" s="9"/>
      <c r="AQ86" s="21">
        <v>1.38733</v>
      </c>
      <c r="AR86" s="21">
        <v>24.087199999999999</v>
      </c>
      <c r="AS86" s="21">
        <v>-1.3681E-2</v>
      </c>
      <c r="AT86" s="21">
        <v>76</v>
      </c>
      <c r="AU86" s="21">
        <v>1.38672</v>
      </c>
      <c r="AV86">
        <f t="shared" si="20"/>
        <v>16.890123456790121</v>
      </c>
      <c r="AW86">
        <f t="shared" si="21"/>
        <v>23.432174975308637</v>
      </c>
      <c r="AX86" s="9"/>
      <c r="AY86" s="21">
        <v>0.28274500000000002</v>
      </c>
      <c r="AZ86" s="21">
        <v>27.8459</v>
      </c>
      <c r="BA86" s="21">
        <v>-1.45538E-2</v>
      </c>
      <c r="BB86" s="21">
        <v>76</v>
      </c>
      <c r="BC86" s="21">
        <v>0.28222700000000001</v>
      </c>
      <c r="BD86">
        <f t="shared" si="22"/>
        <v>17.967654320987652</v>
      </c>
      <c r="BE86">
        <f t="shared" si="23"/>
        <v>5.0802644209876542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1.38229</v>
      </c>
      <c r="H87" s="21">
        <v>3.6487500000000002</v>
      </c>
      <c r="I87" s="21">
        <v>-1.38184E-2</v>
      </c>
      <c r="J87" s="21">
        <v>77</v>
      </c>
      <c r="K87" s="21">
        <v>1.38184</v>
      </c>
      <c r="L87">
        <f t="shared" si="12"/>
        <v>17.05975308641975</v>
      </c>
      <c r="M87">
        <f t="shared" si="13"/>
        <v>23.581526093827158</v>
      </c>
      <c r="N87" s="9"/>
      <c r="O87" s="21">
        <v>0.28778100000000001</v>
      </c>
      <c r="P87" s="21">
        <v>7.4075100000000003</v>
      </c>
      <c r="Q87" s="21">
        <v>-1.46912E-2</v>
      </c>
      <c r="R87" s="21">
        <v>77</v>
      </c>
      <c r="S87" s="21">
        <v>0.28729199999999999</v>
      </c>
      <c r="T87">
        <f t="shared" si="14"/>
        <v>18.137283950617284</v>
      </c>
      <c r="U87">
        <f t="shared" si="15"/>
        <v>5.2195657125925932</v>
      </c>
      <c r="X87" s="9"/>
      <c r="Y87" s="21">
        <v>1.38229</v>
      </c>
      <c r="Z87" s="21">
        <v>14.845000000000001</v>
      </c>
      <c r="AA87" s="21">
        <v>-1.3671900000000001E-2</v>
      </c>
      <c r="AB87" s="21">
        <v>77</v>
      </c>
      <c r="AC87" s="21">
        <v>1.3815299999999999</v>
      </c>
      <c r="AD87">
        <f t="shared" si="16"/>
        <v>16.878888888888888</v>
      </c>
      <c r="AE87">
        <f t="shared" si="17"/>
        <v>23.331519322222221</v>
      </c>
      <c r="AF87" s="9"/>
      <c r="AG87" s="21">
        <v>0.28778100000000001</v>
      </c>
      <c r="AH87" s="21">
        <v>18.6038</v>
      </c>
      <c r="AI87" s="21">
        <v>-1.45691E-2</v>
      </c>
      <c r="AJ87" s="21">
        <v>77</v>
      </c>
      <c r="AK87" s="21">
        <v>0.28726200000000002</v>
      </c>
      <c r="AL87">
        <f t="shared" si="18"/>
        <v>17.98654320987654</v>
      </c>
      <c r="AM87">
        <f t="shared" si="19"/>
        <v>5.1761853914814804</v>
      </c>
      <c r="AP87" s="9"/>
      <c r="AQ87" s="21">
        <v>1.38229</v>
      </c>
      <c r="AR87" s="21">
        <v>24.097200000000001</v>
      </c>
      <c r="AS87" s="21">
        <v>-1.36963E-2</v>
      </c>
      <c r="AT87" s="21">
        <v>77</v>
      </c>
      <c r="AU87" s="21">
        <v>1.38184</v>
      </c>
      <c r="AV87">
        <f t="shared" si="20"/>
        <v>16.90901234567901</v>
      </c>
      <c r="AW87">
        <f t="shared" si="21"/>
        <v>23.373158675308638</v>
      </c>
      <c r="AX87" s="9"/>
      <c r="AY87" s="21">
        <v>0.28778100000000001</v>
      </c>
      <c r="AZ87" s="21">
        <v>27.856000000000002</v>
      </c>
      <c r="BA87" s="21">
        <v>-1.4566000000000001E-2</v>
      </c>
      <c r="BB87" s="21">
        <v>77</v>
      </c>
      <c r="BC87" s="21">
        <v>0.28716999999999998</v>
      </c>
      <c r="BD87">
        <f t="shared" si="22"/>
        <v>17.982716049382717</v>
      </c>
      <c r="BE87">
        <f t="shared" si="23"/>
        <v>5.175084007407408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1.3772599999999999</v>
      </c>
      <c r="H88" s="21">
        <v>3.65882</v>
      </c>
      <c r="I88" s="21">
        <v>-1.38245E-2</v>
      </c>
      <c r="J88" s="21">
        <v>78</v>
      </c>
      <c r="K88" s="21">
        <v>1.3763399999999999</v>
      </c>
      <c r="L88">
        <f t="shared" si="12"/>
        <v>17.067283950617281</v>
      </c>
      <c r="M88">
        <f t="shared" si="13"/>
        <v>23.506087493827156</v>
      </c>
      <c r="N88" s="9"/>
      <c r="O88" s="21">
        <v>0.29281600000000002</v>
      </c>
      <c r="P88" s="21">
        <v>7.4175800000000001</v>
      </c>
      <c r="Q88" s="21">
        <v>-1.4694199999999999E-2</v>
      </c>
      <c r="R88" s="21">
        <v>78</v>
      </c>
      <c r="S88" s="21">
        <v>0.292267</v>
      </c>
      <c r="T88">
        <f t="shared" si="14"/>
        <v>18.140987654320988</v>
      </c>
      <c r="U88">
        <f t="shared" si="15"/>
        <v>5.3119714409876551</v>
      </c>
      <c r="X88" s="9"/>
      <c r="Y88" s="21">
        <v>1.3772599999999999</v>
      </c>
      <c r="Z88" s="21">
        <v>14.8551</v>
      </c>
      <c r="AA88" s="21">
        <v>-1.3693200000000001E-2</v>
      </c>
      <c r="AB88" s="21">
        <v>78</v>
      </c>
      <c r="AC88" s="21">
        <v>1.3766499999999999</v>
      </c>
      <c r="AD88">
        <f t="shared" si="16"/>
        <v>16.905185185185186</v>
      </c>
      <c r="AE88">
        <f t="shared" si="17"/>
        <v>23.282835348148147</v>
      </c>
      <c r="AF88" s="9"/>
      <c r="AG88" s="21">
        <v>0.29281600000000002</v>
      </c>
      <c r="AH88" s="21">
        <v>18.613800000000001</v>
      </c>
      <c r="AI88" s="21">
        <v>-1.4563E-2</v>
      </c>
      <c r="AJ88" s="21">
        <v>78</v>
      </c>
      <c r="AK88" s="21">
        <v>0.29220600000000002</v>
      </c>
      <c r="AL88">
        <f t="shared" si="18"/>
        <v>17.979012345679013</v>
      </c>
      <c r="AM88">
        <f t="shared" si="19"/>
        <v>5.2645424790123467</v>
      </c>
      <c r="AP88" s="9"/>
      <c r="AQ88" s="21">
        <v>1.3772599999999999</v>
      </c>
      <c r="AR88" s="21">
        <v>24.107299999999999</v>
      </c>
      <c r="AS88" s="21">
        <v>-1.3720700000000001E-2</v>
      </c>
      <c r="AT88" s="21">
        <v>78</v>
      </c>
      <c r="AU88" s="21">
        <v>1.3766499999999999</v>
      </c>
      <c r="AV88">
        <f t="shared" si="20"/>
        <v>16.939135802469135</v>
      </c>
      <c r="AW88">
        <f t="shared" si="21"/>
        <v>23.329594175308639</v>
      </c>
      <c r="AX88" s="9"/>
      <c r="AY88" s="21">
        <v>0.29281600000000002</v>
      </c>
      <c r="AZ88" s="21">
        <v>27.866099999999999</v>
      </c>
      <c r="BA88" s="21">
        <v>-1.4572099999999999E-2</v>
      </c>
      <c r="BB88" s="21">
        <v>78</v>
      </c>
      <c r="BC88" s="21">
        <v>0.29217500000000002</v>
      </c>
      <c r="BD88">
        <f t="shared" si="22"/>
        <v>17.990246913580243</v>
      </c>
      <c r="BE88">
        <f t="shared" si="23"/>
        <v>5.267832140246913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1.37222</v>
      </c>
      <c r="H89" s="21">
        <v>3.6688900000000002</v>
      </c>
      <c r="I89" s="21">
        <v>-1.3842800000000001E-2</v>
      </c>
      <c r="J89" s="21">
        <v>79</v>
      </c>
      <c r="K89" s="21">
        <v>1.3711500000000001</v>
      </c>
      <c r="L89">
        <f t="shared" si="12"/>
        <v>17.089876543209876</v>
      </c>
      <c r="M89">
        <f t="shared" si="13"/>
        <v>23.451070390123455</v>
      </c>
      <c r="N89" s="9"/>
      <c r="O89" s="21">
        <v>0.29785200000000001</v>
      </c>
      <c r="P89" s="21">
        <v>7.4276499999999999</v>
      </c>
      <c r="Q89" s="21">
        <v>-1.47064E-2</v>
      </c>
      <c r="R89" s="21">
        <v>79</v>
      </c>
      <c r="S89" s="21">
        <v>0.29739399999999999</v>
      </c>
      <c r="T89">
        <f t="shared" si="14"/>
        <v>18.156049382716049</v>
      </c>
      <c r="U89">
        <f t="shared" si="15"/>
        <v>5.4078156207407408</v>
      </c>
      <c r="X89" s="9"/>
      <c r="Y89" s="21">
        <v>1.37222</v>
      </c>
      <c r="Z89" s="21">
        <v>14.8651</v>
      </c>
      <c r="AA89" s="21">
        <v>-1.37115E-2</v>
      </c>
      <c r="AB89" s="21">
        <v>79</v>
      </c>
      <c r="AC89" s="21">
        <v>1.3714599999999999</v>
      </c>
      <c r="AD89">
        <f t="shared" si="16"/>
        <v>16.927777777777777</v>
      </c>
      <c r="AE89">
        <f t="shared" si="17"/>
        <v>23.22863522222222</v>
      </c>
      <c r="AF89" s="9"/>
      <c r="AG89" s="21">
        <v>0.29785200000000001</v>
      </c>
      <c r="AH89" s="21">
        <v>18.623899999999999</v>
      </c>
      <c r="AI89" s="21">
        <v>-1.4563E-2</v>
      </c>
      <c r="AJ89" s="21">
        <v>79</v>
      </c>
      <c r="AK89" s="21">
        <v>0.29730200000000001</v>
      </c>
      <c r="AL89">
        <f t="shared" si="18"/>
        <v>17.979012345679013</v>
      </c>
      <c r="AM89">
        <f t="shared" si="19"/>
        <v>5.3550847851851859</v>
      </c>
      <c r="AP89" s="9"/>
      <c r="AQ89" s="21">
        <v>1.37222</v>
      </c>
      <c r="AR89" s="21">
        <v>24.1174</v>
      </c>
      <c r="AS89" s="21">
        <v>-1.3736E-2</v>
      </c>
      <c r="AT89" s="21">
        <v>79</v>
      </c>
      <c r="AU89" s="21">
        <v>1.3714599999999999</v>
      </c>
      <c r="AV89">
        <f t="shared" si="20"/>
        <v>16.958024691358023</v>
      </c>
      <c r="AW89">
        <f t="shared" si="21"/>
        <v>23.270140641975306</v>
      </c>
      <c r="AX89" s="9"/>
      <c r="AY89" s="21">
        <v>0.29785200000000001</v>
      </c>
      <c r="AZ89" s="21">
        <v>27.876100000000001</v>
      </c>
      <c r="BA89" s="21">
        <v>-1.45752E-2</v>
      </c>
      <c r="BB89" s="21">
        <v>79</v>
      </c>
      <c r="BC89" s="21">
        <v>0.29730200000000001</v>
      </c>
      <c r="BD89">
        <f t="shared" si="22"/>
        <v>17.994074074074071</v>
      </c>
      <c r="BE89">
        <f t="shared" si="23"/>
        <v>5.3595709511111105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1.3671899999999999</v>
      </c>
      <c r="H90" s="21">
        <v>3.67896</v>
      </c>
      <c r="I90" s="21">
        <v>-1.38733E-2</v>
      </c>
      <c r="J90" s="21">
        <v>80</v>
      </c>
      <c r="K90" s="21">
        <v>1.3665799999999999</v>
      </c>
      <c r="L90">
        <f t="shared" si="12"/>
        <v>17.127530864197528</v>
      </c>
      <c r="M90">
        <f t="shared" si="13"/>
        <v>23.416588922222218</v>
      </c>
      <c r="N90" s="9"/>
      <c r="O90" s="21">
        <v>0.30288700000000002</v>
      </c>
      <c r="P90" s="21">
        <v>7.4377300000000002</v>
      </c>
      <c r="Q90" s="21">
        <v>-1.47064E-2</v>
      </c>
      <c r="R90" s="21">
        <v>80</v>
      </c>
      <c r="S90" s="21">
        <v>0.302338</v>
      </c>
      <c r="T90">
        <f t="shared" si="14"/>
        <v>18.156049382716049</v>
      </c>
      <c r="U90">
        <f t="shared" si="15"/>
        <v>5.4992313293827157</v>
      </c>
      <c r="X90" s="9"/>
      <c r="Y90" s="21">
        <v>1.3671899999999999</v>
      </c>
      <c r="Z90" s="21">
        <v>14.8752</v>
      </c>
      <c r="AA90" s="21">
        <v>-1.3736E-2</v>
      </c>
      <c r="AB90" s="21">
        <v>80</v>
      </c>
      <c r="AC90" s="21">
        <v>1.3668800000000001</v>
      </c>
      <c r="AD90">
        <f t="shared" si="16"/>
        <v>16.958024691358023</v>
      </c>
      <c r="AE90">
        <f t="shared" si="17"/>
        <v>23.184841777777773</v>
      </c>
      <c r="AF90" s="9"/>
      <c r="AG90" s="21">
        <v>0.30288700000000002</v>
      </c>
      <c r="AH90" s="21">
        <v>18.634</v>
      </c>
      <c r="AI90" s="21">
        <v>-1.4550799999999999E-2</v>
      </c>
      <c r="AJ90" s="21">
        <v>80</v>
      </c>
      <c r="AK90" s="21">
        <v>0.30230699999999999</v>
      </c>
      <c r="AL90">
        <f t="shared" si="18"/>
        <v>17.963950617283949</v>
      </c>
      <c r="AM90">
        <f t="shared" si="19"/>
        <v>5.4410471106172835</v>
      </c>
      <c r="AP90" s="9"/>
      <c r="AQ90" s="21">
        <v>1.3671899999999999</v>
      </c>
      <c r="AR90" s="21">
        <v>24.127400000000002</v>
      </c>
      <c r="AS90" s="21">
        <v>-1.3754300000000001E-2</v>
      </c>
      <c r="AT90" s="21">
        <v>80</v>
      </c>
      <c r="AU90" s="21">
        <v>1.3665799999999999</v>
      </c>
      <c r="AV90">
        <f t="shared" si="20"/>
        <v>16.980617283950615</v>
      </c>
      <c r="AW90">
        <f t="shared" si="21"/>
        <v>23.215730144444439</v>
      </c>
      <c r="AX90" s="9"/>
      <c r="AY90" s="21">
        <v>0.30288700000000002</v>
      </c>
      <c r="AZ90" s="21">
        <v>27.886199999999999</v>
      </c>
      <c r="BA90" s="21">
        <v>-1.45691E-2</v>
      </c>
      <c r="BB90" s="21">
        <v>80</v>
      </c>
      <c r="BC90" s="21">
        <v>0.30236800000000003</v>
      </c>
      <c r="BD90">
        <f t="shared" si="22"/>
        <v>17.98654320987654</v>
      </c>
      <c r="BE90">
        <f t="shared" si="23"/>
        <v>5.4478901132098763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1.36215</v>
      </c>
      <c r="H91" s="21">
        <v>3.6890299999999998</v>
      </c>
      <c r="I91" s="21">
        <v>-1.39008E-2</v>
      </c>
      <c r="J91" s="21">
        <v>81</v>
      </c>
      <c r="K91" s="21">
        <v>1.3613900000000001</v>
      </c>
      <c r="L91">
        <f t="shared" si="12"/>
        <v>17.161481481481481</v>
      </c>
      <c r="M91">
        <f t="shared" si="13"/>
        <v>23.376511999999998</v>
      </c>
      <c r="N91" s="9"/>
      <c r="O91" s="21">
        <v>0.30792199999999997</v>
      </c>
      <c r="P91" s="21">
        <v>7.4478</v>
      </c>
      <c r="Q91" s="21">
        <v>-1.47034E-2</v>
      </c>
      <c r="R91" s="21">
        <v>81</v>
      </c>
      <c r="S91" s="21">
        <v>0.30740400000000001</v>
      </c>
      <c r="T91">
        <f t="shared" si="14"/>
        <v>18.152345679012342</v>
      </c>
      <c r="U91">
        <f t="shared" si="15"/>
        <v>5.5895065861728375</v>
      </c>
      <c r="X91" s="9"/>
      <c r="Y91" s="21">
        <v>1.36215</v>
      </c>
      <c r="Z91" s="21">
        <v>14.885300000000001</v>
      </c>
      <c r="AA91" s="21">
        <v>-1.37482E-2</v>
      </c>
      <c r="AB91" s="21">
        <v>81</v>
      </c>
      <c r="AC91" s="21">
        <v>1.3613900000000001</v>
      </c>
      <c r="AD91">
        <f t="shared" si="16"/>
        <v>16.973086419753084</v>
      </c>
      <c r="AE91">
        <f t="shared" si="17"/>
        <v>23.119889666666662</v>
      </c>
      <c r="AF91" s="9"/>
      <c r="AG91" s="21">
        <v>0.30792199999999997</v>
      </c>
      <c r="AH91" s="21">
        <v>18.643999999999998</v>
      </c>
      <c r="AI91" s="21">
        <v>-1.45477E-2</v>
      </c>
      <c r="AJ91" s="21">
        <v>81</v>
      </c>
      <c r="AK91" s="21">
        <v>0.30743399999999999</v>
      </c>
      <c r="AL91">
        <f t="shared" si="18"/>
        <v>17.960123456790122</v>
      </c>
      <c r="AM91">
        <f t="shared" si="19"/>
        <v>5.5303171350617273</v>
      </c>
      <c r="AP91" s="9"/>
      <c r="AQ91" s="21">
        <v>1.36215</v>
      </c>
      <c r="AR91" s="21">
        <v>24.137499999999999</v>
      </c>
      <c r="AS91" s="21">
        <v>-1.37787E-2</v>
      </c>
      <c r="AT91" s="21">
        <v>81</v>
      </c>
      <c r="AU91" s="21">
        <v>1.3613900000000001</v>
      </c>
      <c r="AV91">
        <f t="shared" si="20"/>
        <v>17.01074074074074</v>
      </c>
      <c r="AW91">
        <f t="shared" si="21"/>
        <v>23.171180499999998</v>
      </c>
      <c r="AX91" s="9"/>
      <c r="AY91" s="21">
        <v>0.30792199999999997</v>
      </c>
      <c r="AZ91" s="21">
        <v>27.8963</v>
      </c>
      <c r="BA91" s="21">
        <v>-1.4566000000000001E-2</v>
      </c>
      <c r="BB91" s="21">
        <v>81</v>
      </c>
      <c r="BC91" s="21">
        <v>0.30743399999999999</v>
      </c>
      <c r="BD91">
        <f t="shared" si="22"/>
        <v>17.982716049382717</v>
      </c>
      <c r="BE91">
        <f t="shared" si="23"/>
        <v>5.5372738913580246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1.3571200000000001</v>
      </c>
      <c r="H92" s="21">
        <v>3.6991000000000001</v>
      </c>
      <c r="I92" s="21">
        <v>-1.3913E-2</v>
      </c>
      <c r="J92" s="21">
        <v>82</v>
      </c>
      <c r="K92" s="21">
        <v>1.3568100000000001</v>
      </c>
      <c r="L92">
        <f t="shared" si="12"/>
        <v>17.176543209876542</v>
      </c>
      <c r="M92">
        <f t="shared" si="13"/>
        <v>23.310630320987652</v>
      </c>
      <c r="N92" s="9"/>
      <c r="O92" s="21">
        <v>0.31295800000000001</v>
      </c>
      <c r="P92" s="21">
        <v>7.4578699999999998</v>
      </c>
      <c r="Q92" s="21">
        <v>-1.4700299999999999E-2</v>
      </c>
      <c r="R92" s="21">
        <v>82</v>
      </c>
      <c r="S92" s="21">
        <v>0.31240800000000002</v>
      </c>
      <c r="T92">
        <f t="shared" si="14"/>
        <v>18.148518518518514</v>
      </c>
      <c r="U92">
        <f t="shared" si="15"/>
        <v>5.6797240585185174</v>
      </c>
      <c r="X92" s="9"/>
      <c r="Y92" s="21">
        <v>1.3571200000000001</v>
      </c>
      <c r="Z92" s="21">
        <v>14.8954</v>
      </c>
      <c r="AA92" s="21">
        <v>-1.37695E-2</v>
      </c>
      <c r="AB92" s="21">
        <v>82</v>
      </c>
      <c r="AC92" s="21">
        <v>1.3565100000000001</v>
      </c>
      <c r="AD92">
        <f t="shared" si="16"/>
        <v>16.999382716049382</v>
      </c>
      <c r="AE92">
        <f t="shared" si="17"/>
        <v>23.070202271604938</v>
      </c>
      <c r="AF92" s="9"/>
      <c r="AG92" s="21">
        <v>0.31295800000000001</v>
      </c>
      <c r="AH92" s="21">
        <v>18.6541</v>
      </c>
      <c r="AI92" s="21">
        <v>-1.4544700000000001E-2</v>
      </c>
      <c r="AJ92" s="21">
        <v>82</v>
      </c>
      <c r="AK92" s="21">
        <v>0.3125</v>
      </c>
      <c r="AL92">
        <f t="shared" si="18"/>
        <v>17.956419753086422</v>
      </c>
      <c r="AM92">
        <f t="shared" si="19"/>
        <v>5.6196052130864205</v>
      </c>
      <c r="AP92" s="9"/>
      <c r="AQ92" s="21">
        <v>1.3571200000000001</v>
      </c>
      <c r="AR92" s="21">
        <v>24.147600000000001</v>
      </c>
      <c r="AS92" s="21">
        <v>-1.37909E-2</v>
      </c>
      <c r="AT92" s="21">
        <v>82</v>
      </c>
      <c r="AU92" s="21">
        <v>1.3562000000000001</v>
      </c>
      <c r="AV92">
        <f t="shared" si="20"/>
        <v>17.025802469135801</v>
      </c>
      <c r="AW92">
        <f t="shared" si="21"/>
        <v>23.10605704691358</v>
      </c>
      <c r="AX92" s="9"/>
      <c r="AY92" s="21">
        <v>0.31295800000000001</v>
      </c>
      <c r="AZ92" s="21">
        <v>27.906300000000002</v>
      </c>
      <c r="BA92" s="21">
        <v>-1.4566000000000001E-2</v>
      </c>
      <c r="BB92" s="21">
        <v>82</v>
      </c>
      <c r="BC92" s="21">
        <v>0.31240800000000002</v>
      </c>
      <c r="BD92">
        <f t="shared" si="22"/>
        <v>17.982716049382717</v>
      </c>
      <c r="BE92">
        <f t="shared" si="23"/>
        <v>5.6278348493827162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1.3520799999999999</v>
      </c>
      <c r="H93" s="21">
        <v>3.7091699999999999</v>
      </c>
      <c r="I93" s="21">
        <v>-1.39221E-2</v>
      </c>
      <c r="J93" s="21">
        <v>83</v>
      </c>
      <c r="K93" s="21">
        <v>1.3513200000000001</v>
      </c>
      <c r="L93">
        <f t="shared" si="12"/>
        <v>17.187777777777779</v>
      </c>
      <c r="M93">
        <f t="shared" si="13"/>
        <v>23.239250577777778</v>
      </c>
      <c r="N93" s="9"/>
      <c r="O93" s="21">
        <v>0.31799300000000003</v>
      </c>
      <c r="P93" s="21">
        <v>7.4679399999999996</v>
      </c>
      <c r="Q93" s="21">
        <v>-1.47034E-2</v>
      </c>
      <c r="R93" s="21">
        <v>83</v>
      </c>
      <c r="S93" s="21">
        <v>0.31750499999999998</v>
      </c>
      <c r="T93">
        <f t="shared" si="14"/>
        <v>18.152345679012342</v>
      </c>
      <c r="U93">
        <f t="shared" si="15"/>
        <v>5.7723188595061723</v>
      </c>
      <c r="X93" s="9"/>
      <c r="Y93" s="21">
        <v>1.3520799999999999</v>
      </c>
      <c r="Z93" s="21">
        <v>14.9054</v>
      </c>
      <c r="AA93" s="21">
        <v>-1.3787799999999999E-2</v>
      </c>
      <c r="AB93" s="21">
        <v>83</v>
      </c>
      <c r="AC93" s="21">
        <v>1.3513200000000001</v>
      </c>
      <c r="AD93">
        <f t="shared" si="16"/>
        <v>17.021975308641974</v>
      </c>
      <c r="AE93">
        <f t="shared" si="17"/>
        <v>23.015072375308637</v>
      </c>
      <c r="AF93" s="9"/>
      <c r="AG93" s="21">
        <v>0.31799300000000003</v>
      </c>
      <c r="AH93" s="21">
        <v>18.664200000000001</v>
      </c>
      <c r="AI93" s="21">
        <v>-1.45386E-2</v>
      </c>
      <c r="AJ93" s="21">
        <v>83</v>
      </c>
      <c r="AK93" s="21">
        <v>0.317444</v>
      </c>
      <c r="AL93">
        <f t="shared" si="18"/>
        <v>17.948888888888888</v>
      </c>
      <c r="AM93">
        <f t="shared" si="19"/>
        <v>5.7076210244444443</v>
      </c>
      <c r="AP93" s="9"/>
      <c r="AQ93" s="21">
        <v>1.3520799999999999</v>
      </c>
      <c r="AR93" s="21">
        <v>24.157699999999998</v>
      </c>
      <c r="AS93" s="21">
        <v>-1.3797E-2</v>
      </c>
      <c r="AT93" s="21">
        <v>83</v>
      </c>
      <c r="AU93" s="21">
        <v>1.35162</v>
      </c>
      <c r="AV93">
        <f t="shared" si="20"/>
        <v>17.033333333333331</v>
      </c>
      <c r="AW93">
        <f t="shared" si="21"/>
        <v>23.030429333333331</v>
      </c>
      <c r="AX93" s="9"/>
      <c r="AY93" s="21">
        <v>0.31799300000000003</v>
      </c>
      <c r="AZ93" s="21">
        <v>27.916399999999999</v>
      </c>
      <c r="BA93" s="21">
        <v>-1.45752E-2</v>
      </c>
      <c r="BB93" s="21">
        <v>83</v>
      </c>
      <c r="BC93" s="21">
        <v>0.31750499999999998</v>
      </c>
      <c r="BD93">
        <f t="shared" si="22"/>
        <v>17.994074074074071</v>
      </c>
      <c r="BE93">
        <f t="shared" si="23"/>
        <v>5.7219895970370365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1.3470500000000001</v>
      </c>
      <c r="H94" s="21">
        <v>3.7192400000000001</v>
      </c>
      <c r="I94" s="21">
        <v>-1.39343E-2</v>
      </c>
      <c r="J94" s="21">
        <v>84</v>
      </c>
      <c r="K94" s="21">
        <v>1.34613</v>
      </c>
      <c r="L94">
        <f t="shared" si="12"/>
        <v>17.202839506172836</v>
      </c>
      <c r="M94">
        <f t="shared" si="13"/>
        <v>23.17308495679012</v>
      </c>
      <c r="N94" s="9"/>
      <c r="O94" s="21">
        <v>0.32302900000000001</v>
      </c>
      <c r="P94" s="21">
        <v>7.4780100000000003</v>
      </c>
      <c r="Q94" s="21">
        <v>-1.46973E-2</v>
      </c>
      <c r="R94" s="21">
        <v>84</v>
      </c>
      <c r="S94" s="21">
        <v>0.32260100000000003</v>
      </c>
      <c r="T94">
        <f t="shared" si="14"/>
        <v>18.144814814814815</v>
      </c>
      <c r="U94">
        <f t="shared" si="15"/>
        <v>5.8613013848148148</v>
      </c>
      <c r="X94" s="9"/>
      <c r="Y94" s="21">
        <v>1.3470500000000001</v>
      </c>
      <c r="Z94" s="21">
        <v>14.9155</v>
      </c>
      <c r="AA94" s="21">
        <v>-1.3797E-2</v>
      </c>
      <c r="AB94" s="21">
        <v>84</v>
      </c>
      <c r="AC94" s="21">
        <v>1.3464400000000001</v>
      </c>
      <c r="AD94">
        <f t="shared" si="16"/>
        <v>17.033333333333331</v>
      </c>
      <c r="AE94">
        <f t="shared" si="17"/>
        <v>22.944751666666665</v>
      </c>
      <c r="AF94" s="9"/>
      <c r="AG94" s="21">
        <v>0.32302900000000001</v>
      </c>
      <c r="AH94" s="21">
        <v>18.674299999999999</v>
      </c>
      <c r="AI94" s="21">
        <v>-1.45325E-2</v>
      </c>
      <c r="AJ94" s="21">
        <v>84</v>
      </c>
      <c r="AK94" s="21">
        <v>0.32247900000000002</v>
      </c>
      <c r="AL94">
        <f t="shared" si="18"/>
        <v>17.941358024691358</v>
      </c>
      <c r="AM94">
        <f t="shared" si="19"/>
        <v>5.7955789413580243</v>
      </c>
      <c r="AP94" s="9"/>
      <c r="AQ94" s="21">
        <v>1.3470500000000001</v>
      </c>
      <c r="AR94" s="21">
        <v>24.1677</v>
      </c>
      <c r="AS94" s="21">
        <v>-1.38031E-2</v>
      </c>
      <c r="AT94" s="21">
        <v>84</v>
      </c>
      <c r="AU94" s="21">
        <v>1.34674</v>
      </c>
      <c r="AV94">
        <f t="shared" si="20"/>
        <v>17.040864197530862</v>
      </c>
      <c r="AW94">
        <f t="shared" si="21"/>
        <v>22.954896117283948</v>
      </c>
      <c r="AX94" s="9"/>
      <c r="AY94" s="21">
        <v>0.32302900000000001</v>
      </c>
      <c r="AZ94" s="21">
        <v>27.926500000000001</v>
      </c>
      <c r="BA94" s="21">
        <v>-1.45813E-2</v>
      </c>
      <c r="BB94" s="21">
        <v>84</v>
      </c>
      <c r="BC94" s="21">
        <v>0.32260100000000003</v>
      </c>
      <c r="BD94">
        <f t="shared" si="22"/>
        <v>18.001604938271605</v>
      </c>
      <c r="BE94">
        <f t="shared" si="23"/>
        <v>5.8150404416049382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1.3420099999999999</v>
      </c>
      <c r="H95" s="21">
        <v>3.7293099999999999</v>
      </c>
      <c r="I95" s="21">
        <v>-1.3946500000000001E-2</v>
      </c>
      <c r="J95" s="21">
        <v>85</v>
      </c>
      <c r="K95" s="21">
        <v>1.3406400000000001</v>
      </c>
      <c r="L95">
        <f t="shared" si="12"/>
        <v>17.217901234567901</v>
      </c>
      <c r="M95">
        <f t="shared" si="13"/>
        <v>23.106595635802467</v>
      </c>
      <c r="N95" s="9"/>
      <c r="O95" s="21">
        <v>0.32806400000000002</v>
      </c>
      <c r="P95" s="21">
        <v>7.4880800000000001</v>
      </c>
      <c r="Q95" s="21">
        <v>-1.4682000000000001E-2</v>
      </c>
      <c r="R95" s="21">
        <v>85</v>
      </c>
      <c r="S95" s="21">
        <v>0.32739299999999999</v>
      </c>
      <c r="T95">
        <f t="shared" si="14"/>
        <v>18.125925925925923</v>
      </c>
      <c r="U95">
        <f t="shared" si="15"/>
        <v>5.9464637629629626</v>
      </c>
      <c r="X95" s="9"/>
      <c r="Y95" s="21">
        <v>1.3420099999999999</v>
      </c>
      <c r="Z95" s="21">
        <v>14.925599999999999</v>
      </c>
      <c r="AA95" s="21">
        <v>-1.3809200000000001E-2</v>
      </c>
      <c r="AB95" s="21">
        <v>85</v>
      </c>
      <c r="AC95" s="21">
        <v>1.3418600000000001</v>
      </c>
      <c r="AD95">
        <f t="shared" si="16"/>
        <v>17.048395061728392</v>
      </c>
      <c r="AE95">
        <f t="shared" si="17"/>
        <v>22.879116656790117</v>
      </c>
      <c r="AF95" s="9"/>
      <c r="AG95" s="21">
        <v>0.32806400000000002</v>
      </c>
      <c r="AH95" s="21">
        <v>18.6843</v>
      </c>
      <c r="AI95" s="21">
        <v>-1.45294E-2</v>
      </c>
      <c r="AJ95" s="21">
        <v>85</v>
      </c>
      <c r="AK95" s="21">
        <v>0.32745400000000002</v>
      </c>
      <c r="AL95">
        <f t="shared" si="18"/>
        <v>17.93753086419753</v>
      </c>
      <c r="AM95">
        <f t="shared" si="19"/>
        <v>5.8846581254320993</v>
      </c>
      <c r="AP95" s="9"/>
      <c r="AQ95" s="21">
        <v>1.3420099999999999</v>
      </c>
      <c r="AR95" s="21">
        <v>24.177800000000001</v>
      </c>
      <c r="AS95" s="21">
        <v>-1.3809200000000001E-2</v>
      </c>
      <c r="AT95" s="21">
        <v>85</v>
      </c>
      <c r="AU95" s="21">
        <v>1.3418600000000001</v>
      </c>
      <c r="AV95">
        <f t="shared" si="20"/>
        <v>17.048395061728392</v>
      </c>
      <c r="AW95">
        <f t="shared" si="21"/>
        <v>22.879116656790117</v>
      </c>
      <c r="AX95" s="9"/>
      <c r="AY95" s="21">
        <v>0.32806400000000002</v>
      </c>
      <c r="AZ95" s="21">
        <v>27.936599999999999</v>
      </c>
      <c r="BA95" s="21">
        <v>-1.45691E-2</v>
      </c>
      <c r="BB95" s="21">
        <v>85</v>
      </c>
      <c r="BC95" s="21">
        <v>0.32763700000000001</v>
      </c>
      <c r="BD95">
        <f t="shared" si="22"/>
        <v>17.98654320987654</v>
      </c>
      <c r="BE95">
        <f t="shared" si="23"/>
        <v>5.9007373116049378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1.3369800000000001</v>
      </c>
      <c r="H96" s="21">
        <v>3.7393900000000002</v>
      </c>
      <c r="I96" s="21">
        <v>-1.39557E-2</v>
      </c>
      <c r="J96" s="21">
        <v>86</v>
      </c>
      <c r="K96" s="21">
        <v>1.33636</v>
      </c>
      <c r="L96">
        <f t="shared" si="12"/>
        <v>17.229259259259258</v>
      </c>
      <c r="M96">
        <f t="shared" si="13"/>
        <v>23.035175044444443</v>
      </c>
      <c r="N96" s="9"/>
      <c r="O96" s="21">
        <v>0.33309899999999998</v>
      </c>
      <c r="P96" s="21">
        <v>7.4981499999999999</v>
      </c>
      <c r="Q96" s="21">
        <v>-1.46667E-2</v>
      </c>
      <c r="R96" s="21">
        <v>86</v>
      </c>
      <c r="S96" s="21">
        <v>0.33264199999999999</v>
      </c>
      <c r="T96">
        <f t="shared" si="14"/>
        <v>18.107037037037035</v>
      </c>
      <c r="U96">
        <f t="shared" si="15"/>
        <v>6.0314359299999989</v>
      </c>
      <c r="X96" s="9"/>
      <c r="Y96" s="21">
        <v>1.3369800000000001</v>
      </c>
      <c r="Z96" s="21">
        <v>14.935600000000001</v>
      </c>
      <c r="AA96" s="21">
        <v>-1.38123E-2</v>
      </c>
      <c r="AB96" s="21">
        <v>86</v>
      </c>
      <c r="AC96" s="21">
        <v>1.33636</v>
      </c>
      <c r="AD96">
        <f t="shared" si="16"/>
        <v>17.052222222222223</v>
      </c>
      <c r="AE96">
        <f t="shared" si="17"/>
        <v>22.79848006666667</v>
      </c>
      <c r="AF96" s="9"/>
      <c r="AG96" s="21">
        <v>0.33309899999999998</v>
      </c>
      <c r="AH96" s="21">
        <v>18.694400000000002</v>
      </c>
      <c r="AI96" s="21">
        <v>-1.45294E-2</v>
      </c>
      <c r="AJ96" s="21">
        <v>86</v>
      </c>
      <c r="AK96" s="21">
        <v>0.33264199999999999</v>
      </c>
      <c r="AL96">
        <f t="shared" si="18"/>
        <v>17.93753086419753</v>
      </c>
      <c r="AM96">
        <f t="shared" si="19"/>
        <v>5.974973593333333</v>
      </c>
      <c r="AP96" s="9"/>
      <c r="AQ96" s="21">
        <v>1.3369800000000001</v>
      </c>
      <c r="AR96" s="21">
        <v>24.187899999999999</v>
      </c>
      <c r="AS96" s="21">
        <v>-1.3821399999999999E-2</v>
      </c>
      <c r="AT96" s="21">
        <v>86</v>
      </c>
      <c r="AU96" s="21">
        <v>1.33575</v>
      </c>
      <c r="AV96">
        <f t="shared" si="20"/>
        <v>17.063456790123453</v>
      </c>
      <c r="AW96">
        <f t="shared" si="21"/>
        <v>22.813500459259256</v>
      </c>
      <c r="AX96" s="9"/>
      <c r="AY96" s="21">
        <v>0.33309899999999998</v>
      </c>
      <c r="AZ96" s="21">
        <v>27.9466</v>
      </c>
      <c r="BA96" s="21">
        <v>-1.4572099999999999E-2</v>
      </c>
      <c r="BB96" s="21">
        <v>86</v>
      </c>
      <c r="BC96" s="21">
        <v>0.33255000000000001</v>
      </c>
      <c r="BD96">
        <f t="shared" si="22"/>
        <v>17.990246913580243</v>
      </c>
      <c r="BE96">
        <f t="shared" si="23"/>
        <v>5.9925332566666647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1.3319399999999999</v>
      </c>
      <c r="H97" s="21">
        <v>3.74946</v>
      </c>
      <c r="I97" s="21">
        <v>-1.39679E-2</v>
      </c>
      <c r="J97" s="21">
        <v>87</v>
      </c>
      <c r="K97" s="21">
        <v>1.33118</v>
      </c>
      <c r="L97">
        <f t="shared" si="12"/>
        <v>17.244320987654319</v>
      </c>
      <c r="M97">
        <f t="shared" si="13"/>
        <v>22.968400896296291</v>
      </c>
      <c r="N97" s="9"/>
      <c r="O97" s="21">
        <v>0.33813500000000002</v>
      </c>
      <c r="P97" s="21">
        <v>7.5082199999999997</v>
      </c>
      <c r="Q97" s="21">
        <v>-1.4654500000000001E-2</v>
      </c>
      <c r="R97" s="21">
        <v>87</v>
      </c>
      <c r="S97" s="21">
        <v>0.33755499999999999</v>
      </c>
      <c r="T97">
        <f t="shared" si="14"/>
        <v>18.091975308641977</v>
      </c>
      <c r="U97">
        <f t="shared" si="15"/>
        <v>6.1175300709876552</v>
      </c>
      <c r="X97" s="9"/>
      <c r="Y97" s="21">
        <v>1.3319399999999999</v>
      </c>
      <c r="Z97" s="21">
        <v>14.9457</v>
      </c>
      <c r="AA97" s="21">
        <v>-1.38245E-2</v>
      </c>
      <c r="AB97" s="21">
        <v>87</v>
      </c>
      <c r="AC97" s="21">
        <v>1.33087</v>
      </c>
      <c r="AD97">
        <f t="shared" si="16"/>
        <v>17.067283950617281</v>
      </c>
      <c r="AE97">
        <f t="shared" si="17"/>
        <v>22.732598185185179</v>
      </c>
      <c r="AF97" s="9"/>
      <c r="AG97" s="21">
        <v>0.33813500000000002</v>
      </c>
      <c r="AH97" s="21">
        <v>18.704499999999999</v>
      </c>
      <c r="AI97" s="21">
        <v>-1.4523299999999999E-2</v>
      </c>
      <c r="AJ97" s="21">
        <v>87</v>
      </c>
      <c r="AK97" s="21">
        <v>0.337646</v>
      </c>
      <c r="AL97">
        <f t="shared" si="18"/>
        <v>17.93</v>
      </c>
      <c r="AM97">
        <f t="shared" si="19"/>
        <v>6.0627605500000001</v>
      </c>
      <c r="AP97" s="9"/>
      <c r="AQ97" s="21">
        <v>1.3319399999999999</v>
      </c>
      <c r="AR97" s="21">
        <v>24.197900000000001</v>
      </c>
      <c r="AS97" s="21">
        <v>-1.38336E-2</v>
      </c>
      <c r="AT97" s="21">
        <v>87</v>
      </c>
      <c r="AU97" s="21">
        <v>1.33148</v>
      </c>
      <c r="AV97">
        <f t="shared" si="20"/>
        <v>17.078518518518518</v>
      </c>
      <c r="AW97">
        <f t="shared" si="21"/>
        <v>22.747561955555554</v>
      </c>
      <c r="AX97" s="9"/>
      <c r="AY97" s="21">
        <v>0.33813500000000002</v>
      </c>
      <c r="AZ97" s="21">
        <v>27.956700000000001</v>
      </c>
      <c r="BA97" s="21">
        <v>-1.4566000000000001E-2</v>
      </c>
      <c r="BB97" s="21">
        <v>87</v>
      </c>
      <c r="BC97" s="21">
        <v>0.33761600000000003</v>
      </c>
      <c r="BD97">
        <f t="shared" si="22"/>
        <v>17.982716049382717</v>
      </c>
      <c r="BE97">
        <f t="shared" si="23"/>
        <v>6.0805856913580252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1.3269</v>
      </c>
      <c r="H98" s="21">
        <v>3.7595299999999998</v>
      </c>
      <c r="I98" s="21">
        <v>-1.3986200000000001E-2</v>
      </c>
      <c r="J98" s="21">
        <v>88</v>
      </c>
      <c r="K98" s="21">
        <v>1.32599</v>
      </c>
      <c r="L98">
        <f t="shared" si="12"/>
        <v>17.266913580246914</v>
      </c>
      <c r="M98">
        <f t="shared" si="13"/>
        <v>22.91146762962963</v>
      </c>
      <c r="N98" s="9"/>
      <c r="O98" s="21">
        <v>0.34316999999999998</v>
      </c>
      <c r="P98" s="21">
        <v>7.5182900000000004</v>
      </c>
      <c r="Q98" s="21">
        <v>-1.4645399999999999E-2</v>
      </c>
      <c r="R98" s="21">
        <v>88</v>
      </c>
      <c r="S98" s="21">
        <v>0.342499</v>
      </c>
      <c r="T98">
        <f t="shared" si="14"/>
        <v>18.080740740740737</v>
      </c>
      <c r="U98">
        <f t="shared" si="15"/>
        <v>6.2047677999999982</v>
      </c>
      <c r="X98" s="9"/>
      <c r="Y98" s="21">
        <v>1.3269</v>
      </c>
      <c r="Z98" s="21">
        <v>14.9558</v>
      </c>
      <c r="AA98" s="21">
        <v>-1.38336E-2</v>
      </c>
      <c r="AB98" s="21">
        <v>88</v>
      </c>
      <c r="AC98" s="21">
        <v>1.32629</v>
      </c>
      <c r="AD98">
        <f t="shared" si="16"/>
        <v>17.078518518518518</v>
      </c>
      <c r="AE98">
        <f t="shared" si="17"/>
        <v>22.661486222222219</v>
      </c>
      <c r="AF98" s="9"/>
      <c r="AG98" s="21">
        <v>0.34316999999999998</v>
      </c>
      <c r="AH98" s="21">
        <v>18.714500000000001</v>
      </c>
      <c r="AI98" s="21">
        <v>-1.45203E-2</v>
      </c>
      <c r="AJ98" s="21">
        <v>88</v>
      </c>
      <c r="AK98" s="21">
        <v>0.34259000000000001</v>
      </c>
      <c r="AL98">
        <f t="shared" si="18"/>
        <v>17.926296296296293</v>
      </c>
      <c r="AM98">
        <f t="shared" si="19"/>
        <v>6.151767099999998</v>
      </c>
      <c r="AP98" s="9"/>
      <c r="AQ98" s="21">
        <v>1.3269</v>
      </c>
      <c r="AR98" s="21">
        <v>24.207999999999998</v>
      </c>
      <c r="AS98" s="21">
        <v>-1.3848900000000001E-2</v>
      </c>
      <c r="AT98" s="21">
        <v>88</v>
      </c>
      <c r="AU98" s="21">
        <v>1.32629</v>
      </c>
      <c r="AV98">
        <f t="shared" si="20"/>
        <v>17.09740740740741</v>
      </c>
      <c r="AW98">
        <f t="shared" si="21"/>
        <v>22.686549888888891</v>
      </c>
      <c r="AX98" s="9"/>
      <c r="AY98" s="21">
        <v>0.34316999999999998</v>
      </c>
      <c r="AZ98" s="21">
        <v>27.966799999999999</v>
      </c>
      <c r="BA98" s="21">
        <v>-1.4556899999999999E-2</v>
      </c>
      <c r="BB98" s="21">
        <v>88</v>
      </c>
      <c r="BC98" s="21">
        <v>0.34268199999999999</v>
      </c>
      <c r="BD98">
        <f t="shared" si="22"/>
        <v>17.971481481481479</v>
      </c>
      <c r="BE98">
        <f t="shared" si="23"/>
        <v>6.1672732999999988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1.3218700000000001</v>
      </c>
      <c r="H99" s="21">
        <v>3.7696000000000001</v>
      </c>
      <c r="I99" s="21">
        <v>-1.40045E-2</v>
      </c>
      <c r="J99" s="21">
        <v>89</v>
      </c>
      <c r="K99" s="21">
        <v>1.32111</v>
      </c>
      <c r="L99">
        <f t="shared" si="12"/>
        <v>17.289506172839506</v>
      </c>
      <c r="M99">
        <f t="shared" si="13"/>
        <v>22.85447952469136</v>
      </c>
      <c r="N99" s="9"/>
      <c r="O99" s="21">
        <v>0.34820600000000002</v>
      </c>
      <c r="P99" s="21">
        <v>7.5283600000000002</v>
      </c>
      <c r="Q99" s="21">
        <v>-1.46423E-2</v>
      </c>
      <c r="R99" s="21">
        <v>89</v>
      </c>
      <c r="S99" s="21">
        <v>0.34762599999999999</v>
      </c>
      <c r="T99">
        <f t="shared" si="14"/>
        <v>18.076913580246913</v>
      </c>
      <c r="U99">
        <f t="shared" si="15"/>
        <v>6.294489770123457</v>
      </c>
      <c r="X99" s="9"/>
      <c r="Y99" s="21">
        <v>1.3218700000000001</v>
      </c>
      <c r="Z99" s="21">
        <v>14.9659</v>
      </c>
      <c r="AA99" s="21">
        <v>-1.3842800000000001E-2</v>
      </c>
      <c r="AB99" s="21">
        <v>89</v>
      </c>
      <c r="AC99" s="21">
        <v>1.32141</v>
      </c>
      <c r="AD99">
        <f t="shared" si="16"/>
        <v>17.089876543209876</v>
      </c>
      <c r="AE99">
        <f t="shared" si="17"/>
        <v>22.590595106172842</v>
      </c>
      <c r="AF99" s="9"/>
      <c r="AG99" s="21">
        <v>0.34820600000000002</v>
      </c>
      <c r="AH99" s="21">
        <v>18.724599999999999</v>
      </c>
      <c r="AI99" s="21">
        <v>-1.45355E-2</v>
      </c>
      <c r="AJ99" s="21">
        <v>89</v>
      </c>
      <c r="AK99" s="21">
        <v>0.34768700000000002</v>
      </c>
      <c r="AL99">
        <f t="shared" si="18"/>
        <v>17.945061728395061</v>
      </c>
      <c r="AM99">
        <f t="shared" si="19"/>
        <v>6.2485781641975304</v>
      </c>
      <c r="AP99" s="9"/>
      <c r="AQ99" s="21">
        <v>1.3218700000000001</v>
      </c>
      <c r="AR99" s="21">
        <v>24.2181</v>
      </c>
      <c r="AS99" s="21">
        <v>-1.38672E-2</v>
      </c>
      <c r="AT99" s="21">
        <v>89</v>
      </c>
      <c r="AU99" s="21">
        <v>1.3205</v>
      </c>
      <c r="AV99">
        <f t="shared" si="20"/>
        <v>17.12</v>
      </c>
      <c r="AW99">
        <f t="shared" si="21"/>
        <v>22.630414400000003</v>
      </c>
      <c r="AX99" s="9"/>
      <c r="AY99" s="21">
        <v>0.34820600000000002</v>
      </c>
      <c r="AZ99" s="21">
        <v>27.976800000000001</v>
      </c>
      <c r="BA99" s="21">
        <v>-1.45538E-2</v>
      </c>
      <c r="BB99" s="21">
        <v>89</v>
      </c>
      <c r="BC99" s="21">
        <v>0.347717</v>
      </c>
      <c r="BD99">
        <f t="shared" si="22"/>
        <v>17.967654320987652</v>
      </c>
      <c r="BE99">
        <f t="shared" si="23"/>
        <v>6.2564450404938263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1.3168299999999999</v>
      </c>
      <c r="H100" s="21">
        <v>3.7796699999999999</v>
      </c>
      <c r="I100" s="21">
        <v>-1.40167E-2</v>
      </c>
      <c r="J100" s="21">
        <v>90</v>
      </c>
      <c r="K100" s="21">
        <v>1.3156099999999999</v>
      </c>
      <c r="L100">
        <f t="shared" si="12"/>
        <v>17.304567901234567</v>
      </c>
      <c r="M100">
        <f t="shared" si="13"/>
        <v>22.787174149382714</v>
      </c>
      <c r="N100" s="9"/>
      <c r="O100" s="21">
        <v>0.35324100000000003</v>
      </c>
      <c r="P100" s="21">
        <v>7.5384399999999996</v>
      </c>
      <c r="Q100" s="21">
        <v>-1.4639299999999999E-2</v>
      </c>
      <c r="R100" s="21">
        <v>90</v>
      </c>
      <c r="S100" s="21">
        <v>0.35272199999999998</v>
      </c>
      <c r="T100">
        <f t="shared" si="14"/>
        <v>18.07320987654321</v>
      </c>
      <c r="U100">
        <f t="shared" si="15"/>
        <v>6.3841987300000005</v>
      </c>
      <c r="X100" s="9"/>
      <c r="Y100" s="21">
        <v>1.3168299999999999</v>
      </c>
      <c r="Z100" s="21">
        <v>14.975899999999999</v>
      </c>
      <c r="AA100" s="21">
        <v>-1.38519E-2</v>
      </c>
      <c r="AB100" s="21">
        <v>90</v>
      </c>
      <c r="AC100" s="21">
        <v>1.3162199999999999</v>
      </c>
      <c r="AD100">
        <f t="shared" si="16"/>
        <v>17.101111111111113</v>
      </c>
      <c r="AE100">
        <f t="shared" si="17"/>
        <v>22.519256144444444</v>
      </c>
      <c r="AF100" s="9"/>
      <c r="AG100" s="21">
        <v>0.35324100000000003</v>
      </c>
      <c r="AH100" s="21">
        <v>18.7347</v>
      </c>
      <c r="AI100" s="21">
        <v>-1.45477E-2</v>
      </c>
      <c r="AJ100" s="21">
        <v>90</v>
      </c>
      <c r="AK100" s="21">
        <v>0.35263100000000003</v>
      </c>
      <c r="AL100">
        <f t="shared" si="18"/>
        <v>17.960123456790122</v>
      </c>
      <c r="AM100">
        <f t="shared" si="19"/>
        <v>6.3442519700000002</v>
      </c>
      <c r="AP100" s="9"/>
      <c r="AQ100" s="21">
        <v>1.3168299999999999</v>
      </c>
      <c r="AR100" s="21">
        <v>24.228200000000001</v>
      </c>
      <c r="AS100" s="21">
        <v>-1.3876299999999999E-2</v>
      </c>
      <c r="AT100" s="21">
        <v>90</v>
      </c>
      <c r="AU100" s="21">
        <v>1.3162199999999999</v>
      </c>
      <c r="AV100">
        <f t="shared" si="20"/>
        <v>17.131234567901231</v>
      </c>
      <c r="AW100">
        <f t="shared" si="21"/>
        <v>22.558923616049377</v>
      </c>
      <c r="AX100" s="9"/>
      <c r="AY100" s="21">
        <v>0.35324100000000003</v>
      </c>
      <c r="AZ100" s="21">
        <v>27.986899999999999</v>
      </c>
      <c r="BA100" s="21">
        <v>-1.45477E-2</v>
      </c>
      <c r="BB100" s="21">
        <v>90</v>
      </c>
      <c r="BC100" s="21">
        <v>0.35272199999999998</v>
      </c>
      <c r="BD100">
        <f t="shared" si="22"/>
        <v>17.960123456790122</v>
      </c>
      <c r="BE100">
        <f t="shared" si="23"/>
        <v>6.3442519700000002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1.3118000000000001</v>
      </c>
      <c r="H101" s="21">
        <v>3.7897400000000001</v>
      </c>
      <c r="I101" s="21">
        <v>-1.4041100000000001E-2</v>
      </c>
      <c r="J101" s="21">
        <v>91</v>
      </c>
      <c r="K101" s="21">
        <v>1.31104</v>
      </c>
      <c r="L101">
        <f t="shared" si="12"/>
        <v>17.334691358024692</v>
      </c>
      <c r="M101">
        <f t="shared" si="13"/>
        <v>22.739648123456792</v>
      </c>
      <c r="N101" s="9"/>
      <c r="O101" s="21">
        <v>0.35827599999999998</v>
      </c>
      <c r="P101" s="21">
        <v>7.5485100000000003</v>
      </c>
      <c r="Q101" s="21">
        <v>-1.46423E-2</v>
      </c>
      <c r="R101" s="21">
        <v>91</v>
      </c>
      <c r="S101" s="21">
        <v>0.35772700000000002</v>
      </c>
      <c r="T101">
        <f t="shared" si="14"/>
        <v>18.076913580246913</v>
      </c>
      <c r="U101">
        <f t="shared" si="15"/>
        <v>6.4765242898765427</v>
      </c>
      <c r="X101" s="9"/>
      <c r="Y101" s="21">
        <v>1.3118000000000001</v>
      </c>
      <c r="Z101" s="21">
        <v>14.986000000000001</v>
      </c>
      <c r="AA101" s="21">
        <v>-1.38672E-2</v>
      </c>
      <c r="AB101" s="21">
        <v>91</v>
      </c>
      <c r="AC101" s="21">
        <v>1.31134</v>
      </c>
      <c r="AD101">
        <f t="shared" si="16"/>
        <v>17.12</v>
      </c>
      <c r="AE101">
        <f t="shared" si="17"/>
        <v>22.458016000000004</v>
      </c>
      <c r="AF101" s="9"/>
      <c r="AG101" s="21">
        <v>0.35827599999999998</v>
      </c>
      <c r="AH101" s="21">
        <v>18.744800000000001</v>
      </c>
      <c r="AI101" s="21">
        <v>-1.45691E-2</v>
      </c>
      <c r="AJ101" s="21">
        <v>91</v>
      </c>
      <c r="AK101" s="21">
        <v>0.35775800000000002</v>
      </c>
      <c r="AL101">
        <f t="shared" si="18"/>
        <v>17.98654320987654</v>
      </c>
      <c r="AM101">
        <f t="shared" si="19"/>
        <v>6.4441467550617269</v>
      </c>
      <c r="AP101" s="9"/>
      <c r="AQ101" s="21">
        <v>1.3118000000000001</v>
      </c>
      <c r="AR101" s="21">
        <v>24.238199999999999</v>
      </c>
      <c r="AS101" s="21">
        <v>-1.3876299999999999E-2</v>
      </c>
      <c r="AT101" s="21">
        <v>91</v>
      </c>
      <c r="AU101" s="21">
        <v>1.31073</v>
      </c>
      <c r="AV101">
        <f t="shared" si="20"/>
        <v>17.131234567901231</v>
      </c>
      <c r="AW101">
        <f t="shared" si="21"/>
        <v>22.472753506172836</v>
      </c>
      <c r="AX101" s="9"/>
      <c r="AY101" s="21">
        <v>0.35827599999999998</v>
      </c>
      <c r="AZ101" s="21">
        <v>27.997</v>
      </c>
      <c r="BA101" s="21">
        <v>-1.45355E-2</v>
      </c>
      <c r="BB101" s="21">
        <v>91</v>
      </c>
      <c r="BC101" s="21">
        <v>0.35763499999999998</v>
      </c>
      <c r="BD101">
        <f t="shared" si="22"/>
        <v>17.945061728395061</v>
      </c>
      <c r="BE101">
        <f t="shared" si="23"/>
        <v>6.4292849358024684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1.3067599999999999</v>
      </c>
      <c r="H102" s="21">
        <v>3.7998099999999999</v>
      </c>
      <c r="I102" s="21">
        <v>-1.40564E-2</v>
      </c>
      <c r="J102" s="21">
        <v>92</v>
      </c>
      <c r="K102" s="21">
        <v>1.30646</v>
      </c>
      <c r="L102">
        <f t="shared" si="12"/>
        <v>17.35358024691358</v>
      </c>
      <c r="M102">
        <f t="shared" si="13"/>
        <v>22.676964523456789</v>
      </c>
      <c r="N102" s="9"/>
      <c r="O102" s="21">
        <v>0.36331200000000002</v>
      </c>
      <c r="P102" s="21">
        <v>7.5585800000000001</v>
      </c>
      <c r="Q102" s="21">
        <v>-1.4639299999999999E-2</v>
      </c>
      <c r="R102" s="21">
        <v>92</v>
      </c>
      <c r="S102" s="21">
        <v>0.36279299999999998</v>
      </c>
      <c r="T102">
        <f t="shared" si="14"/>
        <v>18.07320987654321</v>
      </c>
      <c r="U102">
        <f t="shared" si="15"/>
        <v>6.5662140266666675</v>
      </c>
      <c r="X102" s="9"/>
      <c r="Y102" s="21">
        <v>1.3067599999999999</v>
      </c>
      <c r="Z102" s="21">
        <v>14.9961</v>
      </c>
      <c r="AA102" s="21">
        <v>-1.3903799999999999E-2</v>
      </c>
      <c r="AB102" s="21">
        <v>92</v>
      </c>
      <c r="AC102" s="21">
        <v>1.3061499999999999</v>
      </c>
      <c r="AD102">
        <f t="shared" si="16"/>
        <v>17.165185185185184</v>
      </c>
      <c r="AE102">
        <f t="shared" si="17"/>
        <v>22.430777392592589</v>
      </c>
      <c r="AF102" s="9"/>
      <c r="AG102" s="21">
        <v>0.36331200000000002</v>
      </c>
      <c r="AH102" s="21">
        <v>18.754799999999999</v>
      </c>
      <c r="AI102" s="21">
        <v>-1.45691E-2</v>
      </c>
      <c r="AJ102" s="21">
        <v>92</v>
      </c>
      <c r="AK102" s="21">
        <v>0.362701</v>
      </c>
      <c r="AL102">
        <f t="shared" si="18"/>
        <v>17.98654320987654</v>
      </c>
      <c r="AM102">
        <f t="shared" si="19"/>
        <v>6.5347269866666657</v>
      </c>
      <c r="AP102" s="9"/>
      <c r="AQ102" s="21">
        <v>1.3067599999999999</v>
      </c>
      <c r="AR102" s="21">
        <v>24.2483</v>
      </c>
      <c r="AS102" s="21">
        <v>-1.38794E-2</v>
      </c>
      <c r="AT102" s="21">
        <v>92</v>
      </c>
      <c r="AU102" s="21">
        <v>1.3055399999999999</v>
      </c>
      <c r="AV102">
        <f t="shared" si="20"/>
        <v>17.135061728395058</v>
      </c>
      <c r="AW102">
        <f t="shared" si="21"/>
        <v>22.391413264197524</v>
      </c>
      <c r="AX102" s="9"/>
      <c r="AY102" s="21">
        <v>0.36331200000000002</v>
      </c>
      <c r="AZ102" s="21">
        <v>28.007100000000001</v>
      </c>
      <c r="BA102" s="21">
        <v>-1.45294E-2</v>
      </c>
      <c r="BB102" s="21">
        <v>92</v>
      </c>
      <c r="BC102" s="21">
        <v>0.36276199999999997</v>
      </c>
      <c r="BD102">
        <f t="shared" si="22"/>
        <v>17.93753086419753</v>
      </c>
      <c r="BE102">
        <f t="shared" si="23"/>
        <v>6.5169202133333339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1.3017300000000001</v>
      </c>
      <c r="H103" s="21">
        <v>3.8098800000000002</v>
      </c>
      <c r="I103" s="21">
        <v>-1.4053299999999999E-2</v>
      </c>
      <c r="J103" s="21">
        <v>93</v>
      </c>
      <c r="K103" s="21">
        <v>1.3006599999999999</v>
      </c>
      <c r="L103">
        <f t="shared" si="12"/>
        <v>17.349753086419753</v>
      </c>
      <c r="M103">
        <f t="shared" si="13"/>
        <v>22.584694085185188</v>
      </c>
      <c r="N103" s="9"/>
      <c r="O103" s="21">
        <v>0.36834699999999998</v>
      </c>
      <c r="P103" s="21">
        <v>7.5686499999999999</v>
      </c>
      <c r="Q103" s="21">
        <v>-1.4645399999999999E-2</v>
      </c>
      <c r="R103" s="21">
        <v>93</v>
      </c>
      <c r="S103" s="21">
        <v>0.36785899999999999</v>
      </c>
      <c r="T103">
        <f t="shared" si="14"/>
        <v>18.080740740740737</v>
      </c>
      <c r="U103">
        <f t="shared" si="15"/>
        <v>6.6599866096296276</v>
      </c>
      <c r="X103" s="9"/>
      <c r="Y103" s="21">
        <v>1.3017300000000001</v>
      </c>
      <c r="Z103" s="21">
        <v>15.0061</v>
      </c>
      <c r="AA103" s="21">
        <v>-1.3931300000000001E-2</v>
      </c>
      <c r="AB103" s="21">
        <v>93</v>
      </c>
      <c r="AC103" s="21">
        <v>1.3009599999999999</v>
      </c>
      <c r="AD103">
        <f t="shared" si="16"/>
        <v>17.199135802469137</v>
      </c>
      <c r="AE103">
        <f t="shared" si="17"/>
        <v>22.388631048148149</v>
      </c>
      <c r="AF103" s="9"/>
      <c r="AG103" s="21">
        <v>0.36834699999999998</v>
      </c>
      <c r="AH103" s="21">
        <v>18.764900000000001</v>
      </c>
      <c r="AI103" s="21">
        <v>-1.4563E-2</v>
      </c>
      <c r="AJ103" s="21">
        <v>93</v>
      </c>
      <c r="AK103" s="21">
        <v>0.36770599999999998</v>
      </c>
      <c r="AL103">
        <f t="shared" si="18"/>
        <v>17.979012345679013</v>
      </c>
      <c r="AM103">
        <f t="shared" si="19"/>
        <v>6.6225152604938273</v>
      </c>
      <c r="AP103" s="9"/>
      <c r="AQ103" s="21">
        <v>1.3017300000000001</v>
      </c>
      <c r="AR103" s="21">
        <v>24.258400000000002</v>
      </c>
      <c r="AS103" s="21">
        <v>-1.3894699999999999E-2</v>
      </c>
      <c r="AT103" s="21">
        <v>93</v>
      </c>
      <c r="AU103" s="21">
        <v>1.3015699999999999</v>
      </c>
      <c r="AV103">
        <f t="shared" si="20"/>
        <v>17.153950617283947</v>
      </c>
      <c r="AW103">
        <f t="shared" si="21"/>
        <v>22.329812137037031</v>
      </c>
      <c r="AX103" s="9"/>
      <c r="AY103" s="21">
        <v>0.36834699999999998</v>
      </c>
      <c r="AZ103" s="21">
        <v>28.017099999999999</v>
      </c>
      <c r="BA103" s="21">
        <v>-1.45203E-2</v>
      </c>
      <c r="BB103" s="21">
        <v>93</v>
      </c>
      <c r="BC103" s="21">
        <v>0.36785899999999999</v>
      </c>
      <c r="BD103">
        <f t="shared" si="22"/>
        <v>17.926296296296293</v>
      </c>
      <c r="BE103">
        <f t="shared" si="23"/>
        <v>6.6030974618518501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1.2966899999999999</v>
      </c>
      <c r="H104" s="21">
        <v>3.81995</v>
      </c>
      <c r="I104" s="21">
        <v>-1.40594E-2</v>
      </c>
      <c r="J104" s="21">
        <v>94</v>
      </c>
      <c r="K104" s="21">
        <v>1.2957799999999999</v>
      </c>
      <c r="L104">
        <f t="shared" si="12"/>
        <v>17.357283950617283</v>
      </c>
      <c r="M104">
        <f t="shared" si="13"/>
        <v>22.507016525925923</v>
      </c>
      <c r="N104" s="9"/>
      <c r="O104" s="21">
        <v>0.37338300000000002</v>
      </c>
      <c r="P104" s="21">
        <v>7.5787199999999997</v>
      </c>
      <c r="Q104" s="21">
        <v>-1.4645399999999999E-2</v>
      </c>
      <c r="R104" s="21">
        <v>94</v>
      </c>
      <c r="S104" s="21">
        <v>0.37295499999999998</v>
      </c>
      <c r="T104">
        <f t="shared" si="14"/>
        <v>18.080740740740737</v>
      </c>
      <c r="U104">
        <f t="shared" si="15"/>
        <v>6.7510412199999985</v>
      </c>
      <c r="X104" s="9"/>
      <c r="Y104" s="21">
        <v>1.2966899999999999</v>
      </c>
      <c r="Z104" s="21">
        <v>15.0162</v>
      </c>
      <c r="AA104" s="21">
        <v>-1.3952600000000001E-2</v>
      </c>
      <c r="AB104" s="21">
        <v>94</v>
      </c>
      <c r="AC104" s="21">
        <v>1.2960799999999999</v>
      </c>
      <c r="AD104">
        <f t="shared" si="16"/>
        <v>17.225432098765431</v>
      </c>
      <c r="AE104">
        <f t="shared" si="17"/>
        <v>22.336045548148146</v>
      </c>
      <c r="AF104" s="9"/>
      <c r="AG104" s="21">
        <v>0.37338300000000002</v>
      </c>
      <c r="AH104" s="21">
        <v>18.774999999999999</v>
      </c>
      <c r="AI104" s="21">
        <v>-1.45538E-2</v>
      </c>
      <c r="AJ104" s="21">
        <v>94</v>
      </c>
      <c r="AK104" s="21">
        <v>0.372803</v>
      </c>
      <c r="AL104">
        <f t="shared" si="18"/>
        <v>17.967654320987652</v>
      </c>
      <c r="AM104">
        <f t="shared" si="19"/>
        <v>6.7088166733333328</v>
      </c>
      <c r="AP104" s="9"/>
      <c r="AQ104" s="21">
        <v>1.2966899999999999</v>
      </c>
      <c r="AR104" s="21">
        <v>24.2684</v>
      </c>
      <c r="AS104" s="21">
        <v>-1.39069E-2</v>
      </c>
      <c r="AT104" s="21">
        <v>94</v>
      </c>
      <c r="AU104" s="21">
        <v>1.2957799999999999</v>
      </c>
      <c r="AV104">
        <f t="shared" si="20"/>
        <v>17.169012345679011</v>
      </c>
      <c r="AW104">
        <f t="shared" si="21"/>
        <v>22.262886618518515</v>
      </c>
      <c r="AX104" s="9"/>
      <c r="AY104" s="21">
        <v>0.37338300000000002</v>
      </c>
      <c r="AZ104" s="21">
        <v>28.027200000000001</v>
      </c>
      <c r="BA104" s="21">
        <v>-1.4508099999999999E-2</v>
      </c>
      <c r="BB104" s="21">
        <v>94</v>
      </c>
      <c r="BC104" s="21">
        <v>0.37283300000000003</v>
      </c>
      <c r="BD104">
        <f t="shared" si="22"/>
        <v>17.911234567901232</v>
      </c>
      <c r="BE104">
        <f t="shared" si="23"/>
        <v>6.6877504966666663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1.29166</v>
      </c>
      <c r="H105" s="21">
        <v>3.8300200000000002</v>
      </c>
      <c r="I105" s="21">
        <v>-1.40594E-2</v>
      </c>
      <c r="J105" s="21">
        <v>95</v>
      </c>
      <c r="K105" s="21">
        <v>1.2911999999999999</v>
      </c>
      <c r="L105">
        <f t="shared" si="12"/>
        <v>17.357283950617283</v>
      </c>
      <c r="M105">
        <f t="shared" si="13"/>
        <v>22.419709387654322</v>
      </c>
      <c r="N105" s="9"/>
      <c r="O105" s="21">
        <v>0.37841799999999998</v>
      </c>
      <c r="P105" s="21">
        <v>7.5887900000000004</v>
      </c>
      <c r="Q105" s="21">
        <v>-1.4648400000000001E-2</v>
      </c>
      <c r="R105" s="21">
        <v>95</v>
      </c>
      <c r="S105" s="21">
        <v>0.37780799999999998</v>
      </c>
      <c r="T105">
        <f t="shared" si="14"/>
        <v>18.084444444444443</v>
      </c>
      <c r="U105">
        <f t="shared" si="15"/>
        <v>6.843479297777777</v>
      </c>
      <c r="X105" s="9"/>
      <c r="Y105" s="21">
        <v>1.29166</v>
      </c>
      <c r="Z105" s="21">
        <v>15.026300000000001</v>
      </c>
      <c r="AA105" s="21">
        <v>-1.39679E-2</v>
      </c>
      <c r="AB105" s="21">
        <v>95</v>
      </c>
      <c r="AC105" s="21">
        <v>1.2911999999999999</v>
      </c>
      <c r="AD105">
        <f t="shared" si="16"/>
        <v>17.244320987654319</v>
      </c>
      <c r="AE105">
        <f t="shared" si="17"/>
        <v>22.273799646913577</v>
      </c>
      <c r="AF105" s="9"/>
      <c r="AG105" s="21">
        <v>0.37841799999999998</v>
      </c>
      <c r="AH105" s="21">
        <v>18.785</v>
      </c>
      <c r="AI105" s="21">
        <v>-1.4550799999999999E-2</v>
      </c>
      <c r="AJ105" s="21">
        <v>95</v>
      </c>
      <c r="AK105" s="21">
        <v>0.37792999999999999</v>
      </c>
      <c r="AL105">
        <f t="shared" si="18"/>
        <v>17.963950617283949</v>
      </c>
      <c r="AM105">
        <f t="shared" si="19"/>
        <v>6.7978822646913573</v>
      </c>
      <c r="AP105" s="9"/>
      <c r="AQ105" s="21">
        <v>1.29166</v>
      </c>
      <c r="AR105" s="21">
        <v>24.278500000000001</v>
      </c>
      <c r="AS105" s="21">
        <v>-1.39282E-2</v>
      </c>
      <c r="AT105" s="21">
        <v>95</v>
      </c>
      <c r="AU105" s="21">
        <v>1.2902800000000001</v>
      </c>
      <c r="AV105">
        <f t="shared" si="20"/>
        <v>17.195308641975309</v>
      </c>
      <c r="AW105">
        <f t="shared" si="21"/>
        <v>22.210492360493827</v>
      </c>
      <c r="AX105" s="9"/>
      <c r="AY105" s="21">
        <v>0.37841799999999998</v>
      </c>
      <c r="AZ105" s="21">
        <v>28.037299999999998</v>
      </c>
      <c r="BA105" s="21">
        <v>-1.4501999999999999E-2</v>
      </c>
      <c r="BB105" s="21">
        <v>95</v>
      </c>
      <c r="BC105" s="21">
        <v>0.37786900000000001</v>
      </c>
      <c r="BD105">
        <f t="shared" si="22"/>
        <v>17.903703703703702</v>
      </c>
      <c r="BE105">
        <f t="shared" si="23"/>
        <v>6.7750837481481474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1.2866200000000001</v>
      </c>
      <c r="H106" s="21">
        <v>3.8401000000000001</v>
      </c>
      <c r="I106" s="21">
        <v>-1.4065599999999999E-2</v>
      </c>
      <c r="J106" s="21">
        <v>96</v>
      </c>
      <c r="K106" s="21">
        <v>1.2860100000000001</v>
      </c>
      <c r="L106">
        <f t="shared" si="12"/>
        <v>17.364938271604938</v>
      </c>
      <c r="M106">
        <f t="shared" si="13"/>
        <v>22.342076879012346</v>
      </c>
      <c r="N106" s="9"/>
      <c r="O106" s="21">
        <v>0.38345299999999999</v>
      </c>
      <c r="P106" s="21">
        <v>7.5988600000000002</v>
      </c>
      <c r="Q106" s="21">
        <v>-1.4660599999999999E-2</v>
      </c>
      <c r="R106" s="21">
        <v>96</v>
      </c>
      <c r="S106" s="21">
        <v>0.382965</v>
      </c>
      <c r="T106">
        <f t="shared" si="14"/>
        <v>18.099506172839504</v>
      </c>
      <c r="U106">
        <f t="shared" si="15"/>
        <v>6.940309940493826</v>
      </c>
      <c r="X106" s="9"/>
      <c r="Y106" s="21">
        <v>1.2866200000000001</v>
      </c>
      <c r="Z106" s="21">
        <v>15.0364</v>
      </c>
      <c r="AA106" s="21">
        <v>-1.3983199999999999E-2</v>
      </c>
      <c r="AB106" s="21">
        <v>96</v>
      </c>
      <c r="AC106" s="21">
        <v>1.2854000000000001</v>
      </c>
      <c r="AD106">
        <f t="shared" si="16"/>
        <v>17.263209876543208</v>
      </c>
      <c r="AE106">
        <f t="shared" si="17"/>
        <v>22.211191091358025</v>
      </c>
      <c r="AF106" s="9"/>
      <c r="AG106" s="21">
        <v>0.38345299999999999</v>
      </c>
      <c r="AH106" s="21">
        <v>18.795100000000001</v>
      </c>
      <c r="AI106" s="21">
        <v>-1.45538E-2</v>
      </c>
      <c r="AJ106" s="21">
        <v>96</v>
      </c>
      <c r="AK106" s="21">
        <v>0.38305699999999998</v>
      </c>
      <c r="AL106">
        <f t="shared" si="18"/>
        <v>17.967654320987652</v>
      </c>
      <c r="AM106">
        <f t="shared" si="19"/>
        <v>6.8897509523456781</v>
      </c>
      <c r="AP106" s="9"/>
      <c r="AQ106" s="21">
        <v>1.2866200000000001</v>
      </c>
      <c r="AR106" s="21">
        <v>24.288599999999999</v>
      </c>
      <c r="AS106" s="21">
        <v>-1.3946500000000001E-2</v>
      </c>
      <c r="AT106" s="21">
        <v>96</v>
      </c>
      <c r="AU106" s="21">
        <v>1.2857099999999999</v>
      </c>
      <c r="AV106">
        <f t="shared" si="20"/>
        <v>17.217901234567901</v>
      </c>
      <c r="AW106">
        <f t="shared" si="21"/>
        <v>22.152896086419755</v>
      </c>
      <c r="AX106" s="9"/>
      <c r="AY106" s="21">
        <v>0.38345299999999999</v>
      </c>
      <c r="AZ106" s="21">
        <v>28.0473</v>
      </c>
      <c r="BA106" s="21">
        <v>-1.4501999999999999E-2</v>
      </c>
      <c r="BB106" s="21">
        <v>96</v>
      </c>
      <c r="BC106" s="21">
        <v>0.38284299999999999</v>
      </c>
      <c r="BD106">
        <f t="shared" si="22"/>
        <v>17.903703703703702</v>
      </c>
      <c r="BE106">
        <f t="shared" si="23"/>
        <v>6.8652288962962951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1.28159</v>
      </c>
      <c r="H107" s="21">
        <v>3.8501699999999999</v>
      </c>
      <c r="I107" s="21">
        <v>-1.40778E-2</v>
      </c>
      <c r="J107" s="21">
        <v>97</v>
      </c>
      <c r="K107" s="21">
        <v>1.2811300000000001</v>
      </c>
      <c r="L107">
        <f t="shared" si="12"/>
        <v>17.38</v>
      </c>
      <c r="M107">
        <f t="shared" si="13"/>
        <v>22.274034199999999</v>
      </c>
      <c r="N107" s="9"/>
      <c r="O107" s="21">
        <v>0.38848899999999997</v>
      </c>
      <c r="P107" s="21">
        <v>7.60893</v>
      </c>
      <c r="Q107" s="21">
        <v>-1.46637E-2</v>
      </c>
      <c r="R107" s="21">
        <v>97</v>
      </c>
      <c r="S107" s="21">
        <v>0.387909</v>
      </c>
      <c r="T107">
        <f t="shared" si="14"/>
        <v>18.103333333333332</v>
      </c>
      <c r="U107">
        <f t="shared" si="15"/>
        <v>7.0329458633333326</v>
      </c>
      <c r="X107" s="9"/>
      <c r="Y107" s="21">
        <v>1.28159</v>
      </c>
      <c r="Z107" s="21">
        <v>15.0464</v>
      </c>
      <c r="AA107" s="21">
        <v>-1.3986200000000001E-2</v>
      </c>
      <c r="AB107" s="21">
        <v>97</v>
      </c>
      <c r="AC107" s="21">
        <v>1.2802100000000001</v>
      </c>
      <c r="AD107">
        <f t="shared" si="16"/>
        <v>17.266913580246914</v>
      </c>
      <c r="AE107">
        <f t="shared" si="17"/>
        <v>22.129103775308643</v>
      </c>
      <c r="AF107" s="9"/>
      <c r="AG107" s="21">
        <v>0.38848899999999997</v>
      </c>
      <c r="AH107" s="21">
        <v>18.805199999999999</v>
      </c>
      <c r="AI107" s="21">
        <v>-1.45386E-2</v>
      </c>
      <c r="AJ107" s="21">
        <v>97</v>
      </c>
      <c r="AK107" s="21">
        <v>0.38793899999999998</v>
      </c>
      <c r="AL107">
        <f t="shared" si="18"/>
        <v>17.948888888888888</v>
      </c>
      <c r="AM107">
        <f t="shared" si="19"/>
        <v>6.9729458955555543</v>
      </c>
      <c r="AP107" s="9"/>
      <c r="AQ107" s="21">
        <v>1.28159</v>
      </c>
      <c r="AR107" s="21">
        <v>24.2987</v>
      </c>
      <c r="AS107" s="21">
        <v>-1.39679E-2</v>
      </c>
      <c r="AT107" s="21">
        <v>97</v>
      </c>
      <c r="AU107" s="21">
        <v>1.2805200000000001</v>
      </c>
      <c r="AV107">
        <f t="shared" si="20"/>
        <v>17.244320987654319</v>
      </c>
      <c r="AW107">
        <f t="shared" si="21"/>
        <v>22.100149334567899</v>
      </c>
      <c r="AX107" s="9"/>
      <c r="AY107" s="21">
        <v>0.38848899999999997</v>
      </c>
      <c r="AZ107" s="21">
        <v>28.057400000000001</v>
      </c>
      <c r="BA107" s="21">
        <v>-1.44989E-2</v>
      </c>
      <c r="BB107" s="21">
        <v>97</v>
      </c>
      <c r="BC107" s="21">
        <v>0.38793899999999998</v>
      </c>
      <c r="BD107">
        <f t="shared" si="22"/>
        <v>17.899876543209874</v>
      </c>
      <c r="BE107">
        <f t="shared" si="23"/>
        <v>6.9539051383950605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1.2765500000000001</v>
      </c>
      <c r="H108" s="21">
        <v>3.8602400000000001</v>
      </c>
      <c r="I108" s="21">
        <v>-1.4080799999999999E-2</v>
      </c>
      <c r="J108" s="21">
        <v>98</v>
      </c>
      <c r="K108" s="21">
        <v>1.2759400000000001</v>
      </c>
      <c r="L108">
        <f t="shared" si="12"/>
        <v>17.383703703703702</v>
      </c>
      <c r="M108">
        <f t="shared" si="13"/>
        <v>22.191166962962964</v>
      </c>
      <c r="N108" s="9"/>
      <c r="O108" s="21">
        <v>0.39352399999999998</v>
      </c>
      <c r="P108" s="21">
        <v>7.6189999999999998</v>
      </c>
      <c r="Q108" s="21">
        <v>-1.4660599999999999E-2</v>
      </c>
      <c r="R108" s="21">
        <v>98</v>
      </c>
      <c r="S108" s="21">
        <v>0.39300499999999999</v>
      </c>
      <c r="T108">
        <f t="shared" si="14"/>
        <v>18.099506172839504</v>
      </c>
      <c r="U108">
        <f t="shared" si="15"/>
        <v>7.1225900671604929</v>
      </c>
      <c r="X108" s="9"/>
      <c r="Y108" s="21">
        <v>1.2765500000000001</v>
      </c>
      <c r="Z108" s="21">
        <v>15.0565</v>
      </c>
      <c r="AA108" s="21">
        <v>-1.3974E-2</v>
      </c>
      <c r="AB108" s="21">
        <v>98</v>
      </c>
      <c r="AC108" s="21">
        <v>1.2759400000000001</v>
      </c>
      <c r="AD108">
        <f t="shared" si="16"/>
        <v>17.251851851851853</v>
      </c>
      <c r="AE108">
        <f t="shared" si="17"/>
        <v>22.022851481481485</v>
      </c>
      <c r="AF108" s="9"/>
      <c r="AG108" s="21">
        <v>0.39352399999999998</v>
      </c>
      <c r="AH108" s="21">
        <v>18.815300000000001</v>
      </c>
      <c r="AI108" s="21">
        <v>-1.45325E-2</v>
      </c>
      <c r="AJ108" s="21">
        <v>98</v>
      </c>
      <c r="AK108" s="21">
        <v>0.39297500000000002</v>
      </c>
      <c r="AL108">
        <f t="shared" si="18"/>
        <v>17.941358024691358</v>
      </c>
      <c r="AM108">
        <f t="shared" si="19"/>
        <v>7.0603549753086412</v>
      </c>
      <c r="AP108" s="9"/>
      <c r="AQ108" s="21">
        <v>1.2765500000000001</v>
      </c>
      <c r="AR108" s="21">
        <v>24.308700000000002</v>
      </c>
      <c r="AS108" s="21">
        <v>-1.3998399999999999E-2</v>
      </c>
      <c r="AT108" s="21">
        <v>98</v>
      </c>
      <c r="AU108" s="21">
        <v>1.27563</v>
      </c>
      <c r="AV108">
        <f t="shared" si="20"/>
        <v>17.281975308641975</v>
      </c>
      <c r="AW108">
        <f t="shared" si="21"/>
        <v>22.061305580246916</v>
      </c>
      <c r="AX108" s="9"/>
      <c r="AY108" s="21">
        <v>0.39352399999999998</v>
      </c>
      <c r="AZ108" s="21">
        <v>28.067499999999999</v>
      </c>
      <c r="BA108" s="21">
        <v>-1.44958E-2</v>
      </c>
      <c r="BB108" s="21">
        <v>98</v>
      </c>
      <c r="BC108" s="21">
        <v>0.39291399999999999</v>
      </c>
      <c r="BD108">
        <f t="shared" si="22"/>
        <v>17.896049382716047</v>
      </c>
      <c r="BE108">
        <f t="shared" si="23"/>
        <v>7.0425249372839493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1.2715099999999999</v>
      </c>
      <c r="H109" s="21">
        <v>3.8703099999999999</v>
      </c>
      <c r="I109" s="21">
        <v>-1.40991E-2</v>
      </c>
      <c r="J109" s="21">
        <v>99</v>
      </c>
      <c r="K109" s="21">
        <v>1.2710600000000001</v>
      </c>
      <c r="L109">
        <f t="shared" si="12"/>
        <v>17.406296296296293</v>
      </c>
      <c r="M109">
        <f t="shared" si="13"/>
        <v>22.1322798037037</v>
      </c>
      <c r="N109" s="9"/>
      <c r="O109" s="21">
        <v>0.39856000000000003</v>
      </c>
      <c r="P109" s="21">
        <v>7.6290699999999996</v>
      </c>
      <c r="Q109" s="21">
        <v>-1.4648400000000001E-2</v>
      </c>
      <c r="R109" s="21">
        <v>99</v>
      </c>
      <c r="S109" s="21">
        <v>0.397949</v>
      </c>
      <c r="T109">
        <f t="shared" si="14"/>
        <v>18.084444444444443</v>
      </c>
      <c r="U109">
        <f t="shared" si="15"/>
        <v>7.207736177777778</v>
      </c>
      <c r="X109" s="9"/>
      <c r="Y109" s="21">
        <v>1.2715099999999999</v>
      </c>
      <c r="Z109" s="21">
        <v>15.066599999999999</v>
      </c>
      <c r="AA109" s="21">
        <v>-1.3980100000000001E-2</v>
      </c>
      <c r="AB109" s="21">
        <v>99</v>
      </c>
      <c r="AC109" s="21">
        <v>1.27075</v>
      </c>
      <c r="AD109">
        <f t="shared" si="16"/>
        <v>17.259382716049384</v>
      </c>
      <c r="AE109">
        <f t="shared" si="17"/>
        <v>21.94547771728395</v>
      </c>
      <c r="AF109" s="9"/>
      <c r="AG109" s="21">
        <v>0.39856000000000003</v>
      </c>
      <c r="AH109" s="21">
        <v>18.825299999999999</v>
      </c>
      <c r="AI109" s="21">
        <v>-1.45264E-2</v>
      </c>
      <c r="AJ109" s="21">
        <v>99</v>
      </c>
      <c r="AK109" s="21">
        <v>0.39804099999999998</v>
      </c>
      <c r="AL109">
        <f t="shared" si="18"/>
        <v>17.933827160493827</v>
      </c>
      <c r="AM109">
        <f t="shared" si="19"/>
        <v>7.1477061530864203</v>
      </c>
      <c r="AP109" s="9"/>
      <c r="AQ109" s="21">
        <v>1.2715099999999999</v>
      </c>
      <c r="AR109" s="21">
        <v>24.3188</v>
      </c>
      <c r="AS109" s="21">
        <v>-1.40137E-2</v>
      </c>
      <c r="AT109" s="21">
        <v>99</v>
      </c>
      <c r="AU109" s="21">
        <v>1.27075</v>
      </c>
      <c r="AV109">
        <f t="shared" si="20"/>
        <v>17.300864197530863</v>
      </c>
      <c r="AW109">
        <f t="shared" si="21"/>
        <v>21.998221835802468</v>
      </c>
      <c r="AX109" s="9"/>
      <c r="AY109" s="21">
        <v>0.39856000000000003</v>
      </c>
      <c r="AZ109" s="21">
        <v>28.0776</v>
      </c>
      <c r="BA109" s="21">
        <v>-1.44867E-2</v>
      </c>
      <c r="BB109" s="21">
        <v>99</v>
      </c>
      <c r="BC109" s="21">
        <v>0.39791900000000002</v>
      </c>
      <c r="BD109">
        <f t="shared" si="22"/>
        <v>17.884814814814817</v>
      </c>
      <c r="BE109">
        <f t="shared" si="23"/>
        <v>7.1281717925925943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1.2664800000000001</v>
      </c>
      <c r="H110" s="21">
        <v>3.8803800000000002</v>
      </c>
      <c r="I110" s="21">
        <v>-1.41113E-2</v>
      </c>
      <c r="J110" s="21">
        <v>100</v>
      </c>
      <c r="K110" s="21">
        <v>1.26617</v>
      </c>
      <c r="L110">
        <f t="shared" si="12"/>
        <v>17.421358024691358</v>
      </c>
      <c r="M110">
        <f t="shared" si="13"/>
        <v>22.063801511111112</v>
      </c>
      <c r="N110" s="9"/>
      <c r="O110" s="21">
        <v>0.40359499999999998</v>
      </c>
      <c r="P110" s="21">
        <v>7.6391499999999999</v>
      </c>
      <c r="Q110" s="21">
        <v>-1.46515E-2</v>
      </c>
      <c r="R110" s="21">
        <v>100</v>
      </c>
      <c r="S110" s="21">
        <v>0.40301500000000001</v>
      </c>
      <c r="T110">
        <f t="shared" si="14"/>
        <v>18.088271604938271</v>
      </c>
      <c r="U110">
        <f t="shared" si="15"/>
        <v>7.3003359783950614</v>
      </c>
      <c r="X110" s="9"/>
      <c r="Y110" s="21">
        <v>1.2664800000000001</v>
      </c>
      <c r="Z110" s="21">
        <v>15.076599999999999</v>
      </c>
      <c r="AA110" s="21">
        <v>-1.3986200000000001E-2</v>
      </c>
      <c r="AB110" s="21">
        <v>100</v>
      </c>
      <c r="AC110" s="21">
        <v>1.2658700000000001</v>
      </c>
      <c r="AD110">
        <f t="shared" si="16"/>
        <v>17.266913580246914</v>
      </c>
      <c r="AE110">
        <f t="shared" si="17"/>
        <v>21.868200711111111</v>
      </c>
      <c r="AF110" s="9"/>
      <c r="AG110" s="21">
        <v>0.40359499999999998</v>
      </c>
      <c r="AH110" s="21">
        <v>18.8354</v>
      </c>
      <c r="AI110" s="21">
        <v>-1.4517199999999999E-2</v>
      </c>
      <c r="AJ110" s="21">
        <v>100</v>
      </c>
      <c r="AK110" s="21">
        <v>0.40307599999999999</v>
      </c>
      <c r="AL110">
        <f t="shared" si="18"/>
        <v>17.922469135802466</v>
      </c>
      <c r="AM110">
        <f t="shared" si="19"/>
        <v>7.2334189308641959</v>
      </c>
      <c r="AP110" s="9"/>
      <c r="AQ110" s="21">
        <v>1.2664800000000001</v>
      </c>
      <c r="AR110" s="21">
        <v>24.328900000000001</v>
      </c>
      <c r="AS110" s="21">
        <v>-1.4031999999999999E-2</v>
      </c>
      <c r="AT110" s="21">
        <v>100</v>
      </c>
      <c r="AU110" s="21">
        <v>1.26617</v>
      </c>
      <c r="AV110">
        <f t="shared" si="20"/>
        <v>17.323456790123455</v>
      </c>
      <c r="AW110">
        <f t="shared" si="21"/>
        <v>21.939811555555554</v>
      </c>
      <c r="AX110" s="9"/>
      <c r="AY110" s="21">
        <v>0.40359499999999998</v>
      </c>
      <c r="AZ110" s="21">
        <v>28.087599999999998</v>
      </c>
      <c r="BA110" s="21">
        <v>-1.44867E-2</v>
      </c>
      <c r="BB110" s="21">
        <v>100</v>
      </c>
      <c r="BC110" s="21">
        <v>0.40304600000000002</v>
      </c>
      <c r="BD110">
        <f t="shared" si="22"/>
        <v>17.884814814814817</v>
      </c>
      <c r="BE110">
        <f t="shared" si="23"/>
        <v>7.2182218351851857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1.2614399999999999</v>
      </c>
      <c r="H111" s="21">
        <v>3.89045</v>
      </c>
      <c r="I111" s="21">
        <v>-1.4120499999999999E-2</v>
      </c>
      <c r="J111" s="21">
        <v>101</v>
      </c>
      <c r="K111" s="21">
        <v>1.2616000000000001</v>
      </c>
      <c r="L111">
        <f t="shared" si="12"/>
        <v>17.432716049382716</v>
      </c>
      <c r="M111">
        <f t="shared" si="13"/>
        <v>21.990325333333331</v>
      </c>
      <c r="N111" s="9"/>
      <c r="O111" s="21">
        <v>0.40862999999999999</v>
      </c>
      <c r="P111" s="21">
        <v>7.6492199999999997</v>
      </c>
      <c r="Q111" s="21">
        <v>-1.46515E-2</v>
      </c>
      <c r="R111" s="21">
        <v>101</v>
      </c>
      <c r="S111" s="21">
        <v>0.40811199999999997</v>
      </c>
      <c r="T111">
        <f t="shared" si="14"/>
        <v>18.088271604938271</v>
      </c>
      <c r="U111">
        <f t="shared" si="15"/>
        <v>7.3914104259259252</v>
      </c>
      <c r="X111" s="9"/>
      <c r="Y111" s="21">
        <v>1.2614399999999999</v>
      </c>
      <c r="Z111" s="21">
        <v>15.0867</v>
      </c>
      <c r="AA111" s="21">
        <v>-1.3986200000000001E-2</v>
      </c>
      <c r="AB111" s="21">
        <v>101</v>
      </c>
      <c r="AC111" s="21">
        <v>1.2609900000000001</v>
      </c>
      <c r="AD111">
        <f t="shared" si="16"/>
        <v>17.266913580246914</v>
      </c>
      <c r="AE111">
        <f t="shared" si="17"/>
        <v>21.781175466666667</v>
      </c>
      <c r="AF111" s="9"/>
      <c r="AG111" s="21">
        <v>0.40862999999999999</v>
      </c>
      <c r="AH111" s="21">
        <v>18.845500000000001</v>
      </c>
      <c r="AI111" s="21">
        <v>-1.4501999999999999E-2</v>
      </c>
      <c r="AJ111" s="21">
        <v>101</v>
      </c>
      <c r="AK111" s="21">
        <v>0.408051</v>
      </c>
      <c r="AL111">
        <f t="shared" si="18"/>
        <v>17.903703703703702</v>
      </c>
      <c r="AM111">
        <f t="shared" si="19"/>
        <v>7.3159904444444432</v>
      </c>
      <c r="AP111" s="9"/>
      <c r="AQ111" s="21">
        <v>1.2614399999999999</v>
      </c>
      <c r="AR111" s="21">
        <v>24.338899999999999</v>
      </c>
      <c r="AS111" s="21">
        <v>-1.4053299999999999E-2</v>
      </c>
      <c r="AT111" s="21">
        <v>101</v>
      </c>
      <c r="AU111" s="21">
        <v>1.26068</v>
      </c>
      <c r="AV111">
        <f t="shared" si="20"/>
        <v>17.349753086419753</v>
      </c>
      <c r="AW111">
        <f t="shared" si="21"/>
        <v>21.885672533333331</v>
      </c>
      <c r="AX111" s="9"/>
      <c r="AY111" s="21">
        <v>0.40862999999999999</v>
      </c>
      <c r="AZ111" s="21">
        <v>28.0977</v>
      </c>
      <c r="BA111" s="21">
        <v>-1.44867E-2</v>
      </c>
      <c r="BB111" s="21">
        <v>101</v>
      </c>
      <c r="BC111" s="21">
        <v>0.40808100000000003</v>
      </c>
      <c r="BD111">
        <f t="shared" si="22"/>
        <v>17.884814814814817</v>
      </c>
      <c r="BE111">
        <f t="shared" si="23"/>
        <v>7.3082718777777789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1.25641</v>
      </c>
      <c r="H112" s="21">
        <v>3.9005200000000002</v>
      </c>
      <c r="I112" s="21">
        <v>-1.41174E-2</v>
      </c>
      <c r="J112" s="21">
        <v>102</v>
      </c>
      <c r="K112" s="21">
        <v>1.2558</v>
      </c>
      <c r="L112">
        <f t="shared" si="12"/>
        <v>17.428888888888888</v>
      </c>
      <c r="M112">
        <f t="shared" si="13"/>
        <v>21.89783028888889</v>
      </c>
      <c r="N112" s="9"/>
      <c r="O112" s="21">
        <v>0.41366599999999998</v>
      </c>
      <c r="P112" s="21">
        <v>7.6592900000000004</v>
      </c>
      <c r="Q112" s="21">
        <v>-1.4633200000000001E-2</v>
      </c>
      <c r="R112" s="21">
        <v>102</v>
      </c>
      <c r="S112" s="21">
        <v>0.41311599999999998</v>
      </c>
      <c r="T112">
        <f t="shared" si="14"/>
        <v>18.065679012345679</v>
      </c>
      <c r="U112">
        <f t="shared" si="15"/>
        <v>7.4731571743209875</v>
      </c>
      <c r="X112" s="9"/>
      <c r="Y112" s="21">
        <v>1.25641</v>
      </c>
      <c r="Z112" s="21">
        <v>15.0968</v>
      </c>
      <c r="AA112" s="21">
        <v>-1.39893E-2</v>
      </c>
      <c r="AB112" s="21">
        <v>102</v>
      </c>
      <c r="AC112" s="21">
        <v>1.25549</v>
      </c>
      <c r="AD112">
        <f t="shared" si="16"/>
        <v>17.270740740740738</v>
      </c>
      <c r="AE112">
        <f t="shared" si="17"/>
        <v>21.699131374074071</v>
      </c>
      <c r="AF112" s="9"/>
      <c r="AG112" s="21">
        <v>0.41366599999999998</v>
      </c>
      <c r="AH112" s="21">
        <v>18.855499999999999</v>
      </c>
      <c r="AI112" s="21">
        <v>-1.4489699999999999E-2</v>
      </c>
      <c r="AJ112" s="21">
        <v>102</v>
      </c>
      <c r="AK112" s="21">
        <v>0.41311599999999998</v>
      </c>
      <c r="AL112">
        <f t="shared" si="18"/>
        <v>17.888518518518516</v>
      </c>
      <c r="AM112">
        <f t="shared" si="19"/>
        <v>7.3998719014814807</v>
      </c>
      <c r="AP112" s="9"/>
      <c r="AQ112" s="21">
        <v>1.25641</v>
      </c>
      <c r="AR112" s="21">
        <v>24.349</v>
      </c>
      <c r="AS112" s="21">
        <v>-1.40625E-2</v>
      </c>
      <c r="AT112" s="21">
        <v>102</v>
      </c>
      <c r="AU112" s="21">
        <v>1.25671</v>
      </c>
      <c r="AV112">
        <f t="shared" si="20"/>
        <v>17.361111111111111</v>
      </c>
      <c r="AW112">
        <f t="shared" si="21"/>
        <v>21.812673611111112</v>
      </c>
      <c r="AX112" s="9"/>
      <c r="AY112" s="21">
        <v>0.41366599999999998</v>
      </c>
      <c r="AZ112" s="21">
        <v>28.107800000000001</v>
      </c>
      <c r="BA112" s="21">
        <v>-1.4489699999999999E-2</v>
      </c>
      <c r="BB112" s="21">
        <v>102</v>
      </c>
      <c r="BC112" s="21">
        <v>0.41305500000000001</v>
      </c>
      <c r="BD112">
        <f t="shared" si="22"/>
        <v>17.888518518518516</v>
      </c>
      <c r="BE112">
        <f t="shared" si="23"/>
        <v>7.3998719014814807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1.2513700000000001</v>
      </c>
      <c r="H113" s="21">
        <v>3.91059</v>
      </c>
      <c r="I113" s="21">
        <v>-1.4123500000000001E-2</v>
      </c>
      <c r="J113" s="21">
        <v>103</v>
      </c>
      <c r="K113" s="21">
        <v>1.25122</v>
      </c>
      <c r="L113">
        <f t="shared" si="12"/>
        <v>17.436419753086419</v>
      </c>
      <c r="M113">
        <f t="shared" si="13"/>
        <v>21.819412586419755</v>
      </c>
      <c r="N113" s="9"/>
      <c r="O113" s="21">
        <v>0.41870099999999999</v>
      </c>
      <c r="P113" s="21">
        <v>7.6693600000000002</v>
      </c>
      <c r="Q113" s="21">
        <v>-1.46179E-2</v>
      </c>
      <c r="R113" s="21">
        <v>103</v>
      </c>
      <c r="S113" s="21">
        <v>0.41809099999999999</v>
      </c>
      <c r="T113">
        <f t="shared" si="14"/>
        <v>18.046790123456791</v>
      </c>
      <c r="U113">
        <f t="shared" si="15"/>
        <v>7.556209071481482</v>
      </c>
      <c r="X113" s="9"/>
      <c r="Y113" s="21">
        <v>1.2513700000000001</v>
      </c>
      <c r="Z113" s="21">
        <v>15.1068</v>
      </c>
      <c r="AA113" s="21">
        <v>-1.40015E-2</v>
      </c>
      <c r="AB113" s="21">
        <v>103</v>
      </c>
      <c r="AC113" s="21">
        <v>1.25031</v>
      </c>
      <c r="AD113">
        <f t="shared" si="16"/>
        <v>17.285802469135803</v>
      </c>
      <c r="AE113">
        <f t="shared" si="17"/>
        <v>21.630934635802472</v>
      </c>
      <c r="AF113" s="9"/>
      <c r="AG113" s="21">
        <v>0.41870099999999999</v>
      </c>
      <c r="AH113" s="21">
        <v>18.865600000000001</v>
      </c>
      <c r="AI113" s="21">
        <v>-1.44867E-2</v>
      </c>
      <c r="AJ113" s="21">
        <v>103</v>
      </c>
      <c r="AK113" s="21">
        <v>0.41799900000000001</v>
      </c>
      <c r="AL113">
        <f t="shared" si="18"/>
        <v>17.884814814814817</v>
      </c>
      <c r="AM113">
        <f t="shared" si="19"/>
        <v>7.4883898477777784</v>
      </c>
      <c r="AP113" s="9"/>
      <c r="AQ113" s="21">
        <v>1.2513700000000001</v>
      </c>
      <c r="AR113" s="21">
        <v>24.359100000000002</v>
      </c>
      <c r="AS113" s="21">
        <v>-1.4074700000000001E-2</v>
      </c>
      <c r="AT113" s="21">
        <v>103</v>
      </c>
      <c r="AU113" s="21">
        <v>1.25061</v>
      </c>
      <c r="AV113">
        <f t="shared" si="20"/>
        <v>17.376172839506172</v>
      </c>
      <c r="AW113">
        <f t="shared" si="21"/>
        <v>21.744021406172841</v>
      </c>
      <c r="AX113" s="9"/>
      <c r="AY113" s="21">
        <v>0.41870099999999999</v>
      </c>
      <c r="AZ113" s="21">
        <v>28.117799999999999</v>
      </c>
      <c r="BA113" s="21">
        <v>-1.4489699999999999E-2</v>
      </c>
      <c r="BB113" s="21">
        <v>103</v>
      </c>
      <c r="BC113" s="21">
        <v>0.41815200000000002</v>
      </c>
      <c r="BD113">
        <f t="shared" si="22"/>
        <v>17.888518518518516</v>
      </c>
      <c r="BE113">
        <f t="shared" si="23"/>
        <v>7.4899405922222213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1.24634</v>
      </c>
      <c r="H114" s="21">
        <v>3.9206599999999998</v>
      </c>
      <c r="I114" s="21">
        <v>-1.4129600000000001E-2</v>
      </c>
      <c r="J114" s="21">
        <v>104</v>
      </c>
      <c r="K114" s="21">
        <v>1.24542</v>
      </c>
      <c r="L114">
        <f t="shared" si="12"/>
        <v>17.443950617283949</v>
      </c>
      <c r="M114">
        <f t="shared" si="13"/>
        <v>21.741093412345677</v>
      </c>
      <c r="N114" s="9"/>
      <c r="O114" s="21">
        <v>0.42373699999999997</v>
      </c>
      <c r="P114" s="21">
        <v>7.67943</v>
      </c>
      <c r="Q114" s="21">
        <v>-1.4611799999999999E-2</v>
      </c>
      <c r="R114" s="21">
        <v>104</v>
      </c>
      <c r="S114" s="21">
        <v>0.42306500000000002</v>
      </c>
      <c r="T114">
        <f t="shared" si="14"/>
        <v>18.039259259259257</v>
      </c>
      <c r="U114">
        <f t="shared" si="15"/>
        <v>7.6439016007407394</v>
      </c>
      <c r="X114" s="9"/>
      <c r="Y114" s="21">
        <v>1.24634</v>
      </c>
      <c r="Z114" s="21">
        <v>15.116899999999999</v>
      </c>
      <c r="AA114" s="21">
        <v>-1.4019800000000001E-2</v>
      </c>
      <c r="AB114" s="21">
        <v>104</v>
      </c>
      <c r="AC114" s="21">
        <v>1.24573</v>
      </c>
      <c r="AD114">
        <f t="shared" si="16"/>
        <v>17.308395061728394</v>
      </c>
      <c r="AE114">
        <f t="shared" si="17"/>
        <v>21.572145101234568</v>
      </c>
      <c r="AF114" s="9"/>
      <c r="AG114" s="21">
        <v>0.42373699999999997</v>
      </c>
      <c r="AH114" s="21">
        <v>18.875699999999998</v>
      </c>
      <c r="AI114" s="21">
        <v>-1.44806E-2</v>
      </c>
      <c r="AJ114" s="21">
        <v>104</v>
      </c>
      <c r="AK114" s="21">
        <v>0.42324800000000001</v>
      </c>
      <c r="AL114">
        <f t="shared" si="18"/>
        <v>17.877283950617283</v>
      </c>
      <c r="AM114">
        <f t="shared" si="19"/>
        <v>7.5752666693827155</v>
      </c>
      <c r="AP114" s="9"/>
      <c r="AQ114" s="21">
        <v>1.24634</v>
      </c>
      <c r="AR114" s="21">
        <v>24.3691</v>
      </c>
      <c r="AS114" s="21">
        <v>-1.4086899999999999E-2</v>
      </c>
      <c r="AT114" s="21">
        <v>104</v>
      </c>
      <c r="AU114" s="21">
        <v>1.24573</v>
      </c>
      <c r="AV114">
        <f t="shared" si="20"/>
        <v>17.391234567901233</v>
      </c>
      <c r="AW114">
        <f t="shared" si="21"/>
        <v>21.675391291358022</v>
      </c>
      <c r="AX114" s="9"/>
      <c r="AY114" s="21">
        <v>0.42373699999999997</v>
      </c>
      <c r="AZ114" s="21">
        <v>28.1279</v>
      </c>
      <c r="BA114" s="21">
        <v>-1.44958E-2</v>
      </c>
      <c r="BB114" s="21">
        <v>104</v>
      </c>
      <c r="BC114" s="21">
        <v>0.42315700000000001</v>
      </c>
      <c r="BD114">
        <f t="shared" si="22"/>
        <v>17.896049382716047</v>
      </c>
      <c r="BE114">
        <f t="shared" si="23"/>
        <v>7.5832182772839491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1.2413000000000001</v>
      </c>
      <c r="H115" s="21">
        <v>3.9307300000000001</v>
      </c>
      <c r="I115" s="21">
        <v>-1.41418E-2</v>
      </c>
      <c r="J115" s="21">
        <v>105</v>
      </c>
      <c r="K115" s="21">
        <v>1.2408399999999999</v>
      </c>
      <c r="L115">
        <f t="shared" si="12"/>
        <v>17.45901234567901</v>
      </c>
      <c r="M115">
        <f t="shared" si="13"/>
        <v>21.671872024691357</v>
      </c>
      <c r="N115" s="9"/>
      <c r="O115" s="21">
        <v>0.42877199999999999</v>
      </c>
      <c r="P115" s="21">
        <v>7.6894999999999998</v>
      </c>
      <c r="Q115" s="21">
        <v>-1.46179E-2</v>
      </c>
      <c r="R115" s="21">
        <v>105</v>
      </c>
      <c r="S115" s="21">
        <v>0.42825299999999999</v>
      </c>
      <c r="T115">
        <f t="shared" si="14"/>
        <v>18.046790123456791</v>
      </c>
      <c r="U115">
        <f t="shared" si="15"/>
        <v>7.7379582948148151</v>
      </c>
      <c r="X115" s="9"/>
      <c r="Y115" s="21">
        <v>1.2413000000000001</v>
      </c>
      <c r="Z115" s="21">
        <v>15.127000000000001</v>
      </c>
      <c r="AA115" s="21">
        <v>-1.40381E-2</v>
      </c>
      <c r="AB115" s="21">
        <v>105</v>
      </c>
      <c r="AC115" s="21">
        <v>1.2408399999999999</v>
      </c>
      <c r="AD115">
        <f t="shared" si="16"/>
        <v>17.330987654320985</v>
      </c>
      <c r="AE115">
        <f t="shared" si="17"/>
        <v>21.512954975308642</v>
      </c>
      <c r="AF115" s="9"/>
      <c r="AG115" s="21">
        <v>0.42877199999999999</v>
      </c>
      <c r="AH115" s="21">
        <v>18.8858</v>
      </c>
      <c r="AI115" s="21">
        <v>-1.4483599999999999E-2</v>
      </c>
      <c r="AJ115" s="21">
        <v>105</v>
      </c>
      <c r="AK115" s="21">
        <v>0.428284</v>
      </c>
      <c r="AL115">
        <f t="shared" si="18"/>
        <v>17.880987654320986</v>
      </c>
      <c r="AM115">
        <f t="shared" si="19"/>
        <v>7.6668668385185175</v>
      </c>
      <c r="AP115" s="9"/>
      <c r="AQ115" s="21">
        <v>1.2413000000000001</v>
      </c>
      <c r="AR115" s="21">
        <v>24.379200000000001</v>
      </c>
      <c r="AS115" s="21">
        <v>-1.40991E-2</v>
      </c>
      <c r="AT115" s="21">
        <v>105</v>
      </c>
      <c r="AU115" s="21">
        <v>1.2396199999999999</v>
      </c>
      <c r="AV115">
        <f t="shared" si="20"/>
        <v>17.406296296296293</v>
      </c>
      <c r="AW115">
        <f t="shared" si="21"/>
        <v>21.60643559259259</v>
      </c>
      <c r="AX115" s="9"/>
      <c r="AY115" s="21">
        <v>0.42877199999999999</v>
      </c>
      <c r="AZ115" s="21">
        <v>28.138000000000002</v>
      </c>
      <c r="BA115" s="21">
        <v>-1.44928E-2</v>
      </c>
      <c r="BB115" s="21">
        <v>105</v>
      </c>
      <c r="BC115" s="21">
        <v>0.42819200000000002</v>
      </c>
      <c r="BD115">
        <f t="shared" si="22"/>
        <v>17.892345679012344</v>
      </c>
      <c r="BE115">
        <f t="shared" si="23"/>
        <v>7.6717368414814802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1.23627</v>
      </c>
      <c r="H116" s="21">
        <v>3.9408099999999999</v>
      </c>
      <c r="I116" s="21">
        <v>-1.41602E-2</v>
      </c>
      <c r="J116" s="21">
        <v>106</v>
      </c>
      <c r="K116" s="21">
        <v>1.2359599999999999</v>
      </c>
      <c r="L116">
        <f t="shared" si="12"/>
        <v>17.481728395061729</v>
      </c>
      <c r="M116">
        <f t="shared" si="13"/>
        <v>21.612136362962964</v>
      </c>
      <c r="N116" s="9"/>
      <c r="O116" s="21">
        <v>0.433807</v>
      </c>
      <c r="P116" s="21">
        <v>7.6995699999999996</v>
      </c>
      <c r="Q116" s="21">
        <v>-1.4621E-2</v>
      </c>
      <c r="R116" s="21">
        <v>106</v>
      </c>
      <c r="S116" s="21">
        <v>0.43325799999999998</v>
      </c>
      <c r="T116">
        <f t="shared" si="14"/>
        <v>18.050617283950618</v>
      </c>
      <c r="U116">
        <f t="shared" si="15"/>
        <v>7.8304841320987659</v>
      </c>
      <c r="X116" s="9"/>
      <c r="Y116" s="21">
        <v>1.23627</v>
      </c>
      <c r="Z116" s="21">
        <v>15.1371</v>
      </c>
      <c r="AA116" s="21">
        <v>-1.40564E-2</v>
      </c>
      <c r="AB116" s="21">
        <v>106</v>
      </c>
      <c r="AC116" s="21">
        <v>1.23566</v>
      </c>
      <c r="AD116">
        <f t="shared" si="16"/>
        <v>17.35358024691358</v>
      </c>
      <c r="AE116">
        <f t="shared" si="17"/>
        <v>21.45371065185185</v>
      </c>
      <c r="AF116" s="9"/>
      <c r="AG116" s="21">
        <v>0.433807</v>
      </c>
      <c r="AH116" s="21">
        <v>18.895800000000001</v>
      </c>
      <c r="AI116" s="21">
        <v>-1.44745E-2</v>
      </c>
      <c r="AJ116" s="21">
        <v>106</v>
      </c>
      <c r="AK116" s="21">
        <v>0.433228</v>
      </c>
      <c r="AL116">
        <f t="shared" si="18"/>
        <v>17.869753086419752</v>
      </c>
      <c r="AM116">
        <f t="shared" si="19"/>
        <v>7.7520239771604933</v>
      </c>
      <c r="AP116" s="9"/>
      <c r="AQ116" s="21">
        <v>1.23627</v>
      </c>
      <c r="AR116" s="21">
        <v>24.389299999999999</v>
      </c>
      <c r="AS116" s="21">
        <v>-1.40991E-2</v>
      </c>
      <c r="AT116" s="21">
        <v>106</v>
      </c>
      <c r="AU116" s="21">
        <v>1.23627</v>
      </c>
      <c r="AV116">
        <f t="shared" si="20"/>
        <v>17.406296296296293</v>
      </c>
      <c r="AW116">
        <f t="shared" si="21"/>
        <v>21.518881922222217</v>
      </c>
      <c r="AX116" s="9"/>
      <c r="AY116" s="21">
        <v>0.433807</v>
      </c>
      <c r="AZ116" s="21">
        <v>28.148099999999999</v>
      </c>
      <c r="BA116" s="21">
        <v>-1.4489699999999999E-2</v>
      </c>
      <c r="BB116" s="21">
        <v>106</v>
      </c>
      <c r="BC116" s="21">
        <v>0.433228</v>
      </c>
      <c r="BD116">
        <f t="shared" si="22"/>
        <v>17.888518518518516</v>
      </c>
      <c r="BE116">
        <f t="shared" si="23"/>
        <v>7.7601645529629621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1.23123</v>
      </c>
      <c r="H117" s="21">
        <v>3.9508800000000002</v>
      </c>
      <c r="I117" s="21">
        <v>-1.41724E-2</v>
      </c>
      <c r="J117" s="21">
        <v>107</v>
      </c>
      <c r="K117" s="21">
        <v>1.22986</v>
      </c>
      <c r="L117">
        <f t="shared" si="12"/>
        <v>17.496790123456787</v>
      </c>
      <c r="M117">
        <f t="shared" si="13"/>
        <v>21.5425729037037</v>
      </c>
      <c r="N117" s="9"/>
      <c r="O117" s="21">
        <v>0.43884299999999998</v>
      </c>
      <c r="P117" s="21">
        <v>7.7096400000000003</v>
      </c>
      <c r="Q117" s="21">
        <v>-1.4627100000000001E-2</v>
      </c>
      <c r="R117" s="21">
        <v>107</v>
      </c>
      <c r="S117" s="21">
        <v>0.438141</v>
      </c>
      <c r="T117">
        <f t="shared" si="14"/>
        <v>18.058148148148145</v>
      </c>
      <c r="U117">
        <f t="shared" si="15"/>
        <v>7.9246919077777767</v>
      </c>
      <c r="X117" s="9"/>
      <c r="Y117" s="21">
        <v>1.23123</v>
      </c>
      <c r="Z117" s="21">
        <v>15.1471</v>
      </c>
      <c r="AA117" s="21">
        <v>-1.40625E-2</v>
      </c>
      <c r="AB117" s="21">
        <v>107</v>
      </c>
      <c r="AC117" s="21">
        <v>1.2301599999999999</v>
      </c>
      <c r="AD117">
        <f t="shared" si="16"/>
        <v>17.361111111111111</v>
      </c>
      <c r="AE117">
        <f t="shared" si="17"/>
        <v>21.375520833333333</v>
      </c>
      <c r="AF117" s="9"/>
      <c r="AG117" s="21">
        <v>0.43884299999999998</v>
      </c>
      <c r="AH117" s="21">
        <v>18.905899999999999</v>
      </c>
      <c r="AI117" s="21">
        <v>-1.4471400000000001E-2</v>
      </c>
      <c r="AJ117" s="21">
        <v>107</v>
      </c>
      <c r="AK117" s="21">
        <v>0.43841599999999997</v>
      </c>
      <c r="AL117">
        <f t="shared" si="18"/>
        <v>17.865925925925925</v>
      </c>
      <c r="AM117">
        <f t="shared" si="19"/>
        <v>7.8403365311111104</v>
      </c>
      <c r="AP117" s="9"/>
      <c r="AQ117" s="21">
        <v>1.23123</v>
      </c>
      <c r="AR117" s="21">
        <v>24.3994</v>
      </c>
      <c r="AS117" s="21">
        <v>-1.40991E-2</v>
      </c>
      <c r="AT117" s="21">
        <v>107</v>
      </c>
      <c r="AU117" s="21">
        <v>1.23047</v>
      </c>
      <c r="AV117">
        <f t="shared" si="20"/>
        <v>17.406296296296293</v>
      </c>
      <c r="AW117">
        <f t="shared" si="21"/>
        <v>21.431154188888886</v>
      </c>
      <c r="AX117" s="9"/>
      <c r="AY117" s="21">
        <v>0.43884299999999998</v>
      </c>
      <c r="AZ117" s="21">
        <v>28.158100000000001</v>
      </c>
      <c r="BA117" s="21">
        <v>-1.44928E-2</v>
      </c>
      <c r="BB117" s="21">
        <v>107</v>
      </c>
      <c r="BC117" s="21">
        <v>0.43829299999999999</v>
      </c>
      <c r="BD117">
        <f t="shared" si="22"/>
        <v>17.892345679012344</v>
      </c>
      <c r="BE117">
        <f t="shared" si="23"/>
        <v>7.8519306548148133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1.2262</v>
      </c>
      <c r="H118" s="21">
        <v>3.96095</v>
      </c>
      <c r="I118" s="21">
        <v>-1.4175399999999999E-2</v>
      </c>
      <c r="J118" s="21">
        <v>108</v>
      </c>
      <c r="K118" s="21">
        <v>1.2252799999999999</v>
      </c>
      <c r="L118">
        <f t="shared" si="12"/>
        <v>17.500493827160494</v>
      </c>
      <c r="M118">
        <f t="shared" si="13"/>
        <v>21.459105530864196</v>
      </c>
      <c r="N118" s="9"/>
      <c r="O118" s="21">
        <v>0.44387799999999999</v>
      </c>
      <c r="P118" s="21">
        <v>7.7197100000000001</v>
      </c>
      <c r="Q118" s="21">
        <v>-1.46301E-2</v>
      </c>
      <c r="R118" s="21">
        <v>108</v>
      </c>
      <c r="S118" s="21">
        <v>0.44323699999999999</v>
      </c>
      <c r="T118">
        <f t="shared" si="14"/>
        <v>18.061851851851848</v>
      </c>
      <c r="U118">
        <f t="shared" si="15"/>
        <v>8.0172586762962954</v>
      </c>
      <c r="X118" s="9"/>
      <c r="Y118" s="21">
        <v>1.2262</v>
      </c>
      <c r="Z118" s="21">
        <v>15.1572</v>
      </c>
      <c r="AA118" s="21">
        <v>-1.40594E-2</v>
      </c>
      <c r="AB118" s="21">
        <v>108</v>
      </c>
      <c r="AC118" s="21">
        <v>1.22559</v>
      </c>
      <c r="AD118">
        <f t="shared" si="16"/>
        <v>17.357283950617283</v>
      </c>
      <c r="AE118">
        <f t="shared" si="17"/>
        <v>21.283501580246913</v>
      </c>
      <c r="AF118" s="9"/>
      <c r="AG118" s="21">
        <v>0.44387799999999999</v>
      </c>
      <c r="AH118" s="21">
        <v>18.916</v>
      </c>
      <c r="AI118" s="21">
        <v>-1.4471400000000001E-2</v>
      </c>
      <c r="AJ118" s="21">
        <v>108</v>
      </c>
      <c r="AK118" s="21">
        <v>0.44339000000000001</v>
      </c>
      <c r="AL118">
        <f t="shared" si="18"/>
        <v>17.865925925925925</v>
      </c>
      <c r="AM118">
        <f t="shared" si="19"/>
        <v>7.9302914681481473</v>
      </c>
      <c r="AP118" s="9"/>
      <c r="AQ118" s="21">
        <v>1.2262</v>
      </c>
      <c r="AR118" s="21">
        <v>24.409400000000002</v>
      </c>
      <c r="AS118" s="21">
        <v>-1.41022E-2</v>
      </c>
      <c r="AT118" s="21">
        <v>108</v>
      </c>
      <c r="AU118" s="21">
        <v>1.2258899999999999</v>
      </c>
      <c r="AV118">
        <f t="shared" si="20"/>
        <v>17.410123456790124</v>
      </c>
      <c r="AW118">
        <f t="shared" si="21"/>
        <v>21.348293382716051</v>
      </c>
      <c r="AX118" s="9"/>
      <c r="AY118" s="21">
        <v>0.44387799999999999</v>
      </c>
      <c r="AZ118" s="21">
        <v>28.168199999999999</v>
      </c>
      <c r="BA118" s="21">
        <v>-1.44867E-2</v>
      </c>
      <c r="BB118" s="21">
        <v>108</v>
      </c>
      <c r="BC118" s="21">
        <v>0.44329800000000003</v>
      </c>
      <c r="BD118">
        <f t="shared" si="22"/>
        <v>17.884814814814817</v>
      </c>
      <c r="BE118">
        <f t="shared" si="23"/>
        <v>7.9386758303703715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1.22116</v>
      </c>
      <c r="H119" s="21">
        <v>3.9710200000000002</v>
      </c>
      <c r="I119" s="21">
        <v>-1.41724E-2</v>
      </c>
      <c r="J119" s="21">
        <v>109</v>
      </c>
      <c r="K119" s="21">
        <v>1.2203999999999999</v>
      </c>
      <c r="L119">
        <f t="shared" si="12"/>
        <v>17.496790123456787</v>
      </c>
      <c r="M119">
        <f t="shared" si="13"/>
        <v>21.366380227160491</v>
      </c>
      <c r="N119" s="9"/>
      <c r="O119" s="21">
        <v>0.44891399999999998</v>
      </c>
      <c r="P119" s="21">
        <v>7.7297799999999999</v>
      </c>
      <c r="Q119" s="21">
        <v>-1.46301E-2</v>
      </c>
      <c r="R119" s="21">
        <v>109</v>
      </c>
      <c r="S119" s="21">
        <v>0.44830300000000001</v>
      </c>
      <c r="T119">
        <f t="shared" si="14"/>
        <v>18.061851851851848</v>
      </c>
      <c r="U119">
        <f t="shared" si="15"/>
        <v>8.1082181622222205</v>
      </c>
      <c r="X119" s="9"/>
      <c r="Y119" s="21">
        <v>1.22116</v>
      </c>
      <c r="Z119" s="21">
        <v>15.167299999999999</v>
      </c>
      <c r="AA119" s="21">
        <v>-1.4053299999999999E-2</v>
      </c>
      <c r="AB119" s="21">
        <v>109</v>
      </c>
      <c r="AC119" s="21">
        <v>1.2206999999999999</v>
      </c>
      <c r="AD119">
        <f t="shared" si="16"/>
        <v>17.349753086419753</v>
      </c>
      <c r="AE119">
        <f t="shared" si="17"/>
        <v>21.186824479012344</v>
      </c>
      <c r="AF119" s="9"/>
      <c r="AG119" s="21">
        <v>0.44891399999999998</v>
      </c>
      <c r="AH119" s="21">
        <v>18.925999999999998</v>
      </c>
      <c r="AI119" s="21">
        <v>-1.4471400000000001E-2</v>
      </c>
      <c r="AJ119" s="21">
        <v>109</v>
      </c>
      <c r="AK119" s="21">
        <v>0.44833400000000001</v>
      </c>
      <c r="AL119">
        <f t="shared" si="18"/>
        <v>17.865925925925925</v>
      </c>
      <c r="AM119">
        <f t="shared" si="19"/>
        <v>8.0202642711111096</v>
      </c>
      <c r="AP119" s="9"/>
      <c r="AQ119" s="21">
        <v>1.22116</v>
      </c>
      <c r="AR119" s="21">
        <v>24.419499999999999</v>
      </c>
      <c r="AS119" s="21">
        <v>-1.41052E-2</v>
      </c>
      <c r="AT119" s="21">
        <v>109</v>
      </c>
      <c r="AU119" s="21">
        <v>1.2206999999999999</v>
      </c>
      <c r="AV119">
        <f t="shared" si="20"/>
        <v>17.413827160493828</v>
      </c>
      <c r="AW119">
        <f t="shared" si="21"/>
        <v>21.265069175308643</v>
      </c>
      <c r="AX119" s="9"/>
      <c r="AY119" s="21">
        <v>0.44891399999999998</v>
      </c>
      <c r="AZ119" s="21">
        <v>28.1783</v>
      </c>
      <c r="BA119" s="21">
        <v>-1.4477500000000001E-2</v>
      </c>
      <c r="BB119" s="21">
        <v>109</v>
      </c>
      <c r="BC119" s="21">
        <v>0.44833400000000001</v>
      </c>
      <c r="BD119">
        <f t="shared" si="22"/>
        <v>17.873456790123456</v>
      </c>
      <c r="BE119">
        <f t="shared" si="23"/>
        <v>8.0236449814814801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1.2161299999999999</v>
      </c>
      <c r="H120" s="21">
        <v>3.98109</v>
      </c>
      <c r="I120" s="21">
        <v>-1.41724E-2</v>
      </c>
      <c r="J120" s="21">
        <v>110</v>
      </c>
      <c r="K120" s="21">
        <v>1.2155199999999999</v>
      </c>
      <c r="L120">
        <f t="shared" si="12"/>
        <v>17.496790123456787</v>
      </c>
      <c r="M120">
        <f t="shared" si="13"/>
        <v>21.278371372839501</v>
      </c>
      <c r="N120" s="9"/>
      <c r="O120" s="21">
        <v>0.45394899999999999</v>
      </c>
      <c r="P120" s="21">
        <v>7.7398600000000002</v>
      </c>
      <c r="Q120" s="21">
        <v>-1.46301E-2</v>
      </c>
      <c r="R120" s="21">
        <v>110</v>
      </c>
      <c r="S120" s="21">
        <v>0.45355200000000001</v>
      </c>
      <c r="T120">
        <f t="shared" si="14"/>
        <v>18.061851851851848</v>
      </c>
      <c r="U120">
        <f t="shared" si="15"/>
        <v>8.1991595862962949</v>
      </c>
      <c r="X120" s="9"/>
      <c r="Y120" s="21">
        <v>1.2161299999999999</v>
      </c>
      <c r="Z120" s="21">
        <v>15.177300000000001</v>
      </c>
      <c r="AA120" s="21">
        <v>-1.4047199999999999E-2</v>
      </c>
      <c r="AB120" s="21">
        <v>110</v>
      </c>
      <c r="AC120" s="21">
        <v>1.2149000000000001</v>
      </c>
      <c r="AD120">
        <f t="shared" si="16"/>
        <v>17.342222222222222</v>
      </c>
      <c r="AE120">
        <f t="shared" si="17"/>
        <v>21.090396711111111</v>
      </c>
      <c r="AF120" s="9"/>
      <c r="AG120" s="21">
        <v>0.45394899999999999</v>
      </c>
      <c r="AH120" s="21">
        <v>18.9361</v>
      </c>
      <c r="AI120" s="21">
        <v>-1.44745E-2</v>
      </c>
      <c r="AJ120" s="21">
        <v>110</v>
      </c>
      <c r="AK120" s="21">
        <v>0.45349099999999998</v>
      </c>
      <c r="AL120">
        <f t="shared" si="18"/>
        <v>17.869753086419752</v>
      </c>
      <c r="AM120">
        <f t="shared" si="19"/>
        <v>8.1119565438271604</v>
      </c>
      <c r="AP120" s="9"/>
      <c r="AQ120" s="21">
        <v>1.2161299999999999</v>
      </c>
      <c r="AR120" s="21">
        <v>24.429600000000001</v>
      </c>
      <c r="AS120" s="21">
        <v>-1.41022E-2</v>
      </c>
      <c r="AT120" s="21">
        <v>110</v>
      </c>
      <c r="AU120" s="21">
        <v>1.2152099999999999</v>
      </c>
      <c r="AV120">
        <f t="shared" si="20"/>
        <v>17.410123456790124</v>
      </c>
      <c r="AW120">
        <f t="shared" si="21"/>
        <v>21.172973439506173</v>
      </c>
      <c r="AX120" s="9"/>
      <c r="AY120" s="21">
        <v>0.45394899999999999</v>
      </c>
      <c r="AZ120" s="21">
        <v>28.188300000000002</v>
      </c>
      <c r="BA120" s="21">
        <v>-1.4477500000000001E-2</v>
      </c>
      <c r="BB120" s="21">
        <v>110</v>
      </c>
      <c r="BC120" s="21">
        <v>0.45343</v>
      </c>
      <c r="BD120">
        <f t="shared" si="22"/>
        <v>17.873456790123456</v>
      </c>
      <c r="BE120">
        <f t="shared" si="23"/>
        <v>8.1136378364197519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1.21109</v>
      </c>
      <c r="H121" s="21">
        <v>3.9911599999999998</v>
      </c>
      <c r="I121" s="21">
        <v>-1.41785E-2</v>
      </c>
      <c r="J121" s="21">
        <v>111</v>
      </c>
      <c r="K121" s="21">
        <v>1.2106300000000001</v>
      </c>
      <c r="L121">
        <f t="shared" si="12"/>
        <v>17.504320987654321</v>
      </c>
      <c r="M121">
        <f t="shared" si="13"/>
        <v>21.199308104938272</v>
      </c>
      <c r="N121" s="9"/>
      <c r="O121" s="21">
        <v>0.458984</v>
      </c>
      <c r="P121" s="21">
        <v>7.74993</v>
      </c>
      <c r="Q121" s="21">
        <v>-1.46301E-2</v>
      </c>
      <c r="R121" s="21">
        <v>111</v>
      </c>
      <c r="S121" s="21">
        <v>0.45849600000000001</v>
      </c>
      <c r="T121">
        <f t="shared" si="14"/>
        <v>18.061851851851848</v>
      </c>
      <c r="U121">
        <f t="shared" si="15"/>
        <v>8.2901010103703694</v>
      </c>
      <c r="X121" s="9"/>
      <c r="Y121" s="21">
        <v>1.21109</v>
      </c>
      <c r="Z121" s="21">
        <v>15.1874</v>
      </c>
      <c r="AA121" s="21">
        <v>-1.40503E-2</v>
      </c>
      <c r="AB121" s="21">
        <v>111</v>
      </c>
      <c r="AC121" s="21">
        <v>1.2097199999999999</v>
      </c>
      <c r="AD121">
        <f t="shared" si="16"/>
        <v>17.34604938271605</v>
      </c>
      <c r="AE121">
        <f t="shared" si="17"/>
        <v>21.007626946913582</v>
      </c>
      <c r="AF121" s="9"/>
      <c r="AG121" s="21">
        <v>0.458984</v>
      </c>
      <c r="AH121" s="21">
        <v>18.946200000000001</v>
      </c>
      <c r="AI121" s="21">
        <v>-1.4471400000000001E-2</v>
      </c>
      <c r="AJ121" s="21">
        <v>111</v>
      </c>
      <c r="AK121" s="21">
        <v>0.45840500000000001</v>
      </c>
      <c r="AL121">
        <f t="shared" si="18"/>
        <v>17.865925925925925</v>
      </c>
      <c r="AM121">
        <f t="shared" si="19"/>
        <v>8.2001741451851853</v>
      </c>
      <c r="AP121" s="9"/>
      <c r="AQ121" s="21">
        <v>1.21109</v>
      </c>
      <c r="AR121" s="21">
        <v>24.439599999999999</v>
      </c>
      <c r="AS121" s="21">
        <v>-1.40991E-2</v>
      </c>
      <c r="AT121" s="21">
        <v>111</v>
      </c>
      <c r="AU121" s="21">
        <v>1.2106300000000001</v>
      </c>
      <c r="AV121">
        <f t="shared" si="20"/>
        <v>17.406296296296293</v>
      </c>
      <c r="AW121">
        <f t="shared" si="21"/>
        <v>21.080591381481479</v>
      </c>
      <c r="AX121" s="9"/>
      <c r="AY121" s="21">
        <v>0.458984</v>
      </c>
      <c r="AZ121" s="21">
        <v>28.198399999999999</v>
      </c>
      <c r="BA121" s="21">
        <v>-1.4489699999999999E-2</v>
      </c>
      <c r="BB121" s="21">
        <v>111</v>
      </c>
      <c r="BC121" s="21">
        <v>0.45843499999999998</v>
      </c>
      <c r="BD121">
        <f t="shared" si="22"/>
        <v>17.888518518518516</v>
      </c>
      <c r="BE121">
        <f t="shared" si="23"/>
        <v>8.2105437837037023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1.2060500000000001</v>
      </c>
      <c r="H122" s="21">
        <v>4.0012299999999996</v>
      </c>
      <c r="I122" s="21">
        <v>-1.41785E-2</v>
      </c>
      <c r="J122" s="21">
        <v>112</v>
      </c>
      <c r="K122" s="21">
        <v>1.2057500000000001</v>
      </c>
      <c r="L122">
        <f t="shared" si="12"/>
        <v>17.504320987654321</v>
      </c>
      <c r="M122">
        <f t="shared" si="13"/>
        <v>21.111086327160496</v>
      </c>
      <c r="N122" s="9"/>
      <c r="O122" s="21">
        <v>0.46401999999999999</v>
      </c>
      <c r="P122" s="21">
        <v>7.76</v>
      </c>
      <c r="Q122" s="21">
        <v>-1.4627100000000001E-2</v>
      </c>
      <c r="R122" s="21">
        <v>112</v>
      </c>
      <c r="S122" s="21">
        <v>0.46344000000000002</v>
      </c>
      <c r="T122">
        <f t="shared" si="14"/>
        <v>18.058148148148145</v>
      </c>
      <c r="U122">
        <f t="shared" si="15"/>
        <v>8.3793419037037022</v>
      </c>
      <c r="X122" s="9"/>
      <c r="Y122" s="21">
        <v>1.2060500000000001</v>
      </c>
      <c r="Z122" s="21">
        <v>15.1975</v>
      </c>
      <c r="AA122" s="21">
        <v>-1.40594E-2</v>
      </c>
      <c r="AB122" s="21">
        <v>112</v>
      </c>
      <c r="AC122" s="21">
        <v>1.2054400000000001</v>
      </c>
      <c r="AD122">
        <f t="shared" si="16"/>
        <v>17.357283950617283</v>
      </c>
      <c r="AE122">
        <f t="shared" si="17"/>
        <v>20.933752308641974</v>
      </c>
      <c r="AF122" s="9"/>
      <c r="AG122" s="21">
        <v>0.46401999999999999</v>
      </c>
      <c r="AH122" s="21">
        <v>18.956299999999999</v>
      </c>
      <c r="AI122" s="21">
        <v>-1.44745E-2</v>
      </c>
      <c r="AJ122" s="21">
        <v>112</v>
      </c>
      <c r="AK122" s="21">
        <v>0.46340900000000002</v>
      </c>
      <c r="AL122">
        <f t="shared" si="18"/>
        <v>17.869753086419752</v>
      </c>
      <c r="AM122">
        <f t="shared" si="19"/>
        <v>8.2919228271604926</v>
      </c>
      <c r="AP122" s="9"/>
      <c r="AQ122" s="21">
        <v>1.2060500000000001</v>
      </c>
      <c r="AR122" s="21">
        <v>24.4497</v>
      </c>
      <c r="AS122" s="21">
        <v>-1.41113E-2</v>
      </c>
      <c r="AT122" s="21">
        <v>112</v>
      </c>
      <c r="AU122" s="21">
        <v>1.2048300000000001</v>
      </c>
      <c r="AV122">
        <f t="shared" si="20"/>
        <v>17.421358024691358</v>
      </c>
      <c r="AW122">
        <f t="shared" si="21"/>
        <v>21.011028845679014</v>
      </c>
      <c r="AX122" s="9"/>
      <c r="AY122" s="21">
        <v>0.46401999999999999</v>
      </c>
      <c r="AZ122" s="21">
        <v>28.208500000000001</v>
      </c>
      <c r="BA122" s="21">
        <v>-1.44867E-2</v>
      </c>
      <c r="BB122" s="21">
        <v>112</v>
      </c>
      <c r="BC122" s="21">
        <v>0.46353100000000003</v>
      </c>
      <c r="BD122">
        <f t="shared" si="22"/>
        <v>17.884814814814817</v>
      </c>
      <c r="BE122">
        <f t="shared" si="23"/>
        <v>8.2989117703703705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1.20102</v>
      </c>
      <c r="H123" s="21">
        <v>4.0113000000000003</v>
      </c>
      <c r="I123" s="21">
        <v>-1.41815E-2</v>
      </c>
      <c r="J123" s="21">
        <v>113</v>
      </c>
      <c r="K123" s="21">
        <v>1.1999500000000001</v>
      </c>
      <c r="L123">
        <f t="shared" si="12"/>
        <v>17.508024691358024</v>
      </c>
      <c r="M123">
        <f t="shared" si="13"/>
        <v>21.027487814814812</v>
      </c>
      <c r="N123" s="9"/>
      <c r="O123" s="21">
        <v>0.469055</v>
      </c>
      <c r="P123" s="21">
        <v>7.7700699999999996</v>
      </c>
      <c r="Q123" s="21">
        <v>-1.4639299999999999E-2</v>
      </c>
      <c r="R123" s="21">
        <v>113</v>
      </c>
      <c r="S123" s="21">
        <v>0.468445</v>
      </c>
      <c r="T123">
        <f t="shared" si="14"/>
        <v>18.07320987654321</v>
      </c>
      <c r="U123">
        <f t="shared" si="15"/>
        <v>8.4773294586419752</v>
      </c>
      <c r="X123" s="9"/>
      <c r="Y123" s="21">
        <v>1.20102</v>
      </c>
      <c r="Z123" s="21">
        <v>15.207599999999999</v>
      </c>
      <c r="AA123" s="21">
        <v>-1.4074700000000001E-2</v>
      </c>
      <c r="AB123" s="21">
        <v>113</v>
      </c>
      <c r="AC123" s="21">
        <v>1.2002600000000001</v>
      </c>
      <c r="AD123">
        <f t="shared" si="16"/>
        <v>17.376172839506172</v>
      </c>
      <c r="AE123">
        <f t="shared" si="17"/>
        <v>20.869131103703701</v>
      </c>
      <c r="AF123" s="9"/>
      <c r="AG123" s="21">
        <v>0.469055</v>
      </c>
      <c r="AH123" s="21">
        <v>18.9663</v>
      </c>
      <c r="AI123" s="21">
        <v>-1.44653E-2</v>
      </c>
      <c r="AJ123" s="21">
        <v>113</v>
      </c>
      <c r="AK123" s="21">
        <v>0.468414</v>
      </c>
      <c r="AL123">
        <f t="shared" si="18"/>
        <v>17.858395061728395</v>
      </c>
      <c r="AM123">
        <f t="shared" si="19"/>
        <v>8.3765694956790124</v>
      </c>
      <c r="AP123" s="9"/>
      <c r="AQ123" s="21">
        <v>1.20102</v>
      </c>
      <c r="AR123" s="21">
        <v>24.459800000000001</v>
      </c>
      <c r="AS123" s="21">
        <v>-1.4123500000000001E-2</v>
      </c>
      <c r="AT123" s="21">
        <v>113</v>
      </c>
      <c r="AU123" s="21">
        <v>1.2002600000000001</v>
      </c>
      <c r="AV123">
        <f t="shared" si="20"/>
        <v>17.436419753086419</v>
      </c>
      <c r="AW123">
        <f t="shared" si="21"/>
        <v>20.941488851851851</v>
      </c>
      <c r="AX123" s="9"/>
      <c r="AY123" s="21">
        <v>0.469055</v>
      </c>
      <c r="AZ123" s="21">
        <v>28.218499999999999</v>
      </c>
      <c r="BA123" s="21">
        <v>-1.44867E-2</v>
      </c>
      <c r="BB123" s="21">
        <v>113</v>
      </c>
      <c r="BC123" s="21">
        <v>0.46847499999999997</v>
      </c>
      <c r="BD123">
        <f t="shared" si="22"/>
        <v>17.884814814814817</v>
      </c>
      <c r="BE123">
        <f t="shared" si="23"/>
        <v>8.3889618129629646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1.19598</v>
      </c>
      <c r="H124" s="21">
        <v>4.0213700000000001</v>
      </c>
      <c r="I124" s="21">
        <v>-1.4190700000000001E-2</v>
      </c>
      <c r="J124" s="21">
        <v>114</v>
      </c>
      <c r="K124" s="21">
        <v>1.1950700000000001</v>
      </c>
      <c r="L124">
        <f t="shared" si="12"/>
        <v>17.519382716049382</v>
      </c>
      <c r="M124">
        <f t="shared" si="13"/>
        <v>20.95283134074074</v>
      </c>
      <c r="N124" s="9"/>
      <c r="O124" s="21">
        <v>0.47409099999999998</v>
      </c>
      <c r="P124" s="21">
        <v>7.7801400000000003</v>
      </c>
      <c r="Q124" s="21">
        <v>-1.4645399999999999E-2</v>
      </c>
      <c r="R124" s="21">
        <v>114</v>
      </c>
      <c r="S124" s="21">
        <v>0.47351100000000002</v>
      </c>
      <c r="T124">
        <f t="shared" si="14"/>
        <v>18.080740740740737</v>
      </c>
      <c r="U124">
        <f t="shared" si="15"/>
        <v>8.5719164585185172</v>
      </c>
      <c r="X124" s="9"/>
      <c r="Y124" s="21">
        <v>1.19598</v>
      </c>
      <c r="Z124" s="21">
        <v>15.217599999999999</v>
      </c>
      <c r="AA124" s="21">
        <v>-1.40839E-2</v>
      </c>
      <c r="AB124" s="21">
        <v>114</v>
      </c>
      <c r="AC124" s="21">
        <v>1.1944600000000001</v>
      </c>
      <c r="AD124">
        <f t="shared" si="16"/>
        <v>17.387530864197529</v>
      </c>
      <c r="AE124">
        <f t="shared" si="17"/>
        <v>20.795139162962961</v>
      </c>
      <c r="AF124" s="9"/>
      <c r="AG124" s="21">
        <v>0.47409099999999998</v>
      </c>
      <c r="AH124" s="21">
        <v>18.976400000000002</v>
      </c>
      <c r="AI124" s="21">
        <v>-1.44501E-2</v>
      </c>
      <c r="AJ124" s="21">
        <v>114</v>
      </c>
      <c r="AK124" s="21">
        <v>0.47341899999999998</v>
      </c>
      <c r="AL124">
        <f t="shared" si="18"/>
        <v>17.839629629629631</v>
      </c>
      <c r="AM124">
        <f t="shared" si="19"/>
        <v>8.4576078507407413</v>
      </c>
      <c r="AP124" s="9"/>
      <c r="AQ124" s="21">
        <v>1.19598</v>
      </c>
      <c r="AR124" s="21">
        <v>24.469899999999999</v>
      </c>
      <c r="AS124" s="21">
        <v>-1.4135699999999999E-2</v>
      </c>
      <c r="AT124" s="21">
        <v>114</v>
      </c>
      <c r="AU124" s="21">
        <v>1.1950700000000001</v>
      </c>
      <c r="AV124">
        <f t="shared" si="20"/>
        <v>17.45148148148148</v>
      </c>
      <c r="AW124">
        <f t="shared" si="21"/>
        <v>20.871622822222221</v>
      </c>
      <c r="AX124" s="9"/>
      <c r="AY124" s="21">
        <v>0.47409099999999998</v>
      </c>
      <c r="AZ124" s="21">
        <v>28.2286</v>
      </c>
      <c r="BA124" s="21">
        <v>-1.44806E-2</v>
      </c>
      <c r="BB124" s="21">
        <v>114</v>
      </c>
      <c r="BC124" s="21">
        <v>0.47344999999999998</v>
      </c>
      <c r="BD124">
        <f t="shared" si="22"/>
        <v>17.877283950617283</v>
      </c>
      <c r="BE124">
        <f t="shared" si="23"/>
        <v>8.4754594254320974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1.19095</v>
      </c>
      <c r="H125" s="21">
        <v>4.0314399999999999</v>
      </c>
      <c r="I125" s="21">
        <v>-1.4202899999999999E-2</v>
      </c>
      <c r="J125" s="21">
        <v>115</v>
      </c>
      <c r="K125" s="21">
        <v>1.19049</v>
      </c>
      <c r="L125">
        <f t="shared" si="12"/>
        <v>17.534444444444443</v>
      </c>
      <c r="M125">
        <f t="shared" si="13"/>
        <v>20.88264661111111</v>
      </c>
      <c r="N125" s="9"/>
      <c r="O125" s="21">
        <v>0.479126</v>
      </c>
      <c r="P125" s="21">
        <v>7.7902100000000001</v>
      </c>
      <c r="Q125" s="21">
        <v>-1.4648400000000001E-2</v>
      </c>
      <c r="R125" s="21">
        <v>115</v>
      </c>
      <c r="S125" s="21">
        <v>0.47848499999999999</v>
      </c>
      <c r="T125">
        <f t="shared" si="14"/>
        <v>18.084444444444443</v>
      </c>
      <c r="U125">
        <f t="shared" si="15"/>
        <v>8.6647275288888892</v>
      </c>
      <c r="X125" s="9"/>
      <c r="Y125" s="21">
        <v>1.19095</v>
      </c>
      <c r="Z125" s="21">
        <v>15.2277</v>
      </c>
      <c r="AA125" s="21">
        <v>-1.40961E-2</v>
      </c>
      <c r="AB125" s="21">
        <v>115</v>
      </c>
      <c r="AC125" s="21">
        <v>1.1901900000000001</v>
      </c>
      <c r="AD125">
        <f t="shared" si="16"/>
        <v>17.40259259259259</v>
      </c>
      <c r="AE125">
        <f t="shared" si="17"/>
        <v>20.725617648148145</v>
      </c>
      <c r="AF125" s="9"/>
      <c r="AG125" s="21">
        <v>0.479126</v>
      </c>
      <c r="AH125" s="21">
        <v>18.986499999999999</v>
      </c>
      <c r="AI125" s="21">
        <v>-1.44409E-2</v>
      </c>
      <c r="AJ125" s="21">
        <v>115</v>
      </c>
      <c r="AK125" s="21">
        <v>0.47839399999999999</v>
      </c>
      <c r="AL125">
        <f t="shared" si="18"/>
        <v>17.828271604938269</v>
      </c>
      <c r="AM125">
        <f t="shared" si="19"/>
        <v>8.5419884609876533</v>
      </c>
      <c r="AP125" s="9"/>
      <c r="AQ125" s="21">
        <v>1.19095</v>
      </c>
      <c r="AR125" s="21">
        <v>24.479900000000001</v>
      </c>
      <c r="AS125" s="21">
        <v>-1.41327E-2</v>
      </c>
      <c r="AT125" s="21">
        <v>115</v>
      </c>
      <c r="AU125" s="21">
        <v>1.1901900000000001</v>
      </c>
      <c r="AV125">
        <f t="shared" si="20"/>
        <v>17.447777777777777</v>
      </c>
      <c r="AW125">
        <f t="shared" si="21"/>
        <v>20.779430944444442</v>
      </c>
      <c r="AX125" s="9"/>
      <c r="AY125" s="21">
        <v>0.479126</v>
      </c>
      <c r="AZ125" s="21">
        <v>28.238700000000001</v>
      </c>
      <c r="BA125" s="21">
        <v>-1.4477500000000001E-2</v>
      </c>
      <c r="BB125" s="21">
        <v>115</v>
      </c>
      <c r="BC125" s="21">
        <v>0.47857699999999997</v>
      </c>
      <c r="BD125">
        <f t="shared" si="22"/>
        <v>17.873456790123456</v>
      </c>
      <c r="BE125">
        <f t="shared" si="23"/>
        <v>8.5636378580246912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1.18591</v>
      </c>
      <c r="H126" s="21">
        <v>4.0415200000000002</v>
      </c>
      <c r="I126" s="21">
        <v>-1.42212E-2</v>
      </c>
      <c r="J126" s="21">
        <v>116</v>
      </c>
      <c r="K126" s="21">
        <v>1.1850000000000001</v>
      </c>
      <c r="L126">
        <f t="shared" si="12"/>
        <v>17.557037037037034</v>
      </c>
      <c r="M126">
        <f t="shared" si="13"/>
        <v>20.821065792592588</v>
      </c>
      <c r="N126" s="9"/>
      <c r="O126" s="21">
        <v>0.48416100000000001</v>
      </c>
      <c r="P126" s="21">
        <v>7.8002799999999999</v>
      </c>
      <c r="Q126" s="21">
        <v>-1.46423E-2</v>
      </c>
      <c r="R126" s="21">
        <v>116</v>
      </c>
      <c r="S126" s="21">
        <v>0.48352099999999998</v>
      </c>
      <c r="T126">
        <f t="shared" si="14"/>
        <v>18.076913580246913</v>
      </c>
      <c r="U126">
        <f t="shared" si="15"/>
        <v>8.7521365559259259</v>
      </c>
      <c r="X126" s="9"/>
      <c r="Y126" s="21">
        <v>1.18591</v>
      </c>
      <c r="Z126" s="21">
        <v>15.2378</v>
      </c>
      <c r="AA126" s="21">
        <v>-1.41113E-2</v>
      </c>
      <c r="AB126" s="21">
        <v>116</v>
      </c>
      <c r="AC126" s="21">
        <v>1.1850000000000001</v>
      </c>
      <c r="AD126">
        <f t="shared" si="16"/>
        <v>17.421358024691358</v>
      </c>
      <c r="AE126">
        <f t="shared" si="17"/>
        <v>20.660162695061729</v>
      </c>
      <c r="AF126" s="9"/>
      <c r="AG126" s="21">
        <v>0.48416100000000001</v>
      </c>
      <c r="AH126" s="21">
        <v>18.996500000000001</v>
      </c>
      <c r="AI126" s="21">
        <v>-1.44318E-2</v>
      </c>
      <c r="AJ126" s="21">
        <v>116</v>
      </c>
      <c r="AK126" s="21">
        <v>0.48358200000000001</v>
      </c>
      <c r="AL126">
        <f t="shared" si="18"/>
        <v>17.817037037037036</v>
      </c>
      <c r="AM126">
        <f t="shared" si="19"/>
        <v>8.6263144688888875</v>
      </c>
      <c r="AP126" s="9"/>
      <c r="AQ126" s="21">
        <v>1.18591</v>
      </c>
      <c r="AR126" s="21">
        <v>24.49</v>
      </c>
      <c r="AS126" s="21">
        <v>-1.4135699999999999E-2</v>
      </c>
      <c r="AT126" s="21">
        <v>116</v>
      </c>
      <c r="AU126" s="21">
        <v>1.1853</v>
      </c>
      <c r="AV126">
        <f t="shared" si="20"/>
        <v>17.45148148148148</v>
      </c>
      <c r="AW126">
        <f t="shared" si="21"/>
        <v>20.695886403703703</v>
      </c>
      <c r="AX126" s="9"/>
      <c r="AY126" s="21">
        <v>0.48416100000000001</v>
      </c>
      <c r="AZ126" s="21">
        <v>28.248799999999999</v>
      </c>
      <c r="BA126" s="21">
        <v>-1.44745E-2</v>
      </c>
      <c r="BB126" s="21">
        <v>116</v>
      </c>
      <c r="BC126" s="21">
        <v>0.48364299999999999</v>
      </c>
      <c r="BD126">
        <f t="shared" si="22"/>
        <v>17.869753086419752</v>
      </c>
      <c r="BE126">
        <f t="shared" si="23"/>
        <v>8.6518375240740735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1.1808799999999999</v>
      </c>
      <c r="H127" s="21">
        <v>4.05159</v>
      </c>
      <c r="I127" s="21">
        <v>-1.42334E-2</v>
      </c>
      <c r="J127" s="21">
        <v>117</v>
      </c>
      <c r="K127" s="21">
        <v>1.17981</v>
      </c>
      <c r="L127">
        <f t="shared" si="12"/>
        <v>17.572098765432099</v>
      </c>
      <c r="M127">
        <f t="shared" si="13"/>
        <v>20.750539990123457</v>
      </c>
      <c r="N127" s="9"/>
      <c r="O127" s="21">
        <v>0.48919699999999999</v>
      </c>
      <c r="P127" s="21">
        <v>7.8103499999999997</v>
      </c>
      <c r="Q127" s="21">
        <v>-1.46423E-2</v>
      </c>
      <c r="R127" s="21">
        <v>117</v>
      </c>
      <c r="S127" s="21">
        <v>0.48855599999999999</v>
      </c>
      <c r="T127">
        <f t="shared" si="14"/>
        <v>18.076913580246913</v>
      </c>
      <c r="U127">
        <f t="shared" si="15"/>
        <v>8.8431718927160485</v>
      </c>
      <c r="X127" s="9"/>
      <c r="Y127" s="21">
        <v>1.1808799999999999</v>
      </c>
      <c r="Z127" s="21">
        <v>15.2478</v>
      </c>
      <c r="AA127" s="21">
        <v>-1.41174E-2</v>
      </c>
      <c r="AB127" s="21">
        <v>117</v>
      </c>
      <c r="AC127" s="21">
        <v>1.18011</v>
      </c>
      <c r="AD127">
        <f t="shared" si="16"/>
        <v>17.428888888888888</v>
      </c>
      <c r="AE127">
        <f t="shared" si="17"/>
        <v>20.581426311111109</v>
      </c>
      <c r="AF127" s="9"/>
      <c r="AG127" s="21">
        <v>0.48919699999999999</v>
      </c>
      <c r="AH127" s="21">
        <v>19.006599999999999</v>
      </c>
      <c r="AI127" s="21">
        <v>-1.44379E-2</v>
      </c>
      <c r="AJ127" s="21">
        <v>117</v>
      </c>
      <c r="AK127" s="21">
        <v>0.488647</v>
      </c>
      <c r="AL127">
        <f t="shared" si="18"/>
        <v>17.824567901234566</v>
      </c>
      <c r="AM127">
        <f t="shared" si="19"/>
        <v>8.7197251435802468</v>
      </c>
      <c r="AP127" s="9"/>
      <c r="AQ127" s="21">
        <v>1.1808799999999999</v>
      </c>
      <c r="AR127" s="21">
        <v>24.5001</v>
      </c>
      <c r="AS127" s="21">
        <v>-1.41327E-2</v>
      </c>
      <c r="AT127" s="21">
        <v>117</v>
      </c>
      <c r="AU127" s="21">
        <v>1.1807300000000001</v>
      </c>
      <c r="AV127">
        <f t="shared" si="20"/>
        <v>17.447777777777777</v>
      </c>
      <c r="AW127">
        <f t="shared" si="21"/>
        <v>20.603731822222219</v>
      </c>
      <c r="AX127" s="9"/>
      <c r="AY127" s="21">
        <v>0.48919699999999999</v>
      </c>
      <c r="AZ127" s="21">
        <v>28.258800000000001</v>
      </c>
      <c r="BA127" s="21">
        <v>-1.44745E-2</v>
      </c>
      <c r="BB127" s="21">
        <v>117</v>
      </c>
      <c r="BC127" s="21">
        <v>0.48861700000000002</v>
      </c>
      <c r="BD127">
        <f t="shared" si="22"/>
        <v>17.869753086419752</v>
      </c>
      <c r="BE127">
        <f t="shared" si="23"/>
        <v>8.7418296006172831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1.17584</v>
      </c>
      <c r="H128" s="21">
        <v>4.0616599999999998</v>
      </c>
      <c r="I128" s="21">
        <v>-1.4251700000000001E-2</v>
      </c>
      <c r="J128" s="21">
        <v>118</v>
      </c>
      <c r="K128" s="21">
        <v>1.17523</v>
      </c>
      <c r="L128">
        <f t="shared" si="12"/>
        <v>17.594691358024694</v>
      </c>
      <c r="M128">
        <f t="shared" si="13"/>
        <v>20.688541886419756</v>
      </c>
      <c r="N128" s="9"/>
      <c r="O128" s="21">
        <v>0.494232</v>
      </c>
      <c r="P128" s="21">
        <v>7.8204200000000004</v>
      </c>
      <c r="Q128" s="21">
        <v>-1.46362E-2</v>
      </c>
      <c r="R128" s="21">
        <v>118</v>
      </c>
      <c r="S128" s="21">
        <v>0.49365199999999998</v>
      </c>
      <c r="T128">
        <f t="shared" si="14"/>
        <v>18.069382716049383</v>
      </c>
      <c r="U128">
        <f t="shared" si="15"/>
        <v>8.9304671585185194</v>
      </c>
      <c r="X128" s="9"/>
      <c r="Y128" s="21">
        <v>1.17584</v>
      </c>
      <c r="Z128" s="21">
        <v>15.257899999999999</v>
      </c>
      <c r="AA128" s="21">
        <v>-1.41174E-2</v>
      </c>
      <c r="AB128" s="21">
        <v>118</v>
      </c>
      <c r="AC128" s="21">
        <v>1.17462</v>
      </c>
      <c r="AD128">
        <f t="shared" si="16"/>
        <v>17.428888888888888</v>
      </c>
      <c r="AE128">
        <f t="shared" si="17"/>
        <v>20.493584711111112</v>
      </c>
      <c r="AF128" s="9"/>
      <c r="AG128" s="21">
        <v>0.494232</v>
      </c>
      <c r="AH128" s="21">
        <v>19.0167</v>
      </c>
      <c r="AI128" s="21">
        <v>-1.4444E-2</v>
      </c>
      <c r="AJ128" s="21">
        <v>118</v>
      </c>
      <c r="AK128" s="21">
        <v>0.49368299999999998</v>
      </c>
      <c r="AL128">
        <f t="shared" si="18"/>
        <v>17.832098765432097</v>
      </c>
      <c r="AM128">
        <f t="shared" si="19"/>
        <v>8.8131938370370353</v>
      </c>
      <c r="AP128" s="9"/>
      <c r="AQ128" s="21">
        <v>1.17584</v>
      </c>
      <c r="AR128" s="21">
        <v>24.510100000000001</v>
      </c>
      <c r="AS128" s="21">
        <v>-1.4123500000000001E-2</v>
      </c>
      <c r="AT128" s="21">
        <v>118</v>
      </c>
      <c r="AU128" s="21">
        <v>1.17493</v>
      </c>
      <c r="AV128">
        <f t="shared" si="20"/>
        <v>17.436419753086419</v>
      </c>
      <c r="AW128">
        <f t="shared" si="21"/>
        <v>20.502439802469134</v>
      </c>
      <c r="AX128" s="9"/>
      <c r="AY128" s="21">
        <v>0.494232</v>
      </c>
      <c r="AZ128" s="21">
        <v>28.268899999999999</v>
      </c>
      <c r="BA128" s="21">
        <v>-1.44806E-2</v>
      </c>
      <c r="BB128" s="21">
        <v>118</v>
      </c>
      <c r="BC128" s="21">
        <v>0.49365199999999998</v>
      </c>
      <c r="BD128">
        <f t="shared" si="22"/>
        <v>17.877283950617283</v>
      </c>
      <c r="BE128">
        <f t="shared" si="23"/>
        <v>8.8355258014814808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1.1708099999999999</v>
      </c>
      <c r="H129" s="21">
        <v>4.0717299999999996</v>
      </c>
      <c r="I129" s="21">
        <v>-1.42548E-2</v>
      </c>
      <c r="J129" s="21">
        <v>119</v>
      </c>
      <c r="K129" s="21">
        <v>1.16974</v>
      </c>
      <c r="L129">
        <f t="shared" si="12"/>
        <v>17.598518518518517</v>
      </c>
      <c r="M129">
        <f t="shared" si="13"/>
        <v>20.604521466666665</v>
      </c>
      <c r="N129" s="9"/>
      <c r="O129" s="21">
        <v>0.49926799999999999</v>
      </c>
      <c r="P129" s="21">
        <v>7.8304900000000002</v>
      </c>
      <c r="Q129" s="21">
        <v>-1.46362E-2</v>
      </c>
      <c r="R129" s="21">
        <v>119</v>
      </c>
      <c r="S129" s="21">
        <v>0.49871799999999999</v>
      </c>
      <c r="T129">
        <f t="shared" si="14"/>
        <v>18.069382716049383</v>
      </c>
      <c r="U129">
        <f t="shared" si="15"/>
        <v>9.0214645698765423</v>
      </c>
      <c r="X129" s="9"/>
      <c r="Y129" s="21">
        <v>1.1708099999999999</v>
      </c>
      <c r="Z129" s="21">
        <v>15.268000000000001</v>
      </c>
      <c r="AA129" s="21">
        <v>-1.4120499999999999E-2</v>
      </c>
      <c r="AB129" s="21">
        <v>119</v>
      </c>
      <c r="AC129" s="21">
        <v>1.17035</v>
      </c>
      <c r="AD129">
        <f t="shared" si="16"/>
        <v>17.432716049382716</v>
      </c>
      <c r="AE129">
        <f t="shared" si="17"/>
        <v>20.410398277777777</v>
      </c>
      <c r="AF129" s="9"/>
      <c r="AG129" s="21">
        <v>0.49926799999999999</v>
      </c>
      <c r="AH129" s="21">
        <v>19.026700000000002</v>
      </c>
      <c r="AI129" s="21">
        <v>-1.44379E-2</v>
      </c>
      <c r="AJ129" s="21">
        <v>119</v>
      </c>
      <c r="AK129" s="21">
        <v>0.49865700000000002</v>
      </c>
      <c r="AL129">
        <f t="shared" si="18"/>
        <v>17.824567901234566</v>
      </c>
      <c r="AM129">
        <f t="shared" si="19"/>
        <v>8.8992363669135788</v>
      </c>
      <c r="AP129" s="9"/>
      <c r="AQ129" s="21">
        <v>1.1708099999999999</v>
      </c>
      <c r="AR129" s="21">
        <v>24.520199999999999</v>
      </c>
      <c r="AS129" s="21">
        <v>-1.4123500000000001E-2</v>
      </c>
      <c r="AT129" s="21">
        <v>119</v>
      </c>
      <c r="AU129" s="21">
        <v>1.16974</v>
      </c>
      <c r="AV129">
        <f t="shared" si="20"/>
        <v>17.436419753086419</v>
      </c>
      <c r="AW129">
        <f t="shared" si="21"/>
        <v>20.414734611111108</v>
      </c>
      <c r="AX129" s="9"/>
      <c r="AY129" s="21">
        <v>0.49926799999999999</v>
      </c>
      <c r="AZ129" s="21">
        <v>28.279</v>
      </c>
      <c r="BA129" s="21">
        <v>-1.4477500000000001E-2</v>
      </c>
      <c r="BB129" s="21">
        <v>119</v>
      </c>
      <c r="BC129" s="21">
        <v>0.49868800000000002</v>
      </c>
      <c r="BD129">
        <f t="shared" si="22"/>
        <v>17.873456790123456</v>
      </c>
      <c r="BE129">
        <f t="shared" si="23"/>
        <v>8.923645024691357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1.16577</v>
      </c>
      <c r="H130" s="21">
        <v>4.0818000000000003</v>
      </c>
      <c r="I130" s="21">
        <v>-1.4257799999999999E-2</v>
      </c>
      <c r="J130" s="21">
        <v>120</v>
      </c>
      <c r="K130" s="21">
        <v>1.16486</v>
      </c>
      <c r="L130">
        <f t="shared" si="12"/>
        <v>17.60222222222222</v>
      </c>
      <c r="M130">
        <f t="shared" si="13"/>
        <v>20.520142599999996</v>
      </c>
      <c r="N130" s="9"/>
      <c r="O130" s="21">
        <v>0.50430299999999995</v>
      </c>
      <c r="P130" s="21">
        <v>7.8405699999999996</v>
      </c>
      <c r="Q130" s="21">
        <v>-1.4639299999999999E-2</v>
      </c>
      <c r="R130" s="21">
        <v>120</v>
      </c>
      <c r="S130" s="21">
        <v>0.50372300000000003</v>
      </c>
      <c r="T130">
        <f t="shared" si="14"/>
        <v>18.07320987654321</v>
      </c>
      <c r="U130">
        <f t="shared" si="15"/>
        <v>9.1143739603703686</v>
      </c>
      <c r="X130" s="9"/>
      <c r="Y130" s="21">
        <v>1.16577</v>
      </c>
      <c r="Z130" s="21">
        <v>15.2781</v>
      </c>
      <c r="AA130" s="21">
        <v>-1.41174E-2</v>
      </c>
      <c r="AB130" s="21">
        <v>120</v>
      </c>
      <c r="AC130" s="21">
        <v>1.16547</v>
      </c>
      <c r="AD130">
        <f t="shared" si="16"/>
        <v>17.428888888888888</v>
      </c>
      <c r="AE130">
        <f t="shared" si="17"/>
        <v>20.318075799999999</v>
      </c>
      <c r="AF130" s="9"/>
      <c r="AG130" s="21">
        <v>0.50430299999999995</v>
      </c>
      <c r="AH130" s="21">
        <v>19.036799999999999</v>
      </c>
      <c r="AI130" s="21">
        <v>-1.4434799999999999E-2</v>
      </c>
      <c r="AJ130" s="21">
        <v>120</v>
      </c>
      <c r="AK130" s="21">
        <v>0.50372300000000003</v>
      </c>
      <c r="AL130">
        <f t="shared" si="18"/>
        <v>17.820740740740739</v>
      </c>
      <c r="AM130">
        <f t="shared" si="19"/>
        <v>8.9870530177777752</v>
      </c>
      <c r="AP130" s="9"/>
      <c r="AQ130" s="21">
        <v>1.16577</v>
      </c>
      <c r="AR130" s="21">
        <v>24.5303</v>
      </c>
      <c r="AS130" s="21">
        <v>-1.4123500000000001E-2</v>
      </c>
      <c r="AT130" s="21">
        <v>120</v>
      </c>
      <c r="AU130" s="21">
        <v>1.16486</v>
      </c>
      <c r="AV130">
        <f t="shared" si="20"/>
        <v>17.436419753086419</v>
      </c>
      <c r="AW130">
        <f t="shared" si="21"/>
        <v>20.326855055555555</v>
      </c>
      <c r="AX130" s="9"/>
      <c r="AY130" s="21">
        <v>0.50430299999999995</v>
      </c>
      <c r="AZ130" s="21">
        <v>28.289000000000001</v>
      </c>
      <c r="BA130" s="21">
        <v>-1.44867E-2</v>
      </c>
      <c r="BB130" s="21">
        <v>120</v>
      </c>
      <c r="BC130" s="21">
        <v>0.50369299999999995</v>
      </c>
      <c r="BD130">
        <f t="shared" si="22"/>
        <v>17.884814814814817</v>
      </c>
      <c r="BE130">
        <f t="shared" si="23"/>
        <v>9.0193657655555555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1.1607400000000001</v>
      </c>
      <c r="H131" s="21">
        <v>4.0918700000000001</v>
      </c>
      <c r="I131" s="21">
        <v>-1.4263899999999999E-2</v>
      </c>
      <c r="J131" s="21">
        <v>121</v>
      </c>
      <c r="K131" s="21">
        <v>1.1599699999999999</v>
      </c>
      <c r="L131">
        <f t="shared" si="12"/>
        <v>17.609753086419751</v>
      </c>
      <c r="M131">
        <f t="shared" si="13"/>
        <v>20.440344797530862</v>
      </c>
      <c r="N131" s="9"/>
      <c r="O131" s="21">
        <v>0.50933799999999996</v>
      </c>
      <c r="P131" s="21">
        <v>7.8506400000000003</v>
      </c>
      <c r="Q131" s="21">
        <v>-1.46301E-2</v>
      </c>
      <c r="R131" s="21">
        <v>121</v>
      </c>
      <c r="S131" s="21">
        <v>0.50882000000000005</v>
      </c>
      <c r="T131">
        <f t="shared" si="14"/>
        <v>18.061851851851848</v>
      </c>
      <c r="U131">
        <f t="shared" si="15"/>
        <v>9.1995874985185164</v>
      </c>
      <c r="X131" s="9"/>
      <c r="Y131" s="21">
        <v>1.1607400000000001</v>
      </c>
      <c r="Z131" s="21">
        <v>15.2881</v>
      </c>
      <c r="AA131" s="21">
        <v>-1.4120499999999999E-2</v>
      </c>
      <c r="AB131" s="21">
        <v>121</v>
      </c>
      <c r="AC131" s="21">
        <v>1.15967</v>
      </c>
      <c r="AD131">
        <f t="shared" si="16"/>
        <v>17.432716049382716</v>
      </c>
      <c r="AE131">
        <f t="shared" si="17"/>
        <v>20.234850827160496</v>
      </c>
      <c r="AF131" s="9"/>
      <c r="AG131" s="21">
        <v>0.50933799999999996</v>
      </c>
      <c r="AH131" s="21">
        <v>19.046900000000001</v>
      </c>
      <c r="AI131" s="21">
        <v>-1.44318E-2</v>
      </c>
      <c r="AJ131" s="21">
        <v>121</v>
      </c>
      <c r="AK131" s="21">
        <v>0.50882000000000005</v>
      </c>
      <c r="AL131">
        <f t="shared" si="18"/>
        <v>17.817037037037036</v>
      </c>
      <c r="AM131">
        <f t="shared" si="19"/>
        <v>9.0748940103703681</v>
      </c>
      <c r="AP131" s="9"/>
      <c r="AQ131" s="21">
        <v>1.1607400000000001</v>
      </c>
      <c r="AR131" s="21">
        <v>24.540400000000002</v>
      </c>
      <c r="AS131" s="21">
        <v>-1.41388E-2</v>
      </c>
      <c r="AT131" s="21">
        <v>121</v>
      </c>
      <c r="AU131" s="21">
        <v>1.1599699999999999</v>
      </c>
      <c r="AV131">
        <f t="shared" si="20"/>
        <v>17.455308641975307</v>
      </c>
      <c r="AW131">
        <f t="shared" si="21"/>
        <v>20.261074953086421</v>
      </c>
      <c r="AX131" s="9"/>
      <c r="AY131" s="21">
        <v>0.50933799999999996</v>
      </c>
      <c r="AZ131" s="21">
        <v>28.299099999999999</v>
      </c>
      <c r="BA131" s="21">
        <v>-1.4477500000000001E-2</v>
      </c>
      <c r="BB131" s="21">
        <v>121</v>
      </c>
      <c r="BC131" s="21">
        <v>0.50863599999999998</v>
      </c>
      <c r="BD131">
        <f t="shared" si="22"/>
        <v>17.873456790123456</v>
      </c>
      <c r="BE131">
        <f t="shared" si="23"/>
        <v>9.1036307345679006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1.1556999999999999</v>
      </c>
      <c r="H132" s="21">
        <v>4.1019399999999999</v>
      </c>
      <c r="I132" s="21">
        <v>-1.4267E-2</v>
      </c>
      <c r="J132" s="21">
        <v>122</v>
      </c>
      <c r="K132" s="21">
        <v>1.15509</v>
      </c>
      <c r="L132">
        <f t="shared" si="12"/>
        <v>17.613580246913582</v>
      </c>
      <c r="M132">
        <f t="shared" si="13"/>
        <v>20.356014691358027</v>
      </c>
      <c r="N132" s="9"/>
      <c r="O132" s="21">
        <v>0.514374</v>
      </c>
      <c r="P132" s="21">
        <v>7.8607100000000001</v>
      </c>
      <c r="Q132" s="21">
        <v>-1.4621E-2</v>
      </c>
      <c r="R132" s="21">
        <v>122</v>
      </c>
      <c r="S132" s="21">
        <v>0.51379399999999997</v>
      </c>
      <c r="T132">
        <f t="shared" si="14"/>
        <v>18.050617283950618</v>
      </c>
      <c r="U132">
        <f t="shared" si="15"/>
        <v>9.2847682148148145</v>
      </c>
      <c r="X132" s="9"/>
      <c r="Y132" s="21">
        <v>1.1556999999999999</v>
      </c>
      <c r="Z132" s="21">
        <v>15.2982</v>
      </c>
      <c r="AA132" s="21">
        <v>-1.41266E-2</v>
      </c>
      <c r="AB132" s="21">
        <v>122</v>
      </c>
      <c r="AC132" s="21">
        <v>1.15448</v>
      </c>
      <c r="AD132">
        <f t="shared" si="16"/>
        <v>17.440246913580246</v>
      </c>
      <c r="AE132">
        <f t="shared" si="17"/>
        <v>20.155693358024688</v>
      </c>
      <c r="AF132" s="9"/>
      <c r="AG132" s="21">
        <v>0.514374</v>
      </c>
      <c r="AH132" s="21">
        <v>19.056999999999999</v>
      </c>
      <c r="AI132" s="21">
        <v>-1.4422600000000001E-2</v>
      </c>
      <c r="AJ132" s="21">
        <v>122</v>
      </c>
      <c r="AK132" s="21">
        <v>0.51376299999999997</v>
      </c>
      <c r="AL132">
        <f t="shared" si="18"/>
        <v>17.805679012345678</v>
      </c>
      <c r="AM132">
        <f t="shared" si="19"/>
        <v>9.1587783362962956</v>
      </c>
      <c r="AP132" s="9"/>
      <c r="AQ132" s="21">
        <v>1.1556999999999999</v>
      </c>
      <c r="AR132" s="21">
        <v>24.5504</v>
      </c>
      <c r="AS132" s="21">
        <v>-1.4154099999999999E-2</v>
      </c>
      <c r="AT132" s="21">
        <v>122</v>
      </c>
      <c r="AU132" s="21">
        <v>1.1554</v>
      </c>
      <c r="AV132">
        <f t="shared" si="20"/>
        <v>17.474197530864195</v>
      </c>
      <c r="AW132">
        <f t="shared" si="21"/>
        <v>20.194930086419749</v>
      </c>
      <c r="AX132" s="9"/>
      <c r="AY132" s="21">
        <v>0.514374</v>
      </c>
      <c r="AZ132" s="21">
        <v>28.309200000000001</v>
      </c>
      <c r="BA132" s="21">
        <v>-1.4468399999999999E-2</v>
      </c>
      <c r="BB132" s="21">
        <v>122</v>
      </c>
      <c r="BC132" s="21">
        <v>0.51379399999999997</v>
      </c>
      <c r="BD132">
        <f t="shared" si="22"/>
        <v>17.862222222222222</v>
      </c>
      <c r="BE132">
        <f t="shared" si="23"/>
        <v>9.1878626933333329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1.1506700000000001</v>
      </c>
      <c r="H133" s="21">
        <v>4.1120099999999997</v>
      </c>
      <c r="I133" s="21">
        <v>-1.4279200000000001E-2</v>
      </c>
      <c r="J133" s="21">
        <v>123</v>
      </c>
      <c r="K133" s="21">
        <v>1.15021</v>
      </c>
      <c r="L133">
        <f t="shared" si="12"/>
        <v>17.628641975308639</v>
      </c>
      <c r="M133">
        <f t="shared" si="13"/>
        <v>20.284749461728392</v>
      </c>
      <c r="N133" s="9"/>
      <c r="O133" s="21">
        <v>0.51940900000000001</v>
      </c>
      <c r="P133" s="21">
        <v>7.8707799999999999</v>
      </c>
      <c r="Q133" s="21">
        <v>-1.4621E-2</v>
      </c>
      <c r="R133" s="21">
        <v>123</v>
      </c>
      <c r="S133" s="21">
        <v>0.51885999999999999</v>
      </c>
      <c r="T133">
        <f t="shared" si="14"/>
        <v>18.050617283950618</v>
      </c>
      <c r="U133">
        <f t="shared" si="15"/>
        <v>9.3756530728395067</v>
      </c>
      <c r="X133" s="9"/>
      <c r="Y133" s="21">
        <v>1.1506700000000001</v>
      </c>
      <c r="Z133" s="21">
        <v>15.308299999999999</v>
      </c>
      <c r="AA133" s="21">
        <v>-1.41266E-2</v>
      </c>
      <c r="AB133" s="21">
        <v>123</v>
      </c>
      <c r="AC133" s="21">
        <v>1.1496</v>
      </c>
      <c r="AD133">
        <f t="shared" si="16"/>
        <v>17.440246913580246</v>
      </c>
      <c r="AE133">
        <f t="shared" si="17"/>
        <v>20.067968916049384</v>
      </c>
      <c r="AF133" s="9"/>
      <c r="AG133" s="21">
        <v>0.51940900000000001</v>
      </c>
      <c r="AH133" s="21">
        <v>19.067</v>
      </c>
      <c r="AI133" s="21">
        <v>-1.44104E-2</v>
      </c>
      <c r="AJ133" s="21">
        <v>123</v>
      </c>
      <c r="AK133" s="21">
        <v>0.51885999999999999</v>
      </c>
      <c r="AL133">
        <f t="shared" si="18"/>
        <v>17.790617283950617</v>
      </c>
      <c r="AM133">
        <f t="shared" si="19"/>
        <v>9.2406067328395061</v>
      </c>
      <c r="AP133" s="9"/>
      <c r="AQ133" s="21">
        <v>1.1506700000000001</v>
      </c>
      <c r="AR133" s="21">
        <v>24.560500000000001</v>
      </c>
      <c r="AS133" s="21">
        <v>-1.41602E-2</v>
      </c>
      <c r="AT133" s="21">
        <v>123</v>
      </c>
      <c r="AU133" s="21">
        <v>1.1498999999999999</v>
      </c>
      <c r="AV133">
        <f t="shared" si="20"/>
        <v>17.481728395061729</v>
      </c>
      <c r="AW133">
        <f t="shared" si="21"/>
        <v>20.115700412345682</v>
      </c>
      <c r="AX133" s="9"/>
      <c r="AY133" s="21">
        <v>0.51940900000000001</v>
      </c>
      <c r="AZ133" s="21">
        <v>28.319299999999998</v>
      </c>
      <c r="BA133" s="21">
        <v>-1.44592E-2</v>
      </c>
      <c r="BB133" s="21">
        <v>123</v>
      </c>
      <c r="BC133" s="21">
        <v>0.51882899999999998</v>
      </c>
      <c r="BD133">
        <f t="shared" si="22"/>
        <v>17.850864197530864</v>
      </c>
      <c r="BE133">
        <f t="shared" si="23"/>
        <v>9.2718995219753086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1.1456299999999999</v>
      </c>
      <c r="H134" s="21">
        <v>4.1220800000000004</v>
      </c>
      <c r="I134" s="21">
        <v>-1.42761E-2</v>
      </c>
      <c r="J134" s="21">
        <v>124</v>
      </c>
      <c r="K134" s="21">
        <v>1.1453199999999999</v>
      </c>
      <c r="L134">
        <f t="shared" si="12"/>
        <v>17.624814814814812</v>
      </c>
      <c r="M134">
        <f t="shared" si="13"/>
        <v>20.191516596296292</v>
      </c>
      <c r="N134" s="9"/>
      <c r="O134" s="21">
        <v>0.52444500000000005</v>
      </c>
      <c r="P134" s="21">
        <v>7.8808499999999997</v>
      </c>
      <c r="Q134" s="21">
        <v>-1.46088E-2</v>
      </c>
      <c r="R134" s="21">
        <v>124</v>
      </c>
      <c r="S134" s="21">
        <v>0.52380400000000005</v>
      </c>
      <c r="T134">
        <f t="shared" si="14"/>
        <v>18.035555555555554</v>
      </c>
      <c r="U134">
        <f t="shared" si="15"/>
        <v>9.4586569333333337</v>
      </c>
      <c r="X134" s="9"/>
      <c r="Y134" s="21">
        <v>1.1456299999999999</v>
      </c>
      <c r="Z134" s="21">
        <v>15.318300000000001</v>
      </c>
      <c r="AA134" s="21">
        <v>-1.4120499999999999E-2</v>
      </c>
      <c r="AB134" s="21">
        <v>124</v>
      </c>
      <c r="AC134" s="21">
        <v>1.1447099999999999</v>
      </c>
      <c r="AD134">
        <f t="shared" si="16"/>
        <v>17.432716049382716</v>
      </c>
      <c r="AE134">
        <f t="shared" si="17"/>
        <v>19.971442487654318</v>
      </c>
      <c r="AF134" s="9"/>
      <c r="AG134" s="21">
        <v>0.52444500000000005</v>
      </c>
      <c r="AH134" s="21">
        <v>19.077100000000002</v>
      </c>
      <c r="AI134" s="21">
        <v>-1.44043E-2</v>
      </c>
      <c r="AJ134" s="21">
        <v>124</v>
      </c>
      <c r="AK134" s="21">
        <v>0.52380400000000005</v>
      </c>
      <c r="AL134">
        <f t="shared" si="18"/>
        <v>17.783086419753086</v>
      </c>
      <c r="AM134">
        <f t="shared" si="19"/>
        <v>9.3262507574074078</v>
      </c>
      <c r="AP134" s="9"/>
      <c r="AQ134" s="21">
        <v>1.1456299999999999</v>
      </c>
      <c r="AR134" s="21">
        <v>24.570599999999999</v>
      </c>
      <c r="AS134" s="21">
        <v>-1.41724E-2</v>
      </c>
      <c r="AT134" s="21">
        <v>124</v>
      </c>
      <c r="AU134" s="21">
        <v>1.1444099999999999</v>
      </c>
      <c r="AV134">
        <f t="shared" si="20"/>
        <v>17.496790123456787</v>
      </c>
      <c r="AW134">
        <f t="shared" si="21"/>
        <v>20.044847669135798</v>
      </c>
      <c r="AX134" s="9"/>
      <c r="AY134" s="21">
        <v>0.52444500000000005</v>
      </c>
      <c r="AZ134" s="21">
        <v>28.3293</v>
      </c>
      <c r="BA134" s="21">
        <v>-1.44531E-2</v>
      </c>
      <c r="BB134" s="21">
        <v>124</v>
      </c>
      <c r="BC134" s="21">
        <v>0.52383400000000002</v>
      </c>
      <c r="BD134">
        <f t="shared" si="22"/>
        <v>17.843333333333334</v>
      </c>
      <c r="BE134">
        <f t="shared" si="23"/>
        <v>9.3578469500000008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1.14059</v>
      </c>
      <c r="H135" s="21">
        <v>4.1321500000000002</v>
      </c>
      <c r="I135" s="21">
        <v>-1.4291399999999999E-2</v>
      </c>
      <c r="J135" s="21">
        <v>125</v>
      </c>
      <c r="K135" s="21">
        <v>1.1392199999999999</v>
      </c>
      <c r="L135">
        <f t="shared" si="12"/>
        <v>17.643703703703704</v>
      </c>
      <c r="M135">
        <f t="shared" si="13"/>
        <v>20.124232007407407</v>
      </c>
      <c r="N135" s="9"/>
      <c r="O135" s="21">
        <v>0.52947999999999995</v>
      </c>
      <c r="P135" s="21">
        <v>7.8909200000000004</v>
      </c>
      <c r="Q135" s="21">
        <v>-1.45966E-2</v>
      </c>
      <c r="R135" s="21">
        <v>125</v>
      </c>
      <c r="S135" s="21">
        <v>0.52886999999999995</v>
      </c>
      <c r="T135">
        <f t="shared" si="14"/>
        <v>18.020493827160493</v>
      </c>
      <c r="U135">
        <f t="shared" si="15"/>
        <v>9.5414910716049377</v>
      </c>
      <c r="X135" s="9"/>
      <c r="Y135" s="21">
        <v>1.14059</v>
      </c>
      <c r="Z135" s="21">
        <v>15.3284</v>
      </c>
      <c r="AA135" s="21">
        <v>-1.41266E-2</v>
      </c>
      <c r="AB135" s="21">
        <v>125</v>
      </c>
      <c r="AC135" s="21">
        <v>1.1389199999999999</v>
      </c>
      <c r="AD135">
        <f t="shared" si="16"/>
        <v>17.440246913580246</v>
      </c>
      <c r="AE135">
        <f t="shared" si="17"/>
        <v>19.892171227160492</v>
      </c>
      <c r="AF135" s="9"/>
      <c r="AG135" s="21">
        <v>0.52947999999999995</v>
      </c>
      <c r="AH135" s="21">
        <v>19.087199999999999</v>
      </c>
      <c r="AI135" s="21">
        <v>-1.44104E-2</v>
      </c>
      <c r="AJ135" s="21">
        <v>125</v>
      </c>
      <c r="AK135" s="21">
        <v>0.52893100000000004</v>
      </c>
      <c r="AL135">
        <f t="shared" si="18"/>
        <v>17.790617283950617</v>
      </c>
      <c r="AM135">
        <f t="shared" si="19"/>
        <v>9.4197760395061714</v>
      </c>
      <c r="AP135" s="9"/>
      <c r="AQ135" s="21">
        <v>1.14059</v>
      </c>
      <c r="AR135" s="21">
        <v>24.5806</v>
      </c>
      <c r="AS135" s="21">
        <v>-1.41815E-2</v>
      </c>
      <c r="AT135" s="21">
        <v>125</v>
      </c>
      <c r="AU135" s="21">
        <v>1.1398299999999999</v>
      </c>
      <c r="AV135">
        <f t="shared" si="20"/>
        <v>17.508024691358024</v>
      </c>
      <c r="AW135">
        <f t="shared" si="21"/>
        <v>19.969477882716049</v>
      </c>
      <c r="AX135" s="9"/>
      <c r="AY135" s="21">
        <v>0.52947999999999995</v>
      </c>
      <c r="AZ135" s="21">
        <v>28.339400000000001</v>
      </c>
      <c r="BA135" s="21">
        <v>-1.4447E-2</v>
      </c>
      <c r="BB135" s="21">
        <v>125</v>
      </c>
      <c r="BC135" s="21">
        <v>0.52893100000000004</v>
      </c>
      <c r="BD135">
        <f t="shared" si="22"/>
        <v>17.8358024691358</v>
      </c>
      <c r="BE135">
        <f t="shared" si="23"/>
        <v>9.443700691358023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1.1355599999999999</v>
      </c>
      <c r="H136" s="21">
        <v>4.1422299999999996</v>
      </c>
      <c r="I136" s="21">
        <v>-1.4294400000000001E-2</v>
      </c>
      <c r="J136" s="21">
        <v>126</v>
      </c>
      <c r="K136" s="21">
        <v>1.1352500000000001</v>
      </c>
      <c r="L136">
        <f t="shared" si="12"/>
        <v>17.647407407407407</v>
      </c>
      <c r="M136">
        <f t="shared" si="13"/>
        <v>20.039689955555552</v>
      </c>
      <c r="N136" s="9"/>
      <c r="O136" s="21">
        <v>0.53451499999999996</v>
      </c>
      <c r="P136" s="21">
        <v>7.9009900000000002</v>
      </c>
      <c r="Q136" s="21">
        <v>-1.4590499999999999E-2</v>
      </c>
      <c r="R136" s="21">
        <v>126</v>
      </c>
      <c r="S136" s="21">
        <v>0.53387499999999999</v>
      </c>
      <c r="T136">
        <f t="shared" si="14"/>
        <v>18.012962962962959</v>
      </c>
      <c r="U136">
        <f t="shared" si="15"/>
        <v>9.6281988981481454</v>
      </c>
      <c r="X136" s="9"/>
      <c r="Y136" s="21">
        <v>1.1355599999999999</v>
      </c>
      <c r="Z136" s="21">
        <v>15.3385</v>
      </c>
      <c r="AA136" s="21">
        <v>-1.41418E-2</v>
      </c>
      <c r="AB136" s="21">
        <v>126</v>
      </c>
      <c r="AC136" s="21">
        <v>1.1343399999999999</v>
      </c>
      <c r="AD136">
        <f t="shared" si="16"/>
        <v>17.45901234567901</v>
      </c>
      <c r="AE136">
        <f t="shared" si="17"/>
        <v>19.825756059259255</v>
      </c>
      <c r="AF136" s="9"/>
      <c r="AG136" s="21">
        <v>0.53451499999999996</v>
      </c>
      <c r="AH136" s="21">
        <v>19.097200000000001</v>
      </c>
      <c r="AI136" s="21">
        <v>-1.4401199999999999E-2</v>
      </c>
      <c r="AJ136" s="21">
        <v>126</v>
      </c>
      <c r="AK136" s="21">
        <v>0.53390499999999996</v>
      </c>
      <c r="AL136">
        <f t="shared" si="18"/>
        <v>17.779259259259259</v>
      </c>
      <c r="AM136">
        <f t="shared" si="19"/>
        <v>9.5032807629629623</v>
      </c>
      <c r="AP136" s="9"/>
      <c r="AQ136" s="21">
        <v>1.1355599999999999</v>
      </c>
      <c r="AR136" s="21">
        <v>24.590699999999998</v>
      </c>
      <c r="AS136" s="21">
        <v>-1.41876E-2</v>
      </c>
      <c r="AT136" s="21">
        <v>126</v>
      </c>
      <c r="AU136" s="21">
        <v>1.1349499999999999</v>
      </c>
      <c r="AV136">
        <f t="shared" si="20"/>
        <v>17.515555555555554</v>
      </c>
      <c r="AW136">
        <f t="shared" si="21"/>
        <v>19.889964266666663</v>
      </c>
      <c r="AX136" s="9"/>
      <c r="AY136" s="21">
        <v>0.53451499999999996</v>
      </c>
      <c r="AZ136" s="21">
        <v>28.349499999999999</v>
      </c>
      <c r="BA136" s="21">
        <v>-1.4444E-2</v>
      </c>
      <c r="BB136" s="21">
        <v>126</v>
      </c>
      <c r="BC136" s="21">
        <v>0.53396600000000005</v>
      </c>
      <c r="BD136">
        <f t="shared" si="22"/>
        <v>17.832098765432097</v>
      </c>
      <c r="BE136">
        <f t="shared" si="23"/>
        <v>9.5315242716049369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1.13052</v>
      </c>
      <c r="H137" s="21">
        <v>4.1523000000000003</v>
      </c>
      <c r="I137" s="21">
        <v>-1.4300500000000001E-2</v>
      </c>
      <c r="J137" s="21">
        <v>127</v>
      </c>
      <c r="K137" s="21">
        <v>1.1294599999999999</v>
      </c>
      <c r="L137">
        <f t="shared" si="12"/>
        <v>17.654938271604937</v>
      </c>
      <c r="M137">
        <f t="shared" si="13"/>
        <v>19.959260814814812</v>
      </c>
      <c r="N137" s="9"/>
      <c r="O137" s="21">
        <v>0.539551</v>
      </c>
      <c r="P137" s="21">
        <v>7.91106</v>
      </c>
      <c r="Q137" s="21">
        <v>-1.4590499999999999E-2</v>
      </c>
      <c r="R137" s="21">
        <v>127</v>
      </c>
      <c r="S137" s="21">
        <v>0.53906299999999996</v>
      </c>
      <c r="T137">
        <f t="shared" si="14"/>
        <v>18.012962962962959</v>
      </c>
      <c r="U137">
        <f t="shared" si="15"/>
        <v>9.7189121796296281</v>
      </c>
      <c r="X137" s="9"/>
      <c r="Y137" s="21">
        <v>1.13052</v>
      </c>
      <c r="Z137" s="21">
        <v>15.348599999999999</v>
      </c>
      <c r="AA137" s="21">
        <v>-1.4154099999999999E-2</v>
      </c>
      <c r="AB137" s="21">
        <v>127</v>
      </c>
      <c r="AC137" s="21">
        <v>1.1297600000000001</v>
      </c>
      <c r="AD137">
        <f t="shared" si="16"/>
        <v>17.474197530864195</v>
      </c>
      <c r="AE137">
        <f t="shared" si="17"/>
        <v>19.754929792592591</v>
      </c>
      <c r="AF137" s="9"/>
      <c r="AG137" s="21">
        <v>0.539551</v>
      </c>
      <c r="AH137" s="21">
        <v>19.107299999999999</v>
      </c>
      <c r="AI137" s="21">
        <v>-1.4395099999999999E-2</v>
      </c>
      <c r="AJ137" s="21">
        <v>127</v>
      </c>
      <c r="AK137" s="21">
        <v>0.53906299999999996</v>
      </c>
      <c r="AL137">
        <f t="shared" si="18"/>
        <v>17.771728395061729</v>
      </c>
      <c r="AM137">
        <f t="shared" si="19"/>
        <v>9.5887538272839503</v>
      </c>
      <c r="AP137" s="9"/>
      <c r="AQ137" s="21">
        <v>1.13052</v>
      </c>
      <c r="AR137" s="21">
        <v>24.6008</v>
      </c>
      <c r="AS137" s="21">
        <v>-1.41937E-2</v>
      </c>
      <c r="AT137" s="21">
        <v>127</v>
      </c>
      <c r="AU137" s="21">
        <v>1.1294599999999999</v>
      </c>
      <c r="AV137">
        <f t="shared" si="20"/>
        <v>17.523086419753085</v>
      </c>
      <c r="AW137">
        <f t="shared" si="21"/>
        <v>19.810199659259258</v>
      </c>
      <c r="AX137" s="9"/>
      <c r="AY137" s="21">
        <v>0.539551</v>
      </c>
      <c r="AZ137" s="21">
        <v>28.359500000000001</v>
      </c>
      <c r="BA137" s="21">
        <v>-1.44592E-2</v>
      </c>
      <c r="BB137" s="21">
        <v>127</v>
      </c>
      <c r="BC137" s="21">
        <v>0.53897099999999998</v>
      </c>
      <c r="BD137">
        <f t="shared" si="22"/>
        <v>17.850864197530864</v>
      </c>
      <c r="BE137">
        <f t="shared" si="23"/>
        <v>9.631451628641976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1.1254900000000001</v>
      </c>
      <c r="H138" s="21">
        <v>4.1623700000000001</v>
      </c>
      <c r="I138" s="21">
        <v>-1.43036E-2</v>
      </c>
      <c r="J138" s="21">
        <v>128</v>
      </c>
      <c r="K138" s="21">
        <v>1.1248800000000001</v>
      </c>
      <c r="L138">
        <f t="shared" si="12"/>
        <v>17.658765432098765</v>
      </c>
      <c r="M138">
        <f t="shared" si="13"/>
        <v>19.874763906172841</v>
      </c>
      <c r="N138" s="9"/>
      <c r="O138" s="21">
        <v>0.54458600000000001</v>
      </c>
      <c r="P138" s="21">
        <v>7.9211299999999998</v>
      </c>
      <c r="Q138" s="21">
        <v>-1.4584400000000001E-2</v>
      </c>
      <c r="R138" s="21">
        <v>128</v>
      </c>
      <c r="S138" s="21">
        <v>0.54403699999999999</v>
      </c>
      <c r="T138">
        <f t="shared" si="14"/>
        <v>18.005432098765432</v>
      </c>
      <c r="U138">
        <f t="shared" si="15"/>
        <v>9.8055062449382717</v>
      </c>
      <c r="X138" s="9"/>
      <c r="Y138" s="21">
        <v>1.1254900000000001</v>
      </c>
      <c r="Z138" s="21">
        <v>15.358599999999999</v>
      </c>
      <c r="AA138" s="21">
        <v>-1.4169299999999999E-2</v>
      </c>
      <c r="AB138" s="21">
        <v>128</v>
      </c>
      <c r="AC138" s="21">
        <v>1.1248800000000001</v>
      </c>
      <c r="AD138">
        <f t="shared" si="16"/>
        <v>17.492962962962959</v>
      </c>
      <c r="AE138">
        <f t="shared" si="17"/>
        <v>19.688154885185185</v>
      </c>
      <c r="AF138" s="9"/>
      <c r="AG138" s="21">
        <v>0.54458600000000001</v>
      </c>
      <c r="AH138" s="21">
        <v>19.1174</v>
      </c>
      <c r="AI138" s="21">
        <v>-1.43982E-2</v>
      </c>
      <c r="AJ138" s="21">
        <v>128</v>
      </c>
      <c r="AK138" s="21">
        <v>0.54397600000000002</v>
      </c>
      <c r="AL138">
        <f t="shared" si="18"/>
        <v>17.775555555555556</v>
      </c>
      <c r="AM138">
        <f t="shared" si="19"/>
        <v>9.6803186977777784</v>
      </c>
      <c r="AP138" s="9"/>
      <c r="AQ138" s="21">
        <v>1.1254900000000001</v>
      </c>
      <c r="AR138" s="21">
        <v>24.610900000000001</v>
      </c>
      <c r="AS138" s="21">
        <v>-1.41876E-2</v>
      </c>
      <c r="AT138" s="21">
        <v>128</v>
      </c>
      <c r="AU138" s="21">
        <v>1.1248800000000001</v>
      </c>
      <c r="AV138">
        <f t="shared" si="20"/>
        <v>17.515555555555554</v>
      </c>
      <c r="AW138">
        <f t="shared" si="21"/>
        <v>19.713582622222223</v>
      </c>
      <c r="AX138" s="9"/>
      <c r="AY138" s="21">
        <v>0.54458600000000001</v>
      </c>
      <c r="AZ138" s="21">
        <v>28.369599999999998</v>
      </c>
      <c r="BA138" s="21">
        <v>-1.4468399999999999E-2</v>
      </c>
      <c r="BB138" s="21">
        <v>128</v>
      </c>
      <c r="BC138" s="21">
        <v>0.54394500000000001</v>
      </c>
      <c r="BD138">
        <f t="shared" si="22"/>
        <v>17.862222222222222</v>
      </c>
      <c r="BE138">
        <f t="shared" si="23"/>
        <v>9.7275161511111108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1.1204499999999999</v>
      </c>
      <c r="H139" s="21">
        <v>4.1724399999999999</v>
      </c>
      <c r="I139" s="21">
        <v>-1.4312699999999999E-2</v>
      </c>
      <c r="J139" s="21">
        <v>129</v>
      </c>
      <c r="K139" s="21">
        <v>1.11938</v>
      </c>
      <c r="L139">
        <f t="shared" si="12"/>
        <v>17.669999999999998</v>
      </c>
      <c r="M139">
        <f t="shared" si="13"/>
        <v>19.798351499999995</v>
      </c>
      <c r="N139" s="9"/>
      <c r="O139" s="21">
        <v>0.54962200000000005</v>
      </c>
      <c r="P139" s="21">
        <v>7.9311999999999996</v>
      </c>
      <c r="Q139" s="21">
        <v>-1.4578199999999999E-2</v>
      </c>
      <c r="R139" s="21">
        <v>129</v>
      </c>
      <c r="S139" s="21">
        <v>0.54898100000000005</v>
      </c>
      <c r="T139">
        <f t="shared" si="14"/>
        <v>17.997777777777777</v>
      </c>
      <c r="U139">
        <f t="shared" si="15"/>
        <v>9.8919746177777785</v>
      </c>
      <c r="X139" s="9"/>
      <c r="Y139" s="21">
        <v>1.1204499999999999</v>
      </c>
      <c r="Z139" s="21">
        <v>15.3687</v>
      </c>
      <c r="AA139" s="21">
        <v>-1.41724E-2</v>
      </c>
      <c r="AB139" s="21">
        <v>129</v>
      </c>
      <c r="AC139" s="21">
        <v>1.11938</v>
      </c>
      <c r="AD139">
        <f t="shared" si="16"/>
        <v>17.496790123456787</v>
      </c>
      <c r="AE139">
        <f t="shared" si="17"/>
        <v>19.604278493827156</v>
      </c>
      <c r="AF139" s="9"/>
      <c r="AG139" s="21">
        <v>0.54962200000000005</v>
      </c>
      <c r="AH139" s="21">
        <v>19.127500000000001</v>
      </c>
      <c r="AI139" s="21">
        <v>-1.4395099999999999E-2</v>
      </c>
      <c r="AJ139" s="21">
        <v>129</v>
      </c>
      <c r="AK139" s="21">
        <v>0.54901100000000003</v>
      </c>
      <c r="AL139">
        <f t="shared" si="18"/>
        <v>17.771728395061729</v>
      </c>
      <c r="AM139">
        <f t="shared" si="19"/>
        <v>9.767732903950618</v>
      </c>
      <c r="AP139" s="9"/>
      <c r="AQ139" s="21">
        <v>1.1204499999999999</v>
      </c>
      <c r="AR139" s="21">
        <v>24.620899999999999</v>
      </c>
      <c r="AS139" s="21">
        <v>-1.41876E-2</v>
      </c>
      <c r="AT139" s="21">
        <v>129</v>
      </c>
      <c r="AU139" s="21">
        <v>1.1196900000000001</v>
      </c>
      <c r="AV139">
        <f t="shared" si="20"/>
        <v>17.515555555555554</v>
      </c>
      <c r="AW139">
        <f t="shared" si="21"/>
        <v>19.625304222222219</v>
      </c>
      <c r="AX139" s="9"/>
      <c r="AY139" s="21">
        <v>0.54962200000000005</v>
      </c>
      <c r="AZ139" s="21">
        <v>28.3797</v>
      </c>
      <c r="BA139" s="21">
        <v>-1.44745E-2</v>
      </c>
      <c r="BB139" s="21">
        <v>129</v>
      </c>
      <c r="BC139" s="21">
        <v>0.54910300000000001</v>
      </c>
      <c r="BD139">
        <f t="shared" si="22"/>
        <v>17.869753086419752</v>
      </c>
      <c r="BE139">
        <f t="shared" si="23"/>
        <v>9.8216094308641981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1.1154200000000001</v>
      </c>
      <c r="H140" s="21">
        <v>4.1825099999999997</v>
      </c>
      <c r="I140" s="21">
        <v>-1.43188E-2</v>
      </c>
      <c r="J140" s="21">
        <v>130</v>
      </c>
      <c r="K140" s="21">
        <v>1.1148100000000001</v>
      </c>
      <c r="L140">
        <f t="shared" ref="L140:L203" si="24">-I140/$F$2*1000</f>
        <v>17.677530864197529</v>
      </c>
      <c r="M140">
        <f t="shared" ref="M140:M203" si="25">L140*G140</f>
        <v>19.717871476543209</v>
      </c>
      <c r="N140" s="9"/>
      <c r="O140" s="21">
        <v>0.55465699999999996</v>
      </c>
      <c r="P140" s="21">
        <v>7.9412799999999999</v>
      </c>
      <c r="Q140" s="21">
        <v>-1.4572099999999999E-2</v>
      </c>
      <c r="R140" s="21">
        <v>130</v>
      </c>
      <c r="S140" s="21">
        <v>0.55404699999999996</v>
      </c>
      <c r="T140">
        <f t="shared" ref="T140:T203" si="26">-Q140/$F$2*1000</f>
        <v>17.990246913580243</v>
      </c>
      <c r="U140">
        <f t="shared" ref="U140:U203" si="27">T140*O140</f>
        <v>9.9784163823456762</v>
      </c>
      <c r="X140" s="9"/>
      <c r="Y140" s="21">
        <v>1.1154200000000001</v>
      </c>
      <c r="Z140" s="21">
        <v>15.3788</v>
      </c>
      <c r="AA140" s="21">
        <v>-1.41785E-2</v>
      </c>
      <c r="AB140" s="21">
        <v>130</v>
      </c>
      <c r="AC140" s="21">
        <v>1.1145</v>
      </c>
      <c r="AD140">
        <f t="shared" ref="AD140:AD203" si="28">-AA140/$F$2*1000</f>
        <v>17.504320987654321</v>
      </c>
      <c r="AE140">
        <f t="shared" ref="AE140:AE203" si="29">AD140*Y140</f>
        <v>19.524669716049385</v>
      </c>
      <c r="AF140" s="9"/>
      <c r="AG140" s="21">
        <v>0.55465699999999996</v>
      </c>
      <c r="AH140" s="21">
        <v>19.137499999999999</v>
      </c>
      <c r="AI140" s="21">
        <v>-1.43982E-2</v>
      </c>
      <c r="AJ140" s="21">
        <v>130</v>
      </c>
      <c r="AK140" s="21">
        <v>0.55401599999999995</v>
      </c>
      <c r="AL140">
        <f t="shared" ref="AL140:AL203" si="30">-AI140/$F$2*1000</f>
        <v>17.775555555555556</v>
      </c>
      <c r="AM140">
        <f t="shared" ref="AM140:AM203" si="31">AL140*AG140</f>
        <v>9.8593363177777764</v>
      </c>
      <c r="AP140" s="9"/>
      <c r="AQ140" s="21">
        <v>1.1154200000000001</v>
      </c>
      <c r="AR140" s="21">
        <v>24.631</v>
      </c>
      <c r="AS140" s="21">
        <v>-1.4190700000000001E-2</v>
      </c>
      <c r="AT140" s="21">
        <v>130</v>
      </c>
      <c r="AU140" s="21">
        <v>1.11511</v>
      </c>
      <c r="AV140">
        <f t="shared" ref="AV140:AV203" si="32">-AS140/$F$2*1000</f>
        <v>17.519382716049382</v>
      </c>
      <c r="AW140">
        <f t="shared" ref="AW140:AW203" si="33">AV140*AQ140</f>
        <v>19.541469869135803</v>
      </c>
      <c r="AX140" s="9"/>
      <c r="AY140" s="21">
        <v>0.55465699999999996</v>
      </c>
      <c r="AZ140" s="21">
        <v>28.389800000000001</v>
      </c>
      <c r="BA140" s="21">
        <v>-1.4477500000000001E-2</v>
      </c>
      <c r="BB140" s="21">
        <v>130</v>
      </c>
      <c r="BC140" s="21">
        <v>0.55404699999999996</v>
      </c>
      <c r="BD140">
        <f t="shared" ref="BD140:BD203" si="34">-BA140/$F$2*1000</f>
        <v>17.873456790123456</v>
      </c>
      <c r="BE140">
        <f t="shared" ref="BE140:BE203" si="35">BD140*AY140</f>
        <v>9.913637922839504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1.1103799999999999</v>
      </c>
      <c r="H141" s="21">
        <v>4.1925800000000004</v>
      </c>
      <c r="I141" s="21">
        <v>-1.4324999999999999E-2</v>
      </c>
      <c r="J141" s="21">
        <v>131</v>
      </c>
      <c r="K141" s="21">
        <v>1.1096200000000001</v>
      </c>
      <c r="L141">
        <f t="shared" si="24"/>
        <v>17.685185185185183</v>
      </c>
      <c r="M141">
        <f t="shared" si="25"/>
        <v>19.637275925925923</v>
      </c>
      <c r="N141" s="9"/>
      <c r="O141" s="21">
        <v>0.55969199999999997</v>
      </c>
      <c r="P141" s="21">
        <v>7.9513499999999997</v>
      </c>
      <c r="Q141" s="21">
        <v>-1.45691E-2</v>
      </c>
      <c r="R141" s="21">
        <v>131</v>
      </c>
      <c r="S141" s="21">
        <v>0.55938699999999997</v>
      </c>
      <c r="T141">
        <f t="shared" si="26"/>
        <v>17.98654320987654</v>
      </c>
      <c r="U141">
        <f t="shared" si="27"/>
        <v>10.066924342222221</v>
      </c>
      <c r="X141" s="9"/>
      <c r="Y141" s="21">
        <v>1.1103799999999999</v>
      </c>
      <c r="Z141" s="21">
        <v>15.3888</v>
      </c>
      <c r="AA141" s="21">
        <v>-1.41876E-2</v>
      </c>
      <c r="AB141" s="21">
        <v>131</v>
      </c>
      <c r="AC141" s="21">
        <v>1.10931</v>
      </c>
      <c r="AD141">
        <f t="shared" si="28"/>
        <v>17.515555555555554</v>
      </c>
      <c r="AE141">
        <f t="shared" si="29"/>
        <v>19.448922577777775</v>
      </c>
      <c r="AF141" s="9"/>
      <c r="AG141" s="21">
        <v>0.55969199999999997</v>
      </c>
      <c r="AH141" s="21">
        <v>19.147600000000001</v>
      </c>
      <c r="AI141" s="21">
        <v>-1.4401199999999999E-2</v>
      </c>
      <c r="AJ141" s="21">
        <v>131</v>
      </c>
      <c r="AK141" s="21">
        <v>0.55911299999999997</v>
      </c>
      <c r="AL141">
        <f t="shared" si="30"/>
        <v>17.779259259259259</v>
      </c>
      <c r="AM141">
        <f t="shared" si="31"/>
        <v>9.9509091733333328</v>
      </c>
      <c r="AP141" s="9"/>
      <c r="AQ141" s="21">
        <v>1.1103799999999999</v>
      </c>
      <c r="AR141" s="21">
        <v>24.641100000000002</v>
      </c>
      <c r="AS141" s="21">
        <v>-1.41937E-2</v>
      </c>
      <c r="AT141" s="21">
        <v>131</v>
      </c>
      <c r="AU141" s="21">
        <v>1.1096200000000001</v>
      </c>
      <c r="AV141">
        <f t="shared" si="32"/>
        <v>17.523086419753085</v>
      </c>
      <c r="AW141">
        <f t="shared" si="33"/>
        <v>19.457284698765427</v>
      </c>
      <c r="AX141" s="9"/>
      <c r="AY141" s="21">
        <v>0.55969199999999997</v>
      </c>
      <c r="AZ141" s="21">
        <v>28.399799999999999</v>
      </c>
      <c r="BA141" s="21">
        <v>-1.44745E-2</v>
      </c>
      <c r="BB141" s="21">
        <v>131</v>
      </c>
      <c r="BC141" s="21">
        <v>0.55914299999999995</v>
      </c>
      <c r="BD141">
        <f t="shared" si="34"/>
        <v>17.869753086419752</v>
      </c>
      <c r="BE141">
        <f t="shared" si="35"/>
        <v>10.001557844444443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1.1053500000000001</v>
      </c>
      <c r="H142" s="21">
        <v>4.2026500000000002</v>
      </c>
      <c r="I142" s="21">
        <v>-1.4334100000000001E-2</v>
      </c>
      <c r="J142" s="21">
        <v>132</v>
      </c>
      <c r="K142" s="21">
        <v>1.10504</v>
      </c>
      <c r="L142">
        <f t="shared" si="24"/>
        <v>17.69641975308642</v>
      </c>
      <c r="M142">
        <f t="shared" si="25"/>
        <v>19.560737574074075</v>
      </c>
      <c r="N142" s="9"/>
      <c r="O142" s="21">
        <v>0.56472800000000001</v>
      </c>
      <c r="P142" s="21">
        <v>7.9614200000000004</v>
      </c>
      <c r="Q142" s="21">
        <v>-1.4578199999999999E-2</v>
      </c>
      <c r="R142" s="21">
        <v>132</v>
      </c>
      <c r="S142" s="21">
        <v>0.56414799999999998</v>
      </c>
      <c r="T142">
        <f t="shared" si="26"/>
        <v>17.997777777777777</v>
      </c>
      <c r="U142">
        <f t="shared" si="27"/>
        <v>10.163849048888888</v>
      </c>
      <c r="X142" s="9"/>
      <c r="Y142" s="21">
        <v>1.1053500000000001</v>
      </c>
      <c r="Z142" s="21">
        <v>15.398899999999999</v>
      </c>
      <c r="AA142" s="21">
        <v>-1.41876E-2</v>
      </c>
      <c r="AB142" s="21">
        <v>132</v>
      </c>
      <c r="AC142" s="21">
        <v>1.10443</v>
      </c>
      <c r="AD142">
        <f t="shared" si="28"/>
        <v>17.515555555555554</v>
      </c>
      <c r="AE142">
        <f t="shared" si="29"/>
        <v>19.360819333333332</v>
      </c>
      <c r="AF142" s="9"/>
      <c r="AG142" s="21">
        <v>0.56472800000000001</v>
      </c>
      <c r="AH142" s="21">
        <v>19.157699999999998</v>
      </c>
      <c r="AI142" s="21">
        <v>-1.4401199999999999E-2</v>
      </c>
      <c r="AJ142" s="21">
        <v>132</v>
      </c>
      <c r="AK142" s="21">
        <v>0.56414799999999998</v>
      </c>
      <c r="AL142">
        <f t="shared" si="30"/>
        <v>17.779259259259259</v>
      </c>
      <c r="AM142">
        <f t="shared" si="31"/>
        <v>10.040445522962964</v>
      </c>
      <c r="AP142" s="9"/>
      <c r="AQ142" s="21">
        <v>1.1053500000000001</v>
      </c>
      <c r="AR142" s="21">
        <v>24.6511</v>
      </c>
      <c r="AS142" s="21">
        <v>-1.41937E-2</v>
      </c>
      <c r="AT142" s="21">
        <v>132</v>
      </c>
      <c r="AU142" s="21">
        <v>1.1047400000000001</v>
      </c>
      <c r="AV142">
        <f t="shared" si="32"/>
        <v>17.523086419753085</v>
      </c>
      <c r="AW142">
        <f t="shared" si="33"/>
        <v>19.369143574074073</v>
      </c>
      <c r="AX142" s="9"/>
      <c r="AY142" s="21">
        <v>0.56472800000000001</v>
      </c>
      <c r="AZ142" s="21">
        <v>28.4099</v>
      </c>
      <c r="BA142" s="21">
        <v>-1.44653E-2</v>
      </c>
      <c r="BB142" s="21">
        <v>132</v>
      </c>
      <c r="BC142" s="21">
        <v>0.56411699999999998</v>
      </c>
      <c r="BD142">
        <f t="shared" si="34"/>
        <v>17.858395061728395</v>
      </c>
      <c r="BE142">
        <f t="shared" si="35"/>
        <v>10.085135726419754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1.1003099999999999</v>
      </c>
      <c r="H143" s="21">
        <v>4.21272</v>
      </c>
      <c r="I143" s="21">
        <v>-1.43494E-2</v>
      </c>
      <c r="J143" s="21">
        <v>133</v>
      </c>
      <c r="K143" s="21">
        <v>1.09985</v>
      </c>
      <c r="L143">
        <f t="shared" si="24"/>
        <v>17.715308641975309</v>
      </c>
      <c r="M143">
        <f t="shared" si="25"/>
        <v>19.492331251851851</v>
      </c>
      <c r="N143" s="9"/>
      <c r="O143" s="21">
        <v>0.56976300000000002</v>
      </c>
      <c r="P143" s="21">
        <v>7.9714900000000002</v>
      </c>
      <c r="Q143" s="21">
        <v>-1.45874E-2</v>
      </c>
      <c r="R143" s="21">
        <v>133</v>
      </c>
      <c r="S143" s="21">
        <v>0.56915300000000002</v>
      </c>
      <c r="T143">
        <f t="shared" si="26"/>
        <v>18.009135802469135</v>
      </c>
      <c r="U143">
        <f t="shared" si="27"/>
        <v>10.260939242222221</v>
      </c>
      <c r="X143" s="9"/>
      <c r="Y143" s="21">
        <v>1.1003099999999999</v>
      </c>
      <c r="Z143" s="21">
        <v>15.409000000000001</v>
      </c>
      <c r="AA143" s="21">
        <v>-1.41846E-2</v>
      </c>
      <c r="AB143" s="21">
        <v>133</v>
      </c>
      <c r="AC143" s="21">
        <v>1.09985</v>
      </c>
      <c r="AD143">
        <f t="shared" si="28"/>
        <v>17.511851851851851</v>
      </c>
      <c r="AE143">
        <f t="shared" si="29"/>
        <v>19.268465711111109</v>
      </c>
      <c r="AF143" s="9"/>
      <c r="AG143" s="21">
        <v>0.56976300000000002</v>
      </c>
      <c r="AH143" s="21">
        <v>19.1677</v>
      </c>
      <c r="AI143" s="21">
        <v>-1.4401199999999999E-2</v>
      </c>
      <c r="AJ143" s="21">
        <v>133</v>
      </c>
      <c r="AK143" s="21">
        <v>0.56915300000000002</v>
      </c>
      <c r="AL143">
        <f t="shared" si="30"/>
        <v>17.779259259259259</v>
      </c>
      <c r="AM143">
        <f t="shared" si="31"/>
        <v>10.129964093333333</v>
      </c>
      <c r="AP143" s="9"/>
      <c r="AQ143" s="21">
        <v>1.1003099999999999</v>
      </c>
      <c r="AR143" s="21">
        <v>24.661200000000001</v>
      </c>
      <c r="AS143" s="21">
        <v>-1.41937E-2</v>
      </c>
      <c r="AT143" s="21">
        <v>133</v>
      </c>
      <c r="AU143" s="21">
        <v>1.09985</v>
      </c>
      <c r="AV143">
        <f t="shared" si="32"/>
        <v>17.523086419753085</v>
      </c>
      <c r="AW143">
        <f t="shared" si="33"/>
        <v>19.280827218518514</v>
      </c>
      <c r="AX143" s="9"/>
      <c r="AY143" s="21">
        <v>0.56976300000000002</v>
      </c>
      <c r="AZ143" s="21">
        <v>28.42</v>
      </c>
      <c r="BA143" s="21">
        <v>-1.44592E-2</v>
      </c>
      <c r="BB143" s="21">
        <v>133</v>
      </c>
      <c r="BC143" s="21">
        <v>0.56903099999999995</v>
      </c>
      <c r="BD143">
        <f t="shared" si="34"/>
        <v>17.850864197530864</v>
      </c>
      <c r="BE143">
        <f t="shared" si="35"/>
        <v>10.170761937777778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1.09528</v>
      </c>
      <c r="H144" s="21">
        <v>4.2227899999999998</v>
      </c>
      <c r="I144" s="21">
        <v>-1.43524E-2</v>
      </c>
      <c r="J144" s="21">
        <v>134</v>
      </c>
      <c r="K144" s="21">
        <v>1.09467</v>
      </c>
      <c r="L144">
        <f t="shared" si="24"/>
        <v>17.719012345679008</v>
      </c>
      <c r="M144">
        <f t="shared" si="25"/>
        <v>19.407279841975306</v>
      </c>
      <c r="N144" s="9"/>
      <c r="O144" s="21">
        <v>0.57479899999999995</v>
      </c>
      <c r="P144" s="21">
        <v>7.98156</v>
      </c>
      <c r="Q144" s="21">
        <v>-1.4590499999999999E-2</v>
      </c>
      <c r="R144" s="21">
        <v>134</v>
      </c>
      <c r="S144" s="21">
        <v>0.57409699999999997</v>
      </c>
      <c r="T144">
        <f t="shared" si="26"/>
        <v>18.012962962962959</v>
      </c>
      <c r="U144">
        <f t="shared" si="27"/>
        <v>10.353833098148145</v>
      </c>
      <c r="X144" s="9"/>
      <c r="Y144" s="21">
        <v>1.09528</v>
      </c>
      <c r="Z144" s="21">
        <v>15.419</v>
      </c>
      <c r="AA144" s="21">
        <v>-1.41937E-2</v>
      </c>
      <c r="AB144" s="21">
        <v>134</v>
      </c>
      <c r="AC144" s="21">
        <v>1.09497</v>
      </c>
      <c r="AD144">
        <f t="shared" si="28"/>
        <v>17.523086419753085</v>
      </c>
      <c r="AE144">
        <f t="shared" si="29"/>
        <v>19.19268609382716</v>
      </c>
      <c r="AF144" s="9"/>
      <c r="AG144" s="21">
        <v>0.57479899999999995</v>
      </c>
      <c r="AH144" s="21">
        <v>19.177800000000001</v>
      </c>
      <c r="AI144" s="21">
        <v>-1.44043E-2</v>
      </c>
      <c r="AJ144" s="21">
        <v>134</v>
      </c>
      <c r="AK144" s="21">
        <v>0.57415799999999995</v>
      </c>
      <c r="AL144">
        <f t="shared" si="30"/>
        <v>17.783086419753086</v>
      </c>
      <c r="AM144">
        <f t="shared" si="31"/>
        <v>10.221700290987654</v>
      </c>
      <c r="AP144" s="9"/>
      <c r="AQ144" s="21">
        <v>1.09528</v>
      </c>
      <c r="AR144" s="21">
        <v>24.671299999999999</v>
      </c>
      <c r="AS144" s="21">
        <v>-1.4196800000000001E-2</v>
      </c>
      <c r="AT144" s="21">
        <v>134</v>
      </c>
      <c r="AU144" s="21">
        <v>1.09436</v>
      </c>
      <c r="AV144">
        <f t="shared" si="32"/>
        <v>17.526913580246916</v>
      </c>
      <c r="AW144">
        <f t="shared" si="33"/>
        <v>19.196877906172844</v>
      </c>
      <c r="AX144" s="9"/>
      <c r="AY144" s="21">
        <v>0.57479899999999995</v>
      </c>
      <c r="AZ144" s="21">
        <v>28.43</v>
      </c>
      <c r="BA144" s="21">
        <v>-1.44592E-2</v>
      </c>
      <c r="BB144" s="21">
        <v>134</v>
      </c>
      <c r="BC144" s="21">
        <v>0.57412700000000005</v>
      </c>
      <c r="BD144">
        <f t="shared" si="34"/>
        <v>17.850864197530864</v>
      </c>
      <c r="BE144">
        <f t="shared" si="35"/>
        <v>10.260658889876542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1.0902400000000001</v>
      </c>
      <c r="H145" s="21">
        <v>4.2328599999999996</v>
      </c>
      <c r="I145" s="21">
        <v>-1.43585E-2</v>
      </c>
      <c r="J145" s="21">
        <v>135</v>
      </c>
      <c r="K145" s="21">
        <v>1.08917</v>
      </c>
      <c r="L145">
        <f t="shared" si="24"/>
        <v>17.726543209876542</v>
      </c>
      <c r="M145">
        <f t="shared" si="25"/>
        <v>19.326186469135802</v>
      </c>
      <c r="N145" s="9"/>
      <c r="O145" s="21">
        <v>0.57983399999999996</v>
      </c>
      <c r="P145" s="21">
        <v>7.9916299999999998</v>
      </c>
      <c r="Q145" s="21">
        <v>-1.45874E-2</v>
      </c>
      <c r="R145" s="21">
        <v>135</v>
      </c>
      <c r="S145" s="21">
        <v>0.57913199999999998</v>
      </c>
      <c r="T145">
        <f t="shared" si="26"/>
        <v>18.009135802469135</v>
      </c>
      <c r="U145">
        <f t="shared" si="27"/>
        <v>10.442309248888888</v>
      </c>
      <c r="X145" s="9"/>
      <c r="Y145" s="21">
        <v>1.0902400000000001</v>
      </c>
      <c r="Z145" s="21">
        <v>15.4291</v>
      </c>
      <c r="AA145" s="21">
        <v>-1.4202899999999999E-2</v>
      </c>
      <c r="AB145" s="21">
        <v>135</v>
      </c>
      <c r="AC145" s="21">
        <v>1.08948</v>
      </c>
      <c r="AD145">
        <f t="shared" si="28"/>
        <v>17.534444444444443</v>
      </c>
      <c r="AE145">
        <f t="shared" si="29"/>
        <v>19.116752711111111</v>
      </c>
      <c r="AF145" s="9"/>
      <c r="AG145" s="21">
        <v>0.57983399999999996</v>
      </c>
      <c r="AH145" s="21">
        <v>19.187899999999999</v>
      </c>
      <c r="AI145" s="21">
        <v>-1.4413499999999999E-2</v>
      </c>
      <c r="AJ145" s="21">
        <v>135</v>
      </c>
      <c r="AK145" s="21">
        <v>0.57919299999999996</v>
      </c>
      <c r="AL145">
        <f t="shared" si="30"/>
        <v>17.794444444444444</v>
      </c>
      <c r="AM145">
        <f t="shared" si="31"/>
        <v>10.317823899999999</v>
      </c>
      <c r="AP145" s="9"/>
      <c r="AQ145" s="21">
        <v>1.0902400000000001</v>
      </c>
      <c r="AR145" s="21">
        <v>24.6813</v>
      </c>
      <c r="AS145" s="21">
        <v>-1.41998E-2</v>
      </c>
      <c r="AT145" s="21">
        <v>135</v>
      </c>
      <c r="AU145" s="21">
        <v>1.08948</v>
      </c>
      <c r="AV145">
        <f t="shared" si="32"/>
        <v>17.530617283950615</v>
      </c>
      <c r="AW145">
        <f t="shared" si="33"/>
        <v>19.11258018765432</v>
      </c>
      <c r="AX145" s="9"/>
      <c r="AY145" s="21">
        <v>0.57983399999999996</v>
      </c>
      <c r="AZ145" s="21">
        <v>28.440100000000001</v>
      </c>
      <c r="BA145" s="21">
        <v>-1.44531E-2</v>
      </c>
      <c r="BB145" s="21">
        <v>135</v>
      </c>
      <c r="BC145" s="21">
        <v>0.57925400000000005</v>
      </c>
      <c r="BD145">
        <f t="shared" si="34"/>
        <v>17.843333333333334</v>
      </c>
      <c r="BE145">
        <f t="shared" si="35"/>
        <v>10.34617134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1.08521</v>
      </c>
      <c r="H146" s="21">
        <v>4.2429399999999999</v>
      </c>
      <c r="I146" s="21">
        <v>-1.4367700000000001E-2</v>
      </c>
      <c r="J146" s="21">
        <v>136</v>
      </c>
      <c r="K146" s="21">
        <v>1.08429</v>
      </c>
      <c r="L146">
        <f t="shared" si="24"/>
        <v>17.7379012345679</v>
      </c>
      <c r="M146">
        <f t="shared" si="25"/>
        <v>19.249347798765431</v>
      </c>
      <c r="N146" s="9"/>
      <c r="O146" s="21">
        <v>0.58486899999999997</v>
      </c>
      <c r="P146" s="21">
        <v>8.0016999999999996</v>
      </c>
      <c r="Q146" s="21">
        <v>-1.45813E-2</v>
      </c>
      <c r="R146" s="21">
        <v>136</v>
      </c>
      <c r="S146" s="21">
        <v>0.584198</v>
      </c>
      <c r="T146">
        <f t="shared" si="26"/>
        <v>18.001604938271605</v>
      </c>
      <c r="U146">
        <f t="shared" si="27"/>
        <v>10.528580678641974</v>
      </c>
      <c r="X146" s="9"/>
      <c r="Y146" s="21">
        <v>1.08521</v>
      </c>
      <c r="Z146" s="21">
        <v>15.4392</v>
      </c>
      <c r="AA146" s="21">
        <v>-1.42151E-2</v>
      </c>
      <c r="AB146" s="21">
        <v>136</v>
      </c>
      <c r="AC146" s="21">
        <v>1.0839799999999999</v>
      </c>
      <c r="AD146">
        <f t="shared" si="28"/>
        <v>17.549506172839507</v>
      </c>
      <c r="AE146">
        <f t="shared" si="29"/>
        <v>19.044899593827161</v>
      </c>
      <c r="AF146" s="9"/>
      <c r="AG146" s="21">
        <v>0.58486899999999997</v>
      </c>
      <c r="AH146" s="21">
        <v>19.198</v>
      </c>
      <c r="AI146" s="21">
        <v>-1.4413499999999999E-2</v>
      </c>
      <c r="AJ146" s="21">
        <v>136</v>
      </c>
      <c r="AK146" s="21">
        <v>0.58438100000000004</v>
      </c>
      <c r="AL146">
        <f t="shared" si="30"/>
        <v>17.794444444444444</v>
      </c>
      <c r="AM146">
        <f t="shared" si="31"/>
        <v>10.407418927777778</v>
      </c>
      <c r="AP146" s="9"/>
      <c r="AQ146" s="21">
        <v>1.08521</v>
      </c>
      <c r="AR146" s="21">
        <v>24.691400000000002</v>
      </c>
      <c r="AS146" s="21">
        <v>-1.42059E-2</v>
      </c>
      <c r="AT146" s="21">
        <v>136</v>
      </c>
      <c r="AU146" s="21">
        <v>1.0849</v>
      </c>
      <c r="AV146">
        <f t="shared" si="32"/>
        <v>17.538148148148146</v>
      </c>
      <c r="AW146">
        <f t="shared" si="33"/>
        <v>19.032573751851849</v>
      </c>
      <c r="AX146" s="9"/>
      <c r="AY146" s="21">
        <v>0.58486899999999997</v>
      </c>
      <c r="AZ146" s="21">
        <v>28.450199999999999</v>
      </c>
      <c r="BA146" s="21">
        <v>-1.44501E-2</v>
      </c>
      <c r="BB146" s="21">
        <v>136</v>
      </c>
      <c r="BC146" s="21">
        <v>0.58428999999999998</v>
      </c>
      <c r="BD146">
        <f t="shared" si="34"/>
        <v>17.839629629629631</v>
      </c>
      <c r="BE146">
        <f t="shared" si="35"/>
        <v>10.433846341851853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1.0801700000000001</v>
      </c>
      <c r="H147" s="21">
        <v>4.2530099999999997</v>
      </c>
      <c r="I147" s="21">
        <v>-1.4389000000000001E-2</v>
      </c>
      <c r="J147" s="21">
        <v>137</v>
      </c>
      <c r="K147" s="21">
        <v>1.0797099999999999</v>
      </c>
      <c r="L147">
        <f t="shared" si="24"/>
        <v>17.764197530864198</v>
      </c>
      <c r="M147">
        <f t="shared" si="25"/>
        <v>19.188353246913582</v>
      </c>
      <c r="N147" s="9"/>
      <c r="O147" s="21">
        <v>0.58990500000000001</v>
      </c>
      <c r="P147" s="21">
        <v>8.0117700000000003</v>
      </c>
      <c r="Q147" s="21">
        <v>-1.45752E-2</v>
      </c>
      <c r="R147" s="21">
        <v>137</v>
      </c>
      <c r="S147" s="21">
        <v>0.58932499999999999</v>
      </c>
      <c r="T147">
        <f t="shared" si="26"/>
        <v>17.994074074074071</v>
      </c>
      <c r="U147">
        <f t="shared" si="27"/>
        <v>10.614794266666665</v>
      </c>
      <c r="X147" s="9"/>
      <c r="Y147" s="21">
        <v>1.0801700000000001</v>
      </c>
      <c r="Z147" s="21">
        <v>15.449299999999999</v>
      </c>
      <c r="AA147" s="21">
        <v>-1.42151E-2</v>
      </c>
      <c r="AB147" s="21">
        <v>137</v>
      </c>
      <c r="AC147" s="21">
        <v>1.07941</v>
      </c>
      <c r="AD147">
        <f t="shared" si="28"/>
        <v>17.549506172839507</v>
      </c>
      <c r="AE147">
        <f t="shared" si="29"/>
        <v>18.956450082716053</v>
      </c>
      <c r="AF147" s="9"/>
      <c r="AG147" s="21">
        <v>0.58990500000000001</v>
      </c>
      <c r="AH147" s="21">
        <v>19.207999999999998</v>
      </c>
      <c r="AI147" s="21">
        <v>-1.44104E-2</v>
      </c>
      <c r="AJ147" s="21">
        <v>137</v>
      </c>
      <c r="AK147" s="21">
        <v>0.58935499999999996</v>
      </c>
      <c r="AL147">
        <f t="shared" si="30"/>
        <v>17.790617283950617</v>
      </c>
      <c r="AM147">
        <f t="shared" si="31"/>
        <v>10.494774088888889</v>
      </c>
      <c r="AP147" s="9"/>
      <c r="AQ147" s="21">
        <v>1.0801700000000001</v>
      </c>
      <c r="AR147" s="21">
        <v>24.701499999999999</v>
      </c>
      <c r="AS147" s="21">
        <v>-1.4202899999999999E-2</v>
      </c>
      <c r="AT147" s="21">
        <v>137</v>
      </c>
      <c r="AU147" s="21">
        <v>1.0797099999999999</v>
      </c>
      <c r="AV147">
        <f t="shared" si="32"/>
        <v>17.534444444444443</v>
      </c>
      <c r="AW147">
        <f t="shared" si="33"/>
        <v>18.940180855555553</v>
      </c>
      <c r="AX147" s="9"/>
      <c r="AY147" s="21">
        <v>0.58990500000000001</v>
      </c>
      <c r="AZ147" s="21">
        <v>28.4603</v>
      </c>
      <c r="BA147" s="21">
        <v>-1.4444E-2</v>
      </c>
      <c r="BB147" s="21">
        <v>137</v>
      </c>
      <c r="BC147" s="21">
        <v>0.58932499999999999</v>
      </c>
      <c r="BD147">
        <f t="shared" si="34"/>
        <v>17.832098765432097</v>
      </c>
      <c r="BE147">
        <f t="shared" si="35"/>
        <v>10.519244222222222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1.0751299999999999</v>
      </c>
      <c r="H148" s="21">
        <v>4.2630800000000004</v>
      </c>
      <c r="I148" s="21">
        <v>-1.43768E-2</v>
      </c>
      <c r="J148" s="21">
        <v>138</v>
      </c>
      <c r="K148" s="21">
        <v>1.07483</v>
      </c>
      <c r="L148">
        <f t="shared" si="24"/>
        <v>17.749135802469137</v>
      </c>
      <c r="M148">
        <f t="shared" si="25"/>
        <v>19.082628375308641</v>
      </c>
      <c r="N148" s="9"/>
      <c r="O148" s="21">
        <v>0.59494000000000002</v>
      </c>
      <c r="P148" s="21">
        <v>8.0218399999999992</v>
      </c>
      <c r="Q148" s="21">
        <v>-1.4556899999999999E-2</v>
      </c>
      <c r="R148" s="21">
        <v>138</v>
      </c>
      <c r="S148" s="21">
        <v>0.59451299999999996</v>
      </c>
      <c r="T148">
        <f t="shared" si="26"/>
        <v>17.971481481481479</v>
      </c>
      <c r="U148">
        <f t="shared" si="27"/>
        <v>10.691953192592592</v>
      </c>
      <c r="X148" s="9"/>
      <c r="Y148" s="21">
        <v>1.0751299999999999</v>
      </c>
      <c r="Z148" s="21">
        <v>15.459300000000001</v>
      </c>
      <c r="AA148" s="21">
        <v>-1.4218099999999999E-2</v>
      </c>
      <c r="AB148" s="21">
        <v>138</v>
      </c>
      <c r="AC148" s="21">
        <v>1.0739099999999999</v>
      </c>
      <c r="AD148">
        <f t="shared" si="28"/>
        <v>17.553209876543207</v>
      </c>
      <c r="AE148">
        <f t="shared" si="29"/>
        <v>18.871982534567895</v>
      </c>
      <c r="AF148" s="9"/>
      <c r="AG148" s="21">
        <v>0.59494000000000002</v>
      </c>
      <c r="AH148" s="21">
        <v>19.2181</v>
      </c>
      <c r="AI148" s="21">
        <v>-1.4413499999999999E-2</v>
      </c>
      <c r="AJ148" s="21">
        <v>138</v>
      </c>
      <c r="AK148" s="21">
        <v>0.59442099999999998</v>
      </c>
      <c r="AL148">
        <f t="shared" si="30"/>
        <v>17.794444444444444</v>
      </c>
      <c r="AM148">
        <f t="shared" si="31"/>
        <v>10.586626777777779</v>
      </c>
      <c r="AP148" s="9"/>
      <c r="AQ148" s="21">
        <v>1.0751299999999999</v>
      </c>
      <c r="AR148" s="21">
        <v>24.711600000000001</v>
      </c>
      <c r="AS148" s="21">
        <v>-1.42151E-2</v>
      </c>
      <c r="AT148" s="21">
        <v>138</v>
      </c>
      <c r="AU148" s="21">
        <v>1.0745199999999999</v>
      </c>
      <c r="AV148">
        <f t="shared" si="32"/>
        <v>17.549506172839507</v>
      </c>
      <c r="AW148">
        <f t="shared" si="33"/>
        <v>18.868000571604938</v>
      </c>
      <c r="AX148" s="9"/>
      <c r="AY148" s="21">
        <v>0.59494000000000002</v>
      </c>
      <c r="AZ148" s="21">
        <v>28.470300000000002</v>
      </c>
      <c r="BA148" s="21">
        <v>-1.4444E-2</v>
      </c>
      <c r="BB148" s="21">
        <v>138</v>
      </c>
      <c r="BC148" s="21">
        <v>0.59433000000000002</v>
      </c>
      <c r="BD148">
        <f t="shared" si="34"/>
        <v>17.832098765432097</v>
      </c>
      <c r="BE148">
        <f t="shared" si="35"/>
        <v>10.609028839506172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1.0701000000000001</v>
      </c>
      <c r="H149" s="21">
        <v>4.2731500000000002</v>
      </c>
      <c r="I149" s="21">
        <v>-1.43768E-2</v>
      </c>
      <c r="J149" s="21">
        <v>139</v>
      </c>
      <c r="K149" s="21">
        <v>1.0696399999999999</v>
      </c>
      <c r="L149">
        <f t="shared" si="24"/>
        <v>17.749135802469137</v>
      </c>
      <c r="M149">
        <f t="shared" si="25"/>
        <v>18.993350222222226</v>
      </c>
      <c r="N149" s="9"/>
      <c r="O149" s="21">
        <v>0.59997599999999995</v>
      </c>
      <c r="P149" s="21">
        <v>8.0319099999999999</v>
      </c>
      <c r="Q149" s="21">
        <v>-1.4544700000000001E-2</v>
      </c>
      <c r="R149" s="21">
        <v>139</v>
      </c>
      <c r="S149" s="21">
        <v>0.59936500000000004</v>
      </c>
      <c r="T149">
        <f t="shared" si="26"/>
        <v>17.956419753086422</v>
      </c>
      <c r="U149">
        <f t="shared" si="27"/>
        <v>10.773420897777779</v>
      </c>
      <c r="X149" s="9"/>
      <c r="Y149" s="21">
        <v>1.0701000000000001</v>
      </c>
      <c r="Z149" s="21">
        <v>15.4694</v>
      </c>
      <c r="AA149" s="21">
        <v>-1.4224199999999999E-2</v>
      </c>
      <c r="AB149" s="21">
        <v>139</v>
      </c>
      <c r="AC149" s="21">
        <v>1.06873</v>
      </c>
      <c r="AD149">
        <f t="shared" si="28"/>
        <v>17.560740740740737</v>
      </c>
      <c r="AE149">
        <f t="shared" si="29"/>
        <v>18.791748666666663</v>
      </c>
      <c r="AF149" s="9"/>
      <c r="AG149" s="21">
        <v>0.59997599999999995</v>
      </c>
      <c r="AH149" s="21">
        <v>19.228200000000001</v>
      </c>
      <c r="AI149" s="21">
        <v>-1.4413499999999999E-2</v>
      </c>
      <c r="AJ149" s="21">
        <v>139</v>
      </c>
      <c r="AK149" s="21">
        <v>0.599518</v>
      </c>
      <c r="AL149">
        <f t="shared" si="30"/>
        <v>17.794444444444444</v>
      </c>
      <c r="AM149">
        <f t="shared" si="31"/>
        <v>10.676239599999999</v>
      </c>
      <c r="AP149" s="9"/>
      <c r="AQ149" s="21">
        <v>1.0701000000000001</v>
      </c>
      <c r="AR149" s="21">
        <v>24.721599999999999</v>
      </c>
      <c r="AS149" s="21">
        <v>-1.4224199999999999E-2</v>
      </c>
      <c r="AT149" s="21">
        <v>139</v>
      </c>
      <c r="AU149" s="21">
        <v>1.06873</v>
      </c>
      <c r="AV149">
        <f t="shared" si="32"/>
        <v>17.560740740740737</v>
      </c>
      <c r="AW149">
        <f t="shared" si="33"/>
        <v>18.791748666666663</v>
      </c>
      <c r="AX149" s="9"/>
      <c r="AY149" s="21">
        <v>0.59997599999999995</v>
      </c>
      <c r="AZ149" s="21">
        <v>28.480399999999999</v>
      </c>
      <c r="BA149" s="21">
        <v>-1.44501E-2</v>
      </c>
      <c r="BB149" s="21">
        <v>139</v>
      </c>
      <c r="BC149" s="21">
        <v>0.59942600000000001</v>
      </c>
      <c r="BD149">
        <f t="shared" si="34"/>
        <v>17.839629629629631</v>
      </c>
      <c r="BE149">
        <f t="shared" si="35"/>
        <v>10.703349626666666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1.0650599999999999</v>
      </c>
      <c r="H150" s="21">
        <v>4.28322</v>
      </c>
      <c r="I150" s="21">
        <v>-1.43768E-2</v>
      </c>
      <c r="J150" s="21">
        <v>140</v>
      </c>
      <c r="K150" s="21">
        <v>1.0641499999999999</v>
      </c>
      <c r="L150">
        <f t="shared" si="24"/>
        <v>17.749135802469137</v>
      </c>
      <c r="M150">
        <f t="shared" si="25"/>
        <v>18.903894577777777</v>
      </c>
      <c r="N150" s="9"/>
      <c r="O150" s="21">
        <v>0.60501099999999997</v>
      </c>
      <c r="P150" s="21">
        <v>8.0419900000000002</v>
      </c>
      <c r="Q150" s="21">
        <v>-1.45477E-2</v>
      </c>
      <c r="R150" s="21">
        <v>140</v>
      </c>
      <c r="S150" s="21">
        <v>0.60440099999999997</v>
      </c>
      <c r="T150">
        <f t="shared" si="26"/>
        <v>17.960123456790122</v>
      </c>
      <c r="U150">
        <f t="shared" si="27"/>
        <v>10.866072252716048</v>
      </c>
      <c r="X150" s="9"/>
      <c r="Y150" s="21">
        <v>1.0650599999999999</v>
      </c>
      <c r="Z150" s="21">
        <v>15.4795</v>
      </c>
      <c r="AA150" s="21">
        <v>-1.42273E-2</v>
      </c>
      <c r="AB150" s="21">
        <v>140</v>
      </c>
      <c r="AC150" s="21">
        <v>1.0641499999999999</v>
      </c>
      <c r="AD150">
        <f t="shared" si="28"/>
        <v>17.564567901234565</v>
      </c>
      <c r="AE150">
        <f t="shared" si="29"/>
        <v>18.707318688888883</v>
      </c>
      <c r="AF150" s="9"/>
      <c r="AG150" s="21">
        <v>0.60501099999999997</v>
      </c>
      <c r="AH150" s="21">
        <v>19.238199999999999</v>
      </c>
      <c r="AI150" s="21">
        <v>-1.44073E-2</v>
      </c>
      <c r="AJ150" s="21">
        <v>140</v>
      </c>
      <c r="AK150" s="21">
        <v>0.60443100000000005</v>
      </c>
      <c r="AL150">
        <f t="shared" si="30"/>
        <v>17.78679012345679</v>
      </c>
      <c r="AM150">
        <f t="shared" si="31"/>
        <v>10.761203679382715</v>
      </c>
      <c r="AP150" s="9"/>
      <c r="AQ150" s="21">
        <v>1.0650599999999999</v>
      </c>
      <c r="AR150" s="21">
        <v>24.7317</v>
      </c>
      <c r="AS150" s="21">
        <v>-1.42334E-2</v>
      </c>
      <c r="AT150" s="21">
        <v>140</v>
      </c>
      <c r="AU150" s="21">
        <v>1.0647599999999999</v>
      </c>
      <c r="AV150">
        <f t="shared" si="32"/>
        <v>17.572098765432099</v>
      </c>
      <c r="AW150">
        <f t="shared" si="33"/>
        <v>18.715339511111107</v>
      </c>
      <c r="AX150" s="9"/>
      <c r="AY150" s="21">
        <v>0.60501099999999997</v>
      </c>
      <c r="AZ150" s="21">
        <v>28.490500000000001</v>
      </c>
      <c r="BA150" s="21">
        <v>-1.44501E-2</v>
      </c>
      <c r="BB150" s="21">
        <v>140</v>
      </c>
      <c r="BC150" s="21">
        <v>0.60443100000000005</v>
      </c>
      <c r="BD150">
        <f t="shared" si="34"/>
        <v>17.839629629629631</v>
      </c>
      <c r="BE150">
        <f t="shared" si="35"/>
        <v>10.793172161851851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1.06003</v>
      </c>
      <c r="H151" s="21">
        <v>4.2932899999999998</v>
      </c>
      <c r="I151" s="21">
        <v>-1.4382900000000001E-2</v>
      </c>
      <c r="J151" s="21">
        <v>141</v>
      </c>
      <c r="K151" s="21">
        <v>1.0592699999999999</v>
      </c>
      <c r="L151">
        <f t="shared" si="24"/>
        <v>17.756666666666668</v>
      </c>
      <c r="M151">
        <f t="shared" si="25"/>
        <v>18.822599366666669</v>
      </c>
      <c r="N151" s="9"/>
      <c r="O151" s="21">
        <v>0.61004599999999998</v>
      </c>
      <c r="P151" s="21">
        <v>8.0520600000000009</v>
      </c>
      <c r="Q151" s="21">
        <v>-1.45538E-2</v>
      </c>
      <c r="R151" s="21">
        <v>141</v>
      </c>
      <c r="S151" s="21">
        <v>0.609375</v>
      </c>
      <c r="T151">
        <f t="shared" si="26"/>
        <v>17.967654320987652</v>
      </c>
      <c r="U151">
        <f t="shared" si="27"/>
        <v>10.961095647901233</v>
      </c>
      <c r="X151" s="9"/>
      <c r="Y151" s="21">
        <v>1.06003</v>
      </c>
      <c r="Z151" s="21">
        <v>15.4895</v>
      </c>
      <c r="AA151" s="21">
        <v>-1.42273E-2</v>
      </c>
      <c r="AB151" s="21">
        <v>141</v>
      </c>
      <c r="AC151" s="21">
        <v>1.0589599999999999</v>
      </c>
      <c r="AD151">
        <f t="shared" si="28"/>
        <v>17.564567901234565</v>
      </c>
      <c r="AE151">
        <f t="shared" si="29"/>
        <v>18.618968912345675</v>
      </c>
      <c r="AF151" s="9"/>
      <c r="AG151" s="21">
        <v>0.61004599999999998</v>
      </c>
      <c r="AH151" s="21">
        <v>19.2483</v>
      </c>
      <c r="AI151" s="21">
        <v>-1.4401199999999999E-2</v>
      </c>
      <c r="AJ151" s="21">
        <v>141</v>
      </c>
      <c r="AK151" s="21">
        <v>0.60949699999999996</v>
      </c>
      <c r="AL151">
        <f t="shared" si="30"/>
        <v>17.779259259259259</v>
      </c>
      <c r="AM151">
        <f t="shared" si="31"/>
        <v>10.846165994074074</v>
      </c>
      <c r="AP151" s="9"/>
      <c r="AQ151" s="21">
        <v>1.06003</v>
      </c>
      <c r="AR151" s="21">
        <v>24.741800000000001</v>
      </c>
      <c r="AS151" s="21">
        <v>-1.42395E-2</v>
      </c>
      <c r="AT151" s="21">
        <v>141</v>
      </c>
      <c r="AU151" s="21">
        <v>1.0595699999999999</v>
      </c>
      <c r="AV151">
        <f t="shared" si="32"/>
        <v>17.579629629629629</v>
      </c>
      <c r="AW151">
        <f t="shared" si="33"/>
        <v>18.634934796296296</v>
      </c>
      <c r="AX151" s="9"/>
      <c r="AY151" s="21">
        <v>0.61004599999999998</v>
      </c>
      <c r="AZ151" s="21">
        <v>28.500499999999999</v>
      </c>
      <c r="BA151" s="21">
        <v>-1.4462300000000001E-2</v>
      </c>
      <c r="BB151" s="21">
        <v>141</v>
      </c>
      <c r="BC151" s="21">
        <v>0.60955800000000004</v>
      </c>
      <c r="BD151">
        <f t="shared" si="34"/>
        <v>17.854691358024692</v>
      </c>
      <c r="BE151">
        <f t="shared" si="35"/>
        <v>10.89218304419753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1.0549900000000001</v>
      </c>
      <c r="H152" s="21">
        <v>4.3033599999999996</v>
      </c>
      <c r="I152" s="21">
        <v>-1.4379899999999999E-2</v>
      </c>
      <c r="J152" s="21">
        <v>142</v>
      </c>
      <c r="K152" s="21">
        <v>1.0540799999999999</v>
      </c>
      <c r="L152">
        <f t="shared" si="24"/>
        <v>17.752962962962961</v>
      </c>
      <c r="M152">
        <f t="shared" si="25"/>
        <v>18.729198396296297</v>
      </c>
      <c r="N152" s="9"/>
      <c r="O152" s="21">
        <v>0.61508200000000002</v>
      </c>
      <c r="P152" s="21">
        <v>8.0621299999999998</v>
      </c>
      <c r="Q152" s="21">
        <v>-1.4550799999999999E-2</v>
      </c>
      <c r="R152" s="21">
        <v>142</v>
      </c>
      <c r="S152" s="21">
        <v>0.61453199999999997</v>
      </c>
      <c r="T152">
        <f t="shared" si="26"/>
        <v>17.963950617283949</v>
      </c>
      <c r="U152">
        <f t="shared" si="27"/>
        <v>11.049302673580247</v>
      </c>
      <c r="X152" s="9"/>
      <c r="Y152" s="21">
        <v>1.0549900000000001</v>
      </c>
      <c r="Z152" s="21">
        <v>15.499599999999999</v>
      </c>
      <c r="AA152" s="21">
        <v>-1.42303E-2</v>
      </c>
      <c r="AB152" s="21">
        <v>142</v>
      </c>
      <c r="AC152" s="21">
        <v>1.0543800000000001</v>
      </c>
      <c r="AD152">
        <f t="shared" si="28"/>
        <v>17.568271604938271</v>
      </c>
      <c r="AE152">
        <f t="shared" si="29"/>
        <v>18.534350860493827</v>
      </c>
      <c r="AF152" s="9"/>
      <c r="AG152" s="21">
        <v>0.61508200000000002</v>
      </c>
      <c r="AH152" s="21">
        <v>19.258400000000002</v>
      </c>
      <c r="AI152" s="21">
        <v>-1.43921E-2</v>
      </c>
      <c r="AJ152" s="21">
        <v>142</v>
      </c>
      <c r="AK152" s="21">
        <v>0.61441000000000001</v>
      </c>
      <c r="AL152">
        <f t="shared" si="30"/>
        <v>17.768024691358022</v>
      </c>
      <c r="AM152">
        <f t="shared" si="31"/>
        <v>10.928792163209875</v>
      </c>
      <c r="AP152" s="9"/>
      <c r="AQ152" s="21">
        <v>1.0549900000000001</v>
      </c>
      <c r="AR152" s="21">
        <v>24.751799999999999</v>
      </c>
      <c r="AS152" s="21">
        <v>-1.4257799999999999E-2</v>
      </c>
      <c r="AT152" s="21">
        <v>142</v>
      </c>
      <c r="AU152" s="21">
        <v>1.0537700000000001</v>
      </c>
      <c r="AV152">
        <f t="shared" si="32"/>
        <v>17.60222222222222</v>
      </c>
      <c r="AW152">
        <f t="shared" si="33"/>
        <v>18.570168422222221</v>
      </c>
      <c r="AX152" s="9"/>
      <c r="AY152" s="21">
        <v>0.61508200000000002</v>
      </c>
      <c r="AZ152" s="21">
        <v>28.5106</v>
      </c>
      <c r="BA152" s="21">
        <v>-1.4468399999999999E-2</v>
      </c>
      <c r="BB152" s="21">
        <v>142</v>
      </c>
      <c r="BC152" s="21">
        <v>0.61450199999999999</v>
      </c>
      <c r="BD152">
        <f t="shared" si="34"/>
        <v>17.862222222222222</v>
      </c>
      <c r="BE152">
        <f t="shared" si="35"/>
        <v>10.98673136888889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1.04996</v>
      </c>
      <c r="H153" s="21">
        <v>4.3134300000000003</v>
      </c>
      <c r="I153" s="21">
        <v>-1.43768E-2</v>
      </c>
      <c r="J153" s="21">
        <v>143</v>
      </c>
      <c r="K153" s="21">
        <v>1.0488900000000001</v>
      </c>
      <c r="L153">
        <f t="shared" si="24"/>
        <v>17.749135802469137</v>
      </c>
      <c r="M153">
        <f t="shared" si="25"/>
        <v>18.635882627160495</v>
      </c>
      <c r="N153" s="9"/>
      <c r="O153" s="21">
        <v>0.62011700000000003</v>
      </c>
      <c r="P153" s="21">
        <v>8.0722000000000005</v>
      </c>
      <c r="Q153" s="21">
        <v>-1.4566000000000001E-2</v>
      </c>
      <c r="R153" s="21">
        <v>143</v>
      </c>
      <c r="S153" s="21">
        <v>0.61950700000000003</v>
      </c>
      <c r="T153">
        <f t="shared" si="26"/>
        <v>17.982716049382717</v>
      </c>
      <c r="U153">
        <f t="shared" si="27"/>
        <v>11.151387928395062</v>
      </c>
      <c r="X153" s="9"/>
      <c r="Y153" s="21">
        <v>1.04996</v>
      </c>
      <c r="Z153" s="21">
        <v>15.5097</v>
      </c>
      <c r="AA153" s="21">
        <v>-1.4242599999999999E-2</v>
      </c>
      <c r="AB153" s="21">
        <v>143</v>
      </c>
      <c r="AC153" s="21">
        <v>1.0491900000000001</v>
      </c>
      <c r="AD153">
        <f t="shared" si="28"/>
        <v>17.583456790123453</v>
      </c>
      <c r="AE153">
        <f t="shared" si="29"/>
        <v>18.461926291358022</v>
      </c>
      <c r="AF153" s="9"/>
      <c r="AG153" s="21">
        <v>0.62011700000000003</v>
      </c>
      <c r="AH153" s="21">
        <v>19.2685</v>
      </c>
      <c r="AI153" s="21">
        <v>-1.4379899999999999E-2</v>
      </c>
      <c r="AJ153" s="21">
        <v>143</v>
      </c>
      <c r="AK153" s="21">
        <v>0.61956800000000001</v>
      </c>
      <c r="AL153">
        <f t="shared" si="30"/>
        <v>17.752962962962961</v>
      </c>
      <c r="AM153">
        <f t="shared" si="31"/>
        <v>11.008914133703703</v>
      </c>
      <c r="AP153" s="9"/>
      <c r="AQ153" s="21">
        <v>1.04996</v>
      </c>
      <c r="AR153" s="21">
        <v>24.761900000000001</v>
      </c>
      <c r="AS153" s="21">
        <v>-1.427E-2</v>
      </c>
      <c r="AT153" s="21">
        <v>143</v>
      </c>
      <c r="AU153" s="21">
        <v>1.0488900000000001</v>
      </c>
      <c r="AV153">
        <f t="shared" si="32"/>
        <v>17.617283950617285</v>
      </c>
      <c r="AW153">
        <f t="shared" si="33"/>
        <v>18.497443456790126</v>
      </c>
      <c r="AX153" s="9"/>
      <c r="AY153" s="21">
        <v>0.62011700000000003</v>
      </c>
      <c r="AZ153" s="21">
        <v>28.520700000000001</v>
      </c>
      <c r="BA153" s="21">
        <v>-1.4477500000000001E-2</v>
      </c>
      <c r="BB153" s="21">
        <v>143</v>
      </c>
      <c r="BC153" s="21">
        <v>0.61950700000000003</v>
      </c>
      <c r="BD153">
        <f t="shared" si="34"/>
        <v>17.873456790123456</v>
      </c>
      <c r="BE153">
        <f t="shared" si="35"/>
        <v>11.083634404320987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1.0449200000000001</v>
      </c>
      <c r="H154" s="21">
        <v>4.3235000000000001</v>
      </c>
      <c r="I154" s="21">
        <v>-1.4379899999999999E-2</v>
      </c>
      <c r="J154" s="21">
        <v>144</v>
      </c>
      <c r="K154" s="21">
        <v>1.0437000000000001</v>
      </c>
      <c r="L154">
        <f t="shared" si="24"/>
        <v>17.752962962962961</v>
      </c>
      <c r="M154">
        <f t="shared" si="25"/>
        <v>18.550426059259259</v>
      </c>
      <c r="N154" s="9"/>
      <c r="O154" s="21">
        <v>0.62515299999999996</v>
      </c>
      <c r="P154" s="21">
        <v>8.0822699999999994</v>
      </c>
      <c r="Q154" s="21">
        <v>-1.4566000000000001E-2</v>
      </c>
      <c r="R154" s="21">
        <v>144</v>
      </c>
      <c r="S154" s="21">
        <v>0.62454200000000004</v>
      </c>
      <c r="T154">
        <f t="shared" si="26"/>
        <v>17.982716049382717</v>
      </c>
      <c r="U154">
        <f t="shared" si="27"/>
        <v>11.241948886419753</v>
      </c>
      <c r="X154" s="9"/>
      <c r="Y154" s="21">
        <v>1.0449200000000001</v>
      </c>
      <c r="Z154" s="21">
        <v>15.5198</v>
      </c>
      <c r="AA154" s="21">
        <v>-1.42487E-2</v>
      </c>
      <c r="AB154" s="21">
        <v>144</v>
      </c>
      <c r="AC154" s="21">
        <v>1.0440100000000001</v>
      </c>
      <c r="AD154">
        <f t="shared" si="28"/>
        <v>17.590987654320987</v>
      </c>
      <c r="AE154">
        <f t="shared" si="29"/>
        <v>18.381174819753088</v>
      </c>
      <c r="AF154" s="9"/>
      <c r="AG154" s="21">
        <v>0.62515299999999996</v>
      </c>
      <c r="AH154" s="21">
        <v>19.278500000000001</v>
      </c>
      <c r="AI154" s="21">
        <v>-1.4373800000000001E-2</v>
      </c>
      <c r="AJ154" s="21">
        <v>144</v>
      </c>
      <c r="AK154" s="21">
        <v>0.62451199999999996</v>
      </c>
      <c r="AL154">
        <f t="shared" si="30"/>
        <v>17.745432098765431</v>
      </c>
      <c r="AM154">
        <f t="shared" si="31"/>
        <v>11.093610112839505</v>
      </c>
      <c r="AP154" s="9"/>
      <c r="AQ154" s="21">
        <v>1.0449200000000001</v>
      </c>
      <c r="AR154" s="21">
        <v>24.771999999999998</v>
      </c>
      <c r="AS154" s="21">
        <v>-1.4263899999999999E-2</v>
      </c>
      <c r="AT154" s="21">
        <v>144</v>
      </c>
      <c r="AU154" s="21">
        <v>1.0440100000000001</v>
      </c>
      <c r="AV154">
        <f t="shared" si="32"/>
        <v>17.609753086419751</v>
      </c>
      <c r="AW154">
        <f t="shared" si="33"/>
        <v>18.400783195061727</v>
      </c>
      <c r="AX154" s="9"/>
      <c r="AY154" s="21">
        <v>0.62515299999999996</v>
      </c>
      <c r="AZ154" s="21">
        <v>28.530799999999999</v>
      </c>
      <c r="BA154" s="21">
        <v>-1.44806E-2</v>
      </c>
      <c r="BB154" s="21">
        <v>144</v>
      </c>
      <c r="BC154" s="21">
        <v>0.62454200000000004</v>
      </c>
      <c r="BD154">
        <f t="shared" si="34"/>
        <v>17.877283950617283</v>
      </c>
      <c r="BE154">
        <f t="shared" si="35"/>
        <v>11.176037693580245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1.03989</v>
      </c>
      <c r="H155" s="21">
        <v>4.3335699999999999</v>
      </c>
      <c r="I155" s="21">
        <v>-1.4382900000000001E-2</v>
      </c>
      <c r="J155" s="21">
        <v>145</v>
      </c>
      <c r="K155" s="21">
        <v>1.0388200000000001</v>
      </c>
      <c r="L155">
        <f t="shared" si="24"/>
        <v>17.756666666666668</v>
      </c>
      <c r="M155">
        <f t="shared" si="25"/>
        <v>18.464980100000002</v>
      </c>
      <c r="N155" s="9"/>
      <c r="O155" s="21">
        <v>0.63018799999999997</v>
      </c>
      <c r="P155" s="21">
        <v>8.0923400000000001</v>
      </c>
      <c r="Q155" s="21">
        <v>-1.4566000000000001E-2</v>
      </c>
      <c r="R155" s="21">
        <v>145</v>
      </c>
      <c r="S155" s="21">
        <v>0.62963899999999995</v>
      </c>
      <c r="T155">
        <f t="shared" si="26"/>
        <v>17.982716049382717</v>
      </c>
      <c r="U155">
        <f t="shared" si="27"/>
        <v>11.332491861728395</v>
      </c>
      <c r="X155" s="9"/>
      <c r="Y155" s="21">
        <v>1.03989</v>
      </c>
      <c r="Z155" s="21">
        <v>15.5298</v>
      </c>
      <c r="AA155" s="21">
        <v>-1.4257799999999999E-2</v>
      </c>
      <c r="AB155" s="21">
        <v>145</v>
      </c>
      <c r="AC155" s="21">
        <v>1.03973</v>
      </c>
      <c r="AD155">
        <f t="shared" si="28"/>
        <v>17.60222222222222</v>
      </c>
      <c r="AE155">
        <f t="shared" si="29"/>
        <v>18.304374866666663</v>
      </c>
      <c r="AF155" s="9"/>
      <c r="AG155" s="21">
        <v>0.63018799999999997</v>
      </c>
      <c r="AH155" s="21">
        <v>19.288599999999999</v>
      </c>
      <c r="AI155" s="21">
        <v>-1.43768E-2</v>
      </c>
      <c r="AJ155" s="21">
        <v>145</v>
      </c>
      <c r="AK155" s="21">
        <v>0.62970000000000004</v>
      </c>
      <c r="AL155">
        <f t="shared" si="30"/>
        <v>17.749135802469137</v>
      </c>
      <c r="AM155">
        <f t="shared" si="31"/>
        <v>11.185292393086421</v>
      </c>
      <c r="AP155" s="9"/>
      <c r="AQ155" s="21">
        <v>1.03989</v>
      </c>
      <c r="AR155" s="21">
        <v>24.7821</v>
      </c>
      <c r="AS155" s="21">
        <v>-1.4257799999999999E-2</v>
      </c>
      <c r="AT155" s="21">
        <v>145</v>
      </c>
      <c r="AU155" s="21">
        <v>1.03851</v>
      </c>
      <c r="AV155">
        <f t="shared" si="32"/>
        <v>17.60222222222222</v>
      </c>
      <c r="AW155">
        <f t="shared" si="33"/>
        <v>18.304374866666663</v>
      </c>
      <c r="AX155" s="9"/>
      <c r="AY155" s="21">
        <v>0.63018799999999997</v>
      </c>
      <c r="AZ155" s="21">
        <v>28.540800000000001</v>
      </c>
      <c r="BA155" s="21">
        <v>-1.4483599999999999E-2</v>
      </c>
      <c r="BB155" s="21">
        <v>145</v>
      </c>
      <c r="BC155" s="21">
        <v>0.62957799999999997</v>
      </c>
      <c r="BD155">
        <f t="shared" si="34"/>
        <v>17.880987654320986</v>
      </c>
      <c r="BE155">
        <f t="shared" si="35"/>
        <v>11.268383847901234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1.03485</v>
      </c>
      <c r="H156" s="21">
        <v>4.3436500000000002</v>
      </c>
      <c r="I156" s="21">
        <v>-1.4389000000000001E-2</v>
      </c>
      <c r="J156" s="21">
        <v>146</v>
      </c>
      <c r="K156" s="21">
        <v>1.03363</v>
      </c>
      <c r="L156">
        <f t="shared" si="24"/>
        <v>17.764197530864198</v>
      </c>
      <c r="M156">
        <f t="shared" si="25"/>
        <v>18.383279814814816</v>
      </c>
      <c r="N156" s="9"/>
      <c r="O156" s="21">
        <v>0.63522299999999998</v>
      </c>
      <c r="P156" s="21">
        <v>8.1024100000000008</v>
      </c>
      <c r="Q156" s="21">
        <v>-1.4572099999999999E-2</v>
      </c>
      <c r="R156" s="21">
        <v>146</v>
      </c>
      <c r="S156" s="21">
        <v>0.63470499999999996</v>
      </c>
      <c r="T156">
        <f t="shared" si="26"/>
        <v>17.990246913580243</v>
      </c>
      <c r="U156">
        <f t="shared" si="27"/>
        <v>11.427818615185183</v>
      </c>
      <c r="X156" s="9"/>
      <c r="Y156" s="21">
        <v>1.03485</v>
      </c>
      <c r="Z156" s="21">
        <v>15.539899999999999</v>
      </c>
      <c r="AA156" s="21">
        <v>-1.4267E-2</v>
      </c>
      <c r="AB156" s="21">
        <v>146</v>
      </c>
      <c r="AC156" s="21">
        <v>1.03424</v>
      </c>
      <c r="AD156">
        <f t="shared" si="28"/>
        <v>17.613580246913582</v>
      </c>
      <c r="AE156">
        <f t="shared" si="29"/>
        <v>18.227413518518521</v>
      </c>
      <c r="AF156" s="9"/>
      <c r="AG156" s="21">
        <v>0.63522299999999998</v>
      </c>
      <c r="AH156" s="21">
        <v>19.2987</v>
      </c>
      <c r="AI156" s="21">
        <v>-1.4373800000000001E-2</v>
      </c>
      <c r="AJ156" s="21">
        <v>146</v>
      </c>
      <c r="AK156" s="21">
        <v>0.63464399999999999</v>
      </c>
      <c r="AL156">
        <f t="shared" si="30"/>
        <v>17.745432098765431</v>
      </c>
      <c r="AM156">
        <f t="shared" si="31"/>
        <v>11.272306614074072</v>
      </c>
      <c r="AP156" s="9"/>
      <c r="AQ156" s="21">
        <v>1.03485</v>
      </c>
      <c r="AR156" s="21">
        <v>24.792100000000001</v>
      </c>
      <c r="AS156" s="21">
        <v>-1.4251700000000001E-2</v>
      </c>
      <c r="AT156" s="21">
        <v>146</v>
      </c>
      <c r="AU156" s="21">
        <v>1.0333300000000001</v>
      </c>
      <c r="AV156">
        <f t="shared" si="32"/>
        <v>17.594691358024694</v>
      </c>
      <c r="AW156">
        <f t="shared" si="33"/>
        <v>18.207866351851855</v>
      </c>
      <c r="AX156" s="9"/>
      <c r="AY156" s="21">
        <v>0.63522299999999998</v>
      </c>
      <c r="AZ156" s="21">
        <v>28.550899999999999</v>
      </c>
      <c r="BA156" s="21">
        <v>-1.4477500000000001E-2</v>
      </c>
      <c r="BB156" s="21">
        <v>146</v>
      </c>
      <c r="BC156" s="21">
        <v>0.63458300000000001</v>
      </c>
      <c r="BD156">
        <f t="shared" si="34"/>
        <v>17.873456790123456</v>
      </c>
      <c r="BE156">
        <f t="shared" si="35"/>
        <v>11.353630842592592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1.02982</v>
      </c>
      <c r="H157" s="21">
        <v>4.35372</v>
      </c>
      <c r="I157" s="21">
        <v>-1.4389000000000001E-2</v>
      </c>
      <c r="J157" s="21">
        <v>147</v>
      </c>
      <c r="K157" s="21">
        <v>1.0287500000000001</v>
      </c>
      <c r="L157">
        <f t="shared" si="24"/>
        <v>17.764197530864198</v>
      </c>
      <c r="M157">
        <f t="shared" si="25"/>
        <v>18.293925901234569</v>
      </c>
      <c r="N157" s="9"/>
      <c r="O157" s="21">
        <v>0.64025900000000002</v>
      </c>
      <c r="P157" s="21">
        <v>8.1124799999999997</v>
      </c>
      <c r="Q157" s="21">
        <v>-1.45813E-2</v>
      </c>
      <c r="R157" s="21">
        <v>147</v>
      </c>
      <c r="S157" s="21">
        <v>0.63973999999999998</v>
      </c>
      <c r="T157">
        <f t="shared" si="26"/>
        <v>18.001604938271605</v>
      </c>
      <c r="U157">
        <f t="shared" si="27"/>
        <v>11.525689576172839</v>
      </c>
      <c r="X157" s="9"/>
      <c r="Y157" s="21">
        <v>1.02982</v>
      </c>
      <c r="Z157" s="21">
        <v>15.55</v>
      </c>
      <c r="AA157" s="21">
        <v>-1.42731E-2</v>
      </c>
      <c r="AB157" s="21">
        <v>147</v>
      </c>
      <c r="AC157" s="21">
        <v>1.0287500000000001</v>
      </c>
      <c r="AD157">
        <f t="shared" si="28"/>
        <v>17.621111111111112</v>
      </c>
      <c r="AE157">
        <f t="shared" si="29"/>
        <v>18.146572644444444</v>
      </c>
      <c r="AF157" s="9"/>
      <c r="AG157" s="21">
        <v>0.64025900000000002</v>
      </c>
      <c r="AH157" s="21">
        <v>19.308700000000002</v>
      </c>
      <c r="AI157" s="21">
        <v>-1.43768E-2</v>
      </c>
      <c r="AJ157" s="21">
        <v>147</v>
      </c>
      <c r="AK157" s="21">
        <v>0.639679</v>
      </c>
      <c r="AL157">
        <f t="shared" si="30"/>
        <v>17.749135802469137</v>
      </c>
      <c r="AM157">
        <f t="shared" si="31"/>
        <v>11.364043939753088</v>
      </c>
      <c r="AP157" s="9"/>
      <c r="AQ157" s="21">
        <v>1.02982</v>
      </c>
      <c r="AR157" s="21">
        <v>24.802199999999999</v>
      </c>
      <c r="AS157" s="21">
        <v>-1.42548E-2</v>
      </c>
      <c r="AT157" s="21">
        <v>147</v>
      </c>
      <c r="AU157" s="21">
        <v>1.02905</v>
      </c>
      <c r="AV157">
        <f t="shared" si="32"/>
        <v>17.598518518518517</v>
      </c>
      <c r="AW157">
        <f t="shared" si="33"/>
        <v>18.12330634074074</v>
      </c>
      <c r="AX157" s="9"/>
      <c r="AY157" s="21">
        <v>0.64025900000000002</v>
      </c>
      <c r="AZ157" s="21">
        <v>28.561</v>
      </c>
      <c r="BA157" s="21">
        <v>-1.44653E-2</v>
      </c>
      <c r="BB157" s="21">
        <v>147</v>
      </c>
      <c r="BC157" s="21">
        <v>0.63977099999999998</v>
      </c>
      <c r="BD157">
        <f t="shared" si="34"/>
        <v>17.858395061728395</v>
      </c>
      <c r="BE157">
        <f t="shared" si="35"/>
        <v>11.433998163827161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1.02478</v>
      </c>
      <c r="H158" s="21">
        <v>4.3637899999999998</v>
      </c>
      <c r="I158" s="21">
        <v>-1.43921E-2</v>
      </c>
      <c r="J158" s="21">
        <v>148</v>
      </c>
      <c r="K158" s="21">
        <v>1.02356</v>
      </c>
      <c r="L158">
        <f t="shared" si="24"/>
        <v>17.768024691358022</v>
      </c>
      <c r="M158">
        <f t="shared" si="25"/>
        <v>18.208316343209873</v>
      </c>
      <c r="N158" s="9"/>
      <c r="O158" s="21">
        <v>0.64529400000000003</v>
      </c>
      <c r="P158" s="21">
        <v>8.1225500000000004</v>
      </c>
      <c r="Q158" s="21">
        <v>-1.4584400000000001E-2</v>
      </c>
      <c r="R158" s="21">
        <v>148</v>
      </c>
      <c r="S158" s="21">
        <v>0.64468400000000003</v>
      </c>
      <c r="T158">
        <f t="shared" si="26"/>
        <v>18.005432098765432</v>
      </c>
      <c r="U158">
        <f t="shared" si="27"/>
        <v>11.618797300740741</v>
      </c>
      <c r="X158" s="9"/>
      <c r="Y158" s="21">
        <v>1.02478</v>
      </c>
      <c r="Z158" s="21">
        <v>15.56</v>
      </c>
      <c r="AA158" s="21">
        <v>-1.4279200000000001E-2</v>
      </c>
      <c r="AB158" s="21">
        <v>148</v>
      </c>
      <c r="AC158" s="21">
        <v>1.02356</v>
      </c>
      <c r="AD158">
        <f t="shared" si="28"/>
        <v>17.628641975308639</v>
      </c>
      <c r="AE158">
        <f t="shared" si="29"/>
        <v>18.065479723456789</v>
      </c>
      <c r="AF158" s="9"/>
      <c r="AG158" s="21">
        <v>0.64529400000000003</v>
      </c>
      <c r="AH158" s="21">
        <v>19.3188</v>
      </c>
      <c r="AI158" s="21">
        <v>-1.4382900000000001E-2</v>
      </c>
      <c r="AJ158" s="21">
        <v>148</v>
      </c>
      <c r="AK158" s="21">
        <v>0.64474500000000001</v>
      </c>
      <c r="AL158">
        <f t="shared" si="30"/>
        <v>17.756666666666668</v>
      </c>
      <c r="AM158">
        <f t="shared" si="31"/>
        <v>11.458270460000001</v>
      </c>
      <c r="AP158" s="9"/>
      <c r="AQ158" s="21">
        <v>1.02478</v>
      </c>
      <c r="AR158" s="21">
        <v>24.8123</v>
      </c>
      <c r="AS158" s="21">
        <v>-1.4267E-2</v>
      </c>
      <c r="AT158" s="21">
        <v>148</v>
      </c>
      <c r="AU158" s="21">
        <v>1.02417</v>
      </c>
      <c r="AV158">
        <f t="shared" si="32"/>
        <v>17.613580246913582</v>
      </c>
      <c r="AW158">
        <f t="shared" si="33"/>
        <v>18.050044765432101</v>
      </c>
      <c r="AX158" s="9"/>
      <c r="AY158" s="21">
        <v>0.64529400000000003</v>
      </c>
      <c r="AZ158" s="21">
        <v>28.571000000000002</v>
      </c>
      <c r="BA158" s="21">
        <v>-1.4456200000000001E-2</v>
      </c>
      <c r="BB158" s="21">
        <v>148</v>
      </c>
      <c r="BC158" s="21">
        <v>0.64471400000000001</v>
      </c>
      <c r="BD158">
        <f t="shared" si="34"/>
        <v>17.847160493827161</v>
      </c>
      <c r="BE158">
        <f t="shared" si="35"/>
        <v>11.516665583703706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1.0197400000000001</v>
      </c>
      <c r="H159" s="21">
        <v>4.3738599999999996</v>
      </c>
      <c r="I159" s="21">
        <v>-1.43921E-2</v>
      </c>
      <c r="J159" s="21">
        <v>149</v>
      </c>
      <c r="K159" s="21">
        <v>1.01868</v>
      </c>
      <c r="L159">
        <f t="shared" si="24"/>
        <v>17.768024691358022</v>
      </c>
      <c r="M159">
        <f t="shared" si="25"/>
        <v>18.118765498765431</v>
      </c>
      <c r="N159" s="9"/>
      <c r="O159" s="21">
        <v>0.65032999999999996</v>
      </c>
      <c r="P159" s="21">
        <v>8.1326199999999993</v>
      </c>
      <c r="Q159" s="21">
        <v>-1.45813E-2</v>
      </c>
      <c r="R159" s="21">
        <v>149</v>
      </c>
      <c r="S159" s="21">
        <v>0.64971900000000005</v>
      </c>
      <c r="T159">
        <f t="shared" si="26"/>
        <v>18.001604938271605</v>
      </c>
      <c r="U159">
        <f t="shared" si="27"/>
        <v>11.706983739506173</v>
      </c>
      <c r="X159" s="9"/>
      <c r="Y159" s="21">
        <v>1.0197400000000001</v>
      </c>
      <c r="Z159" s="21">
        <v>15.5701</v>
      </c>
      <c r="AA159" s="21">
        <v>-1.42761E-2</v>
      </c>
      <c r="AB159" s="21">
        <v>149</v>
      </c>
      <c r="AC159" s="21">
        <v>1.01898</v>
      </c>
      <c r="AD159">
        <f t="shared" si="28"/>
        <v>17.624814814814812</v>
      </c>
      <c r="AE159">
        <f t="shared" si="29"/>
        <v>17.972728659259257</v>
      </c>
      <c r="AF159" s="9"/>
      <c r="AG159" s="21">
        <v>0.65032999999999996</v>
      </c>
      <c r="AH159" s="21">
        <v>19.328900000000001</v>
      </c>
      <c r="AI159" s="21">
        <v>-1.4389000000000001E-2</v>
      </c>
      <c r="AJ159" s="21">
        <v>149</v>
      </c>
      <c r="AK159" s="21">
        <v>0.64981100000000003</v>
      </c>
      <c r="AL159">
        <f t="shared" si="30"/>
        <v>17.764197530864198</v>
      </c>
      <c r="AM159">
        <f t="shared" si="31"/>
        <v>11.552590580246914</v>
      </c>
      <c r="AP159" s="9"/>
      <c r="AQ159" s="21">
        <v>1.0197400000000001</v>
      </c>
      <c r="AR159" s="21">
        <v>24.822299999999998</v>
      </c>
      <c r="AS159" s="21">
        <v>-1.42761E-2</v>
      </c>
      <c r="AT159" s="21">
        <v>149</v>
      </c>
      <c r="AU159" s="21">
        <v>1.01898</v>
      </c>
      <c r="AV159">
        <f t="shared" si="32"/>
        <v>17.624814814814812</v>
      </c>
      <c r="AW159">
        <f t="shared" si="33"/>
        <v>17.972728659259257</v>
      </c>
      <c r="AX159" s="9"/>
      <c r="AY159" s="21">
        <v>0.65032999999999996</v>
      </c>
      <c r="AZ159" s="21">
        <v>28.581099999999999</v>
      </c>
      <c r="BA159" s="21">
        <v>-1.4444E-2</v>
      </c>
      <c r="BB159" s="21">
        <v>149</v>
      </c>
      <c r="BC159" s="21">
        <v>0.64959699999999998</v>
      </c>
      <c r="BD159">
        <f t="shared" si="34"/>
        <v>17.832098765432097</v>
      </c>
      <c r="BE159">
        <f t="shared" si="35"/>
        <v>11.596748790123454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1.01471</v>
      </c>
      <c r="H160" s="21">
        <v>4.3839300000000003</v>
      </c>
      <c r="I160" s="21">
        <v>-1.44073E-2</v>
      </c>
      <c r="J160" s="21">
        <v>150</v>
      </c>
      <c r="K160" s="21">
        <v>1.0141</v>
      </c>
      <c r="L160">
        <f t="shared" si="24"/>
        <v>17.78679012345679</v>
      </c>
      <c r="M160">
        <f t="shared" si="25"/>
        <v>18.048433806172838</v>
      </c>
      <c r="N160" s="9"/>
      <c r="O160" s="21">
        <v>0.65536499999999998</v>
      </c>
      <c r="P160" s="21">
        <v>8.1426999999999996</v>
      </c>
      <c r="Q160" s="21">
        <v>-1.4584400000000001E-2</v>
      </c>
      <c r="R160" s="21">
        <v>150</v>
      </c>
      <c r="S160" s="21">
        <v>0.65478499999999995</v>
      </c>
      <c r="T160">
        <f t="shared" si="26"/>
        <v>18.005432098765432</v>
      </c>
      <c r="U160">
        <f t="shared" si="27"/>
        <v>11.800130007407407</v>
      </c>
      <c r="X160" s="9"/>
      <c r="Y160" s="21">
        <v>1.01471</v>
      </c>
      <c r="Z160" s="21">
        <v>15.5802</v>
      </c>
      <c r="AA160" s="21">
        <v>-1.42761E-2</v>
      </c>
      <c r="AB160" s="21">
        <v>150</v>
      </c>
      <c r="AC160" s="21">
        <v>1.01379</v>
      </c>
      <c r="AD160">
        <f t="shared" si="28"/>
        <v>17.624814814814812</v>
      </c>
      <c r="AE160">
        <f t="shared" si="29"/>
        <v>17.884075840740739</v>
      </c>
      <c r="AF160" s="9"/>
      <c r="AG160" s="21">
        <v>0.65536499999999998</v>
      </c>
      <c r="AH160" s="21">
        <v>19.338899999999999</v>
      </c>
      <c r="AI160" s="21">
        <v>-1.4379899999999999E-2</v>
      </c>
      <c r="AJ160" s="21">
        <v>150</v>
      </c>
      <c r="AK160" s="21">
        <v>0.654694</v>
      </c>
      <c r="AL160">
        <f t="shared" si="30"/>
        <v>17.752962962962961</v>
      </c>
      <c r="AM160">
        <f t="shared" si="31"/>
        <v>11.63467057222222</v>
      </c>
      <c r="AP160" s="9"/>
      <c r="AQ160" s="21">
        <v>1.01471</v>
      </c>
      <c r="AR160" s="21">
        <v>24.8324</v>
      </c>
      <c r="AS160" s="21">
        <v>-1.42883E-2</v>
      </c>
      <c r="AT160" s="21">
        <v>150</v>
      </c>
      <c r="AU160" s="21">
        <v>1.0141</v>
      </c>
      <c r="AV160">
        <f t="shared" si="32"/>
        <v>17.639876543209876</v>
      </c>
      <c r="AW160">
        <f t="shared" si="33"/>
        <v>17.899359127160494</v>
      </c>
      <c r="AX160" s="9"/>
      <c r="AY160" s="21">
        <v>0.65536499999999998</v>
      </c>
      <c r="AZ160" s="21">
        <v>28.591200000000001</v>
      </c>
      <c r="BA160" s="21">
        <v>-1.4444E-2</v>
      </c>
      <c r="BB160" s="21">
        <v>150</v>
      </c>
      <c r="BC160" s="21">
        <v>0.65481599999999995</v>
      </c>
      <c r="BD160">
        <f t="shared" si="34"/>
        <v>17.832098765432097</v>
      </c>
      <c r="BE160">
        <f t="shared" si="35"/>
        <v>11.686533407407406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1.0096700000000001</v>
      </c>
      <c r="H161" s="21">
        <v>4.3940000000000001</v>
      </c>
      <c r="I161" s="21">
        <v>-1.4422600000000001E-2</v>
      </c>
      <c r="J161" s="21">
        <v>151</v>
      </c>
      <c r="K161" s="21">
        <v>1.00861</v>
      </c>
      <c r="L161">
        <f t="shared" si="24"/>
        <v>17.805679012345678</v>
      </c>
      <c r="M161">
        <f t="shared" si="25"/>
        <v>17.977859928395063</v>
      </c>
      <c r="N161" s="9"/>
      <c r="O161" s="21">
        <v>0.66039999999999999</v>
      </c>
      <c r="P161" s="21">
        <v>8.1527700000000003</v>
      </c>
      <c r="Q161" s="21">
        <v>-1.4584400000000001E-2</v>
      </c>
      <c r="R161" s="21">
        <v>151</v>
      </c>
      <c r="S161" s="21">
        <v>0.65988199999999997</v>
      </c>
      <c r="T161">
        <f t="shared" si="26"/>
        <v>18.005432098765432</v>
      </c>
      <c r="U161">
        <f t="shared" si="27"/>
        <v>11.89078735802469</v>
      </c>
      <c r="X161" s="9"/>
      <c r="Y161" s="21">
        <v>1.0096700000000001</v>
      </c>
      <c r="Z161" s="21">
        <v>15.590299999999999</v>
      </c>
      <c r="AA161" s="21">
        <v>-1.4279200000000001E-2</v>
      </c>
      <c r="AB161" s="21">
        <v>151</v>
      </c>
      <c r="AC161" s="21">
        <v>1.00891</v>
      </c>
      <c r="AD161">
        <f t="shared" si="28"/>
        <v>17.628641975308639</v>
      </c>
      <c r="AE161">
        <f t="shared" si="29"/>
        <v>17.799110943209875</v>
      </c>
      <c r="AF161" s="9"/>
      <c r="AG161" s="21">
        <v>0.66039999999999999</v>
      </c>
      <c r="AH161" s="21">
        <v>19.349</v>
      </c>
      <c r="AI161" s="21">
        <v>-1.43707E-2</v>
      </c>
      <c r="AJ161" s="21">
        <v>151</v>
      </c>
      <c r="AK161" s="21">
        <v>0.65985099999999997</v>
      </c>
      <c r="AL161">
        <f t="shared" si="30"/>
        <v>17.741604938271603</v>
      </c>
      <c r="AM161">
        <f t="shared" si="31"/>
        <v>11.716555901234566</v>
      </c>
      <c r="AP161" s="9"/>
      <c r="AQ161" s="21">
        <v>1.0096700000000001</v>
      </c>
      <c r="AR161" s="21">
        <v>24.842500000000001</v>
      </c>
      <c r="AS161" s="21">
        <v>-1.4297499999999999E-2</v>
      </c>
      <c r="AT161" s="21">
        <v>151</v>
      </c>
      <c r="AU161" s="21">
        <v>1.00891</v>
      </c>
      <c r="AV161">
        <f t="shared" si="32"/>
        <v>17.651234567901231</v>
      </c>
      <c r="AW161">
        <f t="shared" si="33"/>
        <v>17.821922006172837</v>
      </c>
      <c r="AX161" s="9"/>
      <c r="AY161" s="21">
        <v>0.66039999999999999</v>
      </c>
      <c r="AZ161" s="21">
        <v>28.601199999999999</v>
      </c>
      <c r="BA161" s="21">
        <v>-1.44501E-2</v>
      </c>
      <c r="BB161" s="21">
        <v>151</v>
      </c>
      <c r="BC161" s="21">
        <v>0.65982099999999999</v>
      </c>
      <c r="BD161">
        <f t="shared" si="34"/>
        <v>17.839629629629631</v>
      </c>
      <c r="BE161">
        <f t="shared" si="35"/>
        <v>11.781291407407409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1.00464</v>
      </c>
      <c r="H162" s="21">
        <v>4.4040699999999999</v>
      </c>
      <c r="I162" s="21">
        <v>-1.44318E-2</v>
      </c>
      <c r="J162" s="21">
        <v>152</v>
      </c>
      <c r="K162" s="21">
        <v>1.00342</v>
      </c>
      <c r="L162">
        <f t="shared" si="24"/>
        <v>17.817037037037036</v>
      </c>
      <c r="M162">
        <f t="shared" si="25"/>
        <v>17.899708088888886</v>
      </c>
      <c r="N162" s="9"/>
      <c r="O162" s="21">
        <v>0.66543600000000003</v>
      </c>
      <c r="P162" s="21">
        <v>8.1628399999999992</v>
      </c>
      <c r="Q162" s="21">
        <v>-1.4584400000000001E-2</v>
      </c>
      <c r="R162" s="21">
        <v>152</v>
      </c>
      <c r="S162" s="21">
        <v>0.66488599999999998</v>
      </c>
      <c r="T162">
        <f t="shared" si="26"/>
        <v>18.005432098765432</v>
      </c>
      <c r="U162">
        <f t="shared" si="27"/>
        <v>11.981462714074075</v>
      </c>
      <c r="X162" s="9"/>
      <c r="Y162" s="21">
        <v>1.00464</v>
      </c>
      <c r="Z162" s="21">
        <v>15.600300000000001</v>
      </c>
      <c r="AA162" s="21">
        <v>-1.42883E-2</v>
      </c>
      <c r="AB162" s="21">
        <v>152</v>
      </c>
      <c r="AC162" s="21">
        <v>1.00403</v>
      </c>
      <c r="AD162">
        <f t="shared" si="28"/>
        <v>17.639876543209876</v>
      </c>
      <c r="AE162">
        <f t="shared" si="29"/>
        <v>17.721725570370371</v>
      </c>
      <c r="AF162" s="9"/>
      <c r="AG162" s="21">
        <v>0.66543600000000003</v>
      </c>
      <c r="AH162" s="21">
        <v>19.359100000000002</v>
      </c>
      <c r="AI162" s="21">
        <v>-1.43646E-2</v>
      </c>
      <c r="AJ162" s="21">
        <v>152</v>
      </c>
      <c r="AK162" s="21">
        <v>0.66488599999999998</v>
      </c>
      <c r="AL162">
        <f t="shared" si="30"/>
        <v>17.734074074074073</v>
      </c>
      <c r="AM162">
        <f t="shared" si="31"/>
        <v>11.800891315555555</v>
      </c>
      <c r="AP162" s="9"/>
      <c r="AQ162" s="21">
        <v>1.00464</v>
      </c>
      <c r="AR162" s="21">
        <v>24.852599999999999</v>
      </c>
      <c r="AS162" s="21">
        <v>-1.43036E-2</v>
      </c>
      <c r="AT162" s="21">
        <v>152</v>
      </c>
      <c r="AU162" s="21">
        <v>1.0037199999999999</v>
      </c>
      <c r="AV162">
        <f t="shared" si="32"/>
        <v>17.658765432098765</v>
      </c>
      <c r="AW162">
        <f t="shared" si="33"/>
        <v>17.740702103703704</v>
      </c>
      <c r="AX162" s="9"/>
      <c r="AY162" s="21">
        <v>0.66543600000000003</v>
      </c>
      <c r="AZ162" s="21">
        <v>28.6113</v>
      </c>
      <c r="BA162" s="21">
        <v>-1.4468399999999999E-2</v>
      </c>
      <c r="BB162" s="21">
        <v>152</v>
      </c>
      <c r="BC162" s="21">
        <v>0.66479500000000002</v>
      </c>
      <c r="BD162">
        <f t="shared" si="34"/>
        <v>17.862222222222222</v>
      </c>
      <c r="BE162">
        <f t="shared" si="35"/>
        <v>11.886165706666667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0.99960300000000002</v>
      </c>
      <c r="H163" s="21">
        <v>4.4141399999999997</v>
      </c>
      <c r="I163" s="21">
        <v>-1.4434799999999999E-2</v>
      </c>
      <c r="J163" s="21">
        <v>153</v>
      </c>
      <c r="K163" s="21">
        <v>0.99945099999999998</v>
      </c>
      <c r="L163">
        <f t="shared" si="24"/>
        <v>17.820740740740739</v>
      </c>
      <c r="M163">
        <f t="shared" si="25"/>
        <v>17.813665906666664</v>
      </c>
      <c r="N163" s="9"/>
      <c r="O163" s="21">
        <v>0.67047100000000004</v>
      </c>
      <c r="P163" s="21">
        <v>8.1729099999999999</v>
      </c>
      <c r="Q163" s="21">
        <v>-1.45752E-2</v>
      </c>
      <c r="R163" s="21">
        <v>153</v>
      </c>
      <c r="S163" s="21">
        <v>0.66989100000000001</v>
      </c>
      <c r="T163">
        <f t="shared" si="26"/>
        <v>17.994074074074071</v>
      </c>
      <c r="U163">
        <f t="shared" si="27"/>
        <v>12.064504838518516</v>
      </c>
      <c r="X163" s="9"/>
      <c r="Y163" s="21">
        <v>0.99960300000000002</v>
      </c>
      <c r="Z163" s="21">
        <v>15.6104</v>
      </c>
      <c r="AA163" s="21">
        <v>-1.4294400000000001E-2</v>
      </c>
      <c r="AB163" s="21">
        <v>153</v>
      </c>
      <c r="AC163" s="21">
        <v>0.99853499999999995</v>
      </c>
      <c r="AD163">
        <f t="shared" si="28"/>
        <v>17.647407407407407</v>
      </c>
      <c r="AE163">
        <f t="shared" si="29"/>
        <v>17.640401386666667</v>
      </c>
      <c r="AF163" s="9"/>
      <c r="AG163" s="21">
        <v>0.67047100000000004</v>
      </c>
      <c r="AH163" s="21">
        <v>19.369199999999999</v>
      </c>
      <c r="AI163" s="21">
        <v>-1.43585E-2</v>
      </c>
      <c r="AJ163" s="21">
        <v>153</v>
      </c>
      <c r="AK163" s="21">
        <v>0.66986100000000004</v>
      </c>
      <c r="AL163">
        <f t="shared" si="30"/>
        <v>17.726543209876542</v>
      </c>
      <c r="AM163">
        <f t="shared" si="31"/>
        <v>11.885133152469136</v>
      </c>
      <c r="AP163" s="9"/>
      <c r="AQ163" s="21">
        <v>0.99960300000000002</v>
      </c>
      <c r="AR163" s="21">
        <v>24.8626</v>
      </c>
      <c r="AS163" s="21">
        <v>-1.4312699999999999E-2</v>
      </c>
      <c r="AT163" s="21">
        <v>153</v>
      </c>
      <c r="AU163" s="21">
        <v>0.99853499999999995</v>
      </c>
      <c r="AV163">
        <f t="shared" si="32"/>
        <v>17.669999999999998</v>
      </c>
      <c r="AW163">
        <f t="shared" si="33"/>
        <v>17.66298501</v>
      </c>
      <c r="AX163" s="9"/>
      <c r="AY163" s="21">
        <v>0.67047100000000004</v>
      </c>
      <c r="AZ163" s="21">
        <v>28.621400000000001</v>
      </c>
      <c r="BA163" s="21">
        <v>-1.4483599999999999E-2</v>
      </c>
      <c r="BB163" s="21">
        <v>153</v>
      </c>
      <c r="BC163" s="21">
        <v>0.66979999999999995</v>
      </c>
      <c r="BD163">
        <f t="shared" si="34"/>
        <v>17.880987654320986</v>
      </c>
      <c r="BE163">
        <f t="shared" si="35"/>
        <v>11.988683673580246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0.99456800000000001</v>
      </c>
      <c r="H164" s="21">
        <v>4.4242100000000004</v>
      </c>
      <c r="I164" s="21">
        <v>-1.44318E-2</v>
      </c>
      <c r="J164" s="21">
        <v>154</v>
      </c>
      <c r="K164" s="21">
        <v>0.99395800000000001</v>
      </c>
      <c r="L164">
        <f t="shared" si="24"/>
        <v>17.817037037037036</v>
      </c>
      <c r="M164">
        <f t="shared" si="25"/>
        <v>17.720254891851852</v>
      </c>
      <c r="N164" s="9"/>
      <c r="O164" s="21">
        <v>0.67550699999999997</v>
      </c>
      <c r="P164" s="21">
        <v>8.1829800000000006</v>
      </c>
      <c r="Q164" s="21">
        <v>-1.4559900000000001E-2</v>
      </c>
      <c r="R164" s="21">
        <v>154</v>
      </c>
      <c r="S164" s="21">
        <v>0.67489600000000005</v>
      </c>
      <c r="T164">
        <f t="shared" si="26"/>
        <v>17.975185185185186</v>
      </c>
      <c r="U164">
        <f t="shared" si="27"/>
        <v>12.142363418888889</v>
      </c>
      <c r="X164" s="9"/>
      <c r="Y164" s="21">
        <v>0.99456800000000001</v>
      </c>
      <c r="Z164" s="21">
        <v>15.6205</v>
      </c>
      <c r="AA164" s="21">
        <v>-1.4300500000000001E-2</v>
      </c>
      <c r="AB164" s="21">
        <v>154</v>
      </c>
      <c r="AC164" s="21">
        <v>0.99395800000000001</v>
      </c>
      <c r="AD164">
        <f t="shared" si="28"/>
        <v>17.654938271604937</v>
      </c>
      <c r="AE164">
        <f t="shared" si="29"/>
        <v>17.559036646913579</v>
      </c>
      <c r="AF164" s="9"/>
      <c r="AG164" s="21">
        <v>0.67550699999999997</v>
      </c>
      <c r="AH164" s="21">
        <v>19.379200000000001</v>
      </c>
      <c r="AI164" s="21">
        <v>-1.43524E-2</v>
      </c>
      <c r="AJ164" s="21">
        <v>154</v>
      </c>
      <c r="AK164" s="21">
        <v>0.67489600000000005</v>
      </c>
      <c r="AL164">
        <f t="shared" si="30"/>
        <v>17.719012345679008</v>
      </c>
      <c r="AM164">
        <f t="shared" si="31"/>
        <v>11.969316872592589</v>
      </c>
      <c r="AP164" s="9"/>
      <c r="AQ164" s="21">
        <v>0.99456800000000001</v>
      </c>
      <c r="AR164" s="21">
        <v>24.872699999999998</v>
      </c>
      <c r="AS164" s="21">
        <v>-1.4331099999999999E-2</v>
      </c>
      <c r="AT164" s="21">
        <v>154</v>
      </c>
      <c r="AU164" s="21">
        <v>0.99304199999999998</v>
      </c>
      <c r="AV164">
        <f t="shared" si="32"/>
        <v>17.692716049382714</v>
      </c>
      <c r="AW164">
        <f t="shared" si="33"/>
        <v>17.596609215802467</v>
      </c>
      <c r="AX164" s="9"/>
      <c r="AY164" s="21">
        <v>0.67550699999999997</v>
      </c>
      <c r="AZ164" s="21">
        <v>28.631499999999999</v>
      </c>
      <c r="BA164" s="21">
        <v>-1.4483599999999999E-2</v>
      </c>
      <c r="BB164" s="21">
        <v>154</v>
      </c>
      <c r="BC164" s="21">
        <v>0.67489600000000005</v>
      </c>
      <c r="BD164">
        <f t="shared" si="34"/>
        <v>17.880987654320986</v>
      </c>
      <c r="BE164">
        <f t="shared" si="35"/>
        <v>12.078732327407407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0.98953199999999997</v>
      </c>
      <c r="H165" s="21">
        <v>4.4342800000000002</v>
      </c>
      <c r="I165" s="21">
        <v>-1.4422600000000001E-2</v>
      </c>
      <c r="J165" s="21">
        <v>155</v>
      </c>
      <c r="K165" s="21">
        <v>0.98877000000000004</v>
      </c>
      <c r="L165">
        <f t="shared" si="24"/>
        <v>17.805679012345678</v>
      </c>
      <c r="M165">
        <f t="shared" si="25"/>
        <v>17.619289164444442</v>
      </c>
      <c r="N165" s="9"/>
      <c r="O165" s="21">
        <v>0.68054199999999998</v>
      </c>
      <c r="P165" s="21">
        <v>8.1930499999999995</v>
      </c>
      <c r="Q165" s="21">
        <v>-1.45538E-2</v>
      </c>
      <c r="R165" s="21">
        <v>155</v>
      </c>
      <c r="S165" s="21">
        <v>0.679871</v>
      </c>
      <c r="T165">
        <f t="shared" si="26"/>
        <v>17.967654320987652</v>
      </c>
      <c r="U165">
        <f t="shared" si="27"/>
        <v>12.227743406913579</v>
      </c>
      <c r="X165" s="9"/>
      <c r="Y165" s="21">
        <v>0.98953199999999997</v>
      </c>
      <c r="Z165" s="21">
        <v>15.6305</v>
      </c>
      <c r="AA165" s="21">
        <v>-1.4300500000000001E-2</v>
      </c>
      <c r="AB165" s="21">
        <v>155</v>
      </c>
      <c r="AC165" s="21">
        <v>0.98846400000000001</v>
      </c>
      <c r="AD165">
        <f t="shared" si="28"/>
        <v>17.654938271604937</v>
      </c>
      <c r="AE165">
        <f t="shared" si="29"/>
        <v>17.470126377777778</v>
      </c>
      <c r="AF165" s="9"/>
      <c r="AG165" s="21">
        <v>0.68054199999999998</v>
      </c>
      <c r="AH165" s="21">
        <v>19.389299999999999</v>
      </c>
      <c r="AI165" s="21">
        <v>-1.4346299999999999E-2</v>
      </c>
      <c r="AJ165" s="21">
        <v>155</v>
      </c>
      <c r="AK165" s="21">
        <v>0.67999299999999996</v>
      </c>
      <c r="AL165">
        <f t="shared" si="30"/>
        <v>17.711481481481481</v>
      </c>
      <c r="AM165">
        <f t="shared" si="31"/>
        <v>12.053407030370369</v>
      </c>
      <c r="AP165" s="9"/>
      <c r="AQ165" s="21">
        <v>0.98953199999999997</v>
      </c>
      <c r="AR165" s="21">
        <v>24.8828</v>
      </c>
      <c r="AS165" s="21">
        <v>-1.4334100000000001E-2</v>
      </c>
      <c r="AT165" s="21">
        <v>155</v>
      </c>
      <c r="AU165" s="21">
        <v>0.98815900000000001</v>
      </c>
      <c r="AV165">
        <f t="shared" si="32"/>
        <v>17.69641975308642</v>
      </c>
      <c r="AW165">
        <f t="shared" si="33"/>
        <v>17.511173631111109</v>
      </c>
      <c r="AX165" s="9"/>
      <c r="AY165" s="21">
        <v>0.68054199999999998</v>
      </c>
      <c r="AZ165" s="21">
        <v>28.641500000000001</v>
      </c>
      <c r="BA165" s="21">
        <v>-1.4483599999999999E-2</v>
      </c>
      <c r="BB165" s="21">
        <v>155</v>
      </c>
      <c r="BC165" s="21">
        <v>0.68002300000000004</v>
      </c>
      <c r="BD165">
        <f t="shared" si="34"/>
        <v>17.880987654320986</v>
      </c>
      <c r="BE165">
        <f t="shared" si="35"/>
        <v>12.168763100246911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0.98449699999999996</v>
      </c>
      <c r="H166" s="21">
        <v>4.4443599999999996</v>
      </c>
      <c r="I166" s="21">
        <v>-1.44165E-2</v>
      </c>
      <c r="J166" s="21">
        <v>156</v>
      </c>
      <c r="K166" s="21">
        <v>0.98358199999999996</v>
      </c>
      <c r="L166">
        <f t="shared" si="24"/>
        <v>17.798148148148147</v>
      </c>
      <c r="M166">
        <f t="shared" si="25"/>
        <v>17.522223457407406</v>
      </c>
      <c r="N166" s="9"/>
      <c r="O166" s="21">
        <v>0.68557699999999999</v>
      </c>
      <c r="P166" s="21">
        <v>8.2031200000000002</v>
      </c>
      <c r="Q166" s="21">
        <v>-1.45477E-2</v>
      </c>
      <c r="R166" s="21">
        <v>156</v>
      </c>
      <c r="S166" s="21">
        <v>0.68487500000000001</v>
      </c>
      <c r="T166">
        <f t="shared" si="26"/>
        <v>17.960123456790122</v>
      </c>
      <c r="U166">
        <f t="shared" si="27"/>
        <v>12.313047559135802</v>
      </c>
      <c r="X166" s="9"/>
      <c r="Y166" s="21">
        <v>0.98449699999999996</v>
      </c>
      <c r="Z166" s="21">
        <v>15.640599999999999</v>
      </c>
      <c r="AA166" s="21">
        <v>-1.4297499999999999E-2</v>
      </c>
      <c r="AB166" s="21">
        <v>156</v>
      </c>
      <c r="AC166" s="21">
        <v>0.98358199999999996</v>
      </c>
      <c r="AD166">
        <f t="shared" si="28"/>
        <v>17.651234567901231</v>
      </c>
      <c r="AE166">
        <f t="shared" si="29"/>
        <v>17.377587478395057</v>
      </c>
      <c r="AF166" s="9"/>
      <c r="AG166" s="21">
        <v>0.68557699999999999</v>
      </c>
      <c r="AH166" s="21">
        <v>19.3994</v>
      </c>
      <c r="AI166" s="21">
        <v>-1.43616E-2</v>
      </c>
      <c r="AJ166" s="21">
        <v>156</v>
      </c>
      <c r="AK166" s="21">
        <v>0.68502799999999997</v>
      </c>
      <c r="AL166">
        <f t="shared" si="30"/>
        <v>17.73037037037037</v>
      </c>
      <c r="AM166">
        <f t="shared" si="31"/>
        <v>12.155534127407407</v>
      </c>
      <c r="AP166" s="9"/>
      <c r="AQ166" s="21">
        <v>0.98449699999999996</v>
      </c>
      <c r="AR166" s="21">
        <v>24.892800000000001</v>
      </c>
      <c r="AS166" s="21">
        <v>-1.43372E-2</v>
      </c>
      <c r="AT166" s="21">
        <v>156</v>
      </c>
      <c r="AU166" s="21">
        <v>0.98388699999999996</v>
      </c>
      <c r="AV166">
        <f t="shared" si="32"/>
        <v>17.700246913580244</v>
      </c>
      <c r="AW166">
        <f t="shared" si="33"/>
        <v>17.425839985679008</v>
      </c>
      <c r="AX166" s="9"/>
      <c r="AY166" s="21">
        <v>0.68557699999999999</v>
      </c>
      <c r="AZ166" s="21">
        <v>28.651599999999998</v>
      </c>
      <c r="BA166" s="21">
        <v>-1.4483599999999999E-2</v>
      </c>
      <c r="BB166" s="21">
        <v>156</v>
      </c>
      <c r="BC166" s="21">
        <v>0.68496699999999999</v>
      </c>
      <c r="BD166">
        <f t="shared" si="34"/>
        <v>17.880987654320986</v>
      </c>
      <c r="BE166">
        <f t="shared" si="35"/>
        <v>12.258793873086418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0.97946200000000005</v>
      </c>
      <c r="H167" s="21">
        <v>4.4544300000000003</v>
      </c>
      <c r="I167" s="21">
        <v>-1.4422600000000001E-2</v>
      </c>
      <c r="J167" s="21">
        <v>157</v>
      </c>
      <c r="K167" s="21">
        <v>0.97839399999999999</v>
      </c>
      <c r="L167">
        <f t="shared" si="24"/>
        <v>17.805679012345678</v>
      </c>
      <c r="M167">
        <f t="shared" si="25"/>
        <v>17.439985976790123</v>
      </c>
      <c r="N167" s="9"/>
      <c r="O167" s="21">
        <v>0.69061300000000003</v>
      </c>
      <c r="P167" s="21">
        <v>8.2131900000000009</v>
      </c>
      <c r="Q167" s="21">
        <v>-1.4544700000000001E-2</v>
      </c>
      <c r="R167" s="21">
        <v>157</v>
      </c>
      <c r="S167" s="21">
        <v>0.69003300000000001</v>
      </c>
      <c r="T167">
        <f t="shared" si="26"/>
        <v>17.956419753086422</v>
      </c>
      <c r="U167">
        <f t="shared" si="27"/>
        <v>12.400936914938274</v>
      </c>
      <c r="X167" s="9"/>
      <c r="Y167" s="21">
        <v>0.97946200000000005</v>
      </c>
      <c r="Z167" s="21">
        <v>15.650700000000001</v>
      </c>
      <c r="AA167" s="21">
        <v>-1.43097E-2</v>
      </c>
      <c r="AB167" s="21">
        <v>157</v>
      </c>
      <c r="AC167" s="21">
        <v>0.97808799999999996</v>
      </c>
      <c r="AD167">
        <f t="shared" si="28"/>
        <v>17.666296296296295</v>
      </c>
      <c r="AE167">
        <f t="shared" si="29"/>
        <v>17.303465902962962</v>
      </c>
      <c r="AF167" s="9"/>
      <c r="AG167" s="21">
        <v>0.69061300000000003</v>
      </c>
      <c r="AH167" s="21">
        <v>19.409400000000002</v>
      </c>
      <c r="AI167" s="21">
        <v>-1.4382900000000001E-2</v>
      </c>
      <c r="AJ167" s="21">
        <v>157</v>
      </c>
      <c r="AK167" s="21">
        <v>0.690002</v>
      </c>
      <c r="AL167">
        <f t="shared" si="30"/>
        <v>17.756666666666668</v>
      </c>
      <c r="AM167">
        <f t="shared" si="31"/>
        <v>12.262984836666668</v>
      </c>
      <c r="AP167" s="9"/>
      <c r="AQ167" s="21">
        <v>0.97946200000000005</v>
      </c>
      <c r="AR167" s="21">
        <v>24.902899999999999</v>
      </c>
      <c r="AS167" s="21">
        <v>-1.4346299999999999E-2</v>
      </c>
      <c r="AT167" s="21">
        <v>157</v>
      </c>
      <c r="AU167" s="21">
        <v>0.97869899999999999</v>
      </c>
      <c r="AV167">
        <f t="shared" si="32"/>
        <v>17.711481481481481</v>
      </c>
      <c r="AW167">
        <f t="shared" si="33"/>
        <v>17.347723074814816</v>
      </c>
      <c r="AX167" s="9"/>
      <c r="AY167" s="21">
        <v>0.69061300000000003</v>
      </c>
      <c r="AZ167" s="21">
        <v>28.6617</v>
      </c>
      <c r="BA167" s="21">
        <v>-1.4468399999999999E-2</v>
      </c>
      <c r="BB167" s="21">
        <v>157</v>
      </c>
      <c r="BC167" s="21">
        <v>0.68994100000000003</v>
      </c>
      <c r="BD167">
        <f t="shared" si="34"/>
        <v>17.862222222222222</v>
      </c>
      <c r="BE167">
        <f t="shared" si="35"/>
        <v>12.335882875555557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0.97442600000000001</v>
      </c>
      <c r="H168" s="21">
        <v>4.4645000000000001</v>
      </c>
      <c r="I168" s="21">
        <v>-1.44257E-2</v>
      </c>
      <c r="J168" s="21">
        <v>158</v>
      </c>
      <c r="K168" s="21">
        <v>0.97320600000000002</v>
      </c>
      <c r="L168">
        <f t="shared" si="24"/>
        <v>17.809506172839505</v>
      </c>
      <c r="M168">
        <f t="shared" si="25"/>
        <v>17.354045861975308</v>
      </c>
      <c r="N168" s="9"/>
      <c r="O168" s="21">
        <v>0.69564800000000004</v>
      </c>
      <c r="P168" s="21">
        <v>8.2232599999999998</v>
      </c>
      <c r="Q168" s="21">
        <v>-1.45538E-2</v>
      </c>
      <c r="R168" s="21">
        <v>158</v>
      </c>
      <c r="S168" s="21">
        <v>0.69500700000000004</v>
      </c>
      <c r="T168">
        <f t="shared" si="26"/>
        <v>17.967654320987652</v>
      </c>
      <c r="U168">
        <f t="shared" si="27"/>
        <v>12.49916279308642</v>
      </c>
      <c r="X168" s="9"/>
      <c r="Y168" s="21">
        <v>0.97442600000000001</v>
      </c>
      <c r="Z168" s="21">
        <v>15.6608</v>
      </c>
      <c r="AA168" s="21">
        <v>-1.43097E-2</v>
      </c>
      <c r="AB168" s="21">
        <v>158</v>
      </c>
      <c r="AC168" s="21">
        <v>0.97351100000000002</v>
      </c>
      <c r="AD168">
        <f t="shared" si="28"/>
        <v>17.666296296296295</v>
      </c>
      <c r="AE168">
        <f t="shared" si="29"/>
        <v>17.214498434814814</v>
      </c>
      <c r="AF168" s="9"/>
      <c r="AG168" s="21">
        <v>0.69564800000000004</v>
      </c>
      <c r="AH168" s="21">
        <v>19.419499999999999</v>
      </c>
      <c r="AI168" s="21">
        <v>-1.4382900000000001E-2</v>
      </c>
      <c r="AJ168" s="21">
        <v>158</v>
      </c>
      <c r="AK168" s="21">
        <v>0.69509900000000002</v>
      </c>
      <c r="AL168">
        <f t="shared" si="30"/>
        <v>17.756666666666668</v>
      </c>
      <c r="AM168">
        <f t="shared" si="31"/>
        <v>12.352389653333335</v>
      </c>
      <c r="AP168" s="9"/>
      <c r="AQ168" s="21">
        <v>0.97442600000000001</v>
      </c>
      <c r="AR168" s="21">
        <v>24.913</v>
      </c>
      <c r="AS168" s="21">
        <v>-1.4346299999999999E-2</v>
      </c>
      <c r="AT168" s="21">
        <v>158</v>
      </c>
      <c r="AU168" s="21">
        <v>0.97381600000000001</v>
      </c>
      <c r="AV168">
        <f t="shared" si="32"/>
        <v>17.711481481481481</v>
      </c>
      <c r="AW168">
        <f t="shared" si="33"/>
        <v>17.258528054074073</v>
      </c>
      <c r="AX168" s="9"/>
      <c r="AY168" s="21">
        <v>0.69564800000000004</v>
      </c>
      <c r="AZ168" s="21">
        <v>28.671700000000001</v>
      </c>
      <c r="BA168" s="21">
        <v>-1.4468399999999999E-2</v>
      </c>
      <c r="BB168" s="21">
        <v>158</v>
      </c>
      <c r="BC168" s="21">
        <v>0.69506800000000002</v>
      </c>
      <c r="BD168">
        <f t="shared" si="34"/>
        <v>17.862222222222222</v>
      </c>
      <c r="BE168">
        <f t="shared" si="35"/>
        <v>12.425819164444444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0.969391</v>
      </c>
      <c r="H169" s="21">
        <v>4.4745699999999999</v>
      </c>
      <c r="I169" s="21">
        <v>-1.4428699999999999E-2</v>
      </c>
      <c r="J169" s="21">
        <v>159</v>
      </c>
      <c r="K169" s="21">
        <v>0.96832300000000004</v>
      </c>
      <c r="L169">
        <f t="shared" si="24"/>
        <v>17.813209876543205</v>
      </c>
      <c r="M169">
        <f t="shared" si="25"/>
        <v>17.267965335432095</v>
      </c>
      <c r="N169" s="9"/>
      <c r="O169" s="21">
        <v>0.70068399999999997</v>
      </c>
      <c r="P169" s="21">
        <v>8.2333300000000005</v>
      </c>
      <c r="Q169" s="21">
        <v>-1.45538E-2</v>
      </c>
      <c r="R169" s="21">
        <v>159</v>
      </c>
      <c r="S169" s="21">
        <v>0.70004299999999997</v>
      </c>
      <c r="T169">
        <f t="shared" si="26"/>
        <v>17.967654320987652</v>
      </c>
      <c r="U169">
        <f t="shared" si="27"/>
        <v>12.589647900246911</v>
      </c>
      <c r="X169" s="9"/>
      <c r="Y169" s="21">
        <v>0.969391</v>
      </c>
      <c r="Z169" s="21">
        <v>15.6708</v>
      </c>
      <c r="AA169" s="21">
        <v>-1.43219E-2</v>
      </c>
      <c r="AB169" s="21">
        <v>159</v>
      </c>
      <c r="AC169" s="21">
        <v>0.96801800000000005</v>
      </c>
      <c r="AD169">
        <f t="shared" si="28"/>
        <v>17.68135802469136</v>
      </c>
      <c r="AE169">
        <f t="shared" si="29"/>
        <v>17.140149336913581</v>
      </c>
      <c r="AF169" s="9"/>
      <c r="AG169" s="21">
        <v>0.70068399999999997</v>
      </c>
      <c r="AH169" s="21">
        <v>19.429600000000001</v>
      </c>
      <c r="AI169" s="21">
        <v>-1.4373800000000001E-2</v>
      </c>
      <c r="AJ169" s="21">
        <v>159</v>
      </c>
      <c r="AK169" s="21">
        <v>0.70004299999999997</v>
      </c>
      <c r="AL169">
        <f t="shared" si="30"/>
        <v>17.745432098765431</v>
      </c>
      <c r="AM169">
        <f t="shared" si="31"/>
        <v>12.433940344691356</v>
      </c>
      <c r="AP169" s="9"/>
      <c r="AQ169" s="21">
        <v>0.969391</v>
      </c>
      <c r="AR169" s="21">
        <v>24.923100000000002</v>
      </c>
      <c r="AS169" s="21">
        <v>-1.4346299999999999E-2</v>
      </c>
      <c r="AT169" s="21">
        <v>159</v>
      </c>
      <c r="AU169" s="21">
        <v>0.96893300000000004</v>
      </c>
      <c r="AV169">
        <f t="shared" si="32"/>
        <v>17.711481481481481</v>
      </c>
      <c r="AW169">
        <f t="shared" si="33"/>
        <v>17.169350744814814</v>
      </c>
      <c r="AX169" s="9"/>
      <c r="AY169" s="21">
        <v>0.70068399999999997</v>
      </c>
      <c r="AZ169" s="21">
        <v>28.681799999999999</v>
      </c>
      <c r="BA169" s="21">
        <v>-1.4471400000000001E-2</v>
      </c>
      <c r="BB169" s="21">
        <v>159</v>
      </c>
      <c r="BC169" s="21">
        <v>0.70013400000000003</v>
      </c>
      <c r="BD169">
        <f t="shared" si="34"/>
        <v>17.865925925925925</v>
      </c>
      <c r="BE169">
        <f t="shared" si="35"/>
        <v>12.518368441481481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0.96435499999999996</v>
      </c>
      <c r="H170" s="21">
        <v>4.4846399999999997</v>
      </c>
      <c r="I170" s="21">
        <v>-1.4434799999999999E-2</v>
      </c>
      <c r="J170" s="21">
        <v>160</v>
      </c>
      <c r="K170" s="21">
        <v>0.96282999999999996</v>
      </c>
      <c r="L170">
        <f t="shared" si="24"/>
        <v>17.820740740740739</v>
      </c>
      <c r="M170">
        <f t="shared" si="25"/>
        <v>17.185520437037034</v>
      </c>
      <c r="N170" s="9"/>
      <c r="O170" s="21">
        <v>0.70571899999999999</v>
      </c>
      <c r="P170" s="21">
        <v>8.2434100000000008</v>
      </c>
      <c r="Q170" s="21">
        <v>-1.4550799999999999E-2</v>
      </c>
      <c r="R170" s="21">
        <v>160</v>
      </c>
      <c r="S170" s="21">
        <v>0.70516999999999996</v>
      </c>
      <c r="T170">
        <f t="shared" si="26"/>
        <v>17.963950617283949</v>
      </c>
      <c r="U170">
        <f t="shared" si="27"/>
        <v>12.677501265679011</v>
      </c>
      <c r="X170" s="9"/>
      <c r="Y170" s="21">
        <v>0.96435499999999996</v>
      </c>
      <c r="Z170" s="21">
        <v>15.680899999999999</v>
      </c>
      <c r="AA170" s="21">
        <v>-1.4331099999999999E-2</v>
      </c>
      <c r="AB170" s="21">
        <v>160</v>
      </c>
      <c r="AC170" s="21">
        <v>0.96343999999999996</v>
      </c>
      <c r="AD170">
        <f t="shared" si="28"/>
        <v>17.692716049382714</v>
      </c>
      <c r="AE170">
        <f t="shared" si="29"/>
        <v>17.062059185802465</v>
      </c>
      <c r="AF170" s="9"/>
      <c r="AG170" s="21">
        <v>0.70571899999999999</v>
      </c>
      <c r="AH170" s="21">
        <v>19.439699999999998</v>
      </c>
      <c r="AI170" s="21">
        <v>-1.43646E-2</v>
      </c>
      <c r="AJ170" s="21">
        <v>160</v>
      </c>
      <c r="AK170" s="21">
        <v>0.70516999999999996</v>
      </c>
      <c r="AL170">
        <f t="shared" si="30"/>
        <v>17.734074074074073</v>
      </c>
      <c r="AM170">
        <f t="shared" si="31"/>
        <v>12.51527302148148</v>
      </c>
      <c r="AP170" s="9"/>
      <c r="AQ170" s="21">
        <v>0.96435499999999996</v>
      </c>
      <c r="AR170" s="21">
        <v>24.9331</v>
      </c>
      <c r="AS170" s="21">
        <v>-1.4340200000000001E-2</v>
      </c>
      <c r="AT170" s="21">
        <v>160</v>
      </c>
      <c r="AU170" s="21">
        <v>0.96374499999999996</v>
      </c>
      <c r="AV170">
        <f t="shared" si="32"/>
        <v>17.703950617283951</v>
      </c>
      <c r="AW170">
        <f t="shared" si="33"/>
        <v>17.072893297530864</v>
      </c>
      <c r="AX170" s="9"/>
      <c r="AY170" s="21">
        <v>0.70571899999999999</v>
      </c>
      <c r="AZ170" s="21">
        <v>28.6919</v>
      </c>
      <c r="BA170" s="21">
        <v>-1.44745E-2</v>
      </c>
      <c r="BB170" s="21">
        <v>160</v>
      </c>
      <c r="BC170" s="21">
        <v>0.70520000000000005</v>
      </c>
      <c r="BD170">
        <f t="shared" si="34"/>
        <v>17.869753086419752</v>
      </c>
      <c r="BE170">
        <f t="shared" si="35"/>
        <v>12.61102427839506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0.95931999999999995</v>
      </c>
      <c r="H171" s="21">
        <v>4.4947100000000004</v>
      </c>
      <c r="I171" s="21">
        <v>-1.44379E-2</v>
      </c>
      <c r="J171" s="21">
        <v>161</v>
      </c>
      <c r="K171" s="21">
        <v>0.95825199999999999</v>
      </c>
      <c r="L171">
        <f t="shared" si="24"/>
        <v>17.824567901234566</v>
      </c>
      <c r="M171">
        <f t="shared" si="25"/>
        <v>17.099464479012344</v>
      </c>
      <c r="N171" s="9"/>
      <c r="O171" s="21">
        <v>0.710754</v>
      </c>
      <c r="P171" s="21">
        <v>8.2534799999999997</v>
      </c>
      <c r="Q171" s="21">
        <v>-1.4544700000000001E-2</v>
      </c>
      <c r="R171" s="21">
        <v>161</v>
      </c>
      <c r="S171" s="21">
        <v>0.710175</v>
      </c>
      <c r="T171">
        <f t="shared" si="26"/>
        <v>17.956419753086422</v>
      </c>
      <c r="U171">
        <f t="shared" si="27"/>
        <v>12.762597165185186</v>
      </c>
      <c r="X171" s="9"/>
      <c r="Y171" s="21">
        <v>0.95931999999999995</v>
      </c>
      <c r="Z171" s="21">
        <v>15.691000000000001</v>
      </c>
      <c r="AA171" s="21">
        <v>-1.43372E-2</v>
      </c>
      <c r="AB171" s="21">
        <v>161</v>
      </c>
      <c r="AC171" s="21">
        <v>0.95855699999999999</v>
      </c>
      <c r="AD171">
        <f t="shared" si="28"/>
        <v>17.700246913580244</v>
      </c>
      <c r="AE171">
        <f t="shared" si="29"/>
        <v>16.9802008691358</v>
      </c>
      <c r="AF171" s="9"/>
      <c r="AG171" s="21">
        <v>0.710754</v>
      </c>
      <c r="AH171" s="21">
        <v>19.4497</v>
      </c>
      <c r="AI171" s="21">
        <v>-1.43707E-2</v>
      </c>
      <c r="AJ171" s="21">
        <v>161</v>
      </c>
      <c r="AK171" s="21">
        <v>0.71029699999999996</v>
      </c>
      <c r="AL171">
        <f t="shared" si="30"/>
        <v>17.741604938271603</v>
      </c>
      <c r="AM171">
        <f t="shared" si="31"/>
        <v>12.609916676296296</v>
      </c>
      <c r="AP171" s="9"/>
      <c r="AQ171" s="21">
        <v>0.95931999999999995</v>
      </c>
      <c r="AR171" s="21">
        <v>24.943200000000001</v>
      </c>
      <c r="AS171" s="21">
        <v>-1.4324999999999999E-2</v>
      </c>
      <c r="AT171" s="21">
        <v>161</v>
      </c>
      <c r="AU171" s="21">
        <v>0.95855699999999999</v>
      </c>
      <c r="AV171">
        <f t="shared" si="32"/>
        <v>17.685185185185183</v>
      </c>
      <c r="AW171">
        <f t="shared" si="33"/>
        <v>16.965751851851849</v>
      </c>
      <c r="AX171" s="9"/>
      <c r="AY171" s="21">
        <v>0.710754</v>
      </c>
      <c r="AZ171" s="21">
        <v>28.702000000000002</v>
      </c>
      <c r="BA171" s="21">
        <v>-1.44653E-2</v>
      </c>
      <c r="BB171" s="21">
        <v>161</v>
      </c>
      <c r="BC171" s="21">
        <v>0.710175</v>
      </c>
      <c r="BD171">
        <f t="shared" si="34"/>
        <v>17.858395061728395</v>
      </c>
      <c r="BE171">
        <f t="shared" si="35"/>
        <v>12.692925723703704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0.95428500000000005</v>
      </c>
      <c r="H172" s="21">
        <v>4.5047800000000002</v>
      </c>
      <c r="I172" s="21">
        <v>-1.44379E-2</v>
      </c>
      <c r="J172" s="21">
        <v>162</v>
      </c>
      <c r="K172" s="21">
        <v>0.95397900000000002</v>
      </c>
      <c r="L172">
        <f t="shared" si="24"/>
        <v>17.824567901234566</v>
      </c>
      <c r="M172">
        <f t="shared" si="25"/>
        <v>17.009717779629629</v>
      </c>
      <c r="N172" s="9"/>
      <c r="O172" s="21">
        <v>0.71579000000000004</v>
      </c>
      <c r="P172" s="21">
        <v>8.2635500000000004</v>
      </c>
      <c r="Q172" s="21">
        <v>-1.4544700000000001E-2</v>
      </c>
      <c r="R172" s="21">
        <v>162</v>
      </c>
      <c r="S172" s="21">
        <v>0.71527099999999999</v>
      </c>
      <c r="T172">
        <f t="shared" si="26"/>
        <v>17.956419753086422</v>
      </c>
      <c r="U172">
        <f t="shared" si="27"/>
        <v>12.853025695061731</v>
      </c>
      <c r="X172" s="9"/>
      <c r="Y172" s="21">
        <v>0.95428500000000005</v>
      </c>
      <c r="Z172" s="21">
        <v>15.701000000000001</v>
      </c>
      <c r="AA172" s="21">
        <v>-1.4346299999999999E-2</v>
      </c>
      <c r="AB172" s="21">
        <v>162</v>
      </c>
      <c r="AC172" s="21">
        <v>0.95306400000000002</v>
      </c>
      <c r="AD172">
        <f t="shared" si="28"/>
        <v>17.711481481481481</v>
      </c>
      <c r="AE172">
        <f t="shared" si="29"/>
        <v>16.901801105555556</v>
      </c>
      <c r="AF172" s="9"/>
      <c r="AG172" s="21">
        <v>0.71579000000000004</v>
      </c>
      <c r="AH172" s="21">
        <v>19.459800000000001</v>
      </c>
      <c r="AI172" s="21">
        <v>-1.43707E-2</v>
      </c>
      <c r="AJ172" s="21">
        <v>162</v>
      </c>
      <c r="AK172" s="21">
        <v>0.71523999999999999</v>
      </c>
      <c r="AL172">
        <f t="shared" si="30"/>
        <v>17.741604938271603</v>
      </c>
      <c r="AM172">
        <f t="shared" si="31"/>
        <v>12.699263398765432</v>
      </c>
      <c r="AP172" s="9"/>
      <c r="AQ172" s="21">
        <v>0.95428500000000005</v>
      </c>
      <c r="AR172" s="21">
        <v>24.953299999999999</v>
      </c>
      <c r="AS172" s="21">
        <v>-1.43219E-2</v>
      </c>
      <c r="AT172" s="21">
        <v>162</v>
      </c>
      <c r="AU172" s="21">
        <v>0.95336900000000002</v>
      </c>
      <c r="AV172">
        <f t="shared" si="32"/>
        <v>17.68135802469136</v>
      </c>
      <c r="AW172">
        <f t="shared" si="33"/>
        <v>16.873054742592593</v>
      </c>
      <c r="AX172" s="9"/>
      <c r="AY172" s="21">
        <v>0.71579000000000004</v>
      </c>
      <c r="AZ172" s="21">
        <v>28.712</v>
      </c>
      <c r="BA172" s="21">
        <v>-1.4444E-2</v>
      </c>
      <c r="BB172" s="21">
        <v>162</v>
      </c>
      <c r="BC172" s="21">
        <v>0.71523999999999999</v>
      </c>
      <c r="BD172">
        <f t="shared" si="34"/>
        <v>17.832098765432097</v>
      </c>
      <c r="BE172">
        <f t="shared" si="35"/>
        <v>12.764037975308641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0.94924900000000001</v>
      </c>
      <c r="H173" s="21">
        <v>4.51485</v>
      </c>
      <c r="I173" s="21">
        <v>-1.44409E-2</v>
      </c>
      <c r="J173" s="21">
        <v>163</v>
      </c>
      <c r="K173" s="21">
        <v>0.94879199999999997</v>
      </c>
      <c r="L173">
        <f t="shared" si="24"/>
        <v>17.828271604938269</v>
      </c>
      <c r="M173">
        <f t="shared" si="25"/>
        <v>16.923468992716046</v>
      </c>
      <c r="N173" s="9"/>
      <c r="O173" s="21">
        <v>0.72082500000000005</v>
      </c>
      <c r="P173" s="21">
        <v>8.2736199999999993</v>
      </c>
      <c r="Q173" s="21">
        <v>-1.45477E-2</v>
      </c>
      <c r="R173" s="21">
        <v>163</v>
      </c>
      <c r="S173" s="21">
        <v>0.72021500000000005</v>
      </c>
      <c r="T173">
        <f t="shared" si="26"/>
        <v>17.960123456790122</v>
      </c>
      <c r="U173">
        <f t="shared" si="27"/>
        <v>12.94610599074074</v>
      </c>
      <c r="X173" s="9"/>
      <c r="Y173" s="21">
        <v>0.94924900000000001</v>
      </c>
      <c r="Z173" s="21">
        <v>15.7111</v>
      </c>
      <c r="AA173" s="21">
        <v>-1.4346299999999999E-2</v>
      </c>
      <c r="AB173" s="21">
        <v>163</v>
      </c>
      <c r="AC173" s="21">
        <v>0.94848600000000005</v>
      </c>
      <c r="AD173">
        <f t="shared" si="28"/>
        <v>17.711481481481481</v>
      </c>
      <c r="AE173">
        <f t="shared" si="29"/>
        <v>16.812606084814814</v>
      </c>
      <c r="AF173" s="9"/>
      <c r="AG173" s="21">
        <v>0.72082500000000005</v>
      </c>
      <c r="AH173" s="21">
        <v>19.469899999999999</v>
      </c>
      <c r="AI173" s="21">
        <v>-1.4379899999999999E-2</v>
      </c>
      <c r="AJ173" s="21">
        <v>163</v>
      </c>
      <c r="AK173" s="21">
        <v>0.720306</v>
      </c>
      <c r="AL173">
        <f t="shared" si="30"/>
        <v>17.752962962962961</v>
      </c>
      <c r="AM173">
        <f t="shared" si="31"/>
        <v>12.796779527777778</v>
      </c>
      <c r="AP173" s="9"/>
      <c r="AQ173" s="21">
        <v>0.94924900000000001</v>
      </c>
      <c r="AR173" s="21">
        <v>24.9633</v>
      </c>
      <c r="AS173" s="21">
        <v>-1.43219E-2</v>
      </c>
      <c r="AT173" s="21">
        <v>163</v>
      </c>
      <c r="AU173" s="21">
        <v>0.94848600000000005</v>
      </c>
      <c r="AV173">
        <f t="shared" si="32"/>
        <v>17.68135802469136</v>
      </c>
      <c r="AW173">
        <f t="shared" si="33"/>
        <v>16.78401142358025</v>
      </c>
      <c r="AX173" s="9"/>
      <c r="AY173" s="21">
        <v>0.72082500000000005</v>
      </c>
      <c r="AZ173" s="21">
        <v>28.722100000000001</v>
      </c>
      <c r="BA173" s="21">
        <v>-1.44379E-2</v>
      </c>
      <c r="BB173" s="21">
        <v>163</v>
      </c>
      <c r="BC173" s="21">
        <v>0.72018400000000005</v>
      </c>
      <c r="BD173">
        <f t="shared" si="34"/>
        <v>17.824567901234566</v>
      </c>
      <c r="BE173">
        <f t="shared" si="35"/>
        <v>12.848394157407407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0.944214</v>
      </c>
      <c r="H174" s="21">
        <v>4.5249199999999998</v>
      </c>
      <c r="I174" s="21">
        <v>-1.44409E-2</v>
      </c>
      <c r="J174" s="21">
        <v>164</v>
      </c>
      <c r="K174" s="21">
        <v>0.94299299999999997</v>
      </c>
      <c r="L174">
        <f t="shared" si="24"/>
        <v>17.828271604938269</v>
      </c>
      <c r="M174">
        <f t="shared" si="25"/>
        <v>16.833703645185182</v>
      </c>
      <c r="N174" s="9"/>
      <c r="O174" s="21">
        <v>0.72586099999999998</v>
      </c>
      <c r="P174" s="21">
        <v>8.28369</v>
      </c>
      <c r="Q174" s="21">
        <v>-1.4550799999999999E-2</v>
      </c>
      <c r="R174" s="21">
        <v>164</v>
      </c>
      <c r="S174" s="21">
        <v>0.72524999999999995</v>
      </c>
      <c r="T174">
        <f t="shared" si="26"/>
        <v>17.963950617283949</v>
      </c>
      <c r="U174">
        <f t="shared" si="27"/>
        <v>13.039331159012344</v>
      </c>
      <c r="X174" s="9"/>
      <c r="Y174" s="21">
        <v>0.944214</v>
      </c>
      <c r="Z174" s="21">
        <v>15.7212</v>
      </c>
      <c r="AA174" s="21">
        <v>-1.43494E-2</v>
      </c>
      <c r="AB174" s="21">
        <v>164</v>
      </c>
      <c r="AC174" s="21">
        <v>0.94299299999999997</v>
      </c>
      <c r="AD174">
        <f t="shared" si="28"/>
        <v>17.715308641975309</v>
      </c>
      <c r="AE174">
        <f t="shared" si="29"/>
        <v>16.727042434074075</v>
      </c>
      <c r="AF174" s="9"/>
      <c r="AG174" s="21">
        <v>0.72586099999999998</v>
      </c>
      <c r="AH174" s="21">
        <v>19.479900000000001</v>
      </c>
      <c r="AI174" s="21">
        <v>-1.43768E-2</v>
      </c>
      <c r="AJ174" s="21">
        <v>164</v>
      </c>
      <c r="AK174" s="21">
        <v>0.72524999999999995</v>
      </c>
      <c r="AL174">
        <f t="shared" si="30"/>
        <v>17.749135802469137</v>
      </c>
      <c r="AM174">
        <f t="shared" si="31"/>
        <v>12.88340546271605</v>
      </c>
      <c r="AP174" s="9"/>
      <c r="AQ174" s="21">
        <v>0.944214</v>
      </c>
      <c r="AR174" s="21">
        <v>24.973400000000002</v>
      </c>
      <c r="AS174" s="21">
        <v>-1.4312699999999999E-2</v>
      </c>
      <c r="AT174" s="21">
        <v>164</v>
      </c>
      <c r="AU174" s="21">
        <v>0.94329799999999997</v>
      </c>
      <c r="AV174">
        <f t="shared" si="32"/>
        <v>17.669999999999998</v>
      </c>
      <c r="AW174">
        <f t="shared" si="33"/>
        <v>16.684261379999999</v>
      </c>
      <c r="AX174" s="9"/>
      <c r="AY174" s="21">
        <v>0.72586099999999998</v>
      </c>
      <c r="AZ174" s="21">
        <v>28.732199999999999</v>
      </c>
      <c r="BA174" s="21">
        <v>-1.4434799999999999E-2</v>
      </c>
      <c r="BB174" s="21">
        <v>164</v>
      </c>
      <c r="BC174" s="21">
        <v>0.72521999999999998</v>
      </c>
      <c r="BD174">
        <f t="shared" si="34"/>
        <v>17.820740740740739</v>
      </c>
      <c r="BE174">
        <f t="shared" si="35"/>
        <v>12.935380694814812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0.93917799999999996</v>
      </c>
      <c r="H175" s="21">
        <v>4.5349899999999996</v>
      </c>
      <c r="I175" s="21">
        <v>-1.44501E-2</v>
      </c>
      <c r="J175" s="21">
        <v>165</v>
      </c>
      <c r="K175" s="21">
        <v>0.93872100000000003</v>
      </c>
      <c r="L175">
        <f t="shared" si="24"/>
        <v>17.839629629629631</v>
      </c>
      <c r="M175">
        <f t="shared" si="25"/>
        <v>16.754587676296296</v>
      </c>
      <c r="N175" s="9"/>
      <c r="O175" s="21">
        <v>0.73089599999999999</v>
      </c>
      <c r="P175" s="21">
        <v>8.2937600000000007</v>
      </c>
      <c r="Q175" s="21">
        <v>-1.4556899999999999E-2</v>
      </c>
      <c r="R175" s="21">
        <v>165</v>
      </c>
      <c r="S175" s="21">
        <v>0.73040799999999995</v>
      </c>
      <c r="T175">
        <f t="shared" si="26"/>
        <v>17.971481481481479</v>
      </c>
      <c r="U175">
        <f t="shared" si="27"/>
        <v>13.135283928888887</v>
      </c>
      <c r="X175" s="9"/>
      <c r="Y175" s="21">
        <v>0.93917799999999996</v>
      </c>
      <c r="Z175" s="21">
        <v>15.731199999999999</v>
      </c>
      <c r="AA175" s="21">
        <v>-1.43524E-2</v>
      </c>
      <c r="AB175" s="21">
        <v>165</v>
      </c>
      <c r="AC175" s="21">
        <v>0.937805</v>
      </c>
      <c r="AD175">
        <f t="shared" si="28"/>
        <v>17.719012345679008</v>
      </c>
      <c r="AE175">
        <f t="shared" si="29"/>
        <v>16.641306576790118</v>
      </c>
      <c r="AF175" s="9"/>
      <c r="AG175" s="21">
        <v>0.73089599999999999</v>
      </c>
      <c r="AH175" s="21">
        <v>19.489999999999998</v>
      </c>
      <c r="AI175" s="21">
        <v>-1.4379899999999999E-2</v>
      </c>
      <c r="AJ175" s="21">
        <v>165</v>
      </c>
      <c r="AK175" s="21">
        <v>0.73031599999999997</v>
      </c>
      <c r="AL175">
        <f t="shared" si="30"/>
        <v>17.752962962962961</v>
      </c>
      <c r="AM175">
        <f t="shared" si="31"/>
        <v>12.975569617777776</v>
      </c>
      <c r="AP175" s="9"/>
      <c r="AQ175" s="21">
        <v>0.93917799999999996</v>
      </c>
      <c r="AR175" s="21">
        <v>24.983499999999999</v>
      </c>
      <c r="AS175" s="21">
        <v>-1.4312699999999999E-2</v>
      </c>
      <c r="AT175" s="21">
        <v>165</v>
      </c>
      <c r="AU175" s="21">
        <v>0.93872100000000003</v>
      </c>
      <c r="AV175">
        <f t="shared" si="32"/>
        <v>17.669999999999998</v>
      </c>
      <c r="AW175">
        <f t="shared" si="33"/>
        <v>16.595275259999998</v>
      </c>
      <c r="AX175" s="9"/>
      <c r="AY175" s="21">
        <v>0.73089599999999999</v>
      </c>
      <c r="AZ175" s="21">
        <v>28.7422</v>
      </c>
      <c r="BA175" s="21">
        <v>-1.4434799999999999E-2</v>
      </c>
      <c r="BB175" s="21">
        <v>165</v>
      </c>
      <c r="BC175" s="21">
        <v>0.73028599999999999</v>
      </c>
      <c r="BD175">
        <f t="shared" si="34"/>
        <v>17.820740740740739</v>
      </c>
      <c r="BE175">
        <f t="shared" si="35"/>
        <v>13.025108124444444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0.93414299999999995</v>
      </c>
      <c r="H176" s="21">
        <v>4.5450699999999999</v>
      </c>
      <c r="I176" s="21">
        <v>-1.44592E-2</v>
      </c>
      <c r="J176" s="21">
        <v>166</v>
      </c>
      <c r="K176" s="21">
        <v>0.93292200000000003</v>
      </c>
      <c r="L176">
        <f t="shared" si="24"/>
        <v>17.850864197530864</v>
      </c>
      <c r="M176">
        <f t="shared" si="25"/>
        <v>16.675259834074073</v>
      </c>
      <c r="N176" s="9"/>
      <c r="O176" s="21">
        <v>0.735931</v>
      </c>
      <c r="P176" s="21">
        <v>8.3038299999999996</v>
      </c>
      <c r="Q176" s="21">
        <v>-1.4563E-2</v>
      </c>
      <c r="R176" s="21">
        <v>166</v>
      </c>
      <c r="S176" s="21">
        <v>0.73547399999999996</v>
      </c>
      <c r="T176">
        <f t="shared" si="26"/>
        <v>17.979012345679013</v>
      </c>
      <c r="U176">
        <f t="shared" si="27"/>
        <v>13.231312534567902</v>
      </c>
      <c r="X176" s="9"/>
      <c r="Y176" s="21">
        <v>0.93414299999999995</v>
      </c>
      <c r="Z176" s="21">
        <v>15.741300000000001</v>
      </c>
      <c r="AA176" s="21">
        <v>-1.43616E-2</v>
      </c>
      <c r="AB176" s="21">
        <v>166</v>
      </c>
      <c r="AC176" s="21">
        <v>0.93353299999999995</v>
      </c>
      <c r="AD176">
        <f t="shared" si="28"/>
        <v>17.73037037037037</v>
      </c>
      <c r="AE176">
        <f t="shared" si="29"/>
        <v>16.562701368888888</v>
      </c>
      <c r="AF176" s="9"/>
      <c r="AG176" s="21">
        <v>0.735931</v>
      </c>
      <c r="AH176" s="21">
        <v>19.5001</v>
      </c>
      <c r="AI176" s="21">
        <v>-1.43707E-2</v>
      </c>
      <c r="AJ176" s="21">
        <v>166</v>
      </c>
      <c r="AK176" s="21">
        <v>0.73538199999999998</v>
      </c>
      <c r="AL176">
        <f t="shared" si="30"/>
        <v>17.741604938271603</v>
      </c>
      <c r="AM176">
        <f t="shared" si="31"/>
        <v>13.056597063827159</v>
      </c>
      <c r="AP176" s="9"/>
      <c r="AQ176" s="21">
        <v>0.93414299999999995</v>
      </c>
      <c r="AR176" s="21">
        <v>24.993600000000001</v>
      </c>
      <c r="AS176" s="21">
        <v>-1.43158E-2</v>
      </c>
      <c r="AT176" s="21">
        <v>166</v>
      </c>
      <c r="AU176" s="21">
        <v>0.93383799999999995</v>
      </c>
      <c r="AV176">
        <f t="shared" si="32"/>
        <v>17.673827160493826</v>
      </c>
      <c r="AW176">
        <f t="shared" si="33"/>
        <v>16.509881925185184</v>
      </c>
      <c r="AX176" s="9"/>
      <c r="AY176" s="21">
        <v>0.735931</v>
      </c>
      <c r="AZ176" s="21">
        <v>28.752300000000002</v>
      </c>
      <c r="BA176" s="21">
        <v>-1.44409E-2</v>
      </c>
      <c r="BB176" s="21">
        <v>166</v>
      </c>
      <c r="BC176" s="21">
        <v>0.73529100000000003</v>
      </c>
      <c r="BD176">
        <f t="shared" si="34"/>
        <v>17.828271604938269</v>
      </c>
      <c r="BE176">
        <f t="shared" si="35"/>
        <v>13.120377750493825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0.92910800000000004</v>
      </c>
      <c r="H177" s="21">
        <v>4.5551399999999997</v>
      </c>
      <c r="I177" s="21">
        <v>-1.4471400000000001E-2</v>
      </c>
      <c r="J177" s="21">
        <v>167</v>
      </c>
      <c r="K177" s="21">
        <v>0.92925999999999997</v>
      </c>
      <c r="L177">
        <f t="shared" si="24"/>
        <v>17.865925925925925</v>
      </c>
      <c r="M177">
        <f t="shared" si="25"/>
        <v>16.599374705185184</v>
      </c>
      <c r="N177" s="9"/>
      <c r="O177" s="21">
        <v>0.74096700000000004</v>
      </c>
      <c r="P177" s="21">
        <v>8.3139000000000003</v>
      </c>
      <c r="Q177" s="21">
        <v>-1.4566000000000001E-2</v>
      </c>
      <c r="R177" s="21">
        <v>167</v>
      </c>
      <c r="S177" s="21">
        <v>0.740448</v>
      </c>
      <c r="T177">
        <f t="shared" si="26"/>
        <v>17.982716049382717</v>
      </c>
      <c r="U177">
        <f t="shared" si="27"/>
        <v>13.324599162962963</v>
      </c>
      <c r="X177" s="9"/>
      <c r="Y177" s="21">
        <v>0.92910800000000004</v>
      </c>
      <c r="Z177" s="21">
        <v>15.7514</v>
      </c>
      <c r="AA177" s="21">
        <v>-1.43585E-2</v>
      </c>
      <c r="AB177" s="21">
        <v>167</v>
      </c>
      <c r="AC177" s="21">
        <v>0.92803999999999998</v>
      </c>
      <c r="AD177">
        <f t="shared" si="28"/>
        <v>17.726543209876542</v>
      </c>
      <c r="AE177">
        <f t="shared" si="29"/>
        <v>16.469873108641977</v>
      </c>
      <c r="AF177" s="9"/>
      <c r="AG177" s="21">
        <v>0.74096700000000004</v>
      </c>
      <c r="AH177" s="21">
        <v>19.510200000000001</v>
      </c>
      <c r="AI177" s="21">
        <v>-1.43707E-2</v>
      </c>
      <c r="AJ177" s="21">
        <v>167</v>
      </c>
      <c r="AK177" s="21">
        <v>0.74038700000000002</v>
      </c>
      <c r="AL177">
        <f t="shared" si="30"/>
        <v>17.741604938271603</v>
      </c>
      <c r="AM177">
        <f t="shared" si="31"/>
        <v>13.145943786296296</v>
      </c>
      <c r="AP177" s="9"/>
      <c r="AQ177" s="21">
        <v>0.92910800000000004</v>
      </c>
      <c r="AR177" s="21">
        <v>25.003599999999999</v>
      </c>
      <c r="AS177" s="21">
        <v>-1.43219E-2</v>
      </c>
      <c r="AT177" s="21">
        <v>167</v>
      </c>
      <c r="AU177" s="21">
        <v>0.92834499999999998</v>
      </c>
      <c r="AV177">
        <f t="shared" si="32"/>
        <v>17.68135802469136</v>
      </c>
      <c r="AW177">
        <f t="shared" si="33"/>
        <v>16.427891191604939</v>
      </c>
      <c r="AX177" s="9"/>
      <c r="AY177" s="21">
        <v>0.74096700000000004</v>
      </c>
      <c r="AZ177" s="21">
        <v>28.7624</v>
      </c>
      <c r="BA177" s="21">
        <v>-1.44379E-2</v>
      </c>
      <c r="BB177" s="21">
        <v>167</v>
      </c>
      <c r="BC177" s="21">
        <v>0.740448</v>
      </c>
      <c r="BD177">
        <f t="shared" si="34"/>
        <v>17.824567901234566</v>
      </c>
      <c r="BE177">
        <f t="shared" si="35"/>
        <v>13.207416604074073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0.924072</v>
      </c>
      <c r="H178" s="21">
        <v>4.5652100000000004</v>
      </c>
      <c r="I178" s="21">
        <v>-1.4471400000000001E-2</v>
      </c>
      <c r="J178" s="21">
        <v>168</v>
      </c>
      <c r="K178" s="21">
        <v>0.92346200000000001</v>
      </c>
      <c r="L178">
        <f t="shared" si="24"/>
        <v>17.865925925925925</v>
      </c>
      <c r="M178">
        <f t="shared" si="25"/>
        <v>16.509401902222223</v>
      </c>
      <c r="N178" s="9"/>
      <c r="O178" s="21">
        <v>0.74600200000000005</v>
      </c>
      <c r="P178" s="21">
        <v>8.3239699999999992</v>
      </c>
      <c r="Q178" s="21">
        <v>-1.4559900000000001E-2</v>
      </c>
      <c r="R178" s="21">
        <v>168</v>
      </c>
      <c r="S178" s="21">
        <v>0.74551400000000001</v>
      </c>
      <c r="T178">
        <f t="shared" si="26"/>
        <v>17.975185185185186</v>
      </c>
      <c r="U178">
        <f t="shared" si="27"/>
        <v>13.409524098518521</v>
      </c>
      <c r="X178" s="9"/>
      <c r="Y178" s="21">
        <v>0.924072</v>
      </c>
      <c r="Z178" s="21">
        <v>15.7615</v>
      </c>
      <c r="AA178" s="21">
        <v>-1.43524E-2</v>
      </c>
      <c r="AB178" s="21">
        <v>168</v>
      </c>
      <c r="AC178" s="21">
        <v>0.92346200000000001</v>
      </c>
      <c r="AD178">
        <f t="shared" si="28"/>
        <v>17.719012345679008</v>
      </c>
      <c r="AE178">
        <f t="shared" si="29"/>
        <v>16.373643176296294</v>
      </c>
      <c r="AF178" s="9"/>
      <c r="AG178" s="21">
        <v>0.74600200000000005</v>
      </c>
      <c r="AH178" s="21">
        <v>19.520199999999999</v>
      </c>
      <c r="AI178" s="21">
        <v>-1.43768E-2</v>
      </c>
      <c r="AJ178" s="21">
        <v>168</v>
      </c>
      <c r="AK178" s="21">
        <v>0.74536100000000005</v>
      </c>
      <c r="AL178">
        <f t="shared" si="30"/>
        <v>17.749135802469137</v>
      </c>
      <c r="AM178">
        <f t="shared" si="31"/>
        <v>13.240890806913582</v>
      </c>
      <c r="AP178" s="9"/>
      <c r="AQ178" s="21">
        <v>0.924072</v>
      </c>
      <c r="AR178" s="21">
        <v>25.0137</v>
      </c>
      <c r="AS178" s="21">
        <v>-1.4331099999999999E-2</v>
      </c>
      <c r="AT178" s="21">
        <v>168</v>
      </c>
      <c r="AU178" s="21">
        <v>0.92315700000000001</v>
      </c>
      <c r="AV178">
        <f t="shared" si="32"/>
        <v>17.692716049382714</v>
      </c>
      <c r="AW178">
        <f t="shared" si="33"/>
        <v>16.349343505185182</v>
      </c>
      <c r="AX178" s="9"/>
      <c r="AY178" s="21">
        <v>0.74600200000000005</v>
      </c>
      <c r="AZ178" s="21">
        <v>28.772500000000001</v>
      </c>
      <c r="BA178" s="21">
        <v>-1.44379E-2</v>
      </c>
      <c r="BB178" s="21">
        <v>168</v>
      </c>
      <c r="BC178" s="21">
        <v>0.74548300000000001</v>
      </c>
      <c r="BD178">
        <f t="shared" si="34"/>
        <v>17.824567901234566</v>
      </c>
      <c r="BE178">
        <f t="shared" si="35"/>
        <v>13.29716330345679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0.91903699999999999</v>
      </c>
      <c r="H179" s="21">
        <v>4.5752800000000002</v>
      </c>
      <c r="I179" s="21">
        <v>-1.4477500000000001E-2</v>
      </c>
      <c r="J179" s="21">
        <v>169</v>
      </c>
      <c r="K179" s="21">
        <v>0.91857900000000003</v>
      </c>
      <c r="L179">
        <f t="shared" si="24"/>
        <v>17.873456790123456</v>
      </c>
      <c r="M179">
        <f t="shared" si="25"/>
        <v>16.42636810802469</v>
      </c>
      <c r="N179" s="9"/>
      <c r="O179" s="21">
        <v>0.75103799999999998</v>
      </c>
      <c r="P179" s="21">
        <v>8.3340399999999999</v>
      </c>
      <c r="Q179" s="21">
        <v>-1.45477E-2</v>
      </c>
      <c r="R179" s="21">
        <v>169</v>
      </c>
      <c r="S179" s="21">
        <v>0.750305</v>
      </c>
      <c r="T179">
        <f t="shared" si="26"/>
        <v>17.960123456790122</v>
      </c>
      <c r="U179">
        <f t="shared" si="27"/>
        <v>13.48873520074074</v>
      </c>
      <c r="X179" s="9"/>
      <c r="Y179" s="21">
        <v>0.91903699999999999</v>
      </c>
      <c r="Z179" s="21">
        <v>15.7715</v>
      </c>
      <c r="AA179" s="21">
        <v>-1.43616E-2</v>
      </c>
      <c r="AB179" s="21">
        <v>169</v>
      </c>
      <c r="AC179" s="21">
        <v>0.91827400000000003</v>
      </c>
      <c r="AD179">
        <f t="shared" si="28"/>
        <v>17.73037037037037</v>
      </c>
      <c r="AE179">
        <f t="shared" si="29"/>
        <v>16.294866394074074</v>
      </c>
      <c r="AF179" s="9"/>
      <c r="AG179" s="21">
        <v>0.75103799999999998</v>
      </c>
      <c r="AH179" s="21">
        <v>19.5303</v>
      </c>
      <c r="AI179" s="21">
        <v>-1.4382900000000001E-2</v>
      </c>
      <c r="AJ179" s="21">
        <v>169</v>
      </c>
      <c r="AK179" s="21">
        <v>0.75045799999999996</v>
      </c>
      <c r="AL179">
        <f t="shared" si="30"/>
        <v>17.756666666666668</v>
      </c>
      <c r="AM179">
        <f t="shared" si="31"/>
        <v>13.33593142</v>
      </c>
      <c r="AP179" s="9"/>
      <c r="AQ179" s="21">
        <v>0.91903699999999999</v>
      </c>
      <c r="AR179" s="21">
        <v>25.023800000000001</v>
      </c>
      <c r="AS179" s="21">
        <v>-1.4346299999999999E-2</v>
      </c>
      <c r="AT179" s="21">
        <v>169</v>
      </c>
      <c r="AU179" s="21">
        <v>0.91827400000000003</v>
      </c>
      <c r="AV179">
        <f t="shared" si="32"/>
        <v>17.711481481481481</v>
      </c>
      <c r="AW179">
        <f t="shared" si="33"/>
        <v>16.277506806296294</v>
      </c>
      <c r="AX179" s="9"/>
      <c r="AY179" s="21">
        <v>0.75103799999999998</v>
      </c>
      <c r="AZ179" s="21">
        <v>28.782499999999999</v>
      </c>
      <c r="BA179" s="21">
        <v>-1.44257E-2</v>
      </c>
      <c r="BB179" s="21">
        <v>169</v>
      </c>
      <c r="BC179" s="21">
        <v>0.75045799999999996</v>
      </c>
      <c r="BD179">
        <f t="shared" si="34"/>
        <v>17.809506172839505</v>
      </c>
      <c r="BE179">
        <f t="shared" si="35"/>
        <v>13.375615897037036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0.91400099999999995</v>
      </c>
      <c r="H180" s="21">
        <v>4.58535</v>
      </c>
      <c r="I180" s="21">
        <v>-1.44806E-2</v>
      </c>
      <c r="J180" s="21">
        <v>170</v>
      </c>
      <c r="K180" s="21">
        <v>0.91308599999999995</v>
      </c>
      <c r="L180">
        <f t="shared" si="24"/>
        <v>17.877283950617283</v>
      </c>
      <c r="M180">
        <f t="shared" si="25"/>
        <v>16.339855408148146</v>
      </c>
      <c r="N180" s="9"/>
      <c r="O180" s="21">
        <v>0.756073</v>
      </c>
      <c r="P180" s="21">
        <v>8.3441200000000002</v>
      </c>
      <c r="Q180" s="21">
        <v>-1.45477E-2</v>
      </c>
      <c r="R180" s="21">
        <v>170</v>
      </c>
      <c r="S180" s="21">
        <v>0.75561500000000004</v>
      </c>
      <c r="T180">
        <f t="shared" si="26"/>
        <v>17.960123456790122</v>
      </c>
      <c r="U180">
        <f t="shared" si="27"/>
        <v>13.579164422345677</v>
      </c>
      <c r="X180" s="9"/>
      <c r="Y180" s="21">
        <v>0.91400099999999995</v>
      </c>
      <c r="Z180" s="21">
        <v>15.781599999999999</v>
      </c>
      <c r="AA180" s="21">
        <v>-1.43616E-2</v>
      </c>
      <c r="AB180" s="21">
        <v>170</v>
      </c>
      <c r="AC180" s="21">
        <v>0.91339099999999995</v>
      </c>
      <c r="AD180">
        <f t="shared" si="28"/>
        <v>17.73037037037037</v>
      </c>
      <c r="AE180">
        <f t="shared" si="29"/>
        <v>16.205576248888889</v>
      </c>
      <c r="AF180" s="9"/>
      <c r="AG180" s="21">
        <v>0.756073</v>
      </c>
      <c r="AH180" s="21">
        <v>19.540400000000002</v>
      </c>
      <c r="AI180" s="21">
        <v>-1.4389000000000001E-2</v>
      </c>
      <c r="AJ180" s="21">
        <v>170</v>
      </c>
      <c r="AK180" s="21">
        <v>0.75561500000000004</v>
      </c>
      <c r="AL180">
        <f t="shared" si="30"/>
        <v>17.764197530864198</v>
      </c>
      <c r="AM180">
        <f t="shared" si="31"/>
        <v>13.431030119753087</v>
      </c>
      <c r="AP180" s="9"/>
      <c r="AQ180" s="21">
        <v>0.91400099999999995</v>
      </c>
      <c r="AR180" s="21">
        <v>25.033799999999999</v>
      </c>
      <c r="AS180" s="21">
        <v>-1.4346299999999999E-2</v>
      </c>
      <c r="AT180" s="21">
        <v>170</v>
      </c>
      <c r="AU180" s="21">
        <v>0.91308599999999995</v>
      </c>
      <c r="AV180">
        <f t="shared" si="32"/>
        <v>17.711481481481481</v>
      </c>
      <c r="AW180">
        <f t="shared" si="33"/>
        <v>16.188311785555555</v>
      </c>
      <c r="AX180" s="9"/>
      <c r="AY180" s="21">
        <v>0.756073</v>
      </c>
      <c r="AZ180" s="21">
        <v>28.7926</v>
      </c>
      <c r="BA180" s="21">
        <v>-1.4422600000000001E-2</v>
      </c>
      <c r="BB180" s="21">
        <v>170</v>
      </c>
      <c r="BC180" s="21">
        <v>0.75561500000000004</v>
      </c>
      <c r="BD180">
        <f t="shared" si="34"/>
        <v>17.805679012345678</v>
      </c>
      <c r="BE180">
        <f t="shared" si="35"/>
        <v>13.462393147901233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0.90896600000000005</v>
      </c>
      <c r="H181" s="21">
        <v>4.5954199999999998</v>
      </c>
      <c r="I181" s="21">
        <v>-1.4489699999999999E-2</v>
      </c>
      <c r="J181" s="21">
        <v>171</v>
      </c>
      <c r="K181" s="21">
        <v>0.90850799999999998</v>
      </c>
      <c r="L181">
        <f t="shared" si="24"/>
        <v>17.888518518518516</v>
      </c>
      <c r="M181">
        <f t="shared" si="25"/>
        <v>16.260055123703705</v>
      </c>
      <c r="N181" s="9"/>
      <c r="O181" s="21">
        <v>0.76110800000000001</v>
      </c>
      <c r="P181" s="21">
        <v>8.3541899999999991</v>
      </c>
      <c r="Q181" s="21">
        <v>-1.4550799999999999E-2</v>
      </c>
      <c r="R181" s="21">
        <v>171</v>
      </c>
      <c r="S181" s="21">
        <v>0.76080300000000001</v>
      </c>
      <c r="T181">
        <f t="shared" si="26"/>
        <v>17.963950617283949</v>
      </c>
      <c r="U181">
        <f t="shared" si="27"/>
        <v>13.672506526419753</v>
      </c>
      <c r="X181" s="9"/>
      <c r="Y181" s="21">
        <v>0.90896600000000005</v>
      </c>
      <c r="Z181" s="21">
        <v>15.791700000000001</v>
      </c>
      <c r="AA181" s="21">
        <v>-1.43555E-2</v>
      </c>
      <c r="AB181" s="21">
        <v>171</v>
      </c>
      <c r="AC181" s="21">
        <v>0.90850799999999998</v>
      </c>
      <c r="AD181">
        <f t="shared" si="28"/>
        <v>17.722839506172836</v>
      </c>
      <c r="AE181">
        <f t="shared" si="29"/>
        <v>16.109458534567899</v>
      </c>
      <c r="AF181" s="9"/>
      <c r="AG181" s="21">
        <v>0.76110800000000001</v>
      </c>
      <c r="AH181" s="21">
        <v>19.5504</v>
      </c>
      <c r="AI181" s="21">
        <v>-1.4382900000000001E-2</v>
      </c>
      <c r="AJ181" s="21">
        <v>171</v>
      </c>
      <c r="AK181" s="21">
        <v>0.76110800000000001</v>
      </c>
      <c r="AL181">
        <f t="shared" si="30"/>
        <v>17.756666666666668</v>
      </c>
      <c r="AM181">
        <f t="shared" si="31"/>
        <v>13.514741053333335</v>
      </c>
      <c r="AP181" s="9"/>
      <c r="AQ181" s="21">
        <v>0.90896600000000005</v>
      </c>
      <c r="AR181" s="21">
        <v>25.043900000000001</v>
      </c>
      <c r="AS181" s="21">
        <v>-1.43433E-2</v>
      </c>
      <c r="AT181" s="21">
        <v>171</v>
      </c>
      <c r="AU181" s="21">
        <v>0.90789799999999998</v>
      </c>
      <c r="AV181">
        <f t="shared" si="32"/>
        <v>17.707777777777778</v>
      </c>
      <c r="AW181">
        <f t="shared" si="33"/>
        <v>16.095767935555557</v>
      </c>
      <c r="AX181" s="9"/>
      <c r="AY181" s="21">
        <v>0.76110800000000001</v>
      </c>
      <c r="AZ181" s="21">
        <v>28.802700000000002</v>
      </c>
      <c r="BA181" s="21">
        <v>-1.4419599999999999E-2</v>
      </c>
      <c r="BB181" s="21">
        <v>171</v>
      </c>
      <c r="BC181" s="21">
        <v>0.76080300000000001</v>
      </c>
      <c r="BD181">
        <f t="shared" si="34"/>
        <v>17.801975308641975</v>
      </c>
      <c r="BE181">
        <f t="shared" si="35"/>
        <v>13.549225823209877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0.90393100000000004</v>
      </c>
      <c r="H182" s="21">
        <v>4.6054899999999996</v>
      </c>
      <c r="I182" s="21">
        <v>-1.44958E-2</v>
      </c>
      <c r="J182" s="21">
        <v>172</v>
      </c>
      <c r="K182" s="21">
        <v>0.90362500000000001</v>
      </c>
      <c r="L182">
        <f t="shared" si="24"/>
        <v>17.896049382716047</v>
      </c>
      <c r="M182">
        <f t="shared" si="25"/>
        <v>16.176793814567901</v>
      </c>
      <c r="N182" s="9"/>
      <c r="O182" s="21">
        <v>0.76614400000000005</v>
      </c>
      <c r="P182" s="21">
        <v>8.3642599999999998</v>
      </c>
      <c r="Q182" s="21">
        <v>-1.4566000000000001E-2</v>
      </c>
      <c r="R182" s="21">
        <v>172</v>
      </c>
      <c r="S182" s="21">
        <v>0.76538099999999998</v>
      </c>
      <c r="T182">
        <f t="shared" si="26"/>
        <v>17.982716049382717</v>
      </c>
      <c r="U182">
        <f t="shared" si="27"/>
        <v>13.777350004938272</v>
      </c>
      <c r="X182" s="9"/>
      <c r="Y182" s="21">
        <v>0.90393100000000004</v>
      </c>
      <c r="Z182" s="21">
        <v>15.8017</v>
      </c>
      <c r="AA182" s="21">
        <v>-1.43555E-2</v>
      </c>
      <c r="AB182" s="21">
        <v>172</v>
      </c>
      <c r="AC182" s="21">
        <v>0.90271000000000001</v>
      </c>
      <c r="AD182">
        <f t="shared" si="28"/>
        <v>17.722839506172836</v>
      </c>
      <c r="AE182">
        <f t="shared" si="29"/>
        <v>16.020224037654319</v>
      </c>
      <c r="AF182" s="9"/>
      <c r="AG182" s="21">
        <v>0.76614400000000005</v>
      </c>
      <c r="AH182" s="21">
        <v>19.560500000000001</v>
      </c>
      <c r="AI182" s="21">
        <v>-1.4379899999999999E-2</v>
      </c>
      <c r="AJ182" s="21">
        <v>172</v>
      </c>
      <c r="AK182" s="21">
        <v>0.76507599999999998</v>
      </c>
      <c r="AL182">
        <f t="shared" si="30"/>
        <v>17.752962962962961</v>
      </c>
      <c r="AM182">
        <f t="shared" si="31"/>
        <v>13.601326056296296</v>
      </c>
      <c r="AP182" s="9"/>
      <c r="AQ182" s="21">
        <v>0.90393100000000004</v>
      </c>
      <c r="AR182" s="21">
        <v>25.053999999999998</v>
      </c>
      <c r="AS182" s="21">
        <v>-1.43433E-2</v>
      </c>
      <c r="AT182" s="21">
        <v>172</v>
      </c>
      <c r="AU182" s="21">
        <v>0.90301500000000001</v>
      </c>
      <c r="AV182">
        <f t="shared" si="32"/>
        <v>17.707777777777778</v>
      </c>
      <c r="AW182">
        <f t="shared" si="33"/>
        <v>16.006609274444447</v>
      </c>
      <c r="AX182" s="9"/>
      <c r="AY182" s="21">
        <v>0.76614400000000005</v>
      </c>
      <c r="AZ182" s="21">
        <v>28.8127</v>
      </c>
      <c r="BA182" s="21">
        <v>-1.4413499999999999E-2</v>
      </c>
      <c r="BB182" s="21">
        <v>172</v>
      </c>
      <c r="BC182" s="21">
        <v>0.76507599999999998</v>
      </c>
      <c r="BD182">
        <f t="shared" si="34"/>
        <v>17.794444444444444</v>
      </c>
      <c r="BE182">
        <f t="shared" si="35"/>
        <v>13.633106844444445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0.898895</v>
      </c>
      <c r="H183" s="21">
        <v>4.6155600000000003</v>
      </c>
      <c r="I183" s="21">
        <v>-1.4508099999999999E-2</v>
      </c>
      <c r="J183" s="21">
        <v>173</v>
      </c>
      <c r="K183" s="21">
        <v>0.89813200000000004</v>
      </c>
      <c r="L183">
        <f t="shared" si="24"/>
        <v>17.911234567901232</v>
      </c>
      <c r="M183">
        <f t="shared" si="25"/>
        <v>16.100319196913578</v>
      </c>
      <c r="N183" s="9"/>
      <c r="O183" s="21">
        <v>0.77117899999999995</v>
      </c>
      <c r="P183" s="21">
        <v>8.3743300000000005</v>
      </c>
      <c r="Q183" s="21">
        <v>-1.4572099999999999E-2</v>
      </c>
      <c r="R183" s="21">
        <v>173</v>
      </c>
      <c r="S183" s="21">
        <v>0.77087399999999995</v>
      </c>
      <c r="T183">
        <f t="shared" si="26"/>
        <v>17.990246913580243</v>
      </c>
      <c r="U183">
        <f t="shared" si="27"/>
        <v>13.873700624567897</v>
      </c>
      <c r="X183" s="9"/>
      <c r="Y183" s="21">
        <v>0.898895</v>
      </c>
      <c r="Z183" s="21">
        <v>15.8118</v>
      </c>
      <c r="AA183" s="21">
        <v>-1.43524E-2</v>
      </c>
      <c r="AB183" s="21">
        <v>173</v>
      </c>
      <c r="AC183" s="21">
        <v>0.89843799999999996</v>
      </c>
      <c r="AD183">
        <f t="shared" si="28"/>
        <v>17.719012345679008</v>
      </c>
      <c r="AE183">
        <f t="shared" si="29"/>
        <v>15.927531602469132</v>
      </c>
      <c r="AF183" s="9"/>
      <c r="AG183" s="21">
        <v>0.77117899999999995</v>
      </c>
      <c r="AH183" s="21">
        <v>19.570599999999999</v>
      </c>
      <c r="AI183" s="21">
        <v>-1.43768E-2</v>
      </c>
      <c r="AJ183" s="21">
        <v>173</v>
      </c>
      <c r="AK183" s="21">
        <v>0.76995800000000003</v>
      </c>
      <c r="AL183">
        <f t="shared" si="30"/>
        <v>17.749135802469137</v>
      </c>
      <c r="AM183">
        <f t="shared" si="31"/>
        <v>13.687760799012345</v>
      </c>
      <c r="AP183" s="9"/>
      <c r="AQ183" s="21">
        <v>0.898895</v>
      </c>
      <c r="AR183" s="21">
        <v>25.064</v>
      </c>
      <c r="AS183" s="21">
        <v>-1.4346299999999999E-2</v>
      </c>
      <c r="AT183" s="21">
        <v>173</v>
      </c>
      <c r="AU183" s="21">
        <v>0.89843799999999996</v>
      </c>
      <c r="AV183">
        <f t="shared" si="32"/>
        <v>17.711481481481481</v>
      </c>
      <c r="AW183">
        <f t="shared" si="33"/>
        <v>15.920762146296296</v>
      </c>
      <c r="AX183" s="9"/>
      <c r="AY183" s="21">
        <v>0.77117899999999995</v>
      </c>
      <c r="AZ183" s="21">
        <v>28.822800000000001</v>
      </c>
      <c r="BA183" s="21">
        <v>-1.4419599999999999E-2</v>
      </c>
      <c r="BB183" s="21">
        <v>173</v>
      </c>
      <c r="BC183" s="21">
        <v>0.77026399999999995</v>
      </c>
      <c r="BD183">
        <f t="shared" si="34"/>
        <v>17.801975308641975</v>
      </c>
      <c r="BE183">
        <f t="shared" si="35"/>
        <v>13.728509516543209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0.89385999999999999</v>
      </c>
      <c r="H184" s="21">
        <v>4.6256300000000001</v>
      </c>
      <c r="I184" s="21">
        <v>-1.45264E-2</v>
      </c>
      <c r="J184" s="21">
        <v>174</v>
      </c>
      <c r="K184" s="21">
        <v>0.89294399999999996</v>
      </c>
      <c r="L184">
        <f t="shared" si="24"/>
        <v>17.933827160493827</v>
      </c>
      <c r="M184">
        <f t="shared" si="25"/>
        <v>16.030330745679013</v>
      </c>
      <c r="N184" s="9"/>
      <c r="O184" s="21">
        <v>0.77621499999999999</v>
      </c>
      <c r="P184" s="21">
        <v>8.3843999999999994</v>
      </c>
      <c r="Q184" s="21">
        <v>-1.4566000000000001E-2</v>
      </c>
      <c r="R184" s="21">
        <v>174</v>
      </c>
      <c r="S184" s="21">
        <v>0.775146</v>
      </c>
      <c r="T184">
        <f t="shared" si="26"/>
        <v>17.982716049382717</v>
      </c>
      <c r="U184">
        <f t="shared" si="27"/>
        <v>13.958453938271605</v>
      </c>
      <c r="X184" s="9"/>
      <c r="Y184" s="21">
        <v>0.89385999999999999</v>
      </c>
      <c r="Z184" s="21">
        <v>15.821899999999999</v>
      </c>
      <c r="AA184" s="21">
        <v>-1.43555E-2</v>
      </c>
      <c r="AB184" s="21">
        <v>174</v>
      </c>
      <c r="AC184" s="21">
        <v>0.89294399999999996</v>
      </c>
      <c r="AD184">
        <f t="shared" si="28"/>
        <v>17.722839506172836</v>
      </c>
      <c r="AE184">
        <f t="shared" si="29"/>
        <v>15.841737320987651</v>
      </c>
      <c r="AF184" s="9"/>
      <c r="AG184" s="21">
        <v>0.77621499999999999</v>
      </c>
      <c r="AH184" s="21">
        <v>19.5807</v>
      </c>
      <c r="AI184" s="21">
        <v>-1.43768E-2</v>
      </c>
      <c r="AJ184" s="21">
        <v>174</v>
      </c>
      <c r="AK184" s="21">
        <v>0.77545200000000003</v>
      </c>
      <c r="AL184">
        <f t="shared" si="30"/>
        <v>17.749135802469137</v>
      </c>
      <c r="AM184">
        <f t="shared" si="31"/>
        <v>13.777145446913581</v>
      </c>
      <c r="AP184" s="9"/>
      <c r="AQ184" s="21">
        <v>0.89385999999999999</v>
      </c>
      <c r="AR184" s="21">
        <v>25.074100000000001</v>
      </c>
      <c r="AS184" s="21">
        <v>-1.43555E-2</v>
      </c>
      <c r="AT184" s="21">
        <v>174</v>
      </c>
      <c r="AU184" s="21">
        <v>0.89294399999999996</v>
      </c>
      <c r="AV184">
        <f t="shared" si="32"/>
        <v>17.722839506172836</v>
      </c>
      <c r="AW184">
        <f t="shared" si="33"/>
        <v>15.841737320987651</v>
      </c>
      <c r="AX184" s="9"/>
      <c r="AY184" s="21">
        <v>0.77621499999999999</v>
      </c>
      <c r="AZ184" s="21">
        <v>28.832899999999999</v>
      </c>
      <c r="BA184" s="21">
        <v>-1.44257E-2</v>
      </c>
      <c r="BB184" s="21">
        <v>174</v>
      </c>
      <c r="BC184" s="21">
        <v>0.775146</v>
      </c>
      <c r="BD184">
        <f t="shared" si="34"/>
        <v>17.809506172839505</v>
      </c>
      <c r="BE184">
        <f t="shared" si="35"/>
        <v>13.824005833950617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0.88882399999999995</v>
      </c>
      <c r="H185" s="21">
        <v>4.6356999999999999</v>
      </c>
      <c r="I185" s="21">
        <v>-1.45294E-2</v>
      </c>
      <c r="J185" s="21">
        <v>175</v>
      </c>
      <c r="K185" s="21">
        <v>0.88775599999999999</v>
      </c>
      <c r="L185">
        <f t="shared" si="24"/>
        <v>17.93753086419753</v>
      </c>
      <c r="M185">
        <f t="shared" si="25"/>
        <v>15.943307932839504</v>
      </c>
      <c r="N185" s="9"/>
      <c r="O185" s="21">
        <v>0.78125</v>
      </c>
      <c r="P185" s="21">
        <v>8.3944700000000001</v>
      </c>
      <c r="Q185" s="21">
        <v>-1.4559900000000001E-2</v>
      </c>
      <c r="R185" s="21">
        <v>175</v>
      </c>
      <c r="S185" s="21">
        <v>0.78064</v>
      </c>
      <c r="T185">
        <f t="shared" si="26"/>
        <v>17.975185185185186</v>
      </c>
      <c r="U185">
        <f t="shared" si="27"/>
        <v>14.043113425925927</v>
      </c>
      <c r="X185" s="9"/>
      <c r="Y185" s="21">
        <v>0.88882399999999995</v>
      </c>
      <c r="Z185" s="21">
        <v>15.832000000000001</v>
      </c>
      <c r="AA185" s="21">
        <v>-1.43555E-2</v>
      </c>
      <c r="AB185" s="21">
        <v>175</v>
      </c>
      <c r="AC185" s="21">
        <v>0.88775599999999999</v>
      </c>
      <c r="AD185">
        <f t="shared" si="28"/>
        <v>17.722839506172836</v>
      </c>
      <c r="AE185">
        <f t="shared" si="29"/>
        <v>15.752485101234564</v>
      </c>
      <c r="AF185" s="9"/>
      <c r="AG185" s="21">
        <v>0.78125</v>
      </c>
      <c r="AH185" s="21">
        <v>19.590699999999998</v>
      </c>
      <c r="AI185" s="21">
        <v>-1.43768E-2</v>
      </c>
      <c r="AJ185" s="21">
        <v>175</v>
      </c>
      <c r="AK185" s="21">
        <v>0.78002899999999997</v>
      </c>
      <c r="AL185">
        <f t="shared" si="30"/>
        <v>17.749135802469137</v>
      </c>
      <c r="AM185">
        <f t="shared" si="31"/>
        <v>13.866512345679013</v>
      </c>
      <c r="AP185" s="9"/>
      <c r="AQ185" s="21">
        <v>0.88882399999999995</v>
      </c>
      <c r="AR185" s="21">
        <v>25.084199999999999</v>
      </c>
      <c r="AS185" s="21">
        <v>-1.43585E-2</v>
      </c>
      <c r="AT185" s="21">
        <v>175</v>
      </c>
      <c r="AU185" s="21">
        <v>0.88836700000000002</v>
      </c>
      <c r="AV185">
        <f t="shared" si="32"/>
        <v>17.726543209876542</v>
      </c>
      <c r="AW185">
        <f t="shared" si="33"/>
        <v>15.755777041975307</v>
      </c>
      <c r="AX185" s="9"/>
      <c r="AY185" s="21">
        <v>0.78125</v>
      </c>
      <c r="AZ185" s="21">
        <v>28.843</v>
      </c>
      <c r="BA185" s="21">
        <v>-1.4422600000000001E-2</v>
      </c>
      <c r="BB185" s="21">
        <v>175</v>
      </c>
      <c r="BC185" s="21">
        <v>0.78002899999999997</v>
      </c>
      <c r="BD185">
        <f t="shared" si="34"/>
        <v>17.805679012345678</v>
      </c>
      <c r="BE185">
        <f t="shared" si="35"/>
        <v>13.91068672839506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0.88378900000000005</v>
      </c>
      <c r="H186" s="21">
        <v>4.6457800000000002</v>
      </c>
      <c r="I186" s="21">
        <v>-1.45355E-2</v>
      </c>
      <c r="J186" s="21">
        <v>176</v>
      </c>
      <c r="K186" s="21">
        <v>0.88256800000000002</v>
      </c>
      <c r="L186">
        <f t="shared" si="24"/>
        <v>17.945061728395061</v>
      </c>
      <c r="M186">
        <f t="shared" si="25"/>
        <v>15.859648159876544</v>
      </c>
      <c r="N186" s="9"/>
      <c r="O186" s="21">
        <v>0.78628500000000001</v>
      </c>
      <c r="P186" s="21">
        <v>8.4045400000000008</v>
      </c>
      <c r="Q186" s="21">
        <v>-1.45416E-2</v>
      </c>
      <c r="R186" s="21">
        <v>176</v>
      </c>
      <c r="S186" s="21">
        <v>0.78552200000000005</v>
      </c>
      <c r="T186">
        <f t="shared" si="26"/>
        <v>17.952592592592595</v>
      </c>
      <c r="U186">
        <f t="shared" si="27"/>
        <v>14.115854266666668</v>
      </c>
      <c r="X186" s="9"/>
      <c r="Y186" s="21">
        <v>0.88378900000000005</v>
      </c>
      <c r="Z186" s="21">
        <v>15.842000000000001</v>
      </c>
      <c r="AA186" s="21">
        <v>-1.43524E-2</v>
      </c>
      <c r="AB186" s="21">
        <v>176</v>
      </c>
      <c r="AC186" s="21">
        <v>0.88256800000000002</v>
      </c>
      <c r="AD186">
        <f t="shared" si="28"/>
        <v>17.719012345679008</v>
      </c>
      <c r="AE186">
        <f t="shared" si="29"/>
        <v>15.659868201975305</v>
      </c>
      <c r="AF186" s="9"/>
      <c r="AG186" s="21">
        <v>0.78628500000000001</v>
      </c>
      <c r="AH186" s="21">
        <v>19.6008</v>
      </c>
      <c r="AI186" s="21">
        <v>-1.4379899999999999E-2</v>
      </c>
      <c r="AJ186" s="21">
        <v>176</v>
      </c>
      <c r="AK186" s="21">
        <v>0.78552200000000005</v>
      </c>
      <c r="AL186">
        <f t="shared" si="30"/>
        <v>17.752962962962961</v>
      </c>
      <c r="AM186">
        <f t="shared" si="31"/>
        <v>13.958888483333332</v>
      </c>
      <c r="AP186" s="9"/>
      <c r="AQ186" s="21">
        <v>0.88378900000000005</v>
      </c>
      <c r="AR186" s="21">
        <v>25.0943</v>
      </c>
      <c r="AS186" s="21">
        <v>-1.43616E-2</v>
      </c>
      <c r="AT186" s="21">
        <v>176</v>
      </c>
      <c r="AU186" s="21">
        <v>0.88256800000000002</v>
      </c>
      <c r="AV186">
        <f t="shared" si="32"/>
        <v>17.73037037037037</v>
      </c>
      <c r="AW186">
        <f t="shared" si="33"/>
        <v>15.66990629925926</v>
      </c>
      <c r="AX186" s="9"/>
      <c r="AY186" s="21">
        <v>0.78628500000000001</v>
      </c>
      <c r="AZ186" s="21">
        <v>28.853000000000002</v>
      </c>
      <c r="BA186" s="21">
        <v>-1.44043E-2</v>
      </c>
      <c r="BB186" s="21">
        <v>176</v>
      </c>
      <c r="BC186" s="21">
        <v>0.78521700000000005</v>
      </c>
      <c r="BD186">
        <f t="shared" si="34"/>
        <v>17.783086419753086</v>
      </c>
      <c r="BE186">
        <f t="shared" si="35"/>
        <v>13.982574105555555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0.87875400000000004</v>
      </c>
      <c r="H187" s="21">
        <v>4.65585</v>
      </c>
      <c r="I187" s="21">
        <v>-1.45355E-2</v>
      </c>
      <c r="J187" s="21">
        <v>177</v>
      </c>
      <c r="K187" s="21">
        <v>0.87768599999999997</v>
      </c>
      <c r="L187">
        <f t="shared" si="24"/>
        <v>17.945061728395061</v>
      </c>
      <c r="M187">
        <f t="shared" si="25"/>
        <v>15.769294774074075</v>
      </c>
      <c r="N187" s="9"/>
      <c r="O187" s="21">
        <v>0.79132100000000005</v>
      </c>
      <c r="P187" s="21">
        <v>8.4146099999999997</v>
      </c>
      <c r="Q187" s="21">
        <v>-1.45355E-2</v>
      </c>
      <c r="R187" s="21">
        <v>177</v>
      </c>
      <c r="S187" s="21">
        <v>0.79040500000000002</v>
      </c>
      <c r="T187">
        <f t="shared" si="26"/>
        <v>17.945061728395061</v>
      </c>
      <c r="U187">
        <f t="shared" si="27"/>
        <v>14.200304191975309</v>
      </c>
      <c r="X187" s="9"/>
      <c r="Y187" s="21">
        <v>0.87875400000000004</v>
      </c>
      <c r="Z187" s="21">
        <v>15.8521</v>
      </c>
      <c r="AA187" s="21">
        <v>-1.43555E-2</v>
      </c>
      <c r="AB187" s="21">
        <v>177</v>
      </c>
      <c r="AC187" s="21">
        <v>0.87768599999999997</v>
      </c>
      <c r="AD187">
        <f t="shared" si="28"/>
        <v>17.722839506172836</v>
      </c>
      <c r="AE187">
        <f t="shared" si="29"/>
        <v>15.574016107407404</v>
      </c>
      <c r="AF187" s="9"/>
      <c r="AG187" s="21">
        <v>0.79132100000000005</v>
      </c>
      <c r="AH187" s="21">
        <v>19.610900000000001</v>
      </c>
      <c r="AI187" s="21">
        <v>-1.4379899999999999E-2</v>
      </c>
      <c r="AJ187" s="21">
        <v>177</v>
      </c>
      <c r="AK187" s="21">
        <v>0.79040500000000002</v>
      </c>
      <c r="AL187">
        <f t="shared" si="30"/>
        <v>17.752962962962961</v>
      </c>
      <c r="AM187">
        <f t="shared" si="31"/>
        <v>14.048292404814815</v>
      </c>
      <c r="AP187" s="9"/>
      <c r="AQ187" s="21">
        <v>0.87875400000000004</v>
      </c>
      <c r="AR187" s="21">
        <v>25.104299999999999</v>
      </c>
      <c r="AS187" s="21">
        <v>-1.43646E-2</v>
      </c>
      <c r="AT187" s="21">
        <v>177</v>
      </c>
      <c r="AU187" s="21">
        <v>0.87738000000000005</v>
      </c>
      <c r="AV187">
        <f t="shared" si="32"/>
        <v>17.734074074074073</v>
      </c>
      <c r="AW187">
        <f t="shared" si="33"/>
        <v>15.583888528888888</v>
      </c>
      <c r="AX187" s="9"/>
      <c r="AY187" s="21">
        <v>0.79132100000000005</v>
      </c>
      <c r="AZ187" s="21">
        <v>28.863099999999999</v>
      </c>
      <c r="BA187" s="21">
        <v>-1.43921E-2</v>
      </c>
      <c r="BB187" s="21">
        <v>177</v>
      </c>
      <c r="BC187" s="21">
        <v>0.79010000000000002</v>
      </c>
      <c r="BD187">
        <f t="shared" si="34"/>
        <v>17.768024691358022</v>
      </c>
      <c r="BE187">
        <f t="shared" si="35"/>
        <v>14.060211066790123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0.87371799999999999</v>
      </c>
      <c r="H188" s="21">
        <v>4.6659199999999998</v>
      </c>
      <c r="I188" s="21">
        <v>-1.45325E-2</v>
      </c>
      <c r="J188" s="21">
        <v>178</v>
      </c>
      <c r="K188" s="21">
        <v>0.872803</v>
      </c>
      <c r="L188">
        <f t="shared" si="24"/>
        <v>17.941358024691358</v>
      </c>
      <c r="M188">
        <f t="shared" si="25"/>
        <v>15.675687450617284</v>
      </c>
      <c r="N188" s="9"/>
      <c r="O188" s="21">
        <v>0.79635599999999995</v>
      </c>
      <c r="P188" s="21">
        <v>8.4246800000000004</v>
      </c>
      <c r="Q188" s="21">
        <v>-1.45355E-2</v>
      </c>
      <c r="R188" s="21">
        <v>178</v>
      </c>
      <c r="S188" s="21">
        <v>0.79559299999999999</v>
      </c>
      <c r="T188">
        <f t="shared" si="26"/>
        <v>17.945061728395061</v>
      </c>
      <c r="U188">
        <f t="shared" si="27"/>
        <v>14.290657577777775</v>
      </c>
      <c r="X188" s="9"/>
      <c r="Y188" s="21">
        <v>0.87371799999999999</v>
      </c>
      <c r="Z188" s="21">
        <v>15.8622</v>
      </c>
      <c r="AA188" s="21">
        <v>-1.43555E-2</v>
      </c>
      <c r="AB188" s="21">
        <v>178</v>
      </c>
      <c r="AC188" s="21">
        <v>0.872803</v>
      </c>
      <c r="AD188">
        <f t="shared" si="28"/>
        <v>17.722839506172836</v>
      </c>
      <c r="AE188">
        <f t="shared" si="29"/>
        <v>15.484763887654317</v>
      </c>
      <c r="AF188" s="9"/>
      <c r="AG188" s="21">
        <v>0.79635599999999995</v>
      </c>
      <c r="AH188" s="21">
        <v>19.620899999999999</v>
      </c>
      <c r="AI188" s="21">
        <v>-1.43768E-2</v>
      </c>
      <c r="AJ188" s="21">
        <v>178</v>
      </c>
      <c r="AK188" s="21">
        <v>0.79559299999999999</v>
      </c>
      <c r="AL188">
        <f t="shared" si="30"/>
        <v>17.749135802469137</v>
      </c>
      <c r="AM188">
        <f t="shared" si="31"/>
        <v>14.134630791111112</v>
      </c>
      <c r="AP188" s="9"/>
      <c r="AQ188" s="21">
        <v>0.87371799999999999</v>
      </c>
      <c r="AR188" s="21">
        <v>25.1144</v>
      </c>
      <c r="AS188" s="21">
        <v>-1.43707E-2</v>
      </c>
      <c r="AT188" s="21">
        <v>178</v>
      </c>
      <c r="AU188" s="21">
        <v>0.872498</v>
      </c>
      <c r="AV188">
        <f t="shared" si="32"/>
        <v>17.741604938271603</v>
      </c>
      <c r="AW188">
        <f t="shared" si="33"/>
        <v>15.501159583456788</v>
      </c>
      <c r="AX188" s="9"/>
      <c r="AY188" s="21">
        <v>0.79635599999999995</v>
      </c>
      <c r="AZ188" s="21">
        <v>28.873200000000001</v>
      </c>
      <c r="BA188" s="21">
        <v>-1.4379899999999999E-2</v>
      </c>
      <c r="BB188" s="21">
        <v>178</v>
      </c>
      <c r="BC188" s="21">
        <v>0.794983</v>
      </c>
      <c r="BD188">
        <f t="shared" si="34"/>
        <v>17.752962962962961</v>
      </c>
      <c r="BE188">
        <f t="shared" si="35"/>
        <v>14.13767857333333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0.86868299999999998</v>
      </c>
      <c r="H189" s="21">
        <v>4.6759899999999996</v>
      </c>
      <c r="I189" s="21">
        <v>-1.45294E-2</v>
      </c>
      <c r="J189" s="21">
        <v>179</v>
      </c>
      <c r="K189" s="21">
        <v>0.86792000000000002</v>
      </c>
      <c r="L189">
        <f t="shared" si="24"/>
        <v>17.93753086419753</v>
      </c>
      <c r="M189">
        <f t="shared" si="25"/>
        <v>15.582028123703703</v>
      </c>
      <c r="N189" s="9"/>
      <c r="O189" s="21">
        <v>0.80139199999999999</v>
      </c>
      <c r="P189" s="21">
        <v>8.4347499999999993</v>
      </c>
      <c r="Q189" s="21">
        <v>-1.45416E-2</v>
      </c>
      <c r="R189" s="21">
        <v>179</v>
      </c>
      <c r="S189" s="21">
        <v>0.80047599999999997</v>
      </c>
      <c r="T189">
        <f t="shared" si="26"/>
        <v>17.952592592592595</v>
      </c>
      <c r="U189">
        <f t="shared" si="27"/>
        <v>14.387064082962965</v>
      </c>
      <c r="X189" s="9"/>
      <c r="Y189" s="21">
        <v>0.86868299999999998</v>
      </c>
      <c r="Z189" s="21">
        <v>15.872199999999999</v>
      </c>
      <c r="AA189" s="21">
        <v>-1.43616E-2</v>
      </c>
      <c r="AB189" s="21">
        <v>179</v>
      </c>
      <c r="AC189" s="21">
        <v>0.86792000000000002</v>
      </c>
      <c r="AD189">
        <f t="shared" si="28"/>
        <v>17.73037037037037</v>
      </c>
      <c r="AE189">
        <f t="shared" si="29"/>
        <v>15.402071324444444</v>
      </c>
      <c r="AF189" s="9"/>
      <c r="AG189" s="21">
        <v>0.80139199999999999</v>
      </c>
      <c r="AH189" s="21">
        <v>19.631</v>
      </c>
      <c r="AI189" s="21">
        <v>-1.43768E-2</v>
      </c>
      <c r="AJ189" s="21">
        <v>179</v>
      </c>
      <c r="AK189" s="21">
        <v>0.80078099999999997</v>
      </c>
      <c r="AL189">
        <f t="shared" si="30"/>
        <v>17.749135802469137</v>
      </c>
      <c r="AM189">
        <f t="shared" si="31"/>
        <v>14.224015439012346</v>
      </c>
      <c r="AP189" s="9"/>
      <c r="AQ189" s="21">
        <v>0.86868299999999998</v>
      </c>
      <c r="AR189" s="21">
        <v>25.124500000000001</v>
      </c>
      <c r="AS189" s="21">
        <v>-1.4379899999999999E-2</v>
      </c>
      <c r="AT189" s="21">
        <v>179</v>
      </c>
      <c r="AU189" s="21">
        <v>0.86853000000000002</v>
      </c>
      <c r="AV189">
        <f t="shared" si="32"/>
        <v>17.752962962962961</v>
      </c>
      <c r="AW189">
        <f t="shared" si="33"/>
        <v>15.421697125555553</v>
      </c>
      <c r="AX189" s="9"/>
      <c r="AY189" s="21">
        <v>0.80139199999999999</v>
      </c>
      <c r="AZ189" s="21">
        <v>28.883199999999999</v>
      </c>
      <c r="BA189" s="21">
        <v>-1.4389000000000001E-2</v>
      </c>
      <c r="BB189" s="21">
        <v>179</v>
      </c>
      <c r="BC189" s="21">
        <v>0.80017099999999997</v>
      </c>
      <c r="BD189">
        <f t="shared" si="34"/>
        <v>17.764197530864198</v>
      </c>
      <c r="BE189">
        <f t="shared" si="35"/>
        <v>14.236085787654321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0.86364700000000005</v>
      </c>
      <c r="H190" s="21">
        <v>4.6860600000000003</v>
      </c>
      <c r="I190" s="21">
        <v>-1.45294E-2</v>
      </c>
      <c r="J190" s="21">
        <v>180</v>
      </c>
      <c r="K190" s="21">
        <v>0.86334200000000005</v>
      </c>
      <c r="L190">
        <f t="shared" si="24"/>
        <v>17.93753086419753</v>
      </c>
      <c r="M190">
        <f t="shared" si="25"/>
        <v>15.491694718271605</v>
      </c>
      <c r="N190" s="9"/>
      <c r="O190" s="21">
        <v>0.806427</v>
      </c>
      <c r="P190" s="21">
        <v>8.4448299999999996</v>
      </c>
      <c r="Q190" s="21">
        <v>-1.45416E-2</v>
      </c>
      <c r="R190" s="21">
        <v>180</v>
      </c>
      <c r="S190" s="21">
        <v>0.80505400000000005</v>
      </c>
      <c r="T190">
        <f t="shared" si="26"/>
        <v>17.952592592592595</v>
      </c>
      <c r="U190">
        <f t="shared" si="27"/>
        <v>14.477455386666668</v>
      </c>
      <c r="X190" s="9"/>
      <c r="Y190" s="21">
        <v>0.86364700000000005</v>
      </c>
      <c r="Z190" s="21">
        <v>15.882300000000001</v>
      </c>
      <c r="AA190" s="21">
        <v>-1.43555E-2</v>
      </c>
      <c r="AB190" s="21">
        <v>180</v>
      </c>
      <c r="AC190" s="21">
        <v>0.86303700000000005</v>
      </c>
      <c r="AD190">
        <f t="shared" si="28"/>
        <v>17.722839506172836</v>
      </c>
      <c r="AE190">
        <f t="shared" si="29"/>
        <v>15.306277170987652</v>
      </c>
      <c r="AF190" s="9"/>
      <c r="AG190" s="21">
        <v>0.806427</v>
      </c>
      <c r="AH190" s="21">
        <v>19.641100000000002</v>
      </c>
      <c r="AI190" s="21">
        <v>-1.4379899999999999E-2</v>
      </c>
      <c r="AJ190" s="21">
        <v>180</v>
      </c>
      <c r="AK190" s="21">
        <v>0.80535900000000005</v>
      </c>
      <c r="AL190">
        <f t="shared" si="30"/>
        <v>17.752962962962961</v>
      </c>
      <c r="AM190">
        <f t="shared" si="31"/>
        <v>14.316468663333332</v>
      </c>
      <c r="AP190" s="9"/>
      <c r="AQ190" s="21">
        <v>0.86364700000000005</v>
      </c>
      <c r="AR190" s="21">
        <v>25.134499999999999</v>
      </c>
      <c r="AS190" s="21">
        <v>-1.4385999999999999E-2</v>
      </c>
      <c r="AT190" s="21">
        <v>180</v>
      </c>
      <c r="AU190" s="21">
        <v>0.86303700000000005</v>
      </c>
      <c r="AV190">
        <f t="shared" si="32"/>
        <v>17.760493827160492</v>
      </c>
      <c r="AW190">
        <f t="shared" si="33"/>
        <v>15.338797212345678</v>
      </c>
      <c r="AX190" s="9"/>
      <c r="AY190" s="21">
        <v>0.806427</v>
      </c>
      <c r="AZ190" s="21">
        <v>28.8933</v>
      </c>
      <c r="BA190" s="21">
        <v>-1.4401199999999999E-2</v>
      </c>
      <c r="BB190" s="21">
        <v>180</v>
      </c>
      <c r="BC190" s="21">
        <v>0.80596900000000005</v>
      </c>
      <c r="BD190">
        <f t="shared" si="34"/>
        <v>17.779259259259259</v>
      </c>
      <c r="BE190">
        <f t="shared" si="35"/>
        <v>14.337674706666666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0.85861200000000004</v>
      </c>
      <c r="H191" s="21">
        <v>4.6961300000000001</v>
      </c>
      <c r="I191" s="21">
        <v>-1.45294E-2</v>
      </c>
      <c r="J191" s="21">
        <v>181</v>
      </c>
      <c r="K191" s="21">
        <v>0.85784899999999997</v>
      </c>
      <c r="L191">
        <f t="shared" si="24"/>
        <v>17.93753086419753</v>
      </c>
      <c r="M191">
        <f t="shared" si="25"/>
        <v>15.40137925037037</v>
      </c>
      <c r="N191" s="9"/>
      <c r="O191" s="21">
        <v>0.81146200000000002</v>
      </c>
      <c r="P191" s="21">
        <v>8.4549000000000003</v>
      </c>
      <c r="Q191" s="21">
        <v>-1.45325E-2</v>
      </c>
      <c r="R191" s="21">
        <v>181</v>
      </c>
      <c r="S191" s="21">
        <v>0.81054700000000002</v>
      </c>
      <c r="T191">
        <f t="shared" si="26"/>
        <v>17.941358024691358</v>
      </c>
      <c r="U191">
        <f t="shared" si="27"/>
        <v>14.558730265432098</v>
      </c>
      <c r="X191" s="9"/>
      <c r="Y191" s="21">
        <v>0.85861200000000004</v>
      </c>
      <c r="Z191" s="21">
        <v>15.8924</v>
      </c>
      <c r="AA191" s="21">
        <v>-1.43524E-2</v>
      </c>
      <c r="AB191" s="21">
        <v>181</v>
      </c>
      <c r="AC191" s="21">
        <v>0.85784899999999997</v>
      </c>
      <c r="AD191">
        <f t="shared" si="28"/>
        <v>17.719012345679008</v>
      </c>
      <c r="AE191">
        <f t="shared" si="29"/>
        <v>15.213756628148145</v>
      </c>
      <c r="AF191" s="9"/>
      <c r="AG191" s="21">
        <v>0.81146200000000002</v>
      </c>
      <c r="AH191" s="21">
        <v>19.6511</v>
      </c>
      <c r="AI191" s="21">
        <v>-1.4379899999999999E-2</v>
      </c>
      <c r="AJ191" s="21">
        <v>181</v>
      </c>
      <c r="AK191" s="21">
        <v>0.81054700000000002</v>
      </c>
      <c r="AL191">
        <f t="shared" si="30"/>
        <v>17.752962962962961</v>
      </c>
      <c r="AM191">
        <f t="shared" si="31"/>
        <v>14.405854831851851</v>
      </c>
      <c r="AP191" s="9"/>
      <c r="AQ191" s="21">
        <v>0.85861200000000004</v>
      </c>
      <c r="AR191" s="21">
        <v>25.144600000000001</v>
      </c>
      <c r="AS191" s="21">
        <v>-1.43921E-2</v>
      </c>
      <c r="AT191" s="21">
        <v>181</v>
      </c>
      <c r="AU191" s="21">
        <v>0.85754399999999997</v>
      </c>
      <c r="AV191">
        <f t="shared" si="32"/>
        <v>17.768024691358022</v>
      </c>
      <c r="AW191">
        <f t="shared" si="33"/>
        <v>15.255839216296295</v>
      </c>
      <c r="AX191" s="9"/>
      <c r="AY191" s="21">
        <v>0.81146200000000002</v>
      </c>
      <c r="AZ191" s="21">
        <v>28.903400000000001</v>
      </c>
      <c r="BA191" s="21">
        <v>-1.44073E-2</v>
      </c>
      <c r="BB191" s="21">
        <v>181</v>
      </c>
      <c r="BC191" s="21">
        <v>0.81085200000000002</v>
      </c>
      <c r="BD191">
        <f t="shared" si="34"/>
        <v>17.78679012345679</v>
      </c>
      <c r="BE191">
        <f t="shared" si="35"/>
        <v>14.433304287160494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0.85357700000000003</v>
      </c>
      <c r="H192" s="21">
        <v>4.7061999999999999</v>
      </c>
      <c r="I192" s="21">
        <v>-1.45325E-2</v>
      </c>
      <c r="J192" s="21">
        <v>182</v>
      </c>
      <c r="K192" s="21">
        <v>0.852966</v>
      </c>
      <c r="L192">
        <f t="shared" si="24"/>
        <v>17.941358024691358</v>
      </c>
      <c r="M192">
        <f t="shared" si="25"/>
        <v>15.314330558641975</v>
      </c>
      <c r="N192" s="9"/>
      <c r="O192" s="21">
        <v>0.81649799999999995</v>
      </c>
      <c r="P192" s="21">
        <v>8.4649699999999992</v>
      </c>
      <c r="Q192" s="21">
        <v>-1.45264E-2</v>
      </c>
      <c r="R192" s="21">
        <v>182</v>
      </c>
      <c r="S192" s="21">
        <v>0.81573499999999999</v>
      </c>
      <c r="T192">
        <f t="shared" si="26"/>
        <v>17.933827160493827</v>
      </c>
      <c r="U192">
        <f t="shared" si="27"/>
        <v>14.642934008888888</v>
      </c>
      <c r="X192" s="9"/>
      <c r="Y192" s="21">
        <v>0.85357700000000003</v>
      </c>
      <c r="Z192" s="21">
        <v>15.9025</v>
      </c>
      <c r="AA192" s="21">
        <v>-1.43433E-2</v>
      </c>
      <c r="AB192" s="21">
        <v>182</v>
      </c>
      <c r="AC192" s="21">
        <v>0.852661</v>
      </c>
      <c r="AD192">
        <f t="shared" si="28"/>
        <v>17.707777777777778</v>
      </c>
      <c r="AE192">
        <f t="shared" si="29"/>
        <v>15.114951832222223</v>
      </c>
      <c r="AF192" s="9"/>
      <c r="AG192" s="21">
        <v>0.81649799999999995</v>
      </c>
      <c r="AH192" s="21">
        <v>19.661200000000001</v>
      </c>
      <c r="AI192" s="21">
        <v>-1.4367700000000001E-2</v>
      </c>
      <c r="AJ192" s="21">
        <v>182</v>
      </c>
      <c r="AK192" s="21">
        <v>0.81542999999999999</v>
      </c>
      <c r="AL192">
        <f t="shared" si="30"/>
        <v>17.7379012345679</v>
      </c>
      <c r="AM192">
        <f t="shared" si="31"/>
        <v>14.482960882222221</v>
      </c>
      <c r="AP192" s="9"/>
      <c r="AQ192" s="21">
        <v>0.85357700000000003</v>
      </c>
      <c r="AR192" s="21">
        <v>25.154699999999998</v>
      </c>
      <c r="AS192" s="21">
        <v>-1.43982E-2</v>
      </c>
      <c r="AT192" s="21">
        <v>182</v>
      </c>
      <c r="AU192" s="21">
        <v>0.852966</v>
      </c>
      <c r="AV192">
        <f t="shared" si="32"/>
        <v>17.775555555555556</v>
      </c>
      <c r="AW192">
        <f t="shared" si="33"/>
        <v>15.172805384444445</v>
      </c>
      <c r="AX192" s="9"/>
      <c r="AY192" s="21">
        <v>0.81649799999999995</v>
      </c>
      <c r="AZ192" s="21">
        <v>28.913399999999999</v>
      </c>
      <c r="BA192" s="21">
        <v>-1.44073E-2</v>
      </c>
      <c r="BB192" s="21">
        <v>182</v>
      </c>
      <c r="BC192" s="21">
        <v>0.81603999999999999</v>
      </c>
      <c r="BD192">
        <f t="shared" si="34"/>
        <v>17.78679012345679</v>
      </c>
      <c r="BE192">
        <f t="shared" si="35"/>
        <v>14.522878562222221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0.84854099999999999</v>
      </c>
      <c r="H193" s="21">
        <v>4.7162699999999997</v>
      </c>
      <c r="I193" s="21">
        <v>-1.45294E-2</v>
      </c>
      <c r="J193" s="21">
        <v>183</v>
      </c>
      <c r="K193" s="21">
        <v>0.84777800000000003</v>
      </c>
      <c r="L193">
        <f t="shared" si="24"/>
        <v>17.93753086419753</v>
      </c>
      <c r="M193">
        <f t="shared" si="25"/>
        <v>15.220730377037036</v>
      </c>
      <c r="N193" s="9"/>
      <c r="O193" s="21">
        <v>0.82153299999999996</v>
      </c>
      <c r="P193" s="21">
        <v>8.4750399999999999</v>
      </c>
      <c r="Q193" s="21">
        <v>-1.4517199999999999E-2</v>
      </c>
      <c r="R193" s="21">
        <v>183</v>
      </c>
      <c r="S193" s="21">
        <v>0.82061799999999996</v>
      </c>
      <c r="T193">
        <f t="shared" si="26"/>
        <v>17.922469135802466</v>
      </c>
      <c r="U193">
        <f t="shared" si="27"/>
        <v>14.723899836543206</v>
      </c>
      <c r="X193" s="9"/>
      <c r="Y193" s="21">
        <v>0.84854099999999999</v>
      </c>
      <c r="Z193" s="21">
        <v>15.9125</v>
      </c>
      <c r="AA193" s="21">
        <v>-1.43524E-2</v>
      </c>
      <c r="AB193" s="21">
        <v>183</v>
      </c>
      <c r="AC193" s="21">
        <v>0.84838899999999995</v>
      </c>
      <c r="AD193">
        <f t="shared" si="28"/>
        <v>17.719012345679008</v>
      </c>
      <c r="AE193">
        <f t="shared" si="29"/>
        <v>15.03530845481481</v>
      </c>
      <c r="AF193" s="9"/>
      <c r="AG193" s="21">
        <v>0.82153299999999996</v>
      </c>
      <c r="AH193" s="21">
        <v>19.671299999999999</v>
      </c>
      <c r="AI193" s="21">
        <v>-1.43585E-2</v>
      </c>
      <c r="AJ193" s="21">
        <v>183</v>
      </c>
      <c r="AK193" s="21">
        <v>0.82122799999999996</v>
      </c>
      <c r="AL193">
        <f t="shared" si="30"/>
        <v>17.726543209876542</v>
      </c>
      <c r="AM193">
        <f t="shared" si="31"/>
        <v>14.562940222839504</v>
      </c>
      <c r="AP193" s="9"/>
      <c r="AQ193" s="21">
        <v>0.84854099999999999</v>
      </c>
      <c r="AR193" s="21">
        <v>25.1648</v>
      </c>
      <c r="AS193" s="21">
        <v>-1.43982E-2</v>
      </c>
      <c r="AT193" s="21">
        <v>183</v>
      </c>
      <c r="AU193" s="21">
        <v>0.84747300000000003</v>
      </c>
      <c r="AV193">
        <f t="shared" si="32"/>
        <v>17.775555555555556</v>
      </c>
      <c r="AW193">
        <f t="shared" si="33"/>
        <v>15.083287686666667</v>
      </c>
      <c r="AX193" s="9"/>
      <c r="AY193" s="21">
        <v>0.82153299999999996</v>
      </c>
      <c r="AZ193" s="21">
        <v>28.923500000000001</v>
      </c>
      <c r="BA193" s="21">
        <v>-1.44043E-2</v>
      </c>
      <c r="BB193" s="21">
        <v>183</v>
      </c>
      <c r="BC193" s="21">
        <v>0.82061799999999996</v>
      </c>
      <c r="BD193">
        <f t="shared" si="34"/>
        <v>17.783086419753086</v>
      </c>
      <c r="BE193">
        <f t="shared" si="35"/>
        <v>14.609392335679011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0.84350599999999998</v>
      </c>
      <c r="H194" s="21">
        <v>4.7263400000000004</v>
      </c>
      <c r="I194" s="21">
        <v>-1.4523299999999999E-2</v>
      </c>
      <c r="J194" s="21">
        <v>184</v>
      </c>
      <c r="K194" s="21">
        <v>0.84289599999999998</v>
      </c>
      <c r="L194">
        <f t="shared" si="24"/>
        <v>17.93</v>
      </c>
      <c r="M194">
        <f t="shared" si="25"/>
        <v>15.124062579999999</v>
      </c>
      <c r="N194" s="9"/>
      <c r="O194" s="21">
        <v>0.826569</v>
      </c>
      <c r="P194" s="21">
        <v>8.4851100000000006</v>
      </c>
      <c r="Q194" s="21">
        <v>-1.45203E-2</v>
      </c>
      <c r="R194" s="21">
        <v>184</v>
      </c>
      <c r="S194" s="21">
        <v>0.82580600000000004</v>
      </c>
      <c r="T194">
        <f t="shared" si="26"/>
        <v>17.926296296296293</v>
      </c>
      <c r="U194">
        <f t="shared" si="27"/>
        <v>14.817320803333331</v>
      </c>
      <c r="X194" s="9"/>
      <c r="Y194" s="21">
        <v>0.84350599999999998</v>
      </c>
      <c r="Z194" s="21">
        <v>15.922599999999999</v>
      </c>
      <c r="AA194" s="21">
        <v>-1.43524E-2</v>
      </c>
      <c r="AB194" s="21">
        <v>184</v>
      </c>
      <c r="AC194" s="21">
        <v>0.84258999999999995</v>
      </c>
      <c r="AD194">
        <f t="shared" si="28"/>
        <v>17.719012345679008</v>
      </c>
      <c r="AE194">
        <f t="shared" si="29"/>
        <v>14.946093227654318</v>
      </c>
      <c r="AF194" s="9"/>
      <c r="AG194" s="21">
        <v>0.826569</v>
      </c>
      <c r="AH194" s="21">
        <v>19.6814</v>
      </c>
      <c r="AI194" s="21">
        <v>-1.43524E-2</v>
      </c>
      <c r="AJ194" s="21">
        <v>184</v>
      </c>
      <c r="AK194" s="21">
        <v>0.82611100000000004</v>
      </c>
      <c r="AL194">
        <f t="shared" si="30"/>
        <v>17.719012345679008</v>
      </c>
      <c r="AM194">
        <f t="shared" si="31"/>
        <v>14.645986315555552</v>
      </c>
      <c r="AP194" s="9"/>
      <c r="AQ194" s="21">
        <v>0.84350599999999998</v>
      </c>
      <c r="AR194" s="21">
        <v>25.174800000000001</v>
      </c>
      <c r="AS194" s="21">
        <v>-1.44104E-2</v>
      </c>
      <c r="AT194" s="21">
        <v>184</v>
      </c>
      <c r="AU194" s="21">
        <v>0.84228499999999995</v>
      </c>
      <c r="AV194">
        <f t="shared" si="32"/>
        <v>17.790617283950617</v>
      </c>
      <c r="AW194">
        <f t="shared" si="33"/>
        <v>15.006492422716049</v>
      </c>
      <c r="AX194" s="9"/>
      <c r="AY194" s="21">
        <v>0.826569</v>
      </c>
      <c r="AZ194" s="21">
        <v>28.933599999999998</v>
      </c>
      <c r="BA194" s="21">
        <v>-1.43982E-2</v>
      </c>
      <c r="BB194" s="21">
        <v>184</v>
      </c>
      <c r="BC194" s="21">
        <v>0.82580600000000004</v>
      </c>
      <c r="BD194">
        <f t="shared" si="34"/>
        <v>17.775555555555556</v>
      </c>
      <c r="BE194">
        <f t="shared" si="35"/>
        <v>14.69272318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0.83847000000000005</v>
      </c>
      <c r="H195" s="21">
        <v>4.7364100000000002</v>
      </c>
      <c r="I195" s="21">
        <v>-1.45355E-2</v>
      </c>
      <c r="J195" s="21">
        <v>185</v>
      </c>
      <c r="K195" s="21">
        <v>0.83770800000000001</v>
      </c>
      <c r="L195">
        <f t="shared" si="24"/>
        <v>17.945061728395061</v>
      </c>
      <c r="M195">
        <f t="shared" si="25"/>
        <v>15.046395907407407</v>
      </c>
      <c r="N195" s="9"/>
      <c r="O195" s="21">
        <v>0.83160400000000001</v>
      </c>
      <c r="P195" s="21">
        <v>8.4951799999999995</v>
      </c>
      <c r="Q195" s="21">
        <v>-1.4511100000000001E-2</v>
      </c>
      <c r="R195" s="21">
        <v>185</v>
      </c>
      <c r="S195" s="21">
        <v>0.83038299999999998</v>
      </c>
      <c r="T195">
        <f t="shared" si="26"/>
        <v>17.914938271604939</v>
      </c>
      <c r="U195">
        <f t="shared" si="27"/>
        <v>14.898134326419754</v>
      </c>
      <c r="X195" s="9"/>
      <c r="Y195" s="21">
        <v>0.83847000000000005</v>
      </c>
      <c r="Z195" s="21">
        <v>15.932700000000001</v>
      </c>
      <c r="AA195" s="21">
        <v>-1.43616E-2</v>
      </c>
      <c r="AB195" s="21">
        <v>185</v>
      </c>
      <c r="AC195" s="21">
        <v>0.83801300000000001</v>
      </c>
      <c r="AD195">
        <f t="shared" si="28"/>
        <v>17.73037037037037</v>
      </c>
      <c r="AE195">
        <f t="shared" si="29"/>
        <v>14.866383644444445</v>
      </c>
      <c r="AF195" s="9"/>
      <c r="AG195" s="21">
        <v>0.83160400000000001</v>
      </c>
      <c r="AH195" s="21">
        <v>19.691400000000002</v>
      </c>
      <c r="AI195" s="21">
        <v>-1.43555E-2</v>
      </c>
      <c r="AJ195" s="21">
        <v>185</v>
      </c>
      <c r="AK195" s="21">
        <v>0.83099400000000001</v>
      </c>
      <c r="AL195">
        <f t="shared" si="30"/>
        <v>17.722839506172836</v>
      </c>
      <c r="AM195">
        <f t="shared" si="31"/>
        <v>14.738384224691355</v>
      </c>
      <c r="AP195" s="9"/>
      <c r="AQ195" s="21">
        <v>0.83847000000000005</v>
      </c>
      <c r="AR195" s="21">
        <v>25.184899999999999</v>
      </c>
      <c r="AS195" s="21">
        <v>-1.44165E-2</v>
      </c>
      <c r="AT195" s="21">
        <v>185</v>
      </c>
      <c r="AU195" s="21">
        <v>0.83770800000000001</v>
      </c>
      <c r="AV195">
        <f t="shared" si="32"/>
        <v>17.798148148148147</v>
      </c>
      <c r="AW195">
        <f t="shared" si="33"/>
        <v>14.923213277777778</v>
      </c>
      <c r="AX195" s="9"/>
      <c r="AY195" s="21">
        <v>0.83160400000000001</v>
      </c>
      <c r="AZ195" s="21">
        <v>28.9437</v>
      </c>
      <c r="BA195" s="21">
        <v>-1.44043E-2</v>
      </c>
      <c r="BB195" s="21">
        <v>185</v>
      </c>
      <c r="BC195" s="21">
        <v>0.83038299999999998</v>
      </c>
      <c r="BD195">
        <f t="shared" si="34"/>
        <v>17.783086419753086</v>
      </c>
      <c r="BE195">
        <f t="shared" si="35"/>
        <v>14.788485799012346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0.83343500000000004</v>
      </c>
      <c r="H196" s="21">
        <v>4.7464899999999997</v>
      </c>
      <c r="I196" s="21">
        <v>-1.45355E-2</v>
      </c>
      <c r="J196" s="21">
        <v>186</v>
      </c>
      <c r="K196" s="21">
        <v>0.83313000000000004</v>
      </c>
      <c r="L196">
        <f t="shared" si="24"/>
        <v>17.945061728395061</v>
      </c>
      <c r="M196">
        <f t="shared" si="25"/>
        <v>14.956042521604939</v>
      </c>
      <c r="N196" s="9"/>
      <c r="O196" s="21">
        <v>0.83663900000000002</v>
      </c>
      <c r="P196" s="21">
        <v>8.5052500000000002</v>
      </c>
      <c r="Q196" s="21">
        <v>-1.44989E-2</v>
      </c>
      <c r="R196" s="21">
        <v>186</v>
      </c>
      <c r="S196" s="21">
        <v>0.83587599999999995</v>
      </c>
      <c r="T196">
        <f t="shared" si="26"/>
        <v>17.899876543209874</v>
      </c>
      <c r="U196">
        <f t="shared" si="27"/>
        <v>14.975734811234567</v>
      </c>
      <c r="X196" s="9"/>
      <c r="Y196" s="21">
        <v>0.83343500000000004</v>
      </c>
      <c r="Z196" s="21">
        <v>15.9427</v>
      </c>
      <c r="AA196" s="21">
        <v>-1.4367700000000001E-2</v>
      </c>
      <c r="AB196" s="21">
        <v>186</v>
      </c>
      <c r="AC196" s="21">
        <v>0.83313000000000004</v>
      </c>
      <c r="AD196">
        <f t="shared" si="28"/>
        <v>17.7379012345679</v>
      </c>
      <c r="AE196">
        <f t="shared" si="29"/>
        <v>14.783387715432099</v>
      </c>
      <c r="AF196" s="9"/>
      <c r="AG196" s="21">
        <v>0.83663900000000002</v>
      </c>
      <c r="AH196" s="21">
        <v>19.701499999999999</v>
      </c>
      <c r="AI196" s="21">
        <v>-1.43524E-2</v>
      </c>
      <c r="AJ196" s="21">
        <v>186</v>
      </c>
      <c r="AK196" s="21">
        <v>0.83648699999999998</v>
      </c>
      <c r="AL196">
        <f t="shared" si="30"/>
        <v>17.719012345679008</v>
      </c>
      <c r="AM196">
        <f t="shared" si="31"/>
        <v>14.824416769876541</v>
      </c>
      <c r="AP196" s="9"/>
      <c r="AQ196" s="21">
        <v>0.83343500000000004</v>
      </c>
      <c r="AR196" s="21">
        <v>25.195</v>
      </c>
      <c r="AS196" s="21">
        <v>-1.44104E-2</v>
      </c>
      <c r="AT196" s="21">
        <v>186</v>
      </c>
      <c r="AU196" s="21">
        <v>0.83282500000000004</v>
      </c>
      <c r="AV196">
        <f t="shared" si="32"/>
        <v>17.790617283950617</v>
      </c>
      <c r="AW196">
        <f t="shared" si="33"/>
        <v>14.827323116049383</v>
      </c>
      <c r="AX196" s="9"/>
      <c r="AY196" s="21">
        <v>0.83663900000000002</v>
      </c>
      <c r="AZ196" s="21">
        <v>28.953700000000001</v>
      </c>
      <c r="BA196" s="21">
        <v>-1.43982E-2</v>
      </c>
      <c r="BB196" s="21">
        <v>186</v>
      </c>
      <c r="BC196" s="21">
        <v>0.83557099999999995</v>
      </c>
      <c r="BD196">
        <f t="shared" si="34"/>
        <v>17.775555555555556</v>
      </c>
      <c r="BE196">
        <f t="shared" si="35"/>
        <v>14.871723024444446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0.82840000000000003</v>
      </c>
      <c r="H197" s="21">
        <v>4.7565600000000003</v>
      </c>
      <c r="I197" s="21">
        <v>-1.45416E-2</v>
      </c>
      <c r="J197" s="21">
        <v>187</v>
      </c>
      <c r="K197" s="21">
        <v>0.82794199999999996</v>
      </c>
      <c r="L197">
        <f t="shared" si="24"/>
        <v>17.952592592592595</v>
      </c>
      <c r="M197">
        <f t="shared" si="25"/>
        <v>14.871927703703706</v>
      </c>
      <c r="N197" s="9"/>
      <c r="O197" s="21">
        <v>0.84167499999999995</v>
      </c>
      <c r="P197" s="21">
        <v>8.5153199999999991</v>
      </c>
      <c r="Q197" s="21">
        <v>-1.44989E-2</v>
      </c>
      <c r="R197" s="21">
        <v>187</v>
      </c>
      <c r="S197" s="21">
        <v>0.84075900000000003</v>
      </c>
      <c r="T197">
        <f t="shared" si="26"/>
        <v>17.899876543209874</v>
      </c>
      <c r="U197">
        <f t="shared" si="27"/>
        <v>15.06587858950617</v>
      </c>
      <c r="X197" s="9"/>
      <c r="Y197" s="21">
        <v>0.82840000000000003</v>
      </c>
      <c r="Z197" s="21">
        <v>15.9528</v>
      </c>
      <c r="AA197" s="21">
        <v>-1.4367700000000001E-2</v>
      </c>
      <c r="AB197" s="21">
        <v>187</v>
      </c>
      <c r="AC197" s="21">
        <v>0.82794199999999996</v>
      </c>
      <c r="AD197">
        <f t="shared" si="28"/>
        <v>17.7379012345679</v>
      </c>
      <c r="AE197">
        <f t="shared" si="29"/>
        <v>14.694077382716049</v>
      </c>
      <c r="AF197" s="9"/>
      <c r="AG197" s="21">
        <v>0.84167499999999995</v>
      </c>
      <c r="AH197" s="21">
        <v>19.711600000000001</v>
      </c>
      <c r="AI197" s="21">
        <v>-1.43555E-2</v>
      </c>
      <c r="AJ197" s="21">
        <v>187</v>
      </c>
      <c r="AK197" s="21">
        <v>0.84075900000000003</v>
      </c>
      <c r="AL197">
        <f t="shared" si="30"/>
        <v>17.722839506172836</v>
      </c>
      <c r="AM197">
        <f t="shared" si="31"/>
        <v>14.91687094135802</v>
      </c>
      <c r="AP197" s="9"/>
      <c r="AQ197" s="21">
        <v>0.82840000000000003</v>
      </c>
      <c r="AR197" s="21">
        <v>25.204999999999998</v>
      </c>
      <c r="AS197" s="21">
        <v>-1.43982E-2</v>
      </c>
      <c r="AT197" s="21">
        <v>187</v>
      </c>
      <c r="AU197" s="21">
        <v>0.82733199999999996</v>
      </c>
      <c r="AV197">
        <f t="shared" si="32"/>
        <v>17.775555555555556</v>
      </c>
      <c r="AW197">
        <f t="shared" si="33"/>
        <v>14.725270222222223</v>
      </c>
      <c r="AX197" s="9"/>
      <c r="AY197" s="21">
        <v>0.84167499999999995</v>
      </c>
      <c r="AZ197" s="21">
        <v>28.963799999999999</v>
      </c>
      <c r="BA197" s="21">
        <v>-1.4395099999999999E-2</v>
      </c>
      <c r="BB197" s="21">
        <v>187</v>
      </c>
      <c r="BC197" s="21">
        <v>0.84075900000000003</v>
      </c>
      <c r="BD197">
        <f t="shared" si="34"/>
        <v>17.771728395061729</v>
      </c>
      <c r="BE197">
        <f t="shared" si="35"/>
        <v>14.958019496913579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0.82336399999999998</v>
      </c>
      <c r="H198" s="21">
        <v>4.7666300000000001</v>
      </c>
      <c r="I198" s="21">
        <v>-1.45355E-2</v>
      </c>
      <c r="J198" s="21">
        <v>188</v>
      </c>
      <c r="K198" s="21">
        <v>0.82305899999999999</v>
      </c>
      <c r="L198">
        <f t="shared" si="24"/>
        <v>17.945061728395061</v>
      </c>
      <c r="M198">
        <f t="shared" si="25"/>
        <v>14.77531780493827</v>
      </c>
      <c r="N198" s="9"/>
      <c r="O198" s="21">
        <v>0.84670999999999996</v>
      </c>
      <c r="P198" s="21">
        <v>8.5253899999999998</v>
      </c>
      <c r="Q198" s="21">
        <v>-1.44806E-2</v>
      </c>
      <c r="R198" s="21">
        <v>188</v>
      </c>
      <c r="S198" s="21">
        <v>0.845642</v>
      </c>
      <c r="T198">
        <f t="shared" si="26"/>
        <v>17.877283950617283</v>
      </c>
      <c r="U198">
        <f t="shared" si="27"/>
        <v>15.136875093827159</v>
      </c>
      <c r="X198" s="9"/>
      <c r="Y198" s="21">
        <v>0.82336399999999998</v>
      </c>
      <c r="Z198" s="21">
        <v>15.962899999999999</v>
      </c>
      <c r="AA198" s="21">
        <v>-1.43585E-2</v>
      </c>
      <c r="AB198" s="21">
        <v>188</v>
      </c>
      <c r="AC198" s="21">
        <v>0.82275399999999999</v>
      </c>
      <c r="AD198">
        <f t="shared" si="28"/>
        <v>17.726543209876542</v>
      </c>
      <c r="AE198">
        <f t="shared" si="29"/>
        <v>14.595397523456789</v>
      </c>
      <c r="AF198" s="9"/>
      <c r="AG198" s="21">
        <v>0.84670999999999996</v>
      </c>
      <c r="AH198" s="21">
        <v>19.721599999999999</v>
      </c>
      <c r="AI198" s="21">
        <v>-1.43433E-2</v>
      </c>
      <c r="AJ198" s="21">
        <v>188</v>
      </c>
      <c r="AK198" s="21">
        <v>0.846252</v>
      </c>
      <c r="AL198">
        <f t="shared" si="30"/>
        <v>17.707777777777778</v>
      </c>
      <c r="AM198">
        <f t="shared" si="31"/>
        <v>14.993352522222223</v>
      </c>
      <c r="AP198" s="9"/>
      <c r="AQ198" s="21">
        <v>0.82336399999999998</v>
      </c>
      <c r="AR198" s="21">
        <v>25.2151</v>
      </c>
      <c r="AS198" s="21">
        <v>-1.4395099999999999E-2</v>
      </c>
      <c r="AT198" s="21">
        <v>188</v>
      </c>
      <c r="AU198" s="21">
        <v>0.82244899999999999</v>
      </c>
      <c r="AV198">
        <f t="shared" si="32"/>
        <v>17.771728395061729</v>
      </c>
      <c r="AW198">
        <f t="shared" si="33"/>
        <v>14.632601378271605</v>
      </c>
      <c r="AX198" s="9"/>
      <c r="AY198" s="21">
        <v>0.84670999999999996</v>
      </c>
      <c r="AZ198" s="21">
        <v>28.9739</v>
      </c>
      <c r="BA198" s="21">
        <v>-1.4385999999999999E-2</v>
      </c>
      <c r="BB198" s="21">
        <v>188</v>
      </c>
      <c r="BC198" s="21">
        <v>0.845947</v>
      </c>
      <c r="BD198">
        <f t="shared" si="34"/>
        <v>17.760493827160492</v>
      </c>
      <c r="BE198">
        <f t="shared" si="35"/>
        <v>15.037987728395059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0.81832899999999997</v>
      </c>
      <c r="H199" s="21">
        <v>4.7766999999999999</v>
      </c>
      <c r="I199" s="21">
        <v>-1.45386E-2</v>
      </c>
      <c r="J199" s="21">
        <v>189</v>
      </c>
      <c r="K199" s="21">
        <v>0.81726100000000002</v>
      </c>
      <c r="L199">
        <f t="shared" si="24"/>
        <v>17.948888888888888</v>
      </c>
      <c r="M199">
        <f t="shared" si="25"/>
        <v>14.688096295555555</v>
      </c>
      <c r="N199" s="9"/>
      <c r="O199" s="21">
        <v>0.851746</v>
      </c>
      <c r="P199" s="21">
        <v>8.5354600000000005</v>
      </c>
      <c r="Q199" s="21">
        <v>-1.4471400000000001E-2</v>
      </c>
      <c r="R199" s="21">
        <v>189</v>
      </c>
      <c r="S199" s="21">
        <v>0.851746</v>
      </c>
      <c r="T199">
        <f t="shared" si="26"/>
        <v>17.865925925925925</v>
      </c>
      <c r="U199">
        <f t="shared" si="27"/>
        <v>15.217230943703703</v>
      </c>
      <c r="X199" s="9"/>
      <c r="Y199" s="21">
        <v>0.81832899999999997</v>
      </c>
      <c r="Z199" s="21">
        <v>15.973000000000001</v>
      </c>
      <c r="AA199" s="21">
        <v>-1.43585E-2</v>
      </c>
      <c r="AB199" s="21">
        <v>189</v>
      </c>
      <c r="AC199" s="21">
        <v>0.81756600000000001</v>
      </c>
      <c r="AD199">
        <f t="shared" si="28"/>
        <v>17.726543209876542</v>
      </c>
      <c r="AE199">
        <f t="shared" si="29"/>
        <v>14.50614437839506</v>
      </c>
      <c r="AF199" s="9"/>
      <c r="AG199" s="21">
        <v>0.851746</v>
      </c>
      <c r="AH199" s="21">
        <v>19.7317</v>
      </c>
      <c r="AI199" s="21">
        <v>-1.4334100000000001E-2</v>
      </c>
      <c r="AJ199" s="21">
        <v>189</v>
      </c>
      <c r="AK199" s="21">
        <v>0.85082999999999998</v>
      </c>
      <c r="AL199">
        <f t="shared" si="30"/>
        <v>17.69641975308642</v>
      </c>
      <c r="AM199">
        <f t="shared" si="31"/>
        <v>15.072854739012346</v>
      </c>
      <c r="AP199" s="9"/>
      <c r="AQ199" s="21">
        <v>0.81832899999999997</v>
      </c>
      <c r="AR199" s="21">
        <v>25.225200000000001</v>
      </c>
      <c r="AS199" s="21">
        <v>-1.44073E-2</v>
      </c>
      <c r="AT199" s="21">
        <v>189</v>
      </c>
      <c r="AU199" s="21">
        <v>0.81726100000000002</v>
      </c>
      <c r="AV199">
        <f t="shared" si="32"/>
        <v>17.78679012345679</v>
      </c>
      <c r="AW199">
        <f t="shared" si="33"/>
        <v>14.55544617493827</v>
      </c>
      <c r="AX199" s="9"/>
      <c r="AY199" s="21">
        <v>0.851746</v>
      </c>
      <c r="AZ199" s="21">
        <v>28.983899999999998</v>
      </c>
      <c r="BA199" s="21">
        <v>-1.43768E-2</v>
      </c>
      <c r="BB199" s="21">
        <v>189</v>
      </c>
      <c r="BC199" s="21">
        <v>0.85082999999999998</v>
      </c>
      <c r="BD199">
        <f t="shared" si="34"/>
        <v>17.749135802469137</v>
      </c>
      <c r="BE199">
        <f t="shared" si="35"/>
        <v>15.117755423209879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0.81329300000000004</v>
      </c>
      <c r="H200" s="21">
        <v>4.7867699999999997</v>
      </c>
      <c r="I200" s="21">
        <v>-1.45386E-2</v>
      </c>
      <c r="J200" s="21">
        <v>190</v>
      </c>
      <c r="K200" s="21">
        <v>0.81268300000000004</v>
      </c>
      <c r="L200">
        <f t="shared" si="24"/>
        <v>17.948888888888888</v>
      </c>
      <c r="M200">
        <f t="shared" si="25"/>
        <v>14.597705691111111</v>
      </c>
      <c r="N200" s="9"/>
      <c r="O200" s="21">
        <v>0.85678100000000001</v>
      </c>
      <c r="P200" s="21">
        <v>8.5455400000000008</v>
      </c>
      <c r="Q200" s="21">
        <v>-1.4462300000000001E-2</v>
      </c>
      <c r="R200" s="21">
        <v>190</v>
      </c>
      <c r="S200" s="21">
        <v>0.85632299999999995</v>
      </c>
      <c r="T200">
        <f t="shared" si="26"/>
        <v>17.854691358024692</v>
      </c>
      <c r="U200">
        <f t="shared" si="27"/>
        <v>15.297560316419753</v>
      </c>
      <c r="X200" s="9"/>
      <c r="Y200" s="21">
        <v>0.81329300000000004</v>
      </c>
      <c r="Z200" s="21">
        <v>15.983000000000001</v>
      </c>
      <c r="AA200" s="21">
        <v>-1.4373800000000001E-2</v>
      </c>
      <c r="AB200" s="21">
        <v>190</v>
      </c>
      <c r="AC200" s="21">
        <v>0.81237800000000004</v>
      </c>
      <c r="AD200">
        <f t="shared" si="28"/>
        <v>17.745432098765431</v>
      </c>
      <c r="AE200">
        <f t="shared" si="29"/>
        <v>14.432235707901235</v>
      </c>
      <c r="AF200" s="9"/>
      <c r="AG200" s="21">
        <v>0.85678100000000001</v>
      </c>
      <c r="AH200" s="21">
        <v>19.741800000000001</v>
      </c>
      <c r="AI200" s="21">
        <v>-1.4324999999999999E-2</v>
      </c>
      <c r="AJ200" s="21">
        <v>190</v>
      </c>
      <c r="AK200" s="21">
        <v>0.85632299999999995</v>
      </c>
      <c r="AL200">
        <f t="shared" si="30"/>
        <v>17.685185185185183</v>
      </c>
      <c r="AM200">
        <f t="shared" si="31"/>
        <v>15.152330648148148</v>
      </c>
      <c r="AP200" s="9"/>
      <c r="AQ200" s="21">
        <v>0.81329300000000004</v>
      </c>
      <c r="AR200" s="21">
        <v>25.235299999999999</v>
      </c>
      <c r="AS200" s="21">
        <v>-1.4419599999999999E-2</v>
      </c>
      <c r="AT200" s="21">
        <v>190</v>
      </c>
      <c r="AU200" s="21">
        <v>0.81268300000000004</v>
      </c>
      <c r="AV200">
        <f t="shared" si="32"/>
        <v>17.801975308641975</v>
      </c>
      <c r="AW200">
        <f t="shared" si="33"/>
        <v>14.478221904691358</v>
      </c>
      <c r="AX200" s="9"/>
      <c r="AY200" s="21">
        <v>0.85678100000000001</v>
      </c>
      <c r="AZ200" s="21">
        <v>28.994</v>
      </c>
      <c r="BA200" s="21">
        <v>-1.43707E-2</v>
      </c>
      <c r="BB200" s="21">
        <v>190</v>
      </c>
      <c r="BC200" s="21">
        <v>0.85571299999999995</v>
      </c>
      <c r="BD200">
        <f t="shared" si="34"/>
        <v>17.741604938271603</v>
      </c>
      <c r="BE200">
        <f t="shared" si="35"/>
        <v>15.200670020617283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0.80825800000000003</v>
      </c>
      <c r="H201" s="21">
        <v>4.7968400000000004</v>
      </c>
      <c r="I201" s="21">
        <v>-1.45325E-2</v>
      </c>
      <c r="J201" s="21">
        <v>191</v>
      </c>
      <c r="K201" s="21">
        <v>0.80779999999999996</v>
      </c>
      <c r="L201">
        <f t="shared" si="24"/>
        <v>17.941358024691358</v>
      </c>
      <c r="M201">
        <f t="shared" si="25"/>
        <v>14.501246154320988</v>
      </c>
      <c r="N201" s="9"/>
      <c r="O201" s="21">
        <v>0.86181600000000003</v>
      </c>
      <c r="P201" s="21">
        <v>8.5556099999999997</v>
      </c>
      <c r="Q201" s="21">
        <v>-1.44501E-2</v>
      </c>
      <c r="R201" s="21">
        <v>191</v>
      </c>
      <c r="S201" s="21">
        <v>0.86090100000000003</v>
      </c>
      <c r="T201">
        <f t="shared" si="26"/>
        <v>17.839629629629631</v>
      </c>
      <c r="U201">
        <f t="shared" si="27"/>
        <v>15.37447824888889</v>
      </c>
      <c r="X201" s="9"/>
      <c r="Y201" s="21">
        <v>0.80825800000000003</v>
      </c>
      <c r="Z201" s="21">
        <v>15.9931</v>
      </c>
      <c r="AA201" s="21">
        <v>-1.4385999999999999E-2</v>
      </c>
      <c r="AB201" s="21">
        <v>191</v>
      </c>
      <c r="AC201" s="21">
        <v>0.80718999999999996</v>
      </c>
      <c r="AD201">
        <f t="shared" si="28"/>
        <v>17.760493827160492</v>
      </c>
      <c r="AE201">
        <f t="shared" si="29"/>
        <v>14.355061219753084</v>
      </c>
      <c r="AF201" s="9"/>
      <c r="AG201" s="21">
        <v>0.86181600000000003</v>
      </c>
      <c r="AH201" s="21">
        <v>19.751899999999999</v>
      </c>
      <c r="AI201" s="21">
        <v>-1.4331099999999999E-2</v>
      </c>
      <c r="AJ201" s="21">
        <v>191</v>
      </c>
      <c r="AK201" s="21">
        <v>0.86090100000000003</v>
      </c>
      <c r="AL201">
        <f t="shared" si="30"/>
        <v>17.692716049382714</v>
      </c>
      <c r="AM201">
        <f t="shared" si="31"/>
        <v>15.247865774814814</v>
      </c>
      <c r="AP201" s="9"/>
      <c r="AQ201" s="21">
        <v>0.80825800000000003</v>
      </c>
      <c r="AR201" s="21">
        <v>25.2453</v>
      </c>
      <c r="AS201" s="21">
        <v>-1.4444E-2</v>
      </c>
      <c r="AT201" s="21">
        <v>191</v>
      </c>
      <c r="AU201" s="21">
        <v>0.80779999999999996</v>
      </c>
      <c r="AV201">
        <f t="shared" si="32"/>
        <v>17.832098765432097</v>
      </c>
      <c r="AW201">
        <f t="shared" si="33"/>
        <v>14.412936483950617</v>
      </c>
      <c r="AX201" s="9"/>
      <c r="AY201" s="21">
        <v>0.86181600000000003</v>
      </c>
      <c r="AZ201" s="21">
        <v>29.004100000000001</v>
      </c>
      <c r="BA201" s="21">
        <v>-1.43646E-2</v>
      </c>
      <c r="BB201" s="21">
        <v>191</v>
      </c>
      <c r="BC201" s="21">
        <v>0.86120600000000003</v>
      </c>
      <c r="BD201">
        <f t="shared" si="34"/>
        <v>17.734074074074073</v>
      </c>
      <c r="BE201">
        <f t="shared" si="35"/>
        <v>15.283508782222222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0.80322300000000002</v>
      </c>
      <c r="H202" s="21">
        <v>4.8069100000000002</v>
      </c>
      <c r="I202" s="21">
        <v>-1.45386E-2</v>
      </c>
      <c r="J202" s="21">
        <v>192</v>
      </c>
      <c r="K202" s="21">
        <v>0.80261199999999999</v>
      </c>
      <c r="L202">
        <f t="shared" si="24"/>
        <v>17.948888888888888</v>
      </c>
      <c r="M202">
        <f t="shared" si="25"/>
        <v>14.416960379999999</v>
      </c>
      <c r="N202" s="9"/>
      <c r="O202" s="21">
        <v>0.86685199999999996</v>
      </c>
      <c r="P202" s="21">
        <v>8.5656800000000004</v>
      </c>
      <c r="Q202" s="21">
        <v>-1.4444E-2</v>
      </c>
      <c r="R202" s="21">
        <v>192</v>
      </c>
      <c r="S202" s="21">
        <v>0.865479</v>
      </c>
      <c r="T202">
        <f t="shared" si="26"/>
        <v>17.832098765432097</v>
      </c>
      <c r="U202">
        <f t="shared" si="27"/>
        <v>15.457790479012344</v>
      </c>
      <c r="X202" s="9"/>
      <c r="Y202" s="21">
        <v>0.80322300000000002</v>
      </c>
      <c r="Z202" s="21">
        <v>16.0032</v>
      </c>
      <c r="AA202" s="21">
        <v>-1.4389000000000001E-2</v>
      </c>
      <c r="AB202" s="21">
        <v>192</v>
      </c>
      <c r="AC202" s="21">
        <v>0.80261199999999999</v>
      </c>
      <c r="AD202">
        <f t="shared" si="28"/>
        <v>17.764197530864198</v>
      </c>
      <c r="AE202">
        <f t="shared" si="29"/>
        <v>14.268612033333333</v>
      </c>
      <c r="AF202" s="9"/>
      <c r="AG202" s="21">
        <v>0.86685199999999996</v>
      </c>
      <c r="AH202" s="21">
        <v>19.761900000000001</v>
      </c>
      <c r="AI202" s="21">
        <v>-1.4328E-2</v>
      </c>
      <c r="AJ202" s="21">
        <v>192</v>
      </c>
      <c r="AK202" s="21">
        <v>0.866089</v>
      </c>
      <c r="AL202">
        <f t="shared" si="30"/>
        <v>17.68888888888889</v>
      </c>
      <c r="AM202">
        <f t="shared" si="31"/>
        <v>15.333648711111111</v>
      </c>
      <c r="AP202" s="9"/>
      <c r="AQ202" s="21">
        <v>0.80322300000000002</v>
      </c>
      <c r="AR202" s="21">
        <v>25.255400000000002</v>
      </c>
      <c r="AS202" s="21">
        <v>-1.44531E-2</v>
      </c>
      <c r="AT202" s="21">
        <v>192</v>
      </c>
      <c r="AU202" s="21">
        <v>0.80291699999999999</v>
      </c>
      <c r="AV202">
        <f t="shared" si="32"/>
        <v>17.843333333333334</v>
      </c>
      <c r="AW202">
        <f t="shared" si="33"/>
        <v>14.332175730000001</v>
      </c>
      <c r="AX202" s="9"/>
      <c r="AY202" s="21">
        <v>0.86685199999999996</v>
      </c>
      <c r="AZ202" s="21">
        <v>29.014199999999999</v>
      </c>
      <c r="BA202" s="21">
        <v>-1.43646E-2</v>
      </c>
      <c r="BB202" s="21">
        <v>192</v>
      </c>
      <c r="BC202" s="21">
        <v>0.866089</v>
      </c>
      <c r="BD202">
        <f t="shared" si="34"/>
        <v>17.734074074074073</v>
      </c>
      <c r="BE202">
        <f t="shared" si="35"/>
        <v>15.372817579259257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0.79818699999999998</v>
      </c>
      <c r="H203" s="21">
        <v>4.81698</v>
      </c>
      <c r="I203" s="21">
        <v>-1.4563E-2</v>
      </c>
      <c r="J203" s="21">
        <v>193</v>
      </c>
      <c r="K203" s="21">
        <v>0.79772900000000002</v>
      </c>
      <c r="L203">
        <f t="shared" si="24"/>
        <v>17.979012345679013</v>
      </c>
      <c r="M203">
        <f t="shared" si="25"/>
        <v>14.350613927160495</v>
      </c>
      <c r="N203" s="9"/>
      <c r="O203" s="21">
        <v>0.87188699999999997</v>
      </c>
      <c r="P203" s="21">
        <v>8.5757499999999993</v>
      </c>
      <c r="Q203" s="21">
        <v>-1.4447E-2</v>
      </c>
      <c r="R203" s="21">
        <v>193</v>
      </c>
      <c r="S203" s="21">
        <v>0.87127699999999997</v>
      </c>
      <c r="T203">
        <f t="shared" si="26"/>
        <v>17.8358024691358</v>
      </c>
      <c r="U203">
        <f t="shared" si="27"/>
        <v>15.550804307407404</v>
      </c>
      <c r="X203" s="9"/>
      <c r="Y203" s="21">
        <v>0.79818699999999998</v>
      </c>
      <c r="Z203" s="21">
        <v>16.013200000000001</v>
      </c>
      <c r="AA203" s="21">
        <v>-1.43921E-2</v>
      </c>
      <c r="AB203" s="21">
        <v>193</v>
      </c>
      <c r="AC203" s="21">
        <v>0.79742400000000002</v>
      </c>
      <c r="AD203">
        <f t="shared" si="28"/>
        <v>17.768024691358022</v>
      </c>
      <c r="AE203">
        <f t="shared" si="29"/>
        <v>14.182206324320985</v>
      </c>
      <c r="AF203" s="9"/>
      <c r="AG203" s="21">
        <v>0.87188699999999997</v>
      </c>
      <c r="AH203" s="21">
        <v>19.771999999999998</v>
      </c>
      <c r="AI203" s="21">
        <v>-1.4324999999999999E-2</v>
      </c>
      <c r="AJ203" s="21">
        <v>193</v>
      </c>
      <c r="AK203" s="21">
        <v>0.87097199999999997</v>
      </c>
      <c r="AL203">
        <f t="shared" si="30"/>
        <v>17.685185185185183</v>
      </c>
      <c r="AM203">
        <f t="shared" si="31"/>
        <v>15.419483055555553</v>
      </c>
      <c r="AP203" s="9"/>
      <c r="AQ203" s="21">
        <v>0.79818699999999998</v>
      </c>
      <c r="AR203" s="21">
        <v>25.265499999999999</v>
      </c>
      <c r="AS203" s="21">
        <v>-1.44592E-2</v>
      </c>
      <c r="AT203" s="21">
        <v>193</v>
      </c>
      <c r="AU203" s="21">
        <v>0.79711900000000002</v>
      </c>
      <c r="AV203">
        <f t="shared" si="32"/>
        <v>17.850864197530864</v>
      </c>
      <c r="AW203">
        <f t="shared" si="33"/>
        <v>14.248327741234567</v>
      </c>
      <c r="AX203" s="9"/>
      <c r="AY203" s="21">
        <v>0.87188699999999997</v>
      </c>
      <c r="AZ203" s="21">
        <v>29.0242</v>
      </c>
      <c r="BA203" s="21">
        <v>-1.43707E-2</v>
      </c>
      <c r="BB203" s="21">
        <v>193</v>
      </c>
      <c r="BC203" s="21">
        <v>0.87127699999999997</v>
      </c>
      <c r="BD203">
        <f t="shared" si="34"/>
        <v>17.741604938271603</v>
      </c>
      <c r="BE203">
        <f t="shared" si="35"/>
        <v>15.468674704814813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0.79315199999999997</v>
      </c>
      <c r="H204" s="21">
        <v>4.8270499999999998</v>
      </c>
      <c r="I204" s="21">
        <v>-1.4563E-2</v>
      </c>
      <c r="J204" s="21">
        <v>194</v>
      </c>
      <c r="K204" s="21">
        <v>0.79193100000000005</v>
      </c>
      <c r="L204">
        <f t="shared" ref="L204:L267" si="36">-I204/$F$2*1000</f>
        <v>17.979012345679013</v>
      </c>
      <c r="M204">
        <f t="shared" ref="M204:M267" si="37">L204*G204</f>
        <v>14.260089600000001</v>
      </c>
      <c r="N204" s="9"/>
      <c r="O204" s="21">
        <v>0.87692300000000001</v>
      </c>
      <c r="P204" s="21">
        <v>8.58582</v>
      </c>
      <c r="Q204" s="21">
        <v>-1.44501E-2</v>
      </c>
      <c r="R204" s="21">
        <v>194</v>
      </c>
      <c r="S204" s="21">
        <v>0.87585400000000002</v>
      </c>
      <c r="T204">
        <f t="shared" ref="T204:T267" si="38">-Q204/$F$2*1000</f>
        <v>17.839629629629631</v>
      </c>
      <c r="U204">
        <f t="shared" ref="U204:U267" si="39">T204*O204</f>
        <v>15.643981533703705</v>
      </c>
      <c r="X204" s="9"/>
      <c r="Y204" s="21">
        <v>0.79315199999999997</v>
      </c>
      <c r="Z204" s="21">
        <v>16.023299999999999</v>
      </c>
      <c r="AA204" s="21">
        <v>-1.43921E-2</v>
      </c>
      <c r="AB204" s="21">
        <v>194</v>
      </c>
      <c r="AC204" s="21">
        <v>0.79284699999999997</v>
      </c>
      <c r="AD204">
        <f t="shared" ref="AD204:AD267" si="40">-AA204/$F$2*1000</f>
        <v>17.768024691358022</v>
      </c>
      <c r="AE204">
        <f t="shared" ref="AE204:AE267" si="41">AD204*Y204</f>
        <v>14.092744319999998</v>
      </c>
      <c r="AF204" s="9"/>
      <c r="AG204" s="21">
        <v>0.87692300000000001</v>
      </c>
      <c r="AH204" s="21">
        <v>19.7821</v>
      </c>
      <c r="AI204" s="21">
        <v>-1.4328E-2</v>
      </c>
      <c r="AJ204" s="21">
        <v>194</v>
      </c>
      <c r="AK204" s="21">
        <v>0.87616000000000005</v>
      </c>
      <c r="AL204">
        <f t="shared" ref="AL204:AL267" si="42">-AI204/$F$2*1000</f>
        <v>17.68888888888889</v>
      </c>
      <c r="AM204">
        <f t="shared" ref="AM204:AM267" si="43">AL204*AG204</f>
        <v>15.511793511111112</v>
      </c>
      <c r="AP204" s="9"/>
      <c r="AQ204" s="21">
        <v>0.79315199999999997</v>
      </c>
      <c r="AR204" s="21">
        <v>25.275500000000001</v>
      </c>
      <c r="AS204" s="21">
        <v>-1.44531E-2</v>
      </c>
      <c r="AT204" s="21">
        <v>194</v>
      </c>
      <c r="AU204" s="21">
        <v>0.79254199999999997</v>
      </c>
      <c r="AV204">
        <f t="shared" ref="AV204:AV267" si="44">-AS204/$F$2*1000</f>
        <v>17.843333333333334</v>
      </c>
      <c r="AW204">
        <f t="shared" ref="AW204:AW267" si="45">AV204*AQ204</f>
        <v>14.152475519999999</v>
      </c>
      <c r="AX204" s="9"/>
      <c r="AY204" s="21">
        <v>0.87692300000000001</v>
      </c>
      <c r="AZ204" s="21">
        <v>29.034300000000002</v>
      </c>
      <c r="BA204" s="21">
        <v>-1.4379899999999999E-2</v>
      </c>
      <c r="BB204" s="21">
        <v>194</v>
      </c>
      <c r="BC204" s="21">
        <v>0.87616000000000005</v>
      </c>
      <c r="BD204">
        <f t="shared" ref="BD204:BD267" si="46">-BA204/$F$2*1000</f>
        <v>17.752962962962961</v>
      </c>
      <c r="BE204">
        <f t="shared" ref="BE204:BE267" si="47">BD204*AY204</f>
        <v>15.567981540370369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0.78811600000000004</v>
      </c>
      <c r="H205" s="21">
        <v>4.8371199999999996</v>
      </c>
      <c r="I205" s="21">
        <v>-1.4559900000000001E-2</v>
      </c>
      <c r="J205" s="21">
        <v>195</v>
      </c>
      <c r="K205" s="21">
        <v>0.78704799999999997</v>
      </c>
      <c r="L205">
        <f t="shared" si="36"/>
        <v>17.975185185185186</v>
      </c>
      <c r="M205">
        <f t="shared" si="37"/>
        <v>14.166531047407409</v>
      </c>
      <c r="N205" s="9"/>
      <c r="O205" s="21">
        <v>0.88195800000000002</v>
      </c>
      <c r="P205" s="21">
        <v>8.5958900000000007</v>
      </c>
      <c r="Q205" s="21">
        <v>-1.44531E-2</v>
      </c>
      <c r="R205" s="21">
        <v>195</v>
      </c>
      <c r="S205" s="21">
        <v>0.88104199999999999</v>
      </c>
      <c r="T205">
        <f t="shared" si="38"/>
        <v>17.843333333333334</v>
      </c>
      <c r="U205">
        <f t="shared" si="39"/>
        <v>15.737070580000001</v>
      </c>
      <c r="X205" s="9"/>
      <c r="Y205" s="21">
        <v>0.78811600000000004</v>
      </c>
      <c r="Z205" s="21">
        <v>16.0334</v>
      </c>
      <c r="AA205" s="21">
        <v>-1.43921E-2</v>
      </c>
      <c r="AB205" s="21">
        <v>195</v>
      </c>
      <c r="AC205" s="21">
        <v>0.787354</v>
      </c>
      <c r="AD205">
        <f t="shared" si="40"/>
        <v>17.768024691358022</v>
      </c>
      <c r="AE205">
        <f t="shared" si="41"/>
        <v>14.00326454765432</v>
      </c>
      <c r="AF205" s="9"/>
      <c r="AG205" s="21">
        <v>0.88195800000000002</v>
      </c>
      <c r="AH205" s="21">
        <v>19.792100000000001</v>
      </c>
      <c r="AI205" s="21">
        <v>-1.43188E-2</v>
      </c>
      <c r="AJ205" s="21">
        <v>195</v>
      </c>
      <c r="AK205" s="21">
        <v>0.88165300000000002</v>
      </c>
      <c r="AL205">
        <f t="shared" si="42"/>
        <v>17.677530864197529</v>
      </c>
      <c r="AM205">
        <f t="shared" si="43"/>
        <v>15.590839765925924</v>
      </c>
      <c r="AP205" s="9"/>
      <c r="AQ205" s="21">
        <v>0.78811600000000004</v>
      </c>
      <c r="AR205" s="21">
        <v>25.285599999999999</v>
      </c>
      <c r="AS205" s="21">
        <v>-1.44409E-2</v>
      </c>
      <c r="AT205" s="21">
        <v>195</v>
      </c>
      <c r="AU205" s="21">
        <v>0.787659</v>
      </c>
      <c r="AV205">
        <f t="shared" si="44"/>
        <v>17.828271604938269</v>
      </c>
      <c r="AW205">
        <f t="shared" si="45"/>
        <v>14.050746104197529</v>
      </c>
      <c r="AX205" s="9"/>
      <c r="AY205" s="21">
        <v>0.88195800000000002</v>
      </c>
      <c r="AZ205" s="21">
        <v>29.0444</v>
      </c>
      <c r="BA205" s="21">
        <v>-1.4373800000000001E-2</v>
      </c>
      <c r="BB205" s="21">
        <v>195</v>
      </c>
      <c r="BC205" s="21">
        <v>0.88104199999999999</v>
      </c>
      <c r="BD205">
        <f t="shared" si="46"/>
        <v>17.745432098765431</v>
      </c>
      <c r="BE205">
        <f t="shared" si="47"/>
        <v>15.650725802962961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0.78308100000000003</v>
      </c>
      <c r="H206" s="21">
        <v>4.8472</v>
      </c>
      <c r="I206" s="21">
        <v>-1.4572099999999999E-2</v>
      </c>
      <c r="J206" s="21">
        <v>196</v>
      </c>
      <c r="K206" s="21">
        <v>0.78216600000000003</v>
      </c>
      <c r="L206">
        <f t="shared" si="36"/>
        <v>17.990246913580243</v>
      </c>
      <c r="M206">
        <f t="shared" si="37"/>
        <v>14.087820543333331</v>
      </c>
      <c r="N206" s="9"/>
      <c r="O206" s="21">
        <v>0.88699300000000003</v>
      </c>
      <c r="P206" s="21">
        <v>8.6059599999999996</v>
      </c>
      <c r="Q206" s="21">
        <v>-1.4462300000000001E-2</v>
      </c>
      <c r="R206" s="21">
        <v>196</v>
      </c>
      <c r="S206" s="21">
        <v>0.88653599999999999</v>
      </c>
      <c r="T206">
        <f t="shared" si="38"/>
        <v>17.854691358024692</v>
      </c>
      <c r="U206">
        <f t="shared" si="39"/>
        <v>15.836986251728396</v>
      </c>
      <c r="X206" s="9"/>
      <c r="Y206" s="21">
        <v>0.78308100000000003</v>
      </c>
      <c r="Z206" s="21">
        <v>16.043500000000002</v>
      </c>
      <c r="AA206" s="21">
        <v>-1.43921E-2</v>
      </c>
      <c r="AB206" s="21">
        <v>196</v>
      </c>
      <c r="AC206" s="21">
        <v>0.78186</v>
      </c>
      <c r="AD206">
        <f t="shared" si="40"/>
        <v>17.768024691358022</v>
      </c>
      <c r="AE206">
        <f t="shared" si="41"/>
        <v>13.913802543333333</v>
      </c>
      <c r="AF206" s="9"/>
      <c r="AG206" s="21">
        <v>0.88699300000000003</v>
      </c>
      <c r="AH206" s="21">
        <v>19.802199999999999</v>
      </c>
      <c r="AI206" s="21">
        <v>-1.43219E-2</v>
      </c>
      <c r="AJ206" s="21">
        <v>196</v>
      </c>
      <c r="AK206" s="21">
        <v>0.88653599999999999</v>
      </c>
      <c r="AL206">
        <f t="shared" si="42"/>
        <v>17.68135802469136</v>
      </c>
      <c r="AM206">
        <f t="shared" si="43"/>
        <v>15.683240798395063</v>
      </c>
      <c r="AP206" s="9"/>
      <c r="AQ206" s="21">
        <v>0.78308100000000003</v>
      </c>
      <c r="AR206" s="21">
        <v>25.2957</v>
      </c>
      <c r="AS206" s="21">
        <v>-1.44409E-2</v>
      </c>
      <c r="AT206" s="21">
        <v>196</v>
      </c>
      <c r="AU206" s="21">
        <v>0.78277600000000003</v>
      </c>
      <c r="AV206">
        <f t="shared" si="44"/>
        <v>17.828271604938269</v>
      </c>
      <c r="AW206">
        <f t="shared" si="45"/>
        <v>13.960980756666665</v>
      </c>
      <c r="AX206" s="9"/>
      <c r="AY206" s="21">
        <v>0.88699300000000003</v>
      </c>
      <c r="AZ206" s="21">
        <v>29.054400000000001</v>
      </c>
      <c r="BA206" s="21">
        <v>-1.43707E-2</v>
      </c>
      <c r="BB206" s="21">
        <v>196</v>
      </c>
      <c r="BC206" s="21">
        <v>0.88561999999999996</v>
      </c>
      <c r="BD206">
        <f t="shared" si="46"/>
        <v>17.741604938271603</v>
      </c>
      <c r="BE206">
        <f t="shared" si="47"/>
        <v>15.736679389012345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0.77804600000000002</v>
      </c>
      <c r="H207" s="21">
        <v>4.8572699999999998</v>
      </c>
      <c r="I207" s="21">
        <v>-1.4590499999999999E-2</v>
      </c>
      <c r="J207" s="21">
        <v>197</v>
      </c>
      <c r="K207" s="21">
        <v>0.77728299999999995</v>
      </c>
      <c r="L207">
        <f t="shared" si="36"/>
        <v>18.012962962962959</v>
      </c>
      <c r="M207">
        <f t="shared" si="37"/>
        <v>14.014913781481479</v>
      </c>
      <c r="N207" s="9"/>
      <c r="O207" s="21">
        <v>0.89202899999999996</v>
      </c>
      <c r="P207" s="21">
        <v>8.6160300000000003</v>
      </c>
      <c r="Q207" s="21">
        <v>-1.44592E-2</v>
      </c>
      <c r="R207" s="21">
        <v>197</v>
      </c>
      <c r="S207" s="21">
        <v>0.89111300000000004</v>
      </c>
      <c r="T207">
        <f t="shared" si="38"/>
        <v>17.850864197530864</v>
      </c>
      <c r="U207">
        <f t="shared" si="39"/>
        <v>15.923488539259258</v>
      </c>
      <c r="X207" s="9"/>
      <c r="Y207" s="21">
        <v>0.77804600000000002</v>
      </c>
      <c r="Z207" s="21">
        <v>16.0535</v>
      </c>
      <c r="AA207" s="21">
        <v>-1.4401199999999999E-2</v>
      </c>
      <c r="AB207" s="21">
        <v>197</v>
      </c>
      <c r="AC207" s="21">
        <v>0.77758799999999995</v>
      </c>
      <c r="AD207">
        <f t="shared" si="40"/>
        <v>17.779259259259259</v>
      </c>
      <c r="AE207">
        <f t="shared" si="41"/>
        <v>13.833081549629631</v>
      </c>
      <c r="AF207" s="9"/>
      <c r="AG207" s="21">
        <v>0.89202899999999996</v>
      </c>
      <c r="AH207" s="21">
        <v>19.8123</v>
      </c>
      <c r="AI207" s="21">
        <v>-1.4328E-2</v>
      </c>
      <c r="AJ207" s="21">
        <v>197</v>
      </c>
      <c r="AK207" s="21">
        <v>0.89172399999999996</v>
      </c>
      <c r="AL207">
        <f t="shared" si="42"/>
        <v>17.68888888888889</v>
      </c>
      <c r="AM207">
        <f t="shared" si="43"/>
        <v>15.779001866666666</v>
      </c>
      <c r="AP207" s="9"/>
      <c r="AQ207" s="21">
        <v>0.77804600000000002</v>
      </c>
      <c r="AR207" s="21">
        <v>25.305800000000001</v>
      </c>
      <c r="AS207" s="21">
        <v>-1.44379E-2</v>
      </c>
      <c r="AT207" s="21">
        <v>197</v>
      </c>
      <c r="AU207" s="21">
        <v>0.77758799999999995</v>
      </c>
      <c r="AV207">
        <f t="shared" si="44"/>
        <v>17.824567901234566</v>
      </c>
      <c r="AW207">
        <f t="shared" si="45"/>
        <v>13.868333757283949</v>
      </c>
      <c r="AX207" s="9"/>
      <c r="AY207" s="21">
        <v>0.89202899999999996</v>
      </c>
      <c r="AZ207" s="21">
        <v>29.064499999999999</v>
      </c>
      <c r="BA207" s="21">
        <v>-1.4367700000000001E-2</v>
      </c>
      <c r="BB207" s="21">
        <v>197</v>
      </c>
      <c r="BC207" s="21">
        <v>0.89111300000000004</v>
      </c>
      <c r="BD207">
        <f t="shared" si="46"/>
        <v>17.7379012345679</v>
      </c>
      <c r="BE207">
        <f t="shared" si="47"/>
        <v>15.822722300370369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0.77300999999999997</v>
      </c>
      <c r="H208" s="21">
        <v>4.8673400000000004</v>
      </c>
      <c r="I208" s="21">
        <v>-1.45966E-2</v>
      </c>
      <c r="J208" s="21">
        <v>198</v>
      </c>
      <c r="K208" s="21">
        <v>0.77209499999999998</v>
      </c>
      <c r="L208">
        <f t="shared" si="36"/>
        <v>18.020493827160493</v>
      </c>
      <c r="M208">
        <f t="shared" si="37"/>
        <v>13.930021933333332</v>
      </c>
      <c r="N208" s="9"/>
      <c r="O208" s="21">
        <v>0.89706399999999997</v>
      </c>
      <c r="P208" s="21">
        <v>8.6260999999999992</v>
      </c>
      <c r="Q208" s="21">
        <v>-1.4462300000000001E-2</v>
      </c>
      <c r="R208" s="21">
        <v>198</v>
      </c>
      <c r="S208" s="21">
        <v>0.89660600000000001</v>
      </c>
      <c r="T208">
        <f t="shared" si="38"/>
        <v>17.854691358024692</v>
      </c>
      <c r="U208">
        <f t="shared" si="39"/>
        <v>16.016800848395061</v>
      </c>
      <c r="X208" s="9"/>
      <c r="Y208" s="21">
        <v>0.77300999999999997</v>
      </c>
      <c r="Z208" s="21">
        <v>16.063600000000001</v>
      </c>
      <c r="AA208" s="21">
        <v>-1.4401199999999999E-2</v>
      </c>
      <c r="AB208" s="21">
        <v>198</v>
      </c>
      <c r="AC208" s="21">
        <v>0.77239999999999998</v>
      </c>
      <c r="AD208">
        <f t="shared" si="40"/>
        <v>17.779259259259259</v>
      </c>
      <c r="AE208">
        <f t="shared" si="41"/>
        <v>13.7435452</v>
      </c>
      <c r="AF208" s="9"/>
      <c r="AG208" s="21">
        <v>0.89706399999999997</v>
      </c>
      <c r="AH208" s="21">
        <v>19.822399999999998</v>
      </c>
      <c r="AI208" s="21">
        <v>-1.43372E-2</v>
      </c>
      <c r="AJ208" s="21">
        <v>198</v>
      </c>
      <c r="AK208" s="21">
        <v>0.89691200000000004</v>
      </c>
      <c r="AL208">
        <f t="shared" si="42"/>
        <v>17.700246913580244</v>
      </c>
      <c r="AM208">
        <f t="shared" si="43"/>
        <v>15.878254297283947</v>
      </c>
      <c r="AP208" s="9"/>
      <c r="AQ208" s="21">
        <v>0.77300999999999997</v>
      </c>
      <c r="AR208" s="21">
        <v>25.315799999999999</v>
      </c>
      <c r="AS208" s="21">
        <v>-1.4434799999999999E-2</v>
      </c>
      <c r="AT208" s="21">
        <v>198</v>
      </c>
      <c r="AU208" s="21">
        <v>0.77239999999999998</v>
      </c>
      <c r="AV208">
        <f t="shared" si="44"/>
        <v>17.820740740740739</v>
      </c>
      <c r="AW208">
        <f t="shared" si="45"/>
        <v>13.775610799999997</v>
      </c>
      <c r="AX208" s="9"/>
      <c r="AY208" s="21">
        <v>0.89706399999999997</v>
      </c>
      <c r="AZ208" s="21">
        <v>29.0746</v>
      </c>
      <c r="BA208" s="21">
        <v>-1.4379899999999999E-2</v>
      </c>
      <c r="BB208" s="21">
        <v>198</v>
      </c>
      <c r="BC208" s="21">
        <v>0.89660600000000001</v>
      </c>
      <c r="BD208">
        <f t="shared" si="46"/>
        <v>17.752962962962961</v>
      </c>
      <c r="BE208">
        <f t="shared" si="47"/>
        <v>15.925543967407405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0.76797499999999996</v>
      </c>
      <c r="H209" s="21">
        <v>4.8774100000000002</v>
      </c>
      <c r="I209" s="21">
        <v>-1.4599600000000001E-2</v>
      </c>
      <c r="J209" s="21">
        <v>199</v>
      </c>
      <c r="K209" s="21">
        <v>0.767822</v>
      </c>
      <c r="L209">
        <f t="shared" si="36"/>
        <v>18.0241975308642</v>
      </c>
      <c r="M209">
        <f t="shared" si="37"/>
        <v>13.842133098765434</v>
      </c>
      <c r="N209" s="9"/>
      <c r="O209" s="21">
        <v>0.90210000000000001</v>
      </c>
      <c r="P209" s="21">
        <v>8.6361699999999999</v>
      </c>
      <c r="Q209" s="21">
        <v>-1.4462300000000001E-2</v>
      </c>
      <c r="R209" s="21">
        <v>199</v>
      </c>
      <c r="S209" s="21">
        <v>0.90179399999999998</v>
      </c>
      <c r="T209">
        <f t="shared" si="38"/>
        <v>17.854691358024692</v>
      </c>
      <c r="U209">
        <f t="shared" si="39"/>
        <v>16.106717074074073</v>
      </c>
      <c r="X209" s="9"/>
      <c r="Y209" s="21">
        <v>0.76797499999999996</v>
      </c>
      <c r="Z209" s="21">
        <v>16.073699999999999</v>
      </c>
      <c r="AA209" s="21">
        <v>-1.43982E-2</v>
      </c>
      <c r="AB209" s="21">
        <v>199</v>
      </c>
      <c r="AC209" s="21">
        <v>0.76721200000000001</v>
      </c>
      <c r="AD209">
        <f t="shared" si="40"/>
        <v>17.775555555555556</v>
      </c>
      <c r="AE209">
        <f t="shared" si="41"/>
        <v>13.651182277777778</v>
      </c>
      <c r="AF209" s="9"/>
      <c r="AG209" s="21">
        <v>0.90210000000000001</v>
      </c>
      <c r="AH209" s="21">
        <v>19.8324</v>
      </c>
      <c r="AI209" s="21">
        <v>-1.4324999999999999E-2</v>
      </c>
      <c r="AJ209" s="21">
        <v>199</v>
      </c>
      <c r="AK209" s="21">
        <v>0.90179399999999998</v>
      </c>
      <c r="AL209">
        <f t="shared" si="42"/>
        <v>17.685185185185183</v>
      </c>
      <c r="AM209">
        <f t="shared" si="43"/>
        <v>15.953805555555554</v>
      </c>
      <c r="AP209" s="9"/>
      <c r="AQ209" s="21">
        <v>0.76797499999999996</v>
      </c>
      <c r="AR209" s="21">
        <v>25.325900000000001</v>
      </c>
      <c r="AS209" s="21">
        <v>-1.4428699999999999E-2</v>
      </c>
      <c r="AT209" s="21">
        <v>199</v>
      </c>
      <c r="AU209" s="21">
        <v>0.76690700000000001</v>
      </c>
      <c r="AV209">
        <f t="shared" si="44"/>
        <v>17.813209876543205</v>
      </c>
      <c r="AW209">
        <f t="shared" si="45"/>
        <v>13.680099854938266</v>
      </c>
      <c r="AX209" s="9"/>
      <c r="AY209" s="21">
        <v>0.90210000000000001</v>
      </c>
      <c r="AZ209" s="21">
        <v>29.084700000000002</v>
      </c>
      <c r="BA209" s="21">
        <v>-1.4395099999999999E-2</v>
      </c>
      <c r="BB209" s="21">
        <v>199</v>
      </c>
      <c r="BC209" s="21">
        <v>0.90179399999999998</v>
      </c>
      <c r="BD209">
        <f t="shared" si="46"/>
        <v>17.771728395061729</v>
      </c>
      <c r="BE209">
        <f t="shared" si="47"/>
        <v>16.031876185185187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0.76293900000000003</v>
      </c>
      <c r="H210" s="21">
        <v>4.88748</v>
      </c>
      <c r="I210" s="21">
        <v>-1.46027E-2</v>
      </c>
      <c r="J210" s="21">
        <v>200</v>
      </c>
      <c r="K210" s="21">
        <v>0.76232900000000003</v>
      </c>
      <c r="L210">
        <f t="shared" si="36"/>
        <v>18.028024691358024</v>
      </c>
      <c r="M210">
        <f t="shared" si="37"/>
        <v>13.754283129999999</v>
      </c>
      <c r="N210" s="9"/>
      <c r="O210" s="21">
        <v>0.90713500000000002</v>
      </c>
      <c r="P210" s="21">
        <v>8.6462500000000002</v>
      </c>
      <c r="Q210" s="21">
        <v>-1.44653E-2</v>
      </c>
      <c r="R210" s="21">
        <v>200</v>
      </c>
      <c r="S210" s="21">
        <v>0.90576199999999996</v>
      </c>
      <c r="T210">
        <f t="shared" si="38"/>
        <v>17.858395061728395</v>
      </c>
      <c r="U210">
        <f t="shared" si="39"/>
        <v>16.199975204320989</v>
      </c>
      <c r="X210" s="9"/>
      <c r="Y210" s="21">
        <v>0.76293900000000003</v>
      </c>
      <c r="Z210" s="21">
        <v>16.0837</v>
      </c>
      <c r="AA210" s="21">
        <v>-1.44043E-2</v>
      </c>
      <c r="AB210" s="21">
        <v>200</v>
      </c>
      <c r="AC210" s="21">
        <v>0.76202400000000003</v>
      </c>
      <c r="AD210">
        <f t="shared" si="40"/>
        <v>17.783086419753086</v>
      </c>
      <c r="AE210">
        <f t="shared" si="41"/>
        <v>13.56741017</v>
      </c>
      <c r="AF210" s="9"/>
      <c r="AG210" s="21">
        <v>0.90713500000000002</v>
      </c>
      <c r="AH210" s="21">
        <v>19.842500000000001</v>
      </c>
      <c r="AI210" s="21">
        <v>-1.43097E-2</v>
      </c>
      <c r="AJ210" s="21">
        <v>200</v>
      </c>
      <c r="AK210" s="21">
        <v>0.90606699999999996</v>
      </c>
      <c r="AL210">
        <f t="shared" si="42"/>
        <v>17.666296296296295</v>
      </c>
      <c r="AM210">
        <f t="shared" si="43"/>
        <v>16.025715690740739</v>
      </c>
      <c r="AP210" s="9"/>
      <c r="AQ210" s="21">
        <v>0.76293900000000003</v>
      </c>
      <c r="AR210" s="21">
        <v>25.335999999999999</v>
      </c>
      <c r="AS210" s="21">
        <v>-1.44379E-2</v>
      </c>
      <c r="AT210" s="21">
        <v>200</v>
      </c>
      <c r="AU210" s="21">
        <v>0.76232900000000003</v>
      </c>
      <c r="AV210">
        <f t="shared" si="44"/>
        <v>17.824567901234566</v>
      </c>
      <c r="AW210">
        <f t="shared" si="45"/>
        <v>13.599058009999998</v>
      </c>
      <c r="AX210" s="9"/>
      <c r="AY210" s="21">
        <v>0.90713500000000002</v>
      </c>
      <c r="AZ210" s="21">
        <v>29.0947</v>
      </c>
      <c r="BA210" s="21">
        <v>-1.43921E-2</v>
      </c>
      <c r="BB210" s="21">
        <v>200</v>
      </c>
      <c r="BC210" s="21">
        <v>0.90606699999999996</v>
      </c>
      <c r="BD210">
        <f t="shared" si="46"/>
        <v>17.768024691358022</v>
      </c>
      <c r="BE210">
        <f t="shared" si="47"/>
        <v>16.11799707839506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0.75790400000000002</v>
      </c>
      <c r="H211" s="21">
        <v>4.8975499999999998</v>
      </c>
      <c r="I211" s="21">
        <v>-1.4611799999999999E-2</v>
      </c>
      <c r="J211" s="21">
        <v>201</v>
      </c>
      <c r="K211" s="21">
        <v>0.75714099999999995</v>
      </c>
      <c r="L211">
        <f t="shared" si="36"/>
        <v>18.039259259259257</v>
      </c>
      <c r="M211">
        <f t="shared" si="37"/>
        <v>13.672026749629628</v>
      </c>
      <c r="N211" s="9"/>
      <c r="O211" s="21">
        <v>0.91217000000000004</v>
      </c>
      <c r="P211" s="21">
        <v>8.6563199999999991</v>
      </c>
      <c r="Q211" s="21">
        <v>-1.44653E-2</v>
      </c>
      <c r="R211" s="21">
        <v>201</v>
      </c>
      <c r="S211" s="21">
        <v>0.91125500000000004</v>
      </c>
      <c r="T211">
        <f t="shared" si="38"/>
        <v>17.858395061728395</v>
      </c>
      <c r="U211">
        <f t="shared" si="39"/>
        <v>16.289892223456789</v>
      </c>
      <c r="X211" s="9"/>
      <c r="Y211" s="21">
        <v>0.75790400000000002</v>
      </c>
      <c r="Z211" s="21">
        <v>16.093800000000002</v>
      </c>
      <c r="AA211" s="21">
        <v>-1.44073E-2</v>
      </c>
      <c r="AB211" s="21">
        <v>201</v>
      </c>
      <c r="AC211" s="21">
        <v>0.75714099999999995</v>
      </c>
      <c r="AD211">
        <f t="shared" si="40"/>
        <v>17.78679012345679</v>
      </c>
      <c r="AE211">
        <f t="shared" si="41"/>
        <v>13.480679381728395</v>
      </c>
      <c r="AF211" s="9"/>
      <c r="AG211" s="21">
        <v>0.91217000000000004</v>
      </c>
      <c r="AH211" s="21">
        <v>19.852599999999999</v>
      </c>
      <c r="AI211" s="21">
        <v>-1.4300500000000001E-2</v>
      </c>
      <c r="AJ211" s="21">
        <v>201</v>
      </c>
      <c r="AK211" s="21">
        <v>0.91125500000000004</v>
      </c>
      <c r="AL211">
        <f t="shared" si="42"/>
        <v>17.654938271604937</v>
      </c>
      <c r="AM211">
        <f t="shared" si="43"/>
        <v>16.104305043209877</v>
      </c>
      <c r="AP211" s="9"/>
      <c r="AQ211" s="21">
        <v>0.75790400000000002</v>
      </c>
      <c r="AR211" s="21">
        <v>25.346</v>
      </c>
      <c r="AS211" s="21">
        <v>-1.4447E-2</v>
      </c>
      <c r="AT211" s="21">
        <v>201</v>
      </c>
      <c r="AU211" s="21">
        <v>0.75714099999999995</v>
      </c>
      <c r="AV211">
        <f t="shared" si="44"/>
        <v>17.8358024691358</v>
      </c>
      <c r="AW211">
        <f t="shared" si="45"/>
        <v>13.5178260345679</v>
      </c>
      <c r="AX211" s="9"/>
      <c r="AY211" s="21">
        <v>0.91217000000000004</v>
      </c>
      <c r="AZ211" s="21">
        <v>29.104800000000001</v>
      </c>
      <c r="BA211" s="21">
        <v>-1.4395099999999999E-2</v>
      </c>
      <c r="BB211" s="21">
        <v>201</v>
      </c>
      <c r="BC211" s="21">
        <v>0.91125500000000004</v>
      </c>
      <c r="BD211">
        <f t="shared" si="46"/>
        <v>17.771728395061729</v>
      </c>
      <c r="BE211">
        <f t="shared" si="47"/>
        <v>16.210837490123456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0.75286900000000001</v>
      </c>
      <c r="H212" s="21">
        <v>4.9076199999999996</v>
      </c>
      <c r="I212" s="21">
        <v>-1.4611799999999999E-2</v>
      </c>
      <c r="J212" s="21">
        <v>202</v>
      </c>
      <c r="K212" s="21">
        <v>0.75195299999999998</v>
      </c>
      <c r="L212">
        <f t="shared" si="36"/>
        <v>18.039259259259257</v>
      </c>
      <c r="M212">
        <f t="shared" si="37"/>
        <v>13.581199079259259</v>
      </c>
      <c r="N212" s="9"/>
      <c r="O212" s="21">
        <v>0.91720599999999997</v>
      </c>
      <c r="P212" s="21">
        <v>8.6663899999999998</v>
      </c>
      <c r="Q212" s="21">
        <v>-1.44531E-2</v>
      </c>
      <c r="R212" s="21">
        <v>202</v>
      </c>
      <c r="S212" s="21">
        <v>0.91674800000000001</v>
      </c>
      <c r="T212">
        <f t="shared" si="38"/>
        <v>17.843333333333334</v>
      </c>
      <c r="U212">
        <f t="shared" si="39"/>
        <v>16.366012393333332</v>
      </c>
      <c r="X212" s="9"/>
      <c r="Y212" s="21">
        <v>0.75286900000000001</v>
      </c>
      <c r="Z212" s="21">
        <v>16.103899999999999</v>
      </c>
      <c r="AA212" s="21">
        <v>-1.4419599999999999E-2</v>
      </c>
      <c r="AB212" s="21">
        <v>202</v>
      </c>
      <c r="AC212" s="21">
        <v>0.75195299999999998</v>
      </c>
      <c r="AD212">
        <f t="shared" si="40"/>
        <v>17.801975308641975</v>
      </c>
      <c r="AE212">
        <f t="shared" si="41"/>
        <v>13.402555348641975</v>
      </c>
      <c r="AF212" s="9"/>
      <c r="AG212" s="21">
        <v>0.91720599999999997</v>
      </c>
      <c r="AH212" s="21">
        <v>19.8626</v>
      </c>
      <c r="AI212" s="21">
        <v>-1.4291399999999999E-2</v>
      </c>
      <c r="AJ212" s="21">
        <v>202</v>
      </c>
      <c r="AK212" s="21">
        <v>0.91613800000000001</v>
      </c>
      <c r="AL212">
        <f t="shared" si="42"/>
        <v>17.643703703703704</v>
      </c>
      <c r="AM212">
        <f t="shared" si="43"/>
        <v>16.182910899259259</v>
      </c>
      <c r="AP212" s="9"/>
      <c r="AQ212" s="21">
        <v>0.75286900000000001</v>
      </c>
      <c r="AR212" s="21">
        <v>25.356100000000001</v>
      </c>
      <c r="AS212" s="21">
        <v>-1.4447E-2</v>
      </c>
      <c r="AT212" s="21">
        <v>202</v>
      </c>
      <c r="AU212" s="21">
        <v>0.75134299999999998</v>
      </c>
      <c r="AV212">
        <f t="shared" si="44"/>
        <v>17.8358024691358</v>
      </c>
      <c r="AW212">
        <f t="shared" si="45"/>
        <v>13.428022769135801</v>
      </c>
      <c r="AX212" s="9"/>
      <c r="AY212" s="21">
        <v>0.91720599999999997</v>
      </c>
      <c r="AZ212" s="21">
        <v>29.114899999999999</v>
      </c>
      <c r="BA212" s="21">
        <v>-1.4395099999999999E-2</v>
      </c>
      <c r="BB212" s="21">
        <v>202</v>
      </c>
      <c r="BC212" s="21">
        <v>0.91583300000000001</v>
      </c>
      <c r="BD212">
        <f t="shared" si="46"/>
        <v>17.771728395061729</v>
      </c>
      <c r="BE212">
        <f t="shared" si="47"/>
        <v>16.300335914320986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0.74783299999999997</v>
      </c>
      <c r="H213" s="21">
        <v>4.9176900000000003</v>
      </c>
      <c r="I213" s="21">
        <v>-1.4611799999999999E-2</v>
      </c>
      <c r="J213" s="21">
        <v>203</v>
      </c>
      <c r="K213" s="21">
        <v>0.74725299999999995</v>
      </c>
      <c r="L213">
        <f t="shared" si="36"/>
        <v>18.039259259259257</v>
      </c>
      <c r="M213">
        <f t="shared" si="37"/>
        <v>13.490353369629627</v>
      </c>
      <c r="N213" s="9"/>
      <c r="O213" s="21">
        <v>0.92224099999999998</v>
      </c>
      <c r="P213" s="21">
        <v>8.6764600000000005</v>
      </c>
      <c r="Q213" s="21">
        <v>-1.4444E-2</v>
      </c>
      <c r="R213" s="21">
        <v>203</v>
      </c>
      <c r="S213" s="21">
        <v>0.92132599999999998</v>
      </c>
      <c r="T213">
        <f t="shared" si="38"/>
        <v>17.832098765432097</v>
      </c>
      <c r="U213">
        <f t="shared" si="39"/>
        <v>16.445492597530862</v>
      </c>
      <c r="X213" s="9"/>
      <c r="Y213" s="21">
        <v>0.74783299999999997</v>
      </c>
      <c r="Z213" s="21">
        <v>16.113900000000001</v>
      </c>
      <c r="AA213" s="21">
        <v>-1.4434799999999999E-2</v>
      </c>
      <c r="AB213" s="21">
        <v>203</v>
      </c>
      <c r="AC213" s="21">
        <v>0.74713099999999999</v>
      </c>
      <c r="AD213">
        <f t="shared" si="40"/>
        <v>17.820740740740739</v>
      </c>
      <c r="AE213">
        <f t="shared" si="41"/>
        <v>13.326938010370368</v>
      </c>
      <c r="AF213" s="9"/>
      <c r="AG213" s="21">
        <v>0.92224099999999998</v>
      </c>
      <c r="AH213" s="21">
        <v>19.872699999999998</v>
      </c>
      <c r="AI213" s="21">
        <v>-1.42822E-2</v>
      </c>
      <c r="AJ213" s="21">
        <v>203</v>
      </c>
      <c r="AK213" s="21">
        <v>0.92102099999999998</v>
      </c>
      <c r="AL213">
        <f t="shared" si="42"/>
        <v>17.632345679012342</v>
      </c>
      <c r="AM213">
        <f t="shared" si="43"/>
        <v>16.261272111358021</v>
      </c>
      <c r="AP213" s="9"/>
      <c r="AQ213" s="21">
        <v>0.74783299999999997</v>
      </c>
      <c r="AR213" s="21">
        <v>25.366199999999999</v>
      </c>
      <c r="AS213" s="21">
        <v>-1.4447E-2</v>
      </c>
      <c r="AT213" s="21">
        <v>203</v>
      </c>
      <c r="AU213" s="21">
        <v>0.74719199999999997</v>
      </c>
      <c r="AV213">
        <f t="shared" si="44"/>
        <v>17.8358024691358</v>
      </c>
      <c r="AW213">
        <f t="shared" si="45"/>
        <v>13.338201667901233</v>
      </c>
      <c r="AX213" s="9"/>
      <c r="AY213" s="21">
        <v>0.92224099999999998</v>
      </c>
      <c r="AZ213" s="21">
        <v>29.1249</v>
      </c>
      <c r="BA213" s="21">
        <v>-1.43982E-2</v>
      </c>
      <c r="BB213" s="21">
        <v>203</v>
      </c>
      <c r="BC213" s="21">
        <v>0.92102099999999998</v>
      </c>
      <c r="BD213">
        <f t="shared" si="46"/>
        <v>17.775555555555556</v>
      </c>
      <c r="BE213">
        <f t="shared" si="47"/>
        <v>16.393346131111112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0.74279799999999996</v>
      </c>
      <c r="H214" s="21">
        <v>4.9277600000000001</v>
      </c>
      <c r="I214" s="21">
        <v>-1.4621E-2</v>
      </c>
      <c r="J214" s="21">
        <v>204</v>
      </c>
      <c r="K214" s="21">
        <v>0.74224900000000005</v>
      </c>
      <c r="L214">
        <f t="shared" si="36"/>
        <v>18.050617283950618</v>
      </c>
      <c r="M214">
        <f t="shared" si="37"/>
        <v>13.407962417283951</v>
      </c>
      <c r="N214" s="9"/>
      <c r="O214" s="21">
        <v>0.92727700000000002</v>
      </c>
      <c r="P214" s="21">
        <v>8.6865299999999994</v>
      </c>
      <c r="Q214" s="21">
        <v>-1.4434799999999999E-2</v>
      </c>
      <c r="R214" s="21">
        <v>204</v>
      </c>
      <c r="S214" s="21">
        <v>0.92620800000000003</v>
      </c>
      <c r="T214">
        <f t="shared" si="38"/>
        <v>17.820740740740739</v>
      </c>
      <c r="U214">
        <f t="shared" si="39"/>
        <v>16.524763011851849</v>
      </c>
      <c r="X214" s="9"/>
      <c r="Y214" s="21">
        <v>0.74279799999999996</v>
      </c>
      <c r="Z214" s="21">
        <v>16.123999999999999</v>
      </c>
      <c r="AA214" s="21">
        <v>-1.44379E-2</v>
      </c>
      <c r="AB214" s="21">
        <v>204</v>
      </c>
      <c r="AC214" s="21">
        <v>0.74224900000000005</v>
      </c>
      <c r="AD214">
        <f t="shared" si="40"/>
        <v>17.824567901234566</v>
      </c>
      <c r="AE214">
        <f t="shared" si="41"/>
        <v>13.240053387901233</v>
      </c>
      <c r="AF214" s="9"/>
      <c r="AG214" s="21">
        <v>0.92727700000000002</v>
      </c>
      <c r="AH214" s="21">
        <v>19.8828</v>
      </c>
      <c r="AI214" s="21">
        <v>-1.42883E-2</v>
      </c>
      <c r="AJ214" s="21">
        <v>204</v>
      </c>
      <c r="AK214" s="21">
        <v>0.92651399999999995</v>
      </c>
      <c r="AL214">
        <f t="shared" si="42"/>
        <v>17.639876543209876</v>
      </c>
      <c r="AM214">
        <f t="shared" si="43"/>
        <v>16.357051801358026</v>
      </c>
      <c r="AP214" s="9"/>
      <c r="AQ214" s="21">
        <v>0.74279799999999996</v>
      </c>
      <c r="AR214" s="21">
        <v>25.376200000000001</v>
      </c>
      <c r="AS214" s="21">
        <v>-1.44501E-2</v>
      </c>
      <c r="AT214" s="21">
        <v>204</v>
      </c>
      <c r="AU214" s="21">
        <v>0.74218799999999996</v>
      </c>
      <c r="AV214">
        <f t="shared" si="44"/>
        <v>17.839629629629631</v>
      </c>
      <c r="AW214">
        <f t="shared" si="45"/>
        <v>13.251241209629629</v>
      </c>
      <c r="AX214" s="9"/>
      <c r="AY214" s="21">
        <v>0.92727700000000002</v>
      </c>
      <c r="AZ214" s="21">
        <v>29.135000000000002</v>
      </c>
      <c r="BA214" s="21">
        <v>-1.44073E-2</v>
      </c>
      <c r="BB214" s="21">
        <v>204</v>
      </c>
      <c r="BC214" s="21">
        <v>0.92651399999999995</v>
      </c>
      <c r="BD214">
        <f t="shared" si="46"/>
        <v>17.78679012345679</v>
      </c>
      <c r="BE214">
        <f t="shared" si="47"/>
        <v>16.493281385308642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0.73776200000000003</v>
      </c>
      <c r="H215" s="21">
        <v>4.9378299999999999</v>
      </c>
      <c r="I215" s="21">
        <v>-1.46179E-2</v>
      </c>
      <c r="J215" s="21">
        <v>205</v>
      </c>
      <c r="K215" s="21">
        <v>0.73712200000000005</v>
      </c>
      <c r="L215">
        <f t="shared" si="36"/>
        <v>18.046790123456791</v>
      </c>
      <c r="M215">
        <f t="shared" si="37"/>
        <v>13.314235975061729</v>
      </c>
      <c r="N215" s="9"/>
      <c r="O215" s="21">
        <v>0.93231200000000003</v>
      </c>
      <c r="P215" s="21">
        <v>8.6966000000000001</v>
      </c>
      <c r="Q215" s="21">
        <v>-1.44257E-2</v>
      </c>
      <c r="R215" s="21">
        <v>205</v>
      </c>
      <c r="S215" s="21">
        <v>0.931091</v>
      </c>
      <c r="T215">
        <f t="shared" si="38"/>
        <v>17.809506172839505</v>
      </c>
      <c r="U215">
        <f t="shared" si="39"/>
        <v>16.604016319012345</v>
      </c>
      <c r="X215" s="9"/>
      <c r="Y215" s="21">
        <v>0.73776200000000003</v>
      </c>
      <c r="Z215" s="21">
        <v>16.1341</v>
      </c>
      <c r="AA215" s="21">
        <v>-1.4447E-2</v>
      </c>
      <c r="AB215" s="21">
        <v>205</v>
      </c>
      <c r="AC215" s="21">
        <v>0.73718300000000003</v>
      </c>
      <c r="AD215">
        <f t="shared" si="40"/>
        <v>17.8358024691358</v>
      </c>
      <c r="AE215">
        <f t="shared" si="41"/>
        <v>13.158577301234567</v>
      </c>
      <c r="AF215" s="9"/>
      <c r="AG215" s="21">
        <v>0.93231200000000003</v>
      </c>
      <c r="AH215" s="21">
        <v>19.892900000000001</v>
      </c>
      <c r="AI215" s="21">
        <v>-1.4294400000000001E-2</v>
      </c>
      <c r="AJ215" s="21">
        <v>205</v>
      </c>
      <c r="AK215" s="21">
        <v>0.931396</v>
      </c>
      <c r="AL215">
        <f t="shared" si="42"/>
        <v>17.647407407407407</v>
      </c>
      <c r="AM215">
        <f t="shared" si="43"/>
        <v>16.452889694814814</v>
      </c>
      <c r="AP215" s="9"/>
      <c r="AQ215" s="21">
        <v>0.73776200000000003</v>
      </c>
      <c r="AR215" s="21">
        <v>25.386299999999999</v>
      </c>
      <c r="AS215" s="21">
        <v>-1.44531E-2</v>
      </c>
      <c r="AT215" s="21">
        <v>205</v>
      </c>
      <c r="AU215" s="21">
        <v>0.73715200000000003</v>
      </c>
      <c r="AV215">
        <f t="shared" si="44"/>
        <v>17.843333333333334</v>
      </c>
      <c r="AW215">
        <f t="shared" si="45"/>
        <v>13.164133286666667</v>
      </c>
      <c r="AX215" s="9"/>
      <c r="AY215" s="21">
        <v>0.93231200000000003</v>
      </c>
      <c r="AZ215" s="21">
        <v>29.145099999999999</v>
      </c>
      <c r="BA215" s="21">
        <v>-1.4401199999999999E-2</v>
      </c>
      <c r="BB215" s="21">
        <v>205</v>
      </c>
      <c r="BC215" s="21">
        <v>0.93170200000000003</v>
      </c>
      <c r="BD215">
        <f t="shared" si="46"/>
        <v>17.779259259259259</v>
      </c>
      <c r="BE215">
        <f t="shared" si="47"/>
        <v>16.575816758518521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0.73272700000000002</v>
      </c>
      <c r="H216" s="21">
        <v>4.9479100000000003</v>
      </c>
      <c r="I216" s="21">
        <v>-1.46088E-2</v>
      </c>
      <c r="J216" s="21">
        <v>206</v>
      </c>
      <c r="K216" s="21">
        <v>0.73214699999999999</v>
      </c>
      <c r="L216">
        <f t="shared" si="36"/>
        <v>18.035555555555554</v>
      </c>
      <c r="M216">
        <f t="shared" si="37"/>
        <v>13.215138515555555</v>
      </c>
      <c r="N216" s="9"/>
      <c r="O216" s="21">
        <v>0.93734700000000004</v>
      </c>
      <c r="P216" s="21">
        <v>8.7066700000000008</v>
      </c>
      <c r="Q216" s="21">
        <v>-1.44257E-2</v>
      </c>
      <c r="R216" s="21">
        <v>206</v>
      </c>
      <c r="S216" s="21">
        <v>0.93627899999999997</v>
      </c>
      <c r="T216">
        <f t="shared" si="38"/>
        <v>17.809506172839505</v>
      </c>
      <c r="U216">
        <f t="shared" si="39"/>
        <v>16.693687182592594</v>
      </c>
      <c r="X216" s="9"/>
      <c r="Y216" s="21">
        <v>0.73272700000000002</v>
      </c>
      <c r="Z216" s="21">
        <v>16.144200000000001</v>
      </c>
      <c r="AA216" s="21">
        <v>-1.4444E-2</v>
      </c>
      <c r="AB216" s="21">
        <v>206</v>
      </c>
      <c r="AC216" s="21">
        <v>0.73199499999999995</v>
      </c>
      <c r="AD216">
        <f t="shared" si="40"/>
        <v>17.832098765432097</v>
      </c>
      <c r="AE216">
        <f t="shared" si="41"/>
        <v>13.066060232098764</v>
      </c>
      <c r="AF216" s="9"/>
      <c r="AG216" s="21">
        <v>0.93734700000000004</v>
      </c>
      <c r="AH216" s="21">
        <v>19.902899999999999</v>
      </c>
      <c r="AI216" s="21">
        <v>-1.4291399999999999E-2</v>
      </c>
      <c r="AJ216" s="21">
        <v>206</v>
      </c>
      <c r="AK216" s="21">
        <v>0.93627899999999997</v>
      </c>
      <c r="AL216">
        <f t="shared" si="42"/>
        <v>17.643703703703704</v>
      </c>
      <c r="AM216">
        <f t="shared" si="43"/>
        <v>16.538272735555555</v>
      </c>
      <c r="AP216" s="9"/>
      <c r="AQ216" s="21">
        <v>0.73272700000000002</v>
      </c>
      <c r="AR216" s="21">
        <v>25.3964</v>
      </c>
      <c r="AS216" s="21">
        <v>-1.4456200000000001E-2</v>
      </c>
      <c r="AT216" s="21">
        <v>206</v>
      </c>
      <c r="AU216" s="21">
        <v>0.73214699999999999</v>
      </c>
      <c r="AV216">
        <f t="shared" si="44"/>
        <v>17.847160493827161</v>
      </c>
      <c r="AW216">
        <f t="shared" si="45"/>
        <v>13.077096367160495</v>
      </c>
      <c r="AX216" s="9"/>
      <c r="AY216" s="21">
        <v>0.93734700000000004</v>
      </c>
      <c r="AZ216" s="21">
        <v>29.155200000000001</v>
      </c>
      <c r="BA216" s="21">
        <v>-1.4395099999999999E-2</v>
      </c>
      <c r="BB216" s="21">
        <v>206</v>
      </c>
      <c r="BC216" s="21">
        <v>0.93627899999999997</v>
      </c>
      <c r="BD216">
        <f t="shared" si="46"/>
        <v>17.771728395061729</v>
      </c>
      <c r="BE216">
        <f t="shared" si="47"/>
        <v>16.658276295925926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0.72769200000000001</v>
      </c>
      <c r="H217" s="21">
        <v>4.9579800000000001</v>
      </c>
      <c r="I217" s="21">
        <v>-1.46027E-2</v>
      </c>
      <c r="J217" s="21">
        <v>207</v>
      </c>
      <c r="K217" s="21">
        <v>0.72711199999999998</v>
      </c>
      <c r="L217">
        <f t="shared" si="36"/>
        <v>18.028024691358024</v>
      </c>
      <c r="M217">
        <f t="shared" si="37"/>
        <v>13.118849343703703</v>
      </c>
      <c r="N217" s="9"/>
      <c r="O217" s="21">
        <v>0.94238299999999997</v>
      </c>
      <c r="P217" s="21">
        <v>8.7167399999999997</v>
      </c>
      <c r="Q217" s="21">
        <v>-1.4428699999999999E-2</v>
      </c>
      <c r="R217" s="21">
        <v>207</v>
      </c>
      <c r="S217" s="21">
        <v>0.94177200000000005</v>
      </c>
      <c r="T217">
        <f t="shared" si="38"/>
        <v>17.813209876543205</v>
      </c>
      <c r="U217">
        <f t="shared" si="39"/>
        <v>16.786866163086415</v>
      </c>
      <c r="X217" s="9"/>
      <c r="Y217" s="21">
        <v>0.72769200000000001</v>
      </c>
      <c r="Z217" s="21">
        <v>16.154199999999999</v>
      </c>
      <c r="AA217" s="21">
        <v>-1.4456200000000001E-2</v>
      </c>
      <c r="AB217" s="21">
        <v>207</v>
      </c>
      <c r="AC217" s="21">
        <v>0.72702</v>
      </c>
      <c r="AD217">
        <f t="shared" si="40"/>
        <v>17.847160493827161</v>
      </c>
      <c r="AE217">
        <f t="shared" si="41"/>
        <v>12.987235914074075</v>
      </c>
      <c r="AF217" s="9"/>
      <c r="AG217" s="21">
        <v>0.94238299999999997</v>
      </c>
      <c r="AH217" s="21">
        <v>19.913</v>
      </c>
      <c r="AI217" s="21">
        <v>-1.42883E-2</v>
      </c>
      <c r="AJ217" s="21">
        <v>207</v>
      </c>
      <c r="AK217" s="21">
        <v>0.94207799999999997</v>
      </c>
      <c r="AL217">
        <f t="shared" si="42"/>
        <v>17.639876543209876</v>
      </c>
      <c r="AM217">
        <f t="shared" si="43"/>
        <v>16.623519776419752</v>
      </c>
      <c r="AP217" s="9"/>
      <c r="AQ217" s="21">
        <v>0.72769200000000001</v>
      </c>
      <c r="AR217" s="21">
        <v>25.406500000000001</v>
      </c>
      <c r="AS217" s="21">
        <v>-1.44531E-2</v>
      </c>
      <c r="AT217" s="21">
        <v>207</v>
      </c>
      <c r="AU217" s="21">
        <v>0.72714199999999996</v>
      </c>
      <c r="AV217">
        <f t="shared" si="44"/>
        <v>17.843333333333334</v>
      </c>
      <c r="AW217">
        <f t="shared" si="45"/>
        <v>12.98445092</v>
      </c>
      <c r="AX217" s="9"/>
      <c r="AY217" s="21">
        <v>0.94238299999999997</v>
      </c>
      <c r="AZ217" s="21">
        <v>29.165199999999999</v>
      </c>
      <c r="BA217" s="21">
        <v>-1.43921E-2</v>
      </c>
      <c r="BB217" s="21">
        <v>207</v>
      </c>
      <c r="BC217" s="21">
        <v>0.94116200000000005</v>
      </c>
      <c r="BD217">
        <f t="shared" si="46"/>
        <v>17.768024691358022</v>
      </c>
      <c r="BE217">
        <f t="shared" si="47"/>
        <v>16.744284412716045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0.72265599999999997</v>
      </c>
      <c r="H218" s="21">
        <v>4.9680499999999999</v>
      </c>
      <c r="I218" s="21">
        <v>-1.46027E-2</v>
      </c>
      <c r="J218" s="21">
        <v>208</v>
      </c>
      <c r="K218" s="21">
        <v>0.72201499999999996</v>
      </c>
      <c r="L218">
        <f t="shared" si="36"/>
        <v>18.028024691358024</v>
      </c>
      <c r="M218">
        <f t="shared" si="37"/>
        <v>13.028060211358023</v>
      </c>
      <c r="N218" s="9"/>
      <c r="O218" s="21">
        <v>0.94741799999999998</v>
      </c>
      <c r="P218" s="21">
        <v>8.7268100000000004</v>
      </c>
      <c r="Q218" s="21">
        <v>-1.4428699999999999E-2</v>
      </c>
      <c r="R218" s="21">
        <v>208</v>
      </c>
      <c r="S218" s="21">
        <v>0.94696000000000002</v>
      </c>
      <c r="T218">
        <f t="shared" si="38"/>
        <v>17.813209876543205</v>
      </c>
      <c r="U218">
        <f t="shared" si="39"/>
        <v>16.87655567481481</v>
      </c>
      <c r="X218" s="9"/>
      <c r="Y218" s="21">
        <v>0.72265599999999997</v>
      </c>
      <c r="Z218" s="21">
        <v>16.164300000000001</v>
      </c>
      <c r="AA218" s="21">
        <v>-1.44653E-2</v>
      </c>
      <c r="AB218" s="21">
        <v>208</v>
      </c>
      <c r="AC218" s="21">
        <v>0.72207600000000005</v>
      </c>
      <c r="AD218">
        <f t="shared" si="40"/>
        <v>17.858395061728395</v>
      </c>
      <c r="AE218">
        <f t="shared" si="41"/>
        <v>12.905476341728393</v>
      </c>
      <c r="AF218" s="9"/>
      <c r="AG218" s="21">
        <v>0.94741799999999998</v>
      </c>
      <c r="AH218" s="21">
        <v>19.923100000000002</v>
      </c>
      <c r="AI218" s="21">
        <v>-1.42883E-2</v>
      </c>
      <c r="AJ218" s="21">
        <v>208</v>
      </c>
      <c r="AK218" s="21">
        <v>0.94696000000000002</v>
      </c>
      <c r="AL218">
        <f t="shared" si="42"/>
        <v>17.639876543209876</v>
      </c>
      <c r="AM218">
        <f t="shared" si="43"/>
        <v>16.712336554814815</v>
      </c>
      <c r="AP218" s="9"/>
      <c r="AQ218" s="21">
        <v>0.72265599999999997</v>
      </c>
      <c r="AR218" s="21">
        <v>25.416499999999999</v>
      </c>
      <c r="AS218" s="21">
        <v>-1.44531E-2</v>
      </c>
      <c r="AT218" s="21">
        <v>208</v>
      </c>
      <c r="AU218" s="21">
        <v>0.72195399999999998</v>
      </c>
      <c r="AV218">
        <f t="shared" si="44"/>
        <v>17.843333333333334</v>
      </c>
      <c r="AW218">
        <f t="shared" si="45"/>
        <v>12.894591893333333</v>
      </c>
      <c r="AX218" s="9"/>
      <c r="AY218" s="21">
        <v>0.94741799999999998</v>
      </c>
      <c r="AZ218" s="21">
        <v>29.1753</v>
      </c>
      <c r="BA218" s="21">
        <v>-1.4379899999999999E-2</v>
      </c>
      <c r="BB218" s="21">
        <v>208</v>
      </c>
      <c r="BC218" s="21">
        <v>0.94696000000000002</v>
      </c>
      <c r="BD218">
        <f t="shared" si="46"/>
        <v>17.752962962962961</v>
      </c>
      <c r="BE218">
        <f t="shared" si="47"/>
        <v>16.819476664444441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0.71762099999999995</v>
      </c>
      <c r="H219" s="21">
        <v>4.9781199999999997</v>
      </c>
      <c r="I219" s="21">
        <v>-1.4605699999999999E-2</v>
      </c>
      <c r="J219" s="21">
        <v>209</v>
      </c>
      <c r="K219" s="21">
        <v>0.71713300000000002</v>
      </c>
      <c r="L219">
        <f t="shared" si="36"/>
        <v>18.031728395061727</v>
      </c>
      <c r="M219">
        <f t="shared" si="37"/>
        <v>12.939946962592591</v>
      </c>
      <c r="N219" s="9"/>
      <c r="O219" s="21">
        <v>0.95245400000000002</v>
      </c>
      <c r="P219" s="21">
        <v>8.7368799999999993</v>
      </c>
      <c r="Q219" s="21">
        <v>-1.4413499999999999E-2</v>
      </c>
      <c r="R219" s="21">
        <v>209</v>
      </c>
      <c r="S219" s="21">
        <v>0.951233</v>
      </c>
      <c r="T219">
        <f t="shared" si="38"/>
        <v>17.794444444444444</v>
      </c>
      <c r="U219">
        <f t="shared" si="39"/>
        <v>16.948389788888889</v>
      </c>
      <c r="X219" s="9"/>
      <c r="Y219" s="21">
        <v>0.71762099999999995</v>
      </c>
      <c r="Z219" s="21">
        <v>16.174399999999999</v>
      </c>
      <c r="AA219" s="21">
        <v>-1.4456200000000001E-2</v>
      </c>
      <c r="AB219" s="21">
        <v>209</v>
      </c>
      <c r="AC219" s="21">
        <v>0.71713300000000002</v>
      </c>
      <c r="AD219">
        <f t="shared" si="40"/>
        <v>17.847160493827161</v>
      </c>
      <c r="AE219">
        <f t="shared" si="41"/>
        <v>12.80749716074074</v>
      </c>
      <c r="AF219" s="9"/>
      <c r="AG219" s="21">
        <v>0.95245400000000002</v>
      </c>
      <c r="AH219" s="21">
        <v>19.9331</v>
      </c>
      <c r="AI219" s="21">
        <v>-1.4291399999999999E-2</v>
      </c>
      <c r="AJ219" s="21">
        <v>209</v>
      </c>
      <c r="AK219" s="21">
        <v>0.95153799999999999</v>
      </c>
      <c r="AL219">
        <f t="shared" si="42"/>
        <v>17.643703703703704</v>
      </c>
      <c r="AM219">
        <f t="shared" si="43"/>
        <v>16.804816167407409</v>
      </c>
      <c r="AP219" s="9"/>
      <c r="AQ219" s="21">
        <v>0.71762099999999995</v>
      </c>
      <c r="AR219" s="21">
        <v>25.426600000000001</v>
      </c>
      <c r="AS219" s="21">
        <v>-1.4462300000000001E-2</v>
      </c>
      <c r="AT219" s="21">
        <v>209</v>
      </c>
      <c r="AU219" s="21">
        <v>0.71707200000000004</v>
      </c>
      <c r="AV219">
        <f t="shared" si="44"/>
        <v>17.854691358024692</v>
      </c>
      <c r="AW219">
        <f t="shared" si="45"/>
        <v>12.812901467037037</v>
      </c>
      <c r="AX219" s="9"/>
      <c r="AY219" s="21">
        <v>0.95245400000000002</v>
      </c>
      <c r="AZ219" s="21">
        <v>29.185400000000001</v>
      </c>
      <c r="BA219" s="21">
        <v>-1.4373800000000001E-2</v>
      </c>
      <c r="BB219" s="21">
        <v>209</v>
      </c>
      <c r="BC219" s="21">
        <v>0.95153799999999999</v>
      </c>
      <c r="BD219">
        <f t="shared" si="46"/>
        <v>17.745432098765431</v>
      </c>
      <c r="BE219">
        <f t="shared" si="47"/>
        <v>16.90170778419753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0.71258500000000002</v>
      </c>
      <c r="H220" s="21">
        <v>4.9881900000000003</v>
      </c>
      <c r="I220" s="21">
        <v>-1.46179E-2</v>
      </c>
      <c r="J220" s="21">
        <v>210</v>
      </c>
      <c r="K220" s="21">
        <v>0.71197500000000002</v>
      </c>
      <c r="L220">
        <f t="shared" si="36"/>
        <v>18.046790123456791</v>
      </c>
      <c r="M220">
        <f t="shared" si="37"/>
        <v>12.859871940123458</v>
      </c>
      <c r="N220" s="9"/>
      <c r="O220" s="21">
        <v>0.95748900000000003</v>
      </c>
      <c r="P220" s="21">
        <v>8.7469599999999996</v>
      </c>
      <c r="Q220" s="21">
        <v>-1.44073E-2</v>
      </c>
      <c r="R220" s="21">
        <v>210</v>
      </c>
      <c r="S220" s="21">
        <v>0.95672599999999997</v>
      </c>
      <c r="T220">
        <f t="shared" si="38"/>
        <v>17.78679012345679</v>
      </c>
      <c r="U220">
        <f t="shared" si="39"/>
        <v>17.030655888518517</v>
      </c>
      <c r="X220" s="9"/>
      <c r="Y220" s="21">
        <v>0.71258500000000002</v>
      </c>
      <c r="Z220" s="21">
        <v>16.1844</v>
      </c>
      <c r="AA220" s="21">
        <v>-1.44531E-2</v>
      </c>
      <c r="AB220" s="21">
        <v>210</v>
      </c>
      <c r="AC220" s="21">
        <v>0.71200600000000003</v>
      </c>
      <c r="AD220">
        <f t="shared" si="40"/>
        <v>17.843333333333334</v>
      </c>
      <c r="AE220">
        <f t="shared" si="41"/>
        <v>12.714891683333335</v>
      </c>
      <c r="AF220" s="9"/>
      <c r="AG220" s="21">
        <v>0.95748900000000003</v>
      </c>
      <c r="AH220" s="21">
        <v>19.943200000000001</v>
      </c>
      <c r="AI220" s="21">
        <v>-1.4291399999999999E-2</v>
      </c>
      <c r="AJ220" s="21">
        <v>210</v>
      </c>
      <c r="AK220" s="21">
        <v>0.95642099999999997</v>
      </c>
      <c r="AL220">
        <f t="shared" si="42"/>
        <v>17.643703703703704</v>
      </c>
      <c r="AM220">
        <f t="shared" si="43"/>
        <v>16.893652215555555</v>
      </c>
      <c r="AP220" s="9"/>
      <c r="AQ220" s="21">
        <v>0.71258500000000002</v>
      </c>
      <c r="AR220" s="21">
        <v>25.436699999999998</v>
      </c>
      <c r="AS220" s="21">
        <v>-1.4471400000000001E-2</v>
      </c>
      <c r="AT220" s="21">
        <v>210</v>
      </c>
      <c r="AU220" s="21">
        <v>0.71200600000000003</v>
      </c>
      <c r="AV220">
        <f t="shared" si="44"/>
        <v>17.865925925925925</v>
      </c>
      <c r="AW220">
        <f t="shared" si="45"/>
        <v>12.730990825925925</v>
      </c>
      <c r="AX220" s="9"/>
      <c r="AY220" s="21">
        <v>0.95748900000000003</v>
      </c>
      <c r="AZ220" s="21">
        <v>29.195399999999999</v>
      </c>
      <c r="BA220" s="21">
        <v>-1.43707E-2</v>
      </c>
      <c r="BB220" s="21">
        <v>210</v>
      </c>
      <c r="BC220" s="21">
        <v>0.95703099999999997</v>
      </c>
      <c r="BD220">
        <f t="shared" si="46"/>
        <v>17.741604938271603</v>
      </c>
      <c r="BE220">
        <f t="shared" si="47"/>
        <v>16.987391570740741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0.70755000000000001</v>
      </c>
      <c r="H221" s="21">
        <v>4.9982600000000001</v>
      </c>
      <c r="I221" s="21">
        <v>-1.4621E-2</v>
      </c>
      <c r="J221" s="21">
        <v>211</v>
      </c>
      <c r="K221" s="21">
        <v>0.70703099999999997</v>
      </c>
      <c r="L221">
        <f t="shared" si="36"/>
        <v>18.050617283950618</v>
      </c>
      <c r="M221">
        <f t="shared" si="37"/>
        <v>12.771714259259261</v>
      </c>
      <c r="N221" s="9"/>
      <c r="O221" s="21">
        <v>0.96252400000000005</v>
      </c>
      <c r="P221" s="21">
        <v>8.7570300000000003</v>
      </c>
      <c r="Q221" s="21">
        <v>-1.43982E-2</v>
      </c>
      <c r="R221" s="21">
        <v>211</v>
      </c>
      <c r="S221" s="21">
        <v>0.96160900000000005</v>
      </c>
      <c r="T221">
        <f t="shared" si="38"/>
        <v>17.775555555555556</v>
      </c>
      <c r="U221">
        <f t="shared" si="39"/>
        <v>17.109398835555556</v>
      </c>
      <c r="X221" s="9"/>
      <c r="Y221" s="21">
        <v>0.70755000000000001</v>
      </c>
      <c r="Z221" s="21">
        <v>16.194500000000001</v>
      </c>
      <c r="AA221" s="21">
        <v>-1.4456200000000001E-2</v>
      </c>
      <c r="AB221" s="21">
        <v>211</v>
      </c>
      <c r="AC221" s="21">
        <v>0.70703099999999997</v>
      </c>
      <c r="AD221">
        <f t="shared" si="40"/>
        <v>17.847160493827161</v>
      </c>
      <c r="AE221">
        <f t="shared" si="41"/>
        <v>12.627758407407407</v>
      </c>
      <c r="AF221" s="9"/>
      <c r="AG221" s="21">
        <v>0.96252400000000005</v>
      </c>
      <c r="AH221" s="21">
        <v>19.953299999999999</v>
      </c>
      <c r="AI221" s="21">
        <v>-1.4297499999999999E-2</v>
      </c>
      <c r="AJ221" s="21">
        <v>211</v>
      </c>
      <c r="AK221" s="21">
        <v>0.96130400000000005</v>
      </c>
      <c r="AL221">
        <f t="shared" si="42"/>
        <v>17.651234567901231</v>
      </c>
      <c r="AM221">
        <f t="shared" si="43"/>
        <v>16.989736901234565</v>
      </c>
      <c r="AP221" s="9"/>
      <c r="AQ221" s="21">
        <v>0.70755000000000001</v>
      </c>
      <c r="AR221" s="21">
        <v>25.4467</v>
      </c>
      <c r="AS221" s="21">
        <v>-1.44867E-2</v>
      </c>
      <c r="AT221" s="21">
        <v>211</v>
      </c>
      <c r="AU221" s="21">
        <v>0.70703099999999997</v>
      </c>
      <c r="AV221">
        <f t="shared" si="44"/>
        <v>17.884814814814817</v>
      </c>
      <c r="AW221">
        <f t="shared" si="45"/>
        <v>12.654400722222224</v>
      </c>
      <c r="AX221" s="9"/>
      <c r="AY221" s="21">
        <v>0.96252400000000005</v>
      </c>
      <c r="AZ221" s="21">
        <v>29.205500000000001</v>
      </c>
      <c r="BA221" s="21">
        <v>-1.43646E-2</v>
      </c>
      <c r="BB221" s="21">
        <v>211</v>
      </c>
      <c r="BC221" s="21">
        <v>0.96160900000000005</v>
      </c>
      <c r="BD221">
        <f t="shared" si="46"/>
        <v>17.734074074074073</v>
      </c>
      <c r="BE221">
        <f t="shared" si="47"/>
        <v>17.069471914074075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0.702515</v>
      </c>
      <c r="H222" s="21">
        <v>5.0083299999999999</v>
      </c>
      <c r="I222" s="21">
        <v>-1.46088E-2</v>
      </c>
      <c r="J222" s="21">
        <v>212</v>
      </c>
      <c r="K222" s="21">
        <v>0.70184299999999999</v>
      </c>
      <c r="L222">
        <f t="shared" si="36"/>
        <v>18.035555555555554</v>
      </c>
      <c r="M222">
        <f t="shared" si="37"/>
        <v>12.670248311111109</v>
      </c>
      <c r="N222" s="9"/>
      <c r="O222" s="21">
        <v>0.96755999999999998</v>
      </c>
      <c r="P222" s="21">
        <v>8.7670999999999992</v>
      </c>
      <c r="Q222" s="21">
        <v>-1.43982E-2</v>
      </c>
      <c r="R222" s="21">
        <v>212</v>
      </c>
      <c r="S222" s="21">
        <v>0.96710200000000002</v>
      </c>
      <c r="T222">
        <f t="shared" si="38"/>
        <v>17.775555555555556</v>
      </c>
      <c r="U222">
        <f t="shared" si="39"/>
        <v>17.198916533333332</v>
      </c>
      <c r="X222" s="9"/>
      <c r="Y222" s="21">
        <v>0.702515</v>
      </c>
      <c r="Z222" s="21">
        <v>16.204599999999999</v>
      </c>
      <c r="AA222" s="21">
        <v>-1.4462300000000001E-2</v>
      </c>
      <c r="AB222" s="21">
        <v>212</v>
      </c>
      <c r="AC222" s="21">
        <v>0.70193499999999998</v>
      </c>
      <c r="AD222">
        <f t="shared" si="40"/>
        <v>17.854691358024692</v>
      </c>
      <c r="AE222">
        <f t="shared" si="41"/>
        <v>12.543188499382715</v>
      </c>
      <c r="AF222" s="9"/>
      <c r="AG222" s="21">
        <v>0.96755999999999998</v>
      </c>
      <c r="AH222" s="21">
        <v>19.9634</v>
      </c>
      <c r="AI222" s="21">
        <v>-1.42883E-2</v>
      </c>
      <c r="AJ222" s="21">
        <v>212</v>
      </c>
      <c r="AK222" s="21">
        <v>0.96679700000000002</v>
      </c>
      <c r="AL222">
        <f t="shared" si="42"/>
        <v>17.639876543209876</v>
      </c>
      <c r="AM222">
        <f t="shared" si="43"/>
        <v>17.067638948148147</v>
      </c>
      <c r="AP222" s="9"/>
      <c r="AQ222" s="21">
        <v>0.702515</v>
      </c>
      <c r="AR222" s="21">
        <v>25.456800000000001</v>
      </c>
      <c r="AS222" s="21">
        <v>-1.4501999999999999E-2</v>
      </c>
      <c r="AT222" s="21">
        <v>212</v>
      </c>
      <c r="AU222" s="21">
        <v>0.70199599999999995</v>
      </c>
      <c r="AV222">
        <f t="shared" si="44"/>
        <v>17.903703703703702</v>
      </c>
      <c r="AW222">
        <f t="shared" si="45"/>
        <v>12.577620407407405</v>
      </c>
      <c r="AX222" s="9"/>
      <c r="AY222" s="21">
        <v>0.96755999999999998</v>
      </c>
      <c r="AZ222" s="21">
        <v>29.215599999999998</v>
      </c>
      <c r="BA222" s="21">
        <v>-1.4367700000000001E-2</v>
      </c>
      <c r="BB222" s="21">
        <v>212</v>
      </c>
      <c r="BC222" s="21">
        <v>0.96679700000000002</v>
      </c>
      <c r="BD222">
        <f t="shared" si="46"/>
        <v>17.7379012345679</v>
      </c>
      <c r="BE222">
        <f t="shared" si="47"/>
        <v>17.162483718518516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0.69747899999999996</v>
      </c>
      <c r="H223" s="21">
        <v>5.0183999999999997</v>
      </c>
      <c r="I223" s="21">
        <v>-1.4593500000000001E-2</v>
      </c>
      <c r="J223" s="21">
        <v>213</v>
      </c>
      <c r="K223" s="21">
        <v>0.69686899999999996</v>
      </c>
      <c r="L223">
        <f t="shared" si="36"/>
        <v>18.016666666666666</v>
      </c>
      <c r="M223">
        <f t="shared" si="37"/>
        <v>12.566246649999998</v>
      </c>
      <c r="N223" s="9"/>
      <c r="O223" s="21">
        <v>0.97259499999999999</v>
      </c>
      <c r="P223" s="21">
        <v>8.7771699999999999</v>
      </c>
      <c r="Q223" s="21">
        <v>-1.4395099999999999E-2</v>
      </c>
      <c r="R223" s="21">
        <v>213</v>
      </c>
      <c r="S223" s="21">
        <v>0.97198499999999999</v>
      </c>
      <c r="T223">
        <f t="shared" si="38"/>
        <v>17.771728395061729</v>
      </c>
      <c r="U223">
        <f t="shared" si="39"/>
        <v>17.284694178395061</v>
      </c>
      <c r="X223" s="9"/>
      <c r="Y223" s="21">
        <v>0.69747899999999996</v>
      </c>
      <c r="Z223" s="21">
        <v>16.214700000000001</v>
      </c>
      <c r="AA223" s="21">
        <v>-1.4471400000000001E-2</v>
      </c>
      <c r="AB223" s="21">
        <v>213</v>
      </c>
      <c r="AC223" s="21">
        <v>0.69683799999999996</v>
      </c>
      <c r="AD223">
        <f t="shared" si="40"/>
        <v>17.865925925925925</v>
      </c>
      <c r="AE223">
        <f t="shared" si="41"/>
        <v>12.461108148888888</v>
      </c>
      <c r="AF223" s="9"/>
      <c r="AG223" s="21">
        <v>0.97259499999999999</v>
      </c>
      <c r="AH223" s="21">
        <v>19.973400000000002</v>
      </c>
      <c r="AI223" s="21">
        <v>-1.42761E-2</v>
      </c>
      <c r="AJ223" s="21">
        <v>213</v>
      </c>
      <c r="AK223" s="21">
        <v>0.97106899999999996</v>
      </c>
      <c r="AL223">
        <f t="shared" si="42"/>
        <v>17.624814814814812</v>
      </c>
      <c r="AM223">
        <f t="shared" si="43"/>
        <v>17.141806764814813</v>
      </c>
      <c r="AP223" s="9"/>
      <c r="AQ223" s="21">
        <v>0.69747899999999996</v>
      </c>
      <c r="AR223" s="21">
        <v>25.466899999999999</v>
      </c>
      <c r="AS223" s="21">
        <v>-1.4511100000000001E-2</v>
      </c>
      <c r="AT223" s="21">
        <v>213</v>
      </c>
      <c r="AU223" s="21">
        <v>0.69689900000000005</v>
      </c>
      <c r="AV223">
        <f t="shared" si="44"/>
        <v>17.914938271604939</v>
      </c>
      <c r="AW223">
        <f t="shared" si="45"/>
        <v>12.49529323074074</v>
      </c>
      <c r="AX223" s="9"/>
      <c r="AY223" s="21">
        <v>0.97259499999999999</v>
      </c>
      <c r="AZ223" s="21">
        <v>29.2256</v>
      </c>
      <c r="BA223" s="21">
        <v>-1.4367700000000001E-2</v>
      </c>
      <c r="BB223" s="21">
        <v>213</v>
      </c>
      <c r="BC223" s="21">
        <v>0.97228999999999999</v>
      </c>
      <c r="BD223">
        <f t="shared" si="46"/>
        <v>17.7379012345679</v>
      </c>
      <c r="BE223">
        <f t="shared" si="47"/>
        <v>17.251794051234565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0.69244399999999995</v>
      </c>
      <c r="H224" s="21">
        <v>5.0284700000000004</v>
      </c>
      <c r="I224" s="21">
        <v>-1.4584400000000001E-2</v>
      </c>
      <c r="J224" s="21">
        <v>214</v>
      </c>
      <c r="K224" s="21">
        <v>0.69183300000000003</v>
      </c>
      <c r="L224">
        <f t="shared" si="36"/>
        <v>18.005432098765432</v>
      </c>
      <c r="M224">
        <f t="shared" si="37"/>
        <v>12.467753424197531</v>
      </c>
      <c r="N224" s="9"/>
      <c r="O224" s="21">
        <v>0.97763100000000003</v>
      </c>
      <c r="P224" s="21">
        <v>8.7872400000000006</v>
      </c>
      <c r="Q224" s="21">
        <v>-1.4389000000000001E-2</v>
      </c>
      <c r="R224" s="21">
        <v>214</v>
      </c>
      <c r="S224" s="21">
        <v>0.97656299999999996</v>
      </c>
      <c r="T224">
        <f t="shared" si="38"/>
        <v>17.764197530864198</v>
      </c>
      <c r="U224">
        <f t="shared" si="39"/>
        <v>17.366830196296299</v>
      </c>
      <c r="X224" s="9"/>
      <c r="Y224" s="21">
        <v>0.69244399999999995</v>
      </c>
      <c r="Z224" s="21">
        <v>16.224699999999999</v>
      </c>
      <c r="AA224" s="21">
        <v>-1.4468399999999999E-2</v>
      </c>
      <c r="AB224" s="21">
        <v>214</v>
      </c>
      <c r="AC224" s="21">
        <v>0.69183300000000003</v>
      </c>
      <c r="AD224">
        <f t="shared" si="40"/>
        <v>17.862222222222222</v>
      </c>
      <c r="AE224">
        <f t="shared" si="41"/>
        <v>12.368588604444444</v>
      </c>
      <c r="AF224" s="9"/>
      <c r="AG224" s="21">
        <v>0.97763100000000003</v>
      </c>
      <c r="AH224" s="21">
        <v>19.983499999999999</v>
      </c>
      <c r="AI224" s="21">
        <v>-1.42731E-2</v>
      </c>
      <c r="AJ224" s="21">
        <v>214</v>
      </c>
      <c r="AK224" s="21">
        <v>0.97717299999999996</v>
      </c>
      <c r="AL224">
        <f t="shared" si="42"/>
        <v>17.621111111111112</v>
      </c>
      <c r="AM224">
        <f t="shared" si="43"/>
        <v>17.226944476666667</v>
      </c>
      <c r="AP224" s="9"/>
      <c r="AQ224" s="21">
        <v>0.69244399999999995</v>
      </c>
      <c r="AR224" s="21">
        <v>25.477</v>
      </c>
      <c r="AS224" s="21">
        <v>-1.4508099999999999E-2</v>
      </c>
      <c r="AT224" s="21">
        <v>214</v>
      </c>
      <c r="AU224" s="21">
        <v>0.69183300000000003</v>
      </c>
      <c r="AV224">
        <f t="shared" si="44"/>
        <v>17.911234567901232</v>
      </c>
      <c r="AW224">
        <f t="shared" si="45"/>
        <v>12.402526909135799</v>
      </c>
      <c r="AX224" s="9"/>
      <c r="AY224" s="21">
        <v>0.97763100000000003</v>
      </c>
      <c r="AZ224" s="21">
        <v>29.235700000000001</v>
      </c>
      <c r="BA224" s="21">
        <v>-1.43616E-2</v>
      </c>
      <c r="BB224" s="21">
        <v>214</v>
      </c>
      <c r="BC224" s="21">
        <v>0.97686799999999996</v>
      </c>
      <c r="BD224">
        <f t="shared" si="46"/>
        <v>17.73037037037037</v>
      </c>
      <c r="BE224">
        <f t="shared" si="47"/>
        <v>17.333759715555555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0.68740800000000002</v>
      </c>
      <c r="H225" s="21">
        <v>5.0385400000000002</v>
      </c>
      <c r="I225" s="21">
        <v>-1.45966E-2</v>
      </c>
      <c r="J225" s="21">
        <v>215</v>
      </c>
      <c r="K225" s="21">
        <v>0.686859</v>
      </c>
      <c r="L225">
        <f t="shared" si="36"/>
        <v>18.020493827160493</v>
      </c>
      <c r="M225">
        <f t="shared" si="37"/>
        <v>12.38743162074074</v>
      </c>
      <c r="N225" s="9"/>
      <c r="O225" s="21">
        <v>0.98266600000000004</v>
      </c>
      <c r="P225" s="21">
        <v>8.7973099999999995</v>
      </c>
      <c r="Q225" s="21">
        <v>-1.4389000000000001E-2</v>
      </c>
      <c r="R225" s="21">
        <v>215</v>
      </c>
      <c r="S225" s="21">
        <v>0.98236100000000004</v>
      </c>
      <c r="T225">
        <f t="shared" si="38"/>
        <v>17.764197530864198</v>
      </c>
      <c r="U225">
        <f t="shared" si="39"/>
        <v>17.456272930864198</v>
      </c>
      <c r="X225" s="9"/>
      <c r="Y225" s="21">
        <v>0.68740800000000002</v>
      </c>
      <c r="Z225" s="21">
        <v>16.2348</v>
      </c>
      <c r="AA225" s="21">
        <v>-1.4471400000000001E-2</v>
      </c>
      <c r="AB225" s="21">
        <v>215</v>
      </c>
      <c r="AC225" s="21">
        <v>0.686859</v>
      </c>
      <c r="AD225">
        <f t="shared" si="40"/>
        <v>17.865925925925925</v>
      </c>
      <c r="AE225">
        <f t="shared" si="41"/>
        <v>12.281180408888888</v>
      </c>
      <c r="AF225" s="9"/>
      <c r="AG225" s="21">
        <v>0.98266600000000004</v>
      </c>
      <c r="AH225" s="21">
        <v>19.993600000000001</v>
      </c>
      <c r="AI225" s="21">
        <v>-1.42731E-2</v>
      </c>
      <c r="AJ225" s="21">
        <v>215</v>
      </c>
      <c r="AK225" s="21">
        <v>0.98205600000000004</v>
      </c>
      <c r="AL225">
        <f t="shared" si="42"/>
        <v>17.621111111111112</v>
      </c>
      <c r="AM225">
        <f t="shared" si="43"/>
        <v>17.315666771111111</v>
      </c>
      <c r="AP225" s="9"/>
      <c r="AQ225" s="21">
        <v>0.68740800000000002</v>
      </c>
      <c r="AR225" s="21">
        <v>25.486999999999998</v>
      </c>
      <c r="AS225" s="21">
        <v>-1.4505000000000001E-2</v>
      </c>
      <c r="AT225" s="21">
        <v>215</v>
      </c>
      <c r="AU225" s="21">
        <v>0.68691999999999998</v>
      </c>
      <c r="AV225">
        <f t="shared" si="44"/>
        <v>17.907407407407408</v>
      </c>
      <c r="AW225">
        <f t="shared" si="45"/>
        <v>12.309695111111113</v>
      </c>
      <c r="AX225" s="9"/>
      <c r="AY225" s="21">
        <v>0.98266600000000004</v>
      </c>
      <c r="AZ225" s="21">
        <v>29.245799999999999</v>
      </c>
      <c r="BA225" s="21">
        <v>-1.43707E-2</v>
      </c>
      <c r="BB225" s="21">
        <v>215</v>
      </c>
      <c r="BC225" s="21">
        <v>0.98205600000000004</v>
      </c>
      <c r="BD225">
        <f t="shared" si="46"/>
        <v>17.741604938271603</v>
      </c>
      <c r="BE225">
        <f t="shared" si="47"/>
        <v>17.434071958271605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0.68237300000000001</v>
      </c>
      <c r="H226" s="21">
        <v>5.0486199999999997</v>
      </c>
      <c r="I226" s="21">
        <v>-1.46027E-2</v>
      </c>
      <c r="J226" s="21">
        <v>216</v>
      </c>
      <c r="K226" s="21">
        <v>0.68176300000000001</v>
      </c>
      <c r="L226">
        <f t="shared" si="36"/>
        <v>18.028024691358024</v>
      </c>
      <c r="M226">
        <f t="shared" si="37"/>
        <v>12.30183729271605</v>
      </c>
      <c r="N226" s="9"/>
      <c r="O226" s="21">
        <v>0.98770100000000005</v>
      </c>
      <c r="P226" s="21">
        <v>8.8073800000000002</v>
      </c>
      <c r="Q226" s="21">
        <v>-1.4385999999999999E-2</v>
      </c>
      <c r="R226" s="21">
        <v>216</v>
      </c>
      <c r="S226" s="21">
        <v>0.98663299999999998</v>
      </c>
      <c r="T226">
        <f t="shared" si="38"/>
        <v>17.760493827160492</v>
      </c>
      <c r="U226">
        <f t="shared" si="39"/>
        <v>17.542057513580247</v>
      </c>
      <c r="X226" s="9"/>
      <c r="Y226" s="21">
        <v>0.68237300000000001</v>
      </c>
      <c r="Z226" s="21">
        <v>16.244900000000001</v>
      </c>
      <c r="AA226" s="21">
        <v>-1.4462300000000001E-2</v>
      </c>
      <c r="AB226" s="21">
        <v>216</v>
      </c>
      <c r="AC226" s="21">
        <v>0.68182399999999999</v>
      </c>
      <c r="AD226">
        <f t="shared" si="40"/>
        <v>17.854691358024692</v>
      </c>
      <c r="AE226">
        <f t="shared" si="41"/>
        <v>12.183559306049382</v>
      </c>
      <c r="AF226" s="9"/>
      <c r="AG226" s="21">
        <v>0.98770100000000005</v>
      </c>
      <c r="AH226" s="21">
        <v>20.003599999999999</v>
      </c>
      <c r="AI226" s="21">
        <v>-1.4267E-2</v>
      </c>
      <c r="AJ226" s="21">
        <v>216</v>
      </c>
      <c r="AK226" s="21">
        <v>0.98693799999999998</v>
      </c>
      <c r="AL226">
        <f t="shared" si="42"/>
        <v>17.613580246913582</v>
      </c>
      <c r="AM226">
        <f t="shared" si="43"/>
        <v>17.396950823456791</v>
      </c>
      <c r="AP226" s="9"/>
      <c r="AQ226" s="21">
        <v>0.68237300000000001</v>
      </c>
      <c r="AR226" s="21">
        <v>25.4971</v>
      </c>
      <c r="AS226" s="21">
        <v>-1.4505000000000001E-2</v>
      </c>
      <c r="AT226" s="21">
        <v>216</v>
      </c>
      <c r="AU226" s="21">
        <v>0.68179299999999998</v>
      </c>
      <c r="AV226">
        <f t="shared" si="44"/>
        <v>17.907407407407408</v>
      </c>
      <c r="AW226">
        <f t="shared" si="45"/>
        <v>12.219531314814816</v>
      </c>
      <c r="AX226" s="9"/>
      <c r="AY226" s="21">
        <v>0.98770100000000005</v>
      </c>
      <c r="AZ226" s="21">
        <v>29.2559</v>
      </c>
      <c r="BA226" s="21">
        <v>-1.43768E-2</v>
      </c>
      <c r="BB226" s="21">
        <v>216</v>
      </c>
      <c r="BC226" s="21">
        <v>0.98693799999999998</v>
      </c>
      <c r="BD226">
        <f t="shared" si="46"/>
        <v>17.749135802469137</v>
      </c>
      <c r="BE226">
        <f t="shared" si="47"/>
        <v>17.530839181234569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0.677338</v>
      </c>
      <c r="H227" s="21">
        <v>5.0586900000000004</v>
      </c>
      <c r="I227" s="21">
        <v>-1.4621E-2</v>
      </c>
      <c r="J227" s="21">
        <v>217</v>
      </c>
      <c r="K227" s="21">
        <v>0.67694100000000001</v>
      </c>
      <c r="L227">
        <f t="shared" si="36"/>
        <v>18.050617283950618</v>
      </c>
      <c r="M227">
        <f t="shared" si="37"/>
        <v>12.226369009876544</v>
      </c>
      <c r="N227" s="9"/>
      <c r="O227" s="21">
        <v>0.99273699999999998</v>
      </c>
      <c r="P227" s="21">
        <v>8.8174499999999991</v>
      </c>
      <c r="Q227" s="21">
        <v>-1.4379899999999999E-2</v>
      </c>
      <c r="R227" s="21">
        <v>217</v>
      </c>
      <c r="S227" s="21">
        <v>0.99182099999999995</v>
      </c>
      <c r="T227">
        <f t="shared" si="38"/>
        <v>17.752962962962961</v>
      </c>
      <c r="U227">
        <f t="shared" si="39"/>
        <v>17.624023192962962</v>
      </c>
      <c r="X227" s="9"/>
      <c r="Y227" s="21">
        <v>0.677338</v>
      </c>
      <c r="Z227" s="21">
        <v>16.254899999999999</v>
      </c>
      <c r="AA227" s="21">
        <v>-1.4471400000000001E-2</v>
      </c>
      <c r="AB227" s="21">
        <v>217</v>
      </c>
      <c r="AC227" s="21">
        <v>0.67681899999999995</v>
      </c>
      <c r="AD227">
        <f t="shared" si="40"/>
        <v>17.865925925925925</v>
      </c>
      <c r="AE227">
        <f t="shared" si="41"/>
        <v>12.101270534814814</v>
      </c>
      <c r="AF227" s="9"/>
      <c r="AG227" s="21">
        <v>0.99273699999999998</v>
      </c>
      <c r="AH227" s="21">
        <v>20.0137</v>
      </c>
      <c r="AI227" s="21">
        <v>-1.4263899999999999E-2</v>
      </c>
      <c r="AJ227" s="21">
        <v>217</v>
      </c>
      <c r="AK227" s="21">
        <v>0.99182099999999995</v>
      </c>
      <c r="AL227">
        <f t="shared" si="42"/>
        <v>17.609753086419751</v>
      </c>
      <c r="AM227">
        <f t="shared" si="43"/>
        <v>17.481853449753086</v>
      </c>
      <c r="AP227" s="9"/>
      <c r="AQ227" s="21">
        <v>0.677338</v>
      </c>
      <c r="AR227" s="21">
        <v>25.507200000000001</v>
      </c>
      <c r="AS227" s="21">
        <v>-1.45142E-2</v>
      </c>
      <c r="AT227" s="21">
        <v>217</v>
      </c>
      <c r="AU227" s="21">
        <v>0.67675799999999997</v>
      </c>
      <c r="AV227">
        <f t="shared" si="44"/>
        <v>17.918765432098763</v>
      </c>
      <c r="AW227">
        <f t="shared" si="45"/>
        <v>12.137060740246911</v>
      </c>
      <c r="AX227" s="9"/>
      <c r="AY227" s="21">
        <v>0.99273699999999998</v>
      </c>
      <c r="AZ227" s="21">
        <v>29.265899999999998</v>
      </c>
      <c r="BA227" s="21">
        <v>-1.43646E-2</v>
      </c>
      <c r="BB227" s="21">
        <v>217</v>
      </c>
      <c r="BC227" s="21">
        <v>0.99151599999999995</v>
      </c>
      <c r="BD227">
        <f t="shared" si="46"/>
        <v>17.734074074074073</v>
      </c>
      <c r="BE227">
        <f t="shared" si="47"/>
        <v>17.605271494074071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0.67230199999999996</v>
      </c>
      <c r="H228" s="21">
        <v>5.0687600000000002</v>
      </c>
      <c r="I228" s="21">
        <v>-1.46362E-2</v>
      </c>
      <c r="J228" s="21">
        <v>218</v>
      </c>
      <c r="K228" s="21">
        <v>0.67175300000000004</v>
      </c>
      <c r="L228">
        <f t="shared" si="36"/>
        <v>18.069382716049383</v>
      </c>
      <c r="M228">
        <f t="shared" si="37"/>
        <v>12.148082138765432</v>
      </c>
      <c r="N228" s="9"/>
      <c r="O228" s="21">
        <v>0.99777199999999999</v>
      </c>
      <c r="P228" s="21">
        <v>8.8275199999999998</v>
      </c>
      <c r="Q228" s="21">
        <v>-1.4379899999999999E-2</v>
      </c>
      <c r="R228" s="21">
        <v>218</v>
      </c>
      <c r="S228" s="21">
        <v>0.99761999999999995</v>
      </c>
      <c r="T228">
        <f t="shared" si="38"/>
        <v>17.752962962962961</v>
      </c>
      <c r="U228">
        <f t="shared" si="39"/>
        <v>17.713409361481478</v>
      </c>
      <c r="X228" s="9"/>
      <c r="Y228" s="21">
        <v>0.67230199999999996</v>
      </c>
      <c r="Z228" s="21">
        <v>16.265000000000001</v>
      </c>
      <c r="AA228" s="21">
        <v>-1.4477500000000001E-2</v>
      </c>
      <c r="AB228" s="21">
        <v>218</v>
      </c>
      <c r="AC228" s="21">
        <v>0.67172200000000004</v>
      </c>
      <c r="AD228">
        <f t="shared" si="40"/>
        <v>17.873456790123456</v>
      </c>
      <c r="AE228">
        <f t="shared" si="41"/>
        <v>12.016360746913579</v>
      </c>
      <c r="AF228" s="9"/>
      <c r="AG228" s="21">
        <v>0.99777199999999999</v>
      </c>
      <c r="AH228" s="21">
        <v>20.023800000000001</v>
      </c>
      <c r="AI228" s="21">
        <v>-1.4257799999999999E-2</v>
      </c>
      <c r="AJ228" s="21">
        <v>218</v>
      </c>
      <c r="AK228" s="21">
        <v>0.99731400000000003</v>
      </c>
      <c r="AL228">
        <f t="shared" si="42"/>
        <v>17.60222222222222</v>
      </c>
      <c r="AM228">
        <f t="shared" si="43"/>
        <v>17.56300447111111</v>
      </c>
      <c r="AP228" s="9"/>
      <c r="AQ228" s="21">
        <v>0.67230199999999996</v>
      </c>
      <c r="AR228" s="21">
        <v>25.517199999999999</v>
      </c>
      <c r="AS228" s="21">
        <v>-1.4517199999999999E-2</v>
      </c>
      <c r="AT228" s="21">
        <v>218</v>
      </c>
      <c r="AU228" s="21">
        <v>0.67166099999999995</v>
      </c>
      <c r="AV228">
        <f t="shared" si="44"/>
        <v>17.922469135802466</v>
      </c>
      <c r="AW228">
        <f t="shared" si="45"/>
        <v>12.049311844938268</v>
      </c>
      <c r="AX228" s="9"/>
      <c r="AY228" s="21">
        <v>0.99777199999999999</v>
      </c>
      <c r="AZ228" s="21">
        <v>29.276</v>
      </c>
      <c r="BA228" s="21">
        <v>-1.43646E-2</v>
      </c>
      <c r="BB228" s="21">
        <v>218</v>
      </c>
      <c r="BC228" s="21">
        <v>0.99700900000000003</v>
      </c>
      <c r="BD228">
        <f t="shared" si="46"/>
        <v>17.734074074074073</v>
      </c>
      <c r="BE228">
        <f t="shared" si="47"/>
        <v>17.694562557037035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0.66726700000000005</v>
      </c>
      <c r="H229" s="21">
        <v>5.07883</v>
      </c>
      <c r="I229" s="21">
        <v>-1.46423E-2</v>
      </c>
      <c r="J229" s="21">
        <v>219</v>
      </c>
      <c r="K229" s="21">
        <v>0.66665600000000003</v>
      </c>
      <c r="L229">
        <f t="shared" si="36"/>
        <v>18.076913580246913</v>
      </c>
      <c r="M229">
        <f t="shared" si="37"/>
        <v>12.062127893950619</v>
      </c>
      <c r="N229" s="9"/>
      <c r="O229" s="21">
        <v>1.00281</v>
      </c>
      <c r="P229" s="21">
        <v>8.8375900000000005</v>
      </c>
      <c r="Q229" s="21">
        <v>-1.43707E-2</v>
      </c>
      <c r="R229" s="21">
        <v>219</v>
      </c>
      <c r="S229" s="21">
        <v>1.0022</v>
      </c>
      <c r="T229">
        <f t="shared" si="38"/>
        <v>17.741604938271603</v>
      </c>
      <c r="U229">
        <f t="shared" si="39"/>
        <v>17.791458848148146</v>
      </c>
      <c r="X229" s="9"/>
      <c r="Y229" s="21">
        <v>0.66726700000000005</v>
      </c>
      <c r="Z229" s="21">
        <v>16.275099999999998</v>
      </c>
      <c r="AA229" s="21">
        <v>-1.4477500000000001E-2</v>
      </c>
      <c r="AB229" s="21">
        <v>219</v>
      </c>
      <c r="AC229" s="21">
        <v>0.66668700000000003</v>
      </c>
      <c r="AD229">
        <f t="shared" si="40"/>
        <v>17.873456790123456</v>
      </c>
      <c r="AE229">
        <f t="shared" si="41"/>
        <v>11.926367891975309</v>
      </c>
      <c r="AF229" s="9"/>
      <c r="AG229" s="21">
        <v>1.00281</v>
      </c>
      <c r="AH229" s="21">
        <v>20.033799999999999</v>
      </c>
      <c r="AI229" s="21">
        <v>-1.4242599999999999E-2</v>
      </c>
      <c r="AJ229" s="21">
        <v>219</v>
      </c>
      <c r="AK229" s="21">
        <v>1.0024999999999999</v>
      </c>
      <c r="AL229">
        <f t="shared" si="42"/>
        <v>17.583456790123453</v>
      </c>
      <c r="AM229">
        <f t="shared" si="43"/>
        <v>17.6328663037037</v>
      </c>
      <c r="AP229" s="9"/>
      <c r="AQ229" s="21">
        <v>0.66726700000000005</v>
      </c>
      <c r="AR229" s="21">
        <v>25.5273</v>
      </c>
      <c r="AS229" s="21">
        <v>-1.45203E-2</v>
      </c>
      <c r="AT229" s="21">
        <v>219</v>
      </c>
      <c r="AU229" s="21">
        <v>0.66665600000000003</v>
      </c>
      <c r="AV229">
        <f t="shared" si="44"/>
        <v>17.926296296296293</v>
      </c>
      <c r="AW229">
        <f t="shared" si="45"/>
        <v>11.961625950740739</v>
      </c>
      <c r="AX229" s="9"/>
      <c r="AY229" s="21">
        <v>1.00281</v>
      </c>
      <c r="AZ229" s="21">
        <v>29.286100000000001</v>
      </c>
      <c r="BA229" s="21">
        <v>-1.43555E-2</v>
      </c>
      <c r="BB229" s="21">
        <v>219</v>
      </c>
      <c r="BC229" s="21">
        <v>1.0018899999999999</v>
      </c>
      <c r="BD229">
        <f t="shared" si="46"/>
        <v>17.722839506172836</v>
      </c>
      <c r="BE229">
        <f t="shared" si="47"/>
        <v>17.772640685185181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0.66223100000000001</v>
      </c>
      <c r="H230" s="21">
        <v>5.0888999999999998</v>
      </c>
      <c r="I230" s="21">
        <v>-1.4648400000000001E-2</v>
      </c>
      <c r="J230" s="21">
        <v>220</v>
      </c>
      <c r="K230" s="21">
        <v>0.66168199999999999</v>
      </c>
      <c r="L230">
        <f t="shared" si="36"/>
        <v>18.084444444444443</v>
      </c>
      <c r="M230">
        <f t="shared" si="37"/>
        <v>11.976079728888889</v>
      </c>
      <c r="N230" s="9"/>
      <c r="O230" s="21">
        <v>1.0078400000000001</v>
      </c>
      <c r="P230" s="21">
        <v>8.8476700000000008</v>
      </c>
      <c r="Q230" s="21">
        <v>-1.4367700000000001E-2</v>
      </c>
      <c r="R230" s="21">
        <v>220</v>
      </c>
      <c r="S230" s="21">
        <v>1.00708</v>
      </c>
      <c r="T230">
        <f t="shared" si="38"/>
        <v>17.7379012345679</v>
      </c>
      <c r="U230">
        <f t="shared" si="39"/>
        <v>17.876966380246913</v>
      </c>
      <c r="X230" s="9"/>
      <c r="Y230" s="21">
        <v>0.66223100000000001</v>
      </c>
      <c r="Z230" s="21">
        <v>16.2852</v>
      </c>
      <c r="AA230" s="21">
        <v>-1.44806E-2</v>
      </c>
      <c r="AB230" s="21">
        <v>220</v>
      </c>
      <c r="AC230" s="21">
        <v>0.66162100000000001</v>
      </c>
      <c r="AD230">
        <f t="shared" si="40"/>
        <v>17.877283950617283</v>
      </c>
      <c r="AE230">
        <f t="shared" si="41"/>
        <v>11.838891627901234</v>
      </c>
      <c r="AF230" s="9"/>
      <c r="AG230" s="21">
        <v>1.0078400000000001</v>
      </c>
      <c r="AH230" s="21">
        <v>20.043900000000001</v>
      </c>
      <c r="AI230" s="21">
        <v>-1.4224199999999999E-2</v>
      </c>
      <c r="AJ230" s="21">
        <v>220</v>
      </c>
      <c r="AK230" s="21">
        <v>1.0067699999999999</v>
      </c>
      <c r="AL230">
        <f t="shared" si="42"/>
        <v>17.560740740740737</v>
      </c>
      <c r="AM230">
        <f t="shared" si="43"/>
        <v>17.698416948148147</v>
      </c>
      <c r="AP230" s="9"/>
      <c r="AQ230" s="21">
        <v>0.66223100000000001</v>
      </c>
      <c r="AR230" s="21">
        <v>25.537400000000002</v>
      </c>
      <c r="AS230" s="21">
        <v>-1.45142E-2</v>
      </c>
      <c r="AT230" s="21">
        <v>220</v>
      </c>
      <c r="AU230" s="21">
        <v>0.66162100000000001</v>
      </c>
      <c r="AV230">
        <f t="shared" si="44"/>
        <v>17.918765432098763</v>
      </c>
      <c r="AW230">
        <f t="shared" si="45"/>
        <v>11.866361950864196</v>
      </c>
      <c r="AX230" s="9"/>
      <c r="AY230" s="21">
        <v>1.0078400000000001</v>
      </c>
      <c r="AZ230" s="21">
        <v>29.296099999999999</v>
      </c>
      <c r="BA230" s="21">
        <v>-1.43372E-2</v>
      </c>
      <c r="BB230" s="21">
        <v>220</v>
      </c>
      <c r="BC230" s="21">
        <v>1.00708</v>
      </c>
      <c r="BD230">
        <f t="shared" si="46"/>
        <v>17.700246913580244</v>
      </c>
      <c r="BE230">
        <f t="shared" si="47"/>
        <v>17.839016849382716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0.657196</v>
      </c>
      <c r="H231" s="21">
        <v>5.0989699999999996</v>
      </c>
      <c r="I231" s="21">
        <v>-1.46576E-2</v>
      </c>
      <c r="J231" s="21">
        <v>221</v>
      </c>
      <c r="K231" s="21">
        <v>0.656586</v>
      </c>
      <c r="L231">
        <f t="shared" si="36"/>
        <v>18.095802469135801</v>
      </c>
      <c r="M231">
        <f t="shared" si="37"/>
        <v>11.892488999506172</v>
      </c>
      <c r="N231" s="9"/>
      <c r="O231" s="21">
        <v>1.01288</v>
      </c>
      <c r="P231" s="21">
        <v>8.8577399999999997</v>
      </c>
      <c r="Q231" s="21">
        <v>-1.43494E-2</v>
      </c>
      <c r="R231" s="21">
        <v>221</v>
      </c>
      <c r="S231" s="21">
        <v>1.01227</v>
      </c>
      <c r="T231">
        <f t="shared" si="38"/>
        <v>17.715308641975309</v>
      </c>
      <c r="U231">
        <f t="shared" si="39"/>
        <v>17.943481817283949</v>
      </c>
      <c r="X231" s="9"/>
      <c r="Y231" s="21">
        <v>0.657196</v>
      </c>
      <c r="Z231" s="21">
        <v>16.295200000000001</v>
      </c>
      <c r="AA231" s="21">
        <v>-1.44806E-2</v>
      </c>
      <c r="AB231" s="21">
        <v>221</v>
      </c>
      <c r="AC231" s="21">
        <v>0.65661599999999998</v>
      </c>
      <c r="AD231">
        <f t="shared" si="40"/>
        <v>17.877283950617283</v>
      </c>
      <c r="AE231">
        <f t="shared" si="41"/>
        <v>11.748879503209876</v>
      </c>
      <c r="AF231" s="9"/>
      <c r="AG231" s="21">
        <v>1.01288</v>
      </c>
      <c r="AH231" s="21">
        <v>20.053999999999998</v>
      </c>
      <c r="AI231" s="21">
        <v>-1.42151E-2</v>
      </c>
      <c r="AJ231" s="21">
        <v>221</v>
      </c>
      <c r="AK231" s="21">
        <v>1.01196</v>
      </c>
      <c r="AL231">
        <f t="shared" si="42"/>
        <v>17.549506172839507</v>
      </c>
      <c r="AM231">
        <f t="shared" si="43"/>
        <v>17.775543812345681</v>
      </c>
      <c r="AP231" s="9"/>
      <c r="AQ231" s="21">
        <v>0.657196</v>
      </c>
      <c r="AR231" s="21">
        <v>25.547499999999999</v>
      </c>
      <c r="AS231" s="21">
        <v>-1.4508099999999999E-2</v>
      </c>
      <c r="AT231" s="21">
        <v>221</v>
      </c>
      <c r="AU231" s="21">
        <v>0.65664699999999998</v>
      </c>
      <c r="AV231">
        <f t="shared" si="44"/>
        <v>17.911234567901232</v>
      </c>
      <c r="AW231">
        <f t="shared" si="45"/>
        <v>11.771191713086418</v>
      </c>
      <c r="AX231" s="9"/>
      <c r="AY231" s="21">
        <v>1.01288</v>
      </c>
      <c r="AZ231" s="21">
        <v>29.3062</v>
      </c>
      <c r="BA231" s="21">
        <v>-1.43188E-2</v>
      </c>
      <c r="BB231" s="21">
        <v>221</v>
      </c>
      <c r="BC231" s="21">
        <v>1.01227</v>
      </c>
      <c r="BD231">
        <f t="shared" si="46"/>
        <v>17.677530864197529</v>
      </c>
      <c r="BE231">
        <f t="shared" si="47"/>
        <v>17.905217461728395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0.65216099999999999</v>
      </c>
      <c r="H232" s="21">
        <v>5.1090400000000002</v>
      </c>
      <c r="I232" s="21">
        <v>-1.46637E-2</v>
      </c>
      <c r="J232" s="21">
        <v>222</v>
      </c>
      <c r="K232" s="21">
        <v>0.65151999999999999</v>
      </c>
      <c r="L232">
        <f t="shared" si="36"/>
        <v>18.103333333333332</v>
      </c>
      <c r="M232">
        <f t="shared" si="37"/>
        <v>11.80628797</v>
      </c>
      <c r="N232" s="9"/>
      <c r="O232" s="21">
        <v>1.0179100000000001</v>
      </c>
      <c r="P232" s="21">
        <v>8.8678100000000004</v>
      </c>
      <c r="Q232" s="21">
        <v>-1.43372E-2</v>
      </c>
      <c r="R232" s="21">
        <v>222</v>
      </c>
      <c r="S232" s="21">
        <v>1.01715</v>
      </c>
      <c r="T232">
        <f t="shared" si="38"/>
        <v>17.700246913580244</v>
      </c>
      <c r="U232">
        <f t="shared" si="39"/>
        <v>18.017258335802467</v>
      </c>
      <c r="X232" s="9"/>
      <c r="Y232" s="21">
        <v>0.65216099999999999</v>
      </c>
      <c r="Z232" s="21">
        <v>16.305299999999999</v>
      </c>
      <c r="AA232" s="21">
        <v>-1.4483599999999999E-2</v>
      </c>
      <c r="AB232" s="21">
        <v>222</v>
      </c>
      <c r="AC232" s="21">
        <v>0.65164200000000005</v>
      </c>
      <c r="AD232">
        <f t="shared" si="40"/>
        <v>17.880987654320986</v>
      </c>
      <c r="AE232">
        <f t="shared" si="41"/>
        <v>11.661282789629629</v>
      </c>
      <c r="AF232" s="9"/>
      <c r="AG232" s="21">
        <v>1.0179100000000001</v>
      </c>
      <c r="AH232" s="21">
        <v>20.0641</v>
      </c>
      <c r="AI232" s="21">
        <v>-1.4202899999999999E-2</v>
      </c>
      <c r="AJ232" s="21">
        <v>222</v>
      </c>
      <c r="AK232" s="21">
        <v>1.01654</v>
      </c>
      <c r="AL232">
        <f t="shared" si="42"/>
        <v>17.534444444444443</v>
      </c>
      <c r="AM232">
        <f t="shared" si="43"/>
        <v>17.848486344444446</v>
      </c>
      <c r="AP232" s="9"/>
      <c r="AQ232" s="21">
        <v>0.65216099999999999</v>
      </c>
      <c r="AR232" s="21">
        <v>25.557500000000001</v>
      </c>
      <c r="AS232" s="21">
        <v>-1.4508099999999999E-2</v>
      </c>
      <c r="AT232" s="21">
        <v>222</v>
      </c>
      <c r="AU232" s="21">
        <v>0.65154999999999996</v>
      </c>
      <c r="AV232">
        <f t="shared" si="44"/>
        <v>17.911234567901232</v>
      </c>
      <c r="AW232">
        <f t="shared" si="45"/>
        <v>11.681008647037036</v>
      </c>
      <c r="AX232" s="9"/>
      <c r="AY232" s="21">
        <v>1.0179100000000001</v>
      </c>
      <c r="AZ232" s="21">
        <v>29.316299999999998</v>
      </c>
      <c r="BA232" s="21">
        <v>-1.4306599999999999E-2</v>
      </c>
      <c r="BB232" s="21">
        <v>222</v>
      </c>
      <c r="BC232" s="21">
        <v>1.01715</v>
      </c>
      <c r="BD232">
        <f t="shared" si="46"/>
        <v>17.662469135802468</v>
      </c>
      <c r="BE232">
        <f t="shared" si="47"/>
        <v>17.978803958024692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0.64712499999999995</v>
      </c>
      <c r="H233" s="21">
        <v>5.11911</v>
      </c>
      <c r="I233" s="21">
        <v>-1.4660599999999999E-2</v>
      </c>
      <c r="J233" s="21">
        <v>223</v>
      </c>
      <c r="K233" s="21">
        <v>0.64651499999999995</v>
      </c>
      <c r="L233">
        <f t="shared" si="36"/>
        <v>18.099506172839504</v>
      </c>
      <c r="M233">
        <f t="shared" si="37"/>
        <v>11.712642932098763</v>
      </c>
      <c r="N233" s="9"/>
      <c r="O233" s="21">
        <v>1.02295</v>
      </c>
      <c r="P233" s="21">
        <v>8.8778799999999993</v>
      </c>
      <c r="Q233" s="21">
        <v>-1.4334100000000001E-2</v>
      </c>
      <c r="R233" s="21">
        <v>223</v>
      </c>
      <c r="S233" s="21">
        <v>1.02234</v>
      </c>
      <c r="T233">
        <f t="shared" si="38"/>
        <v>17.69641975308642</v>
      </c>
      <c r="U233">
        <f t="shared" si="39"/>
        <v>18.102552586419755</v>
      </c>
      <c r="X233" s="9"/>
      <c r="Y233" s="21">
        <v>0.64712499999999995</v>
      </c>
      <c r="Z233" s="21">
        <v>16.3154</v>
      </c>
      <c r="AA233" s="21">
        <v>-1.44989E-2</v>
      </c>
      <c r="AB233" s="21">
        <v>223</v>
      </c>
      <c r="AC233" s="21">
        <v>0.64651499999999995</v>
      </c>
      <c r="AD233">
        <f t="shared" si="40"/>
        <v>17.899876543209874</v>
      </c>
      <c r="AE233">
        <f t="shared" si="41"/>
        <v>11.583457608024689</v>
      </c>
      <c r="AF233" s="9"/>
      <c r="AG233" s="21">
        <v>1.02295</v>
      </c>
      <c r="AH233" s="21">
        <v>20.074100000000001</v>
      </c>
      <c r="AI233" s="21">
        <v>-1.42059E-2</v>
      </c>
      <c r="AJ233" s="21">
        <v>223</v>
      </c>
      <c r="AK233" s="21">
        <v>1.02264</v>
      </c>
      <c r="AL233">
        <f t="shared" si="42"/>
        <v>17.538148148148146</v>
      </c>
      <c r="AM233">
        <f t="shared" si="43"/>
        <v>17.940648648148148</v>
      </c>
      <c r="AP233" s="9"/>
      <c r="AQ233" s="21">
        <v>0.64712499999999995</v>
      </c>
      <c r="AR233" s="21">
        <v>25.567599999999999</v>
      </c>
      <c r="AS233" s="21">
        <v>-1.4508099999999999E-2</v>
      </c>
      <c r="AT233" s="21">
        <v>223</v>
      </c>
      <c r="AU233" s="21">
        <v>0.64648399999999995</v>
      </c>
      <c r="AV233">
        <f t="shared" si="44"/>
        <v>17.911234567901232</v>
      </c>
      <c r="AW233">
        <f t="shared" si="45"/>
        <v>11.590807669753083</v>
      </c>
      <c r="AX233" s="9"/>
      <c r="AY233" s="21">
        <v>1.02295</v>
      </c>
      <c r="AZ233" s="21">
        <v>29.3264</v>
      </c>
      <c r="BA233" s="21">
        <v>-1.4297499999999999E-2</v>
      </c>
      <c r="BB233" s="21">
        <v>223</v>
      </c>
      <c r="BC233" s="21">
        <v>1.02234</v>
      </c>
      <c r="BD233">
        <f t="shared" si="46"/>
        <v>17.651234567901231</v>
      </c>
      <c r="BE233">
        <f t="shared" si="47"/>
        <v>18.056330401234565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0.64209000000000005</v>
      </c>
      <c r="H234" s="21">
        <v>5.1291799999999999</v>
      </c>
      <c r="I234" s="21">
        <v>-1.46576E-2</v>
      </c>
      <c r="J234" s="21">
        <v>224</v>
      </c>
      <c r="K234" s="21">
        <v>0.64151000000000002</v>
      </c>
      <c r="L234">
        <f t="shared" si="36"/>
        <v>18.095802469135801</v>
      </c>
      <c r="M234">
        <f t="shared" si="37"/>
        <v>11.619133807407408</v>
      </c>
      <c r="N234" s="9"/>
      <c r="O234" s="21">
        <v>1.0279799999999999</v>
      </c>
      <c r="P234" s="21">
        <v>8.88795</v>
      </c>
      <c r="Q234" s="21">
        <v>-1.4334100000000001E-2</v>
      </c>
      <c r="R234" s="21">
        <v>224</v>
      </c>
      <c r="S234" s="21">
        <v>1.0269200000000001</v>
      </c>
      <c r="T234">
        <f t="shared" si="38"/>
        <v>17.69641975308642</v>
      </c>
      <c r="U234">
        <f t="shared" si="39"/>
        <v>18.191565577777776</v>
      </c>
      <c r="X234" s="9"/>
      <c r="Y234" s="21">
        <v>0.64209000000000005</v>
      </c>
      <c r="Z234" s="21">
        <v>16.325399999999998</v>
      </c>
      <c r="AA234" s="21">
        <v>-1.4505000000000001E-2</v>
      </c>
      <c r="AB234" s="21">
        <v>224</v>
      </c>
      <c r="AC234" s="21">
        <v>0.64154100000000003</v>
      </c>
      <c r="AD234">
        <f t="shared" si="40"/>
        <v>17.907407407407408</v>
      </c>
      <c r="AE234">
        <f t="shared" si="41"/>
        <v>11.498167222222223</v>
      </c>
      <c r="AF234" s="9"/>
      <c r="AG234" s="21">
        <v>1.0279799999999999</v>
      </c>
      <c r="AH234" s="21">
        <v>20.084199999999999</v>
      </c>
      <c r="AI234" s="21">
        <v>-1.4208999999999999E-2</v>
      </c>
      <c r="AJ234" s="21">
        <v>224</v>
      </c>
      <c r="AK234" s="21">
        <v>1.02722</v>
      </c>
      <c r="AL234">
        <f t="shared" si="42"/>
        <v>17.541975308641973</v>
      </c>
      <c r="AM234">
        <f t="shared" si="43"/>
        <v>18.032799777777775</v>
      </c>
      <c r="AP234" s="9"/>
      <c r="AQ234" s="21">
        <v>0.64209000000000005</v>
      </c>
      <c r="AR234" s="21">
        <v>25.5777</v>
      </c>
      <c r="AS234" s="21">
        <v>-1.4508099999999999E-2</v>
      </c>
      <c r="AT234" s="21">
        <v>224</v>
      </c>
      <c r="AU234" s="21">
        <v>0.64138799999999996</v>
      </c>
      <c r="AV234">
        <f t="shared" si="44"/>
        <v>17.911234567901232</v>
      </c>
      <c r="AW234">
        <f t="shared" si="45"/>
        <v>11.500624603703702</v>
      </c>
      <c r="AX234" s="9"/>
      <c r="AY234" s="21">
        <v>1.0279799999999999</v>
      </c>
      <c r="AZ234" s="21">
        <v>29.336400000000001</v>
      </c>
      <c r="BA234" s="21">
        <v>-1.4291399999999999E-2</v>
      </c>
      <c r="BB234" s="21">
        <v>224</v>
      </c>
      <c r="BC234" s="21">
        <v>1.0269200000000001</v>
      </c>
      <c r="BD234">
        <f t="shared" si="46"/>
        <v>17.643703703703704</v>
      </c>
      <c r="BE234">
        <f t="shared" si="47"/>
        <v>18.137374533333332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0.63705400000000001</v>
      </c>
      <c r="H235" s="21">
        <v>5.1392499999999997</v>
      </c>
      <c r="I235" s="21">
        <v>-1.4660599999999999E-2</v>
      </c>
      <c r="J235" s="21">
        <v>225</v>
      </c>
      <c r="K235" s="21">
        <v>0.63644400000000001</v>
      </c>
      <c r="L235">
        <f t="shared" si="36"/>
        <v>18.099506172839504</v>
      </c>
      <c r="M235">
        <f t="shared" si="37"/>
        <v>11.530362805432098</v>
      </c>
      <c r="N235" s="9"/>
      <c r="O235" s="21">
        <v>1.03302</v>
      </c>
      <c r="P235" s="21">
        <v>8.8980200000000007</v>
      </c>
      <c r="Q235" s="21">
        <v>-1.4346299999999999E-2</v>
      </c>
      <c r="R235" s="21">
        <v>225</v>
      </c>
      <c r="S235" s="21">
        <v>1.0318000000000001</v>
      </c>
      <c r="T235">
        <f t="shared" si="38"/>
        <v>17.711481481481481</v>
      </c>
      <c r="U235">
        <f t="shared" si="39"/>
        <v>18.296314600000002</v>
      </c>
      <c r="X235" s="9"/>
      <c r="Y235" s="21">
        <v>0.63705400000000001</v>
      </c>
      <c r="Z235" s="21">
        <v>16.3355</v>
      </c>
      <c r="AA235" s="21">
        <v>-1.44958E-2</v>
      </c>
      <c r="AB235" s="21">
        <v>225</v>
      </c>
      <c r="AC235" s="21">
        <v>0.63647500000000001</v>
      </c>
      <c r="AD235">
        <f t="shared" si="40"/>
        <v>17.896049382716047</v>
      </c>
      <c r="AE235">
        <f t="shared" si="41"/>
        <v>11.400749843456788</v>
      </c>
      <c r="AF235" s="9"/>
      <c r="AG235" s="21">
        <v>1.03302</v>
      </c>
      <c r="AH235" s="21">
        <v>20.0943</v>
      </c>
      <c r="AI235" s="21">
        <v>-1.4208999999999999E-2</v>
      </c>
      <c r="AJ235" s="21">
        <v>225</v>
      </c>
      <c r="AK235" s="21">
        <v>1.0321</v>
      </c>
      <c r="AL235">
        <f t="shared" si="42"/>
        <v>17.541975308641973</v>
      </c>
      <c r="AM235">
        <f t="shared" si="43"/>
        <v>18.121211333333331</v>
      </c>
      <c r="AP235" s="9"/>
      <c r="AQ235" s="21">
        <v>0.63705400000000001</v>
      </c>
      <c r="AR235" s="21">
        <v>25.587700000000002</v>
      </c>
      <c r="AS235" s="21">
        <v>-1.4517199999999999E-2</v>
      </c>
      <c r="AT235" s="21">
        <v>225</v>
      </c>
      <c r="AU235" s="21">
        <v>0.63638300000000003</v>
      </c>
      <c r="AV235">
        <f t="shared" si="44"/>
        <v>17.922469135802466</v>
      </c>
      <c r="AW235">
        <f t="shared" si="45"/>
        <v>11.417580652839504</v>
      </c>
      <c r="AX235" s="9"/>
      <c r="AY235" s="21">
        <v>1.03302</v>
      </c>
      <c r="AZ235" s="21">
        <v>29.346499999999999</v>
      </c>
      <c r="BA235" s="21">
        <v>-1.4285300000000001E-2</v>
      </c>
      <c r="BB235" s="21">
        <v>225</v>
      </c>
      <c r="BC235" s="21">
        <v>1.0321</v>
      </c>
      <c r="BD235">
        <f t="shared" si="46"/>
        <v>17.636172839506173</v>
      </c>
      <c r="BE235">
        <f t="shared" si="47"/>
        <v>18.218519266666668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0.632019</v>
      </c>
      <c r="H236" s="21">
        <v>5.14933</v>
      </c>
      <c r="I236" s="21">
        <v>-1.46576E-2</v>
      </c>
      <c r="J236" s="21">
        <v>226</v>
      </c>
      <c r="K236" s="21">
        <v>0.63143899999999997</v>
      </c>
      <c r="L236">
        <f t="shared" si="36"/>
        <v>18.095802469135801</v>
      </c>
      <c r="M236">
        <f t="shared" si="37"/>
        <v>11.43689098074074</v>
      </c>
      <c r="N236" s="9"/>
      <c r="O236" s="21">
        <v>1.03806</v>
      </c>
      <c r="P236" s="21">
        <v>8.9080899999999996</v>
      </c>
      <c r="Q236" s="21">
        <v>-1.4346299999999999E-2</v>
      </c>
      <c r="R236" s="21">
        <v>226</v>
      </c>
      <c r="S236" s="21">
        <v>1.0379</v>
      </c>
      <c r="T236">
        <f t="shared" si="38"/>
        <v>17.711481481481481</v>
      </c>
      <c r="U236">
        <f t="shared" si="39"/>
        <v>18.385580466666667</v>
      </c>
      <c r="X236" s="9"/>
      <c r="Y236" s="21">
        <v>0.632019</v>
      </c>
      <c r="Z236" s="21">
        <v>16.345600000000001</v>
      </c>
      <c r="AA236" s="21">
        <v>-1.44928E-2</v>
      </c>
      <c r="AB236" s="21">
        <v>226</v>
      </c>
      <c r="AC236" s="21">
        <v>0.631409</v>
      </c>
      <c r="AD236">
        <f t="shared" si="40"/>
        <v>17.892345679012344</v>
      </c>
      <c r="AE236">
        <f t="shared" si="41"/>
        <v>11.308302423703703</v>
      </c>
      <c r="AF236" s="9"/>
      <c r="AG236" s="21">
        <v>1.03806</v>
      </c>
      <c r="AH236" s="21">
        <v>20.104299999999999</v>
      </c>
      <c r="AI236" s="21">
        <v>-1.42151E-2</v>
      </c>
      <c r="AJ236" s="21">
        <v>226</v>
      </c>
      <c r="AK236" s="21">
        <v>1.0369900000000001</v>
      </c>
      <c r="AL236">
        <f t="shared" si="42"/>
        <v>17.549506172839507</v>
      </c>
      <c r="AM236">
        <f t="shared" si="43"/>
        <v>18.217440377777777</v>
      </c>
      <c r="AP236" s="9"/>
      <c r="AQ236" s="21">
        <v>0.632019</v>
      </c>
      <c r="AR236" s="21">
        <v>25.597799999999999</v>
      </c>
      <c r="AS236" s="21">
        <v>-1.4508099999999999E-2</v>
      </c>
      <c r="AT236" s="21">
        <v>226</v>
      </c>
      <c r="AU236" s="21">
        <v>0.63153099999999995</v>
      </c>
      <c r="AV236">
        <f t="shared" si="44"/>
        <v>17.911234567901232</v>
      </c>
      <c r="AW236">
        <f t="shared" si="45"/>
        <v>11.320240560370369</v>
      </c>
      <c r="AX236" s="9"/>
      <c r="AY236" s="21">
        <v>1.03806</v>
      </c>
      <c r="AZ236" s="21">
        <v>29.3566</v>
      </c>
      <c r="BA236" s="21">
        <v>-1.4285300000000001E-2</v>
      </c>
      <c r="BB236" s="21">
        <v>226</v>
      </c>
      <c r="BC236" s="21">
        <v>1.03607</v>
      </c>
      <c r="BD236">
        <f t="shared" si="46"/>
        <v>17.636172839506173</v>
      </c>
      <c r="BE236">
        <f t="shared" si="47"/>
        <v>18.307405577777779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0.62698399999999999</v>
      </c>
      <c r="H237" s="21">
        <v>5.1593999999999998</v>
      </c>
      <c r="I237" s="21">
        <v>-1.46637E-2</v>
      </c>
      <c r="J237" s="21">
        <v>227</v>
      </c>
      <c r="K237" s="21">
        <v>0.62646500000000005</v>
      </c>
      <c r="L237">
        <f t="shared" si="36"/>
        <v>18.103333333333332</v>
      </c>
      <c r="M237">
        <f t="shared" si="37"/>
        <v>11.350500346666665</v>
      </c>
      <c r="N237" s="9"/>
      <c r="O237" s="21">
        <v>1.0430900000000001</v>
      </c>
      <c r="P237" s="21">
        <v>8.9181600000000003</v>
      </c>
      <c r="Q237" s="21">
        <v>-1.43372E-2</v>
      </c>
      <c r="R237" s="21">
        <v>227</v>
      </c>
      <c r="S237" s="21">
        <v>1.0421800000000001</v>
      </c>
      <c r="T237">
        <f t="shared" si="38"/>
        <v>17.700246913580244</v>
      </c>
      <c r="U237">
        <f t="shared" si="39"/>
        <v>18.462950553086419</v>
      </c>
      <c r="X237" s="9"/>
      <c r="Y237" s="21">
        <v>0.62698399999999999</v>
      </c>
      <c r="Z237" s="21">
        <v>16.355699999999999</v>
      </c>
      <c r="AA237" s="21">
        <v>-1.4489699999999999E-2</v>
      </c>
      <c r="AB237" s="21">
        <v>227</v>
      </c>
      <c r="AC237" s="21">
        <v>0.62649500000000002</v>
      </c>
      <c r="AD237">
        <f t="shared" si="40"/>
        <v>17.888518518518516</v>
      </c>
      <c r="AE237">
        <f t="shared" si="41"/>
        <v>11.215814894814812</v>
      </c>
      <c r="AF237" s="9"/>
      <c r="AG237" s="21">
        <v>1.0430900000000001</v>
      </c>
      <c r="AH237" s="21">
        <v>20.1144</v>
      </c>
      <c r="AI237" s="21">
        <v>-1.42212E-2</v>
      </c>
      <c r="AJ237" s="21">
        <v>227</v>
      </c>
      <c r="AK237" s="21">
        <v>1.0421800000000001</v>
      </c>
      <c r="AL237">
        <f t="shared" si="42"/>
        <v>17.557037037037034</v>
      </c>
      <c r="AM237">
        <f t="shared" si="43"/>
        <v>18.31356976296296</v>
      </c>
      <c r="AP237" s="9"/>
      <c r="AQ237" s="21">
        <v>0.62698399999999999</v>
      </c>
      <c r="AR237" s="21">
        <v>25.607900000000001</v>
      </c>
      <c r="AS237" s="21">
        <v>-1.4511100000000001E-2</v>
      </c>
      <c r="AT237" s="21">
        <v>227</v>
      </c>
      <c r="AU237" s="21">
        <v>0.62649500000000002</v>
      </c>
      <c r="AV237">
        <f t="shared" si="44"/>
        <v>17.914938271604939</v>
      </c>
      <c r="AW237">
        <f t="shared" si="45"/>
        <v>11.23237965728395</v>
      </c>
      <c r="AX237" s="9"/>
      <c r="AY237" s="21">
        <v>1.0430900000000001</v>
      </c>
      <c r="AZ237" s="21">
        <v>29.366599999999998</v>
      </c>
      <c r="BA237" s="21">
        <v>-1.42822E-2</v>
      </c>
      <c r="BB237" s="21">
        <v>227</v>
      </c>
      <c r="BC237" s="21">
        <v>1.0421800000000001</v>
      </c>
      <c r="BD237">
        <f t="shared" si="46"/>
        <v>17.632345679012342</v>
      </c>
      <c r="BE237">
        <f t="shared" si="47"/>
        <v>18.392123454320984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0.62194799999999995</v>
      </c>
      <c r="H238" s="21">
        <v>5.1694699999999996</v>
      </c>
      <c r="I238" s="21">
        <v>-1.4678999999999999E-2</v>
      </c>
      <c r="J238" s="21">
        <v>228</v>
      </c>
      <c r="K238" s="21">
        <v>0.62139900000000003</v>
      </c>
      <c r="L238">
        <f t="shared" si="36"/>
        <v>18.12222222222222</v>
      </c>
      <c r="M238">
        <f t="shared" si="37"/>
        <v>11.271079866666664</v>
      </c>
      <c r="N238" s="9"/>
      <c r="O238" s="21">
        <v>1.04813</v>
      </c>
      <c r="P238" s="21">
        <v>8.9282299999999992</v>
      </c>
      <c r="Q238" s="21">
        <v>-1.4328E-2</v>
      </c>
      <c r="R238" s="21">
        <v>228</v>
      </c>
      <c r="S238" s="21">
        <v>1.0470600000000001</v>
      </c>
      <c r="T238">
        <f t="shared" si="38"/>
        <v>17.68888888888889</v>
      </c>
      <c r="U238">
        <f t="shared" si="39"/>
        <v>18.540255111111112</v>
      </c>
      <c r="X238" s="9"/>
      <c r="Y238" s="21">
        <v>0.62194799999999995</v>
      </c>
      <c r="Z238" s="21">
        <v>16.3657</v>
      </c>
      <c r="AA238" s="21">
        <v>-1.4489699999999999E-2</v>
      </c>
      <c r="AB238" s="21">
        <v>228</v>
      </c>
      <c r="AC238" s="21">
        <v>0.62127699999999997</v>
      </c>
      <c r="AD238">
        <f t="shared" si="40"/>
        <v>17.888518518518516</v>
      </c>
      <c r="AE238">
        <f t="shared" si="41"/>
        <v>11.125728315555554</v>
      </c>
      <c r="AF238" s="9"/>
      <c r="AG238" s="21">
        <v>1.04813</v>
      </c>
      <c r="AH238" s="21">
        <v>20.124500000000001</v>
      </c>
      <c r="AI238" s="21">
        <v>-1.4224199999999999E-2</v>
      </c>
      <c r="AJ238" s="21">
        <v>228</v>
      </c>
      <c r="AK238" s="21">
        <v>1.0470600000000001</v>
      </c>
      <c r="AL238">
        <f t="shared" si="42"/>
        <v>17.560740740740737</v>
      </c>
      <c r="AM238">
        <f t="shared" si="43"/>
        <v>18.405939192592587</v>
      </c>
      <c r="AP238" s="9"/>
      <c r="AQ238" s="21">
        <v>0.62194799999999995</v>
      </c>
      <c r="AR238" s="21">
        <v>25.617999999999999</v>
      </c>
      <c r="AS238" s="21">
        <v>-1.4517199999999999E-2</v>
      </c>
      <c r="AT238" s="21">
        <v>228</v>
      </c>
      <c r="AU238" s="21">
        <v>0.62139900000000003</v>
      </c>
      <c r="AV238">
        <f t="shared" si="44"/>
        <v>17.922469135802466</v>
      </c>
      <c r="AW238">
        <f t="shared" si="45"/>
        <v>11.146843834074071</v>
      </c>
      <c r="AX238" s="9"/>
      <c r="AY238" s="21">
        <v>1.04813</v>
      </c>
      <c r="AZ238" s="21">
        <v>29.3767</v>
      </c>
      <c r="BA238" s="21">
        <v>-1.42731E-2</v>
      </c>
      <c r="BB238" s="21">
        <v>228</v>
      </c>
      <c r="BC238" s="21">
        <v>1.0467500000000001</v>
      </c>
      <c r="BD238">
        <f t="shared" si="46"/>
        <v>17.621111111111112</v>
      </c>
      <c r="BE238">
        <f t="shared" si="47"/>
        <v>18.469215188888889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0.61691300000000004</v>
      </c>
      <c r="H239" s="21">
        <v>5.1795400000000003</v>
      </c>
      <c r="I239" s="21">
        <v>-1.47034E-2</v>
      </c>
      <c r="J239" s="21">
        <v>229</v>
      </c>
      <c r="K239" s="21">
        <v>0.61627200000000004</v>
      </c>
      <c r="L239">
        <f t="shared" si="36"/>
        <v>18.152345679012342</v>
      </c>
      <c r="M239">
        <f t="shared" si="37"/>
        <v>11.198418029876542</v>
      </c>
      <c r="N239" s="9"/>
      <c r="O239" s="21">
        <v>1.0531600000000001</v>
      </c>
      <c r="P239" s="21">
        <v>8.9382999999999999</v>
      </c>
      <c r="Q239" s="21">
        <v>-1.4328E-2</v>
      </c>
      <c r="R239" s="21">
        <v>229</v>
      </c>
      <c r="S239" s="21">
        <v>1.0525500000000001</v>
      </c>
      <c r="T239">
        <f t="shared" si="38"/>
        <v>17.68888888888889</v>
      </c>
      <c r="U239">
        <f t="shared" si="39"/>
        <v>18.629230222222226</v>
      </c>
      <c r="X239" s="9"/>
      <c r="Y239" s="21">
        <v>0.61691300000000004</v>
      </c>
      <c r="Z239" s="21">
        <v>16.375800000000002</v>
      </c>
      <c r="AA239" s="21">
        <v>-1.4483599999999999E-2</v>
      </c>
      <c r="AB239" s="21">
        <v>229</v>
      </c>
      <c r="AC239" s="21">
        <v>0.61633300000000002</v>
      </c>
      <c r="AD239">
        <f t="shared" si="40"/>
        <v>17.880987654320986</v>
      </c>
      <c r="AE239">
        <f t="shared" si="41"/>
        <v>11.031013736790124</v>
      </c>
      <c r="AF239" s="9"/>
      <c r="AG239" s="21">
        <v>1.0531600000000001</v>
      </c>
      <c r="AH239" s="21">
        <v>20.134599999999999</v>
      </c>
      <c r="AI239" s="21">
        <v>-1.42212E-2</v>
      </c>
      <c r="AJ239" s="21">
        <v>229</v>
      </c>
      <c r="AK239" s="21">
        <v>1.0519400000000001</v>
      </c>
      <c r="AL239">
        <f t="shared" si="42"/>
        <v>17.557037037037034</v>
      </c>
      <c r="AM239">
        <f t="shared" si="43"/>
        <v>18.490369125925923</v>
      </c>
      <c r="AP239" s="9"/>
      <c r="AQ239" s="21">
        <v>0.61691300000000004</v>
      </c>
      <c r="AR239" s="21">
        <v>25.628</v>
      </c>
      <c r="AS239" s="21">
        <v>-1.4508099999999999E-2</v>
      </c>
      <c r="AT239" s="21">
        <v>229</v>
      </c>
      <c r="AU239" s="21">
        <v>0.61630200000000002</v>
      </c>
      <c r="AV239">
        <f t="shared" si="44"/>
        <v>17.911234567901232</v>
      </c>
      <c r="AW239">
        <f t="shared" si="45"/>
        <v>11.049673450987653</v>
      </c>
      <c r="AX239" s="9"/>
      <c r="AY239" s="21">
        <v>1.0531600000000001</v>
      </c>
      <c r="AZ239" s="21">
        <v>29.386800000000001</v>
      </c>
      <c r="BA239" s="21">
        <v>-1.42609E-2</v>
      </c>
      <c r="BB239" s="21">
        <v>229</v>
      </c>
      <c r="BC239" s="21">
        <v>1.0525500000000001</v>
      </c>
      <c r="BD239">
        <f t="shared" si="46"/>
        <v>17.606049382716048</v>
      </c>
      <c r="BE239">
        <f t="shared" si="47"/>
        <v>18.541986967901234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0.611877</v>
      </c>
      <c r="H240" s="21">
        <v>5.1896100000000001</v>
      </c>
      <c r="I240" s="21">
        <v>-1.47125E-2</v>
      </c>
      <c r="J240" s="21">
        <v>230</v>
      </c>
      <c r="K240" s="21">
        <v>0.61117600000000005</v>
      </c>
      <c r="L240">
        <f t="shared" si="36"/>
        <v>18.163580246913579</v>
      </c>
      <c r="M240">
        <f t="shared" si="37"/>
        <v>11.11387699074074</v>
      </c>
      <c r="N240" s="9"/>
      <c r="O240" s="21">
        <v>1.0582</v>
      </c>
      <c r="P240" s="21">
        <v>8.9483800000000002</v>
      </c>
      <c r="Q240" s="21">
        <v>-1.4331099999999999E-2</v>
      </c>
      <c r="R240" s="21">
        <v>230</v>
      </c>
      <c r="S240" s="21">
        <v>1.0574300000000001</v>
      </c>
      <c r="T240">
        <f t="shared" si="38"/>
        <v>17.692716049382714</v>
      </c>
      <c r="U240">
        <f t="shared" si="39"/>
        <v>18.722432123456787</v>
      </c>
      <c r="X240" s="9"/>
      <c r="Y240" s="21">
        <v>0.611877</v>
      </c>
      <c r="Z240" s="21">
        <v>16.385899999999999</v>
      </c>
      <c r="AA240" s="21">
        <v>-1.4483599999999999E-2</v>
      </c>
      <c r="AB240" s="21">
        <v>230</v>
      </c>
      <c r="AC240" s="21">
        <v>0.611267</v>
      </c>
      <c r="AD240">
        <f t="shared" si="40"/>
        <v>17.880987654320986</v>
      </c>
      <c r="AE240">
        <f t="shared" si="41"/>
        <v>10.940965082962961</v>
      </c>
      <c r="AF240" s="9"/>
      <c r="AG240" s="21">
        <v>1.0582</v>
      </c>
      <c r="AH240" s="21">
        <v>20.144600000000001</v>
      </c>
      <c r="AI240" s="21">
        <v>-1.42151E-2</v>
      </c>
      <c r="AJ240" s="21">
        <v>230</v>
      </c>
      <c r="AK240" s="21">
        <v>1.0574300000000001</v>
      </c>
      <c r="AL240">
        <f t="shared" si="42"/>
        <v>17.549506172839507</v>
      </c>
      <c r="AM240">
        <f t="shared" si="43"/>
        <v>18.570887432098768</v>
      </c>
      <c r="AP240" s="9"/>
      <c r="AQ240" s="21">
        <v>0.611877</v>
      </c>
      <c r="AR240" s="21">
        <v>25.638100000000001</v>
      </c>
      <c r="AS240" s="21">
        <v>-1.44989E-2</v>
      </c>
      <c r="AT240" s="21">
        <v>230</v>
      </c>
      <c r="AU240" s="21">
        <v>0.61129800000000001</v>
      </c>
      <c r="AV240">
        <f t="shared" si="44"/>
        <v>17.899876543209874</v>
      </c>
      <c r="AW240">
        <f t="shared" si="45"/>
        <v>10.952522759629629</v>
      </c>
      <c r="AX240" s="9"/>
      <c r="AY240" s="21">
        <v>1.0582</v>
      </c>
      <c r="AZ240" s="21">
        <v>29.396899999999999</v>
      </c>
      <c r="BA240" s="21">
        <v>-1.4267E-2</v>
      </c>
      <c r="BB240" s="21">
        <v>230</v>
      </c>
      <c r="BC240" s="21">
        <v>1.0574300000000001</v>
      </c>
      <c r="BD240">
        <f t="shared" si="46"/>
        <v>17.613580246913582</v>
      </c>
      <c r="BE240">
        <f t="shared" si="47"/>
        <v>18.638690617283952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0.60684199999999999</v>
      </c>
      <c r="H241" s="21">
        <v>5.1996799999999999</v>
      </c>
      <c r="I241" s="21">
        <v>-1.47186E-2</v>
      </c>
      <c r="J241" s="21">
        <v>231</v>
      </c>
      <c r="K241" s="21">
        <v>0.60617100000000002</v>
      </c>
      <c r="L241">
        <f t="shared" si="36"/>
        <v>18.171111111111109</v>
      </c>
      <c r="M241">
        <f t="shared" si="37"/>
        <v>11.026993408888888</v>
      </c>
      <c r="N241" s="9"/>
      <c r="O241" s="21">
        <v>1.0632299999999999</v>
      </c>
      <c r="P241" s="21">
        <v>8.9584499999999991</v>
      </c>
      <c r="Q241" s="21">
        <v>-1.4340200000000001E-2</v>
      </c>
      <c r="R241" s="21">
        <v>231</v>
      </c>
      <c r="S241" s="21">
        <v>1.0623199999999999</v>
      </c>
      <c r="T241">
        <f t="shared" si="38"/>
        <v>17.703950617283951</v>
      </c>
      <c r="U241">
        <f t="shared" si="39"/>
        <v>18.823371414814812</v>
      </c>
      <c r="X241" s="9"/>
      <c r="Y241" s="21">
        <v>0.60684199999999999</v>
      </c>
      <c r="Z241" s="21">
        <v>16.395900000000001</v>
      </c>
      <c r="AA241" s="21">
        <v>-1.4489699999999999E-2</v>
      </c>
      <c r="AB241" s="21">
        <v>231</v>
      </c>
      <c r="AC241" s="21">
        <v>0.60620099999999999</v>
      </c>
      <c r="AD241">
        <f t="shared" si="40"/>
        <v>17.888518518518516</v>
      </c>
      <c r="AE241">
        <f t="shared" si="41"/>
        <v>10.855504354814814</v>
      </c>
      <c r="AF241" s="9"/>
      <c r="AG241" s="21">
        <v>1.0632299999999999</v>
      </c>
      <c r="AH241" s="21">
        <v>20.154699999999998</v>
      </c>
      <c r="AI241" s="21">
        <v>-1.41998E-2</v>
      </c>
      <c r="AJ241" s="21">
        <v>231</v>
      </c>
      <c r="AK241" s="21">
        <v>1.0626199999999999</v>
      </c>
      <c r="AL241">
        <f t="shared" si="42"/>
        <v>17.530617283950615</v>
      </c>
      <c r="AM241">
        <f t="shared" si="43"/>
        <v>18.639078214814813</v>
      </c>
      <c r="AP241" s="9"/>
      <c r="AQ241" s="21">
        <v>0.60684199999999999</v>
      </c>
      <c r="AR241" s="21">
        <v>25.648199999999999</v>
      </c>
      <c r="AS241" s="21">
        <v>-1.44958E-2</v>
      </c>
      <c r="AT241" s="21">
        <v>231</v>
      </c>
      <c r="AU241" s="21">
        <v>0.60623199999999999</v>
      </c>
      <c r="AV241">
        <f t="shared" si="44"/>
        <v>17.896049382716047</v>
      </c>
      <c r="AW241">
        <f t="shared" si="45"/>
        <v>10.860074399506171</v>
      </c>
      <c r="AX241" s="9"/>
      <c r="AY241" s="21">
        <v>1.0632299999999999</v>
      </c>
      <c r="AZ241" s="21">
        <v>29.4069</v>
      </c>
      <c r="BA241" s="21">
        <v>-1.42761E-2</v>
      </c>
      <c r="BB241" s="21">
        <v>231</v>
      </c>
      <c r="BC241" s="21">
        <v>1.0620099999999999</v>
      </c>
      <c r="BD241">
        <f t="shared" si="46"/>
        <v>17.624814814814812</v>
      </c>
      <c r="BE241">
        <f t="shared" si="47"/>
        <v>18.739231855555552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0.60180699999999998</v>
      </c>
      <c r="H242" s="21">
        <v>5.2097499999999997</v>
      </c>
      <c r="I242" s="21">
        <v>-1.47095E-2</v>
      </c>
      <c r="J242" s="21">
        <v>232</v>
      </c>
      <c r="K242" s="21">
        <v>0.60125700000000004</v>
      </c>
      <c r="L242">
        <f t="shared" si="36"/>
        <v>18.159876543209876</v>
      </c>
      <c r="M242">
        <f t="shared" si="37"/>
        <v>10.928740822839506</v>
      </c>
      <c r="N242" s="9"/>
      <c r="O242" s="21">
        <v>1.0682700000000001</v>
      </c>
      <c r="P242" s="21">
        <v>8.9685199999999998</v>
      </c>
      <c r="Q242" s="21">
        <v>-1.4346299999999999E-2</v>
      </c>
      <c r="R242" s="21">
        <v>232</v>
      </c>
      <c r="S242" s="21">
        <v>1.0671999999999999</v>
      </c>
      <c r="T242">
        <f t="shared" si="38"/>
        <v>17.711481481481481</v>
      </c>
      <c r="U242">
        <f t="shared" si="39"/>
        <v>18.920644322222223</v>
      </c>
      <c r="X242" s="9"/>
      <c r="Y242" s="21">
        <v>0.60180699999999998</v>
      </c>
      <c r="Z242" s="21">
        <v>16.405999999999999</v>
      </c>
      <c r="AA242" s="21">
        <v>-1.4489699999999999E-2</v>
      </c>
      <c r="AB242" s="21">
        <v>232</v>
      </c>
      <c r="AC242" s="21">
        <v>0.60122699999999996</v>
      </c>
      <c r="AD242">
        <f t="shared" si="40"/>
        <v>17.888518518518516</v>
      </c>
      <c r="AE242">
        <f t="shared" si="41"/>
        <v>10.765435664074072</v>
      </c>
      <c r="AF242" s="9"/>
      <c r="AG242" s="21">
        <v>1.0682700000000001</v>
      </c>
      <c r="AH242" s="21">
        <v>20.1648</v>
      </c>
      <c r="AI242" s="21">
        <v>-1.41998E-2</v>
      </c>
      <c r="AJ242" s="21">
        <v>232</v>
      </c>
      <c r="AK242" s="21">
        <v>1.0671999999999999</v>
      </c>
      <c r="AL242">
        <f t="shared" si="42"/>
        <v>17.530617283950615</v>
      </c>
      <c r="AM242">
        <f t="shared" si="43"/>
        <v>18.727432525925924</v>
      </c>
      <c r="AP242" s="9"/>
      <c r="AQ242" s="21">
        <v>0.60180699999999998</v>
      </c>
      <c r="AR242" s="21">
        <v>25.658200000000001</v>
      </c>
      <c r="AS242" s="21">
        <v>-1.4508099999999999E-2</v>
      </c>
      <c r="AT242" s="21">
        <v>232</v>
      </c>
      <c r="AU242" s="21">
        <v>0.601105</v>
      </c>
      <c r="AV242">
        <f t="shared" si="44"/>
        <v>17.911234567901232</v>
      </c>
      <c r="AW242">
        <f t="shared" si="45"/>
        <v>10.779106341604937</v>
      </c>
      <c r="AX242" s="9"/>
      <c r="AY242" s="21">
        <v>1.0682700000000001</v>
      </c>
      <c r="AZ242" s="21">
        <v>29.417000000000002</v>
      </c>
      <c r="BA242" s="21">
        <v>-1.4285300000000001E-2</v>
      </c>
      <c r="BB242" s="21">
        <v>232</v>
      </c>
      <c r="BC242" s="21">
        <v>1.0671999999999999</v>
      </c>
      <c r="BD242">
        <f t="shared" si="46"/>
        <v>17.636172839506173</v>
      </c>
      <c r="BE242">
        <f t="shared" si="47"/>
        <v>18.840194359259261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0.59677100000000005</v>
      </c>
      <c r="H243" s="21">
        <v>5.2198200000000003</v>
      </c>
      <c r="I243" s="21">
        <v>-1.4694199999999999E-2</v>
      </c>
      <c r="J243" s="21">
        <v>233</v>
      </c>
      <c r="K243" s="21">
        <v>0.59613000000000005</v>
      </c>
      <c r="L243">
        <f t="shared" si="36"/>
        <v>18.140987654320988</v>
      </c>
      <c r="M243">
        <f t="shared" si="37"/>
        <v>10.826015343456792</v>
      </c>
      <c r="N243" s="9"/>
      <c r="O243" s="21">
        <v>1.0732999999999999</v>
      </c>
      <c r="P243" s="21">
        <v>8.9785900000000005</v>
      </c>
      <c r="Q243" s="21">
        <v>-1.43494E-2</v>
      </c>
      <c r="R243" s="21">
        <v>233</v>
      </c>
      <c r="S243" s="21">
        <v>1.07239</v>
      </c>
      <c r="T243">
        <f t="shared" si="38"/>
        <v>17.715308641975309</v>
      </c>
      <c r="U243">
        <f t="shared" si="39"/>
        <v>19.013840765432096</v>
      </c>
      <c r="X243" s="9"/>
      <c r="Y243" s="21">
        <v>0.59677100000000005</v>
      </c>
      <c r="Z243" s="21">
        <v>16.4161</v>
      </c>
      <c r="AA243" s="21">
        <v>-1.4483599999999999E-2</v>
      </c>
      <c r="AB243" s="21">
        <v>233</v>
      </c>
      <c r="AC243" s="21">
        <v>0.59609999999999996</v>
      </c>
      <c r="AD243">
        <f t="shared" si="40"/>
        <v>17.880987654320986</v>
      </c>
      <c r="AE243">
        <f t="shared" si="41"/>
        <v>10.670854883456791</v>
      </c>
      <c r="AF243" s="9"/>
      <c r="AG243" s="21">
        <v>1.0732999999999999</v>
      </c>
      <c r="AH243" s="21">
        <v>20.174800000000001</v>
      </c>
      <c r="AI243" s="21">
        <v>-1.4202899999999999E-2</v>
      </c>
      <c r="AJ243" s="21">
        <v>233</v>
      </c>
      <c r="AK243" s="21">
        <v>1.073</v>
      </c>
      <c r="AL243">
        <f t="shared" si="42"/>
        <v>17.534444444444443</v>
      </c>
      <c r="AM243">
        <f t="shared" si="43"/>
        <v>18.819719222222218</v>
      </c>
      <c r="AP243" s="9"/>
      <c r="AQ243" s="21">
        <v>0.59677100000000005</v>
      </c>
      <c r="AR243" s="21">
        <v>25.668299999999999</v>
      </c>
      <c r="AS243" s="21">
        <v>-1.45142E-2</v>
      </c>
      <c r="AT243" s="21">
        <v>233</v>
      </c>
      <c r="AU243" s="21">
        <v>0.59613000000000005</v>
      </c>
      <c r="AV243">
        <f t="shared" si="44"/>
        <v>17.918765432098763</v>
      </c>
      <c r="AW243">
        <f t="shared" si="45"/>
        <v>10.693399565679012</v>
      </c>
      <c r="AX243" s="9"/>
      <c r="AY243" s="21">
        <v>1.0732999999999999</v>
      </c>
      <c r="AZ243" s="21">
        <v>29.427099999999999</v>
      </c>
      <c r="BA243" s="21">
        <v>-1.4291399999999999E-2</v>
      </c>
      <c r="BB243" s="21">
        <v>233</v>
      </c>
      <c r="BC243" s="21">
        <v>1.0720799999999999</v>
      </c>
      <c r="BD243">
        <f t="shared" si="46"/>
        <v>17.643703703703704</v>
      </c>
      <c r="BE243">
        <f t="shared" si="47"/>
        <v>18.936987185185185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0.59173600000000004</v>
      </c>
      <c r="H244" s="21">
        <v>5.2298900000000001</v>
      </c>
      <c r="I244" s="21">
        <v>-1.46851E-2</v>
      </c>
      <c r="J244" s="21">
        <v>234</v>
      </c>
      <c r="K244" s="21">
        <v>0.59112500000000001</v>
      </c>
      <c r="L244">
        <f t="shared" si="36"/>
        <v>18.12975308641975</v>
      </c>
      <c r="M244">
        <f t="shared" si="37"/>
        <v>10.728027572345677</v>
      </c>
      <c r="N244" s="9"/>
      <c r="O244" s="21">
        <v>1.0783400000000001</v>
      </c>
      <c r="P244" s="21">
        <v>8.9886599999999994</v>
      </c>
      <c r="Q244" s="21">
        <v>-1.43555E-2</v>
      </c>
      <c r="R244" s="21">
        <v>234</v>
      </c>
      <c r="S244" s="21">
        <v>1.07697</v>
      </c>
      <c r="T244">
        <f t="shared" si="38"/>
        <v>17.722839506172836</v>
      </c>
      <c r="U244">
        <f t="shared" si="39"/>
        <v>19.111246753086416</v>
      </c>
      <c r="X244" s="9"/>
      <c r="Y244" s="21">
        <v>0.59173600000000004</v>
      </c>
      <c r="Z244" s="21">
        <v>16.426100000000002</v>
      </c>
      <c r="AA244" s="21">
        <v>-1.4483599999999999E-2</v>
      </c>
      <c r="AB244" s="21">
        <v>234</v>
      </c>
      <c r="AC244" s="21">
        <v>0.59118700000000002</v>
      </c>
      <c r="AD244">
        <f t="shared" si="40"/>
        <v>17.880987654320986</v>
      </c>
      <c r="AE244">
        <f t="shared" si="41"/>
        <v>10.580824110617284</v>
      </c>
      <c r="AF244" s="9"/>
      <c r="AG244" s="21">
        <v>1.0783400000000001</v>
      </c>
      <c r="AH244" s="21">
        <v>20.184899999999999</v>
      </c>
      <c r="AI244" s="21">
        <v>-1.42059E-2</v>
      </c>
      <c r="AJ244" s="21">
        <v>234</v>
      </c>
      <c r="AK244" s="21">
        <v>1.0772699999999999</v>
      </c>
      <c r="AL244">
        <f t="shared" si="42"/>
        <v>17.538148148148146</v>
      </c>
      <c r="AM244">
        <f t="shared" si="43"/>
        <v>18.912086674074072</v>
      </c>
      <c r="AP244" s="9"/>
      <c r="AQ244" s="21">
        <v>0.59173600000000004</v>
      </c>
      <c r="AR244" s="21">
        <v>25.6784</v>
      </c>
      <c r="AS244" s="21">
        <v>-1.45203E-2</v>
      </c>
      <c r="AT244" s="21">
        <v>234</v>
      </c>
      <c r="AU244" s="21">
        <v>0.59106400000000003</v>
      </c>
      <c r="AV244">
        <f t="shared" si="44"/>
        <v>17.926296296296293</v>
      </c>
      <c r="AW244">
        <f t="shared" si="45"/>
        <v>10.607634865185185</v>
      </c>
      <c r="AX244" s="9"/>
      <c r="AY244" s="21">
        <v>1.0783400000000001</v>
      </c>
      <c r="AZ244" s="21">
        <v>29.437100000000001</v>
      </c>
      <c r="BA244" s="21">
        <v>-1.4285300000000001E-2</v>
      </c>
      <c r="BB244" s="21">
        <v>234</v>
      </c>
      <c r="BC244" s="21">
        <v>1.07819</v>
      </c>
      <c r="BD244">
        <f t="shared" si="46"/>
        <v>17.636172839506173</v>
      </c>
      <c r="BE244">
        <f t="shared" si="47"/>
        <v>19.017790619753089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0.5867</v>
      </c>
      <c r="H245" s="21">
        <v>5.23996</v>
      </c>
      <c r="I245" s="21">
        <v>-1.4678999999999999E-2</v>
      </c>
      <c r="J245" s="21">
        <v>235</v>
      </c>
      <c r="K245" s="21">
        <v>0.586121</v>
      </c>
      <c r="L245">
        <f t="shared" si="36"/>
        <v>18.12222222222222</v>
      </c>
      <c r="M245">
        <f t="shared" si="37"/>
        <v>10.632307777777777</v>
      </c>
      <c r="N245" s="9"/>
      <c r="O245" s="21">
        <v>1.0833699999999999</v>
      </c>
      <c r="P245" s="21">
        <v>8.9987300000000001</v>
      </c>
      <c r="Q245" s="21">
        <v>-1.43524E-2</v>
      </c>
      <c r="R245" s="21">
        <v>235</v>
      </c>
      <c r="S245" s="21">
        <v>1.0821499999999999</v>
      </c>
      <c r="T245">
        <f t="shared" si="38"/>
        <v>17.719012345679008</v>
      </c>
      <c r="U245">
        <f t="shared" si="39"/>
        <v>19.196246404938265</v>
      </c>
      <c r="X245" s="9"/>
      <c r="Y245" s="21">
        <v>0.5867</v>
      </c>
      <c r="Z245" s="21">
        <v>16.436199999999999</v>
      </c>
      <c r="AA245" s="21">
        <v>-1.44745E-2</v>
      </c>
      <c r="AB245" s="21">
        <v>235</v>
      </c>
      <c r="AC245" s="21">
        <v>0.58615099999999998</v>
      </c>
      <c r="AD245">
        <f t="shared" si="40"/>
        <v>17.869753086419752</v>
      </c>
      <c r="AE245">
        <f t="shared" si="41"/>
        <v>10.484184135802469</v>
      </c>
      <c r="AF245" s="9"/>
      <c r="AG245" s="21">
        <v>1.0833699999999999</v>
      </c>
      <c r="AH245" s="21">
        <v>20.195</v>
      </c>
      <c r="AI245" s="21">
        <v>-1.4208999999999999E-2</v>
      </c>
      <c r="AJ245" s="21">
        <v>235</v>
      </c>
      <c r="AK245" s="21">
        <v>1.0821499999999999</v>
      </c>
      <c r="AL245">
        <f t="shared" si="42"/>
        <v>17.541975308641973</v>
      </c>
      <c r="AM245">
        <f t="shared" si="43"/>
        <v>19.004449790123452</v>
      </c>
      <c r="AP245" s="9"/>
      <c r="AQ245" s="21">
        <v>0.5867</v>
      </c>
      <c r="AR245" s="21">
        <v>25.688400000000001</v>
      </c>
      <c r="AS245" s="21">
        <v>-1.45264E-2</v>
      </c>
      <c r="AT245" s="21">
        <v>235</v>
      </c>
      <c r="AU245" s="21">
        <v>0.58606000000000003</v>
      </c>
      <c r="AV245">
        <f t="shared" si="44"/>
        <v>17.933827160493827</v>
      </c>
      <c r="AW245">
        <f t="shared" si="45"/>
        <v>10.521776395061728</v>
      </c>
      <c r="AX245" s="9"/>
      <c r="AY245" s="21">
        <v>1.0833699999999999</v>
      </c>
      <c r="AZ245" s="21">
        <v>29.447199999999999</v>
      </c>
      <c r="BA245" s="21">
        <v>-1.42761E-2</v>
      </c>
      <c r="BB245" s="21">
        <v>235</v>
      </c>
      <c r="BC245" s="21">
        <v>1.0821499999999999</v>
      </c>
      <c r="BD245">
        <f t="shared" si="46"/>
        <v>17.624814814814812</v>
      </c>
      <c r="BE245">
        <f t="shared" si="47"/>
        <v>19.09419562592592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0.58166499999999999</v>
      </c>
      <c r="H246" s="21">
        <v>5.2500400000000003</v>
      </c>
      <c r="I246" s="21">
        <v>-1.4678999999999999E-2</v>
      </c>
      <c r="J246" s="21">
        <v>236</v>
      </c>
      <c r="K246" s="21">
        <v>0.58099400000000001</v>
      </c>
      <c r="L246">
        <f t="shared" si="36"/>
        <v>18.12222222222222</v>
      </c>
      <c r="M246">
        <f t="shared" si="37"/>
        <v>10.541062388888887</v>
      </c>
      <c r="N246" s="9"/>
      <c r="O246" s="21">
        <v>1.0884100000000001</v>
      </c>
      <c r="P246" s="21">
        <v>9.0088000000000008</v>
      </c>
      <c r="Q246" s="21">
        <v>-1.43494E-2</v>
      </c>
      <c r="R246" s="21">
        <v>236</v>
      </c>
      <c r="S246" s="21">
        <v>1.08795</v>
      </c>
      <c r="T246">
        <f t="shared" si="38"/>
        <v>17.715308641975309</v>
      </c>
      <c r="U246">
        <f t="shared" si="39"/>
        <v>19.281519079012348</v>
      </c>
      <c r="X246" s="9"/>
      <c r="Y246" s="21">
        <v>0.58166499999999999</v>
      </c>
      <c r="Z246" s="21">
        <v>16.446300000000001</v>
      </c>
      <c r="AA246" s="21">
        <v>-1.4471400000000001E-2</v>
      </c>
      <c r="AB246" s="21">
        <v>236</v>
      </c>
      <c r="AC246" s="21">
        <v>0.58108499999999996</v>
      </c>
      <c r="AD246">
        <f t="shared" si="40"/>
        <v>17.865925925925925</v>
      </c>
      <c r="AE246">
        <f t="shared" si="41"/>
        <v>10.391983803703702</v>
      </c>
      <c r="AF246" s="9"/>
      <c r="AG246" s="21">
        <v>1.0884100000000001</v>
      </c>
      <c r="AH246" s="21">
        <v>20.205100000000002</v>
      </c>
      <c r="AI246" s="21">
        <v>-1.4202899999999999E-2</v>
      </c>
      <c r="AJ246" s="21">
        <v>236</v>
      </c>
      <c r="AK246" s="21">
        <v>1.08734</v>
      </c>
      <c r="AL246">
        <f t="shared" si="42"/>
        <v>17.534444444444443</v>
      </c>
      <c r="AM246">
        <f t="shared" si="43"/>
        <v>19.084664677777777</v>
      </c>
      <c r="AP246" s="9"/>
      <c r="AQ246" s="21">
        <v>0.58166499999999999</v>
      </c>
      <c r="AR246" s="21">
        <v>25.698499999999999</v>
      </c>
      <c r="AS246" s="21">
        <v>-1.45325E-2</v>
      </c>
      <c r="AT246" s="21">
        <v>236</v>
      </c>
      <c r="AU246" s="21">
        <v>0.58105499999999999</v>
      </c>
      <c r="AV246">
        <f t="shared" si="44"/>
        <v>17.941358024691358</v>
      </c>
      <c r="AW246">
        <f t="shared" si="45"/>
        <v>10.435860015432098</v>
      </c>
      <c r="AX246" s="9"/>
      <c r="AY246" s="21">
        <v>1.0884100000000001</v>
      </c>
      <c r="AZ246" s="21">
        <v>29.4573</v>
      </c>
      <c r="BA246" s="21">
        <v>-1.427E-2</v>
      </c>
      <c r="BB246" s="21">
        <v>236</v>
      </c>
      <c r="BC246" s="21">
        <v>1.08765</v>
      </c>
      <c r="BD246">
        <f t="shared" si="46"/>
        <v>17.617283950617285</v>
      </c>
      <c r="BE246">
        <f t="shared" si="47"/>
        <v>19.174828024691362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0.57662999999999998</v>
      </c>
      <c r="H247" s="21">
        <v>5.2601100000000001</v>
      </c>
      <c r="I247" s="21">
        <v>-1.46667E-2</v>
      </c>
      <c r="J247" s="21">
        <v>237</v>
      </c>
      <c r="K247" s="21">
        <v>0.57601899999999995</v>
      </c>
      <c r="L247">
        <f t="shared" si="36"/>
        <v>18.107037037037035</v>
      </c>
      <c r="M247">
        <f t="shared" si="37"/>
        <v>10.441060766666665</v>
      </c>
      <c r="N247" s="9"/>
      <c r="O247" s="21">
        <v>1.09344</v>
      </c>
      <c r="P247" s="21">
        <v>9.0188699999999997</v>
      </c>
      <c r="Q247" s="21">
        <v>-1.43433E-2</v>
      </c>
      <c r="R247" s="21">
        <v>237</v>
      </c>
      <c r="S247" s="21">
        <v>1.09283</v>
      </c>
      <c r="T247">
        <f t="shared" si="38"/>
        <v>17.707777777777778</v>
      </c>
      <c r="U247">
        <f t="shared" si="39"/>
        <v>19.362392533333335</v>
      </c>
      <c r="X247" s="9"/>
      <c r="Y247" s="21">
        <v>0.57662999999999998</v>
      </c>
      <c r="Z247" s="21">
        <v>16.456399999999999</v>
      </c>
      <c r="AA247" s="21">
        <v>-1.44653E-2</v>
      </c>
      <c r="AB247" s="21">
        <v>237</v>
      </c>
      <c r="AC247" s="21">
        <v>0.57604999999999995</v>
      </c>
      <c r="AD247">
        <f t="shared" si="40"/>
        <v>17.858395061728395</v>
      </c>
      <c r="AE247">
        <f t="shared" si="41"/>
        <v>10.297686344444443</v>
      </c>
      <c r="AF247" s="9"/>
      <c r="AG247" s="21">
        <v>1.09344</v>
      </c>
      <c r="AH247" s="21">
        <v>20.2151</v>
      </c>
      <c r="AI247" s="21">
        <v>-1.41876E-2</v>
      </c>
      <c r="AJ247" s="21">
        <v>237</v>
      </c>
      <c r="AK247" s="21">
        <v>1.09283</v>
      </c>
      <c r="AL247">
        <f t="shared" si="42"/>
        <v>17.515555555555554</v>
      </c>
      <c r="AM247">
        <f t="shared" si="43"/>
        <v>19.152209066666664</v>
      </c>
      <c r="AP247" s="9"/>
      <c r="AQ247" s="21">
        <v>0.57662999999999998</v>
      </c>
      <c r="AR247" s="21">
        <v>25.708600000000001</v>
      </c>
      <c r="AS247" s="21">
        <v>-1.45264E-2</v>
      </c>
      <c r="AT247" s="21">
        <v>237</v>
      </c>
      <c r="AU247" s="21">
        <v>0.57595799999999997</v>
      </c>
      <c r="AV247">
        <f t="shared" si="44"/>
        <v>17.933827160493827</v>
      </c>
      <c r="AW247">
        <f t="shared" si="45"/>
        <v>10.341182755555556</v>
      </c>
      <c r="AX247" s="9"/>
      <c r="AY247" s="21">
        <v>1.09344</v>
      </c>
      <c r="AZ247" s="21">
        <v>29.467400000000001</v>
      </c>
      <c r="BA247" s="21">
        <v>-1.4267E-2</v>
      </c>
      <c r="BB247" s="21">
        <v>237</v>
      </c>
      <c r="BC247" s="21">
        <v>1.09253</v>
      </c>
      <c r="BD247">
        <f t="shared" si="46"/>
        <v>17.613580246913582</v>
      </c>
      <c r="BE247">
        <f t="shared" si="47"/>
        <v>19.259393185185186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0.57159400000000005</v>
      </c>
      <c r="H248" s="21">
        <v>5.2701799999999999</v>
      </c>
      <c r="I248" s="21">
        <v>-1.46759E-2</v>
      </c>
      <c r="J248" s="21">
        <v>238</v>
      </c>
      <c r="K248" s="21">
        <v>0.57095300000000004</v>
      </c>
      <c r="L248">
        <f t="shared" si="36"/>
        <v>18.118395061728396</v>
      </c>
      <c r="M248">
        <f t="shared" si="37"/>
        <v>10.356365906913581</v>
      </c>
      <c r="N248" s="9"/>
      <c r="O248" s="21">
        <v>1.0984799999999999</v>
      </c>
      <c r="P248" s="21">
        <v>9.0289400000000004</v>
      </c>
      <c r="Q248" s="21">
        <v>-1.4328E-2</v>
      </c>
      <c r="R248" s="21">
        <v>238</v>
      </c>
      <c r="S248" s="21">
        <v>1.09802</v>
      </c>
      <c r="T248">
        <f t="shared" si="38"/>
        <v>17.68888888888889</v>
      </c>
      <c r="U248">
        <f t="shared" si="39"/>
        <v>19.430890666666667</v>
      </c>
      <c r="X248" s="9"/>
      <c r="Y248" s="21">
        <v>0.57159400000000005</v>
      </c>
      <c r="Z248" s="21">
        <v>16.4664</v>
      </c>
      <c r="AA248" s="21">
        <v>-1.4462300000000001E-2</v>
      </c>
      <c r="AB248" s="21">
        <v>238</v>
      </c>
      <c r="AC248" s="21">
        <v>0.57092299999999996</v>
      </c>
      <c r="AD248">
        <f t="shared" si="40"/>
        <v>17.854691358024692</v>
      </c>
      <c r="AE248">
        <f t="shared" si="41"/>
        <v>10.205634452098767</v>
      </c>
      <c r="AF248" s="9"/>
      <c r="AG248" s="21">
        <v>1.0984799999999999</v>
      </c>
      <c r="AH248" s="21">
        <v>20.225200000000001</v>
      </c>
      <c r="AI248" s="21">
        <v>-1.4175399999999999E-2</v>
      </c>
      <c r="AJ248" s="21">
        <v>238</v>
      </c>
      <c r="AK248" s="21">
        <v>1.09741</v>
      </c>
      <c r="AL248">
        <f t="shared" si="42"/>
        <v>17.500493827160494</v>
      </c>
      <c r="AM248">
        <f t="shared" si="43"/>
        <v>19.223942459259256</v>
      </c>
      <c r="AP248" s="9"/>
      <c r="AQ248" s="21">
        <v>0.57159400000000005</v>
      </c>
      <c r="AR248" s="21">
        <v>25.718699999999998</v>
      </c>
      <c r="AS248" s="21">
        <v>-1.45264E-2</v>
      </c>
      <c r="AT248" s="21">
        <v>238</v>
      </c>
      <c r="AU248" s="21">
        <v>0.571075</v>
      </c>
      <c r="AV248">
        <f t="shared" si="44"/>
        <v>17.933827160493827</v>
      </c>
      <c r="AW248">
        <f t="shared" si="45"/>
        <v>10.250868001975309</v>
      </c>
      <c r="AX248" s="9"/>
      <c r="AY248" s="21">
        <v>1.0984799999999999</v>
      </c>
      <c r="AZ248" s="21">
        <v>29.477399999999999</v>
      </c>
      <c r="BA248" s="21">
        <v>-1.427E-2</v>
      </c>
      <c r="BB248" s="21">
        <v>238</v>
      </c>
      <c r="BC248" s="21">
        <v>1.09711</v>
      </c>
      <c r="BD248">
        <f t="shared" si="46"/>
        <v>17.617283950617285</v>
      </c>
      <c r="BE248">
        <f t="shared" si="47"/>
        <v>19.352234074074072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0.56655900000000003</v>
      </c>
      <c r="H249" s="21">
        <v>5.2802499999999997</v>
      </c>
      <c r="I249" s="21">
        <v>-1.4682000000000001E-2</v>
      </c>
      <c r="J249" s="21">
        <v>239</v>
      </c>
      <c r="K249" s="21">
        <v>0.56594800000000001</v>
      </c>
      <c r="L249">
        <f t="shared" si="36"/>
        <v>18.125925925925923</v>
      </c>
      <c r="M249">
        <f t="shared" si="37"/>
        <v>10.269406466666666</v>
      </c>
      <c r="N249" s="9"/>
      <c r="O249" s="21">
        <v>1.1035200000000001</v>
      </c>
      <c r="P249" s="21">
        <v>9.0390099999999993</v>
      </c>
      <c r="Q249" s="21">
        <v>-1.43219E-2</v>
      </c>
      <c r="R249" s="21">
        <v>239</v>
      </c>
      <c r="S249" s="21">
        <v>1.1029100000000001</v>
      </c>
      <c r="T249">
        <f t="shared" si="38"/>
        <v>17.68135802469136</v>
      </c>
      <c r="U249">
        <f t="shared" si="39"/>
        <v>19.511732207407409</v>
      </c>
      <c r="X249" s="9"/>
      <c r="Y249" s="21">
        <v>0.56655900000000003</v>
      </c>
      <c r="Z249" s="21">
        <v>16.476500000000001</v>
      </c>
      <c r="AA249" s="21">
        <v>-1.44592E-2</v>
      </c>
      <c r="AB249" s="21">
        <v>239</v>
      </c>
      <c r="AC249" s="21">
        <v>0.56594800000000001</v>
      </c>
      <c r="AD249">
        <f t="shared" si="40"/>
        <v>17.850864197530864</v>
      </c>
      <c r="AE249">
        <f t="shared" si="41"/>
        <v>10.11356776888889</v>
      </c>
      <c r="AF249" s="9"/>
      <c r="AG249" s="21">
        <v>1.1035200000000001</v>
      </c>
      <c r="AH249" s="21">
        <v>20.235299999999999</v>
      </c>
      <c r="AI249" s="21">
        <v>-1.4157100000000001E-2</v>
      </c>
      <c r="AJ249" s="21">
        <v>239</v>
      </c>
      <c r="AK249" s="21">
        <v>1.1029100000000001</v>
      </c>
      <c r="AL249">
        <f t="shared" si="42"/>
        <v>17.477901234567902</v>
      </c>
      <c r="AM249">
        <f t="shared" si="43"/>
        <v>19.287213570370373</v>
      </c>
      <c r="AP249" s="9"/>
      <c r="AQ249" s="21">
        <v>0.56655900000000003</v>
      </c>
      <c r="AR249" s="21">
        <v>25.7287</v>
      </c>
      <c r="AS249" s="21">
        <v>-1.45416E-2</v>
      </c>
      <c r="AT249" s="21">
        <v>239</v>
      </c>
      <c r="AU249" s="21">
        <v>0.56594800000000001</v>
      </c>
      <c r="AV249">
        <f t="shared" si="44"/>
        <v>17.952592592592595</v>
      </c>
      <c r="AW249">
        <f t="shared" si="45"/>
        <v>10.171202906666668</v>
      </c>
      <c r="AX249" s="9"/>
      <c r="AY249" s="21">
        <v>1.1035200000000001</v>
      </c>
      <c r="AZ249" s="21">
        <v>29.487500000000001</v>
      </c>
      <c r="BA249" s="21">
        <v>-1.4263899999999999E-2</v>
      </c>
      <c r="BB249" s="21">
        <v>239</v>
      </c>
      <c r="BC249" s="21">
        <v>1.1026</v>
      </c>
      <c r="BD249">
        <f t="shared" si="46"/>
        <v>17.609753086419751</v>
      </c>
      <c r="BE249">
        <f t="shared" si="47"/>
        <v>19.432714725925923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0.56152299999999999</v>
      </c>
      <c r="H250" s="21">
        <v>5.2903200000000004</v>
      </c>
      <c r="I250" s="21">
        <v>-1.4682000000000001E-2</v>
      </c>
      <c r="J250" s="21">
        <v>240</v>
      </c>
      <c r="K250" s="21">
        <v>0.560944</v>
      </c>
      <c r="L250">
        <f t="shared" si="36"/>
        <v>18.125925925925923</v>
      </c>
      <c r="M250">
        <f t="shared" si="37"/>
        <v>10.178124303703703</v>
      </c>
      <c r="N250" s="9"/>
      <c r="O250" s="21">
        <v>1.1085499999999999</v>
      </c>
      <c r="P250" s="21">
        <v>9.0490899999999996</v>
      </c>
      <c r="Q250" s="21">
        <v>-1.43158E-2</v>
      </c>
      <c r="R250" s="21">
        <v>240</v>
      </c>
      <c r="S250" s="21">
        <v>1.10748</v>
      </c>
      <c r="T250">
        <f t="shared" si="38"/>
        <v>17.673827160493826</v>
      </c>
      <c r="U250">
        <f t="shared" si="39"/>
        <v>19.592321098765428</v>
      </c>
      <c r="X250" s="9"/>
      <c r="Y250" s="21">
        <v>0.56152299999999999</v>
      </c>
      <c r="Z250" s="21">
        <v>16.486599999999999</v>
      </c>
      <c r="AA250" s="21">
        <v>-1.4471400000000001E-2</v>
      </c>
      <c r="AB250" s="21">
        <v>240</v>
      </c>
      <c r="AC250" s="21">
        <v>0.56097399999999997</v>
      </c>
      <c r="AD250">
        <f t="shared" si="40"/>
        <v>17.865925925925925</v>
      </c>
      <c r="AE250">
        <f t="shared" si="41"/>
        <v>10.032128323703704</v>
      </c>
      <c r="AF250" s="9"/>
      <c r="AG250" s="21">
        <v>1.1085499999999999</v>
      </c>
      <c r="AH250" s="21">
        <v>20.2453</v>
      </c>
      <c r="AI250" s="21">
        <v>-1.4151E-2</v>
      </c>
      <c r="AJ250" s="21">
        <v>240</v>
      </c>
      <c r="AK250" s="21">
        <v>1.10748</v>
      </c>
      <c r="AL250">
        <f t="shared" si="42"/>
        <v>17.470370370370368</v>
      </c>
      <c r="AM250">
        <f t="shared" si="43"/>
        <v>19.366779074074071</v>
      </c>
      <c r="AP250" s="9"/>
      <c r="AQ250" s="21">
        <v>0.56152299999999999</v>
      </c>
      <c r="AR250" s="21">
        <v>25.738800000000001</v>
      </c>
      <c r="AS250" s="21">
        <v>-1.45477E-2</v>
      </c>
      <c r="AT250" s="21">
        <v>240</v>
      </c>
      <c r="AU250" s="21">
        <v>0.56091299999999999</v>
      </c>
      <c r="AV250">
        <f t="shared" si="44"/>
        <v>17.960123456790122</v>
      </c>
      <c r="AW250">
        <f t="shared" si="45"/>
        <v>10.085022403827159</v>
      </c>
      <c r="AX250" s="9"/>
      <c r="AY250" s="21">
        <v>1.1085499999999999</v>
      </c>
      <c r="AZ250" s="21">
        <v>29.497599999999998</v>
      </c>
      <c r="BA250" s="21">
        <v>-1.4267E-2</v>
      </c>
      <c r="BB250" s="21">
        <v>240</v>
      </c>
      <c r="BC250" s="21">
        <v>1.10809</v>
      </c>
      <c r="BD250">
        <f t="shared" si="46"/>
        <v>17.613580246913582</v>
      </c>
      <c r="BE250">
        <f t="shared" si="47"/>
        <v>19.525534382716049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0.55648799999999998</v>
      </c>
      <c r="H251" s="21">
        <v>5.3003900000000002</v>
      </c>
      <c r="I251" s="21">
        <v>-1.4678999999999999E-2</v>
      </c>
      <c r="J251" s="21">
        <v>241</v>
      </c>
      <c r="K251" s="21">
        <v>0.55590799999999996</v>
      </c>
      <c r="L251">
        <f t="shared" si="36"/>
        <v>18.12222222222222</v>
      </c>
      <c r="M251">
        <f t="shared" si="37"/>
        <v>10.084799199999999</v>
      </c>
      <c r="N251" s="9"/>
      <c r="O251" s="21">
        <v>1.1135900000000001</v>
      </c>
      <c r="P251" s="21">
        <v>9.0591600000000003</v>
      </c>
      <c r="Q251" s="21">
        <v>-1.4312699999999999E-2</v>
      </c>
      <c r="R251" s="21">
        <v>241</v>
      </c>
      <c r="S251" s="21">
        <v>1.1129800000000001</v>
      </c>
      <c r="T251">
        <f t="shared" si="38"/>
        <v>17.669999999999998</v>
      </c>
      <c r="U251">
        <f t="shared" si="39"/>
        <v>19.6771353</v>
      </c>
      <c r="X251" s="9"/>
      <c r="Y251" s="21">
        <v>0.55648799999999998</v>
      </c>
      <c r="Z251" s="21">
        <v>16.496600000000001</v>
      </c>
      <c r="AA251" s="21">
        <v>-1.4483599999999999E-2</v>
      </c>
      <c r="AB251" s="21">
        <v>241</v>
      </c>
      <c r="AC251" s="21">
        <v>0.55584699999999998</v>
      </c>
      <c r="AD251">
        <f t="shared" si="40"/>
        <v>17.880987654320986</v>
      </c>
      <c r="AE251">
        <f t="shared" si="41"/>
        <v>9.9505550577777768</v>
      </c>
      <c r="AF251" s="9"/>
      <c r="AG251" s="21">
        <v>1.1135900000000001</v>
      </c>
      <c r="AH251" s="21">
        <v>20.255400000000002</v>
      </c>
      <c r="AI251" s="21">
        <v>-1.41388E-2</v>
      </c>
      <c r="AJ251" s="21">
        <v>241</v>
      </c>
      <c r="AK251" s="21">
        <v>1.11267</v>
      </c>
      <c r="AL251">
        <f t="shared" si="42"/>
        <v>17.455308641975307</v>
      </c>
      <c r="AM251">
        <f t="shared" si="43"/>
        <v>19.438057150617283</v>
      </c>
      <c r="AP251" s="9"/>
      <c r="AQ251" s="21">
        <v>0.55648799999999998</v>
      </c>
      <c r="AR251" s="21">
        <v>25.748899999999999</v>
      </c>
      <c r="AS251" s="21">
        <v>-1.45477E-2</v>
      </c>
      <c r="AT251" s="21">
        <v>241</v>
      </c>
      <c r="AU251" s="21">
        <v>0.55584699999999998</v>
      </c>
      <c r="AV251">
        <f t="shared" si="44"/>
        <v>17.960123456790122</v>
      </c>
      <c r="AW251">
        <f t="shared" si="45"/>
        <v>9.9945931822222214</v>
      </c>
      <c r="AX251" s="9"/>
      <c r="AY251" s="21">
        <v>1.1135900000000001</v>
      </c>
      <c r="AZ251" s="21">
        <v>29.5076</v>
      </c>
      <c r="BA251" s="21">
        <v>-1.4257799999999999E-2</v>
      </c>
      <c r="BB251" s="21">
        <v>241</v>
      </c>
      <c r="BC251" s="21">
        <v>1.1123700000000001</v>
      </c>
      <c r="BD251">
        <f t="shared" si="46"/>
        <v>17.60222222222222</v>
      </c>
      <c r="BE251">
        <f t="shared" si="47"/>
        <v>19.601658644444445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0.55145299999999997</v>
      </c>
      <c r="H252" s="21">
        <v>5.31046</v>
      </c>
      <c r="I252" s="21">
        <v>-1.4672899999999999E-2</v>
      </c>
      <c r="J252" s="21">
        <v>242</v>
      </c>
      <c r="K252" s="21">
        <v>0.55093400000000003</v>
      </c>
      <c r="L252">
        <f t="shared" si="36"/>
        <v>18.11469135802469</v>
      </c>
      <c r="M252">
        <f t="shared" si="37"/>
        <v>9.9894008934567893</v>
      </c>
      <c r="N252" s="9"/>
      <c r="O252" s="21">
        <v>1.1186199999999999</v>
      </c>
      <c r="P252" s="21">
        <v>9.0692299999999992</v>
      </c>
      <c r="Q252" s="21">
        <v>-1.43188E-2</v>
      </c>
      <c r="R252" s="21">
        <v>242</v>
      </c>
      <c r="S252" s="21">
        <v>1.11755</v>
      </c>
      <c r="T252">
        <f t="shared" si="38"/>
        <v>17.677530864197529</v>
      </c>
      <c r="U252">
        <f t="shared" si="39"/>
        <v>19.774439575308637</v>
      </c>
      <c r="X252" s="9"/>
      <c r="Y252" s="21">
        <v>0.55145299999999997</v>
      </c>
      <c r="Z252" s="21">
        <v>16.506699999999999</v>
      </c>
      <c r="AA252" s="21">
        <v>-1.44867E-2</v>
      </c>
      <c r="AB252" s="21">
        <v>242</v>
      </c>
      <c r="AC252" s="21">
        <v>0.55093400000000003</v>
      </c>
      <c r="AD252">
        <f t="shared" si="40"/>
        <v>17.884814814814817</v>
      </c>
      <c r="AE252">
        <f t="shared" si="41"/>
        <v>9.8626347840740749</v>
      </c>
      <c r="AF252" s="9"/>
      <c r="AG252" s="21">
        <v>1.1186199999999999</v>
      </c>
      <c r="AH252" s="21">
        <v>20.265499999999999</v>
      </c>
      <c r="AI252" s="21">
        <v>-1.41327E-2</v>
      </c>
      <c r="AJ252" s="21">
        <v>242</v>
      </c>
      <c r="AK252" s="21">
        <v>1.1178600000000001</v>
      </c>
      <c r="AL252">
        <f t="shared" si="42"/>
        <v>17.447777777777777</v>
      </c>
      <c r="AM252">
        <f t="shared" si="43"/>
        <v>19.517433177777775</v>
      </c>
      <c r="AP252" s="9"/>
      <c r="AQ252" s="21">
        <v>0.55145299999999997</v>
      </c>
      <c r="AR252" s="21">
        <v>25.758900000000001</v>
      </c>
      <c r="AS252" s="21">
        <v>-1.45416E-2</v>
      </c>
      <c r="AT252" s="21">
        <v>242</v>
      </c>
      <c r="AU252" s="21">
        <v>0.55090300000000003</v>
      </c>
      <c r="AV252">
        <f t="shared" si="44"/>
        <v>17.952592592592595</v>
      </c>
      <c r="AW252">
        <f t="shared" si="45"/>
        <v>9.900011042962964</v>
      </c>
      <c r="AX252" s="9"/>
      <c r="AY252" s="21">
        <v>1.1186199999999999</v>
      </c>
      <c r="AZ252" s="21">
        <v>29.517700000000001</v>
      </c>
      <c r="BA252" s="21">
        <v>-1.42609E-2</v>
      </c>
      <c r="BB252" s="21">
        <v>242</v>
      </c>
      <c r="BC252" s="21">
        <v>1.11816</v>
      </c>
      <c r="BD252">
        <f t="shared" si="46"/>
        <v>17.606049382716048</v>
      </c>
      <c r="BE252">
        <f t="shared" si="47"/>
        <v>19.694478960493825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0.54641700000000004</v>
      </c>
      <c r="H253" s="21">
        <v>5.3205299999999998</v>
      </c>
      <c r="I253" s="21">
        <v>-1.46667E-2</v>
      </c>
      <c r="J253" s="21">
        <v>243</v>
      </c>
      <c r="K253" s="21">
        <v>0.54580700000000004</v>
      </c>
      <c r="L253">
        <f t="shared" si="36"/>
        <v>18.107037037037035</v>
      </c>
      <c r="M253">
        <f t="shared" si="37"/>
        <v>9.8939928566666655</v>
      </c>
      <c r="N253" s="9"/>
      <c r="O253" s="21">
        <v>1.1236600000000001</v>
      </c>
      <c r="P253" s="21">
        <v>9.0792999999999999</v>
      </c>
      <c r="Q253" s="21">
        <v>-1.43188E-2</v>
      </c>
      <c r="R253" s="21">
        <v>243</v>
      </c>
      <c r="S253" s="21">
        <v>1.1224400000000001</v>
      </c>
      <c r="T253">
        <f t="shared" si="38"/>
        <v>17.677530864197529</v>
      </c>
      <c r="U253">
        <f t="shared" si="39"/>
        <v>19.863534330864198</v>
      </c>
      <c r="X253" s="9"/>
      <c r="Y253" s="21">
        <v>0.54641700000000004</v>
      </c>
      <c r="Z253" s="21">
        <v>16.5168</v>
      </c>
      <c r="AA253" s="21">
        <v>-1.44867E-2</v>
      </c>
      <c r="AB253" s="21">
        <v>243</v>
      </c>
      <c r="AC253" s="21">
        <v>0.54574599999999995</v>
      </c>
      <c r="AD253">
        <f t="shared" si="40"/>
        <v>17.884814814814817</v>
      </c>
      <c r="AE253">
        <f t="shared" si="41"/>
        <v>9.7725668566666677</v>
      </c>
      <c r="AF253" s="9"/>
      <c r="AG253" s="21">
        <v>1.1236600000000001</v>
      </c>
      <c r="AH253" s="21">
        <v>20.275600000000001</v>
      </c>
      <c r="AI253" s="21">
        <v>-1.41327E-2</v>
      </c>
      <c r="AJ253" s="21">
        <v>243</v>
      </c>
      <c r="AK253" s="21">
        <v>1.1224400000000001</v>
      </c>
      <c r="AL253">
        <f t="shared" si="42"/>
        <v>17.447777777777777</v>
      </c>
      <c r="AM253">
        <f t="shared" si="43"/>
        <v>19.60536997777778</v>
      </c>
      <c r="AP253" s="9"/>
      <c r="AQ253" s="21">
        <v>0.54641700000000004</v>
      </c>
      <c r="AR253" s="21">
        <v>25.768999999999998</v>
      </c>
      <c r="AS253" s="21">
        <v>-1.45294E-2</v>
      </c>
      <c r="AT253" s="21">
        <v>243</v>
      </c>
      <c r="AU253" s="21">
        <v>0.54589799999999999</v>
      </c>
      <c r="AV253">
        <f t="shared" si="44"/>
        <v>17.93753086419753</v>
      </c>
      <c r="AW253">
        <f t="shared" si="45"/>
        <v>9.8013718022222225</v>
      </c>
      <c r="AX253" s="9"/>
      <c r="AY253" s="21">
        <v>1.1236600000000001</v>
      </c>
      <c r="AZ253" s="21">
        <v>29.527799999999999</v>
      </c>
      <c r="BA253" s="21">
        <v>-1.42609E-2</v>
      </c>
      <c r="BB253" s="21">
        <v>243</v>
      </c>
      <c r="BC253" s="21">
        <v>1.1224400000000001</v>
      </c>
      <c r="BD253">
        <f t="shared" si="46"/>
        <v>17.606049382716048</v>
      </c>
      <c r="BE253">
        <f t="shared" si="47"/>
        <v>19.783213449382718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0.54138200000000003</v>
      </c>
      <c r="H254" s="21">
        <v>5.3305999999999996</v>
      </c>
      <c r="I254" s="21">
        <v>-1.46698E-2</v>
      </c>
      <c r="J254" s="21">
        <v>244</v>
      </c>
      <c r="K254" s="21">
        <v>0.54064900000000005</v>
      </c>
      <c r="L254">
        <f t="shared" si="36"/>
        <v>18.110864197530866</v>
      </c>
      <c r="M254">
        <f t="shared" si="37"/>
        <v>9.8048958809876563</v>
      </c>
      <c r="N254" s="9"/>
      <c r="O254" s="21">
        <v>1.12869</v>
      </c>
      <c r="P254" s="21">
        <v>9.0893700000000006</v>
      </c>
      <c r="Q254" s="21">
        <v>-1.4331099999999999E-2</v>
      </c>
      <c r="R254" s="21">
        <v>244</v>
      </c>
      <c r="S254" s="21">
        <v>1.1273200000000001</v>
      </c>
      <c r="T254">
        <f t="shared" si="38"/>
        <v>17.692716049382714</v>
      </c>
      <c r="U254">
        <f t="shared" si="39"/>
        <v>19.969591677777775</v>
      </c>
      <c r="X254" s="9"/>
      <c r="Y254" s="21">
        <v>0.54138200000000003</v>
      </c>
      <c r="Z254" s="21">
        <v>16.526900000000001</v>
      </c>
      <c r="AA254" s="21">
        <v>-1.44745E-2</v>
      </c>
      <c r="AB254" s="21">
        <v>244</v>
      </c>
      <c r="AC254" s="21">
        <v>0.540771</v>
      </c>
      <c r="AD254">
        <f t="shared" si="40"/>
        <v>17.869753086419752</v>
      </c>
      <c r="AE254">
        <f t="shared" si="41"/>
        <v>9.6743626654320991</v>
      </c>
      <c r="AF254" s="9"/>
      <c r="AG254" s="21">
        <v>1.12869</v>
      </c>
      <c r="AH254" s="21">
        <v>20.285599999999999</v>
      </c>
      <c r="AI254" s="21">
        <v>-1.4135699999999999E-2</v>
      </c>
      <c r="AJ254" s="21">
        <v>244</v>
      </c>
      <c r="AK254" s="21">
        <v>1.1285400000000001</v>
      </c>
      <c r="AL254">
        <f t="shared" si="42"/>
        <v>17.45148148148148</v>
      </c>
      <c r="AM254">
        <f t="shared" si="43"/>
        <v>19.697312633333333</v>
      </c>
      <c r="AP254" s="9"/>
      <c r="AQ254" s="21">
        <v>0.54138200000000003</v>
      </c>
      <c r="AR254" s="21">
        <v>25.7791</v>
      </c>
      <c r="AS254" s="21">
        <v>-1.45294E-2</v>
      </c>
      <c r="AT254" s="21">
        <v>244</v>
      </c>
      <c r="AU254" s="21">
        <v>0.54074100000000003</v>
      </c>
      <c r="AV254">
        <f t="shared" si="44"/>
        <v>17.93753086419753</v>
      </c>
      <c r="AW254">
        <f t="shared" si="45"/>
        <v>9.7110563343209879</v>
      </c>
      <c r="AX254" s="9"/>
      <c r="AY254" s="21">
        <v>1.12869</v>
      </c>
      <c r="AZ254" s="21">
        <v>29.5379</v>
      </c>
      <c r="BA254" s="21">
        <v>-1.4251700000000001E-2</v>
      </c>
      <c r="BB254" s="21">
        <v>244</v>
      </c>
      <c r="BC254" s="21">
        <v>1.1279300000000001</v>
      </c>
      <c r="BD254">
        <f t="shared" si="46"/>
        <v>17.594691358024694</v>
      </c>
      <c r="BE254">
        <f t="shared" si="47"/>
        <v>19.858952188888892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0.53634599999999999</v>
      </c>
      <c r="H255" s="21">
        <v>5.3406700000000003</v>
      </c>
      <c r="I255" s="21">
        <v>-1.46759E-2</v>
      </c>
      <c r="J255" s="21">
        <v>245</v>
      </c>
      <c r="K255" s="21">
        <v>0.53579699999999997</v>
      </c>
      <c r="L255">
        <f t="shared" si="36"/>
        <v>18.118395061728396</v>
      </c>
      <c r="M255">
        <f t="shared" si="37"/>
        <v>9.7177287177777778</v>
      </c>
      <c r="N255" s="9"/>
      <c r="O255" s="21">
        <v>1.1337299999999999</v>
      </c>
      <c r="P255" s="21">
        <v>9.0994399999999995</v>
      </c>
      <c r="Q255" s="21">
        <v>-1.43433E-2</v>
      </c>
      <c r="R255" s="21">
        <v>245</v>
      </c>
      <c r="S255" s="21">
        <v>1.1331199999999999</v>
      </c>
      <c r="T255">
        <f t="shared" si="38"/>
        <v>17.707777777777778</v>
      </c>
      <c r="U255">
        <f t="shared" si="39"/>
        <v>20.075838899999997</v>
      </c>
      <c r="X255" s="9"/>
      <c r="Y255" s="21">
        <v>0.53634599999999999</v>
      </c>
      <c r="Z255" s="21">
        <v>16.536899999999999</v>
      </c>
      <c r="AA255" s="21">
        <v>-1.44745E-2</v>
      </c>
      <c r="AB255" s="21">
        <v>245</v>
      </c>
      <c r="AC255" s="21">
        <v>0.53573599999999999</v>
      </c>
      <c r="AD255">
        <f t="shared" si="40"/>
        <v>17.869753086419752</v>
      </c>
      <c r="AE255">
        <f t="shared" si="41"/>
        <v>9.5843705888888877</v>
      </c>
      <c r="AF255" s="9"/>
      <c r="AG255" s="21">
        <v>1.1337299999999999</v>
      </c>
      <c r="AH255" s="21">
        <v>20.2957</v>
      </c>
      <c r="AI255" s="21">
        <v>-1.4123500000000001E-2</v>
      </c>
      <c r="AJ255" s="21">
        <v>245</v>
      </c>
      <c r="AK255" s="21">
        <v>1.1328100000000001</v>
      </c>
      <c r="AL255">
        <f t="shared" si="42"/>
        <v>17.436419753086419</v>
      </c>
      <c r="AM255">
        <f t="shared" si="43"/>
        <v>19.768192166666665</v>
      </c>
      <c r="AP255" s="9"/>
      <c r="AQ255" s="21">
        <v>0.53634599999999999</v>
      </c>
      <c r="AR255" s="21">
        <v>25.789200000000001</v>
      </c>
      <c r="AS255" s="21">
        <v>-1.45294E-2</v>
      </c>
      <c r="AT255" s="21">
        <v>245</v>
      </c>
      <c r="AU255" s="21">
        <v>0.53579699999999997</v>
      </c>
      <c r="AV255">
        <f t="shared" si="44"/>
        <v>17.93753086419753</v>
      </c>
      <c r="AW255">
        <f t="shared" si="45"/>
        <v>9.6207229288888882</v>
      </c>
      <c r="AX255" s="9"/>
      <c r="AY255" s="21">
        <v>1.1337299999999999</v>
      </c>
      <c r="AZ255" s="21">
        <v>29.547899999999998</v>
      </c>
      <c r="BA255" s="21">
        <v>-1.4251700000000001E-2</v>
      </c>
      <c r="BB255" s="21">
        <v>245</v>
      </c>
      <c r="BC255" s="21">
        <v>1.1331199999999999</v>
      </c>
      <c r="BD255">
        <f t="shared" si="46"/>
        <v>17.594691358024694</v>
      </c>
      <c r="BE255">
        <f t="shared" si="47"/>
        <v>19.947629433333333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0.53131099999999998</v>
      </c>
      <c r="H256" s="21">
        <v>5.3507499999999997</v>
      </c>
      <c r="I256" s="21">
        <v>-1.4688100000000001E-2</v>
      </c>
      <c r="J256" s="21">
        <v>246</v>
      </c>
      <c r="K256" s="21">
        <v>0.53070099999999998</v>
      </c>
      <c r="L256">
        <f t="shared" si="36"/>
        <v>18.133456790123457</v>
      </c>
      <c r="M256">
        <f t="shared" si="37"/>
        <v>9.6345050606172844</v>
      </c>
      <c r="N256" s="9"/>
      <c r="O256" s="21">
        <v>1.13876</v>
      </c>
      <c r="P256" s="21">
        <v>9.1095100000000002</v>
      </c>
      <c r="Q256" s="21">
        <v>-1.43372E-2</v>
      </c>
      <c r="R256" s="21">
        <v>246</v>
      </c>
      <c r="S256" s="21">
        <v>1.1379999999999999</v>
      </c>
      <c r="T256">
        <f t="shared" si="38"/>
        <v>17.700246913580244</v>
      </c>
      <c r="U256">
        <f t="shared" si="39"/>
        <v>20.156333175308639</v>
      </c>
      <c r="X256" s="9"/>
      <c r="Y256" s="21">
        <v>0.53131099999999998</v>
      </c>
      <c r="Z256" s="21">
        <v>16.547000000000001</v>
      </c>
      <c r="AA256" s="21">
        <v>-1.4483599999999999E-2</v>
      </c>
      <c r="AB256" s="21">
        <v>246</v>
      </c>
      <c r="AC256" s="21">
        <v>0.53079200000000004</v>
      </c>
      <c r="AD256">
        <f t="shared" si="40"/>
        <v>17.880987654320986</v>
      </c>
      <c r="AE256">
        <f t="shared" si="41"/>
        <v>9.5003654316049371</v>
      </c>
      <c r="AF256" s="9"/>
      <c r="AG256" s="21">
        <v>1.13876</v>
      </c>
      <c r="AH256" s="21">
        <v>20.305800000000001</v>
      </c>
      <c r="AI256" s="21">
        <v>-1.4123500000000001E-2</v>
      </c>
      <c r="AJ256" s="21">
        <v>246</v>
      </c>
      <c r="AK256" s="21">
        <v>1.1379999999999999</v>
      </c>
      <c r="AL256">
        <f t="shared" si="42"/>
        <v>17.436419753086419</v>
      </c>
      <c r="AM256">
        <f t="shared" si="43"/>
        <v>19.855897358024691</v>
      </c>
      <c r="AP256" s="9"/>
      <c r="AQ256" s="21">
        <v>0.53131099999999998</v>
      </c>
      <c r="AR256" s="21">
        <v>25.799199999999999</v>
      </c>
      <c r="AS256" s="21">
        <v>-1.45386E-2</v>
      </c>
      <c r="AT256" s="21">
        <v>246</v>
      </c>
      <c r="AU256" s="21">
        <v>0.53070099999999998</v>
      </c>
      <c r="AV256">
        <f t="shared" si="44"/>
        <v>17.948888888888888</v>
      </c>
      <c r="AW256">
        <f t="shared" si="45"/>
        <v>9.5364421044444434</v>
      </c>
      <c r="AX256" s="9"/>
      <c r="AY256" s="21">
        <v>1.13876</v>
      </c>
      <c r="AZ256" s="21">
        <v>29.558</v>
      </c>
      <c r="BA256" s="21">
        <v>-1.4242599999999999E-2</v>
      </c>
      <c r="BB256" s="21">
        <v>246</v>
      </c>
      <c r="BC256" s="21">
        <v>1.1376999999999999</v>
      </c>
      <c r="BD256">
        <f t="shared" si="46"/>
        <v>17.583456790123453</v>
      </c>
      <c r="BE256">
        <f t="shared" si="47"/>
        <v>20.023337254320982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0.52627599999999997</v>
      </c>
      <c r="H257" s="21">
        <v>5.3608200000000004</v>
      </c>
      <c r="I257" s="21">
        <v>-1.4688100000000001E-2</v>
      </c>
      <c r="J257" s="21">
        <v>247</v>
      </c>
      <c r="K257" s="21">
        <v>0.52563499999999996</v>
      </c>
      <c r="L257">
        <f t="shared" si="36"/>
        <v>18.133456790123457</v>
      </c>
      <c r="M257">
        <f t="shared" si="37"/>
        <v>9.5432031056790123</v>
      </c>
      <c r="N257" s="9"/>
      <c r="O257" s="21">
        <v>1.1437999999999999</v>
      </c>
      <c r="P257" s="21">
        <v>9.1195799999999991</v>
      </c>
      <c r="Q257" s="21">
        <v>-1.4331099999999999E-2</v>
      </c>
      <c r="R257" s="21">
        <v>247</v>
      </c>
      <c r="S257" s="21">
        <v>1.1428799999999999</v>
      </c>
      <c r="T257">
        <f t="shared" si="38"/>
        <v>17.692716049382714</v>
      </c>
      <c r="U257">
        <f t="shared" si="39"/>
        <v>20.236928617283947</v>
      </c>
      <c r="X257" s="9"/>
      <c r="Y257" s="21">
        <v>0.52627599999999997</v>
      </c>
      <c r="Z257" s="21">
        <v>16.557099999999998</v>
      </c>
      <c r="AA257" s="21">
        <v>-1.44806E-2</v>
      </c>
      <c r="AB257" s="21">
        <v>247</v>
      </c>
      <c r="AC257" s="21">
        <v>0.52563499999999996</v>
      </c>
      <c r="AD257">
        <f t="shared" si="40"/>
        <v>17.877283950617283</v>
      </c>
      <c r="AE257">
        <f t="shared" si="41"/>
        <v>9.4083854883950604</v>
      </c>
      <c r="AF257" s="9"/>
      <c r="AG257" s="21">
        <v>1.1437999999999999</v>
      </c>
      <c r="AH257" s="21">
        <v>20.315799999999999</v>
      </c>
      <c r="AI257" s="21">
        <v>-1.4120499999999999E-2</v>
      </c>
      <c r="AJ257" s="21">
        <v>247</v>
      </c>
      <c r="AK257" s="21">
        <v>1.1428799999999999</v>
      </c>
      <c r="AL257">
        <f t="shared" si="42"/>
        <v>17.432716049382716</v>
      </c>
      <c r="AM257">
        <f t="shared" si="43"/>
        <v>19.939540617283949</v>
      </c>
      <c r="AP257" s="9"/>
      <c r="AQ257" s="21">
        <v>0.52627599999999997</v>
      </c>
      <c r="AR257" s="21">
        <v>25.8093</v>
      </c>
      <c r="AS257" s="21">
        <v>-1.45416E-2</v>
      </c>
      <c r="AT257" s="21">
        <v>247</v>
      </c>
      <c r="AU257" s="21">
        <v>0.52563499999999996</v>
      </c>
      <c r="AV257">
        <f t="shared" si="44"/>
        <v>17.952592592592595</v>
      </c>
      <c r="AW257">
        <f t="shared" si="45"/>
        <v>9.4480186192592601</v>
      </c>
      <c r="AX257" s="9"/>
      <c r="AY257" s="21">
        <v>1.1437999999999999</v>
      </c>
      <c r="AZ257" s="21">
        <v>29.568100000000001</v>
      </c>
      <c r="BA257" s="21">
        <v>-1.42395E-2</v>
      </c>
      <c r="BB257" s="21">
        <v>247</v>
      </c>
      <c r="BC257" s="21">
        <v>1.1425799999999999</v>
      </c>
      <c r="BD257">
        <f t="shared" si="46"/>
        <v>17.579629629629629</v>
      </c>
      <c r="BE257">
        <f t="shared" si="47"/>
        <v>20.107580370370368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0.52124000000000004</v>
      </c>
      <c r="H258" s="21">
        <v>5.3708900000000002</v>
      </c>
      <c r="I258" s="21">
        <v>-1.46973E-2</v>
      </c>
      <c r="J258" s="21">
        <v>248</v>
      </c>
      <c r="K258" s="21">
        <v>0.52069100000000001</v>
      </c>
      <c r="L258">
        <f t="shared" si="36"/>
        <v>18.144814814814815</v>
      </c>
      <c r="M258">
        <f t="shared" si="37"/>
        <v>9.4578032740740756</v>
      </c>
      <c r="N258" s="9"/>
      <c r="O258" s="21">
        <v>1.14883</v>
      </c>
      <c r="P258" s="21">
        <v>9.1296499999999998</v>
      </c>
      <c r="Q258" s="21">
        <v>-1.43158E-2</v>
      </c>
      <c r="R258" s="21">
        <v>248</v>
      </c>
      <c r="S258" s="21">
        <v>1.14838</v>
      </c>
      <c r="T258">
        <f t="shared" si="38"/>
        <v>17.673827160493826</v>
      </c>
      <c r="U258">
        <f t="shared" si="39"/>
        <v>20.304222856790123</v>
      </c>
      <c r="X258" s="9"/>
      <c r="Y258" s="21">
        <v>0.52124000000000004</v>
      </c>
      <c r="Z258" s="21">
        <v>16.5671</v>
      </c>
      <c r="AA258" s="21">
        <v>-1.44806E-2</v>
      </c>
      <c r="AB258" s="21">
        <v>248</v>
      </c>
      <c r="AC258" s="21">
        <v>0.52066000000000001</v>
      </c>
      <c r="AD258">
        <f t="shared" si="40"/>
        <v>17.877283950617283</v>
      </c>
      <c r="AE258">
        <f t="shared" si="41"/>
        <v>9.3183554864197529</v>
      </c>
      <c r="AF258" s="9"/>
      <c r="AG258" s="21">
        <v>1.14883</v>
      </c>
      <c r="AH258" s="21">
        <v>20.325900000000001</v>
      </c>
      <c r="AI258" s="21">
        <v>-1.4129600000000001E-2</v>
      </c>
      <c r="AJ258" s="21">
        <v>248</v>
      </c>
      <c r="AK258" s="21">
        <v>1.14838</v>
      </c>
      <c r="AL258">
        <f t="shared" si="42"/>
        <v>17.443950617283949</v>
      </c>
      <c r="AM258">
        <f t="shared" si="43"/>
        <v>20.04013378765432</v>
      </c>
      <c r="AP258" s="9"/>
      <c r="AQ258" s="21">
        <v>0.52124000000000004</v>
      </c>
      <c r="AR258" s="21">
        <v>25.819400000000002</v>
      </c>
      <c r="AS258" s="21">
        <v>-1.45386E-2</v>
      </c>
      <c r="AT258" s="21">
        <v>248</v>
      </c>
      <c r="AU258" s="21">
        <v>0.52078199999999997</v>
      </c>
      <c r="AV258">
        <f t="shared" si="44"/>
        <v>17.948888888888888</v>
      </c>
      <c r="AW258">
        <f t="shared" si="45"/>
        <v>9.3556788444444443</v>
      </c>
      <c r="AX258" s="9"/>
      <c r="AY258" s="21">
        <v>1.14883</v>
      </c>
      <c r="AZ258" s="21">
        <v>29.578099999999999</v>
      </c>
      <c r="BA258" s="21">
        <v>-1.42273E-2</v>
      </c>
      <c r="BB258" s="21">
        <v>248</v>
      </c>
      <c r="BC258" s="21">
        <v>1.14838</v>
      </c>
      <c r="BD258">
        <f t="shared" si="46"/>
        <v>17.564567901234565</v>
      </c>
      <c r="BE258">
        <f t="shared" si="47"/>
        <v>20.178702541975305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0.51620500000000002</v>
      </c>
      <c r="H259" s="21">
        <v>5.38096</v>
      </c>
      <c r="I259" s="21">
        <v>-1.4700299999999999E-2</v>
      </c>
      <c r="J259" s="21">
        <v>249</v>
      </c>
      <c r="K259" s="21">
        <v>0.515625</v>
      </c>
      <c r="L259">
        <f t="shared" si="36"/>
        <v>18.148518518518514</v>
      </c>
      <c r="M259">
        <f t="shared" si="37"/>
        <v>9.3683560018518506</v>
      </c>
      <c r="N259" s="9"/>
      <c r="O259" s="21">
        <v>1.15387</v>
      </c>
      <c r="P259" s="21">
        <v>9.1397200000000005</v>
      </c>
      <c r="Q259" s="21">
        <v>-1.43158E-2</v>
      </c>
      <c r="R259" s="21">
        <v>249</v>
      </c>
      <c r="S259" s="21">
        <v>1.15265</v>
      </c>
      <c r="T259">
        <f t="shared" si="38"/>
        <v>17.673827160493826</v>
      </c>
      <c r="U259">
        <f t="shared" si="39"/>
        <v>20.39329894567901</v>
      </c>
      <c r="X259" s="9"/>
      <c r="Y259" s="21">
        <v>0.51620500000000002</v>
      </c>
      <c r="Z259" s="21">
        <v>16.577200000000001</v>
      </c>
      <c r="AA259" s="21">
        <v>-1.44806E-2</v>
      </c>
      <c r="AB259" s="21">
        <v>249</v>
      </c>
      <c r="AC259" s="21">
        <v>0.515625</v>
      </c>
      <c r="AD259">
        <f t="shared" si="40"/>
        <v>17.877283950617283</v>
      </c>
      <c r="AE259">
        <f t="shared" si="41"/>
        <v>9.2283433617283954</v>
      </c>
      <c r="AF259" s="9"/>
      <c r="AG259" s="21">
        <v>1.15387</v>
      </c>
      <c r="AH259" s="21">
        <v>20.335999999999999</v>
      </c>
      <c r="AI259" s="21">
        <v>-1.4135699999999999E-2</v>
      </c>
      <c r="AJ259" s="21">
        <v>249</v>
      </c>
      <c r="AK259" s="21">
        <v>1.1529499999999999</v>
      </c>
      <c r="AL259">
        <f t="shared" si="42"/>
        <v>17.45148148148148</v>
      </c>
      <c r="AM259">
        <f t="shared" si="43"/>
        <v>20.136740937037032</v>
      </c>
      <c r="AP259" s="9"/>
      <c r="AQ259" s="21">
        <v>0.51620500000000002</v>
      </c>
      <c r="AR259" s="21">
        <v>25.8294</v>
      </c>
      <c r="AS259" s="21">
        <v>-1.45416E-2</v>
      </c>
      <c r="AT259" s="21">
        <v>249</v>
      </c>
      <c r="AU259" s="21">
        <v>0.515594</v>
      </c>
      <c r="AV259">
        <f t="shared" si="44"/>
        <v>17.952592592592595</v>
      </c>
      <c r="AW259">
        <f t="shared" si="45"/>
        <v>9.2672180592592603</v>
      </c>
      <c r="AX259" s="9"/>
      <c r="AY259" s="21">
        <v>1.15387</v>
      </c>
      <c r="AZ259" s="21">
        <v>29.588200000000001</v>
      </c>
      <c r="BA259" s="21">
        <v>-1.4212000000000001E-2</v>
      </c>
      <c r="BB259" s="21">
        <v>249</v>
      </c>
      <c r="BC259" s="21">
        <v>1.15326</v>
      </c>
      <c r="BD259">
        <f t="shared" si="46"/>
        <v>17.54567901234568</v>
      </c>
      <c r="BE259">
        <f t="shared" si="47"/>
        <v>20.245432641975309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0.51116899999999998</v>
      </c>
      <c r="H260" s="21">
        <v>5.3910299999999998</v>
      </c>
      <c r="I260" s="21">
        <v>-1.47034E-2</v>
      </c>
      <c r="J260" s="21">
        <v>250</v>
      </c>
      <c r="K260" s="21">
        <v>0.51055899999999999</v>
      </c>
      <c r="L260">
        <f t="shared" si="36"/>
        <v>18.152345679012342</v>
      </c>
      <c r="M260">
        <f t="shared" si="37"/>
        <v>9.2789163883950589</v>
      </c>
      <c r="N260" s="9"/>
      <c r="O260" s="21">
        <v>1.1589100000000001</v>
      </c>
      <c r="P260" s="21">
        <v>9.1498000000000008</v>
      </c>
      <c r="Q260" s="21">
        <v>-1.43158E-2</v>
      </c>
      <c r="R260" s="21">
        <v>250</v>
      </c>
      <c r="S260" s="21">
        <v>1.15784</v>
      </c>
      <c r="T260">
        <f t="shared" si="38"/>
        <v>17.673827160493826</v>
      </c>
      <c r="U260">
        <f t="shared" si="39"/>
        <v>20.482375034567902</v>
      </c>
      <c r="X260" s="9"/>
      <c r="Y260" s="21">
        <v>0.51116899999999998</v>
      </c>
      <c r="Z260" s="21">
        <v>16.587299999999999</v>
      </c>
      <c r="AA260" s="21">
        <v>-1.4483599999999999E-2</v>
      </c>
      <c r="AB260" s="21">
        <v>250</v>
      </c>
      <c r="AC260" s="21">
        <v>0.51055899999999999</v>
      </c>
      <c r="AD260">
        <f t="shared" si="40"/>
        <v>17.880987654320986</v>
      </c>
      <c r="AE260">
        <f t="shared" si="41"/>
        <v>9.140206578271604</v>
      </c>
      <c r="AF260" s="9"/>
      <c r="AG260" s="21">
        <v>1.1589100000000001</v>
      </c>
      <c r="AH260" s="21">
        <v>20.346</v>
      </c>
      <c r="AI260" s="21">
        <v>-1.41327E-2</v>
      </c>
      <c r="AJ260" s="21">
        <v>250</v>
      </c>
      <c r="AK260" s="21">
        <v>1.15845</v>
      </c>
      <c r="AL260">
        <f t="shared" si="42"/>
        <v>17.447777777777777</v>
      </c>
      <c r="AM260">
        <f t="shared" si="43"/>
        <v>20.220404144444444</v>
      </c>
      <c r="AP260" s="9"/>
      <c r="AQ260" s="21">
        <v>0.51116899999999998</v>
      </c>
      <c r="AR260" s="21">
        <v>25.839500000000001</v>
      </c>
      <c r="AS260" s="21">
        <v>-1.4544700000000001E-2</v>
      </c>
      <c r="AT260" s="21">
        <v>250</v>
      </c>
      <c r="AU260" s="21">
        <v>0.51058999999999999</v>
      </c>
      <c r="AV260">
        <f t="shared" si="44"/>
        <v>17.956419753086422</v>
      </c>
      <c r="AW260">
        <f t="shared" si="45"/>
        <v>9.1787651287654324</v>
      </c>
      <c r="AX260" s="9"/>
      <c r="AY260" s="21">
        <v>1.1589100000000001</v>
      </c>
      <c r="AZ260" s="21">
        <v>29.598299999999998</v>
      </c>
      <c r="BA260" s="21">
        <v>-1.41998E-2</v>
      </c>
      <c r="BB260" s="21">
        <v>250</v>
      </c>
      <c r="BC260" s="21">
        <v>1.1575299999999999</v>
      </c>
      <c r="BD260">
        <f t="shared" si="46"/>
        <v>17.530617283950615</v>
      </c>
      <c r="BE260">
        <f t="shared" si="47"/>
        <v>20.316407676543211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0.50613399999999997</v>
      </c>
      <c r="H261" s="21">
        <v>5.4010999999999996</v>
      </c>
      <c r="I261" s="21">
        <v>-1.46912E-2</v>
      </c>
      <c r="J261" s="21">
        <v>251</v>
      </c>
      <c r="K261" s="21">
        <v>0.50552399999999997</v>
      </c>
      <c r="L261">
        <f t="shared" si="36"/>
        <v>18.137283950617284</v>
      </c>
      <c r="M261">
        <f t="shared" si="37"/>
        <v>9.1798960750617287</v>
      </c>
      <c r="N261" s="9"/>
      <c r="O261" s="21">
        <v>1.16394</v>
      </c>
      <c r="P261" s="21">
        <v>9.1598699999999997</v>
      </c>
      <c r="Q261" s="21">
        <v>-1.4312699999999999E-2</v>
      </c>
      <c r="R261" s="21">
        <v>251</v>
      </c>
      <c r="S261" s="21">
        <v>1.16394</v>
      </c>
      <c r="T261">
        <f t="shared" si="38"/>
        <v>17.669999999999998</v>
      </c>
      <c r="U261">
        <f t="shared" si="39"/>
        <v>20.566819799999998</v>
      </c>
      <c r="X261" s="9"/>
      <c r="Y261" s="21">
        <v>0.50613399999999997</v>
      </c>
      <c r="Z261" s="21">
        <v>16.5974</v>
      </c>
      <c r="AA261" s="21">
        <v>-1.44928E-2</v>
      </c>
      <c r="AB261" s="21">
        <v>251</v>
      </c>
      <c r="AC261" s="21">
        <v>0.505463</v>
      </c>
      <c r="AD261">
        <f t="shared" si="40"/>
        <v>17.892345679012344</v>
      </c>
      <c r="AE261">
        <f t="shared" si="41"/>
        <v>9.0559244879012333</v>
      </c>
      <c r="AF261" s="9"/>
      <c r="AG261" s="21">
        <v>1.16394</v>
      </c>
      <c r="AH261" s="21">
        <v>20.356100000000001</v>
      </c>
      <c r="AI261" s="21">
        <v>-1.41266E-2</v>
      </c>
      <c r="AJ261" s="21">
        <v>251</v>
      </c>
      <c r="AK261" s="21">
        <v>1.16364</v>
      </c>
      <c r="AL261">
        <f t="shared" si="42"/>
        <v>17.440246913580246</v>
      </c>
      <c r="AM261">
        <f t="shared" si="43"/>
        <v>20.299400992592592</v>
      </c>
      <c r="AP261" s="9"/>
      <c r="AQ261" s="21">
        <v>0.50613399999999997</v>
      </c>
      <c r="AR261" s="21">
        <v>25.849599999999999</v>
      </c>
      <c r="AS261" s="21">
        <v>-1.4550799999999999E-2</v>
      </c>
      <c r="AT261" s="21">
        <v>251</v>
      </c>
      <c r="AU261" s="21">
        <v>0.50552399999999997</v>
      </c>
      <c r="AV261">
        <f t="shared" si="44"/>
        <v>17.963950617283949</v>
      </c>
      <c r="AW261">
        <f t="shared" si="45"/>
        <v>9.092166181728393</v>
      </c>
      <c r="AX261" s="9"/>
      <c r="AY261" s="21">
        <v>1.16394</v>
      </c>
      <c r="AZ261" s="21">
        <v>29.6083</v>
      </c>
      <c r="BA261" s="21">
        <v>-1.41846E-2</v>
      </c>
      <c r="BB261" s="21">
        <v>251</v>
      </c>
      <c r="BC261" s="21">
        <v>1.16333</v>
      </c>
      <c r="BD261">
        <f t="shared" si="46"/>
        <v>17.511851851851851</v>
      </c>
      <c r="BE261">
        <f t="shared" si="47"/>
        <v>20.382744844444442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0.50109899999999996</v>
      </c>
      <c r="H262" s="21">
        <v>5.4111700000000003</v>
      </c>
      <c r="I262" s="21">
        <v>-1.4678999999999999E-2</v>
      </c>
      <c r="J262" s="21">
        <v>252</v>
      </c>
      <c r="K262" s="21">
        <v>0.50067099999999998</v>
      </c>
      <c r="L262">
        <f t="shared" si="36"/>
        <v>18.12222222222222</v>
      </c>
      <c r="M262">
        <f t="shared" si="37"/>
        <v>9.0810274333333307</v>
      </c>
      <c r="N262" s="9"/>
      <c r="O262" s="21">
        <v>1.1689799999999999</v>
      </c>
      <c r="P262" s="21">
        <v>9.1699400000000004</v>
      </c>
      <c r="Q262" s="21">
        <v>-1.4297499999999999E-2</v>
      </c>
      <c r="R262" s="21">
        <v>252</v>
      </c>
      <c r="S262" s="21">
        <v>1.16791</v>
      </c>
      <c r="T262">
        <f t="shared" si="38"/>
        <v>17.651234567901231</v>
      </c>
      <c r="U262">
        <f t="shared" si="39"/>
        <v>20.633940185185178</v>
      </c>
      <c r="X262" s="9"/>
      <c r="Y262" s="21">
        <v>0.50109899999999996</v>
      </c>
      <c r="Z262" s="21">
        <v>16.607399999999998</v>
      </c>
      <c r="AA262" s="21">
        <v>-1.4501999999999999E-2</v>
      </c>
      <c r="AB262" s="21">
        <v>252</v>
      </c>
      <c r="AC262" s="21">
        <v>0.50067099999999998</v>
      </c>
      <c r="AD262">
        <f t="shared" si="40"/>
        <v>17.903703703703702</v>
      </c>
      <c r="AE262">
        <f t="shared" si="41"/>
        <v>8.9715280222222198</v>
      </c>
      <c r="AF262" s="9"/>
      <c r="AG262" s="21">
        <v>1.1689799999999999</v>
      </c>
      <c r="AH262" s="21">
        <v>20.366199999999999</v>
      </c>
      <c r="AI262" s="21">
        <v>-1.41266E-2</v>
      </c>
      <c r="AJ262" s="21">
        <v>252</v>
      </c>
      <c r="AK262" s="21">
        <v>1.16852</v>
      </c>
      <c r="AL262">
        <f t="shared" si="42"/>
        <v>17.440246913580246</v>
      </c>
      <c r="AM262">
        <f t="shared" si="43"/>
        <v>20.387299837037034</v>
      </c>
      <c r="AP262" s="9"/>
      <c r="AQ262" s="21">
        <v>0.50109899999999996</v>
      </c>
      <c r="AR262" s="21">
        <v>25.8597</v>
      </c>
      <c r="AS262" s="21">
        <v>-1.4544700000000001E-2</v>
      </c>
      <c r="AT262" s="21">
        <v>252</v>
      </c>
      <c r="AU262" s="21">
        <v>0.50051900000000005</v>
      </c>
      <c r="AV262">
        <f t="shared" si="44"/>
        <v>17.956419753086422</v>
      </c>
      <c r="AW262">
        <f t="shared" si="45"/>
        <v>8.9979439818518525</v>
      </c>
      <c r="AX262" s="9"/>
      <c r="AY262" s="21">
        <v>1.1689799999999999</v>
      </c>
      <c r="AZ262" s="21">
        <v>29.618400000000001</v>
      </c>
      <c r="BA262" s="21">
        <v>-1.4169299999999999E-2</v>
      </c>
      <c r="BB262" s="21">
        <v>252</v>
      </c>
      <c r="BC262" s="21">
        <v>1.16791</v>
      </c>
      <c r="BD262">
        <f t="shared" si="46"/>
        <v>17.492962962962959</v>
      </c>
      <c r="BE262">
        <f t="shared" si="47"/>
        <v>20.44892384444444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0.49606299999999998</v>
      </c>
      <c r="H263" s="21">
        <v>5.4212400000000001</v>
      </c>
      <c r="I263" s="21">
        <v>-1.46759E-2</v>
      </c>
      <c r="J263" s="21">
        <v>253</v>
      </c>
      <c r="K263" s="21">
        <v>0.49542199999999997</v>
      </c>
      <c r="L263">
        <f t="shared" si="36"/>
        <v>18.118395061728396</v>
      </c>
      <c r="M263">
        <f t="shared" si="37"/>
        <v>8.9878654095061723</v>
      </c>
      <c r="N263" s="9"/>
      <c r="O263" s="21">
        <v>1.17401</v>
      </c>
      <c r="P263" s="21">
        <v>9.1800099999999993</v>
      </c>
      <c r="Q263" s="21">
        <v>-1.42761E-2</v>
      </c>
      <c r="R263" s="21">
        <v>253</v>
      </c>
      <c r="S263" s="21">
        <v>1.17279</v>
      </c>
      <c r="T263">
        <f t="shared" si="38"/>
        <v>17.624814814814812</v>
      </c>
      <c r="U263">
        <f t="shared" si="39"/>
        <v>20.691708840740738</v>
      </c>
      <c r="X263" s="9"/>
      <c r="Y263" s="21">
        <v>0.49606299999999998</v>
      </c>
      <c r="Z263" s="21">
        <v>16.6175</v>
      </c>
      <c r="AA263" s="21">
        <v>-1.4501999999999999E-2</v>
      </c>
      <c r="AB263" s="21">
        <v>253</v>
      </c>
      <c r="AC263" s="21">
        <v>0.49545299999999998</v>
      </c>
      <c r="AD263">
        <f t="shared" si="40"/>
        <v>17.903703703703702</v>
      </c>
      <c r="AE263">
        <f t="shared" si="41"/>
        <v>8.8813649703703685</v>
      </c>
      <c r="AF263" s="9"/>
      <c r="AG263" s="21">
        <v>1.17401</v>
      </c>
      <c r="AH263" s="21">
        <v>20.376300000000001</v>
      </c>
      <c r="AI263" s="21">
        <v>-1.41174E-2</v>
      </c>
      <c r="AJ263" s="21">
        <v>253</v>
      </c>
      <c r="AK263" s="21">
        <v>1.1731</v>
      </c>
      <c r="AL263">
        <f t="shared" si="42"/>
        <v>17.428888888888888</v>
      </c>
      <c r="AM263">
        <f t="shared" si="43"/>
        <v>20.461689844444443</v>
      </c>
      <c r="AP263" s="9"/>
      <c r="AQ263" s="21">
        <v>0.49606299999999998</v>
      </c>
      <c r="AR263" s="21">
        <v>25.869700000000002</v>
      </c>
      <c r="AS263" s="21">
        <v>-1.45386E-2</v>
      </c>
      <c r="AT263" s="21">
        <v>253</v>
      </c>
      <c r="AU263" s="21">
        <v>0.49551400000000001</v>
      </c>
      <c r="AV263">
        <f t="shared" si="44"/>
        <v>17.948888888888888</v>
      </c>
      <c r="AW263">
        <f t="shared" si="45"/>
        <v>8.9037796688888875</v>
      </c>
      <c r="AX263" s="9"/>
      <c r="AY263" s="21">
        <v>1.17401</v>
      </c>
      <c r="AZ263" s="21">
        <v>29.628499999999999</v>
      </c>
      <c r="BA263" s="21">
        <v>-1.4163200000000001E-2</v>
      </c>
      <c r="BB263" s="21">
        <v>253</v>
      </c>
      <c r="BC263" s="21">
        <v>1.17371</v>
      </c>
      <c r="BD263">
        <f t="shared" si="46"/>
        <v>17.485432098765433</v>
      </c>
      <c r="BE263">
        <f t="shared" si="47"/>
        <v>20.528072138271604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0.49102800000000002</v>
      </c>
      <c r="H264" s="21">
        <v>5.4313099999999999</v>
      </c>
      <c r="I264" s="21">
        <v>-1.46759E-2</v>
      </c>
      <c r="J264" s="21">
        <v>254</v>
      </c>
      <c r="K264" s="21">
        <v>0.49038700000000002</v>
      </c>
      <c r="L264">
        <f t="shared" si="36"/>
        <v>18.118395061728396</v>
      </c>
      <c r="M264">
        <f t="shared" si="37"/>
        <v>8.8966392903703717</v>
      </c>
      <c r="N264" s="9"/>
      <c r="O264" s="21">
        <v>1.1790499999999999</v>
      </c>
      <c r="P264" s="21">
        <v>9.19008</v>
      </c>
      <c r="Q264" s="21">
        <v>-1.42548E-2</v>
      </c>
      <c r="R264" s="21">
        <v>254</v>
      </c>
      <c r="S264" s="21">
        <v>1.17828</v>
      </c>
      <c r="T264">
        <f t="shared" si="38"/>
        <v>17.598518518518517</v>
      </c>
      <c r="U264">
        <f t="shared" si="39"/>
        <v>20.749533259259255</v>
      </c>
      <c r="X264" s="9"/>
      <c r="Y264" s="21">
        <v>0.49102800000000002</v>
      </c>
      <c r="Z264" s="21">
        <v>16.627600000000001</v>
      </c>
      <c r="AA264" s="21">
        <v>-1.44958E-2</v>
      </c>
      <c r="AB264" s="21">
        <v>254</v>
      </c>
      <c r="AC264" s="21">
        <v>0.490479</v>
      </c>
      <c r="AD264">
        <f t="shared" si="40"/>
        <v>17.896049382716047</v>
      </c>
      <c r="AE264">
        <f t="shared" si="41"/>
        <v>8.7874613362962961</v>
      </c>
      <c r="AF264" s="9"/>
      <c r="AG264" s="21">
        <v>1.1790499999999999</v>
      </c>
      <c r="AH264" s="21">
        <v>20.386299999999999</v>
      </c>
      <c r="AI264" s="21">
        <v>-1.41052E-2</v>
      </c>
      <c r="AJ264" s="21">
        <v>254</v>
      </c>
      <c r="AK264" s="21">
        <v>1.17767</v>
      </c>
      <c r="AL264">
        <f t="shared" si="42"/>
        <v>17.413827160493828</v>
      </c>
      <c r="AM264">
        <f t="shared" si="43"/>
        <v>20.531772913580244</v>
      </c>
      <c r="AP264" s="9"/>
      <c r="AQ264" s="21">
        <v>0.49102800000000002</v>
      </c>
      <c r="AR264" s="21">
        <v>25.879799999999999</v>
      </c>
      <c r="AS264" s="21">
        <v>-1.45325E-2</v>
      </c>
      <c r="AT264" s="21">
        <v>254</v>
      </c>
      <c r="AU264" s="21">
        <v>0.490479</v>
      </c>
      <c r="AV264">
        <f t="shared" si="44"/>
        <v>17.941358024691358</v>
      </c>
      <c r="AW264">
        <f t="shared" si="45"/>
        <v>8.8097091481481478</v>
      </c>
      <c r="AX264" s="9"/>
      <c r="AY264" s="21">
        <v>1.1790499999999999</v>
      </c>
      <c r="AZ264" s="21">
        <v>29.6386</v>
      </c>
      <c r="BA264" s="21">
        <v>-1.4154099999999999E-2</v>
      </c>
      <c r="BB264" s="21">
        <v>254</v>
      </c>
      <c r="BC264" s="21">
        <v>1.17859</v>
      </c>
      <c r="BD264">
        <f t="shared" si="46"/>
        <v>17.474197530864195</v>
      </c>
      <c r="BE264">
        <f t="shared" si="47"/>
        <v>20.602952598765427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0.48599199999999998</v>
      </c>
      <c r="H265" s="21">
        <v>5.4413799999999997</v>
      </c>
      <c r="I265" s="21">
        <v>-1.46851E-2</v>
      </c>
      <c r="J265" s="21">
        <v>255</v>
      </c>
      <c r="K265" s="21">
        <v>0.48535200000000001</v>
      </c>
      <c r="L265">
        <f t="shared" si="36"/>
        <v>18.12975308641975</v>
      </c>
      <c r="M265">
        <f t="shared" si="37"/>
        <v>8.8109149619753069</v>
      </c>
      <c r="N265" s="9"/>
      <c r="O265" s="21">
        <v>1.18408</v>
      </c>
      <c r="P265" s="21">
        <v>9.2001500000000007</v>
      </c>
      <c r="Q265" s="21">
        <v>-1.42395E-2</v>
      </c>
      <c r="R265" s="21">
        <v>255</v>
      </c>
      <c r="S265" s="21">
        <v>1.1831700000000001</v>
      </c>
      <c r="T265">
        <f t="shared" si="38"/>
        <v>17.579629629629629</v>
      </c>
      <c r="U265">
        <f t="shared" si="39"/>
        <v>20.815687851851852</v>
      </c>
      <c r="X265" s="9"/>
      <c r="Y265" s="21">
        <v>0.48599199999999998</v>
      </c>
      <c r="Z265" s="21">
        <v>16.637599999999999</v>
      </c>
      <c r="AA265" s="21">
        <v>-1.44928E-2</v>
      </c>
      <c r="AB265" s="21">
        <v>255</v>
      </c>
      <c r="AC265" s="21">
        <v>0.48547400000000002</v>
      </c>
      <c r="AD265">
        <f t="shared" si="40"/>
        <v>17.892345679012344</v>
      </c>
      <c r="AE265">
        <f t="shared" si="41"/>
        <v>8.6955368612345669</v>
      </c>
      <c r="AF265" s="9"/>
      <c r="AG265" s="21">
        <v>1.18408</v>
      </c>
      <c r="AH265" s="21">
        <v>20.3964</v>
      </c>
      <c r="AI265" s="21">
        <v>-1.4093E-2</v>
      </c>
      <c r="AJ265" s="21">
        <v>255</v>
      </c>
      <c r="AK265" s="21">
        <v>1.1837800000000001</v>
      </c>
      <c r="AL265">
        <f t="shared" si="42"/>
        <v>17.398765432098763</v>
      </c>
      <c r="AM265">
        <f t="shared" si="43"/>
        <v>20.601530172839503</v>
      </c>
      <c r="AP265" s="9"/>
      <c r="AQ265" s="21">
        <v>0.48599199999999998</v>
      </c>
      <c r="AR265" s="21">
        <v>25.889900000000001</v>
      </c>
      <c r="AS265" s="21">
        <v>-1.45416E-2</v>
      </c>
      <c r="AT265" s="21">
        <v>255</v>
      </c>
      <c r="AU265" s="21">
        <v>0.48544300000000001</v>
      </c>
      <c r="AV265">
        <f t="shared" si="44"/>
        <v>17.952592592592595</v>
      </c>
      <c r="AW265">
        <f t="shared" si="45"/>
        <v>8.7248163792592592</v>
      </c>
      <c r="AX265" s="9"/>
      <c r="AY265" s="21">
        <v>1.18408</v>
      </c>
      <c r="AZ265" s="21">
        <v>29.648599999999998</v>
      </c>
      <c r="BA265" s="21">
        <v>-1.41449E-2</v>
      </c>
      <c r="BB265" s="21">
        <v>255</v>
      </c>
      <c r="BC265" s="21">
        <v>1.1837800000000001</v>
      </c>
      <c r="BD265">
        <f t="shared" si="46"/>
        <v>17.462839506172838</v>
      </c>
      <c r="BE265">
        <f t="shared" si="47"/>
        <v>20.677399002469134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0.48095700000000002</v>
      </c>
      <c r="H266" s="21">
        <v>5.45146</v>
      </c>
      <c r="I266" s="21">
        <v>-1.4694199999999999E-2</v>
      </c>
      <c r="J266" s="21">
        <v>256</v>
      </c>
      <c r="K266" s="21">
        <v>0.480408</v>
      </c>
      <c r="L266">
        <f t="shared" si="36"/>
        <v>18.140987654320988</v>
      </c>
      <c r="M266">
        <f t="shared" si="37"/>
        <v>8.7250349992592593</v>
      </c>
      <c r="N266" s="9"/>
      <c r="O266" s="21">
        <v>1.18912</v>
      </c>
      <c r="P266" s="21">
        <v>9.2102199999999996</v>
      </c>
      <c r="Q266" s="21">
        <v>-1.42334E-2</v>
      </c>
      <c r="R266" s="21">
        <v>256</v>
      </c>
      <c r="S266" s="21">
        <v>1.18866</v>
      </c>
      <c r="T266">
        <f t="shared" si="38"/>
        <v>17.572098765432099</v>
      </c>
      <c r="U266">
        <f t="shared" si="39"/>
        <v>20.895334083950615</v>
      </c>
      <c r="X266" s="9"/>
      <c r="Y266" s="21">
        <v>0.48095700000000002</v>
      </c>
      <c r="Z266" s="21">
        <v>16.6477</v>
      </c>
      <c r="AA266" s="21">
        <v>-1.4508099999999999E-2</v>
      </c>
      <c r="AB266" s="21">
        <v>256</v>
      </c>
      <c r="AC266" s="21">
        <v>0.48034700000000002</v>
      </c>
      <c r="AD266">
        <f t="shared" si="40"/>
        <v>17.911234567901232</v>
      </c>
      <c r="AE266">
        <f t="shared" si="41"/>
        <v>8.6145336440740738</v>
      </c>
      <c r="AF266" s="9"/>
      <c r="AG266" s="21">
        <v>1.18912</v>
      </c>
      <c r="AH266" s="21">
        <v>20.406500000000001</v>
      </c>
      <c r="AI266" s="21">
        <v>-1.409E-2</v>
      </c>
      <c r="AJ266" s="21">
        <v>256</v>
      </c>
      <c r="AK266" s="21">
        <v>1.18866</v>
      </c>
      <c r="AL266">
        <f t="shared" si="42"/>
        <v>17.39506172839506</v>
      </c>
      <c r="AM266">
        <f t="shared" si="43"/>
        <v>20.684815802469132</v>
      </c>
      <c r="AP266" s="9"/>
      <c r="AQ266" s="21">
        <v>0.48095700000000002</v>
      </c>
      <c r="AR266" s="21">
        <v>25.899899999999999</v>
      </c>
      <c r="AS266" s="21">
        <v>-1.4550799999999999E-2</v>
      </c>
      <c r="AT266" s="21">
        <v>256</v>
      </c>
      <c r="AU266" s="21">
        <v>0.48046899999999998</v>
      </c>
      <c r="AV266">
        <f t="shared" si="44"/>
        <v>17.963950617283949</v>
      </c>
      <c r="AW266">
        <f t="shared" si="45"/>
        <v>8.6398877970370371</v>
      </c>
      <c r="AX266" s="9"/>
      <c r="AY266" s="21">
        <v>1.18912</v>
      </c>
      <c r="AZ266" s="21">
        <v>29.6587</v>
      </c>
      <c r="BA266" s="21">
        <v>-1.41418E-2</v>
      </c>
      <c r="BB266" s="21">
        <v>256</v>
      </c>
      <c r="BC266" s="21">
        <v>1.18835</v>
      </c>
      <c r="BD266">
        <f t="shared" si="46"/>
        <v>17.45901234567901</v>
      </c>
      <c r="BE266">
        <f t="shared" si="47"/>
        <v>20.760860760493824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0.47592200000000001</v>
      </c>
      <c r="H267" s="21">
        <v>5.4615299999999998</v>
      </c>
      <c r="I267" s="21">
        <v>-1.46973E-2</v>
      </c>
      <c r="J267" s="21">
        <v>257</v>
      </c>
      <c r="K267" s="21">
        <v>0.47537200000000002</v>
      </c>
      <c r="L267">
        <f t="shared" si="36"/>
        <v>18.144814814814815</v>
      </c>
      <c r="M267">
        <f t="shared" si="37"/>
        <v>8.635516556296297</v>
      </c>
      <c r="N267" s="9"/>
      <c r="O267" s="21">
        <v>1.19415</v>
      </c>
      <c r="P267" s="21">
        <v>9.2202900000000003</v>
      </c>
      <c r="Q267" s="21">
        <v>-1.4236499999999999E-2</v>
      </c>
      <c r="R267" s="21">
        <v>257</v>
      </c>
      <c r="S267" s="21">
        <v>1.1932400000000001</v>
      </c>
      <c r="T267">
        <f t="shared" si="38"/>
        <v>17.575925925925926</v>
      </c>
      <c r="U267">
        <f t="shared" si="39"/>
        <v>20.988291944444445</v>
      </c>
      <c r="X267" s="9"/>
      <c r="Y267" s="21">
        <v>0.47592200000000001</v>
      </c>
      <c r="Z267" s="21">
        <v>16.657800000000002</v>
      </c>
      <c r="AA267" s="21">
        <v>-1.4517199999999999E-2</v>
      </c>
      <c r="AB267" s="21">
        <v>257</v>
      </c>
      <c r="AC267" s="21">
        <v>0.47534199999999999</v>
      </c>
      <c r="AD267">
        <f t="shared" si="40"/>
        <v>17.922469135802466</v>
      </c>
      <c r="AE267">
        <f t="shared" si="41"/>
        <v>8.5296973560493807</v>
      </c>
      <c r="AF267" s="9"/>
      <c r="AG267" s="21">
        <v>1.19415</v>
      </c>
      <c r="AH267" s="21">
        <v>20.416499999999999</v>
      </c>
      <c r="AI267" s="21">
        <v>-1.409E-2</v>
      </c>
      <c r="AJ267" s="21">
        <v>257</v>
      </c>
      <c r="AK267" s="21">
        <v>1.19293</v>
      </c>
      <c r="AL267">
        <f t="shared" si="42"/>
        <v>17.39506172839506</v>
      </c>
      <c r="AM267">
        <f t="shared" si="43"/>
        <v>20.77231296296296</v>
      </c>
      <c r="AP267" s="9"/>
      <c r="AQ267" s="21">
        <v>0.47592200000000001</v>
      </c>
      <c r="AR267" s="21">
        <v>25.91</v>
      </c>
      <c r="AS267" s="21">
        <v>-1.45477E-2</v>
      </c>
      <c r="AT267" s="21">
        <v>257</v>
      </c>
      <c r="AU267" s="21">
        <v>0.47540300000000002</v>
      </c>
      <c r="AV267">
        <f t="shared" si="44"/>
        <v>17.960123456790122</v>
      </c>
      <c r="AW267">
        <f t="shared" si="45"/>
        <v>8.5476178758024677</v>
      </c>
      <c r="AX267" s="9"/>
      <c r="AY267" s="21">
        <v>1.19415</v>
      </c>
      <c r="AZ267" s="21">
        <v>29.668800000000001</v>
      </c>
      <c r="BA267" s="21">
        <v>-1.41418E-2</v>
      </c>
      <c r="BB267" s="21">
        <v>257</v>
      </c>
      <c r="BC267" s="21">
        <v>1.19354</v>
      </c>
      <c r="BD267">
        <f t="shared" si="46"/>
        <v>17.45901234567901</v>
      </c>
      <c r="BE267">
        <f t="shared" si="47"/>
        <v>20.848679592592593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0.47088600000000003</v>
      </c>
      <c r="H268" s="21">
        <v>5.4715999999999996</v>
      </c>
      <c r="I268" s="21">
        <v>-1.4694199999999999E-2</v>
      </c>
      <c r="J268" s="21">
        <v>258</v>
      </c>
      <c r="K268" s="21">
        <v>0.47024500000000002</v>
      </c>
      <c r="L268">
        <f t="shared" ref="L268:L331" si="48">-I268/$F$2*1000</f>
        <v>18.140987654320988</v>
      </c>
      <c r="M268">
        <f t="shared" ref="M268:M331" si="49">L268*G268</f>
        <v>8.5423371125925929</v>
      </c>
      <c r="N268" s="9"/>
      <c r="O268" s="21">
        <v>1.19919</v>
      </c>
      <c r="P268" s="21">
        <v>9.2303599999999992</v>
      </c>
      <c r="Q268" s="21">
        <v>-1.42395E-2</v>
      </c>
      <c r="R268" s="21">
        <v>258</v>
      </c>
      <c r="S268" s="21">
        <v>1.1987300000000001</v>
      </c>
      <c r="T268">
        <f t="shared" ref="T268:T331" si="50">-Q268/$F$2*1000</f>
        <v>17.579629629629629</v>
      </c>
      <c r="U268">
        <f t="shared" ref="U268:U331" si="51">T268*O268</f>
        <v>21.081316055555554</v>
      </c>
      <c r="X268" s="9"/>
      <c r="Y268" s="21">
        <v>0.47088600000000003</v>
      </c>
      <c r="Z268" s="21">
        <v>16.667899999999999</v>
      </c>
      <c r="AA268" s="21">
        <v>-1.4523299999999999E-2</v>
      </c>
      <c r="AB268" s="21">
        <v>258</v>
      </c>
      <c r="AC268" s="21">
        <v>0.47033700000000001</v>
      </c>
      <c r="AD268">
        <f t="shared" ref="AD268:AD331" si="52">-AA268/$F$2*1000</f>
        <v>17.93</v>
      </c>
      <c r="AE268">
        <f t="shared" ref="AE268:AE331" si="53">AD268*Y268</f>
        <v>8.4429859799999996</v>
      </c>
      <c r="AF268" s="9"/>
      <c r="AG268" s="21">
        <v>1.19919</v>
      </c>
      <c r="AH268" s="21">
        <v>20.426600000000001</v>
      </c>
      <c r="AI268" s="21">
        <v>-1.40778E-2</v>
      </c>
      <c r="AJ268" s="21">
        <v>258</v>
      </c>
      <c r="AK268" s="21">
        <v>1.19781</v>
      </c>
      <c r="AL268">
        <f t="shared" ref="AL268:AL331" si="54">-AI268/$F$2*1000</f>
        <v>17.38</v>
      </c>
      <c r="AM268">
        <f t="shared" ref="AM268:AM331" si="55">AL268*AG268</f>
        <v>20.841922199999999</v>
      </c>
      <c r="AP268" s="9"/>
      <c r="AQ268" s="21">
        <v>0.47088600000000003</v>
      </c>
      <c r="AR268" s="21">
        <v>25.920100000000001</v>
      </c>
      <c r="AS268" s="21">
        <v>-1.45538E-2</v>
      </c>
      <c r="AT268" s="21">
        <v>258</v>
      </c>
      <c r="AU268" s="21">
        <v>0.47018399999999999</v>
      </c>
      <c r="AV268">
        <f t="shared" ref="AV268:AV331" si="56">-AS268/$F$2*1000</f>
        <v>17.967654320987652</v>
      </c>
      <c r="AW268">
        <f t="shared" ref="AW268:AW331" si="57">AV268*AQ268</f>
        <v>8.4607168725925916</v>
      </c>
      <c r="AX268" s="9"/>
      <c r="AY268" s="21">
        <v>1.19919</v>
      </c>
      <c r="AZ268" s="21">
        <v>29.678799999999999</v>
      </c>
      <c r="BA268" s="21">
        <v>-1.41449E-2</v>
      </c>
      <c r="BB268" s="21">
        <v>258</v>
      </c>
      <c r="BC268" s="21">
        <v>1.1990400000000001</v>
      </c>
      <c r="BD268">
        <f t="shared" ref="BD268:BD331" si="58">-BA268/$F$2*1000</f>
        <v>17.462839506172838</v>
      </c>
      <c r="BE268">
        <f t="shared" ref="BE268:BE331" si="59">BD268*AY268</f>
        <v>20.941262507407405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0.46585100000000002</v>
      </c>
      <c r="H269" s="21">
        <v>5.4816700000000003</v>
      </c>
      <c r="I269" s="21">
        <v>-1.46912E-2</v>
      </c>
      <c r="J269" s="21">
        <v>259</v>
      </c>
      <c r="K269" s="21">
        <v>0.46527099999999999</v>
      </c>
      <c r="L269">
        <f t="shared" si="48"/>
        <v>18.137283950617284</v>
      </c>
      <c r="M269">
        <f t="shared" si="49"/>
        <v>8.4492718656790124</v>
      </c>
      <c r="N269" s="9"/>
      <c r="O269" s="21">
        <v>1.2042200000000001</v>
      </c>
      <c r="P269" s="21">
        <v>9.2404299999999999</v>
      </c>
      <c r="Q269" s="21">
        <v>-1.42395E-2</v>
      </c>
      <c r="R269" s="21">
        <v>259</v>
      </c>
      <c r="S269" s="21">
        <v>1.2033100000000001</v>
      </c>
      <c r="T269">
        <f t="shared" si="50"/>
        <v>17.579629629629629</v>
      </c>
      <c r="U269">
        <f t="shared" si="51"/>
        <v>21.169741592592594</v>
      </c>
      <c r="X269" s="9"/>
      <c r="Y269" s="21">
        <v>0.46585100000000002</v>
      </c>
      <c r="Z269" s="21">
        <v>16.677900000000001</v>
      </c>
      <c r="AA269" s="21">
        <v>-1.45264E-2</v>
      </c>
      <c r="AB269" s="21">
        <v>259</v>
      </c>
      <c r="AC269" s="21">
        <v>0.46533200000000002</v>
      </c>
      <c r="AD269">
        <f t="shared" si="52"/>
        <v>17.933827160493827</v>
      </c>
      <c r="AE269">
        <f t="shared" si="53"/>
        <v>8.3544913165432106</v>
      </c>
      <c r="AF269" s="9"/>
      <c r="AG269" s="21">
        <v>1.2042200000000001</v>
      </c>
      <c r="AH269" s="21">
        <v>20.436699999999998</v>
      </c>
      <c r="AI269" s="21">
        <v>-1.40778E-2</v>
      </c>
      <c r="AJ269" s="21">
        <v>259</v>
      </c>
      <c r="AK269" s="21">
        <v>1.2036100000000001</v>
      </c>
      <c r="AL269">
        <f t="shared" si="54"/>
        <v>17.38</v>
      </c>
      <c r="AM269">
        <f t="shared" si="55"/>
        <v>20.929343599999999</v>
      </c>
      <c r="AP269" s="9"/>
      <c r="AQ269" s="21">
        <v>0.46585100000000002</v>
      </c>
      <c r="AR269" s="21">
        <v>25.930199999999999</v>
      </c>
      <c r="AS269" s="21">
        <v>-1.45538E-2</v>
      </c>
      <c r="AT269" s="21">
        <v>259</v>
      </c>
      <c r="AU269" s="21">
        <v>0.465393</v>
      </c>
      <c r="AV269">
        <f t="shared" si="56"/>
        <v>17.967654320987652</v>
      </c>
      <c r="AW269">
        <f t="shared" si="57"/>
        <v>8.3702497330864194</v>
      </c>
      <c r="AX269" s="9"/>
      <c r="AY269" s="21">
        <v>1.2042200000000001</v>
      </c>
      <c r="AZ269" s="21">
        <v>29.6889</v>
      </c>
      <c r="BA269" s="21">
        <v>-1.4151E-2</v>
      </c>
      <c r="BB269" s="21">
        <v>259</v>
      </c>
      <c r="BC269" s="21">
        <v>1.2036100000000001</v>
      </c>
      <c r="BD269">
        <f t="shared" si="58"/>
        <v>17.470370370370368</v>
      </c>
      <c r="BE269">
        <f t="shared" si="59"/>
        <v>21.038169407407405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0.46081499999999997</v>
      </c>
      <c r="H270" s="21">
        <v>5.4917400000000001</v>
      </c>
      <c r="I270" s="21">
        <v>-1.4694199999999999E-2</v>
      </c>
      <c r="J270" s="21">
        <v>260</v>
      </c>
      <c r="K270" s="21">
        <v>0.46032699999999999</v>
      </c>
      <c r="L270">
        <f t="shared" si="48"/>
        <v>18.140987654320988</v>
      </c>
      <c r="M270">
        <f t="shared" si="49"/>
        <v>8.3596392259259247</v>
      </c>
      <c r="N270" s="9"/>
      <c r="O270" s="21">
        <v>1.20926</v>
      </c>
      <c r="P270" s="21">
        <v>9.2505100000000002</v>
      </c>
      <c r="Q270" s="21">
        <v>-1.42273E-2</v>
      </c>
      <c r="R270" s="21">
        <v>260</v>
      </c>
      <c r="S270" s="21">
        <v>1.2084999999999999</v>
      </c>
      <c r="T270">
        <f t="shared" si="50"/>
        <v>17.564567901234565</v>
      </c>
      <c r="U270">
        <f t="shared" si="51"/>
        <v>21.240129380246909</v>
      </c>
      <c r="X270" s="9"/>
      <c r="Y270" s="21">
        <v>0.46081499999999997</v>
      </c>
      <c r="Z270" s="21">
        <v>16.687999999999999</v>
      </c>
      <c r="AA270" s="21">
        <v>-1.45355E-2</v>
      </c>
      <c r="AB270" s="21">
        <v>260</v>
      </c>
      <c r="AC270" s="21">
        <v>0.46023599999999998</v>
      </c>
      <c r="AD270">
        <f t="shared" si="52"/>
        <v>17.945061728395061</v>
      </c>
      <c r="AE270">
        <f t="shared" si="53"/>
        <v>8.269353620370369</v>
      </c>
      <c r="AF270" s="9"/>
      <c r="AG270" s="21">
        <v>1.20926</v>
      </c>
      <c r="AH270" s="21">
        <v>20.4468</v>
      </c>
      <c r="AI270" s="21">
        <v>-1.4080799999999999E-2</v>
      </c>
      <c r="AJ270" s="21">
        <v>260</v>
      </c>
      <c r="AK270" s="21">
        <v>1.2088000000000001</v>
      </c>
      <c r="AL270">
        <f t="shared" si="54"/>
        <v>17.383703703703702</v>
      </c>
      <c r="AM270">
        <f t="shared" si="55"/>
        <v>21.021417540740739</v>
      </c>
      <c r="AP270" s="9"/>
      <c r="AQ270" s="21">
        <v>0.46081499999999997</v>
      </c>
      <c r="AR270" s="21">
        <v>25.940200000000001</v>
      </c>
      <c r="AS270" s="21">
        <v>-1.4550799999999999E-2</v>
      </c>
      <c r="AT270" s="21">
        <v>260</v>
      </c>
      <c r="AU270" s="21">
        <v>0.46032699999999999</v>
      </c>
      <c r="AV270">
        <f t="shared" si="56"/>
        <v>17.963950617283949</v>
      </c>
      <c r="AW270">
        <f t="shared" si="57"/>
        <v>8.2780579037037025</v>
      </c>
      <c r="AX270" s="9"/>
      <c r="AY270" s="21">
        <v>1.20926</v>
      </c>
      <c r="AZ270" s="21">
        <v>29.699000000000002</v>
      </c>
      <c r="BA270" s="21">
        <v>-1.4151E-2</v>
      </c>
      <c r="BB270" s="21">
        <v>260</v>
      </c>
      <c r="BC270" s="21">
        <v>1.2081900000000001</v>
      </c>
      <c r="BD270">
        <f t="shared" si="58"/>
        <v>17.470370370370368</v>
      </c>
      <c r="BE270">
        <f t="shared" si="59"/>
        <v>21.126220074074073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0.45578000000000002</v>
      </c>
      <c r="H271" s="21">
        <v>5.5018099999999999</v>
      </c>
      <c r="I271" s="21">
        <v>-1.46912E-2</v>
      </c>
      <c r="J271" s="21">
        <v>261</v>
      </c>
      <c r="K271" s="21">
        <v>0.45507799999999998</v>
      </c>
      <c r="L271">
        <f t="shared" si="48"/>
        <v>18.137283950617284</v>
      </c>
      <c r="M271">
        <f t="shared" si="49"/>
        <v>8.2666112790123467</v>
      </c>
      <c r="N271" s="9"/>
      <c r="O271" s="21">
        <v>1.2142900000000001</v>
      </c>
      <c r="P271" s="21">
        <v>9.2605799999999991</v>
      </c>
      <c r="Q271" s="21">
        <v>-1.42212E-2</v>
      </c>
      <c r="R271" s="21">
        <v>261</v>
      </c>
      <c r="S271" s="21">
        <v>1.2127699999999999</v>
      </c>
      <c r="T271">
        <f t="shared" si="50"/>
        <v>17.557037037037034</v>
      </c>
      <c r="U271">
        <f t="shared" si="51"/>
        <v>21.319334503703701</v>
      </c>
      <c r="X271" s="9"/>
      <c r="Y271" s="21">
        <v>0.45578000000000002</v>
      </c>
      <c r="Z271" s="21">
        <v>16.6981</v>
      </c>
      <c r="AA271" s="21">
        <v>-1.45386E-2</v>
      </c>
      <c r="AB271" s="21">
        <v>261</v>
      </c>
      <c r="AC271" s="21">
        <v>0.45526100000000003</v>
      </c>
      <c r="AD271">
        <f t="shared" si="52"/>
        <v>17.948888888888888</v>
      </c>
      <c r="AE271">
        <f t="shared" si="53"/>
        <v>8.1807445777777783</v>
      </c>
      <c r="AF271" s="9"/>
      <c r="AG271" s="21">
        <v>1.2142900000000001</v>
      </c>
      <c r="AH271" s="21">
        <v>20.456800000000001</v>
      </c>
      <c r="AI271" s="21">
        <v>-1.40839E-2</v>
      </c>
      <c r="AJ271" s="21">
        <v>261</v>
      </c>
      <c r="AK271" s="21">
        <v>1.2136800000000001</v>
      </c>
      <c r="AL271">
        <f t="shared" si="54"/>
        <v>17.387530864197529</v>
      </c>
      <c r="AM271">
        <f t="shared" si="55"/>
        <v>21.113504853086418</v>
      </c>
      <c r="AP271" s="9"/>
      <c r="AQ271" s="21">
        <v>0.45578000000000002</v>
      </c>
      <c r="AR271" s="21">
        <v>25.950299999999999</v>
      </c>
      <c r="AS271" s="21">
        <v>-1.4550799999999999E-2</v>
      </c>
      <c r="AT271" s="21">
        <v>261</v>
      </c>
      <c r="AU271" s="21">
        <v>0.45529199999999997</v>
      </c>
      <c r="AV271">
        <f t="shared" si="56"/>
        <v>17.963950617283949</v>
      </c>
      <c r="AW271">
        <f t="shared" si="57"/>
        <v>8.1876094123456777</v>
      </c>
      <c r="AX271" s="9"/>
      <c r="AY271" s="21">
        <v>1.2142900000000001</v>
      </c>
      <c r="AZ271" s="21">
        <v>29.709099999999999</v>
      </c>
      <c r="BA271" s="21">
        <v>-1.41449E-2</v>
      </c>
      <c r="BB271" s="21">
        <v>261</v>
      </c>
      <c r="BC271" s="21">
        <v>1.2136800000000001</v>
      </c>
      <c r="BD271">
        <f t="shared" si="58"/>
        <v>17.462839506172838</v>
      </c>
      <c r="BE271">
        <f t="shared" si="59"/>
        <v>21.204951383950618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0.45074500000000001</v>
      </c>
      <c r="H272" s="21">
        <v>5.5118799999999997</v>
      </c>
      <c r="I272" s="21">
        <v>-1.4700299999999999E-2</v>
      </c>
      <c r="J272" s="21">
        <v>262</v>
      </c>
      <c r="K272" s="21">
        <v>0.45016499999999998</v>
      </c>
      <c r="L272">
        <f t="shared" si="48"/>
        <v>18.148518518518514</v>
      </c>
      <c r="M272">
        <f t="shared" si="49"/>
        <v>8.1803539796296274</v>
      </c>
      <c r="N272" s="9"/>
      <c r="O272" s="21">
        <v>1.21933</v>
      </c>
      <c r="P272" s="21">
        <v>9.2706499999999998</v>
      </c>
      <c r="Q272" s="21">
        <v>-1.42212E-2</v>
      </c>
      <c r="R272" s="21">
        <v>262</v>
      </c>
      <c r="S272" s="21">
        <v>1.2188699999999999</v>
      </c>
      <c r="T272">
        <f t="shared" si="50"/>
        <v>17.557037037037034</v>
      </c>
      <c r="U272">
        <f t="shared" si="51"/>
        <v>21.407821970370367</v>
      </c>
      <c r="X272" s="9"/>
      <c r="Y272" s="21">
        <v>0.45074500000000001</v>
      </c>
      <c r="Z272" s="21">
        <v>16.708100000000002</v>
      </c>
      <c r="AA272" s="21">
        <v>-1.45386E-2</v>
      </c>
      <c r="AB272" s="21">
        <v>262</v>
      </c>
      <c r="AC272" s="21">
        <v>0.45022600000000002</v>
      </c>
      <c r="AD272">
        <f t="shared" si="52"/>
        <v>17.948888888888888</v>
      </c>
      <c r="AE272">
        <f t="shared" si="53"/>
        <v>8.0903719222222215</v>
      </c>
      <c r="AF272" s="9"/>
      <c r="AG272" s="21">
        <v>1.21933</v>
      </c>
      <c r="AH272" s="21">
        <v>20.466899999999999</v>
      </c>
      <c r="AI272" s="21">
        <v>-1.4080799999999999E-2</v>
      </c>
      <c r="AJ272" s="21">
        <v>262</v>
      </c>
      <c r="AK272" s="21">
        <v>1.2185699999999999</v>
      </c>
      <c r="AL272">
        <f t="shared" si="54"/>
        <v>17.383703703703702</v>
      </c>
      <c r="AM272">
        <f t="shared" si="55"/>
        <v>21.196471437037037</v>
      </c>
      <c r="AP272" s="9"/>
      <c r="AQ272" s="21">
        <v>0.45074500000000001</v>
      </c>
      <c r="AR272" s="21">
        <v>25.9604</v>
      </c>
      <c r="AS272" s="21">
        <v>-1.4550799999999999E-2</v>
      </c>
      <c r="AT272" s="21">
        <v>262</v>
      </c>
      <c r="AU272" s="21">
        <v>0.45022600000000002</v>
      </c>
      <c r="AV272">
        <f t="shared" si="56"/>
        <v>17.963950617283949</v>
      </c>
      <c r="AW272">
        <f t="shared" si="57"/>
        <v>8.0971609209876529</v>
      </c>
      <c r="AX272" s="9"/>
      <c r="AY272" s="21">
        <v>1.21933</v>
      </c>
      <c r="AZ272" s="21">
        <v>29.719100000000001</v>
      </c>
      <c r="BA272" s="21">
        <v>-1.41388E-2</v>
      </c>
      <c r="BB272" s="21">
        <v>262</v>
      </c>
      <c r="BC272" s="21">
        <v>1.2185699999999999</v>
      </c>
      <c r="BD272">
        <f t="shared" si="58"/>
        <v>17.455308641975307</v>
      </c>
      <c r="BE272">
        <f t="shared" si="59"/>
        <v>21.283781486419752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0.44570900000000002</v>
      </c>
      <c r="H273" s="21">
        <v>5.5219500000000004</v>
      </c>
      <c r="I273" s="21">
        <v>-1.4715600000000001E-2</v>
      </c>
      <c r="J273" s="21">
        <v>263</v>
      </c>
      <c r="K273" s="21">
        <v>0.44518999999999997</v>
      </c>
      <c r="L273">
        <f t="shared" si="48"/>
        <v>18.167407407407406</v>
      </c>
      <c r="M273">
        <f t="shared" si="49"/>
        <v>8.0973769881481488</v>
      </c>
      <c r="N273" s="9"/>
      <c r="O273" s="21">
        <v>1.22437</v>
      </c>
      <c r="P273" s="21">
        <v>9.2807200000000005</v>
      </c>
      <c r="Q273" s="21">
        <v>-1.4218099999999999E-2</v>
      </c>
      <c r="R273" s="21">
        <v>263</v>
      </c>
      <c r="S273" s="21">
        <v>1.2237499999999999</v>
      </c>
      <c r="T273">
        <f t="shared" si="50"/>
        <v>17.553209876543207</v>
      </c>
      <c r="U273">
        <f t="shared" si="51"/>
        <v>21.491623576543205</v>
      </c>
      <c r="X273" s="9"/>
      <c r="Y273" s="21">
        <v>0.44570900000000002</v>
      </c>
      <c r="Z273" s="21">
        <v>16.7182</v>
      </c>
      <c r="AA273" s="21">
        <v>-1.45477E-2</v>
      </c>
      <c r="AB273" s="21">
        <v>263</v>
      </c>
      <c r="AC273" s="21">
        <v>0.445129</v>
      </c>
      <c r="AD273">
        <f t="shared" si="52"/>
        <v>17.960123456790122</v>
      </c>
      <c r="AE273">
        <f t="shared" si="53"/>
        <v>8.0049886658024683</v>
      </c>
      <c r="AF273" s="9"/>
      <c r="AG273" s="21">
        <v>1.22437</v>
      </c>
      <c r="AH273" s="21">
        <v>20.477</v>
      </c>
      <c r="AI273" s="21">
        <v>-1.40839E-2</v>
      </c>
      <c r="AJ273" s="21">
        <v>263</v>
      </c>
      <c r="AK273" s="21">
        <v>1.2234499999999999</v>
      </c>
      <c r="AL273">
        <f t="shared" si="54"/>
        <v>17.387530864197529</v>
      </c>
      <c r="AM273">
        <f t="shared" si="55"/>
        <v>21.288771164197527</v>
      </c>
      <c r="AP273" s="9"/>
      <c r="AQ273" s="21">
        <v>0.44570900000000002</v>
      </c>
      <c r="AR273" s="21">
        <v>25.970400000000001</v>
      </c>
      <c r="AS273" s="21">
        <v>-1.4556899999999999E-2</v>
      </c>
      <c r="AT273" s="21">
        <v>263</v>
      </c>
      <c r="AU273" s="21">
        <v>0.445129</v>
      </c>
      <c r="AV273">
        <f t="shared" si="56"/>
        <v>17.971481481481479</v>
      </c>
      <c r="AW273">
        <f t="shared" si="57"/>
        <v>8.0100510396296283</v>
      </c>
      <c r="AX273" s="9"/>
      <c r="AY273" s="21">
        <v>1.22437</v>
      </c>
      <c r="AZ273" s="21">
        <v>29.729199999999999</v>
      </c>
      <c r="BA273" s="21">
        <v>-1.4135699999999999E-2</v>
      </c>
      <c r="BB273" s="21">
        <v>263</v>
      </c>
      <c r="BC273" s="21">
        <v>1.2234499999999999</v>
      </c>
      <c r="BD273">
        <f t="shared" si="58"/>
        <v>17.45148148148148</v>
      </c>
      <c r="BE273">
        <f t="shared" si="59"/>
        <v>21.367070381481479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0.44067400000000001</v>
      </c>
      <c r="H274" s="21">
        <v>5.5320200000000002</v>
      </c>
      <c r="I274" s="21">
        <v>-1.47308E-2</v>
      </c>
      <c r="J274" s="21">
        <v>264</v>
      </c>
      <c r="K274" s="21">
        <v>0.44012499999999999</v>
      </c>
      <c r="L274">
        <f t="shared" si="48"/>
        <v>18.186172839506174</v>
      </c>
      <c r="M274">
        <f t="shared" si="49"/>
        <v>8.014173529876544</v>
      </c>
      <c r="N274" s="9"/>
      <c r="O274" s="21">
        <v>1.2294</v>
      </c>
      <c r="P274" s="21">
        <v>9.2907899999999994</v>
      </c>
      <c r="Q274" s="21">
        <v>-1.42151E-2</v>
      </c>
      <c r="R274" s="21">
        <v>264</v>
      </c>
      <c r="S274" s="21">
        <v>1.22925</v>
      </c>
      <c r="T274">
        <f t="shared" si="50"/>
        <v>17.549506172839507</v>
      </c>
      <c r="U274">
        <f t="shared" si="51"/>
        <v>21.57536288888889</v>
      </c>
      <c r="X274" s="9"/>
      <c r="Y274" s="21">
        <v>0.44067400000000001</v>
      </c>
      <c r="Z274" s="21">
        <v>16.728300000000001</v>
      </c>
      <c r="AA274" s="21">
        <v>-1.4550799999999999E-2</v>
      </c>
      <c r="AB274" s="21">
        <v>264</v>
      </c>
      <c r="AC274" s="21">
        <v>0.44009399999999999</v>
      </c>
      <c r="AD274">
        <f t="shared" si="52"/>
        <v>17.963950617283949</v>
      </c>
      <c r="AE274">
        <f t="shared" si="53"/>
        <v>7.9162459743209874</v>
      </c>
      <c r="AF274" s="9"/>
      <c r="AG274" s="21">
        <v>1.2294</v>
      </c>
      <c r="AH274" s="21">
        <v>20.486999999999998</v>
      </c>
      <c r="AI274" s="21">
        <v>-1.4074700000000001E-2</v>
      </c>
      <c r="AJ274" s="21">
        <v>264</v>
      </c>
      <c r="AK274" s="21">
        <v>1.22864</v>
      </c>
      <c r="AL274">
        <f t="shared" si="54"/>
        <v>17.376172839506172</v>
      </c>
      <c r="AM274">
        <f t="shared" si="55"/>
        <v>21.36226688888889</v>
      </c>
      <c r="AP274" s="9"/>
      <c r="AQ274" s="21">
        <v>0.44067400000000001</v>
      </c>
      <c r="AR274" s="21">
        <v>25.980499999999999</v>
      </c>
      <c r="AS274" s="21">
        <v>-1.4556899999999999E-2</v>
      </c>
      <c r="AT274" s="21">
        <v>264</v>
      </c>
      <c r="AU274" s="21">
        <v>0.44012499999999999</v>
      </c>
      <c r="AV274">
        <f t="shared" si="56"/>
        <v>17.971481481481479</v>
      </c>
      <c r="AW274">
        <f t="shared" si="57"/>
        <v>7.9195646303703695</v>
      </c>
      <c r="AX274" s="9"/>
      <c r="AY274" s="21">
        <v>1.2294</v>
      </c>
      <c r="AZ274" s="21">
        <v>29.7393</v>
      </c>
      <c r="BA274" s="21">
        <v>-1.41449E-2</v>
      </c>
      <c r="BB274" s="21">
        <v>264</v>
      </c>
      <c r="BC274" s="21">
        <v>1.2283299999999999</v>
      </c>
      <c r="BD274">
        <f t="shared" si="58"/>
        <v>17.462839506172838</v>
      </c>
      <c r="BE274">
        <f t="shared" si="59"/>
        <v>21.468814888888886</v>
      </c>
    </row>
    <row r="275" spans="6:101" x14ac:dyDescent="0.25">
      <c r="F275" s="9"/>
      <c r="G275" s="21">
        <v>0.43563800000000003</v>
      </c>
      <c r="H275" s="21">
        <v>5.54209</v>
      </c>
      <c r="I275" s="21">
        <v>-1.4733899999999999E-2</v>
      </c>
      <c r="J275" s="21">
        <v>265</v>
      </c>
      <c r="K275" s="21">
        <v>0.43496699999999999</v>
      </c>
      <c r="L275">
        <f t="shared" si="48"/>
        <v>18.189999999999998</v>
      </c>
      <c r="M275">
        <f t="shared" si="49"/>
        <v>7.9242552199999992</v>
      </c>
      <c r="N275" s="9"/>
      <c r="O275" s="21">
        <v>1.23444</v>
      </c>
      <c r="P275" s="21">
        <v>9.3008600000000001</v>
      </c>
      <c r="Q275" s="21">
        <v>-1.42151E-2</v>
      </c>
      <c r="R275" s="21">
        <v>265</v>
      </c>
      <c r="S275" s="21">
        <v>1.23383</v>
      </c>
      <c r="T275">
        <f t="shared" si="50"/>
        <v>17.549506172839507</v>
      </c>
      <c r="U275">
        <f t="shared" si="51"/>
        <v>21.663812400000001</v>
      </c>
      <c r="X275" s="9"/>
      <c r="Y275" s="21">
        <v>0.43563800000000003</v>
      </c>
      <c r="Z275" s="21">
        <v>16.738299999999999</v>
      </c>
      <c r="AA275" s="21">
        <v>-1.45477E-2</v>
      </c>
      <c r="AB275" s="21">
        <v>265</v>
      </c>
      <c r="AC275" s="21">
        <v>0.435089</v>
      </c>
      <c r="AD275">
        <f t="shared" si="52"/>
        <v>17.960123456790122</v>
      </c>
      <c r="AE275">
        <f t="shared" si="53"/>
        <v>7.8241122624691357</v>
      </c>
      <c r="AF275" s="9"/>
      <c r="AG275" s="21">
        <v>1.23444</v>
      </c>
      <c r="AH275" s="21">
        <v>20.4971</v>
      </c>
      <c r="AI275" s="21">
        <v>-1.4047199999999999E-2</v>
      </c>
      <c r="AJ275" s="21">
        <v>265</v>
      </c>
      <c r="AK275" s="21">
        <v>1.2335199999999999</v>
      </c>
      <c r="AL275">
        <f t="shared" si="54"/>
        <v>17.342222222222222</v>
      </c>
      <c r="AM275">
        <f t="shared" si="55"/>
        <v>21.407932800000001</v>
      </c>
      <c r="AP275" s="9"/>
      <c r="AQ275" s="21">
        <v>0.43563800000000003</v>
      </c>
      <c r="AR275" s="21">
        <v>25.990600000000001</v>
      </c>
      <c r="AS275" s="21">
        <v>-1.4563E-2</v>
      </c>
      <c r="AT275" s="21">
        <v>265</v>
      </c>
      <c r="AU275" s="21">
        <v>0.43496699999999999</v>
      </c>
      <c r="AV275">
        <f t="shared" si="56"/>
        <v>17.979012345679013</v>
      </c>
      <c r="AW275">
        <f t="shared" si="57"/>
        <v>7.8323409802469142</v>
      </c>
      <c r="AX275" s="9"/>
      <c r="AY275" s="21">
        <v>1.23444</v>
      </c>
      <c r="AZ275" s="21">
        <v>29.749300000000002</v>
      </c>
      <c r="BA275" s="21">
        <v>-1.41388E-2</v>
      </c>
      <c r="BB275" s="21">
        <v>265</v>
      </c>
      <c r="BC275" s="21">
        <v>1.2335199999999999</v>
      </c>
      <c r="BD275">
        <f t="shared" si="58"/>
        <v>17.455308641975307</v>
      </c>
      <c r="BE275">
        <f t="shared" si="59"/>
        <v>21.547531199999998</v>
      </c>
    </row>
    <row r="276" spans="6:101" x14ac:dyDescent="0.25">
      <c r="F276" s="9"/>
      <c r="G276" s="21">
        <v>0.43060300000000001</v>
      </c>
      <c r="H276" s="21">
        <v>5.5521700000000003</v>
      </c>
      <c r="I276" s="21">
        <v>-1.474E-2</v>
      </c>
      <c r="J276" s="21">
        <v>266</v>
      </c>
      <c r="K276" s="21">
        <v>0.42999300000000001</v>
      </c>
      <c r="L276">
        <f t="shared" si="48"/>
        <v>18.197530864197528</v>
      </c>
      <c r="M276">
        <f t="shared" si="49"/>
        <v>7.8359113827160485</v>
      </c>
      <c r="N276" s="9"/>
      <c r="O276" s="21">
        <v>1.2394700000000001</v>
      </c>
      <c r="P276" s="21">
        <v>9.3109300000000008</v>
      </c>
      <c r="Q276" s="21">
        <v>-1.4218099999999999E-2</v>
      </c>
      <c r="R276" s="21">
        <v>266</v>
      </c>
      <c r="S276" s="21">
        <v>1.2383999999999999</v>
      </c>
      <c r="T276">
        <f t="shared" si="50"/>
        <v>17.553209876543207</v>
      </c>
      <c r="U276">
        <f t="shared" si="51"/>
        <v>21.756677045679009</v>
      </c>
      <c r="X276" s="9"/>
      <c r="Y276" s="21">
        <v>0.43060300000000001</v>
      </c>
      <c r="Z276" s="21">
        <v>16.7484</v>
      </c>
      <c r="AA276" s="21">
        <v>-1.45355E-2</v>
      </c>
      <c r="AB276" s="21">
        <v>266</v>
      </c>
      <c r="AC276" s="21">
        <v>0.43008400000000002</v>
      </c>
      <c r="AD276">
        <f t="shared" si="52"/>
        <v>17.945061728395061</v>
      </c>
      <c r="AE276">
        <f t="shared" si="53"/>
        <v>7.7271974154320988</v>
      </c>
      <c r="AF276" s="9"/>
      <c r="AG276" s="21">
        <v>1.2394700000000001</v>
      </c>
      <c r="AH276" s="21">
        <v>20.507200000000001</v>
      </c>
      <c r="AI276" s="21">
        <v>-1.4031999999999999E-2</v>
      </c>
      <c r="AJ276" s="21">
        <v>266</v>
      </c>
      <c r="AK276" s="21">
        <v>1.23871</v>
      </c>
      <c r="AL276">
        <f t="shared" si="54"/>
        <v>17.323456790123455</v>
      </c>
      <c r="AM276">
        <f t="shared" si="55"/>
        <v>21.47190498765432</v>
      </c>
      <c r="AP276" s="9"/>
      <c r="AQ276" s="21">
        <v>0.43060300000000001</v>
      </c>
      <c r="AR276" s="21">
        <v>26.000699999999998</v>
      </c>
      <c r="AS276" s="21">
        <v>-1.45691E-2</v>
      </c>
      <c r="AT276" s="21">
        <v>266</v>
      </c>
      <c r="AU276" s="21">
        <v>0.43011500000000003</v>
      </c>
      <c r="AV276">
        <f t="shared" si="56"/>
        <v>17.98654320987654</v>
      </c>
      <c r="AW276">
        <f t="shared" si="57"/>
        <v>7.7450594658024681</v>
      </c>
      <c r="AX276" s="9"/>
      <c r="AY276" s="21">
        <v>1.2394700000000001</v>
      </c>
      <c r="AZ276" s="21">
        <v>29.759399999999999</v>
      </c>
      <c r="BA276" s="21">
        <v>-1.4129600000000001E-2</v>
      </c>
      <c r="BB276" s="21">
        <v>266</v>
      </c>
      <c r="BC276" s="21">
        <v>1.2383999999999999</v>
      </c>
      <c r="BD276">
        <f t="shared" si="58"/>
        <v>17.443950617283949</v>
      </c>
      <c r="BE276">
        <f t="shared" si="59"/>
        <v>21.621253471604938</v>
      </c>
    </row>
    <row r="277" spans="6:101" x14ac:dyDescent="0.25">
      <c r="F277" s="9"/>
      <c r="G277" s="21">
        <v>0.425568</v>
      </c>
      <c r="H277" s="21">
        <v>5.5622400000000001</v>
      </c>
      <c r="I277" s="21">
        <v>-1.4736900000000001E-2</v>
      </c>
      <c r="J277" s="21">
        <v>267</v>
      </c>
      <c r="K277" s="21">
        <v>0.42498799999999998</v>
      </c>
      <c r="L277">
        <f t="shared" si="48"/>
        <v>18.193703703703704</v>
      </c>
      <c r="M277">
        <f t="shared" si="49"/>
        <v>7.7426580977777784</v>
      </c>
      <c r="N277" s="9"/>
      <c r="O277" s="21">
        <v>1.24451</v>
      </c>
      <c r="P277" s="21">
        <v>9.3209999999999997</v>
      </c>
      <c r="Q277" s="21">
        <v>-1.4218099999999999E-2</v>
      </c>
      <c r="R277" s="21">
        <v>267</v>
      </c>
      <c r="S277" s="21">
        <v>1.24359</v>
      </c>
      <c r="T277">
        <f t="shared" si="50"/>
        <v>17.553209876543207</v>
      </c>
      <c r="U277">
        <f t="shared" si="51"/>
        <v>21.845145223456786</v>
      </c>
      <c r="X277" s="9"/>
      <c r="Y277" s="21">
        <v>0.425568</v>
      </c>
      <c r="Z277" s="21">
        <v>16.758500000000002</v>
      </c>
      <c r="AA277" s="21">
        <v>-1.45294E-2</v>
      </c>
      <c r="AB277" s="21">
        <v>267</v>
      </c>
      <c r="AC277" s="21">
        <v>0.42495699999999997</v>
      </c>
      <c r="AD277">
        <f t="shared" si="52"/>
        <v>17.93753086419753</v>
      </c>
      <c r="AE277">
        <f t="shared" si="53"/>
        <v>7.6336391348148149</v>
      </c>
      <c r="AF277" s="9"/>
      <c r="AG277" s="21">
        <v>1.24451</v>
      </c>
      <c r="AH277" s="21">
        <v>20.517299999999999</v>
      </c>
      <c r="AI277" s="21">
        <v>-1.40167E-2</v>
      </c>
      <c r="AJ277" s="21">
        <v>267</v>
      </c>
      <c r="AK277" s="21">
        <v>1.2439</v>
      </c>
      <c r="AL277">
        <f t="shared" si="54"/>
        <v>17.304567901234567</v>
      </c>
      <c r="AM277">
        <f t="shared" si="55"/>
        <v>21.535707798765429</v>
      </c>
      <c r="AP277" s="9"/>
      <c r="AQ277" s="21">
        <v>0.425568</v>
      </c>
      <c r="AR277" s="21">
        <v>26.0107</v>
      </c>
      <c r="AS277" s="21">
        <v>-1.45752E-2</v>
      </c>
      <c r="AT277" s="21">
        <v>267</v>
      </c>
      <c r="AU277" s="21">
        <v>0.42498799999999998</v>
      </c>
      <c r="AV277">
        <f t="shared" si="56"/>
        <v>17.994074074074071</v>
      </c>
      <c r="AW277">
        <f t="shared" si="57"/>
        <v>7.657702115555554</v>
      </c>
      <c r="AX277" s="9"/>
      <c r="AY277" s="21">
        <v>1.24451</v>
      </c>
      <c r="AZ277" s="21">
        <v>29.769500000000001</v>
      </c>
      <c r="BA277" s="21">
        <v>-1.4114399999999999E-2</v>
      </c>
      <c r="BB277" s="21">
        <v>267</v>
      </c>
      <c r="BC277" s="21">
        <v>1.24329</v>
      </c>
      <c r="BD277">
        <f t="shared" si="58"/>
        <v>17.425185185185182</v>
      </c>
      <c r="BE277">
        <f t="shared" si="59"/>
        <v>21.685817214814811</v>
      </c>
    </row>
    <row r="278" spans="6:101" x14ac:dyDescent="0.25">
      <c r="F278" s="9"/>
      <c r="G278" s="21">
        <v>0.42053200000000002</v>
      </c>
      <c r="H278" s="21">
        <v>5.5723099999999999</v>
      </c>
      <c r="I278" s="21">
        <v>-1.4727799999999999E-2</v>
      </c>
      <c r="J278" s="21">
        <v>268</v>
      </c>
      <c r="K278" s="21">
        <v>0.42001300000000003</v>
      </c>
      <c r="L278">
        <f t="shared" si="48"/>
        <v>18.182469135802467</v>
      </c>
      <c r="M278">
        <f t="shared" si="49"/>
        <v>7.6463101106172831</v>
      </c>
      <c r="N278" s="9"/>
      <c r="O278" s="21">
        <v>1.2495400000000001</v>
      </c>
      <c r="P278" s="21">
        <v>9.3310700000000004</v>
      </c>
      <c r="Q278" s="21">
        <v>-1.4208999999999999E-2</v>
      </c>
      <c r="R278" s="21">
        <v>268</v>
      </c>
      <c r="S278" s="21">
        <v>1.24908</v>
      </c>
      <c r="T278">
        <f t="shared" si="50"/>
        <v>17.541975308641973</v>
      </c>
      <c r="U278">
        <f t="shared" si="51"/>
        <v>21.919399827160493</v>
      </c>
      <c r="X278" s="9"/>
      <c r="Y278" s="21">
        <v>0.42053200000000002</v>
      </c>
      <c r="Z278" s="21">
        <v>16.768599999999999</v>
      </c>
      <c r="AA278" s="21">
        <v>-1.45294E-2</v>
      </c>
      <c r="AB278" s="21">
        <v>268</v>
      </c>
      <c r="AC278" s="21">
        <v>0.41995199999999999</v>
      </c>
      <c r="AD278">
        <f t="shared" si="52"/>
        <v>17.93753086419753</v>
      </c>
      <c r="AE278">
        <f t="shared" si="53"/>
        <v>7.5433057293827162</v>
      </c>
      <c r="AF278" s="9"/>
      <c r="AG278" s="21">
        <v>1.2495400000000001</v>
      </c>
      <c r="AH278" s="21">
        <v>20.5273</v>
      </c>
      <c r="AI278" s="21">
        <v>-1.40015E-2</v>
      </c>
      <c r="AJ278" s="21">
        <v>268</v>
      </c>
      <c r="AK278" s="21">
        <v>1.24878</v>
      </c>
      <c r="AL278">
        <f t="shared" si="54"/>
        <v>17.285802469135803</v>
      </c>
      <c r="AM278">
        <f t="shared" si="55"/>
        <v>21.599301617283952</v>
      </c>
      <c r="AP278" s="9"/>
      <c r="AQ278" s="21">
        <v>0.42053200000000002</v>
      </c>
      <c r="AR278" s="21">
        <v>26.020800000000001</v>
      </c>
      <c r="AS278" s="21">
        <v>-1.45813E-2</v>
      </c>
      <c r="AT278" s="21">
        <v>268</v>
      </c>
      <c r="AU278" s="21">
        <v>0.420074</v>
      </c>
      <c r="AV278">
        <f t="shared" si="56"/>
        <v>18.001604938271605</v>
      </c>
      <c r="AW278">
        <f t="shared" si="57"/>
        <v>7.5702509279012347</v>
      </c>
      <c r="AX278" s="9"/>
      <c r="AY278" s="21">
        <v>1.2495400000000001</v>
      </c>
      <c r="AZ278" s="21">
        <v>29.779599999999999</v>
      </c>
      <c r="BA278" s="21">
        <v>-1.40991E-2</v>
      </c>
      <c r="BB278" s="21">
        <v>268</v>
      </c>
      <c r="BC278" s="21">
        <v>1.24817</v>
      </c>
      <c r="BD278">
        <f t="shared" si="58"/>
        <v>17.406296296296293</v>
      </c>
      <c r="BE278">
        <f t="shared" si="59"/>
        <v>21.749863474074072</v>
      </c>
    </row>
    <row r="279" spans="6:101" x14ac:dyDescent="0.25">
      <c r="F279" s="9"/>
      <c r="G279" s="21">
        <v>0.41549700000000001</v>
      </c>
      <c r="H279" s="21">
        <v>5.5823799999999997</v>
      </c>
      <c r="I279" s="21">
        <v>-1.47186E-2</v>
      </c>
      <c r="J279" s="21">
        <v>269</v>
      </c>
      <c r="K279" s="21">
        <v>0.41488599999999998</v>
      </c>
      <c r="L279">
        <f t="shared" si="48"/>
        <v>18.171111111111109</v>
      </c>
      <c r="M279">
        <f t="shared" si="49"/>
        <v>7.5500421533333331</v>
      </c>
      <c r="N279" s="9"/>
      <c r="O279" s="21">
        <v>1.25458</v>
      </c>
      <c r="P279" s="21">
        <v>9.3411399999999993</v>
      </c>
      <c r="Q279" s="21">
        <v>-1.41937E-2</v>
      </c>
      <c r="R279" s="21">
        <v>269</v>
      </c>
      <c r="S279" s="21">
        <v>1.25366</v>
      </c>
      <c r="T279">
        <f t="shared" si="50"/>
        <v>17.523086419753085</v>
      </c>
      <c r="U279">
        <f t="shared" si="51"/>
        <v>21.984113760493827</v>
      </c>
      <c r="X279" s="9"/>
      <c r="Y279" s="21">
        <v>0.41549700000000001</v>
      </c>
      <c r="Z279" s="21">
        <v>16.778600000000001</v>
      </c>
      <c r="AA279" s="21">
        <v>-1.4508099999999999E-2</v>
      </c>
      <c r="AB279" s="21">
        <v>269</v>
      </c>
      <c r="AC279" s="21">
        <v>0.41494799999999998</v>
      </c>
      <c r="AD279">
        <f t="shared" si="52"/>
        <v>17.911234567901232</v>
      </c>
      <c r="AE279">
        <f t="shared" si="53"/>
        <v>7.442064229259258</v>
      </c>
      <c r="AF279" s="9"/>
      <c r="AG279" s="21">
        <v>1.25458</v>
      </c>
      <c r="AH279" s="21">
        <v>20.537400000000002</v>
      </c>
      <c r="AI279" s="21">
        <v>-1.3983199999999999E-2</v>
      </c>
      <c r="AJ279" s="21">
        <v>269</v>
      </c>
      <c r="AK279" s="21">
        <v>1.25336</v>
      </c>
      <c r="AL279">
        <f t="shared" si="54"/>
        <v>17.263209876543208</v>
      </c>
      <c r="AM279">
        <f t="shared" si="55"/>
        <v>21.658077846913578</v>
      </c>
      <c r="AP279" s="9"/>
      <c r="AQ279" s="21">
        <v>0.41549700000000001</v>
      </c>
      <c r="AR279" s="21">
        <v>26.030899999999999</v>
      </c>
      <c r="AS279" s="21">
        <v>-1.4578199999999999E-2</v>
      </c>
      <c r="AT279" s="21">
        <v>269</v>
      </c>
      <c r="AU279" s="21">
        <v>0.41494799999999998</v>
      </c>
      <c r="AV279">
        <f t="shared" si="56"/>
        <v>17.997777777777777</v>
      </c>
      <c r="AW279">
        <f t="shared" si="57"/>
        <v>7.4780226733333333</v>
      </c>
      <c r="AX279" s="9"/>
      <c r="AY279" s="21">
        <v>1.25458</v>
      </c>
      <c r="AZ279" s="21">
        <v>29.7896</v>
      </c>
      <c r="BA279" s="21">
        <v>-1.40839E-2</v>
      </c>
      <c r="BB279" s="21">
        <v>269</v>
      </c>
      <c r="BC279" s="21">
        <v>1.25366</v>
      </c>
      <c r="BD279">
        <f t="shared" si="58"/>
        <v>17.387530864197529</v>
      </c>
      <c r="BE279">
        <f t="shared" si="59"/>
        <v>21.814048471604938</v>
      </c>
    </row>
    <row r="280" spans="6:101" x14ac:dyDescent="0.25">
      <c r="F280" s="9"/>
      <c r="G280" s="21">
        <v>0.41046100000000002</v>
      </c>
      <c r="H280" s="21">
        <v>5.5924500000000004</v>
      </c>
      <c r="I280" s="21">
        <v>-1.4727799999999999E-2</v>
      </c>
      <c r="J280" s="21">
        <v>270</v>
      </c>
      <c r="K280" s="21">
        <v>0.40982099999999999</v>
      </c>
      <c r="L280">
        <f t="shared" si="48"/>
        <v>18.182469135802467</v>
      </c>
      <c r="M280">
        <f t="shared" si="49"/>
        <v>7.4631944639506171</v>
      </c>
      <c r="N280" s="9"/>
      <c r="O280" s="21">
        <v>1.2596099999999999</v>
      </c>
      <c r="P280" s="21">
        <v>9.3512199999999996</v>
      </c>
      <c r="Q280" s="21">
        <v>-1.41876E-2</v>
      </c>
      <c r="R280" s="21">
        <v>270</v>
      </c>
      <c r="S280" s="21">
        <v>1.2591600000000001</v>
      </c>
      <c r="T280">
        <f t="shared" si="50"/>
        <v>17.515555555555554</v>
      </c>
      <c r="U280">
        <f t="shared" si="51"/>
        <v>22.062768933333331</v>
      </c>
      <c r="X280" s="9"/>
      <c r="Y280" s="21">
        <v>0.41046100000000002</v>
      </c>
      <c r="Z280" s="21">
        <v>16.788699999999999</v>
      </c>
      <c r="AA280" s="21">
        <v>-1.4508099999999999E-2</v>
      </c>
      <c r="AB280" s="21">
        <v>270</v>
      </c>
      <c r="AC280" s="21">
        <v>0.409912</v>
      </c>
      <c r="AD280">
        <f t="shared" si="52"/>
        <v>17.911234567901232</v>
      </c>
      <c r="AE280">
        <f t="shared" si="53"/>
        <v>7.351863251975308</v>
      </c>
      <c r="AF280" s="9"/>
      <c r="AG280" s="21">
        <v>1.2596099999999999</v>
      </c>
      <c r="AH280" s="21">
        <v>20.547499999999999</v>
      </c>
      <c r="AI280" s="21">
        <v>-1.3964799999999999E-2</v>
      </c>
      <c r="AJ280" s="21">
        <v>270</v>
      </c>
      <c r="AK280" s="21">
        <v>1.2591600000000001</v>
      </c>
      <c r="AL280">
        <f t="shared" si="54"/>
        <v>17.240493827160492</v>
      </c>
      <c r="AM280">
        <f t="shared" si="55"/>
        <v>21.716298429629624</v>
      </c>
      <c r="AP280" s="9"/>
      <c r="AQ280" s="21">
        <v>0.41046100000000002</v>
      </c>
      <c r="AR280" s="21">
        <v>26.040900000000001</v>
      </c>
      <c r="AS280" s="21">
        <v>-1.45874E-2</v>
      </c>
      <c r="AT280" s="21">
        <v>270</v>
      </c>
      <c r="AU280" s="21">
        <v>0.409912</v>
      </c>
      <c r="AV280">
        <f t="shared" si="56"/>
        <v>18.009135802469135</v>
      </c>
      <c r="AW280">
        <f t="shared" si="57"/>
        <v>7.3920478906172837</v>
      </c>
      <c r="AX280" s="9"/>
      <c r="AY280" s="21">
        <v>1.2596099999999999</v>
      </c>
      <c r="AZ280" s="21">
        <v>29.799700000000001</v>
      </c>
      <c r="BA280" s="21">
        <v>-1.4068600000000001E-2</v>
      </c>
      <c r="BB280" s="21">
        <v>270</v>
      </c>
      <c r="BC280" s="21">
        <v>1.25854</v>
      </c>
      <c r="BD280">
        <f t="shared" si="58"/>
        <v>17.368641975308641</v>
      </c>
      <c r="BE280">
        <f t="shared" si="59"/>
        <v>21.877715118518516</v>
      </c>
    </row>
    <row r="281" spans="6:101" x14ac:dyDescent="0.25">
      <c r="F281" s="9"/>
      <c r="G281" s="21">
        <v>0.40542600000000001</v>
      </c>
      <c r="H281" s="21">
        <v>5.6025200000000002</v>
      </c>
      <c r="I281" s="21">
        <v>-1.4733899999999999E-2</v>
      </c>
      <c r="J281" s="21">
        <v>271</v>
      </c>
      <c r="K281" s="21">
        <v>0.40496799999999999</v>
      </c>
      <c r="L281">
        <f t="shared" si="48"/>
        <v>18.189999999999998</v>
      </c>
      <c r="M281">
        <f t="shared" si="49"/>
        <v>7.3746989399999991</v>
      </c>
      <c r="N281" s="9"/>
      <c r="O281" s="21">
        <v>1.2646500000000001</v>
      </c>
      <c r="P281" s="21">
        <v>9.3612900000000003</v>
      </c>
      <c r="Q281" s="21">
        <v>-1.41815E-2</v>
      </c>
      <c r="R281" s="21">
        <v>271</v>
      </c>
      <c r="S281" s="21">
        <v>1.2640400000000001</v>
      </c>
      <c r="T281">
        <f t="shared" si="50"/>
        <v>17.508024691358024</v>
      </c>
      <c r="U281">
        <f t="shared" si="51"/>
        <v>22.141523425925925</v>
      </c>
      <c r="X281" s="9"/>
      <c r="Y281" s="21">
        <v>0.40542600000000001</v>
      </c>
      <c r="Z281" s="21">
        <v>16.7988</v>
      </c>
      <c r="AA281" s="21">
        <v>-1.4517199999999999E-2</v>
      </c>
      <c r="AB281" s="21">
        <v>271</v>
      </c>
      <c r="AC281" s="21">
        <v>0.40487699999999999</v>
      </c>
      <c r="AD281">
        <f t="shared" si="52"/>
        <v>17.922469135802466</v>
      </c>
      <c r="AE281">
        <f t="shared" si="53"/>
        <v>7.2662349718518504</v>
      </c>
      <c r="AF281" s="9"/>
      <c r="AG281" s="21">
        <v>1.2646500000000001</v>
      </c>
      <c r="AH281" s="21">
        <v>20.557500000000001</v>
      </c>
      <c r="AI281" s="21">
        <v>-1.39618E-2</v>
      </c>
      <c r="AJ281" s="21">
        <v>271</v>
      </c>
      <c r="AK281" s="21">
        <v>1.26373</v>
      </c>
      <c r="AL281">
        <f t="shared" si="54"/>
        <v>17.236790123456789</v>
      </c>
      <c r="AM281">
        <f t="shared" si="55"/>
        <v>21.798506629629628</v>
      </c>
      <c r="AP281" s="9"/>
      <c r="AQ281" s="21">
        <v>0.40542600000000001</v>
      </c>
      <c r="AR281" s="21">
        <v>26.050999999999998</v>
      </c>
      <c r="AS281" s="21">
        <v>-1.4593500000000001E-2</v>
      </c>
      <c r="AT281" s="21">
        <v>271</v>
      </c>
      <c r="AU281" s="21">
        <v>0.40487699999999999</v>
      </c>
      <c r="AV281">
        <f t="shared" si="56"/>
        <v>18.016666666666666</v>
      </c>
      <c r="AW281">
        <f t="shared" si="57"/>
        <v>7.3044250999999996</v>
      </c>
      <c r="AX281" s="9"/>
      <c r="AY281" s="21">
        <v>1.2646500000000001</v>
      </c>
      <c r="AZ281" s="21">
        <v>29.809799999999999</v>
      </c>
      <c r="BA281" s="21">
        <v>-1.40594E-2</v>
      </c>
      <c r="BB281" s="21">
        <v>271</v>
      </c>
      <c r="BC281" s="21">
        <v>1.26373</v>
      </c>
      <c r="BD281">
        <f t="shared" si="58"/>
        <v>17.357283950617283</v>
      </c>
      <c r="BE281">
        <f t="shared" si="59"/>
        <v>21.95088914814815</v>
      </c>
    </row>
    <row r="282" spans="6:101" x14ac:dyDescent="0.25">
      <c r="F282" s="9"/>
      <c r="G282" s="21">
        <v>0.400391</v>
      </c>
      <c r="H282" s="21">
        <v>5.61259</v>
      </c>
      <c r="I282" s="21">
        <v>-1.4733899999999999E-2</v>
      </c>
      <c r="J282" s="21">
        <v>272</v>
      </c>
      <c r="K282" s="21">
        <v>0.39981100000000003</v>
      </c>
      <c r="L282">
        <f t="shared" si="48"/>
        <v>18.189999999999998</v>
      </c>
      <c r="M282">
        <f t="shared" si="49"/>
        <v>7.2831122899999992</v>
      </c>
      <c r="N282" s="9"/>
      <c r="O282" s="21">
        <v>1.2696799999999999</v>
      </c>
      <c r="P282" s="21">
        <v>9.3713599999999992</v>
      </c>
      <c r="Q282" s="21">
        <v>-1.4169299999999999E-2</v>
      </c>
      <c r="R282" s="21">
        <v>272</v>
      </c>
      <c r="S282" s="21">
        <v>1.26892</v>
      </c>
      <c r="T282">
        <f t="shared" si="50"/>
        <v>17.492962962962959</v>
      </c>
      <c r="U282">
        <f t="shared" si="51"/>
        <v>22.210465214814811</v>
      </c>
      <c r="X282" s="9"/>
      <c r="Y282" s="21">
        <v>0.400391</v>
      </c>
      <c r="Z282" s="21">
        <v>16.808800000000002</v>
      </c>
      <c r="AA282" s="21">
        <v>-1.45203E-2</v>
      </c>
      <c r="AB282" s="21">
        <v>272</v>
      </c>
      <c r="AC282" s="21">
        <v>0.39981100000000003</v>
      </c>
      <c r="AD282">
        <f t="shared" si="52"/>
        <v>17.926296296296293</v>
      </c>
      <c r="AE282">
        <f t="shared" si="53"/>
        <v>7.1775277003703692</v>
      </c>
      <c r="AF282" s="9"/>
      <c r="AG282" s="21">
        <v>1.2696799999999999</v>
      </c>
      <c r="AH282" s="21">
        <v>20.567599999999999</v>
      </c>
      <c r="AI282" s="21">
        <v>-1.3958699999999999E-2</v>
      </c>
      <c r="AJ282" s="21">
        <v>272</v>
      </c>
      <c r="AK282" s="21">
        <v>1.2686200000000001</v>
      </c>
      <c r="AL282">
        <f t="shared" si="54"/>
        <v>17.232962962962961</v>
      </c>
      <c r="AM282">
        <f t="shared" si="55"/>
        <v>21.880348414814812</v>
      </c>
      <c r="AP282" s="9"/>
      <c r="AQ282" s="21">
        <v>0.400391</v>
      </c>
      <c r="AR282" s="21">
        <v>26.0611</v>
      </c>
      <c r="AS282" s="21">
        <v>-1.46027E-2</v>
      </c>
      <c r="AT282" s="21">
        <v>272</v>
      </c>
      <c r="AU282" s="21">
        <v>0.39981100000000003</v>
      </c>
      <c r="AV282">
        <f t="shared" si="56"/>
        <v>18.028024691358024</v>
      </c>
      <c r="AW282">
        <f t="shared" si="57"/>
        <v>7.2182588341975302</v>
      </c>
      <c r="AX282" s="9"/>
      <c r="AY282" s="21">
        <v>1.2696799999999999</v>
      </c>
      <c r="AZ282" s="21">
        <v>29.819800000000001</v>
      </c>
      <c r="BA282" s="21">
        <v>-1.40503E-2</v>
      </c>
      <c r="BB282" s="21">
        <v>272</v>
      </c>
      <c r="BC282" s="21">
        <v>1.2686200000000001</v>
      </c>
      <c r="BD282">
        <f t="shared" si="58"/>
        <v>17.34604938271605</v>
      </c>
      <c r="BE282">
        <f t="shared" si="59"/>
        <v>22.023931980246914</v>
      </c>
    </row>
    <row r="283" spans="6:101" x14ac:dyDescent="0.25">
      <c r="F283" s="9"/>
      <c r="G283" s="21">
        <v>0.39535500000000001</v>
      </c>
      <c r="H283" s="21">
        <v>5.6226599999999998</v>
      </c>
      <c r="I283" s="21">
        <v>-1.4733899999999999E-2</v>
      </c>
      <c r="J283" s="21">
        <v>273</v>
      </c>
      <c r="K283" s="21">
        <v>0.39486700000000002</v>
      </c>
      <c r="L283">
        <f t="shared" si="48"/>
        <v>18.189999999999998</v>
      </c>
      <c r="M283">
        <f t="shared" si="49"/>
        <v>7.1915074499999996</v>
      </c>
      <c r="N283" s="9"/>
      <c r="O283" s="21">
        <v>1.2747200000000001</v>
      </c>
      <c r="P283" s="21">
        <v>9.3814299999999999</v>
      </c>
      <c r="Q283" s="21">
        <v>-1.41602E-2</v>
      </c>
      <c r="R283" s="21">
        <v>273</v>
      </c>
      <c r="S283" s="21">
        <v>1.27441</v>
      </c>
      <c r="T283">
        <f t="shared" si="50"/>
        <v>17.481728395061729</v>
      </c>
      <c r="U283">
        <f t="shared" si="51"/>
        <v>22.28430881975309</v>
      </c>
      <c r="X283" s="9"/>
      <c r="Y283" s="21">
        <v>0.39535500000000001</v>
      </c>
      <c r="Z283" s="21">
        <v>16.818899999999999</v>
      </c>
      <c r="AA283" s="21">
        <v>-1.45325E-2</v>
      </c>
      <c r="AB283" s="21">
        <v>273</v>
      </c>
      <c r="AC283" s="21">
        <v>0.39480599999999999</v>
      </c>
      <c r="AD283">
        <f t="shared" si="52"/>
        <v>17.941358024691358</v>
      </c>
      <c r="AE283">
        <f t="shared" si="53"/>
        <v>7.0932056018518521</v>
      </c>
      <c r="AF283" s="9"/>
      <c r="AG283" s="21">
        <v>1.2747200000000001</v>
      </c>
      <c r="AH283" s="21">
        <v>20.5777</v>
      </c>
      <c r="AI283" s="21">
        <v>-1.39557E-2</v>
      </c>
      <c r="AJ283" s="21">
        <v>273</v>
      </c>
      <c r="AK283" s="21">
        <v>1.2741100000000001</v>
      </c>
      <c r="AL283">
        <f t="shared" si="54"/>
        <v>17.229259259259258</v>
      </c>
      <c r="AM283">
        <f t="shared" si="55"/>
        <v>21.962481362962961</v>
      </c>
      <c r="AP283" s="9"/>
      <c r="AQ283" s="21">
        <v>0.39535500000000001</v>
      </c>
      <c r="AR283" s="21">
        <v>26.071100000000001</v>
      </c>
      <c r="AS283" s="21">
        <v>-1.46088E-2</v>
      </c>
      <c r="AT283" s="21">
        <v>273</v>
      </c>
      <c r="AU283" s="21">
        <v>0.39486700000000002</v>
      </c>
      <c r="AV283">
        <f t="shared" si="56"/>
        <v>18.035555555555554</v>
      </c>
      <c r="AW283">
        <f t="shared" si="57"/>
        <v>7.1304470666666662</v>
      </c>
      <c r="AX283" s="9"/>
      <c r="AY283" s="21">
        <v>1.2747200000000001</v>
      </c>
      <c r="AZ283" s="21">
        <v>29.829899999999999</v>
      </c>
      <c r="BA283" s="21">
        <v>-1.4047199999999999E-2</v>
      </c>
      <c r="BB283" s="21">
        <v>273</v>
      </c>
      <c r="BC283" s="21">
        <v>1.2741100000000001</v>
      </c>
      <c r="BD283">
        <f t="shared" si="58"/>
        <v>17.342222222222222</v>
      </c>
      <c r="BE283">
        <f t="shared" si="59"/>
        <v>22.106477511111112</v>
      </c>
    </row>
    <row r="284" spans="6:101" x14ac:dyDescent="0.25">
      <c r="F284" s="9"/>
      <c r="G284" s="21">
        <v>0.39032</v>
      </c>
      <c r="H284" s="21">
        <v>5.6327299999999996</v>
      </c>
      <c r="I284" s="21">
        <v>-1.4742999999999999E-2</v>
      </c>
      <c r="J284" s="21">
        <v>274</v>
      </c>
      <c r="K284" s="21">
        <v>0.38977099999999998</v>
      </c>
      <c r="L284">
        <f t="shared" si="48"/>
        <v>18.201234567901235</v>
      </c>
      <c r="M284">
        <f t="shared" si="49"/>
        <v>7.1043058765432097</v>
      </c>
      <c r="N284" s="9"/>
      <c r="O284" s="21">
        <v>1.2797499999999999</v>
      </c>
      <c r="P284" s="21">
        <v>9.3915000000000006</v>
      </c>
      <c r="Q284" s="21">
        <v>-1.41602E-2</v>
      </c>
      <c r="R284" s="21">
        <v>274</v>
      </c>
      <c r="S284" s="21">
        <v>1.2789900000000001</v>
      </c>
      <c r="T284">
        <f t="shared" si="50"/>
        <v>17.481728395061729</v>
      </c>
      <c r="U284">
        <f t="shared" si="51"/>
        <v>22.372241913580247</v>
      </c>
      <c r="X284" s="9"/>
      <c r="Y284" s="21">
        <v>0.39032</v>
      </c>
      <c r="Z284" s="21">
        <v>16.829000000000001</v>
      </c>
      <c r="AA284" s="21">
        <v>-1.45416E-2</v>
      </c>
      <c r="AB284" s="21">
        <v>274</v>
      </c>
      <c r="AC284" s="21">
        <v>0.38973999999999998</v>
      </c>
      <c r="AD284">
        <f t="shared" si="52"/>
        <v>17.952592592592595</v>
      </c>
      <c r="AE284">
        <f t="shared" si="53"/>
        <v>7.007255940740742</v>
      </c>
      <c r="AF284" s="9"/>
      <c r="AG284" s="21">
        <v>1.2797499999999999</v>
      </c>
      <c r="AH284" s="21">
        <v>20.587800000000001</v>
      </c>
      <c r="AI284" s="21">
        <v>-1.3943499999999999E-2</v>
      </c>
      <c r="AJ284" s="21">
        <v>274</v>
      </c>
      <c r="AK284" s="21">
        <v>1.2786900000000001</v>
      </c>
      <c r="AL284">
        <f t="shared" si="54"/>
        <v>17.214197530864197</v>
      </c>
      <c r="AM284">
        <f t="shared" si="55"/>
        <v>22.029869290123457</v>
      </c>
      <c r="AP284" s="9"/>
      <c r="AQ284" s="21">
        <v>0.39032</v>
      </c>
      <c r="AR284" s="21">
        <v>26.081199999999999</v>
      </c>
      <c r="AS284" s="21">
        <v>-1.46088E-2</v>
      </c>
      <c r="AT284" s="21">
        <v>274</v>
      </c>
      <c r="AU284" s="21">
        <v>0.38977099999999998</v>
      </c>
      <c r="AV284">
        <f t="shared" si="56"/>
        <v>18.035555555555554</v>
      </c>
      <c r="AW284">
        <f t="shared" si="57"/>
        <v>7.0396380444444437</v>
      </c>
      <c r="AX284" s="9"/>
      <c r="AY284" s="21">
        <v>1.2797499999999999</v>
      </c>
      <c r="AZ284" s="21">
        <v>29.84</v>
      </c>
      <c r="BA284" s="21">
        <v>-1.4035000000000001E-2</v>
      </c>
      <c r="BB284" s="21">
        <v>274</v>
      </c>
      <c r="BC284" s="21">
        <v>1.2789900000000001</v>
      </c>
      <c r="BD284">
        <f t="shared" si="58"/>
        <v>17.327160493827162</v>
      </c>
      <c r="BE284">
        <f t="shared" si="59"/>
        <v>22.174433641975309</v>
      </c>
    </row>
    <row r="285" spans="6:101" x14ac:dyDescent="0.25">
      <c r="F285" s="9"/>
      <c r="G285" s="21">
        <v>0.38528400000000002</v>
      </c>
      <c r="H285" s="21">
        <v>5.6428000000000003</v>
      </c>
      <c r="I285" s="21">
        <v>-1.47522E-2</v>
      </c>
      <c r="J285" s="21">
        <v>275</v>
      </c>
      <c r="K285" s="21">
        <v>0.38473499999999999</v>
      </c>
      <c r="L285">
        <f t="shared" si="48"/>
        <v>18.212592592592593</v>
      </c>
      <c r="M285">
        <f t="shared" si="49"/>
        <v>7.0170205244444448</v>
      </c>
      <c r="N285" s="9"/>
      <c r="O285" s="21">
        <v>1.2847900000000001</v>
      </c>
      <c r="P285" s="21">
        <v>9.4015699999999995</v>
      </c>
      <c r="Q285" s="21">
        <v>-1.4154099999999999E-2</v>
      </c>
      <c r="R285" s="21">
        <v>275</v>
      </c>
      <c r="S285" s="21">
        <v>1.2844800000000001</v>
      </c>
      <c r="T285">
        <f t="shared" si="50"/>
        <v>17.474197530864195</v>
      </c>
      <c r="U285">
        <f t="shared" si="51"/>
        <v>22.450674245679011</v>
      </c>
      <c r="X285" s="9"/>
      <c r="Y285" s="21">
        <v>0.38528400000000002</v>
      </c>
      <c r="Z285" s="21">
        <v>16.839099999999998</v>
      </c>
      <c r="AA285" s="21">
        <v>-1.45477E-2</v>
      </c>
      <c r="AB285" s="21">
        <v>275</v>
      </c>
      <c r="AC285" s="21">
        <v>0.38467400000000002</v>
      </c>
      <c r="AD285">
        <f t="shared" si="52"/>
        <v>17.960123456790122</v>
      </c>
      <c r="AE285">
        <f t="shared" si="53"/>
        <v>6.9197482059259254</v>
      </c>
      <c r="AF285" s="9"/>
      <c r="AG285" s="21">
        <v>1.2847900000000001</v>
      </c>
      <c r="AH285" s="21">
        <v>20.597799999999999</v>
      </c>
      <c r="AI285" s="21">
        <v>-1.39252E-2</v>
      </c>
      <c r="AJ285" s="21">
        <v>275</v>
      </c>
      <c r="AK285" s="21">
        <v>1.2841800000000001</v>
      </c>
      <c r="AL285">
        <f t="shared" si="54"/>
        <v>17.191604938271606</v>
      </c>
      <c r="AM285">
        <f t="shared" si="55"/>
        <v>22.087602108641978</v>
      </c>
      <c r="AP285" s="9"/>
      <c r="AQ285" s="21">
        <v>0.38528400000000002</v>
      </c>
      <c r="AR285" s="21">
        <v>26.0913</v>
      </c>
      <c r="AS285" s="21">
        <v>-1.4611799999999999E-2</v>
      </c>
      <c r="AT285" s="21">
        <v>275</v>
      </c>
      <c r="AU285" s="21">
        <v>0.38473499999999999</v>
      </c>
      <c r="AV285">
        <f t="shared" si="56"/>
        <v>18.039259259259257</v>
      </c>
      <c r="AW285">
        <f t="shared" si="57"/>
        <v>6.9502379644444439</v>
      </c>
      <c r="AX285" s="9"/>
      <c r="AY285" s="21">
        <v>1.2847900000000001</v>
      </c>
      <c r="AZ285" s="21">
        <v>29.850100000000001</v>
      </c>
      <c r="BA285" s="21">
        <v>-1.4041100000000001E-2</v>
      </c>
      <c r="BB285" s="21">
        <v>275</v>
      </c>
      <c r="BC285" s="21">
        <v>1.2844800000000001</v>
      </c>
      <c r="BD285">
        <f t="shared" si="58"/>
        <v>17.334691358024692</v>
      </c>
      <c r="BE285">
        <f t="shared" si="59"/>
        <v>22.271438109876545</v>
      </c>
    </row>
    <row r="286" spans="6:101" x14ac:dyDescent="0.25">
      <c r="F286" s="9"/>
      <c r="G286" s="21">
        <v>0.380249</v>
      </c>
      <c r="H286" s="21">
        <v>5.6528799999999997</v>
      </c>
      <c r="I286" s="21">
        <v>-1.47522E-2</v>
      </c>
      <c r="J286" s="21">
        <v>276</v>
      </c>
      <c r="K286" s="21">
        <v>0.37966899999999998</v>
      </c>
      <c r="L286">
        <f t="shared" si="48"/>
        <v>18.212592592592593</v>
      </c>
      <c r="M286">
        <f t="shared" si="49"/>
        <v>6.9253201207407411</v>
      </c>
      <c r="N286" s="9"/>
      <c r="O286" s="21">
        <v>1.28983</v>
      </c>
      <c r="P286" s="21">
        <v>9.4116400000000002</v>
      </c>
      <c r="Q286" s="21">
        <v>-1.4151E-2</v>
      </c>
      <c r="R286" s="21">
        <v>276</v>
      </c>
      <c r="S286" s="21">
        <v>1.2893699999999999</v>
      </c>
      <c r="T286">
        <f t="shared" si="50"/>
        <v>17.470370370370368</v>
      </c>
      <c r="U286">
        <f t="shared" si="51"/>
        <v>22.533807814814814</v>
      </c>
      <c r="X286" s="9"/>
      <c r="Y286" s="21">
        <v>0.380249</v>
      </c>
      <c r="Z286" s="21">
        <v>16.8491</v>
      </c>
      <c r="AA286" s="21">
        <v>-1.45416E-2</v>
      </c>
      <c r="AB286" s="21">
        <v>276</v>
      </c>
      <c r="AC286" s="21">
        <v>0.37969999999999998</v>
      </c>
      <c r="AD286">
        <f t="shared" si="52"/>
        <v>17.952592592592595</v>
      </c>
      <c r="AE286">
        <f t="shared" si="53"/>
        <v>6.8264553807407413</v>
      </c>
      <c r="AF286" s="9"/>
      <c r="AG286" s="21">
        <v>1.28983</v>
      </c>
      <c r="AH286" s="21">
        <v>20.607900000000001</v>
      </c>
      <c r="AI286" s="21">
        <v>-1.3916E-2</v>
      </c>
      <c r="AJ286" s="21">
        <v>276</v>
      </c>
      <c r="AK286" s="21">
        <v>1.2890600000000001</v>
      </c>
      <c r="AL286">
        <f t="shared" si="54"/>
        <v>17.180246913580245</v>
      </c>
      <c r="AM286">
        <f t="shared" si="55"/>
        <v>22.159597876543209</v>
      </c>
      <c r="AP286" s="9"/>
      <c r="AQ286" s="21">
        <v>0.380249</v>
      </c>
      <c r="AR286" s="21">
        <v>26.101400000000002</v>
      </c>
      <c r="AS286" s="21">
        <v>-1.46149E-2</v>
      </c>
      <c r="AT286" s="21">
        <v>276</v>
      </c>
      <c r="AU286" s="21">
        <v>0.37969999999999998</v>
      </c>
      <c r="AV286">
        <f t="shared" si="56"/>
        <v>18.043086419753088</v>
      </c>
      <c r="AW286">
        <f t="shared" si="57"/>
        <v>6.8608655680246917</v>
      </c>
      <c r="AX286" s="9"/>
      <c r="AY286" s="21">
        <v>1.28983</v>
      </c>
      <c r="AZ286" s="21">
        <v>29.860099999999999</v>
      </c>
      <c r="BA286" s="21">
        <v>-1.4041100000000001E-2</v>
      </c>
      <c r="BB286" s="21">
        <v>276</v>
      </c>
      <c r="BC286" s="21">
        <v>1.2893699999999999</v>
      </c>
      <c r="BD286">
        <f t="shared" si="58"/>
        <v>17.334691358024692</v>
      </c>
      <c r="BE286">
        <f t="shared" si="59"/>
        <v>22.358804954320988</v>
      </c>
    </row>
    <row r="287" spans="6:101" x14ac:dyDescent="0.25">
      <c r="F287" s="9"/>
      <c r="G287" s="21">
        <v>0.37521399999999999</v>
      </c>
      <c r="H287" s="21">
        <v>5.6629500000000004</v>
      </c>
      <c r="I287" s="21">
        <v>-1.47552E-2</v>
      </c>
      <c r="J287" s="21">
        <v>277</v>
      </c>
      <c r="K287" s="21">
        <v>0.37463400000000002</v>
      </c>
      <c r="L287">
        <f t="shared" si="48"/>
        <v>18.216296296296292</v>
      </c>
      <c r="M287">
        <f t="shared" si="49"/>
        <v>6.8350093985185172</v>
      </c>
      <c r="N287" s="9"/>
      <c r="O287" s="21">
        <v>1.2948599999999999</v>
      </c>
      <c r="P287" s="21">
        <v>9.4217099999999991</v>
      </c>
      <c r="Q287" s="21">
        <v>-1.41388E-2</v>
      </c>
      <c r="R287" s="21">
        <v>277</v>
      </c>
      <c r="S287" s="21">
        <v>1.2945599999999999</v>
      </c>
      <c r="T287">
        <f t="shared" si="50"/>
        <v>17.455308641975307</v>
      </c>
      <c r="U287">
        <f t="shared" si="51"/>
        <v>22.602180948148145</v>
      </c>
      <c r="X287" s="9"/>
      <c r="Y287" s="21">
        <v>0.37521399999999999</v>
      </c>
      <c r="Z287" s="21">
        <v>16.859200000000001</v>
      </c>
      <c r="AA287" s="21">
        <v>-1.45538E-2</v>
      </c>
      <c r="AB287" s="21">
        <v>277</v>
      </c>
      <c r="AC287" s="21">
        <v>0.37460300000000002</v>
      </c>
      <c r="AD287">
        <f t="shared" si="52"/>
        <v>17.967654320987652</v>
      </c>
      <c r="AE287">
        <f t="shared" si="53"/>
        <v>6.7417154483950608</v>
      </c>
      <c r="AF287" s="9"/>
      <c r="AG287" s="21">
        <v>1.2948599999999999</v>
      </c>
      <c r="AH287" s="21">
        <v>20.617999999999999</v>
      </c>
      <c r="AI287" s="21">
        <v>-1.3916E-2</v>
      </c>
      <c r="AJ287" s="21">
        <v>277</v>
      </c>
      <c r="AK287" s="21">
        <v>1.2942499999999999</v>
      </c>
      <c r="AL287">
        <f t="shared" si="54"/>
        <v>17.180246913580245</v>
      </c>
      <c r="AM287">
        <f t="shared" si="55"/>
        <v>22.246014518518514</v>
      </c>
      <c r="AP287" s="9"/>
      <c r="AQ287" s="21">
        <v>0.37521399999999999</v>
      </c>
      <c r="AR287" s="21">
        <v>26.1114</v>
      </c>
      <c r="AS287" s="21">
        <v>-1.4621E-2</v>
      </c>
      <c r="AT287" s="21">
        <v>277</v>
      </c>
      <c r="AU287" s="21">
        <v>0.37472499999999997</v>
      </c>
      <c r="AV287">
        <f t="shared" si="56"/>
        <v>18.050617283950618</v>
      </c>
      <c r="AW287">
        <f t="shared" si="57"/>
        <v>6.7728443135802472</v>
      </c>
      <c r="AX287" s="9"/>
      <c r="AY287" s="21">
        <v>1.2948599999999999</v>
      </c>
      <c r="AZ287" s="21">
        <v>29.870200000000001</v>
      </c>
      <c r="BA287" s="21">
        <v>-1.40289E-2</v>
      </c>
      <c r="BB287" s="21">
        <v>277</v>
      </c>
      <c r="BC287" s="21">
        <v>1.2948599999999999</v>
      </c>
      <c r="BD287">
        <f t="shared" si="58"/>
        <v>17.319629629629631</v>
      </c>
      <c r="BE287">
        <f t="shared" si="59"/>
        <v>22.426495622222223</v>
      </c>
    </row>
    <row r="288" spans="6:101" x14ac:dyDescent="0.25">
      <c r="F288" s="9"/>
      <c r="G288" s="21">
        <v>0.37017800000000001</v>
      </c>
      <c r="H288" s="21">
        <v>5.6730200000000002</v>
      </c>
      <c r="I288" s="21">
        <v>-1.47644E-2</v>
      </c>
      <c r="J288" s="21">
        <v>278</v>
      </c>
      <c r="K288" s="21">
        <v>0.36959799999999998</v>
      </c>
      <c r="L288">
        <f t="shared" si="48"/>
        <v>18.227654320987654</v>
      </c>
      <c r="M288">
        <f t="shared" si="49"/>
        <v>6.7474766212345676</v>
      </c>
      <c r="N288" s="9"/>
      <c r="O288" s="21">
        <v>1.2999000000000001</v>
      </c>
      <c r="P288" s="21">
        <v>9.4317799999999998</v>
      </c>
      <c r="Q288" s="21">
        <v>-1.41174E-2</v>
      </c>
      <c r="R288" s="21">
        <v>278</v>
      </c>
      <c r="S288" s="21">
        <v>1.2991299999999999</v>
      </c>
      <c r="T288">
        <f t="shared" si="50"/>
        <v>17.428888888888888</v>
      </c>
      <c r="U288">
        <f t="shared" si="51"/>
        <v>22.655812666666666</v>
      </c>
      <c r="X288" s="9"/>
      <c r="Y288" s="21">
        <v>0.37017800000000001</v>
      </c>
      <c r="Z288" s="21">
        <v>16.869299999999999</v>
      </c>
      <c r="AA288" s="21">
        <v>-1.4559900000000001E-2</v>
      </c>
      <c r="AB288" s="21">
        <v>278</v>
      </c>
      <c r="AC288" s="21">
        <v>0.36965900000000002</v>
      </c>
      <c r="AD288">
        <f t="shared" si="52"/>
        <v>17.975185185185186</v>
      </c>
      <c r="AE288">
        <f t="shared" si="53"/>
        <v>6.6540181014814817</v>
      </c>
      <c r="AF288" s="9"/>
      <c r="AG288" s="21">
        <v>1.2999000000000001</v>
      </c>
      <c r="AH288" s="21">
        <v>20.628</v>
      </c>
      <c r="AI288" s="21">
        <v>-1.3916E-2</v>
      </c>
      <c r="AJ288" s="21">
        <v>278</v>
      </c>
      <c r="AK288" s="21">
        <v>1.2997399999999999</v>
      </c>
      <c r="AL288">
        <f t="shared" si="54"/>
        <v>17.180246913580245</v>
      </c>
      <c r="AM288">
        <f t="shared" si="55"/>
        <v>22.332602962962962</v>
      </c>
      <c r="AP288" s="9"/>
      <c r="AQ288" s="21">
        <v>0.37017800000000001</v>
      </c>
      <c r="AR288" s="21">
        <v>26.121500000000001</v>
      </c>
      <c r="AS288" s="21">
        <v>-1.46179E-2</v>
      </c>
      <c r="AT288" s="21">
        <v>278</v>
      </c>
      <c r="AU288" s="21">
        <v>0.36969000000000002</v>
      </c>
      <c r="AV288">
        <f t="shared" si="56"/>
        <v>18.046790123456791</v>
      </c>
      <c r="AW288">
        <f t="shared" si="57"/>
        <v>6.6805246743209885</v>
      </c>
      <c r="AX288" s="9"/>
      <c r="AY288" s="21">
        <v>1.2999000000000001</v>
      </c>
      <c r="AZ288" s="21">
        <v>29.880299999999998</v>
      </c>
      <c r="BA288" s="21">
        <v>-1.40076E-2</v>
      </c>
      <c r="BB288" s="21">
        <v>278</v>
      </c>
      <c r="BC288" s="21">
        <v>1.2988299999999999</v>
      </c>
      <c r="BD288">
        <f t="shared" si="58"/>
        <v>17.293333333333333</v>
      </c>
      <c r="BE288">
        <f t="shared" si="59"/>
        <v>22.479604000000002</v>
      </c>
    </row>
    <row r="289" spans="6:57" x14ac:dyDescent="0.25">
      <c r="F289" s="9"/>
      <c r="G289" s="21">
        <v>0.365143</v>
      </c>
      <c r="H289" s="21">
        <v>5.68309</v>
      </c>
      <c r="I289" s="21">
        <v>-1.47736E-2</v>
      </c>
      <c r="J289" s="21">
        <v>279</v>
      </c>
      <c r="K289" s="21">
        <v>0.36456300000000003</v>
      </c>
      <c r="L289">
        <f t="shared" si="48"/>
        <v>18.239012345679011</v>
      </c>
      <c r="M289">
        <f t="shared" si="49"/>
        <v>6.6598476849382715</v>
      </c>
      <c r="N289" s="9"/>
      <c r="O289" s="21">
        <v>1.3049299999999999</v>
      </c>
      <c r="P289" s="21">
        <v>9.4418500000000005</v>
      </c>
      <c r="Q289" s="21">
        <v>-1.409E-2</v>
      </c>
      <c r="R289" s="21">
        <v>279</v>
      </c>
      <c r="S289" s="21">
        <v>1.30463</v>
      </c>
      <c r="T289">
        <f t="shared" si="50"/>
        <v>17.39506172839506</v>
      </c>
      <c r="U289">
        <f t="shared" si="51"/>
        <v>22.699337901234564</v>
      </c>
      <c r="X289" s="9"/>
      <c r="Y289" s="21">
        <v>0.365143</v>
      </c>
      <c r="Z289" s="21">
        <v>16.879300000000001</v>
      </c>
      <c r="AA289" s="21">
        <v>-1.4566000000000001E-2</v>
      </c>
      <c r="AB289" s="21">
        <v>279</v>
      </c>
      <c r="AC289" s="21">
        <v>0.36459399999999997</v>
      </c>
      <c r="AD289">
        <f t="shared" si="52"/>
        <v>17.982716049382717</v>
      </c>
      <c r="AE289">
        <f t="shared" si="53"/>
        <v>6.5662628864197528</v>
      </c>
      <c r="AF289" s="9"/>
      <c r="AG289" s="21">
        <v>1.3049299999999999</v>
      </c>
      <c r="AH289" s="21">
        <v>20.638100000000001</v>
      </c>
      <c r="AI289" s="21">
        <v>-1.3903799999999999E-2</v>
      </c>
      <c r="AJ289" s="21">
        <v>279</v>
      </c>
      <c r="AK289" s="21">
        <v>1.30463</v>
      </c>
      <c r="AL289">
        <f t="shared" si="54"/>
        <v>17.165185185185184</v>
      </c>
      <c r="AM289">
        <f t="shared" si="55"/>
        <v>22.399365103703701</v>
      </c>
      <c r="AP289" s="9"/>
      <c r="AQ289" s="21">
        <v>0.365143</v>
      </c>
      <c r="AR289" s="21">
        <v>26.131599999999999</v>
      </c>
      <c r="AS289" s="21">
        <v>-1.46179E-2</v>
      </c>
      <c r="AT289" s="21">
        <v>279</v>
      </c>
      <c r="AU289" s="21">
        <v>0.36459399999999997</v>
      </c>
      <c r="AV289">
        <f t="shared" si="56"/>
        <v>18.046790123456791</v>
      </c>
      <c r="AW289">
        <f t="shared" si="57"/>
        <v>6.5896590860493829</v>
      </c>
      <c r="AX289" s="9"/>
      <c r="AY289" s="21">
        <v>1.3049299999999999</v>
      </c>
      <c r="AZ289" s="21">
        <v>29.8903</v>
      </c>
      <c r="BA289" s="21">
        <v>-1.3992299999999999E-2</v>
      </c>
      <c r="BB289" s="21">
        <v>279</v>
      </c>
      <c r="BC289" s="21">
        <v>1.3043199999999999</v>
      </c>
      <c r="BD289">
        <f t="shared" si="58"/>
        <v>17.274444444444445</v>
      </c>
      <c r="BE289">
        <f t="shared" si="59"/>
        <v>22.541940788888887</v>
      </c>
    </row>
    <row r="290" spans="6:57" x14ac:dyDescent="0.25">
      <c r="F290" s="9"/>
      <c r="G290" s="21">
        <v>0.36010700000000001</v>
      </c>
      <c r="H290" s="21">
        <v>5.6931599999999998</v>
      </c>
      <c r="I290" s="21">
        <v>-1.47797E-2</v>
      </c>
      <c r="J290" s="21">
        <v>280</v>
      </c>
      <c r="K290" s="21">
        <v>0.35943599999999998</v>
      </c>
      <c r="L290">
        <f t="shared" si="48"/>
        <v>18.246543209876542</v>
      </c>
      <c r="M290">
        <f t="shared" si="49"/>
        <v>6.5707079356790121</v>
      </c>
      <c r="N290" s="9"/>
      <c r="O290" s="21">
        <v>1.3099700000000001</v>
      </c>
      <c r="P290" s="21">
        <v>9.4519300000000008</v>
      </c>
      <c r="Q290" s="21">
        <v>-1.4068600000000001E-2</v>
      </c>
      <c r="R290" s="21">
        <v>280</v>
      </c>
      <c r="S290" s="21">
        <v>1.3091999999999999</v>
      </c>
      <c r="T290">
        <f t="shared" si="50"/>
        <v>17.368641975308641</v>
      </c>
      <c r="U290">
        <f t="shared" si="51"/>
        <v>22.752399928395061</v>
      </c>
      <c r="X290" s="9"/>
      <c r="Y290" s="21">
        <v>0.36010700000000001</v>
      </c>
      <c r="Z290" s="21">
        <v>16.889399999999998</v>
      </c>
      <c r="AA290" s="21">
        <v>-1.45691E-2</v>
      </c>
      <c r="AB290" s="21">
        <v>280</v>
      </c>
      <c r="AC290" s="21">
        <v>0.35952800000000001</v>
      </c>
      <c r="AD290">
        <f t="shared" si="52"/>
        <v>17.98654320987654</v>
      </c>
      <c r="AE290">
        <f t="shared" si="53"/>
        <v>6.4770801156790112</v>
      </c>
      <c r="AF290" s="9"/>
      <c r="AG290" s="21">
        <v>1.3099700000000001</v>
      </c>
      <c r="AH290" s="21">
        <v>20.648199999999999</v>
      </c>
      <c r="AI290" s="21">
        <v>-1.3897700000000001E-2</v>
      </c>
      <c r="AJ290" s="21">
        <v>280</v>
      </c>
      <c r="AK290" s="21">
        <v>1.3091999999999999</v>
      </c>
      <c r="AL290">
        <f t="shared" si="54"/>
        <v>17.157654320987653</v>
      </c>
      <c r="AM290">
        <f t="shared" si="55"/>
        <v>22.476012430864198</v>
      </c>
      <c r="AP290" s="9"/>
      <c r="AQ290" s="21">
        <v>0.36010700000000001</v>
      </c>
      <c r="AR290" s="21">
        <v>26.1416</v>
      </c>
      <c r="AS290" s="21">
        <v>-1.4611799999999999E-2</v>
      </c>
      <c r="AT290" s="21">
        <v>280</v>
      </c>
      <c r="AU290" s="21">
        <v>0.35961900000000002</v>
      </c>
      <c r="AV290">
        <f t="shared" si="56"/>
        <v>18.039259259259257</v>
      </c>
      <c r="AW290">
        <f t="shared" si="57"/>
        <v>6.4960635340740733</v>
      </c>
      <c r="AX290" s="9"/>
      <c r="AY290" s="21">
        <v>1.3099700000000001</v>
      </c>
      <c r="AZ290" s="21">
        <v>29.900400000000001</v>
      </c>
      <c r="BA290" s="21">
        <v>-1.3986200000000001E-2</v>
      </c>
      <c r="BB290" s="21">
        <v>280</v>
      </c>
      <c r="BC290" s="21">
        <v>1.3089</v>
      </c>
      <c r="BD290">
        <f t="shared" si="58"/>
        <v>17.266913580246914</v>
      </c>
      <c r="BE290">
        <f t="shared" si="59"/>
        <v>22.619138782716053</v>
      </c>
    </row>
    <row r="291" spans="6:57" x14ac:dyDescent="0.25">
      <c r="F291" s="9"/>
      <c r="G291" s="21">
        <v>0.355072</v>
      </c>
      <c r="H291" s="21">
        <v>5.7032299999999996</v>
      </c>
      <c r="I291" s="21">
        <v>-1.4782699999999999E-2</v>
      </c>
      <c r="J291" s="21">
        <v>281</v>
      </c>
      <c r="K291" s="21">
        <v>0.35461399999999998</v>
      </c>
      <c r="L291">
        <f t="shared" si="48"/>
        <v>18.250246913580245</v>
      </c>
      <c r="M291">
        <f t="shared" si="49"/>
        <v>6.4801516720987644</v>
      </c>
      <c r="N291" s="9"/>
      <c r="O291" s="21">
        <v>1.3149999999999999</v>
      </c>
      <c r="P291" s="21">
        <v>9.4619999999999997</v>
      </c>
      <c r="Q291" s="21">
        <v>-1.40503E-2</v>
      </c>
      <c r="R291" s="21">
        <v>281</v>
      </c>
      <c r="S291" s="21">
        <v>1.31409</v>
      </c>
      <c r="T291">
        <f t="shared" si="50"/>
        <v>17.34604938271605</v>
      </c>
      <c r="U291">
        <f t="shared" si="51"/>
        <v>22.810054938271605</v>
      </c>
      <c r="X291" s="9"/>
      <c r="Y291" s="21">
        <v>0.355072</v>
      </c>
      <c r="Z291" s="21">
        <v>16.8995</v>
      </c>
      <c r="AA291" s="21">
        <v>-1.45813E-2</v>
      </c>
      <c r="AB291" s="21">
        <v>281</v>
      </c>
      <c r="AC291" s="21">
        <v>0.35452299999999998</v>
      </c>
      <c r="AD291">
        <f t="shared" si="52"/>
        <v>18.001604938271605</v>
      </c>
      <c r="AE291">
        <f t="shared" si="53"/>
        <v>6.3918658686419754</v>
      </c>
      <c r="AF291" s="9"/>
      <c r="AG291" s="21">
        <v>1.3149999999999999</v>
      </c>
      <c r="AH291" s="21">
        <v>20.658200000000001</v>
      </c>
      <c r="AI291" s="21">
        <v>-1.38885E-2</v>
      </c>
      <c r="AJ291" s="21">
        <v>281</v>
      </c>
      <c r="AK291" s="21">
        <v>1.3143899999999999</v>
      </c>
      <c r="AL291">
        <f t="shared" si="54"/>
        <v>17.146296296296295</v>
      </c>
      <c r="AM291">
        <f t="shared" si="55"/>
        <v>22.547379629629628</v>
      </c>
      <c r="AP291" s="9"/>
      <c r="AQ291" s="21">
        <v>0.355072</v>
      </c>
      <c r="AR291" s="21">
        <v>26.151700000000002</v>
      </c>
      <c r="AS291" s="21">
        <v>-1.4611799999999999E-2</v>
      </c>
      <c r="AT291" s="21">
        <v>281</v>
      </c>
      <c r="AU291" s="21">
        <v>0.35452299999999998</v>
      </c>
      <c r="AV291">
        <f t="shared" si="56"/>
        <v>18.039259259259257</v>
      </c>
      <c r="AW291">
        <f t="shared" si="57"/>
        <v>6.4052358637037026</v>
      </c>
      <c r="AX291" s="9"/>
      <c r="AY291" s="21">
        <v>1.3149999999999999</v>
      </c>
      <c r="AZ291" s="21">
        <v>29.910499999999999</v>
      </c>
      <c r="BA291" s="21">
        <v>-1.3977099999999999E-2</v>
      </c>
      <c r="BB291" s="21">
        <v>281</v>
      </c>
      <c r="BC291" s="21">
        <v>1.31409</v>
      </c>
      <c r="BD291">
        <f t="shared" si="58"/>
        <v>17.255679012345677</v>
      </c>
      <c r="BE291">
        <f t="shared" si="59"/>
        <v>22.691217901234566</v>
      </c>
    </row>
    <row r="292" spans="6:57" x14ac:dyDescent="0.25">
      <c r="F292" s="9"/>
      <c r="G292" s="21">
        <v>0.35003699999999999</v>
      </c>
      <c r="H292" s="21">
        <v>5.7133000000000003</v>
      </c>
      <c r="I292" s="21">
        <v>-1.47949E-2</v>
      </c>
      <c r="J292" s="21">
        <v>282</v>
      </c>
      <c r="K292" s="21">
        <v>0.34942600000000001</v>
      </c>
      <c r="L292">
        <f t="shared" si="48"/>
        <v>18.265308641975306</v>
      </c>
      <c r="M292">
        <f t="shared" si="49"/>
        <v>6.3935338411111102</v>
      </c>
      <c r="N292" s="9"/>
      <c r="O292" s="21">
        <v>1.3200400000000001</v>
      </c>
      <c r="P292" s="21">
        <v>9.4720700000000004</v>
      </c>
      <c r="Q292" s="21">
        <v>-1.40289E-2</v>
      </c>
      <c r="R292" s="21">
        <v>282</v>
      </c>
      <c r="S292" s="21">
        <v>1.31897</v>
      </c>
      <c r="T292">
        <f t="shared" si="50"/>
        <v>17.319629629629631</v>
      </c>
      <c r="U292">
        <f t="shared" si="51"/>
        <v>22.862603896296299</v>
      </c>
      <c r="X292" s="9"/>
      <c r="Y292" s="21">
        <v>0.35003699999999999</v>
      </c>
      <c r="Z292" s="21">
        <v>16.909600000000001</v>
      </c>
      <c r="AA292" s="21">
        <v>-1.4593500000000001E-2</v>
      </c>
      <c r="AB292" s="21">
        <v>282</v>
      </c>
      <c r="AC292" s="21">
        <v>0.34936499999999998</v>
      </c>
      <c r="AD292">
        <f t="shared" si="52"/>
        <v>18.016666666666666</v>
      </c>
      <c r="AE292">
        <f t="shared" si="53"/>
        <v>6.3064999499999992</v>
      </c>
      <c r="AF292" s="9"/>
      <c r="AG292" s="21">
        <v>1.3200400000000001</v>
      </c>
      <c r="AH292" s="21">
        <v>20.668299999999999</v>
      </c>
      <c r="AI292" s="21">
        <v>-1.3870199999999999E-2</v>
      </c>
      <c r="AJ292" s="21">
        <v>282</v>
      </c>
      <c r="AK292" s="21">
        <v>1.31958</v>
      </c>
      <c r="AL292">
        <f t="shared" si="54"/>
        <v>17.123703703703701</v>
      </c>
      <c r="AM292">
        <f t="shared" si="55"/>
        <v>22.603973837037035</v>
      </c>
      <c r="AP292" s="9"/>
      <c r="AQ292" s="21">
        <v>0.35003699999999999</v>
      </c>
      <c r="AR292" s="21">
        <v>26.161799999999999</v>
      </c>
      <c r="AS292" s="21">
        <v>-1.46149E-2</v>
      </c>
      <c r="AT292" s="21">
        <v>282</v>
      </c>
      <c r="AU292" s="21">
        <v>0.349518</v>
      </c>
      <c r="AV292">
        <f t="shared" si="56"/>
        <v>18.043086419753088</v>
      </c>
      <c r="AW292">
        <f t="shared" si="57"/>
        <v>6.3157478411111114</v>
      </c>
      <c r="AX292" s="9"/>
      <c r="AY292" s="21">
        <v>1.3200400000000001</v>
      </c>
      <c r="AZ292" s="21">
        <v>29.920500000000001</v>
      </c>
      <c r="BA292" s="21">
        <v>-1.39618E-2</v>
      </c>
      <c r="BB292" s="21">
        <v>282</v>
      </c>
      <c r="BC292" s="21">
        <v>1.31958</v>
      </c>
      <c r="BD292">
        <f t="shared" si="58"/>
        <v>17.236790123456789</v>
      </c>
      <c r="BE292">
        <f t="shared" si="59"/>
        <v>22.753252434567901</v>
      </c>
    </row>
    <row r="293" spans="6:57" x14ac:dyDescent="0.25">
      <c r="F293" s="9"/>
      <c r="G293" s="21">
        <v>0.345001</v>
      </c>
      <c r="H293" s="21">
        <v>5.7233700000000001</v>
      </c>
      <c r="I293" s="21">
        <v>-1.4810200000000001E-2</v>
      </c>
      <c r="J293" s="21">
        <v>283</v>
      </c>
      <c r="K293" s="21">
        <v>0.34442099999999998</v>
      </c>
      <c r="L293">
        <f t="shared" si="48"/>
        <v>18.284197530864198</v>
      </c>
      <c r="M293">
        <f t="shared" si="49"/>
        <v>6.3080664323456794</v>
      </c>
      <c r="N293" s="9"/>
      <c r="O293" s="21">
        <v>1.32507</v>
      </c>
      <c r="P293" s="21">
        <v>9.4821399999999993</v>
      </c>
      <c r="Q293" s="21">
        <v>-1.4019800000000001E-2</v>
      </c>
      <c r="R293" s="21">
        <v>283</v>
      </c>
      <c r="S293" s="21">
        <v>1.32446</v>
      </c>
      <c r="T293">
        <f t="shared" si="50"/>
        <v>17.308395061728394</v>
      </c>
      <c r="U293">
        <f t="shared" si="51"/>
        <v>22.934835044444441</v>
      </c>
      <c r="X293" s="9"/>
      <c r="Y293" s="21">
        <v>0.345001</v>
      </c>
      <c r="Z293" s="21">
        <v>16.919599999999999</v>
      </c>
      <c r="AA293" s="21">
        <v>-1.4593500000000001E-2</v>
      </c>
      <c r="AB293" s="21">
        <v>283</v>
      </c>
      <c r="AC293" s="21">
        <v>0.34445199999999998</v>
      </c>
      <c r="AD293">
        <f t="shared" si="52"/>
        <v>18.016666666666666</v>
      </c>
      <c r="AE293">
        <f t="shared" si="53"/>
        <v>6.215768016666666</v>
      </c>
      <c r="AF293" s="9"/>
      <c r="AG293" s="21">
        <v>1.32507</v>
      </c>
      <c r="AH293" s="21">
        <v>20.6784</v>
      </c>
      <c r="AI293" s="21">
        <v>-1.3864100000000001E-2</v>
      </c>
      <c r="AJ293" s="21">
        <v>283</v>
      </c>
      <c r="AK293" s="21">
        <v>1.32446</v>
      </c>
      <c r="AL293">
        <f t="shared" si="54"/>
        <v>17.11617283950617</v>
      </c>
      <c r="AM293">
        <f t="shared" si="55"/>
        <v>22.680127144444441</v>
      </c>
      <c r="AP293" s="9"/>
      <c r="AQ293" s="21">
        <v>0.345001</v>
      </c>
      <c r="AR293" s="21">
        <v>26.171900000000001</v>
      </c>
      <c r="AS293" s="21">
        <v>-1.4621E-2</v>
      </c>
      <c r="AT293" s="21">
        <v>283</v>
      </c>
      <c r="AU293" s="21">
        <v>0.344391</v>
      </c>
      <c r="AV293">
        <f t="shared" si="56"/>
        <v>18.050617283950618</v>
      </c>
      <c r="AW293">
        <f t="shared" si="57"/>
        <v>6.2274810135802472</v>
      </c>
      <c r="AX293" s="9"/>
      <c r="AY293" s="21">
        <v>1.32507</v>
      </c>
      <c r="AZ293" s="21">
        <v>29.930599999999998</v>
      </c>
      <c r="BA293" s="21">
        <v>-1.3946500000000001E-2</v>
      </c>
      <c r="BB293" s="21">
        <v>283</v>
      </c>
      <c r="BC293" s="21">
        <v>1.32416</v>
      </c>
      <c r="BD293">
        <f t="shared" si="58"/>
        <v>17.217901234567901</v>
      </c>
      <c r="BE293">
        <f t="shared" si="59"/>
        <v>22.814924388888887</v>
      </c>
    </row>
    <row r="294" spans="6:57" x14ac:dyDescent="0.25">
      <c r="F294" s="9"/>
      <c r="G294" s="21">
        <v>0.33996599999999999</v>
      </c>
      <c r="H294" s="21">
        <v>5.7334399999999999</v>
      </c>
      <c r="I294" s="21">
        <v>-1.4822399999999999E-2</v>
      </c>
      <c r="J294" s="21">
        <v>284</v>
      </c>
      <c r="K294" s="21">
        <v>0.339447</v>
      </c>
      <c r="L294">
        <f t="shared" si="48"/>
        <v>18.299259259259259</v>
      </c>
      <c r="M294">
        <f t="shared" si="49"/>
        <v>6.2211259733333328</v>
      </c>
      <c r="N294" s="9"/>
      <c r="O294" s="21">
        <v>1.3301099999999999</v>
      </c>
      <c r="P294" s="21">
        <v>9.49221</v>
      </c>
      <c r="Q294" s="21">
        <v>-1.40015E-2</v>
      </c>
      <c r="R294" s="21">
        <v>284</v>
      </c>
      <c r="S294" s="21">
        <v>1.32996</v>
      </c>
      <c r="T294">
        <f t="shared" si="50"/>
        <v>17.285802469135803</v>
      </c>
      <c r="U294">
        <f t="shared" si="51"/>
        <v>22.99201872222222</v>
      </c>
      <c r="X294" s="9"/>
      <c r="Y294" s="21">
        <v>0.33996599999999999</v>
      </c>
      <c r="Z294" s="21">
        <v>16.9297</v>
      </c>
      <c r="AA294" s="21">
        <v>-1.4599600000000001E-2</v>
      </c>
      <c r="AB294" s="21">
        <v>284</v>
      </c>
      <c r="AC294" s="21">
        <v>0.33926400000000001</v>
      </c>
      <c r="AD294">
        <f t="shared" si="52"/>
        <v>18.0241975308642</v>
      </c>
      <c r="AE294">
        <f t="shared" si="53"/>
        <v>6.1276143377777785</v>
      </c>
      <c r="AF294" s="9"/>
      <c r="AG294" s="21">
        <v>1.3301099999999999</v>
      </c>
      <c r="AH294" s="21">
        <v>20.688500000000001</v>
      </c>
      <c r="AI294" s="21">
        <v>-1.3861099999999999E-2</v>
      </c>
      <c r="AJ294" s="21">
        <v>284</v>
      </c>
      <c r="AK294" s="21">
        <v>1.32935</v>
      </c>
      <c r="AL294">
        <f t="shared" si="54"/>
        <v>17.112469135802467</v>
      </c>
      <c r="AM294">
        <f t="shared" si="55"/>
        <v>22.761466322222219</v>
      </c>
      <c r="AP294" s="9"/>
      <c r="AQ294" s="21">
        <v>0.33996599999999999</v>
      </c>
      <c r="AR294" s="21">
        <v>26.181899999999999</v>
      </c>
      <c r="AS294" s="21">
        <v>-1.4627100000000001E-2</v>
      </c>
      <c r="AT294" s="21">
        <v>284</v>
      </c>
      <c r="AU294" s="21">
        <v>0.33932499999999999</v>
      </c>
      <c r="AV294">
        <f t="shared" si="56"/>
        <v>18.058148148148145</v>
      </c>
      <c r="AW294">
        <f t="shared" si="57"/>
        <v>6.139156393333332</v>
      </c>
      <c r="AX294" s="9"/>
      <c r="AY294" s="21">
        <v>1.3301099999999999</v>
      </c>
      <c r="AZ294" s="21">
        <v>29.9407</v>
      </c>
      <c r="BA294" s="21">
        <v>-1.3937400000000001E-2</v>
      </c>
      <c r="BB294" s="21">
        <v>284</v>
      </c>
      <c r="BC294" s="21">
        <v>1.32935</v>
      </c>
      <c r="BD294">
        <f t="shared" si="58"/>
        <v>17.206666666666667</v>
      </c>
      <c r="BE294">
        <f t="shared" si="59"/>
        <v>22.886759399999999</v>
      </c>
    </row>
    <row r="295" spans="6:57" x14ac:dyDescent="0.25">
      <c r="F295" s="9"/>
      <c r="G295" s="21">
        <v>0.33493000000000001</v>
      </c>
      <c r="H295" s="21">
        <v>5.7435099999999997</v>
      </c>
      <c r="I295" s="21">
        <v>-1.4825400000000001E-2</v>
      </c>
      <c r="J295" s="21">
        <v>285</v>
      </c>
      <c r="K295" s="21">
        <v>0.33435100000000001</v>
      </c>
      <c r="L295">
        <f t="shared" si="48"/>
        <v>18.302962962962962</v>
      </c>
      <c r="M295">
        <f t="shared" si="49"/>
        <v>6.1302113851851852</v>
      </c>
      <c r="N295" s="9"/>
      <c r="O295" s="21">
        <v>1.33514</v>
      </c>
      <c r="P295" s="21">
        <v>9.5022800000000007</v>
      </c>
      <c r="Q295" s="21">
        <v>-1.3983199999999999E-2</v>
      </c>
      <c r="R295" s="21">
        <v>285</v>
      </c>
      <c r="S295" s="21">
        <v>1.33484</v>
      </c>
      <c r="T295">
        <f t="shared" si="50"/>
        <v>17.263209876543208</v>
      </c>
      <c r="U295">
        <f t="shared" si="51"/>
        <v>23.048802034567899</v>
      </c>
      <c r="X295" s="9"/>
      <c r="Y295" s="21">
        <v>0.33493000000000001</v>
      </c>
      <c r="Z295" s="21">
        <v>16.939800000000002</v>
      </c>
      <c r="AA295" s="21">
        <v>-1.46027E-2</v>
      </c>
      <c r="AB295" s="21">
        <v>285</v>
      </c>
      <c r="AC295" s="21">
        <v>0.33432000000000001</v>
      </c>
      <c r="AD295">
        <f t="shared" si="52"/>
        <v>18.028024691358024</v>
      </c>
      <c r="AE295">
        <f t="shared" si="53"/>
        <v>6.0381263098765432</v>
      </c>
      <c r="AF295" s="9"/>
      <c r="AG295" s="21">
        <v>1.33514</v>
      </c>
      <c r="AH295" s="21">
        <v>20.698499999999999</v>
      </c>
      <c r="AI295" s="21">
        <v>-1.3854999999999999E-2</v>
      </c>
      <c r="AJ295" s="21">
        <v>285</v>
      </c>
      <c r="AK295" s="21">
        <v>1.33484</v>
      </c>
      <c r="AL295">
        <f t="shared" si="54"/>
        <v>17.104938271604937</v>
      </c>
      <c r="AM295">
        <f t="shared" si="55"/>
        <v>22.837487283950615</v>
      </c>
      <c r="AP295" s="9"/>
      <c r="AQ295" s="21">
        <v>0.33493000000000001</v>
      </c>
      <c r="AR295" s="21">
        <v>26.192</v>
      </c>
      <c r="AS295" s="21">
        <v>-1.46301E-2</v>
      </c>
      <c r="AT295" s="21">
        <v>285</v>
      </c>
      <c r="AU295" s="21">
        <v>0.33428999999999998</v>
      </c>
      <c r="AV295">
        <f t="shared" si="56"/>
        <v>18.061851851851848</v>
      </c>
      <c r="AW295">
        <f t="shared" si="57"/>
        <v>6.0494560407407398</v>
      </c>
      <c r="AX295" s="9"/>
      <c r="AY295" s="21">
        <v>1.33514</v>
      </c>
      <c r="AZ295" s="21">
        <v>29.950800000000001</v>
      </c>
      <c r="BA295" s="21">
        <v>-1.3913E-2</v>
      </c>
      <c r="BB295" s="21">
        <v>285</v>
      </c>
      <c r="BC295" s="21">
        <v>1.33453</v>
      </c>
      <c r="BD295">
        <f t="shared" si="58"/>
        <v>17.176543209876542</v>
      </c>
      <c r="BE295">
        <f t="shared" si="59"/>
        <v>22.933089901234567</v>
      </c>
    </row>
    <row r="296" spans="6:57" x14ac:dyDescent="0.25">
      <c r="F296" s="9"/>
      <c r="G296" s="21">
        <v>0.32989499999999999</v>
      </c>
      <c r="H296" s="21">
        <v>5.75359</v>
      </c>
      <c r="I296" s="21">
        <v>-1.48407E-2</v>
      </c>
      <c r="J296" s="21">
        <v>286</v>
      </c>
      <c r="K296" s="21">
        <v>0.32922400000000002</v>
      </c>
      <c r="L296">
        <f t="shared" si="48"/>
        <v>18.32185185185185</v>
      </c>
      <c r="M296">
        <f t="shared" si="49"/>
        <v>6.044287316666666</v>
      </c>
      <c r="N296" s="9"/>
      <c r="O296" s="21">
        <v>1.3401799999999999</v>
      </c>
      <c r="P296" s="21">
        <v>9.5123499999999996</v>
      </c>
      <c r="Q296" s="21">
        <v>-1.39679E-2</v>
      </c>
      <c r="R296" s="21">
        <v>286</v>
      </c>
      <c r="S296" s="21">
        <v>1.3394200000000001</v>
      </c>
      <c r="T296">
        <f t="shared" si="50"/>
        <v>17.244320987654319</v>
      </c>
      <c r="U296">
        <f t="shared" si="51"/>
        <v>23.110494101234565</v>
      </c>
      <c r="X296" s="9"/>
      <c r="Y296" s="21">
        <v>0.32989499999999999</v>
      </c>
      <c r="Z296" s="21">
        <v>16.9498</v>
      </c>
      <c r="AA296" s="21">
        <v>-1.45966E-2</v>
      </c>
      <c r="AB296" s="21">
        <v>286</v>
      </c>
      <c r="AC296" s="21">
        <v>0.32934600000000003</v>
      </c>
      <c r="AD296">
        <f t="shared" si="52"/>
        <v>18.020493827160493</v>
      </c>
      <c r="AE296">
        <f t="shared" si="53"/>
        <v>5.9448708111111106</v>
      </c>
      <c r="AF296" s="9"/>
      <c r="AG296" s="21">
        <v>1.3401799999999999</v>
      </c>
      <c r="AH296" s="21">
        <v>20.708600000000001</v>
      </c>
      <c r="AI296" s="21">
        <v>-1.38397E-2</v>
      </c>
      <c r="AJ296" s="21">
        <v>286</v>
      </c>
      <c r="AK296" s="21">
        <v>1.33972</v>
      </c>
      <c r="AL296">
        <f t="shared" si="54"/>
        <v>17.086049382716048</v>
      </c>
      <c r="AM296">
        <f t="shared" si="55"/>
        <v>22.898381661728394</v>
      </c>
      <c r="AP296" s="9"/>
      <c r="AQ296" s="21">
        <v>0.32989499999999999</v>
      </c>
      <c r="AR296" s="21">
        <v>26.202100000000002</v>
      </c>
      <c r="AS296" s="21">
        <v>-1.46301E-2</v>
      </c>
      <c r="AT296" s="21">
        <v>286</v>
      </c>
      <c r="AU296" s="21">
        <v>0.32934600000000003</v>
      </c>
      <c r="AV296">
        <f t="shared" si="56"/>
        <v>18.061851851851848</v>
      </c>
      <c r="AW296">
        <f t="shared" si="57"/>
        <v>5.9585146166666654</v>
      </c>
      <c r="AX296" s="9"/>
      <c r="AY296" s="21">
        <v>1.3401799999999999</v>
      </c>
      <c r="AZ296" s="21">
        <v>29.960799999999999</v>
      </c>
      <c r="BA296" s="21">
        <v>-1.38824E-2</v>
      </c>
      <c r="BB296" s="21">
        <v>286</v>
      </c>
      <c r="BC296" s="21">
        <v>1.33972</v>
      </c>
      <c r="BD296">
        <f t="shared" si="58"/>
        <v>17.138765432098765</v>
      </c>
      <c r="BE296">
        <f t="shared" si="59"/>
        <v>22.969030656790121</v>
      </c>
    </row>
    <row r="297" spans="6:57" x14ac:dyDescent="0.25">
      <c r="F297" s="9"/>
      <c r="G297" s="21">
        <v>0.32485999999999998</v>
      </c>
      <c r="H297" s="21">
        <v>5.7636599999999998</v>
      </c>
      <c r="I297" s="21">
        <v>-1.48529E-2</v>
      </c>
      <c r="J297" s="21">
        <v>287</v>
      </c>
      <c r="K297" s="21">
        <v>0.32437100000000002</v>
      </c>
      <c r="L297">
        <f t="shared" si="48"/>
        <v>18.336913580246915</v>
      </c>
      <c r="M297">
        <f t="shared" si="49"/>
        <v>5.9569297456790125</v>
      </c>
      <c r="N297" s="9"/>
      <c r="O297" s="21">
        <v>1.34521</v>
      </c>
      <c r="P297" s="21">
        <v>9.5224200000000003</v>
      </c>
      <c r="Q297" s="21">
        <v>-1.39709E-2</v>
      </c>
      <c r="R297" s="21">
        <v>287</v>
      </c>
      <c r="S297" s="21">
        <v>1.3446</v>
      </c>
      <c r="T297">
        <f t="shared" si="50"/>
        <v>17.248024691358022</v>
      </c>
      <c r="U297">
        <f t="shared" si="51"/>
        <v>23.202215295061727</v>
      </c>
      <c r="X297" s="9"/>
      <c r="Y297" s="21">
        <v>0.32485999999999998</v>
      </c>
      <c r="Z297" s="21">
        <v>16.959900000000001</v>
      </c>
      <c r="AA297" s="21">
        <v>-1.4599600000000001E-2</v>
      </c>
      <c r="AB297" s="21">
        <v>287</v>
      </c>
      <c r="AC297" s="21">
        <v>0.32434099999999999</v>
      </c>
      <c r="AD297">
        <f t="shared" si="52"/>
        <v>18.0241975308642</v>
      </c>
      <c r="AE297">
        <f t="shared" si="53"/>
        <v>5.8553408098765436</v>
      </c>
      <c r="AF297" s="9"/>
      <c r="AG297" s="21">
        <v>1.34521</v>
      </c>
      <c r="AH297" s="21">
        <v>20.718699999999998</v>
      </c>
      <c r="AI297" s="21">
        <v>-1.38306E-2</v>
      </c>
      <c r="AJ297" s="21">
        <v>287</v>
      </c>
      <c r="AK297" s="21">
        <v>1.3446</v>
      </c>
      <c r="AL297">
        <f t="shared" si="54"/>
        <v>17.074814814814815</v>
      </c>
      <c r="AM297">
        <f t="shared" si="55"/>
        <v>22.969211637037038</v>
      </c>
      <c r="AP297" s="9"/>
      <c r="AQ297" s="21">
        <v>0.32485999999999998</v>
      </c>
      <c r="AR297" s="21">
        <v>26.2121</v>
      </c>
      <c r="AS297" s="21">
        <v>-1.46301E-2</v>
      </c>
      <c r="AT297" s="21">
        <v>287</v>
      </c>
      <c r="AU297" s="21">
        <v>0.32424900000000001</v>
      </c>
      <c r="AV297">
        <f t="shared" si="56"/>
        <v>18.061851851851848</v>
      </c>
      <c r="AW297">
        <f t="shared" si="57"/>
        <v>5.8675731925925909</v>
      </c>
      <c r="AX297" s="9"/>
      <c r="AY297" s="21">
        <v>1.34521</v>
      </c>
      <c r="AZ297" s="21">
        <v>29.9709</v>
      </c>
      <c r="BA297" s="21">
        <v>-1.3864100000000001E-2</v>
      </c>
      <c r="BB297" s="21">
        <v>287</v>
      </c>
      <c r="BC297" s="21">
        <v>1.34399</v>
      </c>
      <c r="BD297">
        <f t="shared" si="58"/>
        <v>17.11617283950617</v>
      </c>
      <c r="BE297">
        <f t="shared" si="59"/>
        <v>23.024846865432096</v>
      </c>
    </row>
    <row r="298" spans="6:57" x14ac:dyDescent="0.25">
      <c r="F298" s="9"/>
      <c r="G298" s="21">
        <v>0.319824</v>
      </c>
      <c r="H298" s="21">
        <v>5.7737299999999996</v>
      </c>
      <c r="I298" s="21">
        <v>-1.4859000000000001E-2</v>
      </c>
      <c r="J298" s="21">
        <v>288</v>
      </c>
      <c r="K298" s="21">
        <v>0.31924400000000003</v>
      </c>
      <c r="L298">
        <f t="shared" si="48"/>
        <v>18.344444444444445</v>
      </c>
      <c r="M298">
        <f t="shared" si="49"/>
        <v>5.8669935999999998</v>
      </c>
      <c r="N298" s="9"/>
      <c r="O298" s="21">
        <v>1.35025</v>
      </c>
      <c r="P298" s="21">
        <v>9.5324899999999992</v>
      </c>
      <c r="Q298" s="21">
        <v>-1.39709E-2</v>
      </c>
      <c r="R298" s="21">
        <v>288</v>
      </c>
      <c r="S298" s="21">
        <v>1.34979</v>
      </c>
      <c r="T298">
        <f t="shared" si="50"/>
        <v>17.248024691358022</v>
      </c>
      <c r="U298">
        <f t="shared" si="51"/>
        <v>23.28914533950617</v>
      </c>
      <c r="X298" s="9"/>
      <c r="Y298" s="21">
        <v>0.319824</v>
      </c>
      <c r="Z298" s="21">
        <v>16.97</v>
      </c>
      <c r="AA298" s="21">
        <v>-1.46088E-2</v>
      </c>
      <c r="AB298" s="21">
        <v>288</v>
      </c>
      <c r="AC298" s="21">
        <v>0.31930500000000001</v>
      </c>
      <c r="AD298">
        <f t="shared" si="52"/>
        <v>18.035555555555554</v>
      </c>
      <c r="AE298">
        <f t="shared" si="53"/>
        <v>5.7682035199999993</v>
      </c>
      <c r="AF298" s="9"/>
      <c r="AG298" s="21">
        <v>1.35025</v>
      </c>
      <c r="AH298" s="21">
        <v>20.7287</v>
      </c>
      <c r="AI298" s="21">
        <v>-1.3815300000000001E-2</v>
      </c>
      <c r="AJ298" s="21">
        <v>288</v>
      </c>
      <c r="AK298" s="21">
        <v>1.34918</v>
      </c>
      <c r="AL298">
        <f t="shared" si="54"/>
        <v>17.055925925925926</v>
      </c>
      <c r="AM298">
        <f t="shared" si="55"/>
        <v>23.02976398148148</v>
      </c>
      <c r="AP298" s="9"/>
      <c r="AQ298" s="21">
        <v>0.319824</v>
      </c>
      <c r="AR298" s="21">
        <v>26.222200000000001</v>
      </c>
      <c r="AS298" s="21">
        <v>-1.46179E-2</v>
      </c>
      <c r="AT298" s="21">
        <v>288</v>
      </c>
      <c r="AU298" s="21">
        <v>0.31915300000000002</v>
      </c>
      <c r="AV298">
        <f t="shared" si="56"/>
        <v>18.046790123456791</v>
      </c>
      <c r="AW298">
        <f t="shared" si="57"/>
        <v>5.7717966044444449</v>
      </c>
      <c r="AX298" s="9"/>
      <c r="AY298" s="21">
        <v>1.35025</v>
      </c>
      <c r="AZ298" s="21">
        <v>29.981000000000002</v>
      </c>
      <c r="BA298" s="21">
        <v>-1.3848900000000001E-2</v>
      </c>
      <c r="BB298" s="21">
        <v>288</v>
      </c>
      <c r="BC298" s="21">
        <v>1.34918</v>
      </c>
      <c r="BD298">
        <f t="shared" si="58"/>
        <v>17.09740740740741</v>
      </c>
      <c r="BE298">
        <f t="shared" si="59"/>
        <v>23.085774351851853</v>
      </c>
    </row>
    <row r="299" spans="6:57" x14ac:dyDescent="0.25">
      <c r="F299" s="9"/>
      <c r="G299" s="21">
        <v>0.31478899999999999</v>
      </c>
      <c r="H299" s="21">
        <v>5.7838000000000003</v>
      </c>
      <c r="I299" s="21">
        <v>-1.48621E-2</v>
      </c>
      <c r="J299" s="21">
        <v>289</v>
      </c>
      <c r="K299" s="21">
        <v>0.31424000000000002</v>
      </c>
      <c r="L299">
        <f t="shared" si="48"/>
        <v>18.348271604938269</v>
      </c>
      <c r="M299">
        <f t="shared" si="49"/>
        <v>5.7758340702469129</v>
      </c>
      <c r="N299" s="9"/>
      <c r="O299" s="21">
        <v>1.3552900000000001</v>
      </c>
      <c r="P299" s="21">
        <v>9.5425599999999999</v>
      </c>
      <c r="Q299" s="21">
        <v>-1.3958699999999999E-2</v>
      </c>
      <c r="R299" s="21">
        <v>289</v>
      </c>
      <c r="S299" s="21">
        <v>1.3546800000000001</v>
      </c>
      <c r="T299">
        <f t="shared" si="50"/>
        <v>17.232962962962961</v>
      </c>
      <c r="U299">
        <f t="shared" si="51"/>
        <v>23.355662374074075</v>
      </c>
      <c r="X299" s="9"/>
      <c r="Y299" s="21">
        <v>0.31478899999999999</v>
      </c>
      <c r="Z299" s="21">
        <v>16.9801</v>
      </c>
      <c r="AA299" s="21">
        <v>-1.4624E-2</v>
      </c>
      <c r="AB299" s="21">
        <v>289</v>
      </c>
      <c r="AC299" s="21">
        <v>0.31426999999999999</v>
      </c>
      <c r="AD299">
        <f t="shared" si="52"/>
        <v>18.054320987654318</v>
      </c>
      <c r="AE299">
        <f t="shared" si="53"/>
        <v>5.6833016493827149</v>
      </c>
      <c r="AF299" s="9"/>
      <c r="AG299" s="21">
        <v>1.3552900000000001</v>
      </c>
      <c r="AH299" s="21">
        <v>20.738800000000001</v>
      </c>
      <c r="AI299" s="21">
        <v>-1.37939E-2</v>
      </c>
      <c r="AJ299" s="21">
        <v>289</v>
      </c>
      <c r="AK299" s="21">
        <v>1.3546800000000001</v>
      </c>
      <c r="AL299">
        <f t="shared" si="54"/>
        <v>17.029506172839504</v>
      </c>
      <c r="AM299">
        <f t="shared" si="55"/>
        <v>23.079919420987654</v>
      </c>
      <c r="AP299" s="9"/>
      <c r="AQ299" s="21">
        <v>0.31478899999999999</v>
      </c>
      <c r="AR299" s="21">
        <v>26.232299999999999</v>
      </c>
      <c r="AS299" s="21">
        <v>-1.4611799999999999E-2</v>
      </c>
      <c r="AT299" s="21">
        <v>289</v>
      </c>
      <c r="AU299" s="21">
        <v>0.31424000000000002</v>
      </c>
      <c r="AV299">
        <f t="shared" si="56"/>
        <v>18.039259259259257</v>
      </c>
      <c r="AW299">
        <f t="shared" si="57"/>
        <v>5.6785603829629618</v>
      </c>
      <c r="AX299" s="9"/>
      <c r="AY299" s="21">
        <v>1.3552900000000001</v>
      </c>
      <c r="AZ299" s="21">
        <v>29.991</v>
      </c>
      <c r="BA299" s="21">
        <v>-1.38458E-2</v>
      </c>
      <c r="BB299" s="21">
        <v>289</v>
      </c>
      <c r="BC299" s="21">
        <v>1.3543700000000001</v>
      </c>
      <c r="BD299">
        <f t="shared" si="58"/>
        <v>17.093580246913579</v>
      </c>
      <c r="BE299">
        <f t="shared" si="59"/>
        <v>23.166758372839507</v>
      </c>
    </row>
    <row r="300" spans="6:57" x14ac:dyDescent="0.25">
      <c r="F300" s="9"/>
      <c r="G300" s="21">
        <v>0.309753</v>
      </c>
      <c r="H300" s="21">
        <v>5.7938700000000001</v>
      </c>
      <c r="I300" s="21">
        <v>-1.4865099999999999E-2</v>
      </c>
      <c r="J300" s="21">
        <v>290</v>
      </c>
      <c r="K300" s="21">
        <v>0.309143</v>
      </c>
      <c r="L300">
        <f t="shared" si="48"/>
        <v>18.351975308641972</v>
      </c>
      <c r="M300">
        <f t="shared" si="49"/>
        <v>5.6845794077777771</v>
      </c>
      <c r="N300" s="9"/>
      <c r="O300" s="21">
        <v>1.36032</v>
      </c>
      <c r="P300" s="21">
        <v>9.5526400000000002</v>
      </c>
      <c r="Q300" s="21">
        <v>-1.3937400000000001E-2</v>
      </c>
      <c r="R300" s="21">
        <v>290</v>
      </c>
      <c r="S300" s="21">
        <v>1.3592500000000001</v>
      </c>
      <c r="T300">
        <f t="shared" si="50"/>
        <v>17.206666666666667</v>
      </c>
      <c r="U300">
        <f t="shared" si="51"/>
        <v>23.406572799999999</v>
      </c>
      <c r="X300" s="9"/>
      <c r="Y300" s="21">
        <v>0.309753</v>
      </c>
      <c r="Z300" s="21">
        <v>16.990100000000002</v>
      </c>
      <c r="AA300" s="21">
        <v>-1.4633200000000001E-2</v>
      </c>
      <c r="AB300" s="21">
        <v>290</v>
      </c>
      <c r="AC300" s="21">
        <v>0.30920399999999998</v>
      </c>
      <c r="AD300">
        <f t="shared" si="52"/>
        <v>18.065679012345679</v>
      </c>
      <c r="AE300">
        <f t="shared" si="53"/>
        <v>5.5958982711111114</v>
      </c>
      <c r="AF300" s="9"/>
      <c r="AG300" s="21">
        <v>1.36032</v>
      </c>
      <c r="AH300" s="21">
        <v>20.748899999999999</v>
      </c>
      <c r="AI300" s="21">
        <v>-1.3772599999999999E-2</v>
      </c>
      <c r="AJ300" s="21">
        <v>290</v>
      </c>
      <c r="AK300" s="21">
        <v>1.3598600000000001</v>
      </c>
      <c r="AL300">
        <f t="shared" si="54"/>
        <v>17.00320987654321</v>
      </c>
      <c r="AM300">
        <f t="shared" si="55"/>
        <v>23.129806459259257</v>
      </c>
      <c r="AP300" s="9"/>
      <c r="AQ300" s="21">
        <v>0.309753</v>
      </c>
      <c r="AR300" s="21">
        <v>26.2424</v>
      </c>
      <c r="AS300" s="21">
        <v>-1.4611799999999999E-2</v>
      </c>
      <c r="AT300" s="21">
        <v>290</v>
      </c>
      <c r="AU300" s="21">
        <v>0.309174</v>
      </c>
      <c r="AV300">
        <f t="shared" si="56"/>
        <v>18.039259259259257</v>
      </c>
      <c r="AW300">
        <f t="shared" si="57"/>
        <v>5.5877146733333323</v>
      </c>
      <c r="AX300" s="9"/>
      <c r="AY300" s="21">
        <v>1.36032</v>
      </c>
      <c r="AZ300" s="21">
        <v>30.001100000000001</v>
      </c>
      <c r="BA300" s="21">
        <v>-1.38397E-2</v>
      </c>
      <c r="BB300" s="21">
        <v>290</v>
      </c>
      <c r="BC300" s="21">
        <v>1.3595600000000001</v>
      </c>
      <c r="BD300">
        <f t="shared" si="58"/>
        <v>17.086049382716048</v>
      </c>
      <c r="BE300">
        <f t="shared" si="59"/>
        <v>23.242494696296294</v>
      </c>
    </row>
    <row r="301" spans="6:57" x14ac:dyDescent="0.25">
      <c r="F301" s="9"/>
      <c r="G301" s="21">
        <v>0.30471799999999999</v>
      </c>
      <c r="H301" s="21">
        <v>5.8039399999999999</v>
      </c>
      <c r="I301" s="21">
        <v>-1.48682E-2</v>
      </c>
      <c r="J301" s="21">
        <v>291</v>
      </c>
      <c r="K301" s="21">
        <v>0.304199</v>
      </c>
      <c r="L301">
        <f t="shared" si="48"/>
        <v>18.355802469135799</v>
      </c>
      <c r="M301">
        <f t="shared" si="49"/>
        <v>5.5933434167901224</v>
      </c>
      <c r="N301" s="9"/>
      <c r="O301" s="21">
        <v>1.3653599999999999</v>
      </c>
      <c r="P301" s="21">
        <v>9.5627099999999992</v>
      </c>
      <c r="Q301" s="21">
        <v>-1.39221E-2</v>
      </c>
      <c r="R301" s="21">
        <v>291</v>
      </c>
      <c r="S301" s="21">
        <v>1.3641399999999999</v>
      </c>
      <c r="T301">
        <f t="shared" si="50"/>
        <v>17.187777777777779</v>
      </c>
      <c r="U301">
        <f t="shared" si="51"/>
        <v>23.467504266666666</v>
      </c>
      <c r="X301" s="9"/>
      <c r="Y301" s="21">
        <v>0.30471799999999999</v>
      </c>
      <c r="Z301" s="21">
        <v>17.0002</v>
      </c>
      <c r="AA301" s="21">
        <v>-1.4639299999999999E-2</v>
      </c>
      <c r="AB301" s="21">
        <v>291</v>
      </c>
      <c r="AC301" s="21">
        <v>0.30413800000000002</v>
      </c>
      <c r="AD301">
        <f t="shared" si="52"/>
        <v>18.07320987654321</v>
      </c>
      <c r="AE301">
        <f t="shared" si="53"/>
        <v>5.5072323671604932</v>
      </c>
      <c r="AF301" s="9"/>
      <c r="AG301" s="21">
        <v>1.3653599999999999</v>
      </c>
      <c r="AH301" s="21">
        <v>20.759</v>
      </c>
      <c r="AI301" s="21">
        <v>-1.37512E-2</v>
      </c>
      <c r="AJ301" s="21">
        <v>291</v>
      </c>
      <c r="AK301" s="21">
        <v>1.3647499999999999</v>
      </c>
      <c r="AL301">
        <f t="shared" si="54"/>
        <v>16.976790123456787</v>
      </c>
      <c r="AM301">
        <f t="shared" si="55"/>
        <v>23.179430162962959</v>
      </c>
      <c r="AP301" s="9"/>
      <c r="AQ301" s="21">
        <v>0.30471799999999999</v>
      </c>
      <c r="AR301" s="21">
        <v>26.252400000000002</v>
      </c>
      <c r="AS301" s="21">
        <v>-1.46088E-2</v>
      </c>
      <c r="AT301" s="21">
        <v>291</v>
      </c>
      <c r="AU301" s="21">
        <v>0.30425999999999997</v>
      </c>
      <c r="AV301">
        <f t="shared" si="56"/>
        <v>18.035555555555554</v>
      </c>
      <c r="AW301">
        <f t="shared" si="57"/>
        <v>5.4957584177777772</v>
      </c>
      <c r="AX301" s="9"/>
      <c r="AY301" s="21">
        <v>1.3653599999999999</v>
      </c>
      <c r="AZ301" s="21">
        <v>30.011199999999999</v>
      </c>
      <c r="BA301" s="21">
        <v>-1.3821399999999999E-2</v>
      </c>
      <c r="BB301" s="21">
        <v>291</v>
      </c>
      <c r="BC301" s="21">
        <v>1.3650500000000001</v>
      </c>
      <c r="BD301">
        <f t="shared" si="58"/>
        <v>17.063456790123453</v>
      </c>
      <c r="BE301">
        <f t="shared" si="59"/>
        <v>23.297761362962955</v>
      </c>
    </row>
    <row r="302" spans="6:57" x14ac:dyDescent="0.25">
      <c r="F302" s="9"/>
      <c r="G302" s="21">
        <v>0.29968299999999998</v>
      </c>
      <c r="H302" s="21">
        <v>5.8140099999999997</v>
      </c>
      <c r="I302" s="21">
        <v>-1.4871199999999999E-2</v>
      </c>
      <c r="J302" s="21">
        <v>292</v>
      </c>
      <c r="K302" s="21">
        <v>0.299072</v>
      </c>
      <c r="L302">
        <f t="shared" si="48"/>
        <v>18.359506172839506</v>
      </c>
      <c r="M302">
        <f t="shared" si="49"/>
        <v>5.5020318883950612</v>
      </c>
      <c r="N302" s="9"/>
      <c r="O302" s="21">
        <v>1.37039</v>
      </c>
      <c r="P302" s="21">
        <v>9.5727799999999998</v>
      </c>
      <c r="Q302" s="21">
        <v>-1.39191E-2</v>
      </c>
      <c r="R302" s="21">
        <v>292</v>
      </c>
      <c r="S302" s="21">
        <v>1.3696299999999999</v>
      </c>
      <c r="T302">
        <f t="shared" si="50"/>
        <v>17.184074074074076</v>
      </c>
      <c r="U302">
        <f t="shared" si="51"/>
        <v>23.548883270370371</v>
      </c>
      <c r="X302" s="9"/>
      <c r="Y302" s="21">
        <v>0.29968299999999998</v>
      </c>
      <c r="Z302" s="21">
        <v>17.010300000000001</v>
      </c>
      <c r="AA302" s="21">
        <v>-1.46515E-2</v>
      </c>
      <c r="AB302" s="21">
        <v>292</v>
      </c>
      <c r="AC302" s="21">
        <v>0.29913299999999998</v>
      </c>
      <c r="AD302">
        <f t="shared" si="52"/>
        <v>18.088271604938271</v>
      </c>
      <c r="AE302">
        <f t="shared" si="53"/>
        <v>5.4207474993827152</v>
      </c>
      <c r="AF302" s="9"/>
      <c r="AG302" s="21">
        <v>1.37039</v>
      </c>
      <c r="AH302" s="21">
        <v>20.768999999999998</v>
      </c>
      <c r="AI302" s="21">
        <v>-1.37299E-2</v>
      </c>
      <c r="AJ302" s="21">
        <v>292</v>
      </c>
      <c r="AK302" s="21">
        <v>1.3699300000000001</v>
      </c>
      <c r="AL302">
        <f t="shared" si="54"/>
        <v>16.950493827160493</v>
      </c>
      <c r="AM302">
        <f t="shared" si="55"/>
        <v>23.228787235802468</v>
      </c>
      <c r="AP302" s="9"/>
      <c r="AQ302" s="21">
        <v>0.29968299999999998</v>
      </c>
      <c r="AR302" s="21">
        <v>26.262499999999999</v>
      </c>
      <c r="AS302" s="21">
        <v>-1.4605699999999999E-2</v>
      </c>
      <c r="AT302" s="21">
        <v>292</v>
      </c>
      <c r="AU302" s="21">
        <v>0.29913299999999998</v>
      </c>
      <c r="AV302">
        <f t="shared" si="56"/>
        <v>18.031728395061727</v>
      </c>
      <c r="AW302">
        <f t="shared" si="57"/>
        <v>5.4038024606172828</v>
      </c>
      <c r="AX302" s="9"/>
      <c r="AY302" s="21">
        <v>1.37039</v>
      </c>
      <c r="AZ302" s="21">
        <v>30.0213</v>
      </c>
      <c r="BA302" s="21">
        <v>-1.3797E-2</v>
      </c>
      <c r="BB302" s="21">
        <v>292</v>
      </c>
      <c r="BC302" s="21">
        <v>1.3696299999999999</v>
      </c>
      <c r="BD302">
        <f t="shared" si="58"/>
        <v>17.033333333333331</v>
      </c>
      <c r="BE302">
        <f t="shared" si="59"/>
        <v>23.342309666666665</v>
      </c>
    </row>
    <row r="303" spans="6:57" x14ac:dyDescent="0.25">
      <c r="F303" s="9"/>
      <c r="G303" s="21">
        <v>0.29464699999999999</v>
      </c>
      <c r="H303" s="21">
        <v>5.8240800000000004</v>
      </c>
      <c r="I303" s="21">
        <v>-1.4859000000000001E-2</v>
      </c>
      <c r="J303" s="21">
        <v>293</v>
      </c>
      <c r="K303" s="21">
        <v>0.294128</v>
      </c>
      <c r="L303">
        <f t="shared" si="48"/>
        <v>18.344444444444445</v>
      </c>
      <c r="M303">
        <f t="shared" si="49"/>
        <v>5.4051355222222224</v>
      </c>
      <c r="N303" s="9"/>
      <c r="O303" s="21">
        <v>1.3754299999999999</v>
      </c>
      <c r="P303" s="21">
        <v>9.5828500000000005</v>
      </c>
      <c r="Q303" s="21">
        <v>-1.3913E-2</v>
      </c>
      <c r="R303" s="21">
        <v>293</v>
      </c>
      <c r="S303" s="21">
        <v>1.3745099999999999</v>
      </c>
      <c r="T303">
        <f t="shared" si="50"/>
        <v>17.176543209876542</v>
      </c>
      <c r="U303">
        <f t="shared" si="51"/>
        <v>23.625132827160492</v>
      </c>
      <c r="X303" s="9"/>
      <c r="Y303" s="21">
        <v>0.29464699999999999</v>
      </c>
      <c r="Z303" s="21">
        <v>17.020299999999999</v>
      </c>
      <c r="AA303" s="21">
        <v>-1.4648400000000001E-2</v>
      </c>
      <c r="AB303" s="21">
        <v>293</v>
      </c>
      <c r="AC303" s="21">
        <v>0.29418899999999998</v>
      </c>
      <c r="AD303">
        <f t="shared" si="52"/>
        <v>18.084444444444443</v>
      </c>
      <c r="AE303">
        <f t="shared" si="53"/>
        <v>5.3285273022222217</v>
      </c>
      <c r="AF303" s="9"/>
      <c r="AG303" s="21">
        <v>1.3754299999999999</v>
      </c>
      <c r="AH303" s="21">
        <v>20.7791</v>
      </c>
      <c r="AI303" s="21">
        <v>-1.37146E-2</v>
      </c>
      <c r="AJ303" s="21">
        <v>293</v>
      </c>
      <c r="AK303" s="21">
        <v>1.3748199999999999</v>
      </c>
      <c r="AL303">
        <f t="shared" si="54"/>
        <v>16.931604938271605</v>
      </c>
      <c r="AM303">
        <f t="shared" si="55"/>
        <v>23.288237380246912</v>
      </c>
      <c r="AP303" s="9"/>
      <c r="AQ303" s="21">
        <v>0.29464699999999999</v>
      </c>
      <c r="AR303" s="21">
        <v>26.272600000000001</v>
      </c>
      <c r="AS303" s="21">
        <v>-1.4599600000000001E-2</v>
      </c>
      <c r="AT303" s="21">
        <v>293</v>
      </c>
      <c r="AU303" s="21">
        <v>0.294128</v>
      </c>
      <c r="AV303">
        <f t="shared" si="56"/>
        <v>18.0241975308642</v>
      </c>
      <c r="AW303">
        <f t="shared" si="57"/>
        <v>5.3107757298765437</v>
      </c>
      <c r="AX303" s="9"/>
      <c r="AY303" s="21">
        <v>1.3754299999999999</v>
      </c>
      <c r="AZ303" s="21">
        <v>30.031300000000002</v>
      </c>
      <c r="BA303" s="21">
        <v>-1.37848E-2</v>
      </c>
      <c r="BB303" s="21">
        <v>293</v>
      </c>
      <c r="BC303" s="21">
        <v>1.3748199999999999</v>
      </c>
      <c r="BD303">
        <f t="shared" si="58"/>
        <v>17.018271604938271</v>
      </c>
      <c r="BE303">
        <f t="shared" si="59"/>
        <v>23.407441313580243</v>
      </c>
    </row>
    <row r="304" spans="6:57" x14ac:dyDescent="0.25">
      <c r="F304" s="9"/>
      <c r="G304" s="21">
        <v>0.28961199999999998</v>
      </c>
      <c r="H304" s="21">
        <v>5.8341500000000002</v>
      </c>
      <c r="I304" s="21">
        <v>-1.4865099999999999E-2</v>
      </c>
      <c r="J304" s="21">
        <v>294</v>
      </c>
      <c r="K304" s="21">
        <v>0.28918500000000003</v>
      </c>
      <c r="L304">
        <f t="shared" si="48"/>
        <v>18.351975308641972</v>
      </c>
      <c r="M304">
        <f t="shared" si="49"/>
        <v>5.3149522730864183</v>
      </c>
      <c r="N304" s="9"/>
      <c r="O304" s="21">
        <v>1.38046</v>
      </c>
      <c r="P304" s="21">
        <v>9.5929199999999994</v>
      </c>
      <c r="Q304" s="21">
        <v>-1.3894699999999999E-2</v>
      </c>
      <c r="R304" s="21">
        <v>294</v>
      </c>
      <c r="S304" s="21">
        <v>1.38</v>
      </c>
      <c r="T304">
        <f t="shared" si="50"/>
        <v>17.153950617283947</v>
      </c>
      <c r="U304">
        <f t="shared" si="51"/>
        <v>23.680342669135797</v>
      </c>
      <c r="X304" s="9"/>
      <c r="Y304" s="21">
        <v>0.28961199999999998</v>
      </c>
      <c r="Z304" s="21">
        <v>17.0304</v>
      </c>
      <c r="AA304" s="21">
        <v>-1.46515E-2</v>
      </c>
      <c r="AB304" s="21">
        <v>294</v>
      </c>
      <c r="AC304" s="21">
        <v>0.28909299999999999</v>
      </c>
      <c r="AD304">
        <f t="shared" si="52"/>
        <v>18.088271604938271</v>
      </c>
      <c r="AE304">
        <f t="shared" si="53"/>
        <v>5.2385805160493826</v>
      </c>
      <c r="AF304" s="9"/>
      <c r="AG304" s="21">
        <v>1.38046</v>
      </c>
      <c r="AH304" s="21">
        <v>20.789200000000001</v>
      </c>
      <c r="AI304" s="21">
        <v>-1.3693200000000001E-2</v>
      </c>
      <c r="AJ304" s="21">
        <v>294</v>
      </c>
      <c r="AK304" s="21">
        <v>1.3803099999999999</v>
      </c>
      <c r="AL304">
        <f t="shared" si="54"/>
        <v>16.905185185185186</v>
      </c>
      <c r="AM304">
        <f t="shared" si="55"/>
        <v>23.33693194074074</v>
      </c>
      <c r="AP304" s="9"/>
      <c r="AQ304" s="21">
        <v>0.28961199999999998</v>
      </c>
      <c r="AR304" s="21">
        <v>26.282599999999999</v>
      </c>
      <c r="AS304" s="21">
        <v>-1.45966E-2</v>
      </c>
      <c r="AT304" s="21">
        <v>294</v>
      </c>
      <c r="AU304" s="21">
        <v>0.28906300000000001</v>
      </c>
      <c r="AV304">
        <f t="shared" si="56"/>
        <v>18.020493827160493</v>
      </c>
      <c r="AW304">
        <f t="shared" si="57"/>
        <v>5.2189512582716047</v>
      </c>
      <c r="AX304" s="9"/>
      <c r="AY304" s="21">
        <v>1.38046</v>
      </c>
      <c r="AZ304" s="21">
        <v>30.041399999999999</v>
      </c>
      <c r="BA304" s="21">
        <v>-1.3760400000000001E-2</v>
      </c>
      <c r="BB304" s="21">
        <v>294</v>
      </c>
      <c r="BC304" s="21">
        <v>1.38</v>
      </c>
      <c r="BD304">
        <f t="shared" si="58"/>
        <v>16.988148148148149</v>
      </c>
      <c r="BE304">
        <f t="shared" si="59"/>
        <v>23.451458992592595</v>
      </c>
    </row>
    <row r="305" spans="6:57" x14ac:dyDescent="0.25">
      <c r="F305" s="9"/>
      <c r="G305" s="21">
        <v>0.284576</v>
      </c>
      <c r="H305" s="21">
        <v>5.84422</v>
      </c>
      <c r="I305" s="21">
        <v>-1.48529E-2</v>
      </c>
      <c r="J305" s="21">
        <v>295</v>
      </c>
      <c r="K305" s="21">
        <v>0.283997</v>
      </c>
      <c r="L305">
        <f t="shared" si="48"/>
        <v>18.336913580246915</v>
      </c>
      <c r="M305">
        <f t="shared" si="49"/>
        <v>5.2182455190123456</v>
      </c>
      <c r="N305" s="9"/>
      <c r="O305" s="21">
        <v>1.3855</v>
      </c>
      <c r="P305" s="21">
        <v>9.6029900000000001</v>
      </c>
      <c r="Q305" s="21">
        <v>-1.38794E-2</v>
      </c>
      <c r="R305" s="21">
        <v>295</v>
      </c>
      <c r="S305" s="21">
        <v>1.3845799999999999</v>
      </c>
      <c r="T305">
        <f t="shared" si="50"/>
        <v>17.135061728395058</v>
      </c>
      <c r="U305">
        <f t="shared" si="51"/>
        <v>23.740628024691354</v>
      </c>
      <c r="X305" s="9"/>
      <c r="Y305" s="21">
        <v>0.284576</v>
      </c>
      <c r="Z305" s="21">
        <v>17.040500000000002</v>
      </c>
      <c r="AA305" s="21">
        <v>-1.4648400000000001E-2</v>
      </c>
      <c r="AB305" s="21">
        <v>295</v>
      </c>
      <c r="AC305" s="21">
        <v>0.283997</v>
      </c>
      <c r="AD305">
        <f t="shared" si="52"/>
        <v>18.084444444444443</v>
      </c>
      <c r="AE305">
        <f t="shared" si="53"/>
        <v>5.1463988622222221</v>
      </c>
      <c r="AF305" s="9"/>
      <c r="AG305" s="21">
        <v>1.3855</v>
      </c>
      <c r="AH305" s="21">
        <v>20.799199999999999</v>
      </c>
      <c r="AI305" s="21">
        <v>-1.3677999999999999E-2</v>
      </c>
      <c r="AJ305" s="21">
        <v>295</v>
      </c>
      <c r="AK305" s="21">
        <v>1.38489</v>
      </c>
      <c r="AL305">
        <f t="shared" si="54"/>
        <v>16.886419753086418</v>
      </c>
      <c r="AM305">
        <f t="shared" si="55"/>
        <v>23.396134567901232</v>
      </c>
      <c r="AP305" s="9"/>
      <c r="AQ305" s="21">
        <v>0.284576</v>
      </c>
      <c r="AR305" s="21">
        <v>26.2927</v>
      </c>
      <c r="AS305" s="21">
        <v>-1.4593500000000001E-2</v>
      </c>
      <c r="AT305" s="21">
        <v>295</v>
      </c>
      <c r="AU305" s="21">
        <v>0.28411900000000001</v>
      </c>
      <c r="AV305">
        <f t="shared" si="56"/>
        <v>18.016666666666666</v>
      </c>
      <c r="AW305">
        <f t="shared" si="57"/>
        <v>5.1271109333333333</v>
      </c>
      <c r="AX305" s="9"/>
      <c r="AY305" s="21">
        <v>1.3855</v>
      </c>
      <c r="AZ305" s="21">
        <v>30.051500000000001</v>
      </c>
      <c r="BA305" s="21">
        <v>-1.3738999999999999E-2</v>
      </c>
      <c r="BB305" s="21">
        <v>295</v>
      </c>
      <c r="BC305" s="21">
        <v>1.38428</v>
      </c>
      <c r="BD305">
        <f t="shared" si="58"/>
        <v>16.961728395061726</v>
      </c>
      <c r="BE305">
        <f t="shared" si="59"/>
        <v>23.500474691358022</v>
      </c>
    </row>
    <row r="306" spans="6:57" x14ac:dyDescent="0.25">
      <c r="F306" s="9"/>
      <c r="G306" s="21">
        <v>0.27954099999999998</v>
      </c>
      <c r="H306" s="21">
        <v>5.8543000000000003</v>
      </c>
      <c r="I306" s="21">
        <v>-1.4849899999999999E-2</v>
      </c>
      <c r="J306" s="21">
        <v>296</v>
      </c>
      <c r="K306" s="21">
        <v>0.27893099999999998</v>
      </c>
      <c r="L306">
        <f t="shared" si="48"/>
        <v>18.333209876543208</v>
      </c>
      <c r="M306">
        <f t="shared" si="49"/>
        <v>5.1248838220987647</v>
      </c>
      <c r="N306" s="9"/>
      <c r="O306" s="21">
        <v>1.39053</v>
      </c>
      <c r="P306" s="21">
        <v>9.6130600000000008</v>
      </c>
      <c r="Q306" s="21">
        <v>-1.3854999999999999E-2</v>
      </c>
      <c r="R306" s="21">
        <v>296</v>
      </c>
      <c r="S306" s="21">
        <v>1.39008</v>
      </c>
      <c r="T306">
        <f t="shared" si="50"/>
        <v>17.104938271604937</v>
      </c>
      <c r="U306">
        <f t="shared" si="51"/>
        <v>23.784929814814813</v>
      </c>
      <c r="X306" s="9"/>
      <c r="Y306" s="21">
        <v>0.27954099999999998</v>
      </c>
      <c r="Z306" s="21">
        <v>17.050599999999999</v>
      </c>
      <c r="AA306" s="21">
        <v>-1.46515E-2</v>
      </c>
      <c r="AB306" s="21">
        <v>296</v>
      </c>
      <c r="AC306" s="21">
        <v>0.27908300000000003</v>
      </c>
      <c r="AD306">
        <f t="shared" si="52"/>
        <v>18.088271604938271</v>
      </c>
      <c r="AE306">
        <f t="shared" si="53"/>
        <v>5.0564135327160491</v>
      </c>
      <c r="AF306" s="9"/>
      <c r="AG306" s="21">
        <v>1.39053</v>
      </c>
      <c r="AH306" s="21">
        <v>20.8093</v>
      </c>
      <c r="AI306" s="21">
        <v>-1.36566E-2</v>
      </c>
      <c r="AJ306" s="21">
        <v>296</v>
      </c>
      <c r="AK306" s="21">
        <v>1.3897699999999999</v>
      </c>
      <c r="AL306">
        <f t="shared" si="54"/>
        <v>16.86</v>
      </c>
      <c r="AM306">
        <f t="shared" si="55"/>
        <v>23.444335800000001</v>
      </c>
      <c r="AP306" s="9"/>
      <c r="AQ306" s="21">
        <v>0.27954099999999998</v>
      </c>
      <c r="AR306" s="21">
        <v>26.302800000000001</v>
      </c>
      <c r="AS306" s="21">
        <v>-1.45966E-2</v>
      </c>
      <c r="AT306" s="21">
        <v>296</v>
      </c>
      <c r="AU306" s="21">
        <v>0.27899200000000002</v>
      </c>
      <c r="AV306">
        <f t="shared" si="56"/>
        <v>18.020493827160493</v>
      </c>
      <c r="AW306">
        <f t="shared" si="57"/>
        <v>5.0374668649382714</v>
      </c>
      <c r="AX306" s="9"/>
      <c r="AY306" s="21">
        <v>1.39053</v>
      </c>
      <c r="AZ306" s="21">
        <v>30.061499999999999</v>
      </c>
      <c r="BA306" s="21">
        <v>-1.3726800000000001E-2</v>
      </c>
      <c r="BB306" s="21">
        <v>296</v>
      </c>
      <c r="BC306" s="21">
        <v>1.39008</v>
      </c>
      <c r="BD306">
        <f t="shared" si="58"/>
        <v>16.946666666666665</v>
      </c>
      <c r="BE306">
        <f t="shared" si="59"/>
        <v>23.564848399999999</v>
      </c>
    </row>
    <row r="307" spans="6:57" x14ac:dyDescent="0.25">
      <c r="F307" s="9"/>
      <c r="G307" s="21">
        <v>0.27450600000000003</v>
      </c>
      <c r="H307" s="21">
        <v>5.8643700000000001</v>
      </c>
      <c r="I307" s="21">
        <v>-1.4855999999999999E-2</v>
      </c>
      <c r="J307" s="21">
        <v>297</v>
      </c>
      <c r="K307" s="21">
        <v>0.27395599999999998</v>
      </c>
      <c r="L307">
        <f t="shared" si="48"/>
        <v>18.340740740740738</v>
      </c>
      <c r="M307">
        <f t="shared" si="49"/>
        <v>5.0346433777777779</v>
      </c>
      <c r="N307" s="9"/>
      <c r="O307" s="21">
        <v>1.39557</v>
      </c>
      <c r="P307" s="21">
        <v>9.6231299999999997</v>
      </c>
      <c r="Q307" s="21">
        <v>-1.38306E-2</v>
      </c>
      <c r="R307" s="21">
        <v>297</v>
      </c>
      <c r="S307" s="21">
        <v>1.39557</v>
      </c>
      <c r="T307">
        <f t="shared" si="50"/>
        <v>17.074814814814815</v>
      </c>
      <c r="U307">
        <f t="shared" si="51"/>
        <v>23.829099311111111</v>
      </c>
      <c r="X307" s="9"/>
      <c r="Y307" s="21">
        <v>0.27450600000000003</v>
      </c>
      <c r="Z307" s="21">
        <v>17.060600000000001</v>
      </c>
      <c r="AA307" s="21">
        <v>-1.4654500000000001E-2</v>
      </c>
      <c r="AB307" s="21">
        <v>297</v>
      </c>
      <c r="AC307" s="21">
        <v>0.27398699999999998</v>
      </c>
      <c r="AD307">
        <f t="shared" si="52"/>
        <v>18.091975308641977</v>
      </c>
      <c r="AE307">
        <f t="shared" si="53"/>
        <v>4.9663557740740751</v>
      </c>
      <c r="AF307" s="9"/>
      <c r="AG307" s="21">
        <v>1.39557</v>
      </c>
      <c r="AH307" s="21">
        <v>20.819400000000002</v>
      </c>
      <c r="AI307" s="21">
        <v>-1.36414E-2</v>
      </c>
      <c r="AJ307" s="21">
        <v>297</v>
      </c>
      <c r="AK307" s="21">
        <v>1.39496</v>
      </c>
      <c r="AL307">
        <f t="shared" si="54"/>
        <v>16.841234567901232</v>
      </c>
      <c r="AM307">
        <f t="shared" si="55"/>
        <v>23.503121725925922</v>
      </c>
      <c r="AP307" s="9"/>
      <c r="AQ307" s="21">
        <v>0.27450600000000003</v>
      </c>
      <c r="AR307" s="21">
        <v>26.312899999999999</v>
      </c>
      <c r="AS307" s="21">
        <v>-1.4611799999999999E-2</v>
      </c>
      <c r="AT307" s="21">
        <v>297</v>
      </c>
      <c r="AU307" s="21">
        <v>0.27398699999999998</v>
      </c>
      <c r="AV307">
        <f t="shared" si="56"/>
        <v>18.039259259259257</v>
      </c>
      <c r="AW307">
        <f t="shared" si="57"/>
        <v>4.951884902222222</v>
      </c>
      <c r="AX307" s="9"/>
      <c r="AY307" s="21">
        <v>1.39557</v>
      </c>
      <c r="AZ307" s="21">
        <v>30.0716</v>
      </c>
      <c r="BA307" s="21">
        <v>-1.37115E-2</v>
      </c>
      <c r="BB307" s="21">
        <v>297</v>
      </c>
      <c r="BC307" s="21">
        <v>1.3946499999999999</v>
      </c>
      <c r="BD307">
        <f t="shared" si="58"/>
        <v>16.927777777777777</v>
      </c>
      <c r="BE307">
        <f t="shared" si="59"/>
        <v>23.623898833333332</v>
      </c>
    </row>
    <row r="308" spans="6:57" x14ac:dyDescent="0.25">
      <c r="F308" s="9"/>
      <c r="G308" s="21">
        <v>0.26946999999999999</v>
      </c>
      <c r="H308" s="21">
        <v>5.8744399999999999</v>
      </c>
      <c r="I308" s="21">
        <v>-1.4855999999999999E-2</v>
      </c>
      <c r="J308" s="21">
        <v>298</v>
      </c>
      <c r="K308" s="21">
        <v>0.268951</v>
      </c>
      <c r="L308">
        <f t="shared" si="48"/>
        <v>18.340740740740738</v>
      </c>
      <c r="M308">
        <f t="shared" si="49"/>
        <v>4.9422794074074066</v>
      </c>
      <c r="N308" s="9"/>
      <c r="O308" s="21">
        <v>1.4006000000000001</v>
      </c>
      <c r="P308" s="21">
        <v>9.6332000000000004</v>
      </c>
      <c r="Q308" s="21">
        <v>-1.38123E-2</v>
      </c>
      <c r="R308" s="21">
        <v>298</v>
      </c>
      <c r="S308" s="21">
        <v>1.39984</v>
      </c>
      <c r="T308">
        <f t="shared" si="50"/>
        <v>17.052222222222223</v>
      </c>
      <c r="U308">
        <f t="shared" si="51"/>
        <v>23.883342444444448</v>
      </c>
      <c r="X308" s="9"/>
      <c r="Y308" s="21">
        <v>0.26946999999999999</v>
      </c>
      <c r="Z308" s="21">
        <v>17.070699999999999</v>
      </c>
      <c r="AA308" s="21">
        <v>-1.4639299999999999E-2</v>
      </c>
      <c r="AB308" s="21">
        <v>298</v>
      </c>
      <c r="AC308" s="21">
        <v>0.26889000000000002</v>
      </c>
      <c r="AD308">
        <f t="shared" si="52"/>
        <v>18.07320987654321</v>
      </c>
      <c r="AE308">
        <f t="shared" si="53"/>
        <v>4.8701878654320989</v>
      </c>
      <c r="AF308" s="9"/>
      <c r="AG308" s="21">
        <v>1.4006000000000001</v>
      </c>
      <c r="AH308" s="21">
        <v>20.829499999999999</v>
      </c>
      <c r="AI308" s="21">
        <v>-1.362E-2</v>
      </c>
      <c r="AJ308" s="21">
        <v>298</v>
      </c>
      <c r="AK308" s="21">
        <v>1.39984</v>
      </c>
      <c r="AL308">
        <f t="shared" si="54"/>
        <v>16.814814814814813</v>
      </c>
      <c r="AM308">
        <f t="shared" si="55"/>
        <v>23.550829629629629</v>
      </c>
      <c r="AP308" s="9"/>
      <c r="AQ308" s="21">
        <v>0.26946999999999999</v>
      </c>
      <c r="AR308" s="21">
        <v>26.322900000000001</v>
      </c>
      <c r="AS308" s="21">
        <v>-1.4605699999999999E-2</v>
      </c>
      <c r="AT308" s="21">
        <v>298</v>
      </c>
      <c r="AU308" s="21">
        <v>0.268982</v>
      </c>
      <c r="AV308">
        <f t="shared" si="56"/>
        <v>18.031728395061727</v>
      </c>
      <c r="AW308">
        <f t="shared" si="57"/>
        <v>4.8590098506172836</v>
      </c>
      <c r="AX308" s="9"/>
      <c r="AY308" s="21">
        <v>1.4006000000000001</v>
      </c>
      <c r="AZ308" s="21">
        <v>30.081700000000001</v>
      </c>
      <c r="BA308" s="21">
        <v>-1.37024E-2</v>
      </c>
      <c r="BB308" s="21">
        <v>298</v>
      </c>
      <c r="BC308" s="21">
        <v>1.39984</v>
      </c>
      <c r="BD308">
        <f t="shared" si="58"/>
        <v>16.916543209876544</v>
      </c>
      <c r="BE308">
        <f t="shared" si="59"/>
        <v>23.693310419753089</v>
      </c>
    </row>
    <row r="309" spans="6:57" x14ac:dyDescent="0.25">
      <c r="F309" s="9"/>
      <c r="G309" s="21">
        <v>0.26443499999999998</v>
      </c>
      <c r="H309" s="21">
        <v>5.8845099999999997</v>
      </c>
      <c r="I309" s="21">
        <v>-1.48529E-2</v>
      </c>
      <c r="J309" s="21">
        <v>299</v>
      </c>
      <c r="K309" s="21">
        <v>0.26385500000000001</v>
      </c>
      <c r="L309">
        <f t="shared" si="48"/>
        <v>18.336913580246915</v>
      </c>
      <c r="M309">
        <f t="shared" si="49"/>
        <v>4.8489217425925926</v>
      </c>
      <c r="N309" s="9"/>
      <c r="O309" s="21">
        <v>1.40564</v>
      </c>
      <c r="P309" s="21">
        <v>9.6432699999999993</v>
      </c>
      <c r="Q309" s="21">
        <v>-1.37939E-2</v>
      </c>
      <c r="R309" s="21">
        <v>299</v>
      </c>
      <c r="S309" s="21">
        <v>1.40533</v>
      </c>
      <c r="T309">
        <f t="shared" si="50"/>
        <v>17.029506172839504</v>
      </c>
      <c r="U309">
        <f t="shared" si="51"/>
        <v>23.937355056790121</v>
      </c>
      <c r="X309" s="9"/>
      <c r="Y309" s="21">
        <v>0.26443499999999998</v>
      </c>
      <c r="Z309" s="21">
        <v>17.0808</v>
      </c>
      <c r="AA309" s="21">
        <v>-1.4621E-2</v>
      </c>
      <c r="AB309" s="21">
        <v>299</v>
      </c>
      <c r="AC309" s="21">
        <v>0.263824</v>
      </c>
      <c r="AD309">
        <f t="shared" si="52"/>
        <v>18.050617283950618</v>
      </c>
      <c r="AE309">
        <f t="shared" si="53"/>
        <v>4.7732149814814813</v>
      </c>
      <c r="AF309" s="9"/>
      <c r="AG309" s="21">
        <v>1.40564</v>
      </c>
      <c r="AH309" s="21">
        <v>20.839500000000001</v>
      </c>
      <c r="AI309" s="21">
        <v>-1.3598600000000001E-2</v>
      </c>
      <c r="AJ309" s="21">
        <v>299</v>
      </c>
      <c r="AK309" s="21">
        <v>1.40442</v>
      </c>
      <c r="AL309">
        <f t="shared" si="54"/>
        <v>16.788395061728394</v>
      </c>
      <c r="AM309">
        <f t="shared" si="55"/>
        <v>23.5984396345679</v>
      </c>
      <c r="AP309" s="9"/>
      <c r="AQ309" s="21">
        <v>0.26443499999999998</v>
      </c>
      <c r="AR309" s="21">
        <v>26.332999999999998</v>
      </c>
      <c r="AS309" s="21">
        <v>-1.4611799999999999E-2</v>
      </c>
      <c r="AT309" s="21">
        <v>299</v>
      </c>
      <c r="AU309" s="21">
        <v>0.263824</v>
      </c>
      <c r="AV309">
        <f t="shared" si="56"/>
        <v>18.039259259259257</v>
      </c>
      <c r="AW309">
        <f t="shared" si="57"/>
        <v>4.7702115222222208</v>
      </c>
      <c r="AX309" s="9"/>
      <c r="AY309" s="21">
        <v>1.40564</v>
      </c>
      <c r="AZ309" s="21">
        <v>30.091799999999999</v>
      </c>
      <c r="BA309" s="21">
        <v>-1.3684099999999999E-2</v>
      </c>
      <c r="BB309" s="21">
        <v>299</v>
      </c>
      <c r="BC309" s="21">
        <v>1.40472</v>
      </c>
      <c r="BD309">
        <f t="shared" si="58"/>
        <v>16.893950617283949</v>
      </c>
      <c r="BE309">
        <f t="shared" si="59"/>
        <v>23.746812745679009</v>
      </c>
    </row>
    <row r="310" spans="6:57" x14ac:dyDescent="0.25">
      <c r="F310" s="9"/>
      <c r="G310" s="21">
        <v>0.25939899999999999</v>
      </c>
      <c r="H310" s="21">
        <v>5.8945800000000004</v>
      </c>
      <c r="I310" s="21">
        <v>-1.48529E-2</v>
      </c>
      <c r="J310" s="21">
        <v>300</v>
      </c>
      <c r="K310" s="21">
        <v>0.25875900000000002</v>
      </c>
      <c r="L310">
        <f t="shared" si="48"/>
        <v>18.336913580246915</v>
      </c>
      <c r="M310">
        <f t="shared" si="49"/>
        <v>4.7565770458024694</v>
      </c>
      <c r="N310" s="9"/>
      <c r="O310" s="21">
        <v>1.4106799999999999</v>
      </c>
      <c r="P310" s="21">
        <v>9.6533499999999997</v>
      </c>
      <c r="Q310" s="21">
        <v>-1.3781699999999999E-2</v>
      </c>
      <c r="R310" s="21">
        <v>300</v>
      </c>
      <c r="S310" s="21">
        <v>1.41052</v>
      </c>
      <c r="T310">
        <f t="shared" si="50"/>
        <v>17.014444444444443</v>
      </c>
      <c r="U310">
        <f t="shared" si="51"/>
        <v>24.001936488888887</v>
      </c>
      <c r="X310" s="9"/>
      <c r="Y310" s="21">
        <v>0.25939899999999999</v>
      </c>
      <c r="Z310" s="21">
        <v>17.090800000000002</v>
      </c>
      <c r="AA310" s="21">
        <v>-1.4611799999999999E-2</v>
      </c>
      <c r="AB310" s="21">
        <v>300</v>
      </c>
      <c r="AC310" s="21">
        <v>0.25878899999999999</v>
      </c>
      <c r="AD310">
        <f t="shared" si="52"/>
        <v>18.039259259259257</v>
      </c>
      <c r="AE310">
        <f t="shared" si="53"/>
        <v>4.6793658125925921</v>
      </c>
      <c r="AF310" s="9"/>
      <c r="AG310" s="21">
        <v>1.4106799999999999</v>
      </c>
      <c r="AH310" s="21">
        <v>20.849599999999999</v>
      </c>
      <c r="AI310" s="21">
        <v>-1.35773E-2</v>
      </c>
      <c r="AJ310" s="21">
        <v>300</v>
      </c>
      <c r="AK310" s="21">
        <v>1.40991</v>
      </c>
      <c r="AL310">
        <f t="shared" si="54"/>
        <v>16.7620987654321</v>
      </c>
      <c r="AM310">
        <f t="shared" si="55"/>
        <v>23.645957486419753</v>
      </c>
      <c r="AP310" s="9"/>
      <c r="AQ310" s="21">
        <v>0.25939899999999999</v>
      </c>
      <c r="AR310" s="21">
        <v>26.3431</v>
      </c>
      <c r="AS310" s="21">
        <v>-1.46027E-2</v>
      </c>
      <c r="AT310" s="21">
        <v>300</v>
      </c>
      <c r="AU310" s="21">
        <v>0.25888100000000003</v>
      </c>
      <c r="AV310">
        <f t="shared" si="56"/>
        <v>18.028024691358024</v>
      </c>
      <c r="AW310">
        <f t="shared" si="57"/>
        <v>4.6764515769135802</v>
      </c>
      <c r="AX310" s="9"/>
      <c r="AY310" s="21">
        <v>1.4106799999999999</v>
      </c>
      <c r="AZ310" s="21">
        <v>30.101800000000001</v>
      </c>
      <c r="BA310" s="21">
        <v>-1.3671900000000001E-2</v>
      </c>
      <c r="BB310" s="21">
        <v>300</v>
      </c>
      <c r="BC310" s="21">
        <v>1.41022</v>
      </c>
      <c r="BD310">
        <f t="shared" si="58"/>
        <v>16.878888888888888</v>
      </c>
      <c r="BE310">
        <f t="shared" si="59"/>
        <v>23.810710977777774</v>
      </c>
    </row>
    <row r="311" spans="6:57" x14ac:dyDescent="0.25">
      <c r="F311" s="9"/>
      <c r="G311" s="21">
        <v>0.25436399999999998</v>
      </c>
      <c r="H311" s="21">
        <v>5.9046500000000002</v>
      </c>
      <c r="I311" s="21">
        <v>-1.4865099999999999E-2</v>
      </c>
      <c r="J311" s="21">
        <v>301</v>
      </c>
      <c r="K311" s="21">
        <v>0.25372299999999998</v>
      </c>
      <c r="L311">
        <f t="shared" si="48"/>
        <v>18.351975308641972</v>
      </c>
      <c r="M311">
        <f t="shared" si="49"/>
        <v>4.6680818474074064</v>
      </c>
      <c r="N311" s="9"/>
      <c r="O311" s="21">
        <v>1.41571</v>
      </c>
      <c r="P311" s="21">
        <v>9.6634200000000003</v>
      </c>
      <c r="Q311" s="21">
        <v>-1.3766499999999999E-2</v>
      </c>
      <c r="R311" s="21">
        <v>301</v>
      </c>
      <c r="S311" s="21">
        <v>1.4151</v>
      </c>
      <c r="T311">
        <f t="shared" si="50"/>
        <v>16.995679012345676</v>
      </c>
      <c r="U311">
        <f t="shared" si="51"/>
        <v>24.060952734567898</v>
      </c>
      <c r="X311" s="9"/>
      <c r="Y311" s="21">
        <v>0.25436399999999998</v>
      </c>
      <c r="Z311" s="21">
        <v>17.100899999999999</v>
      </c>
      <c r="AA311" s="21">
        <v>-1.46027E-2</v>
      </c>
      <c r="AB311" s="21">
        <v>301</v>
      </c>
      <c r="AC311" s="21">
        <v>0.25384499999999999</v>
      </c>
      <c r="AD311">
        <f t="shared" si="52"/>
        <v>18.028024691358024</v>
      </c>
      <c r="AE311">
        <f t="shared" si="53"/>
        <v>4.5856804725925917</v>
      </c>
      <c r="AF311" s="9"/>
      <c r="AG311" s="21">
        <v>1.41571</v>
      </c>
      <c r="AH311" s="21">
        <v>20.8597</v>
      </c>
      <c r="AI311" s="21">
        <v>-1.3555899999999999E-2</v>
      </c>
      <c r="AJ311" s="21">
        <v>301</v>
      </c>
      <c r="AK311" s="21">
        <v>1.4151</v>
      </c>
      <c r="AL311">
        <f t="shared" si="54"/>
        <v>16.735679012345678</v>
      </c>
      <c r="AM311">
        <f t="shared" si="55"/>
        <v>23.692868134567899</v>
      </c>
      <c r="AP311" s="9"/>
      <c r="AQ311" s="21">
        <v>0.25436399999999998</v>
      </c>
      <c r="AR311" s="21">
        <v>26.353100000000001</v>
      </c>
      <c r="AS311" s="21">
        <v>-1.4599600000000001E-2</v>
      </c>
      <c r="AT311" s="21">
        <v>301</v>
      </c>
      <c r="AU311" s="21">
        <v>0.25384499999999999</v>
      </c>
      <c r="AV311">
        <f t="shared" si="56"/>
        <v>18.0241975308642</v>
      </c>
      <c r="AW311">
        <f t="shared" si="57"/>
        <v>4.5847069807407408</v>
      </c>
      <c r="AX311" s="9"/>
      <c r="AY311" s="21">
        <v>1.41571</v>
      </c>
      <c r="AZ311" s="21">
        <v>30.111899999999999</v>
      </c>
      <c r="BA311" s="21">
        <v>-1.36536E-2</v>
      </c>
      <c r="BB311" s="21">
        <v>301</v>
      </c>
      <c r="BC311" s="21">
        <v>1.4154100000000001</v>
      </c>
      <c r="BD311">
        <f t="shared" si="58"/>
        <v>16.856296296296296</v>
      </c>
      <c r="BE311">
        <f t="shared" si="59"/>
        <v>23.863627229629628</v>
      </c>
    </row>
    <row r="312" spans="6:57" x14ac:dyDescent="0.25">
      <c r="F312" s="9"/>
      <c r="G312" s="21">
        <v>0.249329</v>
      </c>
      <c r="H312" s="21">
        <v>5.91472</v>
      </c>
      <c r="I312" s="21">
        <v>-1.4871199999999999E-2</v>
      </c>
      <c r="J312" s="21">
        <v>302</v>
      </c>
      <c r="K312" s="21">
        <v>0.24890100000000001</v>
      </c>
      <c r="L312">
        <f t="shared" si="48"/>
        <v>18.359506172839506</v>
      </c>
      <c r="M312">
        <f t="shared" si="49"/>
        <v>4.5775573145679012</v>
      </c>
      <c r="N312" s="9"/>
      <c r="O312" s="21">
        <v>1.42075</v>
      </c>
      <c r="P312" s="21">
        <v>9.6734899999999993</v>
      </c>
      <c r="Q312" s="21">
        <v>-1.3754300000000001E-2</v>
      </c>
      <c r="R312" s="21">
        <v>302</v>
      </c>
      <c r="S312" s="21">
        <v>1.41998</v>
      </c>
      <c r="T312">
        <f t="shared" si="50"/>
        <v>16.980617283950615</v>
      </c>
      <c r="U312">
        <f t="shared" si="51"/>
        <v>24.125212006172834</v>
      </c>
      <c r="X312" s="9"/>
      <c r="Y312" s="21">
        <v>0.249329</v>
      </c>
      <c r="Z312" s="21">
        <v>17.111000000000001</v>
      </c>
      <c r="AA312" s="21">
        <v>-1.4599600000000001E-2</v>
      </c>
      <c r="AB312" s="21">
        <v>302</v>
      </c>
      <c r="AC312" s="21">
        <v>0.24865699999999999</v>
      </c>
      <c r="AD312">
        <f t="shared" si="52"/>
        <v>18.0241975308642</v>
      </c>
      <c r="AE312">
        <f t="shared" si="53"/>
        <v>4.4939551461728398</v>
      </c>
      <c r="AF312" s="9"/>
      <c r="AG312" s="21">
        <v>1.42075</v>
      </c>
      <c r="AH312" s="21">
        <v>20.869700000000002</v>
      </c>
      <c r="AI312" s="21">
        <v>-1.3546799999999999E-2</v>
      </c>
      <c r="AJ312" s="21">
        <v>302</v>
      </c>
      <c r="AK312" s="21">
        <v>1.41998</v>
      </c>
      <c r="AL312">
        <f t="shared" si="54"/>
        <v>16.72444444444444</v>
      </c>
      <c r="AM312">
        <f t="shared" si="55"/>
        <v>23.76125444444444</v>
      </c>
      <c r="AP312" s="9"/>
      <c r="AQ312" s="21">
        <v>0.249329</v>
      </c>
      <c r="AR312" s="21">
        <v>26.363199999999999</v>
      </c>
      <c r="AS312" s="21">
        <v>-1.4611799999999999E-2</v>
      </c>
      <c r="AT312" s="21">
        <v>302</v>
      </c>
      <c r="AU312" s="21">
        <v>0.248779</v>
      </c>
      <c r="AV312">
        <f t="shared" si="56"/>
        <v>18.039259259259257</v>
      </c>
      <c r="AW312">
        <f t="shared" si="57"/>
        <v>4.4977104718518515</v>
      </c>
      <c r="AX312" s="9"/>
      <c r="AY312" s="21">
        <v>1.42075</v>
      </c>
      <c r="AZ312" s="21">
        <v>30.122</v>
      </c>
      <c r="BA312" s="21">
        <v>-1.36353E-2</v>
      </c>
      <c r="BB312" s="21">
        <v>302</v>
      </c>
      <c r="BC312" s="21">
        <v>1.42059</v>
      </c>
      <c r="BD312">
        <f t="shared" si="58"/>
        <v>16.833703703703701</v>
      </c>
      <c r="BE312">
        <f t="shared" si="59"/>
        <v>23.916484537037032</v>
      </c>
    </row>
    <row r="313" spans="6:57" x14ac:dyDescent="0.25">
      <c r="F313" s="9"/>
      <c r="G313" s="21">
        <v>0.24429300000000001</v>
      </c>
      <c r="H313" s="21">
        <v>5.9247899999999998</v>
      </c>
      <c r="I313" s="21">
        <v>-1.48865E-2</v>
      </c>
      <c r="J313" s="21">
        <v>303</v>
      </c>
      <c r="K313" s="21">
        <v>0.24371300000000001</v>
      </c>
      <c r="L313">
        <f t="shared" si="48"/>
        <v>18.378395061728394</v>
      </c>
      <c r="M313">
        <f t="shared" si="49"/>
        <v>4.4897132648148146</v>
      </c>
      <c r="N313" s="9"/>
      <c r="O313" s="21">
        <v>1.42578</v>
      </c>
      <c r="P313" s="21">
        <v>9.6835599999999999</v>
      </c>
      <c r="Q313" s="21">
        <v>-1.3732899999999999E-2</v>
      </c>
      <c r="R313" s="21">
        <v>303</v>
      </c>
      <c r="S313" s="21">
        <v>1.4254800000000001</v>
      </c>
      <c r="T313">
        <f t="shared" si="50"/>
        <v>16.954197530864196</v>
      </c>
      <c r="U313">
        <f t="shared" si="51"/>
        <v>24.172955755555552</v>
      </c>
      <c r="X313" s="9"/>
      <c r="Y313" s="21">
        <v>0.24429300000000001</v>
      </c>
      <c r="Z313" s="21">
        <v>17.120999999999999</v>
      </c>
      <c r="AA313" s="21">
        <v>-1.4605699999999999E-2</v>
      </c>
      <c r="AB313" s="21">
        <v>303</v>
      </c>
      <c r="AC313" s="21">
        <v>0.243835</v>
      </c>
      <c r="AD313">
        <f t="shared" si="52"/>
        <v>18.031728395061727</v>
      </c>
      <c r="AE313">
        <f t="shared" si="53"/>
        <v>4.4050250248148144</v>
      </c>
      <c r="AF313" s="9"/>
      <c r="AG313" s="21">
        <v>1.42578</v>
      </c>
      <c r="AH313" s="21">
        <v>20.879799999999999</v>
      </c>
      <c r="AI313" s="21">
        <v>-1.35315E-2</v>
      </c>
      <c r="AJ313" s="21">
        <v>303</v>
      </c>
      <c r="AK313" s="21">
        <v>1.42517</v>
      </c>
      <c r="AL313">
        <f t="shared" si="54"/>
        <v>16.705555555555552</v>
      </c>
      <c r="AM313">
        <f t="shared" si="55"/>
        <v>23.818446999999995</v>
      </c>
      <c r="AP313" s="9"/>
      <c r="AQ313" s="21">
        <v>0.24429300000000001</v>
      </c>
      <c r="AR313" s="21">
        <v>26.3733</v>
      </c>
      <c r="AS313" s="21">
        <v>-1.4624E-2</v>
      </c>
      <c r="AT313" s="21">
        <v>303</v>
      </c>
      <c r="AU313" s="21">
        <v>0.24371300000000001</v>
      </c>
      <c r="AV313">
        <f t="shared" si="56"/>
        <v>18.054320987654318</v>
      </c>
      <c r="AW313">
        <f t="shared" si="57"/>
        <v>4.4105442370370369</v>
      </c>
      <c r="AX313" s="9"/>
      <c r="AY313" s="21">
        <v>1.42578</v>
      </c>
      <c r="AZ313" s="21">
        <v>30.132000000000001</v>
      </c>
      <c r="BA313" s="21">
        <v>-1.36078E-2</v>
      </c>
      <c r="BB313" s="21">
        <v>303</v>
      </c>
      <c r="BC313" s="21">
        <v>1.42456</v>
      </c>
      <c r="BD313">
        <f t="shared" si="58"/>
        <v>16.799753086419752</v>
      </c>
      <c r="BE313">
        <f t="shared" si="59"/>
        <v>23.952751955555556</v>
      </c>
    </row>
    <row r="314" spans="6:57" x14ac:dyDescent="0.25">
      <c r="F314" s="9"/>
      <c r="G314" s="21">
        <v>0.239258</v>
      </c>
      <c r="H314" s="21">
        <v>5.9348599999999996</v>
      </c>
      <c r="I314" s="21">
        <v>-1.48773E-2</v>
      </c>
      <c r="J314" s="21">
        <v>304</v>
      </c>
      <c r="K314" s="21">
        <v>0.23873900000000001</v>
      </c>
      <c r="L314">
        <f t="shared" si="48"/>
        <v>18.367037037037036</v>
      </c>
      <c r="M314">
        <f t="shared" si="49"/>
        <v>4.394460547407407</v>
      </c>
      <c r="N314" s="9"/>
      <c r="O314" s="21">
        <v>1.43082</v>
      </c>
      <c r="P314" s="21">
        <v>9.6936300000000006</v>
      </c>
      <c r="Q314" s="21">
        <v>-1.37146E-2</v>
      </c>
      <c r="R314" s="21">
        <v>304</v>
      </c>
      <c r="S314" s="21">
        <v>1.4303600000000001</v>
      </c>
      <c r="T314">
        <f t="shared" si="50"/>
        <v>16.931604938271605</v>
      </c>
      <c r="U314">
        <f t="shared" si="51"/>
        <v>24.226078977777778</v>
      </c>
      <c r="X314" s="9"/>
      <c r="Y314" s="21">
        <v>0.239258</v>
      </c>
      <c r="Z314" s="21">
        <v>17.1311</v>
      </c>
      <c r="AA314" s="21">
        <v>-1.46088E-2</v>
      </c>
      <c r="AB314" s="21">
        <v>304</v>
      </c>
      <c r="AC314" s="21">
        <v>0.23877000000000001</v>
      </c>
      <c r="AD314">
        <f t="shared" si="52"/>
        <v>18.035555555555554</v>
      </c>
      <c r="AE314">
        <f t="shared" si="53"/>
        <v>4.3151509511111108</v>
      </c>
      <c r="AF314" s="9"/>
      <c r="AG314" s="21">
        <v>1.43082</v>
      </c>
      <c r="AH314" s="21">
        <v>20.889900000000001</v>
      </c>
      <c r="AI314" s="21">
        <v>-1.35193E-2</v>
      </c>
      <c r="AJ314" s="21">
        <v>304</v>
      </c>
      <c r="AK314" s="21">
        <v>1.4303600000000001</v>
      </c>
      <c r="AL314">
        <f t="shared" si="54"/>
        <v>16.690493827160495</v>
      </c>
      <c r="AM314">
        <f t="shared" si="55"/>
        <v>23.881092377777779</v>
      </c>
      <c r="AP314" s="9"/>
      <c r="AQ314" s="21">
        <v>0.239258</v>
      </c>
      <c r="AR314" s="21">
        <v>26.383299999999998</v>
      </c>
      <c r="AS314" s="21">
        <v>-1.4633200000000001E-2</v>
      </c>
      <c r="AT314" s="21">
        <v>304</v>
      </c>
      <c r="AU314" s="21">
        <v>0.23883099999999999</v>
      </c>
      <c r="AV314">
        <f t="shared" si="56"/>
        <v>18.065679012345679</v>
      </c>
      <c r="AW314">
        <f t="shared" si="57"/>
        <v>4.3223582291358023</v>
      </c>
      <c r="AX314" s="9"/>
      <c r="AY314" s="21">
        <v>1.43082</v>
      </c>
      <c r="AZ314" s="21">
        <v>30.142099999999999</v>
      </c>
      <c r="BA314" s="21">
        <v>-1.35803E-2</v>
      </c>
      <c r="BB314" s="21">
        <v>304</v>
      </c>
      <c r="BC314" s="21">
        <v>1.43066</v>
      </c>
      <c r="BD314">
        <f t="shared" si="58"/>
        <v>16.765802469135803</v>
      </c>
      <c r="BE314">
        <f t="shared" si="59"/>
        <v>23.988845488888888</v>
      </c>
    </row>
    <row r="315" spans="6:57" x14ac:dyDescent="0.25">
      <c r="F315" s="9"/>
      <c r="G315" s="21">
        <v>0.23422200000000001</v>
      </c>
      <c r="H315" s="21">
        <v>5.9449300000000003</v>
      </c>
      <c r="I315" s="21">
        <v>-1.48743E-2</v>
      </c>
      <c r="J315" s="21">
        <v>305</v>
      </c>
      <c r="K315" s="21">
        <v>0.23367299999999999</v>
      </c>
      <c r="L315">
        <f t="shared" si="48"/>
        <v>18.363333333333333</v>
      </c>
      <c r="M315">
        <f t="shared" si="49"/>
        <v>4.3010966599999998</v>
      </c>
      <c r="N315" s="9"/>
      <c r="O315" s="21">
        <v>1.4358500000000001</v>
      </c>
      <c r="P315" s="21">
        <v>9.7036999999999995</v>
      </c>
      <c r="Q315" s="21">
        <v>-1.37024E-2</v>
      </c>
      <c r="R315" s="21">
        <v>305</v>
      </c>
      <c r="S315" s="21">
        <v>1.4358500000000001</v>
      </c>
      <c r="T315">
        <f t="shared" si="50"/>
        <v>16.916543209876544</v>
      </c>
      <c r="U315">
        <f t="shared" si="51"/>
        <v>24.289618567901236</v>
      </c>
      <c r="X315" s="9"/>
      <c r="Y315" s="21">
        <v>0.23422200000000001</v>
      </c>
      <c r="Z315" s="21">
        <v>17.141200000000001</v>
      </c>
      <c r="AA315" s="21">
        <v>-1.46149E-2</v>
      </c>
      <c r="AB315" s="21">
        <v>305</v>
      </c>
      <c r="AC315" s="21">
        <v>0.233704</v>
      </c>
      <c r="AD315">
        <f t="shared" si="52"/>
        <v>18.043086419753088</v>
      </c>
      <c r="AE315">
        <f t="shared" si="53"/>
        <v>4.2260877874074083</v>
      </c>
      <c r="AF315" s="9"/>
      <c r="AG315" s="21">
        <v>1.4358500000000001</v>
      </c>
      <c r="AH315" s="21">
        <v>20.9</v>
      </c>
      <c r="AI315" s="21">
        <v>-1.3510100000000001E-2</v>
      </c>
      <c r="AJ315" s="21">
        <v>305</v>
      </c>
      <c r="AK315" s="21">
        <v>1.4352400000000001</v>
      </c>
      <c r="AL315">
        <f t="shared" si="54"/>
        <v>16.679135802469133</v>
      </c>
      <c r="AM315">
        <f t="shared" si="55"/>
        <v>23.948737141975307</v>
      </c>
      <c r="AP315" s="9"/>
      <c r="AQ315" s="21">
        <v>0.23422200000000001</v>
      </c>
      <c r="AR315" s="21">
        <v>26.3934</v>
      </c>
      <c r="AS315" s="21">
        <v>-1.4627100000000001E-2</v>
      </c>
      <c r="AT315" s="21">
        <v>305</v>
      </c>
      <c r="AU315" s="21">
        <v>0.233704</v>
      </c>
      <c r="AV315">
        <f t="shared" si="56"/>
        <v>18.058148148148145</v>
      </c>
      <c r="AW315">
        <f t="shared" si="57"/>
        <v>4.2296155755555551</v>
      </c>
      <c r="AX315" s="9"/>
      <c r="AY315" s="21">
        <v>1.4358500000000001</v>
      </c>
      <c r="AZ315" s="21">
        <v>30.152200000000001</v>
      </c>
      <c r="BA315" s="21">
        <v>-1.35529E-2</v>
      </c>
      <c r="BB315" s="21">
        <v>305</v>
      </c>
      <c r="BC315" s="21">
        <v>1.4352400000000001</v>
      </c>
      <c r="BD315">
        <f t="shared" si="58"/>
        <v>16.731975308641974</v>
      </c>
      <c r="BE315">
        <f t="shared" si="59"/>
        <v>24.02460674691358</v>
      </c>
    </row>
    <row r="316" spans="6:57" x14ac:dyDescent="0.25">
      <c r="F316" s="9"/>
      <c r="G316" s="21">
        <v>0.229187</v>
      </c>
      <c r="H316" s="21">
        <v>5.9550099999999997</v>
      </c>
      <c r="I316" s="21">
        <v>-1.48743E-2</v>
      </c>
      <c r="J316" s="21">
        <v>306</v>
      </c>
      <c r="K316" s="21">
        <v>0.22866800000000001</v>
      </c>
      <c r="L316">
        <f t="shared" si="48"/>
        <v>18.363333333333333</v>
      </c>
      <c r="M316">
        <f t="shared" si="49"/>
        <v>4.2086372766666669</v>
      </c>
      <c r="N316" s="9"/>
      <c r="O316" s="21">
        <v>1.44089</v>
      </c>
      <c r="P316" s="21">
        <v>9.7137700000000002</v>
      </c>
      <c r="Q316" s="21">
        <v>-1.3677999999999999E-2</v>
      </c>
      <c r="R316" s="21">
        <v>306</v>
      </c>
      <c r="S316" s="21">
        <v>1.4401200000000001</v>
      </c>
      <c r="T316">
        <f t="shared" si="50"/>
        <v>16.886419753086418</v>
      </c>
      <c r="U316">
        <f t="shared" si="51"/>
        <v>24.331473358024688</v>
      </c>
      <c r="X316" s="9"/>
      <c r="Y316" s="21">
        <v>0.229187</v>
      </c>
      <c r="Z316" s="21">
        <v>17.151299999999999</v>
      </c>
      <c r="AA316" s="21">
        <v>-1.46179E-2</v>
      </c>
      <c r="AB316" s="21">
        <v>306</v>
      </c>
      <c r="AC316" s="21">
        <v>0.22866800000000001</v>
      </c>
      <c r="AD316">
        <f t="shared" si="52"/>
        <v>18.046790123456791</v>
      </c>
      <c r="AE316">
        <f t="shared" si="53"/>
        <v>4.1360896880246916</v>
      </c>
      <c r="AF316" s="9"/>
      <c r="AG316" s="21">
        <v>1.44089</v>
      </c>
      <c r="AH316" s="21">
        <v>20.91</v>
      </c>
      <c r="AI316" s="21">
        <v>-1.34918E-2</v>
      </c>
      <c r="AJ316" s="21">
        <v>306</v>
      </c>
      <c r="AK316" s="21">
        <v>1.4404300000000001</v>
      </c>
      <c r="AL316">
        <f t="shared" si="54"/>
        <v>16.656543209876542</v>
      </c>
      <c r="AM316">
        <f t="shared" si="55"/>
        <v>24.000246545679012</v>
      </c>
      <c r="AP316" s="9"/>
      <c r="AQ316" s="21">
        <v>0.229187</v>
      </c>
      <c r="AR316" s="21">
        <v>26.403500000000001</v>
      </c>
      <c r="AS316" s="21">
        <v>-1.46362E-2</v>
      </c>
      <c r="AT316" s="21">
        <v>306</v>
      </c>
      <c r="AU316" s="21">
        <v>0.22869900000000001</v>
      </c>
      <c r="AV316">
        <f t="shared" si="56"/>
        <v>18.069382716049383</v>
      </c>
      <c r="AW316">
        <f t="shared" si="57"/>
        <v>4.1412676165432103</v>
      </c>
      <c r="AX316" s="9"/>
      <c r="AY316" s="21">
        <v>1.44089</v>
      </c>
      <c r="AZ316" s="21">
        <v>30.162299999999998</v>
      </c>
      <c r="BA316" s="21">
        <v>-1.35193E-2</v>
      </c>
      <c r="BB316" s="21">
        <v>306</v>
      </c>
      <c r="BC316" s="21">
        <v>1.4401200000000001</v>
      </c>
      <c r="BD316">
        <f t="shared" si="58"/>
        <v>16.690493827160495</v>
      </c>
      <c r="BE316">
        <f t="shared" si="59"/>
        <v>24.049165650617287</v>
      </c>
    </row>
    <row r="317" spans="6:57" x14ac:dyDescent="0.25">
      <c r="F317" s="9"/>
      <c r="G317" s="21">
        <v>0.22415199999999999</v>
      </c>
      <c r="H317" s="21">
        <v>5.9650800000000004</v>
      </c>
      <c r="I317" s="21">
        <v>-1.48682E-2</v>
      </c>
      <c r="J317" s="21">
        <v>307</v>
      </c>
      <c r="K317" s="21">
        <v>0.22378500000000001</v>
      </c>
      <c r="L317">
        <f t="shared" si="48"/>
        <v>18.355802469135799</v>
      </c>
      <c r="M317">
        <f t="shared" si="49"/>
        <v>4.1144898350617272</v>
      </c>
      <c r="N317" s="9"/>
      <c r="O317" s="21">
        <v>1.4459200000000001</v>
      </c>
      <c r="P317" s="21">
        <v>9.7238399999999992</v>
      </c>
      <c r="Q317" s="21">
        <v>-1.3644399999999999E-2</v>
      </c>
      <c r="R317" s="21">
        <v>307</v>
      </c>
      <c r="S317" s="21">
        <v>1.4453100000000001</v>
      </c>
      <c r="T317">
        <f t="shared" si="50"/>
        <v>16.844938271604939</v>
      </c>
      <c r="U317">
        <f t="shared" si="51"/>
        <v>24.356433145679013</v>
      </c>
      <c r="X317" s="9"/>
      <c r="Y317" s="21">
        <v>0.22415199999999999</v>
      </c>
      <c r="Z317" s="21">
        <v>17.161300000000001</v>
      </c>
      <c r="AA317" s="21">
        <v>-1.4624E-2</v>
      </c>
      <c r="AB317" s="21">
        <v>307</v>
      </c>
      <c r="AC317" s="21">
        <v>0.223602</v>
      </c>
      <c r="AD317">
        <f t="shared" si="52"/>
        <v>18.054320987654318</v>
      </c>
      <c r="AE317">
        <f t="shared" si="53"/>
        <v>4.046912158024691</v>
      </c>
      <c r="AF317" s="9"/>
      <c r="AG317" s="21">
        <v>1.4459200000000001</v>
      </c>
      <c r="AH317" s="21">
        <v>20.920100000000001</v>
      </c>
      <c r="AI317" s="21">
        <v>-1.34766E-2</v>
      </c>
      <c r="AJ317" s="21">
        <v>307</v>
      </c>
      <c r="AK317" s="21">
        <v>1.4456199999999999</v>
      </c>
      <c r="AL317">
        <f t="shared" si="54"/>
        <v>16.637777777777774</v>
      </c>
      <c r="AM317">
        <f t="shared" si="55"/>
        <v>24.056895644444442</v>
      </c>
      <c r="AP317" s="9"/>
      <c r="AQ317" s="21">
        <v>0.22415199999999999</v>
      </c>
      <c r="AR317" s="21">
        <v>26.413599999999999</v>
      </c>
      <c r="AS317" s="21">
        <v>-1.4633200000000001E-2</v>
      </c>
      <c r="AT317" s="21">
        <v>307</v>
      </c>
      <c r="AU317" s="21">
        <v>0.223663</v>
      </c>
      <c r="AV317">
        <f t="shared" si="56"/>
        <v>18.065679012345679</v>
      </c>
      <c r="AW317">
        <f t="shared" si="57"/>
        <v>4.0494580819753088</v>
      </c>
      <c r="AX317" s="9"/>
      <c r="AY317" s="21">
        <v>1.4459200000000001</v>
      </c>
      <c r="AZ317" s="21">
        <v>30.1723</v>
      </c>
      <c r="BA317" s="21">
        <v>-1.34857E-2</v>
      </c>
      <c r="BB317" s="21">
        <v>307</v>
      </c>
      <c r="BC317" s="21">
        <v>1.4456199999999999</v>
      </c>
      <c r="BD317">
        <f t="shared" si="58"/>
        <v>16.649012345679012</v>
      </c>
      <c r="BE317">
        <f t="shared" si="59"/>
        <v>24.073139930864198</v>
      </c>
    </row>
    <row r="318" spans="6:57" x14ac:dyDescent="0.25">
      <c r="F318" s="9"/>
      <c r="G318" s="21">
        <v>0.21911600000000001</v>
      </c>
      <c r="H318" s="21">
        <v>5.9751500000000002</v>
      </c>
      <c r="I318" s="21">
        <v>-1.4859000000000001E-2</v>
      </c>
      <c r="J318" s="21">
        <v>308</v>
      </c>
      <c r="K318" s="21">
        <v>0.21856700000000001</v>
      </c>
      <c r="L318">
        <f t="shared" si="48"/>
        <v>18.344444444444445</v>
      </c>
      <c r="M318">
        <f t="shared" si="49"/>
        <v>4.0195612888888892</v>
      </c>
      <c r="N318" s="9"/>
      <c r="O318" s="21">
        <v>1.45096</v>
      </c>
      <c r="P318" s="21">
        <v>9.7339099999999998</v>
      </c>
      <c r="Q318" s="21">
        <v>-1.36078E-2</v>
      </c>
      <c r="R318" s="21">
        <v>308</v>
      </c>
      <c r="S318" s="21">
        <v>1.4504999999999999</v>
      </c>
      <c r="T318">
        <f t="shared" si="50"/>
        <v>16.799753086419752</v>
      </c>
      <c r="U318">
        <f t="shared" si="51"/>
        <v>24.375769738271604</v>
      </c>
      <c r="X318" s="9"/>
      <c r="Y318" s="21">
        <v>0.21911600000000001</v>
      </c>
      <c r="Z318" s="21">
        <v>17.171399999999998</v>
      </c>
      <c r="AA318" s="21">
        <v>-1.46423E-2</v>
      </c>
      <c r="AB318" s="21">
        <v>308</v>
      </c>
      <c r="AC318" s="21">
        <v>0.21859700000000001</v>
      </c>
      <c r="AD318">
        <f t="shared" si="52"/>
        <v>18.076913580246913</v>
      </c>
      <c r="AE318">
        <f t="shared" si="53"/>
        <v>3.9609409960493829</v>
      </c>
      <c r="AF318" s="9"/>
      <c r="AG318" s="21">
        <v>1.45096</v>
      </c>
      <c r="AH318" s="21">
        <v>20.930199999999999</v>
      </c>
      <c r="AI318" s="21">
        <v>-1.34521E-2</v>
      </c>
      <c r="AJ318" s="21">
        <v>308</v>
      </c>
      <c r="AK318" s="21">
        <v>1.4501999999999999</v>
      </c>
      <c r="AL318">
        <f t="shared" si="54"/>
        <v>16.607530864197528</v>
      </c>
      <c r="AM318">
        <f t="shared" si="55"/>
        <v>24.096862982716047</v>
      </c>
      <c r="AP318" s="9"/>
      <c r="AQ318" s="21">
        <v>0.21911600000000001</v>
      </c>
      <c r="AR318" s="21">
        <v>26.4236</v>
      </c>
      <c r="AS318" s="21">
        <v>-1.46362E-2</v>
      </c>
      <c r="AT318" s="21">
        <v>308</v>
      </c>
      <c r="AU318" s="21">
        <v>0.21856700000000001</v>
      </c>
      <c r="AV318">
        <f t="shared" si="56"/>
        <v>18.069382716049383</v>
      </c>
      <c r="AW318">
        <f t="shared" si="57"/>
        <v>3.9592908632098767</v>
      </c>
      <c r="AX318" s="9"/>
      <c r="AY318" s="21">
        <v>1.45096</v>
      </c>
      <c r="AZ318" s="21">
        <v>30.182400000000001</v>
      </c>
      <c r="BA318" s="21">
        <v>-1.3458299999999999E-2</v>
      </c>
      <c r="BB318" s="21">
        <v>308</v>
      </c>
      <c r="BC318" s="21">
        <v>1.4501999999999999</v>
      </c>
      <c r="BD318">
        <f t="shared" si="58"/>
        <v>16.615185185185183</v>
      </c>
      <c r="BE318">
        <f t="shared" si="59"/>
        <v>24.107969096296294</v>
      </c>
    </row>
    <row r="319" spans="6:57" x14ac:dyDescent="0.25">
      <c r="F319" s="9"/>
      <c r="G319" s="21">
        <v>0.21408099999999999</v>
      </c>
      <c r="H319" s="21">
        <v>5.98522</v>
      </c>
      <c r="I319" s="21">
        <v>-1.4855999999999999E-2</v>
      </c>
      <c r="J319" s="21">
        <v>309</v>
      </c>
      <c r="K319" s="21">
        <v>0.21359300000000001</v>
      </c>
      <c r="L319">
        <f t="shared" si="48"/>
        <v>18.340740740740738</v>
      </c>
      <c r="M319">
        <f t="shared" si="49"/>
        <v>3.9264041185185179</v>
      </c>
      <c r="N319" s="9"/>
      <c r="O319" s="21">
        <v>1.4559899999999999</v>
      </c>
      <c r="P319" s="21">
        <v>9.7439800000000005</v>
      </c>
      <c r="Q319" s="21">
        <v>-1.35712E-2</v>
      </c>
      <c r="R319" s="21">
        <v>309</v>
      </c>
      <c r="S319" s="21">
        <v>1.4550799999999999</v>
      </c>
      <c r="T319">
        <f t="shared" si="50"/>
        <v>16.754567901234566</v>
      </c>
      <c r="U319">
        <f t="shared" si="51"/>
        <v>24.394483318518514</v>
      </c>
      <c r="X319" s="9"/>
      <c r="Y319" s="21">
        <v>0.21408099999999999</v>
      </c>
      <c r="Z319" s="21">
        <v>17.1815</v>
      </c>
      <c r="AA319" s="21">
        <v>-1.4654500000000001E-2</v>
      </c>
      <c r="AB319" s="21">
        <v>309</v>
      </c>
      <c r="AC319" s="21">
        <v>0.21343999999999999</v>
      </c>
      <c r="AD319">
        <f t="shared" si="52"/>
        <v>18.091975308641977</v>
      </c>
      <c r="AE319">
        <f t="shared" si="53"/>
        <v>3.8731481660493832</v>
      </c>
      <c r="AF319" s="9"/>
      <c r="AG319" s="21">
        <v>1.4559899999999999</v>
      </c>
      <c r="AH319" s="21">
        <v>20.940200000000001</v>
      </c>
      <c r="AI319" s="21">
        <v>-1.3418599999999999E-2</v>
      </c>
      <c r="AJ319" s="21">
        <v>309</v>
      </c>
      <c r="AK319" s="21">
        <v>1.4556899999999999</v>
      </c>
      <c r="AL319">
        <f t="shared" si="54"/>
        <v>16.566172839506169</v>
      </c>
      <c r="AM319">
        <f t="shared" si="55"/>
        <v>24.120181992592585</v>
      </c>
      <c r="AP319" s="9"/>
      <c r="AQ319" s="21">
        <v>0.21408099999999999</v>
      </c>
      <c r="AR319" s="21">
        <v>26.433700000000002</v>
      </c>
      <c r="AS319" s="21">
        <v>-1.46423E-2</v>
      </c>
      <c r="AT319" s="21">
        <v>309</v>
      </c>
      <c r="AU319" s="21">
        <v>0.213531</v>
      </c>
      <c r="AV319">
        <f t="shared" si="56"/>
        <v>18.076913580246913</v>
      </c>
      <c r="AW319">
        <f t="shared" si="57"/>
        <v>3.8699237361728391</v>
      </c>
      <c r="AX319" s="9"/>
      <c r="AY319" s="21">
        <v>1.4559899999999999</v>
      </c>
      <c r="AZ319" s="21">
        <v>30.192499999999999</v>
      </c>
      <c r="BA319" s="21">
        <v>-1.34308E-2</v>
      </c>
      <c r="BB319" s="21">
        <v>309</v>
      </c>
      <c r="BC319" s="21">
        <v>1.4547699999999999</v>
      </c>
      <c r="BD319">
        <f t="shared" si="58"/>
        <v>16.581234567901234</v>
      </c>
      <c r="BE319">
        <f t="shared" si="59"/>
        <v>24.142111718518517</v>
      </c>
    </row>
    <row r="320" spans="6:57" x14ac:dyDescent="0.25">
      <c r="F320" s="9"/>
      <c r="G320" s="21">
        <v>0.20904500000000001</v>
      </c>
      <c r="H320" s="21">
        <v>5.9952899999999998</v>
      </c>
      <c r="I320" s="21">
        <v>-1.4859000000000001E-2</v>
      </c>
      <c r="J320" s="21">
        <v>310</v>
      </c>
      <c r="K320" s="21">
        <v>0.20855699999999999</v>
      </c>
      <c r="L320">
        <f t="shared" si="48"/>
        <v>18.344444444444445</v>
      </c>
      <c r="M320">
        <f t="shared" si="49"/>
        <v>3.8348143888888893</v>
      </c>
      <c r="N320" s="9"/>
      <c r="O320" s="21">
        <v>1.4610300000000001</v>
      </c>
      <c r="P320" s="21">
        <v>9.7540600000000008</v>
      </c>
      <c r="Q320" s="21">
        <v>-1.35254E-2</v>
      </c>
      <c r="R320" s="21">
        <v>310</v>
      </c>
      <c r="S320" s="21">
        <v>1.4605699999999999</v>
      </c>
      <c r="T320">
        <f t="shared" si="50"/>
        <v>16.698024691358025</v>
      </c>
      <c r="U320">
        <f t="shared" si="51"/>
        <v>24.396315014814817</v>
      </c>
      <c r="X320" s="9"/>
      <c r="Y320" s="21">
        <v>0.20904500000000001</v>
      </c>
      <c r="Z320" s="21">
        <v>17.191500000000001</v>
      </c>
      <c r="AA320" s="21">
        <v>-1.46667E-2</v>
      </c>
      <c r="AB320" s="21">
        <v>310</v>
      </c>
      <c r="AC320" s="21">
        <v>0.20871000000000001</v>
      </c>
      <c r="AD320">
        <f t="shared" si="52"/>
        <v>18.107037037037035</v>
      </c>
      <c r="AE320">
        <f t="shared" si="53"/>
        <v>3.7851855574074071</v>
      </c>
      <c r="AF320" s="9"/>
      <c r="AG320" s="21">
        <v>1.4610300000000001</v>
      </c>
      <c r="AH320" s="21">
        <v>20.950299999999999</v>
      </c>
      <c r="AI320" s="21">
        <v>-1.33759E-2</v>
      </c>
      <c r="AJ320" s="21">
        <v>310</v>
      </c>
      <c r="AK320" s="21">
        <v>1.46088</v>
      </c>
      <c r="AL320">
        <f t="shared" si="54"/>
        <v>16.513456790123456</v>
      </c>
      <c r="AM320">
        <f t="shared" si="55"/>
        <v>24.126655774074074</v>
      </c>
      <c r="AP320" s="9"/>
      <c r="AQ320" s="21">
        <v>0.20904500000000001</v>
      </c>
      <c r="AR320" s="21">
        <v>26.4438</v>
      </c>
      <c r="AS320" s="21">
        <v>-1.4645399999999999E-2</v>
      </c>
      <c r="AT320" s="21">
        <v>310</v>
      </c>
      <c r="AU320" s="21">
        <v>0.208588</v>
      </c>
      <c r="AV320">
        <f t="shared" si="56"/>
        <v>18.080740740740737</v>
      </c>
      <c r="AW320">
        <f t="shared" si="57"/>
        <v>3.7796884481481476</v>
      </c>
      <c r="AX320" s="9"/>
      <c r="AY320" s="21">
        <v>1.4610300000000001</v>
      </c>
      <c r="AZ320" s="21">
        <v>30.202500000000001</v>
      </c>
      <c r="BA320" s="21">
        <v>-1.34033E-2</v>
      </c>
      <c r="BB320" s="21">
        <v>310</v>
      </c>
      <c r="BC320" s="21">
        <v>1.4605699999999999</v>
      </c>
      <c r="BD320">
        <f t="shared" si="58"/>
        <v>16.547283950617281</v>
      </c>
      <c r="BE320">
        <f t="shared" si="59"/>
        <v>24.176078270370368</v>
      </c>
    </row>
    <row r="321" spans="6:57" x14ac:dyDescent="0.25">
      <c r="F321" s="9"/>
      <c r="G321" s="21">
        <v>0.20401</v>
      </c>
      <c r="H321" s="21">
        <v>6.0053599999999996</v>
      </c>
      <c r="I321" s="21">
        <v>-1.48621E-2</v>
      </c>
      <c r="J321" s="21">
        <v>311</v>
      </c>
      <c r="K321" s="21">
        <v>0.20361299999999999</v>
      </c>
      <c r="L321">
        <f t="shared" si="48"/>
        <v>18.348271604938269</v>
      </c>
      <c r="M321">
        <f t="shared" si="49"/>
        <v>3.7432308901234563</v>
      </c>
      <c r="N321" s="9"/>
      <c r="O321" s="21">
        <v>1.4660599999999999</v>
      </c>
      <c r="P321" s="21">
        <v>9.7641299999999998</v>
      </c>
      <c r="Q321" s="21">
        <v>-1.34918E-2</v>
      </c>
      <c r="R321" s="21">
        <v>311</v>
      </c>
      <c r="S321" s="21">
        <v>1.4654499999999999</v>
      </c>
      <c r="T321">
        <f t="shared" si="50"/>
        <v>16.656543209876542</v>
      </c>
      <c r="U321">
        <f t="shared" si="51"/>
        <v>24.419491738271603</v>
      </c>
      <c r="X321" s="9"/>
      <c r="Y321" s="21">
        <v>0.20401</v>
      </c>
      <c r="Z321" s="21">
        <v>17.201599999999999</v>
      </c>
      <c r="AA321" s="21">
        <v>-1.4678999999999999E-2</v>
      </c>
      <c r="AB321" s="21">
        <v>311</v>
      </c>
      <c r="AC321" s="21">
        <v>0.20333899999999999</v>
      </c>
      <c r="AD321">
        <f t="shared" si="52"/>
        <v>18.12222222222222</v>
      </c>
      <c r="AE321">
        <f t="shared" si="53"/>
        <v>3.6971145555555549</v>
      </c>
      <c r="AF321" s="9"/>
      <c r="AG321" s="21">
        <v>1.4660599999999999</v>
      </c>
      <c r="AH321" s="21">
        <v>20.9604</v>
      </c>
      <c r="AI321" s="21">
        <v>-1.3324000000000001E-2</v>
      </c>
      <c r="AJ321" s="21">
        <v>311</v>
      </c>
      <c r="AK321" s="21">
        <v>1.4648399999999999</v>
      </c>
      <c r="AL321">
        <f t="shared" si="54"/>
        <v>16.449382716049382</v>
      </c>
      <c r="AM321">
        <f t="shared" si="55"/>
        <v>24.115782024691356</v>
      </c>
      <c r="AP321" s="9"/>
      <c r="AQ321" s="21">
        <v>0.20401</v>
      </c>
      <c r="AR321" s="21">
        <v>26.453800000000001</v>
      </c>
      <c r="AS321" s="21">
        <v>-1.46637E-2</v>
      </c>
      <c r="AT321" s="21">
        <v>311</v>
      </c>
      <c r="AU321" s="21">
        <v>0.203461</v>
      </c>
      <c r="AV321">
        <f t="shared" si="56"/>
        <v>18.103333333333332</v>
      </c>
      <c r="AW321">
        <f t="shared" si="57"/>
        <v>3.6932610333333331</v>
      </c>
      <c r="AX321" s="9"/>
      <c r="AY321" s="21">
        <v>1.4660599999999999</v>
      </c>
      <c r="AZ321" s="21">
        <v>30.212599999999998</v>
      </c>
      <c r="BA321" s="21">
        <v>-1.3378900000000001E-2</v>
      </c>
      <c r="BB321" s="21">
        <v>311</v>
      </c>
      <c r="BC321" s="21">
        <v>1.4654499999999999</v>
      </c>
      <c r="BD321">
        <f t="shared" si="58"/>
        <v>16.517160493827159</v>
      </c>
      <c r="BE321">
        <f t="shared" si="59"/>
        <v>24.215148313580244</v>
      </c>
    </row>
    <row r="322" spans="6:57" x14ac:dyDescent="0.25">
      <c r="F322" s="9"/>
      <c r="G322" s="21">
        <v>0.19897500000000001</v>
      </c>
      <c r="H322" s="21">
        <v>6.0154300000000003</v>
      </c>
      <c r="I322" s="21">
        <v>-1.4855999999999999E-2</v>
      </c>
      <c r="J322" s="21">
        <v>312</v>
      </c>
      <c r="K322" s="21">
        <v>0.198486</v>
      </c>
      <c r="L322">
        <f t="shared" si="48"/>
        <v>18.340740740740738</v>
      </c>
      <c r="M322">
        <f t="shared" si="49"/>
        <v>3.6493488888888885</v>
      </c>
      <c r="N322" s="9"/>
      <c r="O322" s="21">
        <v>1.4711000000000001</v>
      </c>
      <c r="P322" s="21">
        <v>9.7742000000000004</v>
      </c>
      <c r="Q322" s="21">
        <v>-1.34552E-2</v>
      </c>
      <c r="R322" s="21">
        <v>312</v>
      </c>
      <c r="S322" s="21">
        <v>1.4700299999999999</v>
      </c>
      <c r="T322">
        <f t="shared" si="50"/>
        <v>16.611358024691356</v>
      </c>
      <c r="U322">
        <f t="shared" si="51"/>
        <v>24.436968790123455</v>
      </c>
      <c r="X322" s="9"/>
      <c r="Y322" s="21">
        <v>0.19897500000000001</v>
      </c>
      <c r="Z322" s="21">
        <v>17.2117</v>
      </c>
      <c r="AA322" s="21">
        <v>-1.4678999999999999E-2</v>
      </c>
      <c r="AB322" s="21">
        <v>312</v>
      </c>
      <c r="AC322" s="21">
        <v>0.19845599999999999</v>
      </c>
      <c r="AD322">
        <f t="shared" si="52"/>
        <v>18.12222222222222</v>
      </c>
      <c r="AE322">
        <f t="shared" si="53"/>
        <v>3.6058691666666665</v>
      </c>
      <c r="AF322" s="9"/>
      <c r="AG322" s="21">
        <v>1.4711000000000001</v>
      </c>
      <c r="AH322" s="21">
        <v>20.970500000000001</v>
      </c>
      <c r="AI322" s="21">
        <v>-1.32874E-2</v>
      </c>
      <c r="AJ322" s="21">
        <v>312</v>
      </c>
      <c r="AK322" s="21">
        <v>1.47095</v>
      </c>
      <c r="AL322">
        <f t="shared" si="54"/>
        <v>16.404197530864195</v>
      </c>
      <c r="AM322">
        <f t="shared" si="55"/>
        <v>24.132214987654319</v>
      </c>
      <c r="AP322" s="9"/>
      <c r="AQ322" s="21">
        <v>0.19897500000000001</v>
      </c>
      <c r="AR322" s="21">
        <v>26.463899999999999</v>
      </c>
      <c r="AS322" s="21">
        <v>-1.4678999999999999E-2</v>
      </c>
      <c r="AT322" s="21">
        <v>312</v>
      </c>
      <c r="AU322" s="21">
        <v>0.198547</v>
      </c>
      <c r="AV322">
        <f t="shared" si="56"/>
        <v>18.12222222222222</v>
      </c>
      <c r="AW322">
        <f t="shared" si="57"/>
        <v>3.6058691666666665</v>
      </c>
      <c r="AX322" s="9"/>
      <c r="AY322" s="21">
        <v>1.4711000000000001</v>
      </c>
      <c r="AZ322" s="21">
        <v>30.2227</v>
      </c>
      <c r="BA322" s="21">
        <v>-1.3351399999999999E-2</v>
      </c>
      <c r="BB322" s="21">
        <v>312</v>
      </c>
      <c r="BC322" s="21">
        <v>1.47095</v>
      </c>
      <c r="BD322">
        <f t="shared" si="58"/>
        <v>16.483209876543206</v>
      </c>
      <c r="BE322">
        <f t="shared" si="59"/>
        <v>24.248450049382711</v>
      </c>
    </row>
    <row r="323" spans="6:57" x14ac:dyDescent="0.25">
      <c r="F323" s="9"/>
      <c r="G323" s="21">
        <v>0.193939</v>
      </c>
      <c r="H323" s="21">
        <v>6.0255000000000001</v>
      </c>
      <c r="I323" s="21">
        <v>-1.4871199999999999E-2</v>
      </c>
      <c r="J323" s="21">
        <v>313</v>
      </c>
      <c r="K323" s="21">
        <v>0.19339000000000001</v>
      </c>
      <c r="L323">
        <f t="shared" si="48"/>
        <v>18.359506172839506</v>
      </c>
      <c r="M323">
        <f t="shared" si="49"/>
        <v>3.5606242676543212</v>
      </c>
      <c r="N323" s="9"/>
      <c r="O323" s="21">
        <v>1.47614</v>
      </c>
      <c r="P323" s="21">
        <v>9.7842699999999994</v>
      </c>
      <c r="Q323" s="21">
        <v>-1.3418599999999999E-2</v>
      </c>
      <c r="R323" s="21">
        <v>313</v>
      </c>
      <c r="S323" s="21">
        <v>1.4755199999999999</v>
      </c>
      <c r="T323">
        <f t="shared" si="50"/>
        <v>16.566172839506169</v>
      </c>
      <c r="U323">
        <f t="shared" si="51"/>
        <v>24.453990375308639</v>
      </c>
      <c r="X323" s="9"/>
      <c r="Y323" s="21">
        <v>0.193939</v>
      </c>
      <c r="Z323" s="21">
        <v>17.221800000000002</v>
      </c>
      <c r="AA323" s="21">
        <v>-1.4682000000000001E-2</v>
      </c>
      <c r="AB323" s="21">
        <v>313</v>
      </c>
      <c r="AC323" s="21">
        <v>0.19342000000000001</v>
      </c>
      <c r="AD323">
        <f t="shared" si="52"/>
        <v>18.125925925925923</v>
      </c>
      <c r="AE323">
        <f t="shared" si="53"/>
        <v>3.5153239481481475</v>
      </c>
      <c r="AF323" s="9"/>
      <c r="AG323" s="21">
        <v>1.47614</v>
      </c>
      <c r="AH323" s="21">
        <v>20.980499999999999</v>
      </c>
      <c r="AI323" s="21">
        <v>-1.3247699999999999E-2</v>
      </c>
      <c r="AJ323" s="21">
        <v>313</v>
      </c>
      <c r="AK323" s="21">
        <v>1.4755199999999999</v>
      </c>
      <c r="AL323">
        <f t="shared" si="54"/>
        <v>16.355185185185185</v>
      </c>
      <c r="AM323">
        <f t="shared" si="55"/>
        <v>24.14254305925926</v>
      </c>
      <c r="AP323" s="9"/>
      <c r="AQ323" s="21">
        <v>0.193939</v>
      </c>
      <c r="AR323" s="21">
        <v>26.474</v>
      </c>
      <c r="AS323" s="21">
        <v>-1.4682000000000001E-2</v>
      </c>
      <c r="AT323" s="21">
        <v>313</v>
      </c>
      <c r="AU323" s="21">
        <v>0.19342000000000001</v>
      </c>
      <c r="AV323">
        <f t="shared" si="56"/>
        <v>18.125925925925923</v>
      </c>
      <c r="AW323">
        <f t="shared" si="57"/>
        <v>3.5153239481481475</v>
      </c>
      <c r="AX323" s="9"/>
      <c r="AY323" s="21">
        <v>1.47614</v>
      </c>
      <c r="AZ323" s="21">
        <v>30.232700000000001</v>
      </c>
      <c r="BA323" s="21">
        <v>-1.33087E-2</v>
      </c>
      <c r="BB323" s="21">
        <v>313</v>
      </c>
      <c r="BC323" s="21">
        <v>1.47522</v>
      </c>
      <c r="BD323">
        <f t="shared" si="58"/>
        <v>16.430493827160493</v>
      </c>
      <c r="BE323">
        <f t="shared" si="59"/>
        <v>24.253709158024691</v>
      </c>
    </row>
    <row r="324" spans="6:57" x14ac:dyDescent="0.25">
      <c r="F324" s="9"/>
      <c r="G324" s="21">
        <v>0.18890399999999999</v>
      </c>
      <c r="H324" s="21">
        <v>6.0355699999999999</v>
      </c>
      <c r="I324" s="21">
        <v>-1.48743E-2</v>
      </c>
      <c r="J324" s="21">
        <v>314</v>
      </c>
      <c r="K324" s="21">
        <v>0.188416</v>
      </c>
      <c r="L324">
        <f t="shared" si="48"/>
        <v>18.363333333333333</v>
      </c>
      <c r="M324">
        <f t="shared" si="49"/>
        <v>3.4689071199999999</v>
      </c>
      <c r="N324" s="9"/>
      <c r="O324" s="21">
        <v>1.4811700000000001</v>
      </c>
      <c r="P324" s="21">
        <v>9.79434</v>
      </c>
      <c r="Q324" s="21">
        <v>-1.3382E-2</v>
      </c>
      <c r="R324" s="21">
        <v>314</v>
      </c>
      <c r="S324" s="21">
        <v>1.48041</v>
      </c>
      <c r="T324">
        <f t="shared" si="50"/>
        <v>16.520987654320987</v>
      </c>
      <c r="U324">
        <f t="shared" si="51"/>
        <v>24.470391283950619</v>
      </c>
      <c r="X324" s="9"/>
      <c r="Y324" s="21">
        <v>0.18890399999999999</v>
      </c>
      <c r="Z324" s="21">
        <v>17.2318</v>
      </c>
      <c r="AA324" s="21">
        <v>-1.4678999999999999E-2</v>
      </c>
      <c r="AB324" s="21">
        <v>314</v>
      </c>
      <c r="AC324" s="21">
        <v>0.188385</v>
      </c>
      <c r="AD324">
        <f t="shared" si="52"/>
        <v>18.12222222222222</v>
      </c>
      <c r="AE324">
        <f t="shared" si="53"/>
        <v>3.4233602666666663</v>
      </c>
      <c r="AF324" s="9"/>
      <c r="AG324" s="21">
        <v>1.4811700000000001</v>
      </c>
      <c r="AH324" s="21">
        <v>20.990600000000001</v>
      </c>
      <c r="AI324" s="21">
        <v>-1.3214099999999999E-2</v>
      </c>
      <c r="AJ324" s="21">
        <v>314</v>
      </c>
      <c r="AK324" s="21">
        <v>1.48041</v>
      </c>
      <c r="AL324">
        <f t="shared" si="54"/>
        <v>16.313703703703702</v>
      </c>
      <c r="AM324">
        <f t="shared" si="55"/>
        <v>24.163368514814813</v>
      </c>
      <c r="AP324" s="9"/>
      <c r="AQ324" s="21">
        <v>0.18890399999999999</v>
      </c>
      <c r="AR324" s="21">
        <v>26.484100000000002</v>
      </c>
      <c r="AS324" s="21">
        <v>-1.4682000000000001E-2</v>
      </c>
      <c r="AT324" s="21">
        <v>314</v>
      </c>
      <c r="AU324" s="21">
        <v>0.18853800000000001</v>
      </c>
      <c r="AV324">
        <f t="shared" si="56"/>
        <v>18.125925925925923</v>
      </c>
      <c r="AW324">
        <f t="shared" si="57"/>
        <v>3.4240599111111103</v>
      </c>
      <c r="AX324" s="9"/>
      <c r="AY324" s="21">
        <v>1.4811700000000001</v>
      </c>
      <c r="AZ324" s="21">
        <v>30.242799999999999</v>
      </c>
      <c r="BA324" s="21">
        <v>-1.32721E-2</v>
      </c>
      <c r="BB324" s="21">
        <v>314</v>
      </c>
      <c r="BC324" s="21">
        <v>1.4801</v>
      </c>
      <c r="BD324">
        <f t="shared" si="58"/>
        <v>16.385308641975307</v>
      </c>
      <c r="BE324">
        <f t="shared" si="59"/>
        <v>24.269427601234568</v>
      </c>
    </row>
    <row r="325" spans="6:57" x14ac:dyDescent="0.25">
      <c r="F325" s="9"/>
      <c r="G325" s="21">
        <v>0.183868</v>
      </c>
      <c r="H325" s="21">
        <v>6.0456399999999997</v>
      </c>
      <c r="I325" s="21">
        <v>-1.48865E-2</v>
      </c>
      <c r="J325" s="21">
        <v>315</v>
      </c>
      <c r="K325" s="21">
        <v>0.18335000000000001</v>
      </c>
      <c r="L325">
        <f t="shared" si="48"/>
        <v>18.378395061728394</v>
      </c>
      <c r="M325">
        <f t="shared" si="49"/>
        <v>3.3791987432098765</v>
      </c>
      <c r="N325" s="9"/>
      <c r="O325" s="21">
        <v>1.48621</v>
      </c>
      <c r="P325" s="21">
        <v>9.8044100000000007</v>
      </c>
      <c r="Q325" s="21">
        <v>-1.3336199999999999E-2</v>
      </c>
      <c r="R325" s="21">
        <v>315</v>
      </c>
      <c r="S325" s="21">
        <v>1.48529</v>
      </c>
      <c r="T325">
        <f t="shared" si="50"/>
        <v>16.464444444444442</v>
      </c>
      <c r="U325">
        <f t="shared" si="51"/>
        <v>24.469621977777777</v>
      </c>
      <c r="X325" s="9"/>
      <c r="Y325" s="21">
        <v>0.183868</v>
      </c>
      <c r="Z325" s="21">
        <v>17.241900000000001</v>
      </c>
      <c r="AA325" s="21">
        <v>-1.46851E-2</v>
      </c>
      <c r="AB325" s="21">
        <v>315</v>
      </c>
      <c r="AC325" s="21">
        <v>0.18331900000000001</v>
      </c>
      <c r="AD325">
        <f t="shared" si="52"/>
        <v>18.12975308641975</v>
      </c>
      <c r="AE325">
        <f t="shared" si="53"/>
        <v>3.3334814404938267</v>
      </c>
      <c r="AF325" s="9"/>
      <c r="AG325" s="21">
        <v>1.48621</v>
      </c>
      <c r="AH325" s="21">
        <v>21.000699999999998</v>
      </c>
      <c r="AI325" s="21">
        <v>-1.3174399999999999E-2</v>
      </c>
      <c r="AJ325" s="21">
        <v>315</v>
      </c>
      <c r="AK325" s="21">
        <v>1.4856</v>
      </c>
      <c r="AL325">
        <f t="shared" si="54"/>
        <v>16.264691358024692</v>
      </c>
      <c r="AM325">
        <f t="shared" si="55"/>
        <v>24.172746943209876</v>
      </c>
      <c r="AP325" s="9"/>
      <c r="AQ325" s="21">
        <v>0.183868</v>
      </c>
      <c r="AR325" s="21">
        <v>26.4941</v>
      </c>
      <c r="AS325" s="21">
        <v>-1.46851E-2</v>
      </c>
      <c r="AT325" s="21">
        <v>315</v>
      </c>
      <c r="AU325" s="21">
        <v>0.18341099999999999</v>
      </c>
      <c r="AV325">
        <f t="shared" si="56"/>
        <v>18.12975308641975</v>
      </c>
      <c r="AW325">
        <f t="shared" si="57"/>
        <v>3.3334814404938267</v>
      </c>
      <c r="AX325" s="9"/>
      <c r="AY325" s="21">
        <v>1.48621</v>
      </c>
      <c r="AZ325" s="21">
        <v>30.2529</v>
      </c>
      <c r="BA325" s="21">
        <v>-1.32385E-2</v>
      </c>
      <c r="BB325" s="21">
        <v>315</v>
      </c>
      <c r="BC325" s="21">
        <v>1.4856</v>
      </c>
      <c r="BD325">
        <f t="shared" si="58"/>
        <v>16.343827160493824</v>
      </c>
      <c r="BE325">
        <f t="shared" si="59"/>
        <v>24.290359364197528</v>
      </c>
    </row>
    <row r="326" spans="6:57" x14ac:dyDescent="0.25">
      <c r="F326" s="9"/>
      <c r="G326" s="21">
        <v>0.17883299999999999</v>
      </c>
      <c r="H326" s="21">
        <v>6.05572</v>
      </c>
      <c r="I326" s="21">
        <v>-1.48895E-2</v>
      </c>
      <c r="J326" s="21">
        <v>316</v>
      </c>
      <c r="K326" s="21">
        <v>0.178284</v>
      </c>
      <c r="L326">
        <f t="shared" si="48"/>
        <v>18.382098765432101</v>
      </c>
      <c r="M326">
        <f t="shared" si="49"/>
        <v>3.2873258685185189</v>
      </c>
      <c r="N326" s="9"/>
      <c r="O326" s="21">
        <v>1.4912399999999999</v>
      </c>
      <c r="P326" s="21">
        <v>9.8144799999999996</v>
      </c>
      <c r="Q326" s="21">
        <v>-1.3290400000000001E-2</v>
      </c>
      <c r="R326" s="21">
        <v>316</v>
      </c>
      <c r="S326" s="21">
        <v>1.49017</v>
      </c>
      <c r="T326">
        <f t="shared" si="50"/>
        <v>16.407901234567902</v>
      </c>
      <c r="U326">
        <f t="shared" si="51"/>
        <v>24.468118637037037</v>
      </c>
      <c r="X326" s="9"/>
      <c r="Y326" s="21">
        <v>0.17883299999999999</v>
      </c>
      <c r="Z326" s="21">
        <v>17.251999999999999</v>
      </c>
      <c r="AA326" s="21">
        <v>-1.4682000000000001E-2</v>
      </c>
      <c r="AB326" s="21">
        <v>316</v>
      </c>
      <c r="AC326" s="21">
        <v>0.178314</v>
      </c>
      <c r="AD326">
        <f t="shared" si="52"/>
        <v>18.125925925925923</v>
      </c>
      <c r="AE326">
        <f t="shared" si="53"/>
        <v>3.2415137111111103</v>
      </c>
      <c r="AF326" s="9"/>
      <c r="AG326" s="21">
        <v>1.4912399999999999</v>
      </c>
      <c r="AH326" s="21">
        <v>21.0107</v>
      </c>
      <c r="AI326" s="21">
        <v>-1.3119499999999999E-2</v>
      </c>
      <c r="AJ326" s="21">
        <v>316</v>
      </c>
      <c r="AK326" s="21">
        <v>1.49078</v>
      </c>
      <c r="AL326">
        <f t="shared" si="54"/>
        <v>16.19691358024691</v>
      </c>
      <c r="AM326">
        <f t="shared" si="55"/>
        <v>24.153485407407402</v>
      </c>
      <c r="AP326" s="9"/>
      <c r="AQ326" s="21">
        <v>0.17883299999999999</v>
      </c>
      <c r="AR326" s="21">
        <v>26.504200000000001</v>
      </c>
      <c r="AS326" s="21">
        <v>-1.46912E-2</v>
      </c>
      <c r="AT326" s="21">
        <v>316</v>
      </c>
      <c r="AU326" s="21">
        <v>0.178314</v>
      </c>
      <c r="AV326">
        <f t="shared" si="56"/>
        <v>18.137283950617284</v>
      </c>
      <c r="AW326">
        <f t="shared" si="57"/>
        <v>3.2435449007407406</v>
      </c>
      <c r="AX326" s="9"/>
      <c r="AY326" s="21">
        <v>1.4912399999999999</v>
      </c>
      <c r="AZ326" s="21">
        <v>30.263000000000002</v>
      </c>
      <c r="BA326" s="21">
        <v>-1.3195800000000001E-2</v>
      </c>
      <c r="BB326" s="21">
        <v>316</v>
      </c>
      <c r="BC326" s="21">
        <v>1.49048</v>
      </c>
      <c r="BD326">
        <f t="shared" si="58"/>
        <v>16.29111111111111</v>
      </c>
      <c r="BE326">
        <f t="shared" si="59"/>
        <v>24.293956533333329</v>
      </c>
    </row>
    <row r="327" spans="6:57" x14ac:dyDescent="0.25">
      <c r="F327" s="9"/>
      <c r="G327" s="21">
        <v>0.17379800000000001</v>
      </c>
      <c r="H327" s="21">
        <v>6.0657899999999998</v>
      </c>
      <c r="I327" s="21">
        <v>-1.48834E-2</v>
      </c>
      <c r="J327" s="21">
        <v>317</v>
      </c>
      <c r="K327" s="21">
        <v>0.17330899999999999</v>
      </c>
      <c r="L327">
        <f t="shared" si="48"/>
        <v>18.374567901234567</v>
      </c>
      <c r="M327">
        <f t="shared" si="49"/>
        <v>3.1934631520987655</v>
      </c>
      <c r="N327" s="9"/>
      <c r="O327" s="21">
        <v>1.4962800000000001</v>
      </c>
      <c r="P327" s="21">
        <v>9.8245500000000003</v>
      </c>
      <c r="Q327" s="21">
        <v>-1.3241599999999999E-2</v>
      </c>
      <c r="R327" s="21">
        <v>317</v>
      </c>
      <c r="S327" s="21">
        <v>1.4956700000000001</v>
      </c>
      <c r="T327">
        <f t="shared" si="50"/>
        <v>16.347654320987651</v>
      </c>
      <c r="U327">
        <f t="shared" si="51"/>
        <v>24.460668207407405</v>
      </c>
      <c r="X327" s="9"/>
      <c r="Y327" s="21">
        <v>0.17379800000000001</v>
      </c>
      <c r="Z327" s="21">
        <v>17.262</v>
      </c>
      <c r="AA327" s="21">
        <v>-1.4682000000000001E-2</v>
      </c>
      <c r="AB327" s="21">
        <v>317</v>
      </c>
      <c r="AC327" s="21">
        <v>0.17321800000000001</v>
      </c>
      <c r="AD327">
        <f t="shared" si="52"/>
        <v>18.125925925925923</v>
      </c>
      <c r="AE327">
        <f t="shared" si="53"/>
        <v>3.1502496740740735</v>
      </c>
      <c r="AF327" s="9"/>
      <c r="AG327" s="21">
        <v>1.4962800000000001</v>
      </c>
      <c r="AH327" s="21">
        <v>21.020800000000001</v>
      </c>
      <c r="AI327" s="21">
        <v>-1.3058500000000001E-2</v>
      </c>
      <c r="AJ327" s="21">
        <v>317</v>
      </c>
      <c r="AK327" s="21">
        <v>1.49597</v>
      </c>
      <c r="AL327">
        <f t="shared" si="54"/>
        <v>16.121604938271602</v>
      </c>
      <c r="AM327">
        <f t="shared" si="55"/>
        <v>24.122435037037032</v>
      </c>
      <c r="AP327" s="9"/>
      <c r="AQ327" s="21">
        <v>0.17379800000000001</v>
      </c>
      <c r="AR327" s="21">
        <v>26.514299999999999</v>
      </c>
      <c r="AS327" s="21">
        <v>-1.4694199999999999E-2</v>
      </c>
      <c r="AT327" s="21">
        <v>317</v>
      </c>
      <c r="AU327" s="21">
        <v>0.17330899999999999</v>
      </c>
      <c r="AV327">
        <f t="shared" si="56"/>
        <v>18.140987654320988</v>
      </c>
      <c r="AW327">
        <f t="shared" si="57"/>
        <v>3.1528673723456793</v>
      </c>
      <c r="AX327" s="9"/>
      <c r="AY327" s="21">
        <v>1.4962800000000001</v>
      </c>
      <c r="AZ327" s="21">
        <v>30.273</v>
      </c>
      <c r="BA327" s="21">
        <v>-1.31561E-2</v>
      </c>
      <c r="BB327" s="21">
        <v>317</v>
      </c>
      <c r="BC327" s="21">
        <v>1.49597</v>
      </c>
      <c r="BD327">
        <f t="shared" si="58"/>
        <v>16.2420987654321</v>
      </c>
      <c r="BE327">
        <f t="shared" si="59"/>
        <v>24.302727540740744</v>
      </c>
    </row>
    <row r="328" spans="6:57" x14ac:dyDescent="0.25">
      <c r="F328" s="9"/>
      <c r="G328" s="21">
        <v>0.168762</v>
      </c>
      <c r="H328" s="21">
        <v>6.0758599999999996</v>
      </c>
      <c r="I328" s="21">
        <v>-1.48834E-2</v>
      </c>
      <c r="J328" s="21">
        <v>318</v>
      </c>
      <c r="K328" s="21">
        <v>0.168213</v>
      </c>
      <c r="L328">
        <f t="shared" si="48"/>
        <v>18.374567901234567</v>
      </c>
      <c r="M328">
        <f t="shared" si="49"/>
        <v>3.100928828148148</v>
      </c>
      <c r="N328" s="9"/>
      <c r="O328" s="21">
        <v>1.5013099999999999</v>
      </c>
      <c r="P328" s="21">
        <v>9.8346199999999993</v>
      </c>
      <c r="Q328" s="21">
        <v>-1.31989E-2</v>
      </c>
      <c r="R328" s="21">
        <v>318</v>
      </c>
      <c r="S328" s="21">
        <v>1.50085</v>
      </c>
      <c r="T328">
        <f t="shared" si="50"/>
        <v>16.294938271604938</v>
      </c>
      <c r="U328">
        <f t="shared" si="51"/>
        <v>24.463753776543207</v>
      </c>
      <c r="X328" s="9"/>
      <c r="Y328" s="21">
        <v>0.168762</v>
      </c>
      <c r="Z328" s="21">
        <v>17.272099999999998</v>
      </c>
      <c r="AA328" s="21">
        <v>-1.4682000000000001E-2</v>
      </c>
      <c r="AB328" s="21">
        <v>318</v>
      </c>
      <c r="AC328" s="21">
        <v>0.16827400000000001</v>
      </c>
      <c r="AD328">
        <f t="shared" si="52"/>
        <v>18.125925925925923</v>
      </c>
      <c r="AE328">
        <f t="shared" si="53"/>
        <v>3.0589675111111108</v>
      </c>
      <c r="AF328" s="9"/>
      <c r="AG328" s="21">
        <v>1.5013099999999999</v>
      </c>
      <c r="AH328" s="21">
        <v>21.030899999999999</v>
      </c>
      <c r="AI328" s="21">
        <v>-1.30066E-2</v>
      </c>
      <c r="AJ328" s="21">
        <v>318</v>
      </c>
      <c r="AK328" s="21">
        <v>1.5005500000000001</v>
      </c>
      <c r="AL328">
        <f t="shared" si="54"/>
        <v>16.057530864197531</v>
      </c>
      <c r="AM328">
        <f t="shared" si="55"/>
        <v>24.107331661728395</v>
      </c>
      <c r="AP328" s="9"/>
      <c r="AQ328" s="21">
        <v>0.168762</v>
      </c>
      <c r="AR328" s="21">
        <v>26.5243</v>
      </c>
      <c r="AS328" s="21">
        <v>-1.4700299999999999E-2</v>
      </c>
      <c r="AT328" s="21">
        <v>318</v>
      </c>
      <c r="AU328" s="21">
        <v>0.16833500000000001</v>
      </c>
      <c r="AV328">
        <f t="shared" si="56"/>
        <v>18.148518518518514</v>
      </c>
      <c r="AW328">
        <f t="shared" si="57"/>
        <v>3.0627802822222217</v>
      </c>
      <c r="AX328" s="9"/>
      <c r="AY328" s="21">
        <v>1.5013099999999999</v>
      </c>
      <c r="AZ328" s="21">
        <v>30.283100000000001</v>
      </c>
      <c r="BA328" s="21">
        <v>-1.3110399999999999E-2</v>
      </c>
      <c r="BB328" s="21">
        <v>318</v>
      </c>
      <c r="BC328" s="21">
        <v>1.5005500000000001</v>
      </c>
      <c r="BD328">
        <f t="shared" si="58"/>
        <v>16.185679012345677</v>
      </c>
      <c r="BE328">
        <f t="shared" si="59"/>
        <v>24.299721758024688</v>
      </c>
    </row>
    <row r="329" spans="6:57" x14ac:dyDescent="0.25">
      <c r="F329" s="9"/>
      <c r="G329" s="21">
        <v>0.16372700000000001</v>
      </c>
      <c r="H329" s="21">
        <v>6.0859300000000003</v>
      </c>
      <c r="I329" s="21">
        <v>-1.48834E-2</v>
      </c>
      <c r="J329" s="21">
        <v>319</v>
      </c>
      <c r="K329" s="21">
        <v>0.163269</v>
      </c>
      <c r="L329">
        <f t="shared" si="48"/>
        <v>18.374567901234567</v>
      </c>
      <c r="M329">
        <f t="shared" si="49"/>
        <v>3.0084128787654323</v>
      </c>
      <c r="N329" s="9"/>
      <c r="O329" s="21">
        <v>1.5063500000000001</v>
      </c>
      <c r="P329" s="21">
        <v>9.8446899999999999</v>
      </c>
      <c r="Q329" s="21">
        <v>-1.3162200000000001E-2</v>
      </c>
      <c r="R329" s="21">
        <v>319</v>
      </c>
      <c r="S329" s="21">
        <v>1.50604</v>
      </c>
      <c r="T329">
        <f t="shared" si="50"/>
        <v>16.249629629629627</v>
      </c>
      <c r="U329">
        <f t="shared" si="51"/>
        <v>24.477629592592589</v>
      </c>
      <c r="X329" s="9"/>
      <c r="Y329" s="21">
        <v>0.16372700000000001</v>
      </c>
      <c r="Z329" s="21">
        <v>17.2822</v>
      </c>
      <c r="AA329" s="21">
        <v>-1.4672899999999999E-2</v>
      </c>
      <c r="AB329" s="21">
        <v>319</v>
      </c>
      <c r="AC329" s="21">
        <v>0.1633</v>
      </c>
      <c r="AD329">
        <f t="shared" si="52"/>
        <v>18.11469135802469</v>
      </c>
      <c r="AE329">
        <f t="shared" si="53"/>
        <v>2.9658640719753087</v>
      </c>
      <c r="AF329" s="9"/>
      <c r="AG329" s="21">
        <v>1.5063500000000001</v>
      </c>
      <c r="AH329" s="21">
        <v>21.040900000000001</v>
      </c>
      <c r="AI329" s="21">
        <v>-1.29547E-2</v>
      </c>
      <c r="AJ329" s="21">
        <v>319</v>
      </c>
      <c r="AK329" s="21">
        <v>1.5063500000000001</v>
      </c>
      <c r="AL329">
        <f t="shared" si="54"/>
        <v>15.993456790123457</v>
      </c>
      <c r="AM329">
        <f t="shared" si="55"/>
        <v>24.091743635802469</v>
      </c>
      <c r="AP329" s="9"/>
      <c r="AQ329" s="21">
        <v>0.16372700000000001</v>
      </c>
      <c r="AR329" s="21">
        <v>26.534400000000002</v>
      </c>
      <c r="AS329" s="21">
        <v>-1.4700299999999999E-2</v>
      </c>
      <c r="AT329" s="21">
        <v>319</v>
      </c>
      <c r="AU329" s="21">
        <v>0.16320799999999999</v>
      </c>
      <c r="AV329">
        <f t="shared" si="56"/>
        <v>18.148518518518514</v>
      </c>
      <c r="AW329">
        <f t="shared" si="57"/>
        <v>2.9714024914814812</v>
      </c>
      <c r="AX329" s="9"/>
      <c r="AY329" s="21">
        <v>1.5063500000000001</v>
      </c>
      <c r="AZ329" s="21">
        <v>30.293199999999999</v>
      </c>
      <c r="BA329" s="21">
        <v>-1.3064600000000001E-2</v>
      </c>
      <c r="BB329" s="21">
        <v>319</v>
      </c>
      <c r="BC329" s="21">
        <v>1.5057400000000001</v>
      </c>
      <c r="BD329">
        <f t="shared" si="58"/>
        <v>16.129135802469136</v>
      </c>
      <c r="BE329">
        <f t="shared" si="59"/>
        <v>24.296123716049383</v>
      </c>
    </row>
    <row r="330" spans="6:57" x14ac:dyDescent="0.25">
      <c r="F330" s="9"/>
      <c r="G330" s="21">
        <v>0.158691</v>
      </c>
      <c r="H330" s="21">
        <v>6.0960000000000001</v>
      </c>
      <c r="I330" s="21">
        <v>-1.48895E-2</v>
      </c>
      <c r="J330" s="21">
        <v>320</v>
      </c>
      <c r="K330" s="21">
        <v>0.15832499999999999</v>
      </c>
      <c r="L330">
        <f t="shared" si="48"/>
        <v>18.382098765432101</v>
      </c>
      <c r="M330">
        <f t="shared" si="49"/>
        <v>2.9170736351851856</v>
      </c>
      <c r="N330" s="9"/>
      <c r="O330" s="21">
        <v>1.5113799999999999</v>
      </c>
      <c r="P330" s="21">
        <v>9.8547700000000003</v>
      </c>
      <c r="Q330" s="21">
        <v>-1.3110399999999999E-2</v>
      </c>
      <c r="R330" s="21">
        <v>320</v>
      </c>
      <c r="S330" s="21">
        <v>1.51031</v>
      </c>
      <c r="T330">
        <f t="shared" si="50"/>
        <v>16.185679012345677</v>
      </c>
      <c r="U330">
        <f t="shared" si="51"/>
        <v>24.462711545679007</v>
      </c>
      <c r="X330" s="9"/>
      <c r="Y330" s="21">
        <v>0.158691</v>
      </c>
      <c r="Z330" s="21">
        <v>17.292300000000001</v>
      </c>
      <c r="AA330" s="21">
        <v>-1.46667E-2</v>
      </c>
      <c r="AB330" s="21">
        <v>320</v>
      </c>
      <c r="AC330" s="21">
        <v>0.15826399999999999</v>
      </c>
      <c r="AD330">
        <f t="shared" si="52"/>
        <v>18.107037037037035</v>
      </c>
      <c r="AE330">
        <f t="shared" si="53"/>
        <v>2.8734238144444442</v>
      </c>
      <c r="AF330" s="9"/>
      <c r="AG330" s="21">
        <v>1.5113799999999999</v>
      </c>
      <c r="AH330" s="21">
        <v>21.050999999999998</v>
      </c>
      <c r="AI330" s="21">
        <v>-1.2896700000000001E-2</v>
      </c>
      <c r="AJ330" s="21">
        <v>320</v>
      </c>
      <c r="AK330" s="21">
        <v>1.5109300000000001</v>
      </c>
      <c r="AL330">
        <f t="shared" si="54"/>
        <v>15.92185185185185</v>
      </c>
      <c r="AM330">
        <f t="shared" si="55"/>
        <v>24.063968451851849</v>
      </c>
      <c r="AP330" s="9"/>
      <c r="AQ330" s="21">
        <v>0.158691</v>
      </c>
      <c r="AR330" s="21">
        <v>26.544499999999999</v>
      </c>
      <c r="AS330" s="21">
        <v>-1.47064E-2</v>
      </c>
      <c r="AT330" s="21">
        <v>320</v>
      </c>
      <c r="AU330" s="21">
        <v>0.15826399999999999</v>
      </c>
      <c r="AV330">
        <f t="shared" si="56"/>
        <v>18.156049382716049</v>
      </c>
      <c r="AW330">
        <f t="shared" si="57"/>
        <v>2.8812016325925924</v>
      </c>
      <c r="AX330" s="9"/>
      <c r="AY330" s="21">
        <v>1.5113799999999999</v>
      </c>
      <c r="AZ330" s="21">
        <v>30.3032</v>
      </c>
      <c r="BA330" s="21">
        <v>-1.3018800000000001E-2</v>
      </c>
      <c r="BB330" s="21">
        <v>320</v>
      </c>
      <c r="BC330" s="21">
        <v>1.5106200000000001</v>
      </c>
      <c r="BD330">
        <f t="shared" si="58"/>
        <v>16.072592592592592</v>
      </c>
      <c r="BE330">
        <f t="shared" si="59"/>
        <v>24.291794992592592</v>
      </c>
    </row>
    <row r="331" spans="6:57" x14ac:dyDescent="0.25">
      <c r="F331" s="9"/>
      <c r="G331" s="21">
        <v>0.15365599999999999</v>
      </c>
      <c r="H331" s="21">
        <v>6.1060699999999999</v>
      </c>
      <c r="I331" s="21">
        <v>-1.4892600000000001E-2</v>
      </c>
      <c r="J331" s="21">
        <v>321</v>
      </c>
      <c r="K331" s="21">
        <v>0.153198</v>
      </c>
      <c r="L331">
        <f t="shared" si="48"/>
        <v>18.385925925925928</v>
      </c>
      <c r="M331">
        <f t="shared" si="49"/>
        <v>2.8251078340740743</v>
      </c>
      <c r="N331" s="9"/>
      <c r="O331" s="21">
        <v>1.5164200000000001</v>
      </c>
      <c r="P331" s="21">
        <v>9.8648399999999992</v>
      </c>
      <c r="Q331" s="21">
        <v>-1.30615E-2</v>
      </c>
      <c r="R331" s="21">
        <v>321</v>
      </c>
      <c r="S331" s="21">
        <v>1.5158100000000001</v>
      </c>
      <c r="T331">
        <f t="shared" si="50"/>
        <v>16.125308641975309</v>
      </c>
      <c r="U331">
        <f t="shared" si="51"/>
        <v>24.452740530864201</v>
      </c>
      <c r="X331" s="9"/>
      <c r="Y331" s="21">
        <v>0.15365599999999999</v>
      </c>
      <c r="Z331" s="21">
        <v>17.302299999999999</v>
      </c>
      <c r="AA331" s="21">
        <v>-1.46667E-2</v>
      </c>
      <c r="AB331" s="21">
        <v>321</v>
      </c>
      <c r="AC331" s="21">
        <v>0.15329000000000001</v>
      </c>
      <c r="AD331">
        <f t="shared" si="52"/>
        <v>18.107037037037035</v>
      </c>
      <c r="AE331">
        <f t="shared" si="53"/>
        <v>2.7822548829629623</v>
      </c>
      <c r="AF331" s="9"/>
      <c r="AG331" s="21">
        <v>1.5164200000000001</v>
      </c>
      <c r="AH331" s="21">
        <v>21.0611</v>
      </c>
      <c r="AI331" s="21">
        <v>-1.2854000000000001E-2</v>
      </c>
      <c r="AJ331" s="21">
        <v>321</v>
      </c>
      <c r="AK331" s="21">
        <v>1.5155000000000001</v>
      </c>
      <c r="AL331">
        <f t="shared" si="54"/>
        <v>15.869135802469136</v>
      </c>
      <c r="AM331">
        <f t="shared" si="55"/>
        <v>24.064274913580249</v>
      </c>
      <c r="AP331" s="9"/>
      <c r="AQ331" s="21">
        <v>0.15365599999999999</v>
      </c>
      <c r="AR331" s="21">
        <v>26.554600000000001</v>
      </c>
      <c r="AS331" s="21">
        <v>-1.47095E-2</v>
      </c>
      <c r="AT331" s="21">
        <v>321</v>
      </c>
      <c r="AU331" s="21">
        <v>0.153198</v>
      </c>
      <c r="AV331">
        <f t="shared" si="56"/>
        <v>18.159876543209876</v>
      </c>
      <c r="AW331">
        <f t="shared" si="57"/>
        <v>2.7903739901234563</v>
      </c>
      <c r="AX331" s="9"/>
      <c r="AY331" s="21">
        <v>1.5164200000000001</v>
      </c>
      <c r="AZ331" s="21">
        <v>30.313300000000002</v>
      </c>
      <c r="BA331" s="21">
        <v>-1.29639E-2</v>
      </c>
      <c r="BB331" s="21">
        <v>321</v>
      </c>
      <c r="BC331" s="21">
        <v>1.5158100000000001</v>
      </c>
      <c r="BD331">
        <f t="shared" si="58"/>
        <v>16.004814814814814</v>
      </c>
      <c r="BE331">
        <f t="shared" si="59"/>
        <v>24.270021281481483</v>
      </c>
    </row>
    <row r="332" spans="6:57" x14ac:dyDescent="0.25">
      <c r="F332" s="9"/>
      <c r="G332" s="21">
        <v>0.148621</v>
      </c>
      <c r="H332" s="21">
        <v>6.1161399999999997</v>
      </c>
      <c r="I332" s="21">
        <v>-1.48956E-2</v>
      </c>
      <c r="J332" s="21">
        <v>322</v>
      </c>
      <c r="K332" s="21">
        <v>0.14810200000000001</v>
      </c>
      <c r="L332">
        <f t="shared" ref="L332:L382" si="60">-I332/$F$2*1000</f>
        <v>18.389629629629628</v>
      </c>
      <c r="M332">
        <f t="shared" ref="M332:M382" si="61">L332*G332</f>
        <v>2.7330851451851848</v>
      </c>
      <c r="N332" s="9"/>
      <c r="O332" s="21">
        <v>1.52145</v>
      </c>
      <c r="P332" s="21">
        <v>9.8749099999999999</v>
      </c>
      <c r="Q332" s="21">
        <v>-1.30127E-2</v>
      </c>
      <c r="R332" s="21">
        <v>322</v>
      </c>
      <c r="S332" s="21">
        <v>1.5206900000000001</v>
      </c>
      <c r="T332">
        <f t="shared" ref="T332:T382" si="62">-Q332/$F$2*1000</f>
        <v>16.065061728395062</v>
      </c>
      <c r="U332">
        <f t="shared" ref="U332:U382" si="63">T332*O332</f>
        <v>24.442188166666664</v>
      </c>
      <c r="X332" s="9"/>
      <c r="Y332" s="21">
        <v>0.148621</v>
      </c>
      <c r="Z332" s="21">
        <v>17.3124</v>
      </c>
      <c r="AA332" s="21">
        <v>-1.4672899999999999E-2</v>
      </c>
      <c r="AB332" s="21">
        <v>322</v>
      </c>
      <c r="AC332" s="21">
        <v>0.14813200000000001</v>
      </c>
      <c r="AD332">
        <f t="shared" ref="AD332:AD382" si="64">-AA332/$F$2*1000</f>
        <v>18.11469135802469</v>
      </c>
      <c r="AE332">
        <f t="shared" ref="AE332:AE382" si="65">AD332*Y332</f>
        <v>2.6922235443209876</v>
      </c>
      <c r="AF332" s="9"/>
      <c r="AG332" s="21">
        <v>1.52145</v>
      </c>
      <c r="AH332" s="21">
        <v>21.071200000000001</v>
      </c>
      <c r="AI332" s="21">
        <v>-1.2805199999999999E-2</v>
      </c>
      <c r="AJ332" s="21">
        <v>322</v>
      </c>
      <c r="AK332" s="21">
        <v>1.5206900000000001</v>
      </c>
      <c r="AL332">
        <f t="shared" ref="AL332:AL382" si="66">-AI332/$F$2*1000</f>
        <v>15.808888888888886</v>
      </c>
      <c r="AM332">
        <f t="shared" ref="AM332:AM382" si="67">AL332*AG332</f>
        <v>24.052433999999995</v>
      </c>
      <c r="AP332" s="9"/>
      <c r="AQ332" s="21">
        <v>0.148621</v>
      </c>
      <c r="AR332" s="21">
        <v>26.564599999999999</v>
      </c>
      <c r="AS332" s="21">
        <v>-1.47095E-2</v>
      </c>
      <c r="AT332" s="21">
        <v>322</v>
      </c>
      <c r="AU332" s="21">
        <v>0.14810200000000001</v>
      </c>
      <c r="AV332">
        <f t="shared" ref="AV332:AV382" si="68">-AS332/$F$2*1000</f>
        <v>18.159876543209876</v>
      </c>
      <c r="AW332">
        <f t="shared" ref="AW332:AW382" si="69">AV332*AQ332</f>
        <v>2.6989390117283949</v>
      </c>
      <c r="AX332" s="9"/>
      <c r="AY332" s="21">
        <v>1.52145</v>
      </c>
      <c r="AZ332" s="21">
        <v>30.323399999999999</v>
      </c>
      <c r="BA332" s="21">
        <v>-1.2902800000000001E-2</v>
      </c>
      <c r="BB332" s="21">
        <v>322</v>
      </c>
      <c r="BC332" s="21">
        <v>1.5213000000000001</v>
      </c>
      <c r="BD332">
        <f t="shared" ref="BD332:BD382" si="70">-BA332/$F$2*1000</f>
        <v>15.929382716049382</v>
      </c>
      <c r="BE332">
        <f t="shared" ref="BE332:BE382" si="71">BD332*AY332</f>
        <v>24.235759333333331</v>
      </c>
    </row>
    <row r="333" spans="6:57" x14ac:dyDescent="0.25">
      <c r="F333" s="9"/>
      <c r="G333" s="21">
        <v>0.14358499999999999</v>
      </c>
      <c r="H333" s="21">
        <v>6.1262100000000004</v>
      </c>
      <c r="I333" s="21">
        <v>-1.4898700000000001E-2</v>
      </c>
      <c r="J333" s="21">
        <v>323</v>
      </c>
      <c r="K333" s="21">
        <v>0.143036</v>
      </c>
      <c r="L333">
        <f t="shared" si="60"/>
        <v>18.393456790123455</v>
      </c>
      <c r="M333">
        <f t="shared" si="61"/>
        <v>2.6410244932098763</v>
      </c>
      <c r="N333" s="9"/>
      <c r="O333" s="21">
        <v>1.5264899999999999</v>
      </c>
      <c r="P333" s="21">
        <v>9.8849800000000005</v>
      </c>
      <c r="Q333" s="21">
        <v>-1.29639E-2</v>
      </c>
      <c r="R333" s="21">
        <v>323</v>
      </c>
      <c r="S333" s="21">
        <v>1.5258799999999999</v>
      </c>
      <c r="T333">
        <f t="shared" si="62"/>
        <v>16.004814814814814</v>
      </c>
      <c r="U333">
        <f t="shared" si="63"/>
        <v>24.431189766666666</v>
      </c>
      <c r="X333" s="9"/>
      <c r="Y333" s="21">
        <v>0.14358499999999999</v>
      </c>
      <c r="Z333" s="21">
        <v>17.322500000000002</v>
      </c>
      <c r="AA333" s="21">
        <v>-1.46759E-2</v>
      </c>
      <c r="AB333" s="21">
        <v>323</v>
      </c>
      <c r="AC333" s="21">
        <v>0.143097</v>
      </c>
      <c r="AD333">
        <f t="shared" si="64"/>
        <v>18.118395061728396</v>
      </c>
      <c r="AE333">
        <f t="shared" si="65"/>
        <v>2.6015297549382717</v>
      </c>
      <c r="AF333" s="9"/>
      <c r="AG333" s="21">
        <v>1.5264899999999999</v>
      </c>
      <c r="AH333" s="21">
        <v>21.081199999999999</v>
      </c>
      <c r="AI333" s="21">
        <v>-1.27502E-2</v>
      </c>
      <c r="AJ333" s="21">
        <v>323</v>
      </c>
      <c r="AK333" s="21">
        <v>1.5255700000000001</v>
      </c>
      <c r="AL333">
        <f t="shared" si="66"/>
        <v>15.740987654320987</v>
      </c>
      <c r="AM333">
        <f t="shared" si="67"/>
        <v>24.028460244444442</v>
      </c>
      <c r="AP333" s="9"/>
      <c r="AQ333" s="21">
        <v>0.14358499999999999</v>
      </c>
      <c r="AR333" s="21">
        <v>26.5747</v>
      </c>
      <c r="AS333" s="21">
        <v>-1.47125E-2</v>
      </c>
      <c r="AT333" s="21">
        <v>323</v>
      </c>
      <c r="AU333" s="21">
        <v>0.143066</v>
      </c>
      <c r="AV333">
        <f t="shared" si="68"/>
        <v>18.163580246913579</v>
      </c>
      <c r="AW333">
        <f t="shared" si="69"/>
        <v>2.6080176697530861</v>
      </c>
      <c r="AX333" s="9"/>
      <c r="AY333" s="21">
        <v>1.5264899999999999</v>
      </c>
      <c r="AZ333" s="21">
        <v>30.333500000000001</v>
      </c>
      <c r="BA333" s="21">
        <v>-1.28387E-2</v>
      </c>
      <c r="BB333" s="21">
        <v>323</v>
      </c>
      <c r="BC333" s="21">
        <v>1.5255700000000001</v>
      </c>
      <c r="BD333">
        <f t="shared" si="70"/>
        <v>15.850246913580245</v>
      </c>
      <c r="BE333">
        <f t="shared" si="71"/>
        <v>24.195243411111107</v>
      </c>
    </row>
    <row r="334" spans="6:57" x14ac:dyDescent="0.25">
      <c r="F334" s="9"/>
      <c r="G334" s="21">
        <v>0.13855000000000001</v>
      </c>
      <c r="H334" s="21">
        <v>6.1362800000000002</v>
      </c>
      <c r="I334" s="21">
        <v>-1.4898700000000001E-2</v>
      </c>
      <c r="J334" s="21">
        <v>324</v>
      </c>
      <c r="K334" s="21">
        <v>0.13800000000000001</v>
      </c>
      <c r="L334">
        <f t="shared" si="60"/>
        <v>18.393456790123455</v>
      </c>
      <c r="M334">
        <f t="shared" si="61"/>
        <v>2.5484134382716048</v>
      </c>
      <c r="N334" s="9"/>
      <c r="O334" s="21">
        <v>1.53152</v>
      </c>
      <c r="P334" s="21">
        <v>9.8950499999999995</v>
      </c>
      <c r="Q334" s="21">
        <v>-1.2912E-2</v>
      </c>
      <c r="R334" s="21">
        <v>324</v>
      </c>
      <c r="S334" s="21">
        <v>1.5313699999999999</v>
      </c>
      <c r="T334">
        <f t="shared" si="62"/>
        <v>15.940740740740738</v>
      </c>
      <c r="U334">
        <f t="shared" si="63"/>
        <v>24.413563259259256</v>
      </c>
      <c r="X334" s="9"/>
      <c r="Y334" s="21">
        <v>0.13855000000000001</v>
      </c>
      <c r="Z334" s="21">
        <v>17.3325</v>
      </c>
      <c r="AA334" s="21">
        <v>-1.4688100000000001E-2</v>
      </c>
      <c r="AB334" s="21">
        <v>324</v>
      </c>
      <c r="AC334" s="21">
        <v>0.13809199999999999</v>
      </c>
      <c r="AD334">
        <f t="shared" si="64"/>
        <v>18.133456790123457</v>
      </c>
      <c r="AE334">
        <f t="shared" si="65"/>
        <v>2.5123904382716051</v>
      </c>
      <c r="AF334" s="9"/>
      <c r="AG334" s="21">
        <v>1.53152</v>
      </c>
      <c r="AH334" s="21">
        <v>21.0913</v>
      </c>
      <c r="AI334" s="21">
        <v>-1.2689199999999999E-2</v>
      </c>
      <c r="AJ334" s="21">
        <v>324</v>
      </c>
      <c r="AK334" s="21">
        <v>1.5307599999999999</v>
      </c>
      <c r="AL334">
        <f t="shared" si="66"/>
        <v>15.665679012345679</v>
      </c>
      <c r="AM334">
        <f t="shared" si="67"/>
        <v>23.992300720987654</v>
      </c>
      <c r="AP334" s="9"/>
      <c r="AQ334" s="21">
        <v>0.13855000000000001</v>
      </c>
      <c r="AR334" s="21">
        <v>26.584800000000001</v>
      </c>
      <c r="AS334" s="21">
        <v>-1.47064E-2</v>
      </c>
      <c r="AT334" s="21">
        <v>324</v>
      </c>
      <c r="AU334" s="21">
        <v>0.13809199999999999</v>
      </c>
      <c r="AV334">
        <f t="shared" si="68"/>
        <v>18.156049382716049</v>
      </c>
      <c r="AW334">
        <f t="shared" si="69"/>
        <v>2.5155206419753084</v>
      </c>
      <c r="AX334" s="9"/>
      <c r="AY334" s="21">
        <v>1.53152</v>
      </c>
      <c r="AZ334" s="21">
        <v>30.343499999999999</v>
      </c>
      <c r="BA334" s="21">
        <v>-1.27838E-2</v>
      </c>
      <c r="BB334" s="21">
        <v>324</v>
      </c>
      <c r="BC334" s="21">
        <v>1.5307599999999999</v>
      </c>
      <c r="BD334">
        <f t="shared" si="70"/>
        <v>15.782469135802467</v>
      </c>
      <c r="BE334">
        <f t="shared" si="71"/>
        <v>24.171167130864195</v>
      </c>
    </row>
    <row r="335" spans="6:57" x14ac:dyDescent="0.25">
      <c r="F335" s="9"/>
      <c r="G335" s="21">
        <v>0.13351399999999999</v>
      </c>
      <c r="H335" s="21">
        <v>6.14635</v>
      </c>
      <c r="I335" s="21">
        <v>-1.4898700000000001E-2</v>
      </c>
      <c r="J335" s="21">
        <v>325</v>
      </c>
      <c r="K335" s="21">
        <v>0.13305700000000001</v>
      </c>
      <c r="L335">
        <f t="shared" si="60"/>
        <v>18.393456790123455</v>
      </c>
      <c r="M335">
        <f t="shared" si="61"/>
        <v>2.4557839898765428</v>
      </c>
      <c r="N335" s="9"/>
      <c r="O335" s="21">
        <v>1.5365599999999999</v>
      </c>
      <c r="P335" s="21">
        <v>9.9051200000000001</v>
      </c>
      <c r="Q335" s="21">
        <v>-1.28448E-2</v>
      </c>
      <c r="R335" s="21">
        <v>325</v>
      </c>
      <c r="S335" s="21">
        <v>1.5359499999999999</v>
      </c>
      <c r="T335">
        <f t="shared" si="62"/>
        <v>15.857777777777777</v>
      </c>
      <c r="U335">
        <f t="shared" si="63"/>
        <v>24.366427022222219</v>
      </c>
      <c r="X335" s="9"/>
      <c r="Y335" s="21">
        <v>0.13351399999999999</v>
      </c>
      <c r="Z335" s="21">
        <v>17.342600000000001</v>
      </c>
      <c r="AA335" s="21">
        <v>-1.46912E-2</v>
      </c>
      <c r="AB335" s="21">
        <v>325</v>
      </c>
      <c r="AC335" s="21">
        <v>0.13302600000000001</v>
      </c>
      <c r="AD335">
        <f t="shared" si="64"/>
        <v>18.137283950617284</v>
      </c>
      <c r="AE335">
        <f t="shared" si="65"/>
        <v>2.421581329382716</v>
      </c>
      <c r="AF335" s="9"/>
      <c r="AG335" s="21">
        <v>1.5365599999999999</v>
      </c>
      <c r="AH335" s="21">
        <v>21.101400000000002</v>
      </c>
      <c r="AI335" s="21">
        <v>-1.26312E-2</v>
      </c>
      <c r="AJ335" s="21">
        <v>325</v>
      </c>
      <c r="AK335" s="21">
        <v>1.5362499999999999</v>
      </c>
      <c r="AL335">
        <f t="shared" si="66"/>
        <v>15.594074074074072</v>
      </c>
      <c r="AM335">
        <f t="shared" si="67"/>
        <v>23.961230459259255</v>
      </c>
      <c r="AP335" s="9"/>
      <c r="AQ335" s="21">
        <v>0.13351399999999999</v>
      </c>
      <c r="AR335" s="21">
        <v>26.594799999999999</v>
      </c>
      <c r="AS335" s="21">
        <v>-1.47034E-2</v>
      </c>
      <c r="AT335" s="21">
        <v>325</v>
      </c>
      <c r="AU335" s="21">
        <v>0.13287399999999999</v>
      </c>
      <c r="AV335">
        <f t="shared" si="68"/>
        <v>18.152345679012342</v>
      </c>
      <c r="AW335">
        <f t="shared" si="69"/>
        <v>2.4235922809876538</v>
      </c>
      <c r="AX335" s="9"/>
      <c r="AY335" s="21">
        <v>1.5365599999999999</v>
      </c>
      <c r="AZ335" s="21">
        <v>30.3536</v>
      </c>
      <c r="BA335" s="21">
        <v>-1.2716699999999999E-2</v>
      </c>
      <c r="BB335" s="21">
        <v>325</v>
      </c>
      <c r="BC335" s="21">
        <v>1.5359499999999999</v>
      </c>
      <c r="BD335">
        <f t="shared" si="70"/>
        <v>15.699629629629626</v>
      </c>
      <c r="BE335">
        <f t="shared" si="71"/>
        <v>24.123422903703698</v>
      </c>
    </row>
    <row r="336" spans="6:57" x14ac:dyDescent="0.25">
      <c r="F336" s="9"/>
      <c r="G336" s="21">
        <v>0.12847900000000001</v>
      </c>
      <c r="H336" s="21">
        <v>6.1564300000000003</v>
      </c>
      <c r="I336" s="21">
        <v>-1.49017E-2</v>
      </c>
      <c r="J336" s="21">
        <v>326</v>
      </c>
      <c r="K336" s="21">
        <v>0.12799099999999999</v>
      </c>
      <c r="L336">
        <f t="shared" si="60"/>
        <v>18.397160493827158</v>
      </c>
      <c r="M336">
        <f t="shared" si="61"/>
        <v>2.3636487830864197</v>
      </c>
      <c r="N336" s="9"/>
      <c r="O336" s="21">
        <v>1.5416000000000001</v>
      </c>
      <c r="P336" s="21">
        <v>9.9151900000000008</v>
      </c>
      <c r="Q336" s="21">
        <v>-1.27838E-2</v>
      </c>
      <c r="R336" s="21">
        <v>326</v>
      </c>
      <c r="S336" s="21">
        <v>1.5414399999999999</v>
      </c>
      <c r="T336">
        <f t="shared" si="62"/>
        <v>15.782469135802467</v>
      </c>
      <c r="U336">
        <f t="shared" si="63"/>
        <v>24.330254419753086</v>
      </c>
      <c r="X336" s="9"/>
      <c r="Y336" s="21">
        <v>0.12847900000000001</v>
      </c>
      <c r="Z336" s="21">
        <v>17.352699999999999</v>
      </c>
      <c r="AA336" s="21">
        <v>-1.46912E-2</v>
      </c>
      <c r="AB336" s="21">
        <v>326</v>
      </c>
      <c r="AC336" s="21">
        <v>0.128082</v>
      </c>
      <c r="AD336">
        <f t="shared" si="64"/>
        <v>18.137283950617284</v>
      </c>
      <c r="AE336">
        <f t="shared" si="65"/>
        <v>2.3302601046913582</v>
      </c>
      <c r="AF336" s="9"/>
      <c r="AG336" s="21">
        <v>1.5416000000000001</v>
      </c>
      <c r="AH336" s="21">
        <v>21.1114</v>
      </c>
      <c r="AI336" s="21">
        <v>-1.25763E-2</v>
      </c>
      <c r="AJ336" s="21">
        <v>326</v>
      </c>
      <c r="AK336" s="21">
        <v>1.5408299999999999</v>
      </c>
      <c r="AL336">
        <f t="shared" si="66"/>
        <v>15.526296296296294</v>
      </c>
      <c r="AM336">
        <f t="shared" si="67"/>
        <v>23.935338370370371</v>
      </c>
      <c r="AP336" s="9"/>
      <c r="AQ336" s="21">
        <v>0.12847900000000001</v>
      </c>
      <c r="AR336" s="21">
        <v>26.604900000000001</v>
      </c>
      <c r="AS336" s="21">
        <v>-1.47095E-2</v>
      </c>
      <c r="AT336" s="21">
        <v>326</v>
      </c>
      <c r="AU336" s="21">
        <v>0.12799099999999999</v>
      </c>
      <c r="AV336">
        <f t="shared" si="68"/>
        <v>18.159876543209876</v>
      </c>
      <c r="AW336">
        <f t="shared" si="69"/>
        <v>2.3331627783950619</v>
      </c>
      <c r="AX336" s="9"/>
      <c r="AY336" s="21">
        <v>1.5416000000000001</v>
      </c>
      <c r="AZ336" s="21">
        <v>30.363700000000001</v>
      </c>
      <c r="BA336" s="21">
        <v>-1.26465E-2</v>
      </c>
      <c r="BB336" s="21">
        <v>326</v>
      </c>
      <c r="BC336" s="21">
        <v>1.54114</v>
      </c>
      <c r="BD336">
        <f t="shared" si="70"/>
        <v>15.612962962962962</v>
      </c>
      <c r="BE336">
        <f t="shared" si="71"/>
        <v>24.068943703703702</v>
      </c>
    </row>
    <row r="337" spans="6:57" x14ac:dyDescent="0.25">
      <c r="F337" s="9"/>
      <c r="G337" s="21">
        <v>0.123444</v>
      </c>
      <c r="H337" s="21">
        <v>6.1665000000000001</v>
      </c>
      <c r="I337" s="21">
        <v>-1.4907800000000001E-2</v>
      </c>
      <c r="J337" s="21">
        <v>327</v>
      </c>
      <c r="K337" s="21">
        <v>0.12295499999999999</v>
      </c>
      <c r="L337">
        <f t="shared" si="60"/>
        <v>18.404691358024692</v>
      </c>
      <c r="M337">
        <f t="shared" si="61"/>
        <v>2.2719487200000001</v>
      </c>
      <c r="N337" s="9"/>
      <c r="O337" s="21">
        <v>1.5466299999999999</v>
      </c>
      <c r="P337" s="21">
        <v>9.9252599999999997</v>
      </c>
      <c r="Q337" s="21">
        <v>-1.2725800000000001E-2</v>
      </c>
      <c r="R337" s="21">
        <v>327</v>
      </c>
      <c r="S337" s="21">
        <v>1.5466299999999999</v>
      </c>
      <c r="T337">
        <f t="shared" si="62"/>
        <v>15.710864197530865</v>
      </c>
      <c r="U337">
        <f t="shared" si="63"/>
        <v>24.298893893827163</v>
      </c>
      <c r="X337" s="9"/>
      <c r="Y337" s="21">
        <v>0.123444</v>
      </c>
      <c r="Z337" s="21">
        <v>17.3628</v>
      </c>
      <c r="AA337" s="21">
        <v>-1.47064E-2</v>
      </c>
      <c r="AB337" s="21">
        <v>327</v>
      </c>
      <c r="AC337" s="21">
        <v>0.12295499999999999</v>
      </c>
      <c r="AD337">
        <f t="shared" si="64"/>
        <v>18.156049382716049</v>
      </c>
      <c r="AE337">
        <f t="shared" si="65"/>
        <v>2.2412553599999998</v>
      </c>
      <c r="AF337" s="9"/>
      <c r="AG337" s="21">
        <v>1.5466299999999999</v>
      </c>
      <c r="AH337" s="21">
        <v>21.121500000000001</v>
      </c>
      <c r="AI337" s="21">
        <v>-1.25183E-2</v>
      </c>
      <c r="AJ337" s="21">
        <v>327</v>
      </c>
      <c r="AK337" s="21">
        <v>1.5460199999999999</v>
      </c>
      <c r="AL337">
        <f t="shared" si="66"/>
        <v>15.454691358024689</v>
      </c>
      <c r="AM337">
        <f t="shared" si="67"/>
        <v>23.902689295061723</v>
      </c>
      <c r="AP337" s="9"/>
      <c r="AQ337" s="21">
        <v>0.123444</v>
      </c>
      <c r="AR337" s="21">
        <v>26.614999999999998</v>
      </c>
      <c r="AS337" s="21">
        <v>-1.47064E-2</v>
      </c>
      <c r="AT337" s="21">
        <v>327</v>
      </c>
      <c r="AU337" s="21">
        <v>0.122864</v>
      </c>
      <c r="AV337">
        <f t="shared" si="68"/>
        <v>18.156049382716049</v>
      </c>
      <c r="AW337">
        <f t="shared" si="69"/>
        <v>2.2412553599999998</v>
      </c>
      <c r="AX337" s="9"/>
      <c r="AY337" s="21">
        <v>1.5466299999999999</v>
      </c>
      <c r="AZ337" s="21">
        <v>30.373699999999999</v>
      </c>
      <c r="BA337" s="21">
        <v>-1.25854E-2</v>
      </c>
      <c r="BB337" s="21">
        <v>327</v>
      </c>
      <c r="BC337" s="21">
        <v>1.5460199999999999</v>
      </c>
      <c r="BD337">
        <f t="shared" si="70"/>
        <v>15.53753086419753</v>
      </c>
      <c r="BE337">
        <f t="shared" si="71"/>
        <v>24.030811360493825</v>
      </c>
    </row>
    <row r="338" spans="6:57" x14ac:dyDescent="0.25">
      <c r="F338" s="9"/>
      <c r="G338" s="21">
        <v>0.118408</v>
      </c>
      <c r="H338" s="21">
        <v>6.1765699999999999</v>
      </c>
      <c r="I338" s="21">
        <v>-1.4919999999999999E-2</v>
      </c>
      <c r="J338" s="21">
        <v>328</v>
      </c>
      <c r="K338" s="21">
        <v>0.118011</v>
      </c>
      <c r="L338">
        <f t="shared" si="60"/>
        <v>18.41975308641975</v>
      </c>
      <c r="M338">
        <f t="shared" si="61"/>
        <v>2.1810461234567895</v>
      </c>
      <c r="N338" s="9"/>
      <c r="O338" s="21">
        <v>1.5516700000000001</v>
      </c>
      <c r="P338" s="21">
        <v>9.9353300000000004</v>
      </c>
      <c r="Q338" s="21">
        <v>-1.2655599999999999E-2</v>
      </c>
      <c r="R338" s="21">
        <v>328</v>
      </c>
      <c r="S338" s="21">
        <v>1.5508999999999999</v>
      </c>
      <c r="T338">
        <f t="shared" si="62"/>
        <v>15.624197530864196</v>
      </c>
      <c r="U338">
        <f t="shared" si="63"/>
        <v>24.24359858271605</v>
      </c>
      <c r="X338" s="9"/>
      <c r="Y338" s="21">
        <v>0.118408</v>
      </c>
      <c r="Z338" s="21">
        <v>17.372800000000002</v>
      </c>
      <c r="AA338" s="21">
        <v>-1.47247E-2</v>
      </c>
      <c r="AB338" s="21">
        <v>328</v>
      </c>
      <c r="AC338" s="21">
        <v>0.11785900000000001</v>
      </c>
      <c r="AD338">
        <f t="shared" si="64"/>
        <v>18.178641975308643</v>
      </c>
      <c r="AE338">
        <f t="shared" si="65"/>
        <v>2.1524966390123459</v>
      </c>
      <c r="AF338" s="9"/>
      <c r="AG338" s="21">
        <v>1.5516700000000001</v>
      </c>
      <c r="AH338" s="21">
        <v>21.131599999999999</v>
      </c>
      <c r="AI338" s="21">
        <v>-1.2451200000000001E-2</v>
      </c>
      <c r="AJ338" s="21">
        <v>328</v>
      </c>
      <c r="AK338" s="21">
        <v>1.5508999999999999</v>
      </c>
      <c r="AL338">
        <f t="shared" si="66"/>
        <v>15.371851851851853</v>
      </c>
      <c r="AM338">
        <f t="shared" si="67"/>
        <v>23.852041362962964</v>
      </c>
      <c r="AP338" s="9"/>
      <c r="AQ338" s="21">
        <v>0.118408</v>
      </c>
      <c r="AR338" s="21">
        <v>26.6251</v>
      </c>
      <c r="AS338" s="21">
        <v>-1.47064E-2</v>
      </c>
      <c r="AT338" s="21">
        <v>328</v>
      </c>
      <c r="AU338" s="21">
        <v>0.11795</v>
      </c>
      <c r="AV338">
        <f t="shared" si="68"/>
        <v>18.156049382716049</v>
      </c>
      <c r="AW338">
        <f t="shared" si="69"/>
        <v>2.1498214953086419</v>
      </c>
      <c r="AX338" s="9"/>
      <c r="AY338" s="21">
        <v>1.5516700000000001</v>
      </c>
      <c r="AZ338" s="21">
        <v>30.383800000000001</v>
      </c>
      <c r="BA338" s="21">
        <v>-1.25153E-2</v>
      </c>
      <c r="BB338" s="21">
        <v>328</v>
      </c>
      <c r="BC338" s="21">
        <v>1.5508999999999999</v>
      </c>
      <c r="BD338">
        <f t="shared" si="70"/>
        <v>15.450987654320988</v>
      </c>
      <c r="BE338">
        <f t="shared" si="71"/>
        <v>23.974834013580249</v>
      </c>
    </row>
    <row r="339" spans="6:57" x14ac:dyDescent="0.25">
      <c r="F339" s="9"/>
      <c r="G339" s="21">
        <v>0.113373</v>
      </c>
      <c r="H339" s="21">
        <v>6.1866399999999997</v>
      </c>
      <c r="I339" s="21">
        <v>-1.49231E-2</v>
      </c>
      <c r="J339" s="21">
        <v>329</v>
      </c>
      <c r="K339" s="21">
        <v>0.112854</v>
      </c>
      <c r="L339">
        <f t="shared" si="60"/>
        <v>18.423580246913577</v>
      </c>
      <c r="M339">
        <f t="shared" si="61"/>
        <v>2.0887365633333328</v>
      </c>
      <c r="N339" s="9"/>
      <c r="O339" s="21">
        <v>1.5567</v>
      </c>
      <c r="P339" s="21">
        <v>9.9453999999999994</v>
      </c>
      <c r="Q339" s="21">
        <v>-1.2588500000000001E-2</v>
      </c>
      <c r="R339" s="21">
        <v>329</v>
      </c>
      <c r="S339" s="21">
        <v>1.55548</v>
      </c>
      <c r="T339">
        <f t="shared" si="62"/>
        <v>15.541358024691359</v>
      </c>
      <c r="U339">
        <f t="shared" si="63"/>
        <v>24.193232037037038</v>
      </c>
      <c r="X339" s="9"/>
      <c r="Y339" s="21">
        <v>0.113373</v>
      </c>
      <c r="Z339" s="21">
        <v>17.382899999999999</v>
      </c>
      <c r="AA339" s="21">
        <v>-1.4749099999999999E-2</v>
      </c>
      <c r="AB339" s="21">
        <v>329</v>
      </c>
      <c r="AC339" s="21">
        <v>0.11282300000000001</v>
      </c>
      <c r="AD339">
        <f t="shared" si="64"/>
        <v>18.208765432098765</v>
      </c>
      <c r="AE339">
        <f t="shared" si="65"/>
        <v>2.0643823633333334</v>
      </c>
      <c r="AF339" s="9"/>
      <c r="AG339" s="21">
        <v>1.5567</v>
      </c>
      <c r="AH339" s="21">
        <v>21.1417</v>
      </c>
      <c r="AI339" s="21">
        <v>-1.2377900000000001E-2</v>
      </c>
      <c r="AJ339" s="21">
        <v>329</v>
      </c>
      <c r="AK339" s="21">
        <v>1.55609</v>
      </c>
      <c r="AL339">
        <f t="shared" si="66"/>
        <v>15.281358024691359</v>
      </c>
      <c r="AM339">
        <f t="shared" si="67"/>
        <v>23.78849003703704</v>
      </c>
      <c r="AP339" s="9"/>
      <c r="AQ339" s="21">
        <v>0.113373</v>
      </c>
      <c r="AR339" s="21">
        <v>26.635100000000001</v>
      </c>
      <c r="AS339" s="21">
        <v>-1.47125E-2</v>
      </c>
      <c r="AT339" s="21">
        <v>329</v>
      </c>
      <c r="AU339" s="21">
        <v>0.112915</v>
      </c>
      <c r="AV339">
        <f t="shared" si="68"/>
        <v>18.163580246913579</v>
      </c>
      <c r="AW339">
        <f t="shared" si="69"/>
        <v>2.0592595833333331</v>
      </c>
      <c r="AX339" s="9"/>
      <c r="AY339" s="21">
        <v>1.5567</v>
      </c>
      <c r="AZ339" s="21">
        <v>30.393899999999999</v>
      </c>
      <c r="BA339" s="21">
        <v>-1.2451200000000001E-2</v>
      </c>
      <c r="BB339" s="21">
        <v>329</v>
      </c>
      <c r="BC339" s="21">
        <v>1.5564</v>
      </c>
      <c r="BD339">
        <f t="shared" si="70"/>
        <v>15.371851851851853</v>
      </c>
      <c r="BE339">
        <f t="shared" si="71"/>
        <v>23.929361777777778</v>
      </c>
    </row>
    <row r="340" spans="6:57" x14ac:dyDescent="0.25">
      <c r="F340" s="9"/>
      <c r="G340" s="21">
        <v>0.108337</v>
      </c>
      <c r="H340" s="21">
        <v>6.1967100000000004</v>
      </c>
      <c r="I340" s="21">
        <v>-1.4932300000000001E-2</v>
      </c>
      <c r="J340" s="21">
        <v>330</v>
      </c>
      <c r="K340" s="21">
        <v>0.107819</v>
      </c>
      <c r="L340">
        <f t="shared" si="60"/>
        <v>18.434938271604938</v>
      </c>
      <c r="M340">
        <f t="shared" si="61"/>
        <v>1.9971859075308642</v>
      </c>
      <c r="N340" s="9"/>
      <c r="O340" s="21">
        <v>1.5617399999999999</v>
      </c>
      <c r="P340" s="21">
        <v>9.9554799999999997</v>
      </c>
      <c r="Q340" s="21">
        <v>-1.25183E-2</v>
      </c>
      <c r="R340" s="21">
        <v>330</v>
      </c>
      <c r="S340" s="21">
        <v>1.56128</v>
      </c>
      <c r="T340">
        <f t="shared" si="62"/>
        <v>15.454691358024689</v>
      </c>
      <c r="U340">
        <f t="shared" si="63"/>
        <v>24.136209681481478</v>
      </c>
      <c r="X340" s="9"/>
      <c r="Y340" s="21">
        <v>0.108337</v>
      </c>
      <c r="Z340" s="21">
        <v>17.393000000000001</v>
      </c>
      <c r="AA340" s="21">
        <v>-1.47461E-2</v>
      </c>
      <c r="AB340" s="21">
        <v>330</v>
      </c>
      <c r="AC340" s="21">
        <v>0.107849</v>
      </c>
      <c r="AD340">
        <f t="shared" si="64"/>
        <v>18.205061728395062</v>
      </c>
      <c r="AE340">
        <f t="shared" si="65"/>
        <v>1.9722817724691359</v>
      </c>
      <c r="AF340" s="9"/>
      <c r="AG340" s="21">
        <v>1.5617399999999999</v>
      </c>
      <c r="AH340" s="21">
        <v>21.151700000000002</v>
      </c>
      <c r="AI340" s="21">
        <v>-1.23077E-2</v>
      </c>
      <c r="AJ340" s="21">
        <v>330</v>
      </c>
      <c r="AK340" s="21">
        <v>1.56158</v>
      </c>
      <c r="AL340">
        <f t="shared" si="66"/>
        <v>15.19469135802469</v>
      </c>
      <c r="AM340">
        <f t="shared" si="67"/>
        <v>23.730157281481478</v>
      </c>
      <c r="AP340" s="9"/>
      <c r="AQ340" s="21">
        <v>0.108337</v>
      </c>
      <c r="AR340" s="21">
        <v>26.645199999999999</v>
      </c>
      <c r="AS340" s="21">
        <v>-1.47247E-2</v>
      </c>
      <c r="AT340" s="21">
        <v>330</v>
      </c>
      <c r="AU340" s="21">
        <v>0.10778799999999999</v>
      </c>
      <c r="AV340">
        <f t="shared" si="68"/>
        <v>18.178641975308643</v>
      </c>
      <c r="AW340">
        <f t="shared" si="69"/>
        <v>1.9694195356790125</v>
      </c>
      <c r="AX340" s="9"/>
      <c r="AY340" s="21">
        <v>1.5617399999999999</v>
      </c>
      <c r="AZ340" s="21">
        <v>30.404</v>
      </c>
      <c r="BA340" s="21">
        <v>-1.2381E-2</v>
      </c>
      <c r="BB340" s="21">
        <v>330</v>
      </c>
      <c r="BC340" s="21">
        <v>1.56128</v>
      </c>
      <c r="BD340">
        <f t="shared" si="70"/>
        <v>15.285185185185183</v>
      </c>
      <c r="BE340">
        <f t="shared" si="71"/>
        <v>23.871485111111106</v>
      </c>
    </row>
    <row r="341" spans="6:57" x14ac:dyDescent="0.25">
      <c r="F341" s="9"/>
      <c r="G341" s="21">
        <v>0.103302</v>
      </c>
      <c r="H341" s="21">
        <v>6.2067800000000002</v>
      </c>
      <c r="I341" s="21">
        <v>-1.49353E-2</v>
      </c>
      <c r="J341" s="21">
        <v>331</v>
      </c>
      <c r="K341" s="21">
        <v>0.102814</v>
      </c>
      <c r="L341">
        <f t="shared" si="60"/>
        <v>18.438641975308641</v>
      </c>
      <c r="M341">
        <f t="shared" si="61"/>
        <v>1.9047485933333335</v>
      </c>
      <c r="N341" s="9"/>
      <c r="O341" s="21">
        <v>1.56677</v>
      </c>
      <c r="P341" s="21">
        <v>9.9655500000000004</v>
      </c>
      <c r="Q341" s="21">
        <v>-1.2445100000000001E-2</v>
      </c>
      <c r="R341" s="21">
        <v>331</v>
      </c>
      <c r="S341" s="21">
        <v>1.56647</v>
      </c>
      <c r="T341">
        <f t="shared" si="62"/>
        <v>15.36432098765432</v>
      </c>
      <c r="U341">
        <f t="shared" si="63"/>
        <v>24.072357193827159</v>
      </c>
      <c r="X341" s="9"/>
      <c r="Y341" s="21">
        <v>0.103302</v>
      </c>
      <c r="Z341" s="21">
        <v>17.402999999999999</v>
      </c>
      <c r="AA341" s="21">
        <v>-1.4736900000000001E-2</v>
      </c>
      <c r="AB341" s="21">
        <v>331</v>
      </c>
      <c r="AC341" s="21">
        <v>0.102783</v>
      </c>
      <c r="AD341">
        <f t="shared" si="64"/>
        <v>18.193703703703704</v>
      </c>
      <c r="AE341">
        <f t="shared" si="65"/>
        <v>1.8794459800000001</v>
      </c>
      <c r="AF341" s="9"/>
      <c r="AG341" s="21">
        <v>1.56677</v>
      </c>
      <c r="AH341" s="21">
        <v>21.161799999999999</v>
      </c>
      <c r="AI341" s="21">
        <v>-1.22253E-2</v>
      </c>
      <c r="AJ341" s="21">
        <v>331</v>
      </c>
      <c r="AK341" s="21">
        <v>1.56647</v>
      </c>
      <c r="AL341">
        <f t="shared" si="66"/>
        <v>15.092962962962961</v>
      </c>
      <c r="AM341">
        <f t="shared" si="67"/>
        <v>23.647201581481479</v>
      </c>
      <c r="AP341" s="9"/>
      <c r="AQ341" s="21">
        <v>0.103302</v>
      </c>
      <c r="AR341" s="21">
        <v>26.6553</v>
      </c>
      <c r="AS341" s="21">
        <v>-1.47308E-2</v>
      </c>
      <c r="AT341" s="21">
        <v>331</v>
      </c>
      <c r="AU341" s="21">
        <v>0.102936</v>
      </c>
      <c r="AV341">
        <f t="shared" si="68"/>
        <v>18.186172839506174</v>
      </c>
      <c r="AW341">
        <f t="shared" si="69"/>
        <v>1.8786680266666669</v>
      </c>
      <c r="AX341" s="9"/>
      <c r="AY341" s="21">
        <v>1.56677</v>
      </c>
      <c r="AZ341" s="21">
        <v>30.414000000000001</v>
      </c>
      <c r="BA341" s="21">
        <v>-1.23138E-2</v>
      </c>
      <c r="BB341" s="21">
        <v>331</v>
      </c>
      <c r="BC341" s="21">
        <v>1.56586</v>
      </c>
      <c r="BD341">
        <f t="shared" si="70"/>
        <v>15.202222222222222</v>
      </c>
      <c r="BE341">
        <f t="shared" si="71"/>
        <v>23.818385711111109</v>
      </c>
    </row>
    <row r="342" spans="6:57" x14ac:dyDescent="0.25">
      <c r="F342" s="9"/>
      <c r="G342" s="21">
        <v>9.8266599999999996E-2</v>
      </c>
      <c r="H342" s="21">
        <v>6.21685</v>
      </c>
      <c r="I342" s="21">
        <v>-1.49506E-2</v>
      </c>
      <c r="J342" s="21">
        <v>332</v>
      </c>
      <c r="K342" s="21">
        <v>9.7747799999999996E-2</v>
      </c>
      <c r="L342">
        <f t="shared" si="60"/>
        <v>18.45753086419753</v>
      </c>
      <c r="M342">
        <f t="shared" si="61"/>
        <v>1.8137588024197528</v>
      </c>
      <c r="N342" s="9"/>
      <c r="O342" s="21">
        <v>1.5718099999999999</v>
      </c>
      <c r="P342" s="21">
        <v>9.9756199999999993</v>
      </c>
      <c r="Q342" s="21">
        <v>-1.2371800000000001E-2</v>
      </c>
      <c r="R342" s="21">
        <v>332</v>
      </c>
      <c r="S342" s="21">
        <v>1.57135</v>
      </c>
      <c r="T342">
        <f t="shared" si="62"/>
        <v>15.273827160493827</v>
      </c>
      <c r="U342">
        <f t="shared" si="63"/>
        <v>24.007554269135802</v>
      </c>
      <c r="X342" s="9"/>
      <c r="Y342" s="21">
        <v>9.8266599999999996E-2</v>
      </c>
      <c r="Z342" s="21">
        <v>17.4131</v>
      </c>
      <c r="AA342" s="21">
        <v>-1.4742999999999999E-2</v>
      </c>
      <c r="AB342" s="21">
        <v>332</v>
      </c>
      <c r="AC342" s="21">
        <v>9.7808800000000001E-2</v>
      </c>
      <c r="AD342">
        <f t="shared" si="64"/>
        <v>18.201234567901235</v>
      </c>
      <c r="AE342">
        <f t="shared" si="65"/>
        <v>1.7885734367901234</v>
      </c>
      <c r="AF342" s="9"/>
      <c r="AG342" s="21">
        <v>1.5718099999999999</v>
      </c>
      <c r="AH342" s="21">
        <v>21.171900000000001</v>
      </c>
      <c r="AI342" s="21">
        <v>-1.21338E-2</v>
      </c>
      <c r="AJ342" s="21">
        <v>332</v>
      </c>
      <c r="AK342" s="21">
        <v>1.57135</v>
      </c>
      <c r="AL342">
        <f t="shared" si="66"/>
        <v>14.979999999999999</v>
      </c>
      <c r="AM342">
        <f t="shared" si="67"/>
        <v>23.545713799999998</v>
      </c>
      <c r="AP342" s="9"/>
      <c r="AQ342" s="21">
        <v>9.8266599999999996E-2</v>
      </c>
      <c r="AR342" s="21">
        <v>26.665299999999998</v>
      </c>
      <c r="AS342" s="21">
        <v>-1.4733899999999999E-2</v>
      </c>
      <c r="AT342" s="21">
        <v>332</v>
      </c>
      <c r="AU342" s="21">
        <v>9.7747799999999996E-2</v>
      </c>
      <c r="AV342">
        <f t="shared" si="68"/>
        <v>18.189999999999998</v>
      </c>
      <c r="AW342">
        <f t="shared" si="69"/>
        <v>1.7874694539999998</v>
      </c>
      <c r="AX342" s="9"/>
      <c r="AY342" s="21">
        <v>1.5718099999999999</v>
      </c>
      <c r="AZ342" s="21">
        <v>30.424099999999999</v>
      </c>
      <c r="BA342" s="21">
        <v>-1.2240600000000001E-2</v>
      </c>
      <c r="BB342" s="21">
        <v>332</v>
      </c>
      <c r="BC342" s="21">
        <v>1.57104</v>
      </c>
      <c r="BD342">
        <f t="shared" si="70"/>
        <v>15.111851851851853</v>
      </c>
      <c r="BE342">
        <f t="shared" si="71"/>
        <v>23.75295985925926</v>
      </c>
    </row>
    <row r="343" spans="6:57" x14ac:dyDescent="0.25">
      <c r="F343" s="9"/>
      <c r="G343" s="21">
        <v>9.32312E-2</v>
      </c>
      <c r="H343" s="21">
        <v>6.2269199999999998</v>
      </c>
      <c r="I343" s="21">
        <v>-1.4953599999999999E-2</v>
      </c>
      <c r="J343" s="21">
        <v>333</v>
      </c>
      <c r="K343" s="21">
        <v>9.28345E-2</v>
      </c>
      <c r="L343">
        <f t="shared" si="60"/>
        <v>18.461234567901233</v>
      </c>
      <c r="M343">
        <f t="shared" si="61"/>
        <v>1.7211630522469135</v>
      </c>
      <c r="N343" s="9"/>
      <c r="O343" s="21">
        <v>1.57684</v>
      </c>
      <c r="P343" s="21">
        <v>9.98569</v>
      </c>
      <c r="Q343" s="21">
        <v>-1.2295499999999999E-2</v>
      </c>
      <c r="R343" s="21">
        <v>333</v>
      </c>
      <c r="S343" s="21">
        <v>1.57623</v>
      </c>
      <c r="T343">
        <f t="shared" si="62"/>
        <v>15.179629629629629</v>
      </c>
      <c r="U343">
        <f t="shared" si="63"/>
        <v>23.935847185185185</v>
      </c>
      <c r="X343" s="9"/>
      <c r="Y343" s="21">
        <v>9.32312E-2</v>
      </c>
      <c r="Z343" s="21">
        <v>17.423200000000001</v>
      </c>
      <c r="AA343" s="21">
        <v>-1.47461E-2</v>
      </c>
      <c r="AB343" s="21">
        <v>333</v>
      </c>
      <c r="AC343" s="21">
        <v>9.2742900000000003E-2</v>
      </c>
      <c r="AD343">
        <f t="shared" si="64"/>
        <v>18.205061728395062</v>
      </c>
      <c r="AE343">
        <f t="shared" si="65"/>
        <v>1.6972797510123456</v>
      </c>
      <c r="AF343" s="9"/>
      <c r="AG343" s="21">
        <v>1.57684</v>
      </c>
      <c r="AH343" s="21">
        <v>21.181899999999999</v>
      </c>
      <c r="AI343" s="21">
        <v>-1.20392E-2</v>
      </c>
      <c r="AJ343" s="21">
        <v>333</v>
      </c>
      <c r="AK343" s="21">
        <v>1.57623</v>
      </c>
      <c r="AL343">
        <f t="shared" si="66"/>
        <v>14.863209876543209</v>
      </c>
      <c r="AM343">
        <f t="shared" si="67"/>
        <v>23.436903861728393</v>
      </c>
      <c r="AP343" s="9"/>
      <c r="AQ343" s="21">
        <v>9.32312E-2</v>
      </c>
      <c r="AR343" s="21">
        <v>26.6754</v>
      </c>
      <c r="AS343" s="21">
        <v>-1.474E-2</v>
      </c>
      <c r="AT343" s="21">
        <v>333</v>
      </c>
      <c r="AU343" s="21">
        <v>9.27124E-2</v>
      </c>
      <c r="AV343">
        <f t="shared" si="68"/>
        <v>18.197530864197528</v>
      </c>
      <c r="AW343">
        <f t="shared" si="69"/>
        <v>1.6965776395061727</v>
      </c>
      <c r="AX343" s="9"/>
      <c r="AY343" s="21">
        <v>1.57684</v>
      </c>
      <c r="AZ343" s="21">
        <v>30.434200000000001</v>
      </c>
      <c r="BA343" s="21">
        <v>-1.21552E-2</v>
      </c>
      <c r="BB343" s="21">
        <v>333</v>
      </c>
      <c r="BC343" s="21">
        <v>1.57623</v>
      </c>
      <c r="BD343">
        <f t="shared" si="70"/>
        <v>15.006419753086417</v>
      </c>
      <c r="BE343">
        <f t="shared" si="71"/>
        <v>23.662722923456787</v>
      </c>
    </row>
    <row r="344" spans="6:57" x14ac:dyDescent="0.25">
      <c r="F344" s="9"/>
      <c r="G344" s="21">
        <v>8.8195800000000005E-2</v>
      </c>
      <c r="H344" s="21">
        <v>6.2369899999999996</v>
      </c>
      <c r="I344" s="21">
        <v>-1.4953599999999999E-2</v>
      </c>
      <c r="J344" s="21">
        <v>334</v>
      </c>
      <c r="K344" s="21">
        <v>8.7707499999999994E-2</v>
      </c>
      <c r="L344">
        <f t="shared" si="60"/>
        <v>18.461234567901233</v>
      </c>
      <c r="M344">
        <f t="shared" si="61"/>
        <v>1.6282033517037036</v>
      </c>
      <c r="N344" s="9"/>
      <c r="O344" s="21">
        <v>1.58188</v>
      </c>
      <c r="P344" s="21">
        <v>9.9957600000000006</v>
      </c>
      <c r="Q344" s="21">
        <v>-1.2207000000000001E-2</v>
      </c>
      <c r="R344" s="21">
        <v>334</v>
      </c>
      <c r="S344" s="21">
        <v>1.58081</v>
      </c>
      <c r="T344">
        <f t="shared" si="62"/>
        <v>15.070370370370371</v>
      </c>
      <c r="U344">
        <f t="shared" si="63"/>
        <v>23.839517481481483</v>
      </c>
      <c r="X344" s="9"/>
      <c r="Y344" s="21">
        <v>8.8195800000000005E-2</v>
      </c>
      <c r="Z344" s="21">
        <v>17.433199999999999</v>
      </c>
      <c r="AA344" s="21">
        <v>-1.4742999999999999E-2</v>
      </c>
      <c r="AB344" s="21">
        <v>334</v>
      </c>
      <c r="AC344" s="21">
        <v>8.7707499999999994E-2</v>
      </c>
      <c r="AD344">
        <f t="shared" si="64"/>
        <v>18.201234567901235</v>
      </c>
      <c r="AE344">
        <f t="shared" si="65"/>
        <v>1.6052724437037038</v>
      </c>
      <c r="AF344" s="9"/>
      <c r="AG344" s="21">
        <v>1.58188</v>
      </c>
      <c r="AH344" s="21">
        <v>21.192</v>
      </c>
      <c r="AI344" s="21">
        <v>-1.19507E-2</v>
      </c>
      <c r="AJ344" s="21">
        <v>334</v>
      </c>
      <c r="AK344" s="21">
        <v>1.5817300000000001</v>
      </c>
      <c r="AL344">
        <f t="shared" si="66"/>
        <v>14.75395061728395</v>
      </c>
      <c r="AM344">
        <f t="shared" si="67"/>
        <v>23.338979402469135</v>
      </c>
      <c r="AP344" s="9"/>
      <c r="AQ344" s="21">
        <v>8.8195800000000005E-2</v>
      </c>
      <c r="AR344" s="21">
        <v>26.685500000000001</v>
      </c>
      <c r="AS344" s="21">
        <v>-1.474E-2</v>
      </c>
      <c r="AT344" s="21">
        <v>334</v>
      </c>
      <c r="AU344" s="21">
        <v>8.7585399999999994E-2</v>
      </c>
      <c r="AV344">
        <f t="shared" si="68"/>
        <v>18.197530864197528</v>
      </c>
      <c r="AW344">
        <f t="shared" si="69"/>
        <v>1.6049457925925925</v>
      </c>
      <c r="AX344" s="9"/>
      <c r="AY344" s="21">
        <v>1.58188</v>
      </c>
      <c r="AZ344" s="21">
        <v>30.444199999999999</v>
      </c>
      <c r="BA344" s="21">
        <v>-1.20514E-2</v>
      </c>
      <c r="BB344" s="21">
        <v>334</v>
      </c>
      <c r="BC344" s="21">
        <v>1.58142</v>
      </c>
      <c r="BD344">
        <f t="shared" si="70"/>
        <v>14.878271604938272</v>
      </c>
      <c r="BE344">
        <f t="shared" si="71"/>
        <v>23.535640286419753</v>
      </c>
    </row>
    <row r="345" spans="6:57" x14ac:dyDescent="0.25">
      <c r="F345" s="9"/>
      <c r="G345" s="21">
        <v>8.3160399999999995E-2</v>
      </c>
      <c r="H345" s="21">
        <v>6.2470600000000003</v>
      </c>
      <c r="I345" s="21">
        <v>-1.49628E-2</v>
      </c>
      <c r="J345" s="21">
        <v>335</v>
      </c>
      <c r="K345" s="21">
        <v>8.2580600000000004E-2</v>
      </c>
      <c r="L345">
        <f t="shared" si="60"/>
        <v>18.472592592592594</v>
      </c>
      <c r="M345">
        <f t="shared" si="61"/>
        <v>1.536188189037037</v>
      </c>
      <c r="N345" s="9"/>
      <c r="O345" s="21">
        <v>1.58691</v>
      </c>
      <c r="P345" s="21">
        <v>10.005800000000001</v>
      </c>
      <c r="Q345" s="21">
        <v>-1.2112400000000001E-2</v>
      </c>
      <c r="R345" s="21">
        <v>335</v>
      </c>
      <c r="S345" s="21">
        <v>1.5863</v>
      </c>
      <c r="T345">
        <f t="shared" si="62"/>
        <v>14.95358024691358</v>
      </c>
      <c r="U345">
        <f t="shared" si="63"/>
        <v>23.729986029629629</v>
      </c>
      <c r="X345" s="9"/>
      <c r="Y345" s="21">
        <v>8.3160399999999995E-2</v>
      </c>
      <c r="Z345" s="21">
        <v>17.443300000000001</v>
      </c>
      <c r="AA345" s="21">
        <v>-1.474E-2</v>
      </c>
      <c r="AB345" s="21">
        <v>335</v>
      </c>
      <c r="AC345" s="21">
        <v>8.2733200000000007E-2</v>
      </c>
      <c r="AD345">
        <f t="shared" si="64"/>
        <v>18.197530864197528</v>
      </c>
      <c r="AE345">
        <f t="shared" si="65"/>
        <v>1.5133139456790121</v>
      </c>
      <c r="AF345" s="9"/>
      <c r="AG345" s="21">
        <v>1.58691</v>
      </c>
      <c r="AH345" s="21">
        <v>21.202100000000002</v>
      </c>
      <c r="AI345" s="21">
        <v>-1.1849999999999999E-2</v>
      </c>
      <c r="AJ345" s="21">
        <v>335</v>
      </c>
      <c r="AK345" s="21">
        <v>1.5866100000000001</v>
      </c>
      <c r="AL345">
        <f t="shared" si="66"/>
        <v>14.629629629629628</v>
      </c>
      <c r="AM345">
        <f t="shared" si="67"/>
        <v>23.215905555555555</v>
      </c>
      <c r="AP345" s="9"/>
      <c r="AQ345" s="21">
        <v>8.3160399999999995E-2</v>
      </c>
      <c r="AR345" s="21">
        <v>26.695499999999999</v>
      </c>
      <c r="AS345" s="21">
        <v>-1.474E-2</v>
      </c>
      <c r="AT345" s="21">
        <v>335</v>
      </c>
      <c r="AU345" s="21">
        <v>8.2702600000000001E-2</v>
      </c>
      <c r="AV345">
        <f t="shared" si="68"/>
        <v>18.197530864197528</v>
      </c>
      <c r="AW345">
        <f t="shared" si="69"/>
        <v>1.5133139456790121</v>
      </c>
      <c r="AX345" s="9"/>
      <c r="AY345" s="21">
        <v>1.58691</v>
      </c>
      <c r="AZ345" s="21">
        <v>30.4543</v>
      </c>
      <c r="BA345" s="21">
        <v>-1.19446E-2</v>
      </c>
      <c r="BB345" s="21">
        <v>335</v>
      </c>
      <c r="BC345" s="21">
        <v>1.5866100000000001</v>
      </c>
      <c r="BD345">
        <f t="shared" si="70"/>
        <v>14.746419753086418</v>
      </c>
      <c r="BE345">
        <f t="shared" si="71"/>
        <v>23.401240970370367</v>
      </c>
    </row>
    <row r="346" spans="6:57" x14ac:dyDescent="0.25">
      <c r="F346" s="9"/>
      <c r="G346" s="21">
        <v>7.8125E-2</v>
      </c>
      <c r="H346" s="21">
        <v>6.2571399999999997</v>
      </c>
      <c r="I346" s="21">
        <v>-1.49689E-2</v>
      </c>
      <c r="J346" s="21">
        <v>336</v>
      </c>
      <c r="K346" s="21">
        <v>7.7697799999999997E-2</v>
      </c>
      <c r="L346">
        <f t="shared" si="60"/>
        <v>18.480123456790125</v>
      </c>
      <c r="M346">
        <f t="shared" si="61"/>
        <v>1.4437596450617285</v>
      </c>
      <c r="N346" s="9"/>
      <c r="O346" s="21">
        <v>1.59195</v>
      </c>
      <c r="P346" s="21">
        <v>10.0159</v>
      </c>
      <c r="Q346" s="21">
        <v>-1.2008700000000001E-2</v>
      </c>
      <c r="R346" s="21">
        <v>336</v>
      </c>
      <c r="S346" s="21">
        <v>1.5908800000000001</v>
      </c>
      <c r="T346">
        <f t="shared" si="62"/>
        <v>14.825555555555555</v>
      </c>
      <c r="U346">
        <f t="shared" si="63"/>
        <v>23.601543166666666</v>
      </c>
      <c r="X346" s="9"/>
      <c r="Y346" s="21">
        <v>7.8125E-2</v>
      </c>
      <c r="Z346" s="21">
        <v>17.453399999999998</v>
      </c>
      <c r="AA346" s="21">
        <v>-1.47308E-2</v>
      </c>
      <c r="AB346" s="21">
        <v>336</v>
      </c>
      <c r="AC346" s="21">
        <v>7.76062E-2</v>
      </c>
      <c r="AD346">
        <f t="shared" si="64"/>
        <v>18.186172839506174</v>
      </c>
      <c r="AE346">
        <f t="shared" si="65"/>
        <v>1.4207947530864198</v>
      </c>
      <c r="AF346" s="9"/>
      <c r="AG346" s="21">
        <v>1.59195</v>
      </c>
      <c r="AH346" s="21">
        <v>21.212199999999999</v>
      </c>
      <c r="AI346" s="21">
        <v>-1.17462E-2</v>
      </c>
      <c r="AJ346" s="21">
        <v>336</v>
      </c>
      <c r="AK346" s="21">
        <v>1.5908800000000001</v>
      </c>
      <c r="AL346">
        <f t="shared" si="66"/>
        <v>14.501481481481481</v>
      </c>
      <c r="AM346">
        <f t="shared" si="67"/>
        <v>23.085633444444444</v>
      </c>
      <c r="AP346" s="9"/>
      <c r="AQ346" s="21">
        <v>7.8125E-2</v>
      </c>
      <c r="AR346" s="21">
        <v>26.7056</v>
      </c>
      <c r="AS346" s="21">
        <v>-1.474E-2</v>
      </c>
      <c r="AT346" s="21">
        <v>336</v>
      </c>
      <c r="AU346" s="21">
        <v>7.7667200000000006E-2</v>
      </c>
      <c r="AV346">
        <f t="shared" si="68"/>
        <v>18.197530864197528</v>
      </c>
      <c r="AW346">
        <f t="shared" si="69"/>
        <v>1.4216820987654319</v>
      </c>
      <c r="AX346" s="9"/>
      <c r="AY346" s="21">
        <v>1.59195</v>
      </c>
      <c r="AZ346" s="21">
        <v>30.464400000000001</v>
      </c>
      <c r="BA346" s="21">
        <v>-1.1843899999999999E-2</v>
      </c>
      <c r="BB346" s="21">
        <v>336</v>
      </c>
      <c r="BC346" s="21">
        <v>1.5908800000000001</v>
      </c>
      <c r="BD346">
        <f t="shared" si="70"/>
        <v>14.622098765432096</v>
      </c>
      <c r="BE346">
        <f t="shared" si="71"/>
        <v>23.277650129629624</v>
      </c>
    </row>
    <row r="347" spans="6:57" x14ac:dyDescent="0.25">
      <c r="F347" s="9"/>
      <c r="G347" s="21">
        <v>7.3089600000000005E-2</v>
      </c>
      <c r="H347" s="21">
        <v>6.2672100000000004</v>
      </c>
      <c r="I347" s="21">
        <v>-1.4981100000000001E-2</v>
      </c>
      <c r="J347" s="21">
        <v>337</v>
      </c>
      <c r="K347" s="21">
        <v>7.2540300000000002E-2</v>
      </c>
      <c r="L347">
        <f t="shared" si="60"/>
        <v>18.495185185185186</v>
      </c>
      <c r="M347">
        <f t="shared" si="61"/>
        <v>1.3518056871111113</v>
      </c>
      <c r="N347" s="9"/>
      <c r="O347" s="21">
        <v>1.5969800000000001</v>
      </c>
      <c r="P347" s="21">
        <v>10.026</v>
      </c>
      <c r="Q347" s="21">
        <v>-1.19141E-2</v>
      </c>
      <c r="R347" s="21">
        <v>337</v>
      </c>
      <c r="S347" s="21">
        <v>1.5963700000000001</v>
      </c>
      <c r="T347">
        <f t="shared" si="62"/>
        <v>14.708765432098765</v>
      </c>
      <c r="U347">
        <f t="shared" si="63"/>
        <v>23.489604219753087</v>
      </c>
      <c r="X347" s="9"/>
      <c r="Y347" s="21">
        <v>7.3089600000000005E-2</v>
      </c>
      <c r="Z347" s="21">
        <v>17.4635</v>
      </c>
      <c r="AA347" s="21">
        <v>-1.4727799999999999E-2</v>
      </c>
      <c r="AB347" s="21">
        <v>337</v>
      </c>
      <c r="AC347" s="21">
        <v>7.2631799999999996E-2</v>
      </c>
      <c r="AD347">
        <f t="shared" si="64"/>
        <v>18.182469135802467</v>
      </c>
      <c r="AE347">
        <f t="shared" si="65"/>
        <v>1.328949396148148</v>
      </c>
      <c r="AF347" s="9"/>
      <c r="AG347" s="21">
        <v>1.5969800000000001</v>
      </c>
      <c r="AH347" s="21">
        <v>21.222200000000001</v>
      </c>
      <c r="AI347" s="21">
        <v>-1.16241E-2</v>
      </c>
      <c r="AJ347" s="21">
        <v>337</v>
      </c>
      <c r="AK347" s="21">
        <v>1.5960700000000001</v>
      </c>
      <c r="AL347">
        <f t="shared" si="66"/>
        <v>14.35074074074074</v>
      </c>
      <c r="AM347">
        <f t="shared" si="67"/>
        <v>22.917845948148148</v>
      </c>
      <c r="AP347" s="9"/>
      <c r="AQ347" s="21">
        <v>7.3089600000000005E-2</v>
      </c>
      <c r="AR347" s="21">
        <v>26.715699999999998</v>
      </c>
      <c r="AS347" s="21">
        <v>-1.4742999999999999E-2</v>
      </c>
      <c r="AT347" s="21">
        <v>337</v>
      </c>
      <c r="AU347" s="21">
        <v>7.2601299999999994E-2</v>
      </c>
      <c r="AV347">
        <f t="shared" si="68"/>
        <v>18.201234567901235</v>
      </c>
      <c r="AW347">
        <f t="shared" si="69"/>
        <v>1.3303209540740741</v>
      </c>
      <c r="AX347" s="9"/>
      <c r="AY347" s="21">
        <v>1.5969800000000001</v>
      </c>
      <c r="AZ347" s="21">
        <v>30.474499999999999</v>
      </c>
      <c r="BA347" s="21">
        <v>-1.1731E-2</v>
      </c>
      <c r="BB347" s="21">
        <v>337</v>
      </c>
      <c r="BC347" s="21">
        <v>1.5963700000000001</v>
      </c>
      <c r="BD347">
        <f t="shared" si="70"/>
        <v>14.482716049382715</v>
      </c>
      <c r="BE347">
        <f t="shared" si="71"/>
        <v>23.12860787654321</v>
      </c>
    </row>
    <row r="348" spans="6:57" x14ac:dyDescent="0.25">
      <c r="F348" s="9"/>
      <c r="G348" s="21">
        <v>6.8054199999999995E-2</v>
      </c>
      <c r="H348" s="21">
        <v>6.2772800000000002</v>
      </c>
      <c r="I348" s="21">
        <v>-1.4987199999999999E-2</v>
      </c>
      <c r="J348" s="21">
        <v>338</v>
      </c>
      <c r="K348" s="21">
        <v>6.7627000000000007E-2</v>
      </c>
      <c r="L348">
        <f t="shared" si="60"/>
        <v>18.502716049382713</v>
      </c>
      <c r="M348">
        <f t="shared" si="61"/>
        <v>1.259187538567901</v>
      </c>
      <c r="N348" s="9"/>
      <c r="O348" s="21">
        <v>1.60202</v>
      </c>
      <c r="P348" s="21">
        <v>10.036</v>
      </c>
      <c r="Q348" s="21">
        <v>-1.1816399999999999E-2</v>
      </c>
      <c r="R348" s="21">
        <v>338</v>
      </c>
      <c r="S348" s="21">
        <v>1.6015600000000001</v>
      </c>
      <c r="T348">
        <f t="shared" si="62"/>
        <v>14.588148148148147</v>
      </c>
      <c r="U348">
        <f t="shared" si="63"/>
        <v>23.370505096296295</v>
      </c>
      <c r="X348" s="9"/>
      <c r="Y348" s="21">
        <v>6.8054199999999995E-2</v>
      </c>
      <c r="Z348" s="21">
        <v>17.473500000000001</v>
      </c>
      <c r="AA348" s="21">
        <v>-1.4736900000000001E-2</v>
      </c>
      <c r="AB348" s="21">
        <v>338</v>
      </c>
      <c r="AC348" s="21">
        <v>6.7596400000000001E-2</v>
      </c>
      <c r="AD348">
        <f t="shared" si="64"/>
        <v>18.193703703703704</v>
      </c>
      <c r="AE348">
        <f t="shared" si="65"/>
        <v>1.2381579505925926</v>
      </c>
      <c r="AF348" s="9"/>
      <c r="AG348" s="21">
        <v>1.60202</v>
      </c>
      <c r="AH348" s="21">
        <v>21.232299999999999</v>
      </c>
      <c r="AI348" s="21">
        <v>-1.1511199999999999E-2</v>
      </c>
      <c r="AJ348" s="21">
        <v>338</v>
      </c>
      <c r="AK348" s="21">
        <v>1.6012599999999999</v>
      </c>
      <c r="AL348">
        <f t="shared" si="66"/>
        <v>14.211358024691357</v>
      </c>
      <c r="AM348">
        <f t="shared" si="67"/>
        <v>22.76687978271605</v>
      </c>
      <c r="AP348" s="9"/>
      <c r="AQ348" s="21">
        <v>6.8054199999999995E-2</v>
      </c>
      <c r="AR348" s="21">
        <v>26.7258</v>
      </c>
      <c r="AS348" s="21">
        <v>-1.4742999999999999E-2</v>
      </c>
      <c r="AT348" s="21">
        <v>338</v>
      </c>
      <c r="AU348" s="21">
        <v>6.7657499999999995E-2</v>
      </c>
      <c r="AV348">
        <f t="shared" si="68"/>
        <v>18.201234567901235</v>
      </c>
      <c r="AW348">
        <f t="shared" si="69"/>
        <v>1.238670457530864</v>
      </c>
      <c r="AX348" s="9"/>
      <c r="AY348" s="21">
        <v>1.60202</v>
      </c>
      <c r="AZ348" s="21">
        <v>30.484500000000001</v>
      </c>
      <c r="BA348" s="21">
        <v>-1.1621100000000001E-2</v>
      </c>
      <c r="BB348" s="21">
        <v>338</v>
      </c>
      <c r="BC348" s="21">
        <v>1.6012599999999999</v>
      </c>
      <c r="BD348">
        <f t="shared" si="70"/>
        <v>14.347037037037037</v>
      </c>
      <c r="BE348">
        <f t="shared" si="71"/>
        <v>22.984240274074075</v>
      </c>
    </row>
    <row r="349" spans="6:57" x14ac:dyDescent="0.25">
      <c r="F349" s="9"/>
      <c r="G349" s="21">
        <v>6.30188E-2</v>
      </c>
      <c r="H349" s="21">
        <v>6.28735</v>
      </c>
      <c r="I349" s="21">
        <v>-1.4987199999999999E-2</v>
      </c>
      <c r="J349" s="21">
        <v>339</v>
      </c>
      <c r="K349" s="21">
        <v>6.2530500000000003E-2</v>
      </c>
      <c r="L349">
        <f t="shared" si="60"/>
        <v>18.502716049382713</v>
      </c>
      <c r="M349">
        <f t="shared" si="61"/>
        <v>1.1660189621728392</v>
      </c>
      <c r="N349" s="9"/>
      <c r="O349" s="21">
        <v>1.6070599999999999</v>
      </c>
      <c r="P349" s="21">
        <v>10.046099999999999</v>
      </c>
      <c r="Q349" s="21">
        <v>-1.17065E-2</v>
      </c>
      <c r="R349" s="21">
        <v>339</v>
      </c>
      <c r="S349" s="21">
        <v>1.6067499999999999</v>
      </c>
      <c r="T349">
        <f t="shared" si="62"/>
        <v>14.452469135802467</v>
      </c>
      <c r="U349">
        <f t="shared" si="63"/>
        <v>23.225985049382711</v>
      </c>
      <c r="X349" s="9"/>
      <c r="Y349" s="21">
        <v>6.30188E-2</v>
      </c>
      <c r="Z349" s="21">
        <v>17.483599999999999</v>
      </c>
      <c r="AA349" s="21">
        <v>-1.47522E-2</v>
      </c>
      <c r="AB349" s="21">
        <v>339</v>
      </c>
      <c r="AC349" s="21">
        <v>6.2591599999999997E-2</v>
      </c>
      <c r="AD349">
        <f t="shared" si="64"/>
        <v>18.212592592592593</v>
      </c>
      <c r="AE349">
        <f t="shared" si="65"/>
        <v>1.147735730074074</v>
      </c>
      <c r="AF349" s="9"/>
      <c r="AG349" s="21">
        <v>1.6070599999999999</v>
      </c>
      <c r="AH349" s="21">
        <v>21.2424</v>
      </c>
      <c r="AI349" s="21">
        <v>-1.13922E-2</v>
      </c>
      <c r="AJ349" s="21">
        <v>339</v>
      </c>
      <c r="AK349" s="21">
        <v>1.6067499999999999</v>
      </c>
      <c r="AL349">
        <f t="shared" si="66"/>
        <v>14.064444444444444</v>
      </c>
      <c r="AM349">
        <f t="shared" si="67"/>
        <v>22.602406088888888</v>
      </c>
      <c r="AP349" s="9"/>
      <c r="AQ349" s="21">
        <v>6.30188E-2</v>
      </c>
      <c r="AR349" s="21">
        <v>26.735800000000001</v>
      </c>
      <c r="AS349" s="21">
        <v>-1.4742999999999999E-2</v>
      </c>
      <c r="AT349" s="21">
        <v>339</v>
      </c>
      <c r="AU349" s="21">
        <v>6.2530500000000003E-2</v>
      </c>
      <c r="AV349">
        <f t="shared" si="68"/>
        <v>18.201234567901235</v>
      </c>
      <c r="AW349">
        <f t="shared" si="69"/>
        <v>1.1470199609876544</v>
      </c>
      <c r="AX349" s="9"/>
      <c r="AY349" s="21">
        <v>1.6070599999999999</v>
      </c>
      <c r="AZ349" s="21">
        <v>30.494599999999998</v>
      </c>
      <c r="BA349" s="21">
        <v>-1.1502099999999999E-2</v>
      </c>
      <c r="BB349" s="21">
        <v>339</v>
      </c>
      <c r="BC349" s="21">
        <v>1.6061399999999999</v>
      </c>
      <c r="BD349">
        <f t="shared" si="70"/>
        <v>14.200123456790122</v>
      </c>
      <c r="BE349">
        <f t="shared" si="71"/>
        <v>22.820450402469131</v>
      </c>
    </row>
    <row r="350" spans="6:57" x14ac:dyDescent="0.25">
      <c r="F350" s="9"/>
      <c r="G350" s="21">
        <v>5.7983399999999997E-2</v>
      </c>
      <c r="H350" s="21">
        <v>6.2974199999999998</v>
      </c>
      <c r="I350" s="21">
        <v>-1.4987199999999999E-2</v>
      </c>
      <c r="J350" s="21">
        <v>340</v>
      </c>
      <c r="K350" s="21">
        <v>5.74951E-2</v>
      </c>
      <c r="L350">
        <f t="shared" si="60"/>
        <v>18.502716049382713</v>
      </c>
      <c r="M350">
        <f t="shared" si="61"/>
        <v>1.0728503857777776</v>
      </c>
      <c r="N350" s="9"/>
      <c r="O350" s="21">
        <v>1.61209</v>
      </c>
      <c r="P350" s="21">
        <v>10.0562</v>
      </c>
      <c r="Q350" s="21">
        <v>-1.1599699999999999E-2</v>
      </c>
      <c r="R350" s="21">
        <v>340</v>
      </c>
      <c r="S350" s="21">
        <v>1.6110199999999999</v>
      </c>
      <c r="T350">
        <f t="shared" si="62"/>
        <v>14.320617283950616</v>
      </c>
      <c r="U350">
        <f t="shared" si="63"/>
        <v>23.086123917283949</v>
      </c>
      <c r="X350" s="9"/>
      <c r="Y350" s="21">
        <v>5.7983399999999997E-2</v>
      </c>
      <c r="Z350" s="21">
        <v>17.4937</v>
      </c>
      <c r="AA350" s="21">
        <v>-1.47583E-2</v>
      </c>
      <c r="AB350" s="21">
        <v>340</v>
      </c>
      <c r="AC350" s="21">
        <v>5.7464599999999998E-2</v>
      </c>
      <c r="AD350">
        <f t="shared" si="64"/>
        <v>18.22012345679012</v>
      </c>
      <c r="AE350">
        <f t="shared" si="65"/>
        <v>1.0564647064444441</v>
      </c>
      <c r="AF350" s="9"/>
      <c r="AG350" s="21">
        <v>1.61209</v>
      </c>
      <c r="AH350" s="21">
        <v>21.252400000000002</v>
      </c>
      <c r="AI350" s="21">
        <v>-1.12671E-2</v>
      </c>
      <c r="AJ350" s="21">
        <v>340</v>
      </c>
      <c r="AK350" s="21">
        <v>1.6113299999999999</v>
      </c>
      <c r="AL350">
        <f t="shared" si="66"/>
        <v>13.909999999999998</v>
      </c>
      <c r="AM350">
        <f t="shared" si="67"/>
        <v>22.424171899999997</v>
      </c>
      <c r="AP350" s="9"/>
      <c r="AQ350" s="21">
        <v>5.7983399999999997E-2</v>
      </c>
      <c r="AR350" s="21">
        <v>26.745899999999999</v>
      </c>
      <c r="AS350" s="21">
        <v>-1.474E-2</v>
      </c>
      <c r="AT350" s="21">
        <v>340</v>
      </c>
      <c r="AU350" s="21">
        <v>5.74951E-2</v>
      </c>
      <c r="AV350">
        <f t="shared" si="68"/>
        <v>18.197530864197528</v>
      </c>
      <c r="AW350">
        <f t="shared" si="69"/>
        <v>1.0551547111111108</v>
      </c>
      <c r="AX350" s="9"/>
      <c r="AY350" s="21">
        <v>1.61209</v>
      </c>
      <c r="AZ350" s="21">
        <v>30.5047</v>
      </c>
      <c r="BA350" s="21">
        <v>-1.13708E-2</v>
      </c>
      <c r="BB350" s="21">
        <v>340</v>
      </c>
      <c r="BC350" s="21">
        <v>1.6119399999999999</v>
      </c>
      <c r="BD350">
        <f t="shared" si="70"/>
        <v>14.038024691358025</v>
      </c>
      <c r="BE350">
        <f t="shared" si="71"/>
        <v>22.63055922469136</v>
      </c>
    </row>
    <row r="351" spans="6:57" x14ac:dyDescent="0.25">
      <c r="F351" s="9"/>
      <c r="G351" s="21">
        <v>5.2948000000000002E-2</v>
      </c>
      <c r="H351" s="21">
        <v>6.3074899999999996</v>
      </c>
      <c r="I351" s="21">
        <v>-1.4975E-2</v>
      </c>
      <c r="J351" s="21">
        <v>341</v>
      </c>
      <c r="K351" s="21">
        <v>5.2459699999999998E-2</v>
      </c>
      <c r="L351">
        <f t="shared" si="60"/>
        <v>18.487654320987652</v>
      </c>
      <c r="M351">
        <f t="shared" si="61"/>
        <v>0.97888432098765421</v>
      </c>
      <c r="N351" s="9"/>
      <c r="O351" s="21">
        <v>1.61713</v>
      </c>
      <c r="P351" s="21">
        <v>10.0663</v>
      </c>
      <c r="Q351" s="21">
        <v>-1.14807E-2</v>
      </c>
      <c r="R351" s="21">
        <v>341</v>
      </c>
      <c r="S351" s="21">
        <v>1.61652</v>
      </c>
      <c r="T351">
        <f t="shared" si="62"/>
        <v>14.173703703703703</v>
      </c>
      <c r="U351">
        <f t="shared" si="63"/>
        <v>22.920721470370367</v>
      </c>
      <c r="X351" s="9"/>
      <c r="Y351" s="21">
        <v>5.2948000000000002E-2</v>
      </c>
      <c r="Z351" s="21">
        <v>17.503699999999998</v>
      </c>
      <c r="AA351" s="21">
        <v>-1.47583E-2</v>
      </c>
      <c r="AB351" s="21">
        <v>341</v>
      </c>
      <c r="AC351" s="21">
        <v>5.2429200000000002E-2</v>
      </c>
      <c r="AD351">
        <f t="shared" si="64"/>
        <v>18.22012345679012</v>
      </c>
      <c r="AE351">
        <f t="shared" si="65"/>
        <v>0.96471909679012324</v>
      </c>
      <c r="AF351" s="9"/>
      <c r="AG351" s="21">
        <v>1.61713</v>
      </c>
      <c r="AH351" s="21">
        <v>21.262499999999999</v>
      </c>
      <c r="AI351" s="21">
        <v>-1.11328E-2</v>
      </c>
      <c r="AJ351" s="21">
        <v>341</v>
      </c>
      <c r="AK351" s="21">
        <v>1.6168199999999999</v>
      </c>
      <c r="AL351">
        <f t="shared" si="66"/>
        <v>13.744197530864197</v>
      </c>
      <c r="AM351">
        <f t="shared" si="67"/>
        <v>22.226154153086419</v>
      </c>
      <c r="AP351" s="9"/>
      <c r="AQ351" s="21">
        <v>5.2948000000000002E-2</v>
      </c>
      <c r="AR351" s="21">
        <v>26.756</v>
      </c>
      <c r="AS351" s="21">
        <v>-1.4736900000000001E-2</v>
      </c>
      <c r="AT351" s="21">
        <v>341</v>
      </c>
      <c r="AU351" s="21">
        <v>5.2459699999999998E-2</v>
      </c>
      <c r="AV351">
        <f t="shared" si="68"/>
        <v>18.193703703703704</v>
      </c>
      <c r="AW351">
        <f t="shared" si="69"/>
        <v>0.96332022370370374</v>
      </c>
      <c r="AX351" s="9"/>
      <c r="AY351" s="21">
        <v>1.61713</v>
      </c>
      <c r="AZ351" s="21">
        <v>30.514700000000001</v>
      </c>
      <c r="BA351" s="21">
        <v>-1.1230499999999999E-2</v>
      </c>
      <c r="BB351" s="21">
        <v>341</v>
      </c>
      <c r="BC351" s="21">
        <v>1.6162099999999999</v>
      </c>
      <c r="BD351">
        <f t="shared" si="70"/>
        <v>13.864814814814812</v>
      </c>
      <c r="BE351">
        <f t="shared" si="71"/>
        <v>22.421207981481476</v>
      </c>
    </row>
    <row r="352" spans="6:57" x14ac:dyDescent="0.25">
      <c r="F352" s="9"/>
      <c r="G352" s="21">
        <v>4.79126E-2</v>
      </c>
      <c r="H352" s="21">
        <v>6.3175600000000003</v>
      </c>
      <c r="I352" s="21">
        <v>-1.49719E-2</v>
      </c>
      <c r="J352" s="21">
        <v>342</v>
      </c>
      <c r="K352" s="21">
        <v>4.78149E-2</v>
      </c>
      <c r="L352">
        <f t="shared" si="60"/>
        <v>18.483827160493824</v>
      </c>
      <c r="M352">
        <f t="shared" si="61"/>
        <v>0.88560821720987637</v>
      </c>
      <c r="N352" s="9"/>
      <c r="O352" s="21">
        <v>1.62216</v>
      </c>
      <c r="P352" s="21">
        <v>10.0763</v>
      </c>
      <c r="Q352" s="21">
        <v>-1.13434E-2</v>
      </c>
      <c r="R352" s="21">
        <v>342</v>
      </c>
      <c r="S352" s="21">
        <v>1.6216999999999999</v>
      </c>
      <c r="T352">
        <f t="shared" si="62"/>
        <v>14.004197530864197</v>
      </c>
      <c r="U352">
        <f t="shared" si="63"/>
        <v>22.717049066666664</v>
      </c>
      <c r="X352" s="9"/>
      <c r="Y352" s="21">
        <v>4.79126E-2</v>
      </c>
      <c r="Z352" s="21">
        <v>17.5138</v>
      </c>
      <c r="AA352" s="21">
        <v>-1.47644E-2</v>
      </c>
      <c r="AB352" s="21">
        <v>342</v>
      </c>
      <c r="AC352" s="21">
        <v>4.7894300000000001E-2</v>
      </c>
      <c r="AD352">
        <f t="shared" si="64"/>
        <v>18.227654320987654</v>
      </c>
      <c r="AE352">
        <f t="shared" si="65"/>
        <v>0.87333431041975307</v>
      </c>
      <c r="AF352" s="9"/>
      <c r="AG352" s="21">
        <v>1.62216</v>
      </c>
      <c r="AH352" s="21">
        <v>21.272600000000001</v>
      </c>
      <c r="AI352" s="21">
        <v>-1.0986299999999999E-2</v>
      </c>
      <c r="AJ352" s="21">
        <v>342</v>
      </c>
      <c r="AK352" s="21">
        <v>1.6214</v>
      </c>
      <c r="AL352">
        <f t="shared" si="66"/>
        <v>13.563333333333333</v>
      </c>
      <c r="AM352">
        <f t="shared" si="67"/>
        <v>22.001896800000001</v>
      </c>
      <c r="AP352" s="9"/>
      <c r="AQ352" s="21">
        <v>4.79126E-2</v>
      </c>
      <c r="AR352" s="21">
        <v>26.765999999999998</v>
      </c>
      <c r="AS352" s="21">
        <v>-1.474E-2</v>
      </c>
      <c r="AT352" s="21">
        <v>342</v>
      </c>
      <c r="AU352" s="21">
        <v>4.78699E-2</v>
      </c>
      <c r="AV352">
        <f t="shared" si="68"/>
        <v>18.197530864197528</v>
      </c>
      <c r="AW352">
        <f t="shared" si="69"/>
        <v>0.87189101728395046</v>
      </c>
      <c r="AX352" s="9"/>
      <c r="AY352" s="21">
        <v>1.62216</v>
      </c>
      <c r="AZ352" s="21">
        <v>30.524799999999999</v>
      </c>
      <c r="BA352" s="21">
        <v>-1.10779E-2</v>
      </c>
      <c r="BB352" s="21">
        <v>342</v>
      </c>
      <c r="BC352" s="21">
        <v>1.6214</v>
      </c>
      <c r="BD352">
        <f t="shared" si="70"/>
        <v>13.676419753086419</v>
      </c>
      <c r="BE352">
        <f t="shared" si="71"/>
        <v>22.185341066666666</v>
      </c>
    </row>
    <row r="353" spans="6:57" x14ac:dyDescent="0.25">
      <c r="F353" s="9"/>
      <c r="G353" s="21">
        <v>4.2877199999999997E-2</v>
      </c>
      <c r="H353" s="21">
        <v>6.3276300000000001</v>
      </c>
      <c r="I353" s="21">
        <v>-1.4981100000000001E-2</v>
      </c>
      <c r="J353" s="21">
        <v>343</v>
      </c>
      <c r="K353" s="21">
        <v>4.2865E-2</v>
      </c>
      <c r="L353">
        <f t="shared" si="60"/>
        <v>18.495185185185186</v>
      </c>
      <c r="M353">
        <f t="shared" si="61"/>
        <v>0.79302175422222221</v>
      </c>
      <c r="N353" s="9"/>
      <c r="O353" s="21">
        <v>1.6272</v>
      </c>
      <c r="P353" s="21">
        <v>10.086399999999999</v>
      </c>
      <c r="Q353" s="21">
        <v>-1.12061E-2</v>
      </c>
      <c r="R353" s="21">
        <v>343</v>
      </c>
      <c r="S353" s="21">
        <v>1.62659</v>
      </c>
      <c r="T353">
        <f t="shared" si="62"/>
        <v>13.834691358024692</v>
      </c>
      <c r="U353">
        <f t="shared" si="63"/>
        <v>22.511809777777778</v>
      </c>
      <c r="X353" s="9"/>
      <c r="Y353" s="21">
        <v>4.2877199999999997E-2</v>
      </c>
      <c r="Z353" s="21">
        <v>17.523900000000001</v>
      </c>
      <c r="AA353" s="21">
        <v>-1.4770500000000001E-2</v>
      </c>
      <c r="AB353" s="21">
        <v>343</v>
      </c>
      <c r="AC353" s="21">
        <v>4.2886399999999998E-2</v>
      </c>
      <c r="AD353">
        <f t="shared" si="64"/>
        <v>18.235185185185184</v>
      </c>
      <c r="AE353">
        <f t="shared" si="65"/>
        <v>0.78187368222222209</v>
      </c>
      <c r="AF353" s="9"/>
      <c r="AG353" s="21">
        <v>1.6272</v>
      </c>
      <c r="AH353" s="21">
        <v>21.282699999999998</v>
      </c>
      <c r="AI353" s="21">
        <v>-1.0836800000000001E-2</v>
      </c>
      <c r="AJ353" s="21">
        <v>343</v>
      </c>
      <c r="AK353" s="21">
        <v>1.6268899999999999</v>
      </c>
      <c r="AL353">
        <f t="shared" si="66"/>
        <v>13.378765432098765</v>
      </c>
      <c r="AM353">
        <f t="shared" si="67"/>
        <v>21.769927111111109</v>
      </c>
      <c r="AP353" s="9"/>
      <c r="AQ353" s="21">
        <v>4.2877199999999997E-2</v>
      </c>
      <c r="AR353" s="21">
        <v>26.7761</v>
      </c>
      <c r="AS353" s="21">
        <v>-1.4742999999999999E-2</v>
      </c>
      <c r="AT353" s="21">
        <v>343</v>
      </c>
      <c r="AU353" s="21">
        <v>4.2843600000000003E-2</v>
      </c>
      <c r="AV353">
        <f t="shared" si="68"/>
        <v>18.201234567901235</v>
      </c>
      <c r="AW353">
        <f t="shared" si="69"/>
        <v>0.78041797481481479</v>
      </c>
      <c r="AX353" s="9"/>
      <c r="AY353" s="21">
        <v>1.6272</v>
      </c>
      <c r="AZ353" s="21">
        <v>30.5349</v>
      </c>
      <c r="BA353" s="21">
        <v>-1.0931400000000001E-2</v>
      </c>
      <c r="BB353" s="21">
        <v>343</v>
      </c>
      <c r="BC353" s="21">
        <v>1.6262799999999999</v>
      </c>
      <c r="BD353">
        <f t="shared" si="70"/>
        <v>13.495555555555557</v>
      </c>
      <c r="BE353">
        <f t="shared" si="71"/>
        <v>21.959968</v>
      </c>
    </row>
    <row r="354" spans="6:57" x14ac:dyDescent="0.25">
      <c r="F354" s="9"/>
      <c r="G354" s="21">
        <v>3.7841800000000002E-2</v>
      </c>
      <c r="H354" s="21">
        <v>6.3376999999999999</v>
      </c>
      <c r="I354" s="21">
        <v>-1.4996300000000001E-2</v>
      </c>
      <c r="J354" s="21">
        <v>344</v>
      </c>
      <c r="K354" s="21">
        <v>3.7771600000000002E-2</v>
      </c>
      <c r="L354">
        <f t="shared" si="60"/>
        <v>18.51395061728395</v>
      </c>
      <c r="M354">
        <f t="shared" si="61"/>
        <v>0.70060121646913576</v>
      </c>
      <c r="N354" s="9"/>
      <c r="O354" s="21">
        <v>1.6322300000000001</v>
      </c>
      <c r="P354" s="21">
        <v>10.096500000000001</v>
      </c>
      <c r="Q354" s="21">
        <v>-1.1059599999999999E-2</v>
      </c>
      <c r="R354" s="21">
        <v>344</v>
      </c>
      <c r="S354" s="21">
        <v>1.6317699999999999</v>
      </c>
      <c r="T354">
        <f t="shared" si="62"/>
        <v>13.653827160493826</v>
      </c>
      <c r="U354">
        <f t="shared" si="63"/>
        <v>22.286186306172837</v>
      </c>
      <c r="X354" s="9"/>
      <c r="Y354" s="21">
        <v>3.7841800000000002E-2</v>
      </c>
      <c r="Z354" s="21">
        <v>17.533999999999999</v>
      </c>
      <c r="AA354" s="21">
        <v>-1.4767499999999999E-2</v>
      </c>
      <c r="AB354" s="21">
        <v>344</v>
      </c>
      <c r="AC354" s="21">
        <v>3.7738000000000001E-2</v>
      </c>
      <c r="AD354">
        <f t="shared" si="64"/>
        <v>18.231481481481481</v>
      </c>
      <c r="AE354">
        <f t="shared" si="65"/>
        <v>0.68991207592592596</v>
      </c>
      <c r="AF354" s="9"/>
      <c r="AG354" s="21">
        <v>1.6322300000000001</v>
      </c>
      <c r="AH354" s="21">
        <v>21.2927</v>
      </c>
      <c r="AI354" s="21">
        <v>-1.06812E-2</v>
      </c>
      <c r="AJ354" s="21">
        <v>344</v>
      </c>
      <c r="AK354" s="21">
        <v>1.6317699999999999</v>
      </c>
      <c r="AL354">
        <f t="shared" si="66"/>
        <v>13.186666666666666</v>
      </c>
      <c r="AM354">
        <f t="shared" si="67"/>
        <v>21.523672933333334</v>
      </c>
      <c r="AP354" s="9"/>
      <c r="AQ354" s="21">
        <v>3.7841800000000002E-2</v>
      </c>
      <c r="AR354" s="21">
        <v>26.786200000000001</v>
      </c>
      <c r="AS354" s="21">
        <v>-1.4742999999999999E-2</v>
      </c>
      <c r="AT354" s="21">
        <v>344</v>
      </c>
      <c r="AU354" s="21">
        <v>3.7811299999999999E-2</v>
      </c>
      <c r="AV354">
        <f t="shared" si="68"/>
        <v>18.201234567901235</v>
      </c>
      <c r="AW354">
        <f t="shared" si="69"/>
        <v>0.688767478271605</v>
      </c>
      <c r="AX354" s="9"/>
      <c r="AY354" s="21">
        <v>1.6322300000000001</v>
      </c>
      <c r="AZ354" s="21">
        <v>30.545000000000002</v>
      </c>
      <c r="BA354" s="21">
        <v>-1.07727E-2</v>
      </c>
      <c r="BB354" s="21">
        <v>344</v>
      </c>
      <c r="BC354" s="21">
        <v>1.63208</v>
      </c>
      <c r="BD354">
        <f t="shared" si="70"/>
        <v>13.299629629629628</v>
      </c>
      <c r="BE354">
        <f t="shared" si="71"/>
        <v>21.708054470370367</v>
      </c>
    </row>
    <row r="355" spans="6:57" x14ac:dyDescent="0.25">
      <c r="F355" s="9"/>
      <c r="G355" s="21">
        <v>3.2806399999999999E-2</v>
      </c>
      <c r="H355" s="21">
        <v>6.3477699999999997</v>
      </c>
      <c r="I355" s="21">
        <v>-1.4996300000000001E-2</v>
      </c>
      <c r="J355" s="21">
        <v>345</v>
      </c>
      <c r="K355" s="21">
        <v>3.2769800000000002E-2</v>
      </c>
      <c r="L355">
        <f t="shared" si="60"/>
        <v>18.51395061728395</v>
      </c>
      <c r="M355">
        <f t="shared" si="61"/>
        <v>0.6073760695308642</v>
      </c>
      <c r="N355" s="9"/>
      <c r="O355" s="21">
        <v>1.63727</v>
      </c>
      <c r="P355" s="21">
        <v>10.1065</v>
      </c>
      <c r="Q355" s="21">
        <v>-1.091E-2</v>
      </c>
      <c r="R355" s="21">
        <v>345</v>
      </c>
      <c r="S355" s="21">
        <v>1.63666</v>
      </c>
      <c r="T355">
        <f t="shared" si="62"/>
        <v>13.469135802469134</v>
      </c>
      <c r="U355">
        <f t="shared" si="63"/>
        <v>22.05261197530864</v>
      </c>
      <c r="X355" s="9"/>
      <c r="Y355" s="21">
        <v>3.2806399999999999E-2</v>
      </c>
      <c r="Z355" s="21">
        <v>17.544</v>
      </c>
      <c r="AA355" s="21">
        <v>-1.4761399999999999E-2</v>
      </c>
      <c r="AB355" s="21">
        <v>345</v>
      </c>
      <c r="AC355" s="21">
        <v>3.2757599999999998E-2</v>
      </c>
      <c r="AD355">
        <f t="shared" si="64"/>
        <v>18.22395061728395</v>
      </c>
      <c r="AE355">
        <f t="shared" si="65"/>
        <v>0.59786221353086422</v>
      </c>
      <c r="AF355" s="9"/>
      <c r="AG355" s="21">
        <v>1.63727</v>
      </c>
      <c r="AH355" s="21">
        <v>21.302800000000001</v>
      </c>
      <c r="AI355" s="21">
        <v>-1.05103E-2</v>
      </c>
      <c r="AJ355" s="21">
        <v>345</v>
      </c>
      <c r="AK355" s="21">
        <v>1.63666</v>
      </c>
      <c r="AL355">
        <f t="shared" si="66"/>
        <v>12.97567901234568</v>
      </c>
      <c r="AM355">
        <f t="shared" si="67"/>
        <v>21.24468997654321</v>
      </c>
      <c r="AP355" s="9"/>
      <c r="AQ355" s="21">
        <v>3.2806399999999999E-2</v>
      </c>
      <c r="AR355" s="21">
        <v>26.796299999999999</v>
      </c>
      <c r="AS355" s="21">
        <v>-1.474E-2</v>
      </c>
      <c r="AT355" s="21">
        <v>345</v>
      </c>
      <c r="AU355" s="21">
        <v>3.2733199999999997E-2</v>
      </c>
      <c r="AV355">
        <f t="shared" si="68"/>
        <v>18.197530864197528</v>
      </c>
      <c r="AW355">
        <f t="shared" si="69"/>
        <v>0.59699547654320972</v>
      </c>
      <c r="AX355" s="9"/>
      <c r="AY355" s="21">
        <v>1.63727</v>
      </c>
      <c r="AZ355" s="21">
        <v>30.555</v>
      </c>
      <c r="BA355" s="21">
        <v>-1.06018E-2</v>
      </c>
      <c r="BB355" s="21">
        <v>345</v>
      </c>
      <c r="BC355" s="21">
        <v>1.63605</v>
      </c>
      <c r="BD355">
        <f t="shared" si="70"/>
        <v>13.088641975308642</v>
      </c>
      <c r="BE355">
        <f t="shared" si="71"/>
        <v>21.429640846913578</v>
      </c>
    </row>
    <row r="356" spans="6:57" x14ac:dyDescent="0.25">
      <c r="F356" s="9"/>
      <c r="G356" s="21">
        <v>2.7771000000000001E-2</v>
      </c>
      <c r="H356" s="21">
        <v>6.35785</v>
      </c>
      <c r="I356" s="21">
        <v>-1.4996300000000001E-2</v>
      </c>
      <c r="J356" s="21">
        <v>346</v>
      </c>
      <c r="K356" s="21">
        <v>2.7688600000000001E-2</v>
      </c>
      <c r="L356">
        <f t="shared" si="60"/>
        <v>18.51395061728395</v>
      </c>
      <c r="M356">
        <f t="shared" si="61"/>
        <v>0.51415092259259254</v>
      </c>
      <c r="N356" s="9"/>
      <c r="O356" s="21">
        <v>1.6423000000000001</v>
      </c>
      <c r="P356" s="21">
        <v>10.1166</v>
      </c>
      <c r="Q356" s="21">
        <v>-1.07574E-2</v>
      </c>
      <c r="R356" s="21">
        <v>346</v>
      </c>
      <c r="S356" s="21">
        <v>1.64124</v>
      </c>
      <c r="T356">
        <f t="shared" si="62"/>
        <v>13.280740740740741</v>
      </c>
      <c r="U356">
        <f t="shared" si="63"/>
        <v>21.81096051851852</v>
      </c>
      <c r="X356" s="9"/>
      <c r="Y356" s="21">
        <v>2.7771000000000001E-2</v>
      </c>
      <c r="Z356" s="21">
        <v>17.554099999999998</v>
      </c>
      <c r="AA356" s="21">
        <v>-1.47552E-2</v>
      </c>
      <c r="AB356" s="21">
        <v>346</v>
      </c>
      <c r="AC356" s="21">
        <v>2.7700800000000001E-2</v>
      </c>
      <c r="AD356">
        <f t="shared" si="64"/>
        <v>18.216296296296292</v>
      </c>
      <c r="AE356">
        <f t="shared" si="65"/>
        <v>0.5058847644444443</v>
      </c>
      <c r="AF356" s="9"/>
      <c r="AG356" s="21">
        <v>1.6423000000000001</v>
      </c>
      <c r="AH356" s="21">
        <v>21.312899999999999</v>
      </c>
      <c r="AI356" s="21">
        <v>-1.0321E-2</v>
      </c>
      <c r="AJ356" s="21">
        <v>346</v>
      </c>
      <c r="AK356" s="21">
        <v>1.64154</v>
      </c>
      <c r="AL356">
        <f t="shared" si="66"/>
        <v>12.741975308641976</v>
      </c>
      <c r="AM356">
        <f t="shared" si="67"/>
        <v>20.926146049382719</v>
      </c>
      <c r="AP356" s="9"/>
      <c r="AQ356" s="21">
        <v>2.7771000000000001E-2</v>
      </c>
      <c r="AR356" s="21">
        <v>26.8063</v>
      </c>
      <c r="AS356" s="21">
        <v>-1.4733899999999999E-2</v>
      </c>
      <c r="AT356" s="21">
        <v>346</v>
      </c>
      <c r="AU356" s="21">
        <v>2.7685499999999998E-2</v>
      </c>
      <c r="AV356">
        <f t="shared" si="68"/>
        <v>18.189999999999998</v>
      </c>
      <c r="AW356">
        <f t="shared" si="69"/>
        <v>0.5051544899999999</v>
      </c>
      <c r="AX356" s="9"/>
      <c r="AY356" s="21">
        <v>1.6423000000000001</v>
      </c>
      <c r="AZ356" s="21">
        <v>30.565100000000001</v>
      </c>
      <c r="BA356" s="21">
        <v>-1.04034E-2</v>
      </c>
      <c r="BB356" s="21">
        <v>346</v>
      </c>
      <c r="BC356" s="21">
        <v>1.64154</v>
      </c>
      <c r="BD356">
        <f t="shared" si="70"/>
        <v>12.843703703703703</v>
      </c>
      <c r="BE356">
        <f t="shared" si="71"/>
        <v>21.093214592592592</v>
      </c>
    </row>
    <row r="357" spans="6:57" x14ac:dyDescent="0.25">
      <c r="F357" s="9"/>
      <c r="G357" s="21">
        <v>2.2735600000000002E-2</v>
      </c>
      <c r="H357" s="21">
        <v>6.3679199999999998</v>
      </c>
      <c r="I357" s="21">
        <v>-1.49841E-2</v>
      </c>
      <c r="J357" s="21">
        <v>347</v>
      </c>
      <c r="K357" s="21">
        <v>2.2631800000000001E-2</v>
      </c>
      <c r="L357">
        <f t="shared" si="60"/>
        <v>18.498888888888889</v>
      </c>
      <c r="M357">
        <f t="shared" si="61"/>
        <v>0.42058333822222227</v>
      </c>
      <c r="N357" s="9"/>
      <c r="O357" s="21">
        <v>1.64734</v>
      </c>
      <c r="P357" s="21">
        <v>10.1267</v>
      </c>
      <c r="Q357" s="21">
        <v>-1.0583499999999999E-2</v>
      </c>
      <c r="R357" s="21">
        <v>347</v>
      </c>
      <c r="S357" s="21">
        <v>1.64734</v>
      </c>
      <c r="T357">
        <f t="shared" si="62"/>
        <v>13.066049382716049</v>
      </c>
      <c r="U357">
        <f t="shared" si="63"/>
        <v>21.524225790123456</v>
      </c>
      <c r="X357" s="9"/>
      <c r="Y357" s="21">
        <v>2.2735600000000002E-2</v>
      </c>
      <c r="Z357" s="21">
        <v>17.5642</v>
      </c>
      <c r="AA357" s="21">
        <v>-1.47522E-2</v>
      </c>
      <c r="AB357" s="21">
        <v>347</v>
      </c>
      <c r="AC357" s="21">
        <v>2.2656300000000001E-2</v>
      </c>
      <c r="AD357">
        <f t="shared" si="64"/>
        <v>18.212592592592593</v>
      </c>
      <c r="AE357">
        <f t="shared" si="65"/>
        <v>0.41407422014814815</v>
      </c>
      <c r="AF357" s="9"/>
      <c r="AG357" s="21">
        <v>1.64734</v>
      </c>
      <c r="AH357" s="21">
        <v>21.322900000000001</v>
      </c>
      <c r="AI357" s="21">
        <v>-1.0119599999999999E-2</v>
      </c>
      <c r="AJ357" s="21">
        <v>347</v>
      </c>
      <c r="AK357" s="21">
        <v>1.64642</v>
      </c>
      <c r="AL357">
        <f t="shared" si="66"/>
        <v>12.493333333333332</v>
      </c>
      <c r="AM357">
        <f t="shared" si="67"/>
        <v>20.580767733333332</v>
      </c>
      <c r="AP357" s="9"/>
      <c r="AQ357" s="21">
        <v>2.2735600000000002E-2</v>
      </c>
      <c r="AR357" s="21">
        <v>26.816400000000002</v>
      </c>
      <c r="AS357" s="21">
        <v>-1.474E-2</v>
      </c>
      <c r="AT357" s="21">
        <v>347</v>
      </c>
      <c r="AU357" s="21">
        <v>2.2665399999999999E-2</v>
      </c>
      <c r="AV357">
        <f t="shared" si="68"/>
        <v>18.197530864197528</v>
      </c>
      <c r="AW357">
        <f t="shared" si="69"/>
        <v>0.41373178271604938</v>
      </c>
      <c r="AX357" s="9"/>
      <c r="AY357" s="21">
        <v>1.64734</v>
      </c>
      <c r="AZ357" s="21">
        <v>30.575199999999999</v>
      </c>
      <c r="BA357" s="21">
        <v>-1.0199E-2</v>
      </c>
      <c r="BB357" s="21">
        <v>347</v>
      </c>
      <c r="BC357" s="21">
        <v>1.64703</v>
      </c>
      <c r="BD357">
        <f t="shared" si="70"/>
        <v>12.591358024691356</v>
      </c>
      <c r="BE357">
        <f t="shared" si="71"/>
        <v>20.742247728395061</v>
      </c>
    </row>
    <row r="358" spans="6:57" x14ac:dyDescent="0.25">
      <c r="F358" s="9"/>
      <c r="G358" s="21">
        <v>1.7700199999999999E-2</v>
      </c>
      <c r="H358" s="21">
        <v>6.3779899999999996</v>
      </c>
      <c r="I358" s="21">
        <v>-1.4981100000000001E-2</v>
      </c>
      <c r="J358" s="21">
        <v>348</v>
      </c>
      <c r="K358" s="21">
        <v>1.75873E-2</v>
      </c>
      <c r="L358">
        <f t="shared" si="60"/>
        <v>18.495185185185186</v>
      </c>
      <c r="M358">
        <f t="shared" si="61"/>
        <v>0.32736847681481479</v>
      </c>
      <c r="N358" s="9"/>
      <c r="O358" s="21">
        <v>1.6523699999999999</v>
      </c>
      <c r="P358" s="21">
        <v>10.136799999999999</v>
      </c>
      <c r="Q358" s="21">
        <v>-1.03973E-2</v>
      </c>
      <c r="R358" s="21">
        <v>348</v>
      </c>
      <c r="S358" s="21">
        <v>1.6519200000000001</v>
      </c>
      <c r="T358">
        <f t="shared" si="62"/>
        <v>12.836172839506172</v>
      </c>
      <c r="U358">
        <f t="shared" si="63"/>
        <v>21.210106914814812</v>
      </c>
      <c r="X358" s="9"/>
      <c r="Y358" s="21">
        <v>1.7700199999999999E-2</v>
      </c>
      <c r="Z358" s="21">
        <v>17.574200000000001</v>
      </c>
      <c r="AA358" s="21">
        <v>-1.4742999999999999E-2</v>
      </c>
      <c r="AB358" s="21">
        <v>348</v>
      </c>
      <c r="AC358" s="21">
        <v>1.7556800000000001E-2</v>
      </c>
      <c r="AD358">
        <f t="shared" si="64"/>
        <v>18.201234567901235</v>
      </c>
      <c r="AE358">
        <f t="shared" si="65"/>
        <v>0.32216549209876544</v>
      </c>
      <c r="AF358" s="9"/>
      <c r="AG358" s="21">
        <v>1.6523699999999999</v>
      </c>
      <c r="AH358" s="21">
        <v>21.332999999999998</v>
      </c>
      <c r="AI358" s="21">
        <v>-9.9060099999999998E-3</v>
      </c>
      <c r="AJ358" s="21">
        <v>348</v>
      </c>
      <c r="AK358" s="21">
        <v>1.65161</v>
      </c>
      <c r="AL358">
        <f t="shared" si="66"/>
        <v>12.22964197530864</v>
      </c>
      <c r="AM358">
        <f t="shared" si="67"/>
        <v>20.207893510740735</v>
      </c>
      <c r="AP358" s="9"/>
      <c r="AQ358" s="21">
        <v>1.7700199999999999E-2</v>
      </c>
      <c r="AR358" s="21">
        <v>26.826499999999999</v>
      </c>
      <c r="AS358" s="21">
        <v>-1.4749099999999999E-2</v>
      </c>
      <c r="AT358" s="21">
        <v>348</v>
      </c>
      <c r="AU358" s="21">
        <v>1.7678800000000001E-2</v>
      </c>
      <c r="AV358">
        <f t="shared" si="68"/>
        <v>18.208765432098765</v>
      </c>
      <c r="AW358">
        <f t="shared" si="69"/>
        <v>0.32229878990123456</v>
      </c>
      <c r="AX358" s="9"/>
      <c r="AY358" s="21">
        <v>1.6523699999999999</v>
      </c>
      <c r="AZ358" s="21">
        <v>30.5852</v>
      </c>
      <c r="BA358" s="21">
        <v>-9.9883999999999997E-3</v>
      </c>
      <c r="BB358" s="21">
        <v>348</v>
      </c>
      <c r="BC358" s="21">
        <v>1.6519200000000001</v>
      </c>
      <c r="BD358">
        <f t="shared" si="70"/>
        <v>12.331358024691356</v>
      </c>
      <c r="BE358">
        <f t="shared" si="71"/>
        <v>20.375966059259255</v>
      </c>
    </row>
    <row r="359" spans="6:57" x14ac:dyDescent="0.25">
      <c r="F359" s="9"/>
      <c r="G359" s="21">
        <v>1.26648E-2</v>
      </c>
      <c r="H359" s="21">
        <v>6.3880600000000003</v>
      </c>
      <c r="I359" s="21">
        <v>-1.4987199999999999E-2</v>
      </c>
      <c r="J359" s="21">
        <v>349</v>
      </c>
      <c r="K359" s="21">
        <v>1.2558E-2</v>
      </c>
      <c r="L359">
        <f t="shared" si="60"/>
        <v>18.502716049382713</v>
      </c>
      <c r="M359">
        <f t="shared" si="61"/>
        <v>0.23433319822222218</v>
      </c>
      <c r="N359" s="9"/>
      <c r="O359" s="21">
        <v>1.65741</v>
      </c>
      <c r="P359" s="21">
        <v>10.146800000000001</v>
      </c>
      <c r="Q359" s="21">
        <v>-1.0199E-2</v>
      </c>
      <c r="R359" s="21">
        <v>349</v>
      </c>
      <c r="S359" s="21">
        <v>1.65649</v>
      </c>
      <c r="T359">
        <f t="shared" si="62"/>
        <v>12.591358024691356</v>
      </c>
      <c r="U359">
        <f t="shared" si="63"/>
        <v>20.869042703703702</v>
      </c>
      <c r="X359" s="9"/>
      <c r="Y359" s="21">
        <v>1.26648E-2</v>
      </c>
      <c r="Z359" s="21">
        <v>17.584299999999999</v>
      </c>
      <c r="AA359" s="21">
        <v>-1.47552E-2</v>
      </c>
      <c r="AB359" s="21">
        <v>349</v>
      </c>
      <c r="AC359" s="21">
        <v>1.26617E-2</v>
      </c>
      <c r="AD359">
        <f t="shared" si="64"/>
        <v>18.216296296296292</v>
      </c>
      <c r="AE359">
        <f t="shared" si="65"/>
        <v>0.23070574933333329</v>
      </c>
      <c r="AF359" s="9"/>
      <c r="AG359" s="21">
        <v>1.65741</v>
      </c>
      <c r="AH359" s="21">
        <v>21.3431</v>
      </c>
      <c r="AI359" s="21">
        <v>-9.6588100000000003E-3</v>
      </c>
      <c r="AJ359" s="21">
        <v>349</v>
      </c>
      <c r="AK359" s="21">
        <v>1.6568000000000001</v>
      </c>
      <c r="AL359">
        <f t="shared" si="66"/>
        <v>11.924456790123456</v>
      </c>
      <c r="AM359">
        <f t="shared" si="67"/>
        <v>19.763713928518516</v>
      </c>
      <c r="AP359" s="9"/>
      <c r="AQ359" s="21">
        <v>1.26648E-2</v>
      </c>
      <c r="AR359" s="21">
        <v>26.836500000000001</v>
      </c>
      <c r="AS359" s="21">
        <v>-1.47461E-2</v>
      </c>
      <c r="AT359" s="21">
        <v>349</v>
      </c>
      <c r="AU359" s="21">
        <v>1.25854E-2</v>
      </c>
      <c r="AV359">
        <f t="shared" si="68"/>
        <v>18.205061728395062</v>
      </c>
      <c r="AW359">
        <f t="shared" si="69"/>
        <v>0.23056346577777778</v>
      </c>
      <c r="AX359" s="9"/>
      <c r="AY359" s="21">
        <v>1.65741</v>
      </c>
      <c r="AZ359" s="21">
        <v>30.595300000000002</v>
      </c>
      <c r="BA359" s="21">
        <v>-9.7503699999999995E-3</v>
      </c>
      <c r="BB359" s="21">
        <v>349</v>
      </c>
      <c r="BC359" s="21">
        <v>1.65649</v>
      </c>
      <c r="BD359">
        <f t="shared" si="70"/>
        <v>12.037493827160493</v>
      </c>
      <c r="BE359">
        <f t="shared" si="71"/>
        <v>19.951062644074071</v>
      </c>
    </row>
    <row r="360" spans="6:57" x14ac:dyDescent="0.25">
      <c r="F360" s="9"/>
      <c r="G360" s="21">
        <v>7.6293899999999998E-3</v>
      </c>
      <c r="H360" s="21">
        <v>6.3981300000000001</v>
      </c>
      <c r="I360" s="21">
        <v>-1.49902E-2</v>
      </c>
      <c r="J360" s="21">
        <v>350</v>
      </c>
      <c r="K360" s="21">
        <v>7.5103799999999997E-3</v>
      </c>
      <c r="L360">
        <f t="shared" si="60"/>
        <v>18.506419753086419</v>
      </c>
      <c r="M360">
        <f t="shared" si="61"/>
        <v>0.14119269379999999</v>
      </c>
      <c r="N360" s="9"/>
      <c r="O360" s="21">
        <v>1.66245</v>
      </c>
      <c r="P360" s="21">
        <v>10.1569</v>
      </c>
      <c r="Q360" s="21">
        <v>-9.9792500000000003E-3</v>
      </c>
      <c r="R360" s="21">
        <v>350</v>
      </c>
      <c r="S360" s="21">
        <v>1.66229</v>
      </c>
      <c r="T360">
        <f t="shared" si="62"/>
        <v>12.320061728395061</v>
      </c>
      <c r="U360">
        <f t="shared" si="63"/>
        <v>20.481486620370369</v>
      </c>
      <c r="X360" s="9"/>
      <c r="Y360" s="21">
        <v>7.6293899999999998E-3</v>
      </c>
      <c r="Z360" s="21">
        <v>17.5944</v>
      </c>
      <c r="AA360" s="21">
        <v>-1.4761399999999999E-2</v>
      </c>
      <c r="AB360" s="21">
        <v>350</v>
      </c>
      <c r="AC360" s="21">
        <v>7.6263399999999997E-3</v>
      </c>
      <c r="AD360">
        <f t="shared" si="64"/>
        <v>18.22395061728395</v>
      </c>
      <c r="AE360">
        <f t="shared" si="65"/>
        <v>0.13903762659999999</v>
      </c>
      <c r="AF360" s="9"/>
      <c r="AG360" s="21">
        <v>1.66245</v>
      </c>
      <c r="AH360" s="21">
        <v>21.353100000000001</v>
      </c>
      <c r="AI360" s="21">
        <v>-9.4055200000000005E-3</v>
      </c>
      <c r="AJ360" s="21">
        <v>350</v>
      </c>
      <c r="AK360" s="21">
        <v>1.66168</v>
      </c>
      <c r="AL360">
        <f t="shared" si="66"/>
        <v>11.611753086419752</v>
      </c>
      <c r="AM360">
        <f t="shared" si="67"/>
        <v>19.303958918518514</v>
      </c>
      <c r="AP360" s="9"/>
      <c r="AQ360" s="21">
        <v>7.6293899999999998E-3</v>
      </c>
      <c r="AR360" s="21">
        <v>26.846599999999999</v>
      </c>
      <c r="AS360" s="21">
        <v>-1.47522E-2</v>
      </c>
      <c r="AT360" s="21">
        <v>350</v>
      </c>
      <c r="AU360" s="21">
        <v>7.5012200000000003E-3</v>
      </c>
      <c r="AV360">
        <f t="shared" si="68"/>
        <v>18.212592592592593</v>
      </c>
      <c r="AW360">
        <f t="shared" si="69"/>
        <v>0.13895097179999999</v>
      </c>
      <c r="AX360" s="9"/>
      <c r="AY360" s="21">
        <v>1.66245</v>
      </c>
      <c r="AZ360" s="21">
        <v>30.605399999999999</v>
      </c>
      <c r="BA360" s="21">
        <v>-9.4970699999999998E-3</v>
      </c>
      <c r="BB360" s="21">
        <v>350</v>
      </c>
      <c r="BC360" s="21">
        <v>1.6619900000000001</v>
      </c>
      <c r="BD360">
        <f t="shared" si="70"/>
        <v>11.724777777777776</v>
      </c>
      <c r="BE360">
        <f t="shared" si="71"/>
        <v>19.491856816666662</v>
      </c>
    </row>
    <row r="361" spans="6:57" x14ac:dyDescent="0.25">
      <c r="F361" s="9"/>
      <c r="G361" s="21">
        <v>2.59399E-3</v>
      </c>
      <c r="H361" s="21">
        <v>6.4081999999999999</v>
      </c>
      <c r="I361" s="21">
        <v>-1.4996300000000001E-2</v>
      </c>
      <c r="J361" s="21">
        <v>351</v>
      </c>
      <c r="K361" s="21">
        <v>2.50549E-3</v>
      </c>
      <c r="L361">
        <f t="shared" si="60"/>
        <v>18.51395061728395</v>
      </c>
      <c r="M361">
        <f t="shared" si="61"/>
        <v>4.8025002761728393E-2</v>
      </c>
      <c r="N361" s="9"/>
      <c r="O361" s="21">
        <v>1.6674800000000001</v>
      </c>
      <c r="P361" s="21">
        <v>10.167</v>
      </c>
      <c r="Q361" s="21">
        <v>-9.7412100000000001E-3</v>
      </c>
      <c r="R361" s="21">
        <v>351</v>
      </c>
      <c r="S361" s="21">
        <v>1.6671800000000001</v>
      </c>
      <c r="T361">
        <f t="shared" si="62"/>
        <v>12.026185185185184</v>
      </c>
      <c r="U361">
        <f t="shared" si="63"/>
        <v>20.053423272592592</v>
      </c>
      <c r="X361" s="9"/>
      <c r="Y361" s="21">
        <v>2.59399E-3</v>
      </c>
      <c r="Z361" s="21">
        <v>17.604500000000002</v>
      </c>
      <c r="AA361" s="21">
        <v>-1.4767499999999999E-2</v>
      </c>
      <c r="AB361" s="21">
        <v>351</v>
      </c>
      <c r="AC361" s="21">
        <v>2.4993900000000002E-3</v>
      </c>
      <c r="AD361">
        <f t="shared" si="64"/>
        <v>18.231481481481481</v>
      </c>
      <c r="AE361">
        <f t="shared" si="65"/>
        <v>4.7292280648148145E-2</v>
      </c>
      <c r="AF361" s="9"/>
      <c r="AG361" s="21">
        <v>1.6674800000000001</v>
      </c>
      <c r="AH361" s="21">
        <v>21.363199999999999</v>
      </c>
      <c r="AI361" s="21">
        <v>-9.1369599999999995E-3</v>
      </c>
      <c r="AJ361" s="21">
        <v>351</v>
      </c>
      <c r="AK361" s="21">
        <v>1.66656</v>
      </c>
      <c r="AL361">
        <f t="shared" si="66"/>
        <v>11.280197530864196</v>
      </c>
      <c r="AM361">
        <f t="shared" si="67"/>
        <v>18.809503778765432</v>
      </c>
      <c r="AP361" s="9"/>
      <c r="AQ361" s="21">
        <v>2.59399E-3</v>
      </c>
      <c r="AR361" s="21">
        <v>26.8567</v>
      </c>
      <c r="AS361" s="21">
        <v>-1.47552E-2</v>
      </c>
      <c r="AT361" s="21">
        <v>351</v>
      </c>
      <c r="AU361" s="21">
        <v>2.47803E-3</v>
      </c>
      <c r="AV361">
        <f t="shared" si="68"/>
        <v>18.216296296296292</v>
      </c>
      <c r="AW361">
        <f t="shared" si="69"/>
        <v>4.7252890429629622E-2</v>
      </c>
      <c r="AX361" s="9"/>
      <c r="AY361" s="21">
        <v>1.6674800000000001</v>
      </c>
      <c r="AZ361" s="21">
        <v>30.615400000000001</v>
      </c>
      <c r="BA361" s="21">
        <v>-9.2285200000000005E-3</v>
      </c>
      <c r="BB361" s="21">
        <v>351</v>
      </c>
      <c r="BC361" s="21">
        <v>1.6671800000000001</v>
      </c>
      <c r="BD361">
        <f t="shared" si="70"/>
        <v>11.393234567901235</v>
      </c>
      <c r="BE361">
        <f t="shared" si="71"/>
        <v>18.997990777283952</v>
      </c>
    </row>
    <row r="362" spans="6:57" x14ac:dyDescent="0.25">
      <c r="F362" s="9"/>
      <c r="G362" s="21">
        <v>-2.4414100000000002E-3</v>
      </c>
      <c r="H362" s="21">
        <v>6.4182699999999997</v>
      </c>
      <c r="I362" s="21">
        <v>-1.5008499999999999E-2</v>
      </c>
      <c r="J362" s="21">
        <v>352</v>
      </c>
      <c r="K362" s="21">
        <v>-2.6001000000000002E-3</v>
      </c>
      <c r="L362">
        <f t="shared" si="60"/>
        <v>18.529012345679011</v>
      </c>
      <c r="M362">
        <f t="shared" si="61"/>
        <v>-4.5236916030864195E-2</v>
      </c>
      <c r="N362" s="9"/>
      <c r="O362" s="21">
        <v>1.67252</v>
      </c>
      <c r="P362" s="21">
        <v>10.177</v>
      </c>
      <c r="Q362" s="21">
        <v>-9.4726600000000008E-3</v>
      </c>
      <c r="R362" s="21">
        <v>352</v>
      </c>
      <c r="S362" s="21">
        <v>1.6720600000000001</v>
      </c>
      <c r="T362">
        <f t="shared" si="62"/>
        <v>11.694641975308642</v>
      </c>
      <c r="U362">
        <f t="shared" si="63"/>
        <v>19.559522596543211</v>
      </c>
      <c r="X362" s="9"/>
      <c r="Y362" s="21">
        <v>-2.4414100000000002E-3</v>
      </c>
      <c r="Z362" s="21">
        <v>17.6145</v>
      </c>
      <c r="AA362" s="21">
        <v>-1.47736E-2</v>
      </c>
      <c r="AB362" s="21">
        <v>352</v>
      </c>
      <c r="AC362" s="21">
        <v>-2.6763899999999998E-3</v>
      </c>
      <c r="AD362">
        <f t="shared" si="64"/>
        <v>18.239012345679011</v>
      </c>
      <c r="AE362">
        <f t="shared" si="65"/>
        <v>-4.4528907130864201E-2</v>
      </c>
      <c r="AF362" s="9"/>
      <c r="AG362" s="21">
        <v>1.67252</v>
      </c>
      <c r="AH362" s="21">
        <v>21.3733</v>
      </c>
      <c r="AI362" s="21">
        <v>-8.8470500000000004E-3</v>
      </c>
      <c r="AJ362" s="21">
        <v>352</v>
      </c>
      <c r="AK362" s="21">
        <v>1.6717500000000001</v>
      </c>
      <c r="AL362">
        <f t="shared" si="66"/>
        <v>10.922283950617285</v>
      </c>
      <c r="AM362">
        <f t="shared" si="67"/>
        <v>18.267738353086422</v>
      </c>
      <c r="AP362" s="9"/>
      <c r="AQ362" s="21">
        <v>-2.4414100000000002E-3</v>
      </c>
      <c r="AR362" s="21">
        <v>26.866800000000001</v>
      </c>
      <c r="AS362" s="21">
        <v>-1.47583E-2</v>
      </c>
      <c r="AT362" s="21">
        <v>352</v>
      </c>
      <c r="AU362" s="21">
        <v>-2.6367199999999999E-3</v>
      </c>
      <c r="AV362">
        <f t="shared" si="68"/>
        <v>18.22012345679012</v>
      </c>
      <c r="AW362">
        <f t="shared" si="69"/>
        <v>-4.4482791608641971E-2</v>
      </c>
      <c r="AX362" s="9"/>
      <c r="AY362" s="21">
        <v>1.67252</v>
      </c>
      <c r="AZ362" s="21">
        <v>30.625499999999999</v>
      </c>
      <c r="BA362" s="21">
        <v>-8.9294400000000003E-3</v>
      </c>
      <c r="BB362" s="21">
        <v>352</v>
      </c>
      <c r="BC362" s="21">
        <v>1.6723600000000001</v>
      </c>
      <c r="BD362">
        <f t="shared" si="70"/>
        <v>11.023999999999999</v>
      </c>
      <c r="BE362">
        <f t="shared" si="71"/>
        <v>18.437860479999998</v>
      </c>
    </row>
    <row r="363" spans="6:57" x14ac:dyDescent="0.25">
      <c r="F363" s="9"/>
      <c r="G363" s="21">
        <v>-7.4768100000000004E-3</v>
      </c>
      <c r="H363" s="21">
        <v>6.4283400000000004</v>
      </c>
      <c r="I363" s="21">
        <v>-1.50116E-2</v>
      </c>
      <c r="J363" s="21">
        <v>353</v>
      </c>
      <c r="K363" s="21">
        <v>-7.6995800000000001E-3</v>
      </c>
      <c r="L363">
        <f t="shared" si="60"/>
        <v>18.532839506172838</v>
      </c>
      <c r="M363">
        <f t="shared" si="61"/>
        <v>-0.13856651974814815</v>
      </c>
      <c r="N363" s="9"/>
      <c r="O363" s="21">
        <v>1.6775500000000001</v>
      </c>
      <c r="P363" s="21">
        <v>10.187099999999999</v>
      </c>
      <c r="Q363" s="21">
        <v>-9.1735800000000006E-3</v>
      </c>
      <c r="R363" s="21">
        <v>353</v>
      </c>
      <c r="S363" s="21">
        <v>1.6769400000000001</v>
      </c>
      <c r="T363">
        <f t="shared" si="62"/>
        <v>11.325407407407408</v>
      </c>
      <c r="U363">
        <f t="shared" si="63"/>
        <v>18.998937196296296</v>
      </c>
      <c r="X363" s="9"/>
      <c r="Y363" s="21">
        <v>-7.4768100000000004E-3</v>
      </c>
      <c r="Z363" s="21">
        <v>17.624600000000001</v>
      </c>
      <c r="AA363" s="21">
        <v>-1.4767499999999999E-2</v>
      </c>
      <c r="AB363" s="21">
        <v>353</v>
      </c>
      <c r="AC363" s="21">
        <v>-7.6843299999999996E-3</v>
      </c>
      <c r="AD363">
        <f t="shared" si="64"/>
        <v>18.231481481481481</v>
      </c>
      <c r="AE363">
        <f t="shared" si="65"/>
        <v>-0.13631332305555555</v>
      </c>
      <c r="AF363" s="9"/>
      <c r="AG363" s="21">
        <v>1.6775500000000001</v>
      </c>
      <c r="AH363" s="21">
        <v>21.383400000000002</v>
      </c>
      <c r="AI363" s="21">
        <v>-8.5266100000000004E-3</v>
      </c>
      <c r="AJ363" s="21">
        <v>353</v>
      </c>
      <c r="AK363" s="21">
        <v>1.6769400000000001</v>
      </c>
      <c r="AL363">
        <f t="shared" si="66"/>
        <v>10.52667901234568</v>
      </c>
      <c r="AM363">
        <f t="shared" si="67"/>
        <v>17.659030377160494</v>
      </c>
      <c r="AP363" s="9"/>
      <c r="AQ363" s="21">
        <v>-7.4768100000000004E-3</v>
      </c>
      <c r="AR363" s="21">
        <v>26.876799999999999</v>
      </c>
      <c r="AS363" s="21">
        <v>-1.4770500000000001E-2</v>
      </c>
      <c r="AT363" s="21">
        <v>353</v>
      </c>
      <c r="AU363" s="21">
        <v>-7.6629599999999999E-3</v>
      </c>
      <c r="AV363">
        <f t="shared" si="68"/>
        <v>18.235185185185184</v>
      </c>
      <c r="AW363">
        <f t="shared" si="69"/>
        <v>-0.13634101494444445</v>
      </c>
      <c r="AX363" s="9"/>
      <c r="AY363" s="21">
        <v>1.6775500000000001</v>
      </c>
      <c r="AZ363" s="21">
        <v>30.6356</v>
      </c>
      <c r="BA363" s="21">
        <v>-8.6090100000000003E-3</v>
      </c>
      <c r="BB363" s="21">
        <v>353</v>
      </c>
      <c r="BC363" s="21">
        <v>1.6769400000000001</v>
      </c>
      <c r="BD363">
        <f t="shared" si="70"/>
        <v>10.628407407407408</v>
      </c>
      <c r="BE363">
        <f t="shared" si="71"/>
        <v>17.829684846296299</v>
      </c>
    </row>
    <row r="364" spans="6:57" x14ac:dyDescent="0.25">
      <c r="F364" s="9"/>
      <c r="G364" s="21">
        <v>-1.2512199999999999E-2</v>
      </c>
      <c r="H364" s="21">
        <v>6.4384100000000002</v>
      </c>
      <c r="I364" s="21">
        <v>-1.5014599999999999E-2</v>
      </c>
      <c r="J364" s="21">
        <v>354</v>
      </c>
      <c r="K364" s="21">
        <v>-1.2731900000000001E-2</v>
      </c>
      <c r="L364">
        <f t="shared" si="60"/>
        <v>18.536543209876541</v>
      </c>
      <c r="M364">
        <f t="shared" si="61"/>
        <v>-0.23193293595061726</v>
      </c>
      <c r="N364" s="9"/>
      <c r="O364" s="21">
        <v>1.68259</v>
      </c>
      <c r="P364" s="21">
        <v>10.1972</v>
      </c>
      <c r="Q364" s="21">
        <v>-8.8531500000000006E-3</v>
      </c>
      <c r="R364" s="21">
        <v>354</v>
      </c>
      <c r="S364" s="21">
        <v>1.6815199999999999</v>
      </c>
      <c r="T364">
        <f t="shared" si="62"/>
        <v>10.929814814814813</v>
      </c>
      <c r="U364">
        <f t="shared" si="63"/>
        <v>18.390397109259258</v>
      </c>
      <c r="X364" s="9"/>
      <c r="Y364" s="21">
        <v>-1.2512199999999999E-2</v>
      </c>
      <c r="Z364" s="21">
        <v>17.634699999999999</v>
      </c>
      <c r="AA364" s="21">
        <v>-1.4776600000000001E-2</v>
      </c>
      <c r="AB364" s="21">
        <v>354</v>
      </c>
      <c r="AC364" s="21">
        <v>-1.27136E-2</v>
      </c>
      <c r="AD364">
        <f t="shared" si="64"/>
        <v>18.242716049382715</v>
      </c>
      <c r="AE364">
        <f t="shared" si="65"/>
        <v>-0.22825651175308639</v>
      </c>
      <c r="AF364" s="9"/>
      <c r="AG364" s="21">
        <v>1.68259</v>
      </c>
      <c r="AH364" s="21">
        <v>21.3934</v>
      </c>
      <c r="AI364" s="21">
        <v>-8.1542999999999997E-3</v>
      </c>
      <c r="AJ364" s="21">
        <v>354</v>
      </c>
      <c r="AK364" s="21">
        <v>1.6821299999999999</v>
      </c>
      <c r="AL364">
        <f t="shared" si="66"/>
        <v>10.067037037037036</v>
      </c>
      <c r="AM364">
        <f t="shared" si="67"/>
        <v>16.938695848148146</v>
      </c>
      <c r="AP364" s="9"/>
      <c r="AQ364" s="21">
        <v>-1.2512199999999999E-2</v>
      </c>
      <c r="AR364" s="21">
        <v>26.886900000000001</v>
      </c>
      <c r="AS364" s="21">
        <v>-1.47797E-2</v>
      </c>
      <c r="AT364" s="21">
        <v>354</v>
      </c>
      <c r="AU364" s="21">
        <v>-1.2588500000000001E-2</v>
      </c>
      <c r="AV364">
        <f t="shared" si="68"/>
        <v>18.246543209876542</v>
      </c>
      <c r="AW364">
        <f t="shared" si="69"/>
        <v>-0.22830439795061724</v>
      </c>
      <c r="AX364" s="9"/>
      <c r="AY364" s="21">
        <v>1.68259</v>
      </c>
      <c r="AZ364" s="21">
        <v>30.645700000000001</v>
      </c>
      <c r="BA364" s="21">
        <v>-8.2611100000000003E-3</v>
      </c>
      <c r="BB364" s="21">
        <v>354</v>
      </c>
      <c r="BC364" s="21">
        <v>1.6824300000000001</v>
      </c>
      <c r="BD364">
        <f t="shared" si="70"/>
        <v>10.198901234567902</v>
      </c>
      <c r="BE364">
        <f t="shared" si="71"/>
        <v>17.160569228271608</v>
      </c>
    </row>
    <row r="365" spans="6:57" x14ac:dyDescent="0.25">
      <c r="F365" s="9"/>
      <c r="G365" s="21">
        <v>-1.75476E-2</v>
      </c>
      <c r="H365" s="21">
        <v>6.44848</v>
      </c>
      <c r="I365" s="21">
        <v>-1.50177E-2</v>
      </c>
      <c r="J365" s="21">
        <v>355</v>
      </c>
      <c r="K365" s="21">
        <v>-1.7791700000000001E-2</v>
      </c>
      <c r="L365">
        <f t="shared" si="60"/>
        <v>18.540370370370372</v>
      </c>
      <c r="M365">
        <f t="shared" si="61"/>
        <v>-0.32533900311111114</v>
      </c>
      <c r="N365" s="9"/>
      <c r="O365" s="21">
        <v>1.6876199999999999</v>
      </c>
      <c r="P365" s="21">
        <v>10.2073</v>
      </c>
      <c r="Q365" s="21">
        <v>-8.5021999999999997E-3</v>
      </c>
      <c r="R365" s="21">
        <v>355</v>
      </c>
      <c r="S365" s="21">
        <v>1.6867099999999999</v>
      </c>
      <c r="T365">
        <f t="shared" si="62"/>
        <v>10.496543209876542</v>
      </c>
      <c r="U365">
        <f t="shared" si="63"/>
        <v>17.71417625185185</v>
      </c>
      <c r="X365" s="9"/>
      <c r="Y365" s="21">
        <v>-1.75476E-2</v>
      </c>
      <c r="Z365" s="21">
        <v>17.6447</v>
      </c>
      <c r="AA365" s="21">
        <v>-1.47888E-2</v>
      </c>
      <c r="AB365" s="21">
        <v>355</v>
      </c>
      <c r="AC365" s="21">
        <v>-1.7700199999999999E-2</v>
      </c>
      <c r="AD365">
        <f t="shared" si="64"/>
        <v>18.257777777777775</v>
      </c>
      <c r="AE365">
        <f t="shared" si="65"/>
        <v>-0.32038018133333329</v>
      </c>
      <c r="AF365" s="9"/>
      <c r="AG365" s="21">
        <v>1.6876199999999999</v>
      </c>
      <c r="AH365" s="21">
        <v>21.403500000000001</v>
      </c>
      <c r="AI365" s="21">
        <v>-7.7697799999999996E-3</v>
      </c>
      <c r="AJ365" s="21">
        <v>355</v>
      </c>
      <c r="AK365" s="21">
        <v>1.6873199999999999</v>
      </c>
      <c r="AL365">
        <f t="shared" si="66"/>
        <v>9.5923209876543183</v>
      </c>
      <c r="AM365">
        <f t="shared" si="67"/>
        <v>16.18819274518518</v>
      </c>
      <c r="AP365" s="9"/>
      <c r="AQ365" s="21">
        <v>-1.75476E-2</v>
      </c>
      <c r="AR365" s="21">
        <v>26.896999999999998</v>
      </c>
      <c r="AS365" s="21">
        <v>-1.47858E-2</v>
      </c>
      <c r="AT365" s="21">
        <v>355</v>
      </c>
      <c r="AU365" s="21">
        <v>-1.77094E-2</v>
      </c>
      <c r="AV365">
        <f t="shared" si="68"/>
        <v>18.254074074074072</v>
      </c>
      <c r="AW365">
        <f t="shared" si="69"/>
        <v>-0.32031519022222221</v>
      </c>
      <c r="AX365" s="9"/>
      <c r="AY365" s="21">
        <v>1.6876199999999999</v>
      </c>
      <c r="AZ365" s="21">
        <v>30.6557</v>
      </c>
      <c r="BA365" s="21">
        <v>-7.8887899999999997E-3</v>
      </c>
      <c r="BB365" s="21">
        <v>355</v>
      </c>
      <c r="BC365" s="21">
        <v>1.6870099999999999</v>
      </c>
      <c r="BD365">
        <f t="shared" si="70"/>
        <v>9.7392469135802457</v>
      </c>
      <c r="BE365">
        <f t="shared" si="71"/>
        <v>16.436147876296292</v>
      </c>
    </row>
    <row r="366" spans="6:57" x14ac:dyDescent="0.25">
      <c r="F366" s="9"/>
      <c r="G366" s="21">
        <v>-2.2582999999999999E-2</v>
      </c>
      <c r="H366" s="21">
        <v>6.4585600000000003</v>
      </c>
      <c r="I366" s="21">
        <v>-1.50238E-2</v>
      </c>
      <c r="J366" s="21">
        <v>356</v>
      </c>
      <c r="K366" s="21">
        <v>-2.2845500000000001E-2</v>
      </c>
      <c r="L366">
        <f t="shared" si="60"/>
        <v>18.547901234567902</v>
      </c>
      <c r="M366">
        <f t="shared" si="61"/>
        <v>-0.4188672535802469</v>
      </c>
      <c r="N366" s="9"/>
      <c r="O366" s="21">
        <v>1.6926600000000001</v>
      </c>
      <c r="P366" s="21">
        <v>10.2173</v>
      </c>
      <c r="Q366" s="21">
        <v>-8.1268299999999998E-3</v>
      </c>
      <c r="R366" s="21">
        <v>356</v>
      </c>
      <c r="S366" s="21">
        <v>1.6921999999999999</v>
      </c>
      <c r="T366">
        <f t="shared" si="62"/>
        <v>10.033123456790122</v>
      </c>
      <c r="U366">
        <f t="shared" si="63"/>
        <v>16.982666750370367</v>
      </c>
      <c r="X366" s="9"/>
      <c r="Y366" s="21">
        <v>-2.2582999999999999E-2</v>
      </c>
      <c r="Z366" s="21">
        <v>17.654800000000002</v>
      </c>
      <c r="AA366" s="21">
        <v>-1.4804100000000001E-2</v>
      </c>
      <c r="AB366" s="21">
        <v>356</v>
      </c>
      <c r="AC366" s="21">
        <v>-2.2790500000000002E-2</v>
      </c>
      <c r="AD366">
        <f t="shared" si="64"/>
        <v>18.276666666666667</v>
      </c>
      <c r="AE366">
        <f t="shared" si="65"/>
        <v>-0.41274196333333335</v>
      </c>
      <c r="AF366" s="9"/>
      <c r="AG366" s="21">
        <v>1.6926600000000001</v>
      </c>
      <c r="AH366" s="21">
        <v>21.413599999999999</v>
      </c>
      <c r="AI366" s="21">
        <v>-7.3272700000000003E-3</v>
      </c>
      <c r="AJ366" s="21">
        <v>356</v>
      </c>
      <c r="AK366" s="21">
        <v>1.6918899999999999</v>
      </c>
      <c r="AL366">
        <f t="shared" si="66"/>
        <v>9.0460123456790118</v>
      </c>
      <c r="AM366">
        <f t="shared" si="67"/>
        <v>15.311823257037037</v>
      </c>
      <c r="AP366" s="9"/>
      <c r="AQ366" s="21">
        <v>-2.2582999999999999E-2</v>
      </c>
      <c r="AR366" s="21">
        <v>26.907</v>
      </c>
      <c r="AS366" s="21">
        <v>-1.47949E-2</v>
      </c>
      <c r="AT366" s="21">
        <v>356</v>
      </c>
      <c r="AU366" s="21">
        <v>-2.2830199999999998E-2</v>
      </c>
      <c r="AV366">
        <f t="shared" si="68"/>
        <v>18.265308641975306</v>
      </c>
      <c r="AW366">
        <f t="shared" si="69"/>
        <v>-0.41248546506172834</v>
      </c>
      <c r="AX366" s="9"/>
      <c r="AY366" s="21">
        <v>1.6926600000000001</v>
      </c>
      <c r="AZ366" s="21">
        <v>30.665800000000001</v>
      </c>
      <c r="BA366" s="21">
        <v>-7.4523899999999997E-3</v>
      </c>
      <c r="BB366" s="21">
        <v>356</v>
      </c>
      <c r="BC366" s="21">
        <v>1.6918899999999999</v>
      </c>
      <c r="BD366">
        <f t="shared" si="70"/>
        <v>9.2004814814814821</v>
      </c>
      <c r="BE366">
        <f t="shared" si="71"/>
        <v>15.573286984444445</v>
      </c>
    </row>
    <row r="367" spans="6:57" x14ac:dyDescent="0.25">
      <c r="F367" s="9"/>
      <c r="G367" s="21">
        <v>-2.7618400000000001E-2</v>
      </c>
      <c r="H367" s="21">
        <v>6.4686300000000001</v>
      </c>
      <c r="I367" s="21">
        <v>-1.5026899999999999E-2</v>
      </c>
      <c r="J367" s="21">
        <v>357</v>
      </c>
      <c r="K367" s="21">
        <v>-2.7792399999999998E-2</v>
      </c>
      <c r="L367">
        <f t="shared" si="60"/>
        <v>18.551728395061726</v>
      </c>
      <c r="M367">
        <f t="shared" si="61"/>
        <v>-0.51236905550617284</v>
      </c>
      <c r="N367" s="9"/>
      <c r="O367" s="21">
        <v>1.6976899999999999</v>
      </c>
      <c r="P367" s="21">
        <v>10.227399999999999</v>
      </c>
      <c r="Q367" s="21">
        <v>-7.7148399999999997E-3</v>
      </c>
      <c r="R367" s="21">
        <v>357</v>
      </c>
      <c r="S367" s="21">
        <v>1.69739</v>
      </c>
      <c r="T367">
        <f t="shared" si="62"/>
        <v>9.5244938271604926</v>
      </c>
      <c r="U367">
        <f t="shared" si="63"/>
        <v>16.169637925432095</v>
      </c>
      <c r="X367" s="9"/>
      <c r="Y367" s="21">
        <v>-2.7618400000000001E-2</v>
      </c>
      <c r="Z367" s="21">
        <v>17.664899999999999</v>
      </c>
      <c r="AA367" s="21">
        <v>-1.4816299999999999E-2</v>
      </c>
      <c r="AB367" s="21">
        <v>357</v>
      </c>
      <c r="AC367" s="21">
        <v>-2.7929699999999998E-2</v>
      </c>
      <c r="AD367">
        <f t="shared" si="64"/>
        <v>18.291728395061728</v>
      </c>
      <c r="AE367">
        <f t="shared" si="65"/>
        <v>-0.50518827150617285</v>
      </c>
      <c r="AF367" s="9"/>
      <c r="AG367" s="21">
        <v>1.6976899999999999</v>
      </c>
      <c r="AH367" s="21">
        <v>21.4236</v>
      </c>
      <c r="AI367" s="21">
        <v>-6.8542500000000001E-3</v>
      </c>
      <c r="AJ367" s="21">
        <v>357</v>
      </c>
      <c r="AK367" s="21">
        <v>1.6970799999999999</v>
      </c>
      <c r="AL367">
        <f t="shared" si="66"/>
        <v>8.462037037037037</v>
      </c>
      <c r="AM367">
        <f t="shared" si="67"/>
        <v>14.365915657407406</v>
      </c>
      <c r="AP367" s="9"/>
      <c r="AQ367" s="21">
        <v>-2.7618400000000001E-2</v>
      </c>
      <c r="AR367" s="21">
        <v>26.917100000000001</v>
      </c>
      <c r="AS367" s="21">
        <v>-1.47949E-2</v>
      </c>
      <c r="AT367" s="21">
        <v>357</v>
      </c>
      <c r="AU367" s="21">
        <v>-2.7862499999999998E-2</v>
      </c>
      <c r="AV367">
        <f t="shared" si="68"/>
        <v>18.265308641975306</v>
      </c>
      <c r="AW367">
        <f t="shared" si="69"/>
        <v>-0.50445860019753086</v>
      </c>
      <c r="AX367" s="9"/>
      <c r="AY367" s="21">
        <v>1.6976899999999999</v>
      </c>
      <c r="AZ367" s="21">
        <v>30.675899999999999</v>
      </c>
      <c r="BA367" s="21">
        <v>-6.9793700000000004E-3</v>
      </c>
      <c r="BB367" s="21">
        <v>357</v>
      </c>
      <c r="BC367" s="21">
        <v>1.69739</v>
      </c>
      <c r="BD367">
        <f t="shared" si="70"/>
        <v>8.6165061728395056</v>
      </c>
      <c r="BE367">
        <f t="shared" si="71"/>
        <v>14.6281563645679</v>
      </c>
    </row>
    <row r="368" spans="6:57" x14ac:dyDescent="0.25">
      <c r="F368" s="9"/>
      <c r="G368" s="21">
        <v>-3.2653799999999997E-2</v>
      </c>
      <c r="H368" s="21">
        <v>6.4786999999999999</v>
      </c>
      <c r="I368" s="21">
        <v>-1.5026899999999999E-2</v>
      </c>
      <c r="J368" s="21">
        <v>358</v>
      </c>
      <c r="K368" s="21">
        <v>-3.29254E-2</v>
      </c>
      <c r="L368">
        <f t="shared" si="60"/>
        <v>18.551728395061726</v>
      </c>
      <c r="M368">
        <f t="shared" si="61"/>
        <v>-0.60578442866666649</v>
      </c>
      <c r="N368" s="9"/>
      <c r="O368" s="21">
        <v>1.7027300000000001</v>
      </c>
      <c r="P368" s="21">
        <v>10.237500000000001</v>
      </c>
      <c r="Q368" s="21">
        <v>-7.2418200000000004E-3</v>
      </c>
      <c r="R368" s="21">
        <v>358</v>
      </c>
      <c r="S368" s="21">
        <v>1.70258</v>
      </c>
      <c r="T368">
        <f t="shared" si="62"/>
        <v>8.9405185185185179</v>
      </c>
      <c r="U368">
        <f t="shared" si="63"/>
        <v>15.223289097037037</v>
      </c>
      <c r="X368" s="9"/>
      <c r="Y368" s="21">
        <v>-3.2653799999999997E-2</v>
      </c>
      <c r="Z368" s="21">
        <v>17.675000000000001</v>
      </c>
      <c r="AA368" s="21">
        <v>-1.4831499999999999E-2</v>
      </c>
      <c r="AB368" s="21">
        <v>358</v>
      </c>
      <c r="AC368" s="21">
        <v>-3.30383E-2</v>
      </c>
      <c r="AD368">
        <f t="shared" si="64"/>
        <v>18.310493827160489</v>
      </c>
      <c r="AE368">
        <f t="shared" si="65"/>
        <v>-0.59790720333333314</v>
      </c>
      <c r="AF368" s="9"/>
      <c r="AG368" s="21">
        <v>1.7027300000000001</v>
      </c>
      <c r="AH368" s="21">
        <v>21.433700000000002</v>
      </c>
      <c r="AI368" s="21">
        <v>-6.3324000000000002E-3</v>
      </c>
      <c r="AJ368" s="21">
        <v>358</v>
      </c>
      <c r="AK368" s="21">
        <v>1.70166</v>
      </c>
      <c r="AL368">
        <f t="shared" si="66"/>
        <v>7.8177777777777777</v>
      </c>
      <c r="AM368">
        <f t="shared" si="67"/>
        <v>13.311564755555557</v>
      </c>
      <c r="AP368" s="9"/>
      <c r="AQ368" s="21">
        <v>-3.2653799999999997E-2</v>
      </c>
      <c r="AR368" s="21">
        <v>26.927199999999999</v>
      </c>
      <c r="AS368" s="21">
        <v>-1.4798E-2</v>
      </c>
      <c r="AT368" s="21">
        <v>358</v>
      </c>
      <c r="AU368" s="21">
        <v>-3.3004800000000001E-2</v>
      </c>
      <c r="AV368">
        <f t="shared" si="68"/>
        <v>18.269135802469137</v>
      </c>
      <c r="AW368">
        <f t="shared" si="69"/>
        <v>-0.5965567066666666</v>
      </c>
      <c r="AX368" s="9"/>
      <c r="AY368" s="21">
        <v>1.7027300000000001</v>
      </c>
      <c r="AZ368" s="21">
        <v>30.6859</v>
      </c>
      <c r="BA368" s="21">
        <v>-6.4483600000000002E-3</v>
      </c>
      <c r="BB368" s="21">
        <v>358</v>
      </c>
      <c r="BC368" s="21">
        <v>1.70197</v>
      </c>
      <c r="BD368">
        <f t="shared" si="70"/>
        <v>7.9609382716049373</v>
      </c>
      <c r="BE368">
        <f t="shared" si="71"/>
        <v>13.555328423209875</v>
      </c>
    </row>
    <row r="369" spans="6:57" x14ac:dyDescent="0.25">
      <c r="F369" s="9"/>
      <c r="G369" s="21">
        <v>-3.7689199999999999E-2</v>
      </c>
      <c r="H369" s="21">
        <v>6.4887699999999997</v>
      </c>
      <c r="I369" s="21">
        <v>-1.5026899999999999E-2</v>
      </c>
      <c r="J369" s="21">
        <v>359</v>
      </c>
      <c r="K369" s="21">
        <v>-3.7994399999999998E-2</v>
      </c>
      <c r="L369">
        <f t="shared" si="60"/>
        <v>18.551728395061726</v>
      </c>
      <c r="M369">
        <f t="shared" si="61"/>
        <v>-0.69919980182716035</v>
      </c>
      <c r="N369" s="9"/>
      <c r="O369" s="21">
        <v>1.7077599999999999</v>
      </c>
      <c r="P369" s="21">
        <v>10.2475</v>
      </c>
      <c r="Q369" s="21">
        <v>-6.7260699999999998E-3</v>
      </c>
      <c r="R369" s="21">
        <v>359</v>
      </c>
      <c r="S369" s="21">
        <v>1.7071499999999999</v>
      </c>
      <c r="T369">
        <f t="shared" si="62"/>
        <v>8.3037901234567908</v>
      </c>
      <c r="U369">
        <f t="shared" si="63"/>
        <v>14.180880621234568</v>
      </c>
      <c r="X369" s="9"/>
      <c r="Y369" s="21">
        <v>-3.7689199999999999E-2</v>
      </c>
      <c r="Z369" s="21">
        <v>17.684999999999999</v>
      </c>
      <c r="AA369" s="21">
        <v>-1.48407E-2</v>
      </c>
      <c r="AB369" s="21">
        <v>359</v>
      </c>
      <c r="AC369" s="21">
        <v>-3.7985199999999997E-2</v>
      </c>
      <c r="AD369">
        <f t="shared" si="64"/>
        <v>18.32185185185185</v>
      </c>
      <c r="AE369">
        <f t="shared" si="65"/>
        <v>-0.69053593881481468</v>
      </c>
      <c r="AF369" s="9"/>
      <c r="AG369" s="21">
        <v>1.7077599999999999</v>
      </c>
      <c r="AH369" s="21">
        <v>21.4438</v>
      </c>
      <c r="AI369" s="21">
        <v>-5.7159400000000001E-3</v>
      </c>
      <c r="AJ369" s="21">
        <v>359</v>
      </c>
      <c r="AK369" s="21">
        <v>1.7065399999999999</v>
      </c>
      <c r="AL369">
        <f t="shared" si="66"/>
        <v>7.0567160493827163</v>
      </c>
      <c r="AM369">
        <f t="shared" si="67"/>
        <v>12.051177400493827</v>
      </c>
      <c r="AP369" s="9"/>
      <c r="AQ369" s="21">
        <v>-3.7689199999999999E-2</v>
      </c>
      <c r="AR369" s="21">
        <v>26.9373</v>
      </c>
      <c r="AS369" s="21">
        <v>-1.4810200000000001E-2</v>
      </c>
      <c r="AT369" s="21">
        <v>359</v>
      </c>
      <c r="AU369" s="21">
        <v>-3.7942499999999997E-2</v>
      </c>
      <c r="AV369">
        <f t="shared" si="68"/>
        <v>18.284197530864198</v>
      </c>
      <c r="AW369">
        <f t="shared" si="69"/>
        <v>-0.68911677758024692</v>
      </c>
      <c r="AX369" s="9"/>
      <c r="AY369" s="21">
        <v>1.7077599999999999</v>
      </c>
      <c r="AZ369" s="21">
        <v>30.696000000000002</v>
      </c>
      <c r="BA369" s="21">
        <v>-5.8471699999999996E-3</v>
      </c>
      <c r="BB369" s="21">
        <v>359</v>
      </c>
      <c r="BC369" s="21">
        <v>1.7071499999999999</v>
      </c>
      <c r="BD369">
        <f t="shared" si="70"/>
        <v>7.2187283950617269</v>
      </c>
      <c r="BE369">
        <f t="shared" si="71"/>
        <v>12.327855603950614</v>
      </c>
    </row>
    <row r="370" spans="6:57" x14ac:dyDescent="0.25">
      <c r="F370" s="9"/>
      <c r="G370" s="21">
        <v>-4.2724600000000001E-2</v>
      </c>
      <c r="H370" s="21">
        <v>6.4988400000000004</v>
      </c>
      <c r="I370" s="21">
        <v>-1.50238E-2</v>
      </c>
      <c r="J370" s="21">
        <v>360</v>
      </c>
      <c r="K370" s="21">
        <v>-4.2929099999999998E-2</v>
      </c>
      <c r="L370">
        <f t="shared" si="60"/>
        <v>18.547901234567902</v>
      </c>
      <c r="M370">
        <f t="shared" si="61"/>
        <v>-0.79245166108641985</v>
      </c>
      <c r="N370" s="9"/>
      <c r="O370" s="21">
        <v>1.7128000000000001</v>
      </c>
      <c r="P370" s="21">
        <v>10.2576</v>
      </c>
      <c r="Q370" s="21">
        <v>-6.1523400000000001E-3</v>
      </c>
      <c r="R370" s="21">
        <v>360</v>
      </c>
      <c r="S370" s="21">
        <v>1.71234</v>
      </c>
      <c r="T370">
        <f t="shared" si="62"/>
        <v>7.5954814814814808</v>
      </c>
      <c r="U370">
        <f t="shared" si="63"/>
        <v>13.00954068148148</v>
      </c>
      <c r="X370" s="9"/>
      <c r="Y370" s="21">
        <v>-4.2724600000000001E-2</v>
      </c>
      <c r="Z370" s="21">
        <v>17.6951</v>
      </c>
      <c r="AA370" s="21">
        <v>-1.48468E-2</v>
      </c>
      <c r="AB370" s="21">
        <v>360</v>
      </c>
      <c r="AC370" s="21">
        <v>-4.2974900000000003E-2</v>
      </c>
      <c r="AD370">
        <f t="shared" si="64"/>
        <v>18.329382716049381</v>
      </c>
      <c r="AE370">
        <f t="shared" si="65"/>
        <v>-0.78311554479012335</v>
      </c>
      <c r="AF370" s="9"/>
      <c r="AG370" s="21">
        <v>1.7128000000000001</v>
      </c>
      <c r="AH370" s="21">
        <v>21.453900000000001</v>
      </c>
      <c r="AI370" s="21">
        <v>-5.0201400000000002E-3</v>
      </c>
      <c r="AJ370" s="21">
        <v>360</v>
      </c>
      <c r="AK370" s="21">
        <v>1.71204</v>
      </c>
      <c r="AL370">
        <f t="shared" si="66"/>
        <v>6.1977037037037039</v>
      </c>
      <c r="AM370">
        <f t="shared" si="67"/>
        <v>10.615426903703705</v>
      </c>
      <c r="AP370" s="9"/>
      <c r="AQ370" s="21">
        <v>-4.2724600000000001E-2</v>
      </c>
      <c r="AR370" s="21">
        <v>26.947299999999998</v>
      </c>
      <c r="AS370" s="21">
        <v>-1.4822399999999999E-2</v>
      </c>
      <c r="AT370" s="21">
        <v>360</v>
      </c>
      <c r="AU370" s="21">
        <v>-4.30023E-2</v>
      </c>
      <c r="AV370">
        <f t="shared" si="68"/>
        <v>18.299259259259259</v>
      </c>
      <c r="AW370">
        <f t="shared" si="69"/>
        <v>-0.78182853214814818</v>
      </c>
      <c r="AX370" s="9"/>
      <c r="AY370" s="21">
        <v>1.7128000000000001</v>
      </c>
      <c r="AZ370" s="21">
        <v>30.706099999999999</v>
      </c>
      <c r="BA370" s="21">
        <v>-5.16052E-3</v>
      </c>
      <c r="BB370" s="21">
        <v>360</v>
      </c>
      <c r="BC370" s="21">
        <v>1.71204</v>
      </c>
      <c r="BD370">
        <f t="shared" si="70"/>
        <v>6.371012345679012</v>
      </c>
      <c r="BE370">
        <f t="shared" si="71"/>
        <v>10.912269945679013</v>
      </c>
    </row>
    <row r="371" spans="6:57" x14ac:dyDescent="0.25">
      <c r="F371" s="9"/>
      <c r="G371" s="21">
        <v>-4.7759999999999997E-2</v>
      </c>
      <c r="H371" s="21">
        <v>6.5089100000000002</v>
      </c>
      <c r="I371" s="21">
        <v>-1.5032999999999999E-2</v>
      </c>
      <c r="J371" s="21">
        <v>361</v>
      </c>
      <c r="K371" s="21">
        <v>-4.8056000000000001E-2</v>
      </c>
      <c r="L371">
        <f t="shared" si="60"/>
        <v>18.559259259259257</v>
      </c>
      <c r="M371">
        <f t="shared" si="61"/>
        <v>-0.88639022222222208</v>
      </c>
      <c r="N371" s="9"/>
      <c r="O371" s="21">
        <v>1.71783</v>
      </c>
      <c r="P371" s="21">
        <v>10.2677</v>
      </c>
      <c r="Q371" s="21">
        <v>-5.4779099999999999E-3</v>
      </c>
      <c r="R371" s="21">
        <v>361</v>
      </c>
      <c r="S371" s="21">
        <v>1.71722</v>
      </c>
      <c r="T371">
        <f t="shared" si="62"/>
        <v>6.7628518518518517</v>
      </c>
      <c r="U371">
        <f t="shared" si="63"/>
        <v>11.617429796666666</v>
      </c>
      <c r="X371" s="9"/>
      <c r="Y371" s="21">
        <v>-4.7759999999999997E-2</v>
      </c>
      <c r="Z371" s="21">
        <v>17.705200000000001</v>
      </c>
      <c r="AA371" s="21">
        <v>-1.4849899999999999E-2</v>
      </c>
      <c r="AB371" s="21">
        <v>361</v>
      </c>
      <c r="AC371" s="21">
        <v>-4.81018E-2</v>
      </c>
      <c r="AD371">
        <f t="shared" si="64"/>
        <v>18.333209876543208</v>
      </c>
      <c r="AE371">
        <f t="shared" si="65"/>
        <v>-0.8755941037037035</v>
      </c>
      <c r="AF371" s="9"/>
      <c r="AG371" s="21">
        <v>1.71783</v>
      </c>
      <c r="AH371" s="21">
        <v>21.463899999999999</v>
      </c>
      <c r="AI371" s="21">
        <v>-4.21967E-3</v>
      </c>
      <c r="AJ371" s="21">
        <v>361</v>
      </c>
      <c r="AK371" s="21">
        <v>1.71722</v>
      </c>
      <c r="AL371">
        <f t="shared" si="66"/>
        <v>5.2094691358024683</v>
      </c>
      <c r="AM371">
        <f t="shared" si="67"/>
        <v>8.9489823655555547</v>
      </c>
      <c r="AP371" s="9"/>
      <c r="AQ371" s="21">
        <v>-4.7759999999999997E-2</v>
      </c>
      <c r="AR371" s="21">
        <v>26.9574</v>
      </c>
      <c r="AS371" s="21">
        <v>-1.48285E-2</v>
      </c>
      <c r="AT371" s="21">
        <v>361</v>
      </c>
      <c r="AU371" s="21">
        <v>-4.81018E-2</v>
      </c>
      <c r="AV371">
        <f t="shared" si="68"/>
        <v>18.306790123456789</v>
      </c>
      <c r="AW371">
        <f t="shared" si="69"/>
        <v>-0.87433229629629616</v>
      </c>
      <c r="AX371" s="9"/>
      <c r="AY371" s="21">
        <v>1.71783</v>
      </c>
      <c r="AZ371" s="21">
        <v>30.716200000000001</v>
      </c>
      <c r="BA371" s="21">
        <v>-4.36646E-3</v>
      </c>
      <c r="BB371" s="21">
        <v>361</v>
      </c>
      <c r="BC371" s="21">
        <v>1.71722</v>
      </c>
      <c r="BD371">
        <f t="shared" si="70"/>
        <v>5.3906913580246911</v>
      </c>
      <c r="BE371">
        <f t="shared" si="71"/>
        <v>9.2602913355555554</v>
      </c>
    </row>
    <row r="372" spans="6:57" x14ac:dyDescent="0.25">
      <c r="F372" s="9"/>
      <c r="G372" s="21">
        <v>-5.2795399999999999E-2</v>
      </c>
      <c r="H372" s="21">
        <v>6.51898</v>
      </c>
      <c r="I372" s="21">
        <v>-1.5036000000000001E-2</v>
      </c>
      <c r="J372" s="21">
        <v>362</v>
      </c>
      <c r="K372" s="21">
        <v>-5.3253200000000001E-2</v>
      </c>
      <c r="L372">
        <f t="shared" si="60"/>
        <v>18.562962962962963</v>
      </c>
      <c r="M372">
        <f t="shared" si="61"/>
        <v>-0.98003905481481479</v>
      </c>
      <c r="N372" s="9"/>
      <c r="O372" s="21">
        <v>1.7228699999999999</v>
      </c>
      <c r="P372" s="21">
        <v>10.277699999999999</v>
      </c>
      <c r="Q372" s="21">
        <v>-4.7329700000000004E-3</v>
      </c>
      <c r="R372" s="21">
        <v>362</v>
      </c>
      <c r="S372" s="21">
        <v>1.72211</v>
      </c>
      <c r="T372">
        <f t="shared" si="62"/>
        <v>5.8431728395061731</v>
      </c>
      <c r="U372">
        <f t="shared" si="63"/>
        <v>10.067027189999999</v>
      </c>
      <c r="X372" s="9"/>
      <c r="Y372" s="21">
        <v>-5.2795399999999999E-2</v>
      </c>
      <c r="Z372" s="21">
        <v>17.715199999999999</v>
      </c>
      <c r="AA372" s="21">
        <v>-1.48468E-2</v>
      </c>
      <c r="AB372" s="21">
        <v>362</v>
      </c>
      <c r="AC372" s="21">
        <v>-5.3222699999999998E-2</v>
      </c>
      <c r="AD372">
        <f t="shared" si="64"/>
        <v>18.329382716049381</v>
      </c>
      <c r="AE372">
        <f t="shared" si="65"/>
        <v>-0.96770709224691343</v>
      </c>
      <c r="AF372" s="9"/>
      <c r="AG372" s="21">
        <v>1.7228699999999999</v>
      </c>
      <c r="AH372" s="21">
        <v>21.474</v>
      </c>
      <c r="AI372" s="21">
        <v>-3.2986500000000002E-3</v>
      </c>
      <c r="AJ372" s="21">
        <v>362</v>
      </c>
      <c r="AK372" s="21">
        <v>1.72211</v>
      </c>
      <c r="AL372">
        <f t="shared" si="66"/>
        <v>4.0724074074074075</v>
      </c>
      <c r="AM372">
        <f t="shared" si="67"/>
        <v>7.0162285500000001</v>
      </c>
      <c r="AP372" s="9"/>
      <c r="AQ372" s="21">
        <v>-5.2795399999999999E-2</v>
      </c>
      <c r="AR372" s="21">
        <v>26.967500000000001</v>
      </c>
      <c r="AS372" s="21">
        <v>-1.48285E-2</v>
      </c>
      <c r="AT372" s="21">
        <v>362</v>
      </c>
      <c r="AU372" s="21">
        <v>-5.3283700000000003E-2</v>
      </c>
      <c r="AV372">
        <f t="shared" si="68"/>
        <v>18.306790123456789</v>
      </c>
      <c r="AW372">
        <f t="shared" si="69"/>
        <v>-0.9665143072839506</v>
      </c>
      <c r="AX372" s="9"/>
      <c r="AY372" s="21">
        <v>1.7228699999999999</v>
      </c>
      <c r="AZ372" s="21">
        <v>30.726199999999999</v>
      </c>
      <c r="BA372" s="21">
        <v>-3.4820599999999999E-3</v>
      </c>
      <c r="BB372" s="21">
        <v>362</v>
      </c>
      <c r="BC372" s="21">
        <v>1.72241</v>
      </c>
      <c r="BD372">
        <f t="shared" si="70"/>
        <v>4.2988395061728397</v>
      </c>
      <c r="BE372">
        <f t="shared" si="71"/>
        <v>7.4063416200000001</v>
      </c>
    </row>
    <row r="373" spans="6:57" x14ac:dyDescent="0.25">
      <c r="F373" s="9"/>
      <c r="G373" s="21">
        <v>-5.7830800000000002E-2</v>
      </c>
      <c r="H373" s="21">
        <v>6.5290499999999998</v>
      </c>
      <c r="I373" s="21">
        <v>-1.50452E-2</v>
      </c>
      <c r="J373" s="21">
        <v>363</v>
      </c>
      <c r="K373" s="21">
        <v>-5.8227500000000001E-2</v>
      </c>
      <c r="L373">
        <f t="shared" si="60"/>
        <v>18.574320987654321</v>
      </c>
      <c r="M373">
        <f t="shared" si="61"/>
        <v>-1.0741678421728396</v>
      </c>
      <c r="N373" s="9"/>
      <c r="O373" s="21">
        <v>1.7279100000000001</v>
      </c>
      <c r="P373" s="21">
        <v>10.287800000000001</v>
      </c>
      <c r="Q373" s="21">
        <v>-3.88763E-3</v>
      </c>
      <c r="R373" s="21">
        <v>363</v>
      </c>
      <c r="S373" s="21">
        <v>1.72729</v>
      </c>
      <c r="T373">
        <f t="shared" si="62"/>
        <v>4.7995432098765427</v>
      </c>
      <c r="U373">
        <f t="shared" si="63"/>
        <v>8.293178707777777</v>
      </c>
      <c r="X373" s="9"/>
      <c r="Y373" s="21">
        <v>-5.7830800000000002E-2</v>
      </c>
      <c r="Z373" s="21">
        <v>17.725300000000001</v>
      </c>
      <c r="AA373" s="21">
        <v>-1.4843800000000001E-2</v>
      </c>
      <c r="AB373" s="21">
        <v>363</v>
      </c>
      <c r="AC373" s="21">
        <v>-5.82581E-2</v>
      </c>
      <c r="AD373">
        <f t="shared" si="64"/>
        <v>18.325679012345677</v>
      </c>
      <c r="AE373">
        <f t="shared" si="65"/>
        <v>-1.0597886778271604</v>
      </c>
      <c r="AF373" s="9"/>
      <c r="AG373" s="21">
        <v>1.7279100000000001</v>
      </c>
      <c r="AH373" s="21">
        <v>21.484100000000002</v>
      </c>
      <c r="AI373" s="21">
        <v>-2.2195399999999999E-3</v>
      </c>
      <c r="AJ373" s="21">
        <v>363</v>
      </c>
      <c r="AK373" s="21">
        <v>1.72729</v>
      </c>
      <c r="AL373">
        <f t="shared" si="66"/>
        <v>2.7401728395061724</v>
      </c>
      <c r="AM373">
        <f t="shared" si="67"/>
        <v>4.7347720511111104</v>
      </c>
      <c r="AP373" s="9"/>
      <c r="AQ373" s="21">
        <v>-5.7830800000000002E-2</v>
      </c>
      <c r="AR373" s="21">
        <v>26.977499999999999</v>
      </c>
      <c r="AS373" s="21">
        <v>-1.4825400000000001E-2</v>
      </c>
      <c r="AT373" s="21">
        <v>363</v>
      </c>
      <c r="AU373" s="21">
        <v>-5.8319099999999999E-2</v>
      </c>
      <c r="AV373">
        <f t="shared" si="68"/>
        <v>18.302962962962962</v>
      </c>
      <c r="AW373">
        <f t="shared" si="69"/>
        <v>-1.0584749905185185</v>
      </c>
      <c r="AX373" s="9"/>
      <c r="AY373" s="21">
        <v>1.7279100000000001</v>
      </c>
      <c r="AZ373" s="21">
        <v>30.7363</v>
      </c>
      <c r="BA373" s="21">
        <v>-2.4383500000000002E-3</v>
      </c>
      <c r="BB373" s="21">
        <v>363</v>
      </c>
      <c r="BC373" s="21">
        <v>1.72729</v>
      </c>
      <c r="BD373">
        <f t="shared" si="70"/>
        <v>3.0103086419753087</v>
      </c>
      <c r="BE373">
        <f t="shared" si="71"/>
        <v>5.2015424055555561</v>
      </c>
    </row>
    <row r="374" spans="6:57" x14ac:dyDescent="0.25">
      <c r="F374" s="9"/>
      <c r="G374" s="21">
        <v>-6.2866199999999997E-2</v>
      </c>
      <c r="H374" s="21">
        <v>6.5391199999999996</v>
      </c>
      <c r="I374" s="21">
        <v>-1.50513E-2</v>
      </c>
      <c r="J374" s="21">
        <v>364</v>
      </c>
      <c r="K374" s="21">
        <v>-6.3232399999999994E-2</v>
      </c>
      <c r="L374">
        <f t="shared" si="60"/>
        <v>18.581851851851848</v>
      </c>
      <c r="M374">
        <f t="shared" si="61"/>
        <v>-1.1681704148888885</v>
      </c>
      <c r="N374" s="9"/>
      <c r="O374" s="21">
        <v>1.7329399999999999</v>
      </c>
      <c r="P374" s="21">
        <v>10.2979</v>
      </c>
      <c r="Q374" s="21">
        <v>-2.8451499999999998E-3</v>
      </c>
      <c r="R374" s="21">
        <v>364</v>
      </c>
      <c r="S374" s="21">
        <v>1.7321800000000001</v>
      </c>
      <c r="T374">
        <f t="shared" si="62"/>
        <v>3.5125308641975308</v>
      </c>
      <c r="U374">
        <f t="shared" si="63"/>
        <v>6.0870052358024687</v>
      </c>
      <c r="X374" s="9"/>
      <c r="Y374" s="21">
        <v>-6.2866199999999997E-2</v>
      </c>
      <c r="Z374" s="21">
        <v>17.735399999999998</v>
      </c>
      <c r="AA374" s="21">
        <v>-1.4843800000000001E-2</v>
      </c>
      <c r="AB374" s="21">
        <v>364</v>
      </c>
      <c r="AC374" s="21">
        <v>-6.3293500000000003E-2</v>
      </c>
      <c r="AD374">
        <f t="shared" si="64"/>
        <v>18.325679012345677</v>
      </c>
      <c r="AE374">
        <f t="shared" si="65"/>
        <v>-1.1520658019259258</v>
      </c>
      <c r="AF374" s="9"/>
      <c r="AG374" s="21">
        <v>1.7329399999999999</v>
      </c>
      <c r="AH374" s="21">
        <v>21.4941</v>
      </c>
      <c r="AI374" s="21">
        <v>-9.3383799999999999E-4</v>
      </c>
      <c r="AJ374" s="21">
        <v>364</v>
      </c>
      <c r="AK374" s="21">
        <v>1.73248</v>
      </c>
      <c r="AL374">
        <f t="shared" si="66"/>
        <v>1.1528864197530864</v>
      </c>
      <c r="AM374">
        <f t="shared" si="67"/>
        <v>1.9978829922469135</v>
      </c>
      <c r="AP374" s="9"/>
      <c r="AQ374" s="21">
        <v>-6.2866199999999997E-2</v>
      </c>
      <c r="AR374" s="21">
        <v>26.9876</v>
      </c>
      <c r="AS374" s="21">
        <v>-1.48285E-2</v>
      </c>
      <c r="AT374" s="21">
        <v>364</v>
      </c>
      <c r="AU374" s="21">
        <v>-6.3354499999999994E-2</v>
      </c>
      <c r="AV374">
        <f t="shared" si="68"/>
        <v>18.306790123456789</v>
      </c>
      <c r="AW374">
        <f t="shared" si="69"/>
        <v>-1.150878329259259</v>
      </c>
      <c r="AX374" s="9"/>
      <c r="AY374" s="21">
        <v>1.7329399999999999</v>
      </c>
      <c r="AZ374" s="21">
        <v>30.746400000000001</v>
      </c>
      <c r="BA374" s="21">
        <v>-1.18896E-3</v>
      </c>
      <c r="BB374" s="21">
        <v>364</v>
      </c>
      <c r="BC374" s="21">
        <v>1.73187</v>
      </c>
      <c r="BD374">
        <f t="shared" si="70"/>
        <v>1.4678518518518517</v>
      </c>
      <c r="BE374">
        <f t="shared" si="71"/>
        <v>2.5436991881481479</v>
      </c>
    </row>
    <row r="375" spans="6:57" x14ac:dyDescent="0.25">
      <c r="F375" s="9"/>
      <c r="G375" s="21">
        <v>-6.7901600000000006E-2</v>
      </c>
      <c r="H375" s="21">
        <v>6.5491900000000003</v>
      </c>
      <c r="I375" s="21">
        <v>-1.50452E-2</v>
      </c>
      <c r="J375" s="21">
        <v>365</v>
      </c>
      <c r="K375" s="21">
        <v>-6.8450899999999995E-2</v>
      </c>
      <c r="L375">
        <f t="shared" si="60"/>
        <v>18.574320987654321</v>
      </c>
      <c r="M375">
        <f t="shared" si="61"/>
        <v>-1.2612261139753087</v>
      </c>
      <c r="N375" s="9"/>
      <c r="O375" s="21">
        <v>1.7379800000000001</v>
      </c>
      <c r="P375" s="21">
        <v>10.308</v>
      </c>
      <c r="Q375" s="21">
        <v>-1.61713E-3</v>
      </c>
      <c r="R375" s="21">
        <v>365</v>
      </c>
      <c r="S375" s="21">
        <v>1.73706</v>
      </c>
      <c r="T375">
        <f t="shared" si="62"/>
        <v>1.9964567901234569</v>
      </c>
      <c r="U375">
        <f t="shared" si="63"/>
        <v>3.4698019720987658</v>
      </c>
      <c r="X375" s="9"/>
      <c r="Y375" s="21">
        <v>-6.7901600000000006E-2</v>
      </c>
      <c r="Z375" s="21">
        <v>17.7454</v>
      </c>
      <c r="AA375" s="21">
        <v>-1.48468E-2</v>
      </c>
      <c r="AB375" s="21">
        <v>365</v>
      </c>
      <c r="AC375" s="21">
        <v>-6.8450899999999995E-2</v>
      </c>
      <c r="AD375">
        <f t="shared" si="64"/>
        <v>18.329382716049381</v>
      </c>
      <c r="AE375">
        <f t="shared" si="65"/>
        <v>-1.2445944134320988</v>
      </c>
      <c r="AF375" s="9"/>
      <c r="AG375" s="21">
        <v>1.7379800000000001</v>
      </c>
      <c r="AH375" s="21">
        <v>21.504200000000001</v>
      </c>
      <c r="AI375" s="21">
        <v>5.2307099999999995E-4</v>
      </c>
      <c r="AJ375" s="21">
        <v>365</v>
      </c>
      <c r="AK375" s="21">
        <v>1.7379800000000001</v>
      </c>
      <c r="AL375">
        <f t="shared" si="66"/>
        <v>-0.64576666666666649</v>
      </c>
      <c r="AM375">
        <f t="shared" si="67"/>
        <v>-1.1223295513333331</v>
      </c>
      <c r="AP375" s="9"/>
      <c r="AQ375" s="21">
        <v>-6.7901600000000006E-2</v>
      </c>
      <c r="AR375" s="21">
        <v>26.997699999999998</v>
      </c>
      <c r="AS375" s="21">
        <v>-1.48285E-2</v>
      </c>
      <c r="AT375" s="21">
        <v>365</v>
      </c>
      <c r="AU375" s="21">
        <v>-6.8328899999999998E-2</v>
      </c>
      <c r="AV375">
        <f t="shared" si="68"/>
        <v>18.306790123456789</v>
      </c>
      <c r="AW375">
        <f t="shared" si="69"/>
        <v>-1.2430603402469136</v>
      </c>
      <c r="AX375" s="9"/>
      <c r="AY375" s="21">
        <v>1.7379800000000001</v>
      </c>
      <c r="AZ375" s="21">
        <v>30.756399999999999</v>
      </c>
      <c r="BA375" s="21">
        <v>2.3303199999999999E-4</v>
      </c>
      <c r="BB375" s="21">
        <v>365</v>
      </c>
      <c r="BC375" s="21">
        <v>1.73767</v>
      </c>
      <c r="BD375">
        <f t="shared" si="70"/>
        <v>-0.2876938271604938</v>
      </c>
      <c r="BE375">
        <f t="shared" si="71"/>
        <v>-0.50000611772839498</v>
      </c>
    </row>
    <row r="376" spans="6:57" x14ac:dyDescent="0.25">
      <c r="F376" s="9"/>
      <c r="G376" s="21">
        <v>-7.2937000000000002E-2</v>
      </c>
      <c r="H376" s="21">
        <v>6.5592699999999997</v>
      </c>
      <c r="I376" s="21">
        <v>-1.5048199999999999E-2</v>
      </c>
      <c r="J376" s="21">
        <v>366</v>
      </c>
      <c r="K376" s="21">
        <v>-7.3394799999999996E-2</v>
      </c>
      <c r="L376">
        <f t="shared" si="60"/>
        <v>18.578024691358021</v>
      </c>
      <c r="M376">
        <f t="shared" si="61"/>
        <v>-1.35502538691358</v>
      </c>
      <c r="N376" s="9"/>
      <c r="O376" s="21">
        <v>1.7430099999999999</v>
      </c>
      <c r="P376" s="21">
        <v>10.318</v>
      </c>
      <c r="Q376" s="21">
        <v>-2.0312499999999999E-4</v>
      </c>
      <c r="R376" s="21">
        <v>366</v>
      </c>
      <c r="S376" s="21">
        <v>1.74255</v>
      </c>
      <c r="T376">
        <f t="shared" si="62"/>
        <v>0.25077160493827155</v>
      </c>
      <c r="U376">
        <f t="shared" si="63"/>
        <v>0.43709741512345668</v>
      </c>
      <c r="X376" s="9"/>
      <c r="Y376" s="21">
        <v>-7.2937000000000002E-2</v>
      </c>
      <c r="Z376" s="21">
        <v>17.755500000000001</v>
      </c>
      <c r="AA376" s="21">
        <v>-1.48682E-2</v>
      </c>
      <c r="AB376" s="21">
        <v>366</v>
      </c>
      <c r="AC376" s="21">
        <v>-7.3364299999999993E-2</v>
      </c>
      <c r="AD376">
        <f t="shared" si="64"/>
        <v>18.355802469135799</v>
      </c>
      <c r="AE376">
        <f t="shared" si="65"/>
        <v>-1.3388171646913578</v>
      </c>
      <c r="AF376" s="9"/>
      <c r="AG376" s="21">
        <v>1.7430099999999999</v>
      </c>
      <c r="AH376" s="21">
        <v>21.514299999999999</v>
      </c>
      <c r="AI376" s="21">
        <v>2.1743800000000001E-3</v>
      </c>
      <c r="AJ376" s="21">
        <v>366</v>
      </c>
      <c r="AK376" s="21">
        <v>1.74255</v>
      </c>
      <c r="AL376">
        <f t="shared" si="66"/>
        <v>-2.6844197530864196</v>
      </c>
      <c r="AM376">
        <f t="shared" si="67"/>
        <v>-4.6789704738271602</v>
      </c>
      <c r="AP376" s="9"/>
      <c r="AQ376" s="21">
        <v>-7.2937000000000002E-2</v>
      </c>
      <c r="AR376" s="21">
        <v>27.0078</v>
      </c>
      <c r="AS376" s="21">
        <v>-1.48407E-2</v>
      </c>
      <c r="AT376" s="21">
        <v>366</v>
      </c>
      <c r="AU376" s="21">
        <v>-7.3425299999999999E-2</v>
      </c>
      <c r="AV376">
        <f t="shared" si="68"/>
        <v>18.32185185185185</v>
      </c>
      <c r="AW376">
        <f t="shared" si="69"/>
        <v>-1.3363409085185185</v>
      </c>
      <c r="AX376" s="9"/>
      <c r="AY376" s="21">
        <v>1.7430099999999999</v>
      </c>
      <c r="AZ376" s="21">
        <v>30.766500000000001</v>
      </c>
      <c r="BA376" s="21">
        <v>1.87897E-3</v>
      </c>
      <c r="BB376" s="21">
        <v>366</v>
      </c>
      <c r="BC376" s="21">
        <v>1.74255</v>
      </c>
      <c r="BD376">
        <f t="shared" si="70"/>
        <v>-2.3197160493827158</v>
      </c>
      <c r="BE376">
        <f t="shared" si="71"/>
        <v>-4.0432882712345677</v>
      </c>
    </row>
    <row r="377" spans="6:57" x14ac:dyDescent="0.25">
      <c r="F377" s="9"/>
      <c r="G377" s="21">
        <v>-7.7972399999999997E-2</v>
      </c>
      <c r="H377" s="21">
        <v>6.5693400000000004</v>
      </c>
      <c r="I377" s="21">
        <v>-1.50513E-2</v>
      </c>
      <c r="J377" s="21">
        <v>367</v>
      </c>
      <c r="K377" s="21">
        <v>-7.8552200000000003E-2</v>
      </c>
      <c r="L377">
        <f t="shared" si="60"/>
        <v>18.581851851851848</v>
      </c>
      <c r="M377">
        <f t="shared" si="61"/>
        <v>-1.4488715853333329</v>
      </c>
      <c r="N377" s="9"/>
      <c r="O377" s="21">
        <v>1.7480500000000001</v>
      </c>
      <c r="P377" s="21">
        <v>10.328099999999999</v>
      </c>
      <c r="Q377" s="21">
        <v>1.42303E-3</v>
      </c>
      <c r="R377" s="21">
        <v>367</v>
      </c>
      <c r="S377" s="21">
        <v>1.7468300000000001</v>
      </c>
      <c r="T377">
        <f t="shared" si="62"/>
        <v>-1.756827160493827</v>
      </c>
      <c r="U377">
        <f t="shared" si="63"/>
        <v>-3.0710217179012345</v>
      </c>
      <c r="X377" s="9"/>
      <c r="Y377" s="21">
        <v>-7.7972399999999997E-2</v>
      </c>
      <c r="Z377" s="21">
        <v>17.765599999999999</v>
      </c>
      <c r="AA377" s="21">
        <v>-1.48621E-2</v>
      </c>
      <c r="AB377" s="21">
        <v>367</v>
      </c>
      <c r="AC377" s="21">
        <v>-7.8338599999999994E-2</v>
      </c>
      <c r="AD377">
        <f t="shared" si="64"/>
        <v>18.348271604938269</v>
      </c>
      <c r="AE377">
        <f t="shared" si="65"/>
        <v>-1.4306587728888887</v>
      </c>
      <c r="AF377" s="9"/>
      <c r="AG377" s="21">
        <v>1.7480500000000001</v>
      </c>
      <c r="AH377" s="21">
        <v>21.5244</v>
      </c>
      <c r="AI377" s="21">
        <v>4.0747099999999996E-3</v>
      </c>
      <c r="AJ377" s="21">
        <v>367</v>
      </c>
      <c r="AK377" s="21">
        <v>1.7474400000000001</v>
      </c>
      <c r="AL377">
        <f t="shared" si="66"/>
        <v>-5.0305061728395053</v>
      </c>
      <c r="AM377">
        <f t="shared" si="67"/>
        <v>-8.7935763154320981</v>
      </c>
      <c r="AP377" s="9"/>
      <c r="AQ377" s="21">
        <v>-7.7972399999999997E-2</v>
      </c>
      <c r="AR377" s="21">
        <v>27.017800000000001</v>
      </c>
      <c r="AS377" s="21">
        <v>-1.4843800000000001E-2</v>
      </c>
      <c r="AT377" s="21">
        <v>367</v>
      </c>
      <c r="AU377" s="21">
        <v>-7.8399700000000003E-2</v>
      </c>
      <c r="AV377">
        <f t="shared" si="68"/>
        <v>18.325679012345677</v>
      </c>
      <c r="AW377">
        <f t="shared" si="69"/>
        <v>-1.4288971742222221</v>
      </c>
      <c r="AX377" s="9"/>
      <c r="AY377" s="21">
        <v>1.7480500000000001</v>
      </c>
      <c r="AZ377" s="21">
        <v>30.776599999999998</v>
      </c>
      <c r="BA377" s="21">
        <v>3.7323E-3</v>
      </c>
      <c r="BB377" s="21">
        <v>367</v>
      </c>
      <c r="BC377" s="21">
        <v>1.7471300000000001</v>
      </c>
      <c r="BD377">
        <f t="shared" si="70"/>
        <v>-4.6077777777777778</v>
      </c>
      <c r="BE377">
        <f t="shared" si="71"/>
        <v>-8.0546259444444441</v>
      </c>
    </row>
    <row r="378" spans="6:57" x14ac:dyDescent="0.25">
      <c r="F378" s="9"/>
      <c r="G378" s="21">
        <v>-8.3007800000000007E-2</v>
      </c>
      <c r="H378" s="21">
        <v>6.5794100000000002</v>
      </c>
      <c r="I378" s="21">
        <v>-1.5063500000000001E-2</v>
      </c>
      <c r="J378" s="21">
        <v>368</v>
      </c>
      <c r="K378" s="21">
        <v>-8.3404500000000006E-2</v>
      </c>
      <c r="L378">
        <f t="shared" si="60"/>
        <v>18.596913580246913</v>
      </c>
      <c r="M378">
        <f t="shared" si="61"/>
        <v>-1.5436888830864197</v>
      </c>
      <c r="N378" s="9"/>
      <c r="O378" s="21">
        <v>1.75308</v>
      </c>
      <c r="P378" s="21">
        <v>10.338200000000001</v>
      </c>
      <c r="Q378" s="21">
        <v>3.3157299999999998E-3</v>
      </c>
      <c r="R378" s="21">
        <v>368</v>
      </c>
      <c r="S378" s="21">
        <v>1.7529300000000001</v>
      </c>
      <c r="T378">
        <f t="shared" si="62"/>
        <v>-4.0934938271604926</v>
      </c>
      <c r="U378">
        <f t="shared" si="63"/>
        <v>-7.1762221585185166</v>
      </c>
      <c r="X378" s="9"/>
      <c r="Y378" s="21">
        <v>-8.3007800000000007E-2</v>
      </c>
      <c r="Z378" s="21">
        <v>17.775700000000001</v>
      </c>
      <c r="AA378" s="21">
        <v>-1.48621E-2</v>
      </c>
      <c r="AB378" s="21">
        <v>368</v>
      </c>
      <c r="AC378" s="21">
        <v>-8.3465600000000001E-2</v>
      </c>
      <c r="AD378">
        <f t="shared" si="64"/>
        <v>18.348271604938269</v>
      </c>
      <c r="AE378">
        <f t="shared" si="65"/>
        <v>-1.5230496597283949</v>
      </c>
      <c r="AF378" s="9"/>
      <c r="AG378" s="21">
        <v>1.75308</v>
      </c>
      <c r="AH378" s="21">
        <v>21.534400000000002</v>
      </c>
      <c r="AI378" s="21">
        <v>6.1615000000000003E-3</v>
      </c>
      <c r="AJ378" s="21">
        <v>368</v>
      </c>
      <c r="AK378" s="21">
        <v>1.7526200000000001</v>
      </c>
      <c r="AL378">
        <f t="shared" si="66"/>
        <v>-7.6067901234567907</v>
      </c>
      <c r="AM378">
        <f t="shared" si="67"/>
        <v>-13.335311629629631</v>
      </c>
      <c r="AP378" s="9"/>
      <c r="AQ378" s="21">
        <v>-8.3007800000000007E-2</v>
      </c>
      <c r="AR378" s="21">
        <v>27.027899999999999</v>
      </c>
      <c r="AS378" s="21">
        <v>-1.4859000000000001E-2</v>
      </c>
      <c r="AT378" s="21">
        <v>368</v>
      </c>
      <c r="AU378" s="21">
        <v>-8.3465600000000001E-2</v>
      </c>
      <c r="AV378">
        <f t="shared" si="68"/>
        <v>18.344444444444445</v>
      </c>
      <c r="AW378">
        <f t="shared" si="69"/>
        <v>-1.5227319755555557</v>
      </c>
      <c r="AX378" s="9"/>
      <c r="AY378" s="21">
        <v>1.75308</v>
      </c>
      <c r="AZ378" s="21">
        <v>30.7867</v>
      </c>
      <c r="BA378" s="21">
        <v>5.8044400000000001E-3</v>
      </c>
      <c r="BB378" s="21">
        <v>368</v>
      </c>
      <c r="BC378" s="21">
        <v>1.7520100000000001</v>
      </c>
      <c r="BD378">
        <f t="shared" si="70"/>
        <v>-7.1659753086419746</v>
      </c>
      <c r="BE378">
        <f t="shared" si="71"/>
        <v>-12.562527994074072</v>
      </c>
    </row>
    <row r="379" spans="6:57" x14ac:dyDescent="0.25">
      <c r="F379" s="9"/>
      <c r="G379" s="21">
        <v>-8.8043200000000002E-2</v>
      </c>
      <c r="H379" s="21">
        <v>6.58948</v>
      </c>
      <c r="I379" s="21">
        <v>-1.5069600000000001E-2</v>
      </c>
      <c r="J379" s="21">
        <v>369</v>
      </c>
      <c r="K379" s="21">
        <v>-8.8562000000000002E-2</v>
      </c>
      <c r="L379">
        <f t="shared" si="60"/>
        <v>18.604444444444443</v>
      </c>
      <c r="M379">
        <f t="shared" si="61"/>
        <v>-1.637994823111111</v>
      </c>
      <c r="N379" s="9"/>
      <c r="O379" s="21">
        <v>1.7581199999999999</v>
      </c>
      <c r="P379" s="21">
        <v>10.3482</v>
      </c>
      <c r="Q379" s="21">
        <v>5.3619399999999999E-3</v>
      </c>
      <c r="R379" s="21">
        <v>369</v>
      </c>
      <c r="S379" s="21">
        <v>1.7575099999999999</v>
      </c>
      <c r="T379">
        <f t="shared" si="62"/>
        <v>-6.6196790123456779</v>
      </c>
      <c r="U379">
        <f t="shared" si="63"/>
        <v>-11.638190065185183</v>
      </c>
      <c r="X379" s="9"/>
      <c r="Y379" s="21">
        <v>-8.8043200000000002E-2</v>
      </c>
      <c r="Z379" s="21">
        <v>17.785699999999999</v>
      </c>
      <c r="AA379" s="21">
        <v>-1.4871199999999999E-2</v>
      </c>
      <c r="AB379" s="21">
        <v>369</v>
      </c>
      <c r="AC379" s="21">
        <v>-8.8409399999999999E-2</v>
      </c>
      <c r="AD379">
        <f t="shared" si="64"/>
        <v>18.359506172839506</v>
      </c>
      <c r="AE379">
        <f t="shared" si="65"/>
        <v>-1.6164296738765431</v>
      </c>
      <c r="AF379" s="9"/>
      <c r="AG379" s="21">
        <v>1.7581199999999999</v>
      </c>
      <c r="AH379" s="21">
        <v>21.544499999999999</v>
      </c>
      <c r="AI379" s="21">
        <v>8.4472699999999998E-3</v>
      </c>
      <c r="AJ379" s="21">
        <v>369</v>
      </c>
      <c r="AK379" s="21">
        <v>1.7578100000000001</v>
      </c>
      <c r="AL379">
        <f t="shared" si="66"/>
        <v>-10.428728395061729</v>
      </c>
      <c r="AM379">
        <f t="shared" si="67"/>
        <v>-18.334955965925925</v>
      </c>
      <c r="AP379" s="9"/>
      <c r="AQ379" s="21">
        <v>-8.8043200000000002E-2</v>
      </c>
      <c r="AR379" s="21">
        <v>27.038</v>
      </c>
      <c r="AS379" s="21">
        <v>-1.4865099999999999E-2</v>
      </c>
      <c r="AT379" s="21">
        <v>369</v>
      </c>
      <c r="AU379" s="21">
        <v>-8.8439900000000002E-2</v>
      </c>
      <c r="AV379">
        <f t="shared" si="68"/>
        <v>18.351975308641972</v>
      </c>
      <c r="AW379">
        <f t="shared" si="69"/>
        <v>-1.6157666324938269</v>
      </c>
      <c r="AX379" s="9"/>
      <c r="AY379" s="21">
        <v>1.7581199999999999</v>
      </c>
      <c r="AZ379" s="21">
        <v>30.796700000000001</v>
      </c>
      <c r="BA379" s="21">
        <v>8.0261199999999994E-3</v>
      </c>
      <c r="BB379" s="21">
        <v>369</v>
      </c>
      <c r="BC379" s="21">
        <v>1.7572000000000001</v>
      </c>
      <c r="BD379">
        <f t="shared" si="70"/>
        <v>-9.9087901234567894</v>
      </c>
      <c r="BE379">
        <f t="shared" si="71"/>
        <v>-17.420842091851849</v>
      </c>
    </row>
    <row r="380" spans="6:57" x14ac:dyDescent="0.25">
      <c r="F380" s="9"/>
      <c r="G380" s="21">
        <v>-9.3078599999999997E-2</v>
      </c>
      <c r="H380" s="21">
        <v>6.5995499999999998</v>
      </c>
      <c r="I380" s="21">
        <v>-1.50726E-2</v>
      </c>
      <c r="J380" s="21">
        <v>370</v>
      </c>
      <c r="K380" s="21">
        <v>-9.3566899999999995E-2</v>
      </c>
      <c r="L380">
        <f t="shared" si="60"/>
        <v>18.60814814814815</v>
      </c>
      <c r="M380">
        <f t="shared" si="61"/>
        <v>-1.7320203782222223</v>
      </c>
      <c r="N380" s="9"/>
      <c r="O380" s="21">
        <v>1.76315</v>
      </c>
      <c r="P380" s="21">
        <v>10.3583</v>
      </c>
      <c r="Q380" s="21">
        <v>7.5927700000000004E-3</v>
      </c>
      <c r="R380" s="21">
        <v>370</v>
      </c>
      <c r="S380" s="21">
        <v>1.7626999999999999</v>
      </c>
      <c r="T380">
        <f t="shared" si="62"/>
        <v>-9.3737901234567893</v>
      </c>
      <c r="U380">
        <f t="shared" si="63"/>
        <v>-16.527398056172839</v>
      </c>
      <c r="X380" s="9"/>
      <c r="Y380" s="21">
        <v>-9.3078599999999997E-2</v>
      </c>
      <c r="Z380" s="21">
        <v>17.7958</v>
      </c>
      <c r="AA380" s="21">
        <v>-1.4871199999999999E-2</v>
      </c>
      <c r="AB380" s="21">
        <v>370</v>
      </c>
      <c r="AC380" s="21">
        <v>-9.3505900000000003E-2</v>
      </c>
      <c r="AD380">
        <f t="shared" si="64"/>
        <v>18.359506172839506</v>
      </c>
      <c r="AE380">
        <f t="shared" si="65"/>
        <v>-1.7088771312592592</v>
      </c>
      <c r="AF380" s="9"/>
      <c r="AG380" s="21">
        <v>1.76315</v>
      </c>
      <c r="AH380" s="21">
        <v>21.554600000000001</v>
      </c>
      <c r="AI380" s="21">
        <v>1.08795E-2</v>
      </c>
      <c r="AJ380" s="21">
        <v>370</v>
      </c>
      <c r="AK380" s="21">
        <v>1.7620800000000001</v>
      </c>
      <c r="AL380">
        <f t="shared" si="66"/>
        <v>-13.431481481481482</v>
      </c>
      <c r="AM380">
        <f t="shared" si="67"/>
        <v>-23.681716574074073</v>
      </c>
      <c r="AP380" s="9"/>
      <c r="AQ380" s="21">
        <v>-9.3078599999999997E-2</v>
      </c>
      <c r="AR380" s="21">
        <v>27.047999999999998</v>
      </c>
      <c r="AS380" s="21">
        <v>-1.4859000000000001E-2</v>
      </c>
      <c r="AT380" s="21">
        <v>370</v>
      </c>
      <c r="AU380" s="21">
        <v>-9.3475299999999997E-2</v>
      </c>
      <c r="AV380">
        <f t="shared" si="68"/>
        <v>18.344444444444445</v>
      </c>
      <c r="AW380">
        <f t="shared" si="69"/>
        <v>-1.7074752066666667</v>
      </c>
      <c r="AX380" s="9"/>
      <c r="AY380" s="21">
        <v>1.76315</v>
      </c>
      <c r="AZ380" s="21">
        <v>30.806799999999999</v>
      </c>
      <c r="BA380" s="21">
        <v>1.04309E-2</v>
      </c>
      <c r="BB380" s="21">
        <v>370</v>
      </c>
      <c r="BC380" s="21">
        <v>1.7626999999999999</v>
      </c>
      <c r="BD380">
        <f t="shared" si="70"/>
        <v>-12.877654320987654</v>
      </c>
      <c r="BE380">
        <f t="shared" si="71"/>
        <v>-22.705236216049382</v>
      </c>
    </row>
    <row r="381" spans="6:57" x14ac:dyDescent="0.25">
      <c r="F381" s="9"/>
      <c r="G381" s="21">
        <v>-9.8114000000000007E-2</v>
      </c>
      <c r="H381" s="21">
        <v>6.6096199999999996</v>
      </c>
      <c r="I381" s="21">
        <v>-1.5084800000000001E-2</v>
      </c>
      <c r="J381" s="21">
        <v>371</v>
      </c>
      <c r="K381" s="21">
        <v>-9.8663299999999995E-2</v>
      </c>
      <c r="L381">
        <f t="shared" si="60"/>
        <v>18.623209876543207</v>
      </c>
      <c r="M381">
        <f t="shared" si="61"/>
        <v>-1.8271976138271604</v>
      </c>
      <c r="N381" s="9"/>
      <c r="O381" s="21">
        <v>1.7681899999999999</v>
      </c>
      <c r="P381" s="21">
        <v>10.368399999999999</v>
      </c>
      <c r="Q381" s="21">
        <v>1.0015899999999999E-2</v>
      </c>
      <c r="R381" s="21">
        <v>371</v>
      </c>
      <c r="S381" s="21">
        <v>1.7681899999999999</v>
      </c>
      <c r="T381">
        <f t="shared" si="62"/>
        <v>-12.365308641975307</v>
      </c>
      <c r="U381">
        <f t="shared" si="63"/>
        <v>-21.864215087654319</v>
      </c>
      <c r="X381" s="9"/>
      <c r="Y381" s="21">
        <v>-9.8114000000000007E-2</v>
      </c>
      <c r="Z381" s="21">
        <v>17.805900000000001</v>
      </c>
      <c r="AA381" s="21">
        <v>-1.4871199999999999E-2</v>
      </c>
      <c r="AB381" s="21">
        <v>371</v>
      </c>
      <c r="AC381" s="21">
        <v>-9.8541299999999998E-2</v>
      </c>
      <c r="AD381">
        <f t="shared" si="64"/>
        <v>18.359506172839506</v>
      </c>
      <c r="AE381">
        <f t="shared" si="65"/>
        <v>-1.8013245886419753</v>
      </c>
      <c r="AF381" s="9"/>
      <c r="AG381" s="21">
        <v>1.7681899999999999</v>
      </c>
      <c r="AH381" s="21">
        <v>21.564599999999999</v>
      </c>
      <c r="AI381" s="21">
        <v>1.34644E-2</v>
      </c>
      <c r="AJ381" s="21">
        <v>371</v>
      </c>
      <c r="AK381" s="21">
        <v>1.7678799999999999</v>
      </c>
      <c r="AL381">
        <f t="shared" si="66"/>
        <v>-16.622716049382717</v>
      </c>
      <c r="AM381">
        <f t="shared" si="67"/>
        <v>-29.392120291358026</v>
      </c>
      <c r="AP381" s="9"/>
      <c r="AQ381" s="21">
        <v>-9.8114000000000007E-2</v>
      </c>
      <c r="AR381" s="21">
        <v>27.0581</v>
      </c>
      <c r="AS381" s="21">
        <v>-1.4865099999999999E-2</v>
      </c>
      <c r="AT381" s="21">
        <v>371</v>
      </c>
      <c r="AU381" s="21">
        <v>-9.8510700000000007E-2</v>
      </c>
      <c r="AV381">
        <f t="shared" si="68"/>
        <v>18.351975308641972</v>
      </c>
      <c r="AW381">
        <f t="shared" si="69"/>
        <v>-1.8005857054320986</v>
      </c>
      <c r="AX381" s="9"/>
      <c r="AY381" s="21">
        <v>1.7681899999999999</v>
      </c>
      <c r="AZ381" s="21">
        <v>30.8169</v>
      </c>
      <c r="BA381" s="21">
        <v>1.29944E-2</v>
      </c>
      <c r="BB381" s="21">
        <v>371</v>
      </c>
      <c r="BC381" s="21">
        <v>1.7672699999999999</v>
      </c>
      <c r="BD381">
        <f t="shared" si="70"/>
        <v>-16.042469135802467</v>
      </c>
      <c r="BE381">
        <f t="shared" si="71"/>
        <v>-28.366133501234561</v>
      </c>
    </row>
    <row r="382" spans="6:57" x14ac:dyDescent="0.25">
      <c r="F382" s="9"/>
      <c r="G382" s="21">
        <v>-0.103149</v>
      </c>
      <c r="H382" s="21">
        <v>6.6196900000000003</v>
      </c>
      <c r="I382" s="21">
        <v>-1.50879E-2</v>
      </c>
      <c r="J382" s="21">
        <v>372</v>
      </c>
      <c r="K382" s="21">
        <v>-0.103516</v>
      </c>
      <c r="L382">
        <f t="shared" si="60"/>
        <v>18.627037037037034</v>
      </c>
      <c r="M382">
        <f t="shared" si="61"/>
        <v>-1.9213602433333332</v>
      </c>
      <c r="N382" s="9"/>
      <c r="O382" s="21">
        <v>1.77322</v>
      </c>
      <c r="P382" s="21">
        <v>10.378500000000001</v>
      </c>
      <c r="Q382" s="21">
        <v>1.25793E-2</v>
      </c>
      <c r="R382" s="21">
        <v>372</v>
      </c>
      <c r="S382" s="21">
        <v>1.77277</v>
      </c>
      <c r="T382">
        <f t="shared" si="62"/>
        <v>-15.53</v>
      </c>
      <c r="U382">
        <f t="shared" si="63"/>
        <v>-27.538106599999999</v>
      </c>
      <c r="X382" s="9"/>
      <c r="Y382" s="21">
        <v>-0.103149</v>
      </c>
      <c r="Z382" s="21">
        <v>17.815899999999999</v>
      </c>
      <c r="AA382" s="21">
        <v>-1.48834E-2</v>
      </c>
      <c r="AB382" s="21">
        <v>372</v>
      </c>
      <c r="AC382" s="21">
        <v>-0.103546</v>
      </c>
      <c r="AD382">
        <f t="shared" si="64"/>
        <v>18.374567901234567</v>
      </c>
      <c r="AE382">
        <f t="shared" si="65"/>
        <v>-1.8953183044444444</v>
      </c>
      <c r="AF382" s="9"/>
      <c r="AG382" s="21">
        <v>1.77322</v>
      </c>
      <c r="AH382" s="21">
        <v>21.5747</v>
      </c>
      <c r="AI382" s="21">
        <v>1.6162099999999999E-2</v>
      </c>
      <c r="AJ382" s="21">
        <v>372</v>
      </c>
      <c r="AK382" s="21">
        <v>1.7724599999999999</v>
      </c>
      <c r="AL382">
        <f t="shared" si="66"/>
        <v>-19.953209876543205</v>
      </c>
      <c r="AM382">
        <f t="shared" si="67"/>
        <v>-35.381430817283942</v>
      </c>
      <c r="AP382" s="9"/>
      <c r="AQ382" s="21">
        <v>-0.103149</v>
      </c>
      <c r="AR382" s="21">
        <v>27.068200000000001</v>
      </c>
      <c r="AS382" s="21">
        <v>-1.4871199999999999E-2</v>
      </c>
      <c r="AT382" s="21">
        <v>372</v>
      </c>
      <c r="AU382" s="21">
        <v>-0.103546</v>
      </c>
      <c r="AV382">
        <f t="shared" si="68"/>
        <v>18.359506172839506</v>
      </c>
      <c r="AW382">
        <f t="shared" si="69"/>
        <v>-1.8937647022222224</v>
      </c>
      <c r="AX382" s="9"/>
      <c r="AY382" s="21">
        <v>1.77322</v>
      </c>
      <c r="AZ382" s="21">
        <v>30.826899999999998</v>
      </c>
      <c r="BA382" s="21">
        <v>1.5689100000000001E-2</v>
      </c>
      <c r="BB382" s="21">
        <v>372</v>
      </c>
      <c r="BC382" s="21">
        <v>1.7730699999999999</v>
      </c>
      <c r="BD382">
        <f t="shared" si="70"/>
        <v>-19.369259259259259</v>
      </c>
      <c r="BE382">
        <f t="shared" si="71"/>
        <v>-34.345957903703706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1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H376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28644.624000004678</v>
      </c>
      <c r="H2" s="2"/>
      <c r="I2" s="6" t="s">
        <v>12</v>
      </c>
      <c r="J2" s="2"/>
      <c r="K2" s="7" t="s">
        <v>13</v>
      </c>
      <c r="L2" s="3">
        <f>L4*I6*L9/100*100</f>
        <v>23.012786062962959</v>
      </c>
      <c r="M2" s="8" t="s">
        <v>14</v>
      </c>
      <c r="N2" s="9"/>
      <c r="O2" s="2">
        <f>ABS(S7-S6)/ABS(T7-T6)*1000</f>
        <v>7919.7329322576443</v>
      </c>
      <c r="P2" s="2"/>
      <c r="Q2" s="6" t="s">
        <v>15</v>
      </c>
      <c r="R2" s="2"/>
      <c r="S2" s="7" t="s">
        <v>13</v>
      </c>
      <c r="T2" s="3">
        <f>T4*Q6*T9/100*100</f>
        <v>23.30285032222222</v>
      </c>
      <c r="U2" s="8" t="s">
        <v>14</v>
      </c>
      <c r="X2" s="9"/>
      <c r="Y2" s="2">
        <f>ABS(AC7-AC6)/ABS(AD7-AD6)*1000</f>
        <v>536.01643421056656</v>
      </c>
      <c r="Z2" s="2"/>
      <c r="AA2" s="6" t="s">
        <v>12</v>
      </c>
      <c r="AB2" s="2"/>
      <c r="AC2" s="7" t="s">
        <v>13</v>
      </c>
      <c r="AD2" s="3">
        <f>AD4*AA6*AD9/100*100</f>
        <v>23.598794980246915</v>
      </c>
      <c r="AE2" s="8" t="s">
        <v>14</v>
      </c>
      <c r="AF2" s="9"/>
      <c r="AG2" s="2">
        <f>ABS(AK7-AK6)/ABS(AL7-AL6)*1000</f>
        <v>804.18611842111306</v>
      </c>
      <c r="AH2" s="2"/>
      <c r="AI2" s="6" t="s">
        <v>15</v>
      </c>
      <c r="AJ2" s="2"/>
      <c r="AK2" s="7" t="s">
        <v>13</v>
      </c>
      <c r="AL2" s="3">
        <f>AL4*AI6*AL9/100*100</f>
        <v>23.397593619753085</v>
      </c>
      <c r="AM2" s="8" t="s">
        <v>14</v>
      </c>
      <c r="AP2" s="9"/>
      <c r="AQ2" s="2">
        <f>ABS(AU7-AU6)/ABS(AV7-AV6)*1000</f>
        <v>6644.6159016396978</v>
      </c>
      <c r="AR2" s="2"/>
      <c r="AS2" s="6" t="s">
        <v>12</v>
      </c>
      <c r="AT2" s="2"/>
      <c r="AU2" s="7" t="s">
        <v>13</v>
      </c>
      <c r="AV2" s="3">
        <f>AV4*AS6*AV9/100*100</f>
        <v>23.548547762962961</v>
      </c>
      <c r="AW2" s="8" t="s">
        <v>14</v>
      </c>
      <c r="AX2" s="9"/>
      <c r="AY2" s="2">
        <f>ABS(BC7-BC6)/ABS(BD7-BD6)*1000</f>
        <v>1354.616999998922</v>
      </c>
      <c r="AZ2" s="2"/>
      <c r="BA2" s="6" t="s">
        <v>15</v>
      </c>
      <c r="BB2" s="2"/>
      <c r="BC2" s="7" t="s">
        <v>13</v>
      </c>
      <c r="BD2" s="3">
        <f>BD4*BA6*BD9/100*100</f>
        <v>23.42826639506173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1.7089799999999999</v>
      </c>
      <c r="J3" s="2"/>
      <c r="K3" s="10">
        <f>INDEX(L11:L1056,MATCH(I3,K11:K1056,0))</f>
        <v>-0.60620740740740742</v>
      </c>
      <c r="L3" s="26" t="s">
        <v>16</v>
      </c>
      <c r="M3" s="11">
        <f>M9</f>
        <v>23.012786062962959</v>
      </c>
      <c r="N3" s="9"/>
      <c r="O3" s="2" t="s">
        <v>44</v>
      </c>
      <c r="P3" s="2"/>
      <c r="Q3" s="2">
        <f>INDEX(S11:S1056,MATCH(0,T11:T1056,-1))</f>
        <v>1.71173</v>
      </c>
      <c r="R3" s="2"/>
      <c r="S3" s="10">
        <f>INDEX(T11:T1056,MATCH(Q3,S11:S1056,0))</f>
        <v>1.5319012345679011</v>
      </c>
      <c r="T3" s="26" t="s">
        <v>16</v>
      </c>
      <c r="U3" s="11">
        <f>U9</f>
        <v>23.30285032222222</v>
      </c>
      <c r="X3" s="9"/>
      <c r="Y3" s="2" t="s">
        <v>44</v>
      </c>
      <c r="Z3" s="2"/>
      <c r="AA3" s="2">
        <f>INDEX(AC11:AC856,MATCH(0,AD11:AD856,1))</f>
        <v>1.70929</v>
      </c>
      <c r="AB3" s="2"/>
      <c r="AC3" s="10">
        <f>INDEX(AD11:AD1056,MATCH(AA3,AC11:AC1056,0))</f>
        <v>-0.21158888888888885</v>
      </c>
      <c r="AD3" s="26" t="s">
        <v>16</v>
      </c>
      <c r="AE3" s="11">
        <f>AE9</f>
        <v>23.598794980246915</v>
      </c>
      <c r="AF3" s="9"/>
      <c r="AG3" s="2" t="s">
        <v>44</v>
      </c>
      <c r="AH3" s="2"/>
      <c r="AI3" s="2">
        <f>INDEX(AK11:AK1056,MATCH(0,AL11:AL1056,-1))</f>
        <v>1.71234</v>
      </c>
      <c r="AJ3" s="2"/>
      <c r="AK3" s="10">
        <f>INDEX(AL11:AL1056,MATCH(AI3,AK11:AK1056,0))</f>
        <v>1.5903086419753085</v>
      </c>
      <c r="AL3" s="26" t="s">
        <v>16</v>
      </c>
      <c r="AM3" s="11">
        <f>AM9</f>
        <v>23.397593619753085</v>
      </c>
      <c r="AP3" s="9"/>
      <c r="AQ3" s="2" t="s">
        <v>44</v>
      </c>
      <c r="AR3" s="2"/>
      <c r="AS3" s="2">
        <f>INDEX(AU11:AU856,MATCH(0,AV11:AV856,1))</f>
        <v>1.70929</v>
      </c>
      <c r="AT3" s="2"/>
      <c r="AU3" s="10">
        <f>INDEX(AV11:AV1056,MATCH(AS3,AU11:AU1056,0))</f>
        <v>-0.31938024691358025</v>
      </c>
      <c r="AV3" s="26" t="s">
        <v>16</v>
      </c>
      <c r="AW3" s="11">
        <f>AW9</f>
        <v>23.548547762962961</v>
      </c>
      <c r="AX3" s="9"/>
      <c r="AY3" s="2" t="s">
        <v>44</v>
      </c>
      <c r="AZ3" s="2"/>
      <c r="BA3" s="2">
        <f>INDEX(BC11:BC1056,MATCH(0,BD11:BD1056,-1))</f>
        <v>1.71204</v>
      </c>
      <c r="BB3" s="2"/>
      <c r="BC3" s="10">
        <f>INDEX(BD11:BD1056,MATCH(BA3,BC11:BC1056,0))</f>
        <v>1.5345432098765432</v>
      </c>
      <c r="BD3" s="26" t="s">
        <v>16</v>
      </c>
      <c r="BE3" s="11">
        <f>BE9</f>
        <v>23.42826639506173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2.5202017141755948</v>
      </c>
      <c r="H4" s="2"/>
      <c r="I4" s="2">
        <f>INDEX(K11:K1000,1+MATCH(0,L11:L856,1))</f>
        <v>1.70441</v>
      </c>
      <c r="J4" s="2"/>
      <c r="K4" s="10">
        <f>INDEX(L11:L1056,MATCH(I4,K11:K1056,0))</f>
        <v>1.2071395061728396</v>
      </c>
      <c r="L4" s="25">
        <f>M3/(I6*L9)</f>
        <v>0.75613511861212901</v>
      </c>
      <c r="M4" s="8" t="s">
        <v>17</v>
      </c>
      <c r="N4" s="9"/>
      <c r="O4" s="2">
        <f>ABS(Q3-Q4)/ABS(S3-S4)*1000</f>
        <v>3.0215147895311243</v>
      </c>
      <c r="P4" s="2"/>
      <c r="Q4" s="2">
        <f>INDEX(S11:S856,1+MATCH(0,T11:T856,-1))</f>
        <v>1.71692</v>
      </c>
      <c r="R4" s="2"/>
      <c r="S4" s="10">
        <f>INDEX(T11:T856,MATCH(Q4,S11:S856,0))</f>
        <v>-0.18578024691358022</v>
      </c>
      <c r="T4" s="25">
        <f>U3/(Q6*T9)</f>
        <v>0.76688277925815895</v>
      </c>
      <c r="U4" s="8" t="s">
        <v>17</v>
      </c>
      <c r="X4" s="9"/>
      <c r="Y4" s="2">
        <f>ABS(AA3-AA4)/ABS(AC3-AC4)*1000</f>
        <v>2.9474845873879314</v>
      </c>
      <c r="Z4" s="2"/>
      <c r="AA4" s="2">
        <f>INDEX(AC11:AC1000,1+MATCH(0,AD11:AD856,1))</f>
        <v>1.7040999999999999</v>
      </c>
      <c r="AB4" s="2"/>
      <c r="AC4" s="10">
        <f>INDEX(AD11:AD1056,MATCH(AA4,AC11:AC1056,0))</f>
        <v>1.5492345679012345</v>
      </c>
      <c r="AD4" s="25">
        <f>AE3/(AA6*AD9)</f>
        <v>0.7744685476583949</v>
      </c>
      <c r="AE4" s="8" t="s">
        <v>17</v>
      </c>
      <c r="AF4" s="9"/>
      <c r="AG4" s="2">
        <f>ABS(AI3-AI4)/ABS(AK3-AK4)*1000</f>
        <v>2.6599516594046002</v>
      </c>
      <c r="AH4" s="2"/>
      <c r="AI4" s="2">
        <f>INDEX(AK11:AK856,1+MATCH(0,AL11:AL856,-1))</f>
        <v>1.71692</v>
      </c>
      <c r="AJ4" s="2"/>
      <c r="AK4" s="10">
        <f>INDEX(AL11:AL856,MATCH(AI4,AK11:AK856,0))</f>
        <v>-0.13152716049382715</v>
      </c>
      <c r="AL4" s="25">
        <f>AM3/(AI6*AL9)</f>
        <v>0.77113506913112795</v>
      </c>
      <c r="AM4" s="8" t="s">
        <v>17</v>
      </c>
      <c r="AP4" s="9"/>
      <c r="AQ4" s="2">
        <f>ABS(AS3-AS4)/ABS(AU3-AU4)*1000</f>
        <v>2.7190033072677324</v>
      </c>
      <c r="AR4" s="2"/>
      <c r="AS4" s="2">
        <f>INDEX(AU11:AU1000,1+MATCH(0,AV11:AV856,1))</f>
        <v>1.70441</v>
      </c>
      <c r="AT4" s="2"/>
      <c r="AU4" s="10">
        <f>INDEX(AV11:AV1056,MATCH(AS4,AU11:AU1056,0))</f>
        <v>1.4753950617283949</v>
      </c>
      <c r="AV4" s="25">
        <f>AW3/(AS6*AV9)</f>
        <v>0.77273062349916521</v>
      </c>
      <c r="AW4" s="8" t="s">
        <v>17</v>
      </c>
      <c r="AX4" s="9"/>
      <c r="AY4" s="2">
        <f>ABS(BA3-BA4)/ABS(BC3-BC4)*1000</f>
        <v>2.9967329687125117</v>
      </c>
      <c r="AZ4" s="2"/>
      <c r="BA4" s="2">
        <f>INDEX(BC11:BC856,1+MATCH(0,BD11:BD856,-1))</f>
        <v>1.71753</v>
      </c>
      <c r="BB4" s="2"/>
      <c r="BC4" s="10">
        <f>INDEX(BD11:BD856,MATCH(BA4,BC11:BC856,0))</f>
        <v>-0.2974518518518518</v>
      </c>
      <c r="BD4" s="25">
        <f>BE3/(BA6*BD9)</f>
        <v>0.77168470219762131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15.729753086419752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16.004814814814814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16.2420987654321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15.959506172839506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15.985925925925924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15.925679012345679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1.7074522350527059</v>
      </c>
      <c r="J6" s="25"/>
      <c r="K6" s="2">
        <f>INDEX(K11:K1056,MATCH(L6,L11:L1056,0))</f>
        <v>2.6061999999999999E-3</v>
      </c>
      <c r="L6" s="10">
        <f>INDEX(L11:L1056,MATCH(0,K11:K1056,-1))</f>
        <v>17.824567901234566</v>
      </c>
      <c r="M6" s="8" t="s">
        <v>22</v>
      </c>
      <c r="N6" s="9"/>
      <c r="O6" s="2"/>
      <c r="P6" s="2"/>
      <c r="Q6" s="27">
        <f>(Q3-Q4)/(S3-S4)*(-S4)+Q4</f>
        <v>1.7163586622363478</v>
      </c>
      <c r="R6" s="27"/>
      <c r="S6" s="2">
        <f>INDEX(S11:S1056,MATCH(T6,T11:T1056,0))</f>
        <v>-2.97211E-2</v>
      </c>
      <c r="T6" s="10">
        <f>INDEX(T11:T1056,MATCH(0,S11:S1056,1))</f>
        <v>17.707777777777778</v>
      </c>
      <c r="U6" s="8" t="s">
        <v>22</v>
      </c>
      <c r="X6" s="9"/>
      <c r="Y6" s="2"/>
      <c r="Z6" s="2"/>
      <c r="AA6" s="25">
        <f>(AA3-AA4)/(AC3-AC4)*(-AC4)+AA4</f>
        <v>1.7086663450111375</v>
      </c>
      <c r="AB6" s="25"/>
      <c r="AC6" s="2">
        <f>INDEX(AC11:AC1056,MATCH(AD6,AD11:AD1056,0))</f>
        <v>2.6306200000000002E-3</v>
      </c>
      <c r="AD6" s="10">
        <f>INDEX(AD11:AD1056,MATCH(0,AC11:AC1056,-1))</f>
        <v>17.828271604938269</v>
      </c>
      <c r="AE6" s="8" t="s">
        <v>22</v>
      </c>
      <c r="AF6" s="9"/>
      <c r="AG6" s="2"/>
      <c r="AH6" s="2"/>
      <c r="AI6" s="27">
        <f>(AI3-AI4)/(AK3-AK4)*(-AK4)+AI4</f>
        <v>1.7165701441111876</v>
      </c>
      <c r="AJ6" s="27"/>
      <c r="AK6" s="2">
        <f>INDEX(AK11:AK1056,MATCH(AL6,AL11:AL1056,0))</f>
        <v>-1.9656400000000001E-2</v>
      </c>
      <c r="AL6" s="10">
        <f>INDEX(AL11:AL1056,MATCH(0,AK11:AK1056,1))</f>
        <v>17.700246913580244</v>
      </c>
      <c r="AM6" s="8" t="s">
        <v>22</v>
      </c>
      <c r="AP6" s="9"/>
      <c r="AQ6" s="2"/>
      <c r="AR6" s="2"/>
      <c r="AS6" s="25">
        <f>(AS3-AS4)/(AU3-AU4)*(-AU4)+AS4</f>
        <v>1.7084216040523659</v>
      </c>
      <c r="AT6" s="25"/>
      <c r="AU6" s="2">
        <f>INDEX(AU11:AU1056,MATCH(AV6,AV11:AV1056,0))</f>
        <v>8.7829599999999994E-2</v>
      </c>
      <c r="AV6" s="10">
        <f>INDEX(AV11:AV1056,MATCH(0,AU11:AU1056,-1))</f>
        <v>17.824567901234566</v>
      </c>
      <c r="AW6" s="8" t="s">
        <v>22</v>
      </c>
      <c r="AX6" s="9"/>
      <c r="AY6" s="2"/>
      <c r="AZ6" s="2"/>
      <c r="BA6" s="27">
        <f>(BA3-BA4)/(BC3-BC4)*(-BC4)+BA4</f>
        <v>1.7166386162289509</v>
      </c>
      <c r="BB6" s="27"/>
      <c r="BC6" s="2">
        <f>INDEX(BC11:BC1056,MATCH(BD6,BD11:BD1056,0))</f>
        <v>-9.5519999999999997E-3</v>
      </c>
      <c r="BD6" s="10">
        <f>INDEX(BD11:BD1056,MATCH(0,BC11:BC1056,1))</f>
        <v>17.692716049382714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-0.10348499999999999</v>
      </c>
      <c r="L7" s="10">
        <f>INDEX(L11:L856,1+MATCH(0,K11:K856,-1))</f>
        <v>17.828271604938269</v>
      </c>
      <c r="M7" s="12">
        <f>INDEX(K11:K1056,MATCH(M9,M11:M1056,0))</f>
        <v>1.4617899999999999</v>
      </c>
      <c r="N7" s="9"/>
      <c r="O7" s="2"/>
      <c r="P7" s="2"/>
      <c r="Q7" s="2"/>
      <c r="R7" s="2"/>
      <c r="S7" s="2">
        <f>INDEX(S11:S1056,MATCH(T7,T11:T1056,0))</f>
        <v>5.8898900000000005E-4</v>
      </c>
      <c r="T7" s="10">
        <f>INDEX(T11:T1056,1+MATCH(0,S11:S1056,1))</f>
        <v>17.703950617283951</v>
      </c>
      <c r="U7" s="12">
        <f>INDEX(S11:S1056,MATCH(U9,U11:U1056,0))</f>
        <v>1.4556899999999999</v>
      </c>
      <c r="X7" s="9"/>
      <c r="Y7" s="2"/>
      <c r="Z7" s="2"/>
      <c r="AA7" s="2"/>
      <c r="AB7" s="2"/>
      <c r="AC7" s="2">
        <f>INDEX(AC11:AC856,MATCH(AD7,AD11:AD856,1))</f>
        <v>1.2689199999999999E-2</v>
      </c>
      <c r="AD7" s="10">
        <f>INDEX(AD11:AD856,1+MATCH(0,AC11:AC856,-1))</f>
        <v>17.809506172839505</v>
      </c>
      <c r="AE7" s="12">
        <f>INDEX(AC11:AC1056,MATCH(AE9,AE11:AE1056,0))</f>
        <v>1.4529399999999999</v>
      </c>
      <c r="AF7" s="9"/>
      <c r="AG7" s="2"/>
      <c r="AH7" s="2"/>
      <c r="AI7" s="2"/>
      <c r="AJ7" s="2"/>
      <c r="AK7" s="2">
        <f>INDEX(AK11:AK1056,MATCH(AL7,AL11:AL1056,0))</f>
        <v>-3.4747300000000002E-2</v>
      </c>
      <c r="AL7" s="10">
        <f>INDEX(AL11:AL1056,1+MATCH(0,AK11:AK1056,1))</f>
        <v>17.719012345679008</v>
      </c>
      <c r="AM7" s="12">
        <f>INDEX(AK11:AK1056,MATCH(AM9,AM11:AM1056,0))</f>
        <v>1.46515</v>
      </c>
      <c r="AP7" s="9"/>
      <c r="AQ7" s="2"/>
      <c r="AR7" s="2"/>
      <c r="AS7" s="2"/>
      <c r="AT7" s="2"/>
      <c r="AU7" s="2">
        <f>INDEX(AU11:AU856,MATCH(AV7,AV11:AV856,1))</f>
        <v>3.7789900000000001E-2</v>
      </c>
      <c r="AV7" s="10">
        <f>INDEX(AV11:AV856,1+MATCH(0,AU11:AU856,-1))</f>
        <v>17.832098765432097</v>
      </c>
      <c r="AW7" s="12">
        <f>INDEX(AU11:AU1056,MATCH(AW9,AW11:AW1056,0))</f>
        <v>1.47278</v>
      </c>
      <c r="AX7" s="9"/>
      <c r="AY7" s="2"/>
      <c r="AZ7" s="2"/>
      <c r="BA7" s="2"/>
      <c r="BB7" s="2"/>
      <c r="BC7" s="2">
        <f>INDEX(BC11:BC1056,MATCH(BD7,BD11:BD1056,0))</f>
        <v>-1.45691E-2</v>
      </c>
      <c r="BD7" s="10">
        <f>INDEX(BD11:BD1056,1+MATCH(0,BC11:BC1056,1))</f>
        <v>17.69641975308642</v>
      </c>
      <c r="BE7" s="12">
        <f>INDEX(BC11:BC1056,MATCH(BE9,BE11:BE1056,0))</f>
        <v>1.4706399999999999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1.2447587108373921</v>
      </c>
      <c r="J9" s="2"/>
      <c r="K9" s="2"/>
      <c r="L9" s="3">
        <f>(L6-L7)/(K6-K7)*(-K7)+L7</f>
        <v>17.824658885148338</v>
      </c>
      <c r="M9" s="15">
        <f>MAX(M11:M1056)</f>
        <v>23.012786062962959</v>
      </c>
      <c r="N9" s="9"/>
      <c r="O9" s="2"/>
      <c r="P9" s="2"/>
      <c r="Q9" s="2"/>
      <c r="R9" s="2"/>
      <c r="S9" s="2"/>
      <c r="T9" s="3">
        <f>(T6-T7)/(S6-S7)*(-S7)+T7</f>
        <v>17.704024987089731</v>
      </c>
      <c r="U9" s="15">
        <f>MAX(U11:U1056)</f>
        <v>23.30285032222222</v>
      </c>
      <c r="X9" s="9"/>
      <c r="Y9" s="2"/>
      <c r="Z9" s="2"/>
      <c r="AA9" s="14">
        <f>(MAX(AD2,AL2)-MIN(AD2,AL2))/MAX(AD2,AL2)%</f>
        <v>0.85259167115203471</v>
      </c>
      <c r="AB9" s="2"/>
      <c r="AC9" s="2"/>
      <c r="AD9" s="3">
        <f>(AD6-AD7)/(AC6-AC7)*(-AC7)+AD7</f>
        <v>17.833179327597694</v>
      </c>
      <c r="AE9" s="15">
        <f>MAX(AE11:AE1056)</f>
        <v>23.598794980246915</v>
      </c>
      <c r="AF9" s="9"/>
      <c r="AG9" s="2"/>
      <c r="AH9" s="2"/>
      <c r="AI9" s="2"/>
      <c r="AJ9" s="2"/>
      <c r="AK9" s="2"/>
      <c r="AL9" s="3">
        <f>(AL6-AL7)/(AK6-AK7)*(-AK7)+AL7</f>
        <v>17.675804313105377</v>
      </c>
      <c r="AM9" s="15">
        <f>MAX(AM11:AM1056)</f>
        <v>23.397593619753085</v>
      </c>
      <c r="AP9" s="9"/>
      <c r="AQ9" s="2"/>
      <c r="AR9" s="2"/>
      <c r="AS9" s="14">
        <f>(MAX(AV2,BD2)-MIN(AV2,BD2))/MAX(AV2,BD2)%</f>
        <v>0.51078040612937281</v>
      </c>
      <c r="AT9" s="2"/>
      <c r="AU9" s="2"/>
      <c r="AV9" s="3">
        <f>(AV6-AV7)/(AU6-AU7)*(-AU7)+AV7</f>
        <v>17.837786061817532</v>
      </c>
      <c r="AW9" s="15">
        <f>MAX(AW11:AW1056)</f>
        <v>23.548547762962961</v>
      </c>
      <c r="AX9" s="9"/>
      <c r="AY9" s="2"/>
      <c r="AZ9" s="2"/>
      <c r="BA9" s="2"/>
      <c r="BB9" s="2"/>
      <c r="BC9" s="2"/>
      <c r="BD9" s="3">
        <f>(BD6-BD7)/(BC6-BC7)*(-BC7)+BD7</f>
        <v>17.685664609750695</v>
      </c>
      <c r="BE9" s="15">
        <f>MAX(BE11:BE1056)</f>
        <v>23.42826639506173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1.7074522350527059</v>
      </c>
      <c r="B11" s="18">
        <f>IFERROR(L9,0)</f>
        <v>17.824658885148338</v>
      </c>
      <c r="C11" s="19">
        <f>IFERROR(L4,0)</f>
        <v>0.75613511861212901</v>
      </c>
      <c r="D11" s="20">
        <f>IFERROR(L2,0)</f>
        <v>23.012786062962959</v>
      </c>
      <c r="E11" s="20">
        <f>IFERROR(I9,0)</f>
        <v>1.2447587108373921</v>
      </c>
      <c r="F11" s="9"/>
      <c r="G11" s="21">
        <v>1.73492</v>
      </c>
      <c r="H11" s="21">
        <v>5.0183900000000001</v>
      </c>
      <c r="I11" s="21">
        <v>1.1230499999999999E-2</v>
      </c>
      <c r="J11" s="21">
        <v>1</v>
      </c>
      <c r="K11" s="21">
        <v>1.7346200000000001</v>
      </c>
      <c r="L11">
        <f>-I11/$F$2*1000</f>
        <v>-13.864814814814812</v>
      </c>
      <c r="M11">
        <f>L11*G11</f>
        <v>-24.054344518518516</v>
      </c>
      <c r="N11" s="9"/>
      <c r="O11" s="21">
        <v>-9.49097E-2</v>
      </c>
      <c r="P11" s="21">
        <v>8.7167300000000001</v>
      </c>
      <c r="Q11" s="21">
        <v>-1.4511100000000001E-2</v>
      </c>
      <c r="R11" s="21">
        <v>1</v>
      </c>
      <c r="S11" s="21">
        <v>-9.5336900000000002E-2</v>
      </c>
      <c r="T11">
        <f>-Q11/$F$2*1000</f>
        <v>17.914938271604939</v>
      </c>
      <c r="U11">
        <f>T11*O11</f>
        <v>-1.7003014168765433</v>
      </c>
      <c r="V11" s="22"/>
      <c r="W11" s="23"/>
      <c r="X11" s="9"/>
      <c r="Y11" s="21">
        <v>1.73492</v>
      </c>
      <c r="Z11" s="21">
        <v>14.083600000000001</v>
      </c>
      <c r="AA11" s="21">
        <v>1.05865E-2</v>
      </c>
      <c r="AB11" s="21">
        <v>1</v>
      </c>
      <c r="AC11" s="21">
        <v>1.73431</v>
      </c>
      <c r="AD11">
        <f>-AA11/$F$2*1000</f>
        <v>-13.069753086419754</v>
      </c>
      <c r="AE11">
        <f>AD11*Y11</f>
        <v>-22.674976024691357</v>
      </c>
      <c r="AF11" s="9"/>
      <c r="AG11" s="21">
        <v>-9.49097E-2</v>
      </c>
      <c r="AH11" s="21">
        <v>17.7819</v>
      </c>
      <c r="AI11" s="21">
        <v>-1.4477500000000001E-2</v>
      </c>
      <c r="AJ11" s="21">
        <v>1</v>
      </c>
      <c r="AK11" s="21">
        <v>-9.5367400000000005E-2</v>
      </c>
      <c r="AL11">
        <f>-AI11/$F$2*1000</f>
        <v>17.873456790123456</v>
      </c>
      <c r="AM11">
        <f>AL11*AG11</f>
        <v>-1.6963644219135801</v>
      </c>
      <c r="AP11" s="9"/>
      <c r="AQ11" s="21">
        <v>1.73492</v>
      </c>
      <c r="AR11" s="21">
        <v>23.195799999999998</v>
      </c>
      <c r="AS11" s="21">
        <v>1.08185E-2</v>
      </c>
      <c r="AT11" s="21">
        <v>1</v>
      </c>
      <c r="AU11" s="21">
        <v>1.7346200000000001</v>
      </c>
      <c r="AV11">
        <f>-AS11/$F$2*1000</f>
        <v>-13.356172839506172</v>
      </c>
      <c r="AW11">
        <f>AV11*AQ11</f>
        <v>-23.171891382716048</v>
      </c>
      <c r="AX11" s="9"/>
      <c r="AY11" s="21">
        <v>-9.49097E-2</v>
      </c>
      <c r="AZ11" s="21">
        <v>26.894200000000001</v>
      </c>
      <c r="BA11" s="21">
        <v>-1.45142E-2</v>
      </c>
      <c r="BB11" s="21">
        <v>1</v>
      </c>
      <c r="BC11" s="21">
        <v>-9.5306399999999999E-2</v>
      </c>
      <c r="BD11">
        <f>-BA11/$F$2*1000</f>
        <v>17.918765432098763</v>
      </c>
      <c r="BE11">
        <f>BD11*AY11</f>
        <v>-1.7006646515308639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1.7163586622363478</v>
      </c>
      <c r="B12" s="18">
        <f>IFERROR(T9,0)</f>
        <v>17.704024987089731</v>
      </c>
      <c r="C12" s="19">
        <f>IFERROR(T4,0)</f>
        <v>0.76688277925815895</v>
      </c>
      <c r="D12" s="20">
        <f>IFERROR(T2,0)</f>
        <v>23.30285032222222</v>
      </c>
      <c r="E12" s="20"/>
      <c r="F12" s="9"/>
      <c r="G12" s="21">
        <v>1.7298899999999999</v>
      </c>
      <c r="H12" s="21">
        <v>5.0284599999999999</v>
      </c>
      <c r="I12" s="21">
        <v>8.6608899999999992E-3</v>
      </c>
      <c r="J12" s="21">
        <v>2</v>
      </c>
      <c r="K12" s="21">
        <v>1.72943</v>
      </c>
      <c r="L12">
        <f t="shared" ref="L12:L75" si="0">-I12/$F$2*1000</f>
        <v>-10.692456790123456</v>
      </c>
      <c r="M12">
        <f t="shared" ref="M12:M75" si="1">L12*G12</f>
        <v>-18.496774076666664</v>
      </c>
      <c r="N12" s="9"/>
      <c r="O12" s="21">
        <v>-8.9874300000000004E-2</v>
      </c>
      <c r="P12" s="21">
        <v>8.7268000000000008</v>
      </c>
      <c r="Q12" s="21">
        <v>-1.44867E-2</v>
      </c>
      <c r="R12" s="21">
        <v>2</v>
      </c>
      <c r="S12" s="21">
        <v>-9.0393100000000004E-2</v>
      </c>
      <c r="T12">
        <f t="shared" ref="T12:T75" si="2">-Q12/$F$2*1000</f>
        <v>17.884814814814817</v>
      </c>
      <c r="U12">
        <f t="shared" ref="U12:U75" si="3">T12*O12</f>
        <v>-1.6073852121111114</v>
      </c>
      <c r="V12" s="22"/>
      <c r="W12" s="23"/>
      <c r="X12" s="9"/>
      <c r="Y12" s="21">
        <v>1.7298899999999999</v>
      </c>
      <c r="Z12" s="21">
        <v>14.0937</v>
      </c>
      <c r="AA12" s="21">
        <v>8.1207299999999996E-3</v>
      </c>
      <c r="AB12" s="21">
        <v>2</v>
      </c>
      <c r="AC12" s="21">
        <v>1.72943</v>
      </c>
      <c r="AD12">
        <f t="shared" ref="AD12:AD75" si="4">-AA12/$F$2*1000</f>
        <v>-10.025592592592592</v>
      </c>
      <c r="AE12">
        <f t="shared" ref="AE12:AE75" si="5">AD12*Y12</f>
        <v>-17.343172369999998</v>
      </c>
      <c r="AF12" s="9"/>
      <c r="AG12" s="21">
        <v>-8.9874300000000004E-2</v>
      </c>
      <c r="AH12" s="21">
        <v>17.792000000000002</v>
      </c>
      <c r="AI12" s="21">
        <v>-1.4462300000000001E-2</v>
      </c>
      <c r="AJ12" s="21">
        <v>2</v>
      </c>
      <c r="AK12" s="21">
        <v>-9.0393100000000004E-2</v>
      </c>
      <c r="AL12">
        <f t="shared" ref="AL12:AL75" si="6">-AI12/$F$2*1000</f>
        <v>17.854691358024692</v>
      </c>
      <c r="AM12">
        <f t="shared" ref="AM12:AM75" si="7">AL12*AG12</f>
        <v>-1.6046778875185186</v>
      </c>
      <c r="AP12" s="9"/>
      <c r="AQ12" s="21">
        <v>1.7298899999999999</v>
      </c>
      <c r="AR12" s="21">
        <v>23.2059</v>
      </c>
      <c r="AS12" s="21">
        <v>8.3038299999999999E-3</v>
      </c>
      <c r="AT12" s="21">
        <v>2</v>
      </c>
      <c r="AU12" s="21">
        <v>1.7297400000000001</v>
      </c>
      <c r="AV12">
        <f t="shared" ref="AV12:AV75" si="8">-AS12/$F$2*1000</f>
        <v>-10.251641975308642</v>
      </c>
      <c r="AW12">
        <f t="shared" ref="AW12:AW75" si="9">AV12*AQ12</f>
        <v>-17.734212936666665</v>
      </c>
      <c r="AX12" s="9"/>
      <c r="AY12" s="21">
        <v>-8.9874300000000004E-2</v>
      </c>
      <c r="AZ12" s="21">
        <v>26.904199999999999</v>
      </c>
      <c r="BA12" s="21">
        <v>-1.4483599999999999E-2</v>
      </c>
      <c r="BB12" s="21">
        <v>2</v>
      </c>
      <c r="BC12" s="21">
        <v>-9.0331999999999996E-2</v>
      </c>
      <c r="BD12">
        <f t="shared" ref="BD12:BD75" si="10">-BA12/$F$2*1000</f>
        <v>17.880987654320986</v>
      </c>
      <c r="BE12">
        <f t="shared" ref="BE12:BE75" si="11">BD12*AY12</f>
        <v>-1.6070412487407406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1.7086663450111375</v>
      </c>
      <c r="B13" s="18">
        <f>IFERROR(AD9,0)</f>
        <v>17.833179327597694</v>
      </c>
      <c r="C13" s="19">
        <f>IFERROR(AD4,0)</f>
        <v>0.7744685476583949</v>
      </c>
      <c r="D13" s="20">
        <f>IFERROR(AD2,0)</f>
        <v>23.598794980246915</v>
      </c>
      <c r="E13" s="20">
        <f>IFERROR(AA9,0)</f>
        <v>0.85259167115203471</v>
      </c>
      <c r="F13" s="9"/>
      <c r="G13" s="21">
        <v>1.72485</v>
      </c>
      <c r="H13" s="21">
        <v>5.0385299999999997</v>
      </c>
      <c r="I13" s="21">
        <v>6.2896699999999998E-3</v>
      </c>
      <c r="J13" s="21">
        <v>3</v>
      </c>
      <c r="K13" s="21">
        <v>1.72455</v>
      </c>
      <c r="L13">
        <f t="shared" si="0"/>
        <v>-7.7650246913580245</v>
      </c>
      <c r="M13">
        <f t="shared" si="1"/>
        <v>-13.393502838888889</v>
      </c>
      <c r="N13" s="9"/>
      <c r="O13" s="21">
        <v>-8.4838899999999995E-2</v>
      </c>
      <c r="P13" s="21">
        <v>8.7368699999999997</v>
      </c>
      <c r="Q13" s="21">
        <v>-1.4456200000000001E-2</v>
      </c>
      <c r="R13" s="21">
        <v>3</v>
      </c>
      <c r="S13" s="21">
        <v>-8.54187E-2</v>
      </c>
      <c r="T13">
        <f t="shared" si="2"/>
        <v>17.847160493827161</v>
      </c>
      <c r="U13">
        <f t="shared" si="3"/>
        <v>-1.5141334644197531</v>
      </c>
      <c r="V13" s="22"/>
      <c r="W13" s="23"/>
      <c r="X13" s="9"/>
      <c r="Y13" s="21">
        <v>1.72485</v>
      </c>
      <c r="Z13" s="21">
        <v>14.1037</v>
      </c>
      <c r="AA13" s="21">
        <v>5.8349600000000001E-3</v>
      </c>
      <c r="AB13" s="21">
        <v>3</v>
      </c>
      <c r="AC13" s="21">
        <v>1.72424</v>
      </c>
      <c r="AD13">
        <f t="shared" si="4"/>
        <v>-7.2036543209876545</v>
      </c>
      <c r="AE13">
        <f t="shared" si="5"/>
        <v>-12.425223155555555</v>
      </c>
      <c r="AF13" s="9"/>
      <c r="AG13" s="21">
        <v>-8.4838899999999995E-2</v>
      </c>
      <c r="AH13" s="21">
        <v>17.802099999999999</v>
      </c>
      <c r="AI13" s="21">
        <v>-1.4456200000000001E-2</v>
      </c>
      <c r="AJ13" s="21">
        <v>3</v>
      </c>
      <c r="AK13" s="21">
        <v>-8.5357699999999995E-2</v>
      </c>
      <c r="AL13">
        <f t="shared" si="6"/>
        <v>17.847160493827161</v>
      </c>
      <c r="AM13">
        <f t="shared" si="7"/>
        <v>-1.5141334644197531</v>
      </c>
      <c r="AP13" s="9"/>
      <c r="AQ13" s="21">
        <v>1.72485</v>
      </c>
      <c r="AR13" s="21">
        <v>23.216000000000001</v>
      </c>
      <c r="AS13" s="21">
        <v>5.9875500000000003E-3</v>
      </c>
      <c r="AT13" s="21">
        <v>3</v>
      </c>
      <c r="AU13" s="21">
        <v>1.72394</v>
      </c>
      <c r="AV13">
        <f t="shared" si="8"/>
        <v>-7.3920370370370376</v>
      </c>
      <c r="AW13">
        <f t="shared" si="9"/>
        <v>-12.750155083333334</v>
      </c>
      <c r="AX13" s="9"/>
      <c r="AY13" s="21">
        <v>-8.4838899999999995E-2</v>
      </c>
      <c r="AZ13" s="21">
        <v>26.914300000000001</v>
      </c>
      <c r="BA13" s="21">
        <v>-1.44653E-2</v>
      </c>
      <c r="BB13" s="21">
        <v>3</v>
      </c>
      <c r="BC13" s="21">
        <v>-8.5388199999999997E-2</v>
      </c>
      <c r="BD13">
        <f t="shared" si="10"/>
        <v>17.858395061728395</v>
      </c>
      <c r="BE13">
        <f t="shared" si="11"/>
        <v>-1.515086592802469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1.7165701441111876</v>
      </c>
      <c r="B14" s="18">
        <f>IFERROR(AL9,0)</f>
        <v>17.675804313105377</v>
      </c>
      <c r="C14" s="19">
        <f>IFERROR(AL4,0)</f>
        <v>0.77113506913112795</v>
      </c>
      <c r="D14" s="20">
        <f>IFERROR(AL2,0)</f>
        <v>23.397593619753085</v>
      </c>
      <c r="E14" s="20"/>
      <c r="F14" s="9"/>
      <c r="G14" s="21">
        <v>1.7198199999999999</v>
      </c>
      <c r="H14" s="21">
        <v>5.04861</v>
      </c>
      <c r="I14" s="21">
        <v>4.1421499999999998E-3</v>
      </c>
      <c r="J14" s="21">
        <v>4</v>
      </c>
      <c r="K14" s="21">
        <v>1.71936</v>
      </c>
      <c r="L14">
        <f t="shared" si="0"/>
        <v>-5.1137654320987647</v>
      </c>
      <c r="M14">
        <f t="shared" si="1"/>
        <v>-8.7947560654320966</v>
      </c>
      <c r="N14" s="9"/>
      <c r="O14" s="21">
        <v>-7.9803499999999999E-2</v>
      </c>
      <c r="P14" s="21">
        <v>8.7469400000000004</v>
      </c>
      <c r="Q14" s="21">
        <v>-1.44379E-2</v>
      </c>
      <c r="R14" s="21">
        <v>4</v>
      </c>
      <c r="S14" s="21">
        <v>-8.0261200000000005E-2</v>
      </c>
      <c r="T14">
        <f t="shared" si="2"/>
        <v>17.824567901234566</v>
      </c>
      <c r="U14">
        <f t="shared" si="3"/>
        <v>-1.4224629045061727</v>
      </c>
      <c r="V14" s="22"/>
      <c r="W14" s="23"/>
      <c r="X14" s="9"/>
      <c r="Y14" s="21">
        <v>1.7198199999999999</v>
      </c>
      <c r="Z14" s="21">
        <v>14.113799999999999</v>
      </c>
      <c r="AA14" s="21">
        <v>3.7701399999999999E-3</v>
      </c>
      <c r="AB14" s="21">
        <v>4</v>
      </c>
      <c r="AC14" s="21">
        <v>1.71967</v>
      </c>
      <c r="AD14">
        <f t="shared" si="4"/>
        <v>-4.6544938271604934</v>
      </c>
      <c r="AE14">
        <f t="shared" si="5"/>
        <v>-8.0048915738271589</v>
      </c>
      <c r="AF14" s="9"/>
      <c r="AG14" s="21">
        <v>-7.9803499999999999E-2</v>
      </c>
      <c r="AH14" s="21">
        <v>17.812200000000001</v>
      </c>
      <c r="AI14" s="21">
        <v>-1.4447E-2</v>
      </c>
      <c r="AJ14" s="21">
        <v>4</v>
      </c>
      <c r="AK14" s="21">
        <v>-8.0352800000000002E-2</v>
      </c>
      <c r="AL14">
        <f t="shared" si="6"/>
        <v>17.8358024691358</v>
      </c>
      <c r="AM14">
        <f t="shared" si="7"/>
        <v>-1.4233594623456787</v>
      </c>
      <c r="AP14" s="9"/>
      <c r="AQ14" s="21">
        <v>1.7198199999999999</v>
      </c>
      <c r="AR14" s="21">
        <v>23.225999999999999</v>
      </c>
      <c r="AS14" s="21">
        <v>3.8739E-3</v>
      </c>
      <c r="AT14" s="21">
        <v>4</v>
      </c>
      <c r="AU14" s="21">
        <v>1.71936</v>
      </c>
      <c r="AV14">
        <f t="shared" si="8"/>
        <v>-4.782592592592593</v>
      </c>
      <c r="AW14">
        <f t="shared" si="9"/>
        <v>-8.225198392592592</v>
      </c>
      <c r="AX14" s="9"/>
      <c r="AY14" s="21">
        <v>-7.9803499999999999E-2</v>
      </c>
      <c r="AZ14" s="21">
        <v>26.924399999999999</v>
      </c>
      <c r="BA14" s="21">
        <v>-1.44592E-2</v>
      </c>
      <c r="BB14" s="21">
        <v>4</v>
      </c>
      <c r="BC14" s="21">
        <v>-8.0352800000000002E-2</v>
      </c>
      <c r="BD14">
        <f t="shared" si="10"/>
        <v>17.850864197530864</v>
      </c>
      <c r="BE14">
        <f t="shared" si="11"/>
        <v>-1.4245614409876544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1.7084216040523659</v>
      </c>
      <c r="B15" s="18">
        <f>IFERROR(AV9,0)</f>
        <v>17.837786061817532</v>
      </c>
      <c r="C15" s="19">
        <f>IFERROR(AV4,0)</f>
        <v>0.77273062349916521</v>
      </c>
      <c r="D15" s="20">
        <f>IFERROR(AV2,0)</f>
        <v>23.548547762962961</v>
      </c>
      <c r="E15" s="20">
        <f>IFERROR(AS9,0)</f>
        <v>0.51078040612937281</v>
      </c>
      <c r="F15" s="9"/>
      <c r="G15" s="21">
        <v>1.71478</v>
      </c>
      <c r="H15" s="21">
        <v>5.0586799999999998</v>
      </c>
      <c r="I15" s="21">
        <v>2.2100800000000001E-3</v>
      </c>
      <c r="J15" s="21">
        <v>5</v>
      </c>
      <c r="K15" s="21">
        <v>1.71356</v>
      </c>
      <c r="L15">
        <f t="shared" si="0"/>
        <v>-2.7284938271604942</v>
      </c>
      <c r="M15">
        <f t="shared" si="1"/>
        <v>-4.6787666449382721</v>
      </c>
      <c r="N15" s="9"/>
      <c r="O15" s="21">
        <v>-7.4768100000000004E-2</v>
      </c>
      <c r="P15" s="21">
        <v>8.7570099999999993</v>
      </c>
      <c r="Q15" s="21">
        <v>-1.4422600000000001E-2</v>
      </c>
      <c r="R15" s="21">
        <v>5</v>
      </c>
      <c r="S15" s="21">
        <v>-7.5286900000000004E-2</v>
      </c>
      <c r="T15">
        <f t="shared" si="2"/>
        <v>17.805679012345678</v>
      </c>
      <c r="U15">
        <f t="shared" si="3"/>
        <v>-1.331296788962963</v>
      </c>
      <c r="V15" s="22"/>
      <c r="W15" s="23"/>
      <c r="X15" s="9"/>
      <c r="Y15" s="21">
        <v>1.71478</v>
      </c>
      <c r="Z15" s="21">
        <v>14.123900000000001</v>
      </c>
      <c r="AA15" s="21">
        <v>1.8688999999999999E-3</v>
      </c>
      <c r="AB15" s="21">
        <v>5</v>
      </c>
      <c r="AC15" s="21">
        <v>1.71448</v>
      </c>
      <c r="AD15">
        <f t="shared" si="4"/>
        <v>-2.307283950617284</v>
      </c>
      <c r="AE15">
        <f t="shared" si="5"/>
        <v>-3.956484372839506</v>
      </c>
      <c r="AF15" s="9"/>
      <c r="AG15" s="21">
        <v>-7.4768100000000004E-2</v>
      </c>
      <c r="AH15" s="21">
        <v>17.822199999999999</v>
      </c>
      <c r="AI15" s="21">
        <v>-1.4428699999999999E-2</v>
      </c>
      <c r="AJ15" s="21">
        <v>5</v>
      </c>
      <c r="AK15" s="21">
        <v>-7.5286900000000004E-2</v>
      </c>
      <c r="AL15">
        <f t="shared" si="6"/>
        <v>17.813209876543205</v>
      </c>
      <c r="AM15">
        <f t="shared" si="7"/>
        <v>-1.3318598573703702</v>
      </c>
      <c r="AP15" s="9"/>
      <c r="AQ15" s="21">
        <v>1.71478</v>
      </c>
      <c r="AR15" s="21">
        <v>23.2361</v>
      </c>
      <c r="AS15" s="21">
        <v>1.9515999999999999E-3</v>
      </c>
      <c r="AT15" s="21">
        <v>5</v>
      </c>
      <c r="AU15" s="21">
        <v>1.71478</v>
      </c>
      <c r="AV15">
        <f t="shared" si="8"/>
        <v>-2.4093827160493824</v>
      </c>
      <c r="AW15">
        <f t="shared" si="9"/>
        <v>-4.1315612938271595</v>
      </c>
      <c r="AX15" s="9"/>
      <c r="AY15" s="21">
        <v>-7.4768100000000004E-2</v>
      </c>
      <c r="AZ15" s="21">
        <v>26.9344</v>
      </c>
      <c r="BA15" s="21">
        <v>-1.4444E-2</v>
      </c>
      <c r="BB15" s="21">
        <v>5</v>
      </c>
      <c r="BC15" s="21">
        <v>-7.5164800000000004E-2</v>
      </c>
      <c r="BD15">
        <f t="shared" si="10"/>
        <v>17.832098765432097</v>
      </c>
      <c r="BE15">
        <f t="shared" si="11"/>
        <v>-1.3332721437037036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1.7166386162289509</v>
      </c>
      <c r="B16" s="18">
        <f>IFERROR(BD9,0)</f>
        <v>17.685664609750695</v>
      </c>
      <c r="C16" s="19">
        <f>IFERROR(BD4,0)</f>
        <v>0.77168470219762131</v>
      </c>
      <c r="D16" s="20">
        <f>IFERROR(BD2,0)</f>
        <v>23.42826639506173</v>
      </c>
      <c r="E16" s="20"/>
      <c r="F16" s="9"/>
      <c r="G16" s="21">
        <v>1.7097500000000001</v>
      </c>
      <c r="H16" s="21">
        <v>5.0687499999999996</v>
      </c>
      <c r="I16" s="21">
        <v>4.9102800000000002E-4</v>
      </c>
      <c r="J16" s="21">
        <v>6</v>
      </c>
      <c r="K16" s="21">
        <v>1.7089799999999999</v>
      </c>
      <c r="L16">
        <f t="shared" si="0"/>
        <v>-0.60620740740740742</v>
      </c>
      <c r="M16">
        <f t="shared" si="1"/>
        <v>-1.0364631148148149</v>
      </c>
      <c r="N16" s="9"/>
      <c r="O16" s="21">
        <v>-6.9732699999999995E-2</v>
      </c>
      <c r="P16" s="21">
        <v>8.76708</v>
      </c>
      <c r="Q16" s="21">
        <v>-1.4401199999999999E-2</v>
      </c>
      <c r="R16" s="21">
        <v>6</v>
      </c>
      <c r="S16" s="21">
        <v>-7.0251499999999995E-2</v>
      </c>
      <c r="T16">
        <f t="shared" si="2"/>
        <v>17.779259259259259</v>
      </c>
      <c r="U16">
        <f t="shared" si="3"/>
        <v>-1.239795752148148</v>
      </c>
      <c r="V16" s="22"/>
      <c r="W16" s="23"/>
      <c r="X16" s="9"/>
      <c r="Y16" s="21">
        <v>1.7097500000000001</v>
      </c>
      <c r="Z16" s="21">
        <v>14.134</v>
      </c>
      <c r="AA16" s="21">
        <v>1.71387E-4</v>
      </c>
      <c r="AB16" s="21">
        <v>6</v>
      </c>
      <c r="AC16" s="21">
        <v>1.70929</v>
      </c>
      <c r="AD16">
        <f t="shared" si="4"/>
        <v>-0.21158888888888885</v>
      </c>
      <c r="AE16">
        <f t="shared" si="5"/>
        <v>-0.36176410277777776</v>
      </c>
      <c r="AF16" s="9"/>
      <c r="AG16" s="21">
        <v>-6.9732699999999995E-2</v>
      </c>
      <c r="AH16" s="21">
        <v>17.8323</v>
      </c>
      <c r="AI16" s="21">
        <v>-1.44257E-2</v>
      </c>
      <c r="AJ16" s="21">
        <v>6</v>
      </c>
      <c r="AK16" s="21">
        <v>-7.0159899999999997E-2</v>
      </c>
      <c r="AL16">
        <f t="shared" si="6"/>
        <v>17.809506172839505</v>
      </c>
      <c r="AM16">
        <f t="shared" si="7"/>
        <v>-1.2419049510987652</v>
      </c>
      <c r="AP16" s="9"/>
      <c r="AQ16" s="21">
        <v>1.7097500000000001</v>
      </c>
      <c r="AR16" s="21">
        <v>23.246200000000002</v>
      </c>
      <c r="AS16" s="21">
        <v>2.5869800000000002E-4</v>
      </c>
      <c r="AT16" s="21">
        <v>6</v>
      </c>
      <c r="AU16" s="21">
        <v>1.70929</v>
      </c>
      <c r="AV16">
        <f t="shared" si="8"/>
        <v>-0.31938024691358025</v>
      </c>
      <c r="AW16">
        <f t="shared" si="9"/>
        <v>-0.54606037716049383</v>
      </c>
      <c r="AX16" s="9"/>
      <c r="AY16" s="21">
        <v>-6.9732699999999995E-2</v>
      </c>
      <c r="AZ16" s="21">
        <v>26.944500000000001</v>
      </c>
      <c r="BA16" s="21">
        <v>-1.4447E-2</v>
      </c>
      <c r="BB16" s="21">
        <v>6</v>
      </c>
      <c r="BC16" s="21">
        <v>-7.0220900000000003E-2</v>
      </c>
      <c r="BD16">
        <f t="shared" si="10"/>
        <v>17.8358024691358</v>
      </c>
      <c r="BE16">
        <f t="shared" si="11"/>
        <v>-1.243738662839506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1.7047099999999999</v>
      </c>
      <c r="H17" s="21">
        <v>5.0788200000000003</v>
      </c>
      <c r="I17" s="21">
        <v>-9.7778300000000008E-4</v>
      </c>
      <c r="J17" s="21">
        <v>7</v>
      </c>
      <c r="K17" s="21">
        <v>1.70441</v>
      </c>
      <c r="L17">
        <f t="shared" si="0"/>
        <v>1.2071395061728396</v>
      </c>
      <c r="M17">
        <f t="shared" si="1"/>
        <v>2.0578227875679014</v>
      </c>
      <c r="N17" s="9"/>
      <c r="O17" s="21">
        <v>-6.4697299999999999E-2</v>
      </c>
      <c r="P17" s="21">
        <v>8.7771600000000003</v>
      </c>
      <c r="Q17" s="21">
        <v>-1.4389000000000001E-2</v>
      </c>
      <c r="R17" s="21">
        <v>7</v>
      </c>
      <c r="S17" s="21">
        <v>-6.5185499999999993E-2</v>
      </c>
      <c r="T17">
        <f t="shared" si="2"/>
        <v>17.764197530864198</v>
      </c>
      <c r="U17">
        <f t="shared" si="3"/>
        <v>-1.1492956169135802</v>
      </c>
      <c r="V17" s="22"/>
      <c r="W17" s="23"/>
      <c r="X17" s="9"/>
      <c r="Y17" s="21">
        <v>1.7047099999999999</v>
      </c>
      <c r="Z17" s="21">
        <v>14.144</v>
      </c>
      <c r="AA17" s="21">
        <v>-1.2548800000000001E-3</v>
      </c>
      <c r="AB17" s="21">
        <v>7</v>
      </c>
      <c r="AC17" s="21">
        <v>1.7040999999999999</v>
      </c>
      <c r="AD17">
        <f t="shared" si="4"/>
        <v>1.5492345679012345</v>
      </c>
      <c r="AE17">
        <f t="shared" si="5"/>
        <v>2.6409956602469133</v>
      </c>
      <c r="AF17" s="9"/>
      <c r="AG17" s="21">
        <v>-6.4697299999999999E-2</v>
      </c>
      <c r="AH17" s="21">
        <v>17.842400000000001</v>
      </c>
      <c r="AI17" s="21">
        <v>-1.44073E-2</v>
      </c>
      <c r="AJ17" s="21">
        <v>7</v>
      </c>
      <c r="AK17" s="21">
        <v>-6.5093999999999999E-2</v>
      </c>
      <c r="AL17">
        <f t="shared" si="6"/>
        <v>17.78679012345679</v>
      </c>
      <c r="AM17">
        <f t="shared" si="7"/>
        <v>-1.1507572966543209</v>
      </c>
      <c r="AP17" s="9"/>
      <c r="AQ17" s="21">
        <v>1.7047099999999999</v>
      </c>
      <c r="AR17" s="21">
        <v>23.2563</v>
      </c>
      <c r="AS17" s="21">
        <v>-1.1950699999999999E-3</v>
      </c>
      <c r="AT17" s="21">
        <v>7</v>
      </c>
      <c r="AU17" s="21">
        <v>1.70441</v>
      </c>
      <c r="AV17">
        <f t="shared" si="8"/>
        <v>1.4753950617283949</v>
      </c>
      <c r="AW17">
        <f t="shared" si="9"/>
        <v>2.5151207156790121</v>
      </c>
      <c r="AX17" s="9"/>
      <c r="AY17" s="21">
        <v>-6.4697299999999999E-2</v>
      </c>
      <c r="AZ17" s="21">
        <v>26.954599999999999</v>
      </c>
      <c r="BA17" s="21">
        <v>-1.44501E-2</v>
      </c>
      <c r="BB17" s="21">
        <v>7</v>
      </c>
      <c r="BC17" s="21">
        <v>-6.5124500000000002E-2</v>
      </c>
      <c r="BD17">
        <f t="shared" si="10"/>
        <v>17.839629629629631</v>
      </c>
      <c r="BE17">
        <f t="shared" si="11"/>
        <v>-1.154175870037037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1.6996800000000001</v>
      </c>
      <c r="H18" s="21">
        <v>5.0888900000000001</v>
      </c>
      <c r="I18" s="21">
        <v>-2.2302200000000002E-3</v>
      </c>
      <c r="J18" s="21">
        <v>8</v>
      </c>
      <c r="K18" s="21">
        <v>1.6995199999999999</v>
      </c>
      <c r="L18">
        <f t="shared" si="0"/>
        <v>2.7533580246913578</v>
      </c>
      <c r="M18">
        <f t="shared" si="1"/>
        <v>4.6798275674074077</v>
      </c>
      <c r="N18" s="9"/>
      <c r="O18" s="21">
        <v>-5.9661899999999997E-2</v>
      </c>
      <c r="P18" s="21">
        <v>8.7872299999999992</v>
      </c>
      <c r="Q18" s="21">
        <v>-1.43768E-2</v>
      </c>
      <c r="R18" s="21">
        <v>8</v>
      </c>
      <c r="S18" s="21">
        <v>-6.0150099999999998E-2</v>
      </c>
      <c r="T18">
        <f t="shared" si="2"/>
        <v>17.749135802469137</v>
      </c>
      <c r="U18">
        <f t="shared" si="3"/>
        <v>-1.0589471653333333</v>
      </c>
      <c r="V18" s="22"/>
      <c r="W18" s="23"/>
      <c r="X18" s="9"/>
      <c r="Y18" s="21">
        <v>1.6996800000000001</v>
      </c>
      <c r="Z18" s="21">
        <v>14.1541</v>
      </c>
      <c r="AA18" s="21">
        <v>-2.47314E-3</v>
      </c>
      <c r="AB18" s="21">
        <v>8</v>
      </c>
      <c r="AC18" s="21">
        <v>1.6989099999999999</v>
      </c>
      <c r="AD18">
        <f t="shared" si="4"/>
        <v>3.0532592592592591</v>
      </c>
      <c r="AE18">
        <f t="shared" si="5"/>
        <v>5.1895636977777775</v>
      </c>
      <c r="AF18" s="9"/>
      <c r="AG18" s="21">
        <v>-5.9661899999999997E-2</v>
      </c>
      <c r="AH18" s="21">
        <v>17.852399999999999</v>
      </c>
      <c r="AI18" s="21">
        <v>-1.4389000000000001E-2</v>
      </c>
      <c r="AJ18" s="21">
        <v>8</v>
      </c>
      <c r="AK18" s="21">
        <v>-6.0058599999999997E-2</v>
      </c>
      <c r="AL18">
        <f t="shared" si="6"/>
        <v>17.764197530864198</v>
      </c>
      <c r="AM18">
        <f t="shared" si="7"/>
        <v>-1.0598457766666667</v>
      </c>
      <c r="AP18" s="9"/>
      <c r="AQ18" s="21">
        <v>1.6996800000000001</v>
      </c>
      <c r="AR18" s="21">
        <v>23.266300000000001</v>
      </c>
      <c r="AS18" s="21">
        <v>-2.4108900000000002E-3</v>
      </c>
      <c r="AT18" s="21">
        <v>8</v>
      </c>
      <c r="AU18" s="21">
        <v>1.69922</v>
      </c>
      <c r="AV18">
        <f t="shared" si="8"/>
        <v>2.9764074074074074</v>
      </c>
      <c r="AW18">
        <f t="shared" si="9"/>
        <v>5.0589401422222222</v>
      </c>
      <c r="AX18" s="9"/>
      <c r="AY18" s="21">
        <v>-5.9661899999999997E-2</v>
      </c>
      <c r="AZ18" s="21">
        <v>26.964700000000001</v>
      </c>
      <c r="BA18" s="21">
        <v>-1.44409E-2</v>
      </c>
      <c r="BB18" s="21">
        <v>8</v>
      </c>
      <c r="BC18" s="21">
        <v>-6.0119600000000002E-2</v>
      </c>
      <c r="BD18">
        <f t="shared" si="10"/>
        <v>17.828271604938269</v>
      </c>
      <c r="BE18">
        <f t="shared" si="11"/>
        <v>-1.0636685576666665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1.6946399999999999</v>
      </c>
      <c r="H19" s="21">
        <v>5.0989599999999999</v>
      </c>
      <c r="I19" s="21">
        <v>-3.2818600000000002E-3</v>
      </c>
      <c r="J19" s="21">
        <v>9</v>
      </c>
      <c r="K19" s="21">
        <v>1.6934199999999999</v>
      </c>
      <c r="L19">
        <f t="shared" si="0"/>
        <v>4.0516790123456792</v>
      </c>
      <c r="M19">
        <f t="shared" si="1"/>
        <v>6.8661373214814816</v>
      </c>
      <c r="N19" s="9"/>
      <c r="O19" s="21">
        <v>-5.4626500000000001E-2</v>
      </c>
      <c r="P19" s="21">
        <v>8.7972999999999999</v>
      </c>
      <c r="Q19" s="21">
        <v>-1.43707E-2</v>
      </c>
      <c r="R19" s="21">
        <v>9</v>
      </c>
      <c r="S19" s="21">
        <v>-5.5175799999999997E-2</v>
      </c>
      <c r="T19">
        <f t="shared" si="2"/>
        <v>17.741604938271603</v>
      </c>
      <c r="U19">
        <f t="shared" si="3"/>
        <v>-0.96916178216049376</v>
      </c>
      <c r="V19" s="22"/>
      <c r="W19" s="23"/>
      <c r="X19" s="9"/>
      <c r="Y19" s="21">
        <v>1.6946399999999999</v>
      </c>
      <c r="Z19" s="21">
        <v>14.164199999999999</v>
      </c>
      <c r="AA19" s="21">
        <v>-3.4789999999999999E-3</v>
      </c>
      <c r="AB19" s="21">
        <v>9</v>
      </c>
      <c r="AC19" s="21">
        <v>1.69434</v>
      </c>
      <c r="AD19">
        <f t="shared" si="4"/>
        <v>4.2950617283950612</v>
      </c>
      <c r="AE19">
        <f t="shared" si="5"/>
        <v>7.2785834074074058</v>
      </c>
      <c r="AF19" s="9"/>
      <c r="AG19" s="21">
        <v>-5.4626500000000001E-2</v>
      </c>
      <c r="AH19" s="21">
        <v>17.862500000000001</v>
      </c>
      <c r="AI19" s="21">
        <v>-1.4385999999999999E-2</v>
      </c>
      <c r="AJ19" s="21">
        <v>9</v>
      </c>
      <c r="AK19" s="21">
        <v>-5.50842E-2</v>
      </c>
      <c r="AL19">
        <f t="shared" si="6"/>
        <v>17.760493827160492</v>
      </c>
      <c r="AM19">
        <f t="shared" si="7"/>
        <v>-0.97019361604938259</v>
      </c>
      <c r="AP19" s="9"/>
      <c r="AQ19" s="21">
        <v>1.6946399999999999</v>
      </c>
      <c r="AR19" s="21">
        <v>23.276399999999999</v>
      </c>
      <c r="AS19" s="21">
        <v>-3.4420800000000001E-3</v>
      </c>
      <c r="AT19" s="21">
        <v>9</v>
      </c>
      <c r="AU19" s="21">
        <v>1.6934199999999999</v>
      </c>
      <c r="AV19">
        <f t="shared" si="8"/>
        <v>4.2494814814814816</v>
      </c>
      <c r="AW19">
        <f t="shared" si="9"/>
        <v>7.2013412977777778</v>
      </c>
      <c r="AX19" s="9"/>
      <c r="AY19" s="21">
        <v>-5.4626500000000001E-2</v>
      </c>
      <c r="AZ19" s="21">
        <v>26.974699999999999</v>
      </c>
      <c r="BA19" s="21">
        <v>-1.4428699999999999E-2</v>
      </c>
      <c r="BB19" s="21">
        <v>9</v>
      </c>
      <c r="BC19" s="21">
        <v>-5.5267299999999998E-2</v>
      </c>
      <c r="BD19">
        <f t="shared" si="10"/>
        <v>17.813209876543205</v>
      </c>
      <c r="BE19">
        <f t="shared" si="11"/>
        <v>-0.97307330932098735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1.6896100000000001</v>
      </c>
      <c r="H20" s="21">
        <v>5.1090299999999997</v>
      </c>
      <c r="I20" s="21">
        <v>-4.1445900000000001E-3</v>
      </c>
      <c r="J20" s="21">
        <v>10</v>
      </c>
      <c r="K20" s="21">
        <v>1.6888399999999999</v>
      </c>
      <c r="L20">
        <f t="shared" si="0"/>
        <v>5.1167777777777772</v>
      </c>
      <c r="M20">
        <f t="shared" si="1"/>
        <v>8.6453589011111109</v>
      </c>
      <c r="N20" s="9"/>
      <c r="O20" s="21">
        <v>-4.9591099999999999E-2</v>
      </c>
      <c r="P20" s="21">
        <v>8.8073700000000006</v>
      </c>
      <c r="Q20" s="21">
        <v>-1.43494E-2</v>
      </c>
      <c r="R20" s="21">
        <v>10</v>
      </c>
      <c r="S20" s="21">
        <v>-5.00793E-2</v>
      </c>
      <c r="T20">
        <f t="shared" si="2"/>
        <v>17.715308641975309</v>
      </c>
      <c r="U20">
        <f t="shared" si="3"/>
        <v>-0.8785216423950617</v>
      </c>
      <c r="V20" s="22"/>
      <c r="W20" s="23"/>
      <c r="X20" s="9"/>
      <c r="Y20" s="21">
        <v>1.6896100000000001</v>
      </c>
      <c r="Z20" s="21">
        <v>14.174200000000001</v>
      </c>
      <c r="AA20" s="21">
        <v>-4.3377700000000003E-3</v>
      </c>
      <c r="AB20" s="21">
        <v>10</v>
      </c>
      <c r="AC20" s="21">
        <v>1.6888399999999999</v>
      </c>
      <c r="AD20">
        <f t="shared" si="4"/>
        <v>5.3552716049382711</v>
      </c>
      <c r="AE20">
        <f t="shared" si="5"/>
        <v>9.0483204564197521</v>
      </c>
      <c r="AF20" s="9"/>
      <c r="AG20" s="21">
        <v>-4.9591099999999999E-2</v>
      </c>
      <c r="AH20" s="21">
        <v>17.872599999999998</v>
      </c>
      <c r="AI20" s="21">
        <v>-1.4379899999999999E-2</v>
      </c>
      <c r="AJ20" s="21">
        <v>10</v>
      </c>
      <c r="AK20" s="21">
        <v>-5.0048799999999997E-2</v>
      </c>
      <c r="AL20">
        <f t="shared" si="6"/>
        <v>17.752962962962961</v>
      </c>
      <c r="AM20">
        <f t="shared" si="7"/>
        <v>-0.8803889615925925</v>
      </c>
      <c r="AP20" s="9"/>
      <c r="AQ20" s="21">
        <v>1.6896100000000001</v>
      </c>
      <c r="AR20" s="21">
        <v>23.2865</v>
      </c>
      <c r="AS20" s="21">
        <v>-4.31549E-3</v>
      </c>
      <c r="AT20" s="21">
        <v>10</v>
      </c>
      <c r="AU20" s="21">
        <v>1.6888399999999999</v>
      </c>
      <c r="AV20">
        <f t="shared" si="8"/>
        <v>5.3277654320987651</v>
      </c>
      <c r="AW20">
        <f t="shared" si="9"/>
        <v>9.0018457517283945</v>
      </c>
      <c r="AX20" s="9"/>
      <c r="AY20" s="21">
        <v>-4.9591099999999999E-2</v>
      </c>
      <c r="AZ20" s="21">
        <v>26.9848</v>
      </c>
      <c r="BA20" s="21">
        <v>-1.4419599999999999E-2</v>
      </c>
      <c r="BB20" s="21">
        <v>10</v>
      </c>
      <c r="BC20" s="21">
        <v>-5.0109899999999999E-2</v>
      </c>
      <c r="BD20">
        <f t="shared" si="10"/>
        <v>17.801975308641975</v>
      </c>
      <c r="BE20">
        <f t="shared" si="11"/>
        <v>-0.88281953772839505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1.6845699999999999</v>
      </c>
      <c r="H21" s="21">
        <v>5.1191000000000004</v>
      </c>
      <c r="I21" s="21">
        <v>-4.8736600000000001E-3</v>
      </c>
      <c r="J21" s="21">
        <v>11</v>
      </c>
      <c r="K21" s="21">
        <v>1.6839599999999999</v>
      </c>
      <c r="L21">
        <f t="shared" si="0"/>
        <v>6.0168641975308645</v>
      </c>
      <c r="M21">
        <f t="shared" si="1"/>
        <v>10.135828921234568</v>
      </c>
      <c r="N21" s="9"/>
      <c r="O21" s="21">
        <v>-4.4555699999999997E-2</v>
      </c>
      <c r="P21" s="21">
        <v>8.8174399999999995</v>
      </c>
      <c r="Q21" s="21">
        <v>-1.4334100000000001E-2</v>
      </c>
      <c r="R21" s="21">
        <v>11</v>
      </c>
      <c r="S21" s="21">
        <v>-4.4989000000000001E-2</v>
      </c>
      <c r="T21">
        <f t="shared" si="2"/>
        <v>17.69641975308642</v>
      </c>
      <c r="U21">
        <f t="shared" si="3"/>
        <v>-0.7884763695925926</v>
      </c>
      <c r="V21" s="22"/>
      <c r="W21" s="23"/>
      <c r="X21" s="9"/>
      <c r="Y21" s="21">
        <v>1.6845699999999999</v>
      </c>
      <c r="Z21" s="21">
        <v>14.1843</v>
      </c>
      <c r="AA21" s="21">
        <v>-5.0811800000000002E-3</v>
      </c>
      <c r="AB21" s="21">
        <v>11</v>
      </c>
      <c r="AC21" s="21">
        <v>1.6842699999999999</v>
      </c>
      <c r="AD21">
        <f t="shared" si="4"/>
        <v>6.2730617283950609</v>
      </c>
      <c r="AE21">
        <f t="shared" si="5"/>
        <v>10.567411595802467</v>
      </c>
      <c r="AF21" s="9"/>
      <c r="AG21" s="21">
        <v>-4.4555699999999997E-2</v>
      </c>
      <c r="AH21" s="21">
        <v>17.8827</v>
      </c>
      <c r="AI21" s="21">
        <v>-1.4373800000000001E-2</v>
      </c>
      <c r="AJ21" s="21">
        <v>11</v>
      </c>
      <c r="AK21" s="21">
        <v>-4.4833400000000002E-2</v>
      </c>
      <c r="AL21">
        <f t="shared" si="6"/>
        <v>17.745432098765431</v>
      </c>
      <c r="AM21">
        <f t="shared" si="7"/>
        <v>-0.79066014896296288</v>
      </c>
      <c r="AP21" s="9"/>
      <c r="AQ21" s="21">
        <v>1.6845699999999999</v>
      </c>
      <c r="AR21" s="21">
        <v>23.296500000000002</v>
      </c>
      <c r="AS21" s="21">
        <v>-5.0598099999999997E-3</v>
      </c>
      <c r="AT21" s="21">
        <v>11</v>
      </c>
      <c r="AU21" s="21">
        <v>1.6839599999999999</v>
      </c>
      <c r="AV21">
        <f t="shared" si="8"/>
        <v>6.2466790123456777</v>
      </c>
      <c r="AW21">
        <f t="shared" si="9"/>
        <v>10.522968063827157</v>
      </c>
      <c r="AX21" s="9"/>
      <c r="AY21" s="21">
        <v>-4.4555699999999997E-2</v>
      </c>
      <c r="AZ21" s="21">
        <v>26.994900000000001</v>
      </c>
      <c r="BA21" s="21">
        <v>-1.44104E-2</v>
      </c>
      <c r="BB21" s="21">
        <v>11</v>
      </c>
      <c r="BC21" s="21">
        <v>-4.4876100000000002E-2</v>
      </c>
      <c r="BD21">
        <f t="shared" si="10"/>
        <v>17.790617283950617</v>
      </c>
      <c r="BE21">
        <f t="shared" si="11"/>
        <v>-0.79267340651851848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1.67953</v>
      </c>
      <c r="H22" s="21">
        <v>5.1291700000000002</v>
      </c>
      <c r="I22" s="21">
        <v>-5.4992699999999997E-3</v>
      </c>
      <c r="J22" s="21">
        <v>12</v>
      </c>
      <c r="K22" s="21">
        <v>1.6787700000000001</v>
      </c>
      <c r="L22">
        <f t="shared" si="0"/>
        <v>6.7892222222222216</v>
      </c>
      <c r="M22">
        <f t="shared" si="1"/>
        <v>11.402702398888888</v>
      </c>
      <c r="N22" s="9"/>
      <c r="O22" s="21">
        <v>-3.9520300000000001E-2</v>
      </c>
      <c r="P22" s="21">
        <v>8.8275100000000002</v>
      </c>
      <c r="Q22" s="21">
        <v>-1.4328E-2</v>
      </c>
      <c r="R22" s="21">
        <v>12</v>
      </c>
      <c r="S22" s="21">
        <v>-3.9819300000000002E-2</v>
      </c>
      <c r="T22">
        <f t="shared" si="2"/>
        <v>17.68888888888889</v>
      </c>
      <c r="U22">
        <f t="shared" si="3"/>
        <v>-0.69907019555555561</v>
      </c>
      <c r="V22" s="22"/>
      <c r="W22" s="23"/>
      <c r="X22" s="9"/>
      <c r="Y22" s="21">
        <v>1.67953</v>
      </c>
      <c r="Z22" s="21">
        <v>14.1944</v>
      </c>
      <c r="AA22" s="21">
        <v>-5.7342499999999998E-3</v>
      </c>
      <c r="AB22" s="21">
        <v>12</v>
      </c>
      <c r="AC22" s="21">
        <v>1.6784699999999999</v>
      </c>
      <c r="AD22">
        <f t="shared" si="4"/>
        <v>7.0793209876543202</v>
      </c>
      <c r="AE22">
        <f t="shared" si="5"/>
        <v>11.88993197839506</v>
      </c>
      <c r="AF22" s="9"/>
      <c r="AG22" s="21">
        <v>-3.9520300000000001E-2</v>
      </c>
      <c r="AH22" s="21">
        <v>17.892700000000001</v>
      </c>
      <c r="AI22" s="21">
        <v>-1.43555E-2</v>
      </c>
      <c r="AJ22" s="21">
        <v>12</v>
      </c>
      <c r="AK22" s="21">
        <v>-3.9883399999999999E-2</v>
      </c>
      <c r="AL22">
        <f t="shared" si="6"/>
        <v>17.722839506172836</v>
      </c>
      <c r="AM22">
        <f t="shared" si="7"/>
        <v>-0.70041193413580238</v>
      </c>
      <c r="AP22" s="9"/>
      <c r="AQ22" s="21">
        <v>1.67953</v>
      </c>
      <c r="AR22" s="21">
        <v>23.3066</v>
      </c>
      <c r="AS22" s="21">
        <v>-5.7037399999999997E-3</v>
      </c>
      <c r="AT22" s="21">
        <v>12</v>
      </c>
      <c r="AU22" s="21">
        <v>1.6781600000000001</v>
      </c>
      <c r="AV22">
        <f t="shared" si="8"/>
        <v>7.0416543209876536</v>
      </c>
      <c r="AW22">
        <f t="shared" si="9"/>
        <v>11.826669681728394</v>
      </c>
      <c r="AX22" s="9"/>
      <c r="AY22" s="21">
        <v>-3.9520300000000001E-2</v>
      </c>
      <c r="AZ22" s="21">
        <v>27.004899999999999</v>
      </c>
      <c r="BA22" s="21">
        <v>-1.4401199999999999E-2</v>
      </c>
      <c r="BB22" s="21">
        <v>12</v>
      </c>
      <c r="BC22" s="21">
        <v>-3.9886499999999998E-2</v>
      </c>
      <c r="BD22">
        <f t="shared" si="10"/>
        <v>17.779259259259259</v>
      </c>
      <c r="BE22">
        <f t="shared" si="11"/>
        <v>-0.70264165970370374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1.6745000000000001</v>
      </c>
      <c r="H23" s="21">
        <v>5.13924</v>
      </c>
      <c r="I23" s="21">
        <v>-6.0760500000000004E-3</v>
      </c>
      <c r="J23" s="21">
        <v>13</v>
      </c>
      <c r="K23" s="21">
        <v>1.6738900000000001</v>
      </c>
      <c r="L23">
        <f t="shared" si="0"/>
        <v>7.5012962962962959</v>
      </c>
      <c r="M23">
        <f t="shared" si="1"/>
        <v>12.560920648148148</v>
      </c>
      <c r="N23" s="9"/>
      <c r="O23" s="21">
        <v>-3.4484899999999999E-2</v>
      </c>
      <c r="P23" s="21">
        <v>8.8375800000000009</v>
      </c>
      <c r="Q23" s="21">
        <v>-1.43372E-2</v>
      </c>
      <c r="R23" s="21">
        <v>13</v>
      </c>
      <c r="S23" s="21">
        <v>-3.4790000000000001E-2</v>
      </c>
      <c r="T23">
        <f t="shared" si="2"/>
        <v>17.700246913580244</v>
      </c>
      <c r="U23">
        <f t="shared" si="3"/>
        <v>-0.6103912447901233</v>
      </c>
      <c r="V23" s="22"/>
      <c r="W23" s="23"/>
      <c r="X23" s="9"/>
      <c r="Y23" s="21">
        <v>1.6745000000000001</v>
      </c>
      <c r="Z23" s="21">
        <v>14.204499999999999</v>
      </c>
      <c r="AA23" s="21">
        <v>-6.29578E-3</v>
      </c>
      <c r="AB23" s="21">
        <v>13</v>
      </c>
      <c r="AC23" s="21">
        <v>1.6745000000000001</v>
      </c>
      <c r="AD23">
        <f t="shared" si="4"/>
        <v>7.7725679012345674</v>
      </c>
      <c r="AE23">
        <f t="shared" si="5"/>
        <v>13.015164950617283</v>
      </c>
      <c r="AF23" s="9"/>
      <c r="AG23" s="21">
        <v>-3.4484899999999999E-2</v>
      </c>
      <c r="AH23" s="21">
        <v>17.902799999999999</v>
      </c>
      <c r="AI23" s="21">
        <v>-1.43524E-2</v>
      </c>
      <c r="AJ23" s="21">
        <v>13</v>
      </c>
      <c r="AK23" s="21">
        <v>-3.4747300000000002E-2</v>
      </c>
      <c r="AL23">
        <f t="shared" si="6"/>
        <v>17.719012345679008</v>
      </c>
      <c r="AM23">
        <f t="shared" si="7"/>
        <v>-0.61103836883950602</v>
      </c>
      <c r="AP23" s="9"/>
      <c r="AQ23" s="21">
        <v>1.6745000000000001</v>
      </c>
      <c r="AR23" s="21">
        <v>23.316700000000001</v>
      </c>
      <c r="AS23" s="21">
        <v>-6.2713600000000001E-3</v>
      </c>
      <c r="AT23" s="21">
        <v>13</v>
      </c>
      <c r="AU23" s="21">
        <v>1.6741900000000001</v>
      </c>
      <c r="AV23">
        <f t="shared" si="8"/>
        <v>7.7424197530864189</v>
      </c>
      <c r="AW23">
        <f t="shared" si="9"/>
        <v>12.96468187654321</v>
      </c>
      <c r="AX23" s="9"/>
      <c r="AY23" s="21">
        <v>-3.4484899999999999E-2</v>
      </c>
      <c r="AZ23" s="21">
        <v>27.015000000000001</v>
      </c>
      <c r="BA23" s="21">
        <v>-1.43921E-2</v>
      </c>
      <c r="BB23" s="21">
        <v>13</v>
      </c>
      <c r="BC23" s="21">
        <v>-3.4805299999999997E-2</v>
      </c>
      <c r="BD23">
        <f t="shared" si="10"/>
        <v>17.768024691358022</v>
      </c>
      <c r="BE23">
        <f t="shared" si="11"/>
        <v>-0.61272855467901222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1.6694599999999999</v>
      </c>
      <c r="H24" s="21">
        <v>5.1493200000000003</v>
      </c>
      <c r="I24" s="21">
        <v>-6.5643300000000002E-3</v>
      </c>
      <c r="J24" s="21">
        <v>14</v>
      </c>
      <c r="K24" s="21">
        <v>1.6684000000000001</v>
      </c>
      <c r="L24">
        <f t="shared" si="0"/>
        <v>8.104111111111111</v>
      </c>
      <c r="M24">
        <f t="shared" si="1"/>
        <v>13.529489335555555</v>
      </c>
      <c r="N24" s="9"/>
      <c r="O24" s="21">
        <v>-2.94495E-2</v>
      </c>
      <c r="P24" s="21">
        <v>8.8476499999999998</v>
      </c>
      <c r="Q24" s="21">
        <v>-1.43433E-2</v>
      </c>
      <c r="R24" s="21">
        <v>14</v>
      </c>
      <c r="S24" s="21">
        <v>-2.97211E-2</v>
      </c>
      <c r="T24">
        <f t="shared" si="2"/>
        <v>17.707777777777778</v>
      </c>
      <c r="U24">
        <f t="shared" si="3"/>
        <v>-0.52148520166666668</v>
      </c>
      <c r="V24" s="22"/>
      <c r="W24" s="23"/>
      <c r="X24" s="9"/>
      <c r="Y24" s="21">
        <v>1.6694599999999999</v>
      </c>
      <c r="Z24" s="21">
        <v>14.214499999999999</v>
      </c>
      <c r="AA24" s="21">
        <v>-6.7901599999999999E-3</v>
      </c>
      <c r="AB24" s="21">
        <v>14</v>
      </c>
      <c r="AC24" s="21">
        <v>1.6687000000000001</v>
      </c>
      <c r="AD24">
        <f t="shared" si="4"/>
        <v>8.3829135802469139</v>
      </c>
      <c r="AE24">
        <f t="shared" si="5"/>
        <v>13.994938905679012</v>
      </c>
      <c r="AF24" s="9"/>
      <c r="AG24" s="21">
        <v>-2.94495E-2</v>
      </c>
      <c r="AH24" s="21">
        <v>17.9129</v>
      </c>
      <c r="AI24" s="21">
        <v>-1.4346299999999999E-2</v>
      </c>
      <c r="AJ24" s="21">
        <v>14</v>
      </c>
      <c r="AK24" s="21">
        <v>-2.9711899999999999E-2</v>
      </c>
      <c r="AL24">
        <f t="shared" si="6"/>
        <v>17.711481481481481</v>
      </c>
      <c r="AM24">
        <f t="shared" si="7"/>
        <v>-0.5215942738888889</v>
      </c>
      <c r="AP24" s="9"/>
      <c r="AQ24" s="21">
        <v>1.6694599999999999</v>
      </c>
      <c r="AR24" s="21">
        <v>23.326799999999999</v>
      </c>
      <c r="AS24" s="21">
        <v>-6.7871099999999998E-3</v>
      </c>
      <c r="AT24" s="21">
        <v>14</v>
      </c>
      <c r="AU24" s="21">
        <v>1.6684000000000001</v>
      </c>
      <c r="AV24">
        <f t="shared" si="8"/>
        <v>8.3791481481481469</v>
      </c>
      <c r="AW24">
        <f t="shared" si="9"/>
        <v>13.988652667407404</v>
      </c>
      <c r="AX24" s="9"/>
      <c r="AY24" s="21">
        <v>-2.94495E-2</v>
      </c>
      <c r="AZ24" s="21">
        <v>27.025099999999998</v>
      </c>
      <c r="BA24" s="21">
        <v>-1.43768E-2</v>
      </c>
      <c r="BB24" s="21">
        <v>14</v>
      </c>
      <c r="BC24" s="21">
        <v>-2.9739399999999999E-2</v>
      </c>
      <c r="BD24">
        <f t="shared" si="10"/>
        <v>17.749135802469137</v>
      </c>
      <c r="BE24">
        <f t="shared" si="11"/>
        <v>-0.52270317481481487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1.6644300000000001</v>
      </c>
      <c r="H25" s="21">
        <v>5.1593900000000001</v>
      </c>
      <c r="I25" s="21">
        <v>-7.0068400000000003E-3</v>
      </c>
      <c r="J25" s="21">
        <v>15</v>
      </c>
      <c r="K25" s="21">
        <v>1.66412</v>
      </c>
      <c r="L25">
        <f t="shared" si="0"/>
        <v>8.6504197530864193</v>
      </c>
      <c r="M25">
        <f t="shared" si="1"/>
        <v>14.39801814962963</v>
      </c>
      <c r="N25" s="9"/>
      <c r="O25" s="21">
        <v>-2.4414100000000001E-2</v>
      </c>
      <c r="P25" s="21">
        <v>8.8577200000000005</v>
      </c>
      <c r="Q25" s="21">
        <v>-1.43555E-2</v>
      </c>
      <c r="R25" s="21">
        <v>15</v>
      </c>
      <c r="S25" s="21">
        <v>-2.4646000000000001E-2</v>
      </c>
      <c r="T25">
        <f t="shared" si="2"/>
        <v>17.722839506172836</v>
      </c>
      <c r="U25">
        <f t="shared" si="3"/>
        <v>-0.43268717598765427</v>
      </c>
      <c r="V25" s="22"/>
      <c r="W25" s="23"/>
      <c r="X25" s="9"/>
      <c r="Y25" s="21">
        <v>1.6644300000000001</v>
      </c>
      <c r="Z25" s="21">
        <v>14.224600000000001</v>
      </c>
      <c r="AA25" s="21">
        <v>-7.2418200000000004E-3</v>
      </c>
      <c r="AB25" s="21">
        <v>15</v>
      </c>
      <c r="AC25" s="21">
        <v>1.66351</v>
      </c>
      <c r="AD25">
        <f t="shared" si="4"/>
        <v>8.9405185185185179</v>
      </c>
      <c r="AE25">
        <f t="shared" si="5"/>
        <v>14.880867237777778</v>
      </c>
      <c r="AF25" s="9"/>
      <c r="AG25" s="21">
        <v>-2.4414100000000001E-2</v>
      </c>
      <c r="AH25" s="21">
        <v>17.922899999999998</v>
      </c>
      <c r="AI25" s="21">
        <v>-1.4346299999999999E-2</v>
      </c>
      <c r="AJ25" s="21">
        <v>15</v>
      </c>
      <c r="AK25" s="21">
        <v>-2.4752799999999998E-2</v>
      </c>
      <c r="AL25">
        <f t="shared" si="6"/>
        <v>17.711481481481481</v>
      </c>
      <c r="AM25">
        <f t="shared" si="7"/>
        <v>-0.43240988003703706</v>
      </c>
      <c r="AP25" s="9"/>
      <c r="AQ25" s="21">
        <v>1.6644300000000001</v>
      </c>
      <c r="AR25" s="21">
        <v>23.3368</v>
      </c>
      <c r="AS25" s="21">
        <v>-7.2479199999999997E-3</v>
      </c>
      <c r="AT25" s="21">
        <v>15</v>
      </c>
      <c r="AU25" s="21">
        <v>1.6638200000000001</v>
      </c>
      <c r="AV25">
        <f t="shared" si="8"/>
        <v>8.9480493827160483</v>
      </c>
      <c r="AW25">
        <f t="shared" si="9"/>
        <v>14.893401834074073</v>
      </c>
      <c r="AX25" s="9"/>
      <c r="AY25" s="21">
        <v>-2.4414100000000001E-2</v>
      </c>
      <c r="AZ25" s="21">
        <v>27.0352</v>
      </c>
      <c r="BA25" s="21">
        <v>-1.43616E-2</v>
      </c>
      <c r="BB25" s="21">
        <v>15</v>
      </c>
      <c r="BC25" s="21">
        <v>-2.4704E-2</v>
      </c>
      <c r="BD25">
        <f t="shared" si="10"/>
        <v>17.73037037037037</v>
      </c>
      <c r="BE25">
        <f t="shared" si="11"/>
        <v>-0.43287103525925924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1.6593899999999999</v>
      </c>
      <c r="H26" s="21">
        <v>5.1694599999999999</v>
      </c>
      <c r="I26" s="21">
        <v>-7.40662E-3</v>
      </c>
      <c r="J26" s="21">
        <v>16</v>
      </c>
      <c r="K26" s="21">
        <v>1.65863</v>
      </c>
      <c r="L26">
        <f t="shared" si="0"/>
        <v>9.1439753086419753</v>
      </c>
      <c r="M26">
        <f t="shared" si="1"/>
        <v>15.173421187407406</v>
      </c>
      <c r="N26" s="9"/>
      <c r="O26" s="21">
        <v>-1.9378699999999999E-2</v>
      </c>
      <c r="P26" s="21">
        <v>8.8677899999999994</v>
      </c>
      <c r="Q26" s="21">
        <v>-1.43585E-2</v>
      </c>
      <c r="R26" s="21">
        <v>16</v>
      </c>
      <c r="S26" s="21">
        <v>-1.9677699999999999E-2</v>
      </c>
      <c r="T26">
        <f t="shared" si="2"/>
        <v>17.726543209876542</v>
      </c>
      <c r="U26">
        <f t="shared" si="3"/>
        <v>-0.34351736290123452</v>
      </c>
      <c r="V26" s="22"/>
      <c r="W26" s="23"/>
      <c r="X26" s="9"/>
      <c r="Y26" s="21">
        <v>1.6593899999999999</v>
      </c>
      <c r="Z26" s="21">
        <v>14.2347</v>
      </c>
      <c r="AA26" s="21">
        <v>-7.6599099999999998E-3</v>
      </c>
      <c r="AB26" s="21">
        <v>16</v>
      </c>
      <c r="AC26" s="21">
        <v>1.65863</v>
      </c>
      <c r="AD26">
        <f t="shared" si="4"/>
        <v>9.4566790123456776</v>
      </c>
      <c r="AE26">
        <f t="shared" si="5"/>
        <v>15.692318586296294</v>
      </c>
      <c r="AF26" s="9"/>
      <c r="AG26" s="21">
        <v>-1.9378699999999999E-2</v>
      </c>
      <c r="AH26" s="21">
        <v>17.933</v>
      </c>
      <c r="AI26" s="21">
        <v>-1.43372E-2</v>
      </c>
      <c r="AJ26" s="21">
        <v>16</v>
      </c>
      <c r="AK26" s="21">
        <v>-1.9656400000000001E-2</v>
      </c>
      <c r="AL26">
        <f t="shared" si="6"/>
        <v>17.700246913580244</v>
      </c>
      <c r="AM26">
        <f t="shared" si="7"/>
        <v>-0.34300777486419748</v>
      </c>
      <c r="AP26" s="9"/>
      <c r="AQ26" s="21">
        <v>1.6593899999999999</v>
      </c>
      <c r="AR26" s="21">
        <v>23.346900000000002</v>
      </c>
      <c r="AS26" s="21">
        <v>-7.66602E-3</v>
      </c>
      <c r="AT26" s="21">
        <v>16</v>
      </c>
      <c r="AU26" s="21">
        <v>1.65863</v>
      </c>
      <c r="AV26">
        <f t="shared" si="8"/>
        <v>9.4642222222222205</v>
      </c>
      <c r="AW26">
        <f t="shared" si="9"/>
        <v>15.704835713333329</v>
      </c>
      <c r="AX26" s="9"/>
      <c r="AY26" s="21">
        <v>-1.9378699999999999E-2</v>
      </c>
      <c r="AZ26" s="21">
        <v>27.045200000000001</v>
      </c>
      <c r="BA26" s="21">
        <v>-1.43524E-2</v>
      </c>
      <c r="BB26" s="21">
        <v>16</v>
      </c>
      <c r="BC26" s="21">
        <v>-1.9632E-2</v>
      </c>
      <c r="BD26">
        <f t="shared" si="10"/>
        <v>17.719012345679008</v>
      </c>
      <c r="BE26">
        <f t="shared" si="11"/>
        <v>-0.34337142454320979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1.6543600000000001</v>
      </c>
      <c r="H27" s="21">
        <v>5.1795299999999997</v>
      </c>
      <c r="I27" s="21">
        <v>-7.7758799999999998E-3</v>
      </c>
      <c r="J27" s="21">
        <v>17</v>
      </c>
      <c r="K27" s="21">
        <v>1.6531400000000001</v>
      </c>
      <c r="L27">
        <f t="shared" si="0"/>
        <v>9.5998518518518505</v>
      </c>
      <c r="M27">
        <f t="shared" si="1"/>
        <v>15.881610909629629</v>
      </c>
      <c r="N27" s="9"/>
      <c r="O27" s="21">
        <v>-1.43433E-2</v>
      </c>
      <c r="P27" s="21">
        <v>8.8778699999999997</v>
      </c>
      <c r="Q27" s="21">
        <v>-1.43494E-2</v>
      </c>
      <c r="R27" s="21">
        <v>17</v>
      </c>
      <c r="S27" s="21">
        <v>-1.46698E-2</v>
      </c>
      <c r="T27">
        <f t="shared" si="2"/>
        <v>17.715308641975309</v>
      </c>
      <c r="U27">
        <f t="shared" si="3"/>
        <v>-0.25409598644444442</v>
      </c>
      <c r="X27" s="9"/>
      <c r="Y27" s="21">
        <v>1.6543600000000001</v>
      </c>
      <c r="Z27" s="21">
        <v>14.2447</v>
      </c>
      <c r="AA27" s="21">
        <v>-8.0230700000000002E-3</v>
      </c>
      <c r="AB27" s="21">
        <v>17</v>
      </c>
      <c r="AC27" s="21">
        <v>1.6537500000000001</v>
      </c>
      <c r="AD27">
        <f t="shared" si="4"/>
        <v>9.9050246913580242</v>
      </c>
      <c r="AE27">
        <f t="shared" si="5"/>
        <v>16.38647664839506</v>
      </c>
      <c r="AF27" s="9"/>
      <c r="AG27" s="21">
        <v>-1.43433E-2</v>
      </c>
      <c r="AH27" s="21">
        <v>17.943100000000001</v>
      </c>
      <c r="AI27" s="21">
        <v>-1.4328E-2</v>
      </c>
      <c r="AJ27" s="21">
        <v>17</v>
      </c>
      <c r="AK27" s="21">
        <v>-1.45813E-2</v>
      </c>
      <c r="AL27">
        <f t="shared" si="6"/>
        <v>17.68888888888889</v>
      </c>
      <c r="AM27">
        <f t="shared" si="7"/>
        <v>-0.25371704</v>
      </c>
      <c r="AP27" s="9"/>
      <c r="AQ27" s="21">
        <v>1.6543600000000001</v>
      </c>
      <c r="AR27" s="21">
        <v>23.356999999999999</v>
      </c>
      <c r="AS27" s="21">
        <v>-8.0383299999999998E-3</v>
      </c>
      <c r="AT27" s="21">
        <v>17</v>
      </c>
      <c r="AU27" s="21">
        <v>1.65344</v>
      </c>
      <c r="AV27">
        <f t="shared" si="8"/>
        <v>9.9238641975308628</v>
      </c>
      <c r="AW27">
        <f t="shared" si="9"/>
        <v>16.417643973827158</v>
      </c>
      <c r="AX27" s="9"/>
      <c r="AY27" s="21">
        <v>-1.43433E-2</v>
      </c>
      <c r="AZ27" s="21">
        <v>27.055299999999999</v>
      </c>
      <c r="BA27" s="21">
        <v>-1.4334100000000001E-2</v>
      </c>
      <c r="BB27" s="21">
        <v>17</v>
      </c>
      <c r="BC27" s="21">
        <v>-1.45691E-2</v>
      </c>
      <c r="BD27">
        <f t="shared" si="10"/>
        <v>17.69641975308642</v>
      </c>
      <c r="BE27">
        <f t="shared" si="11"/>
        <v>-0.25382505744444445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1.6493199999999999</v>
      </c>
      <c r="H28" s="21">
        <v>5.1896000000000004</v>
      </c>
      <c r="I28" s="21">
        <v>-8.1146199999999995E-3</v>
      </c>
      <c r="J28" s="21">
        <v>18</v>
      </c>
      <c r="K28" s="21">
        <v>1.64795</v>
      </c>
      <c r="L28">
        <f t="shared" si="0"/>
        <v>10.018049382716047</v>
      </c>
      <c r="M28">
        <f t="shared" si="1"/>
        <v>16.52296920790123</v>
      </c>
      <c r="N28" s="9"/>
      <c r="O28" s="21">
        <v>-9.3078599999999994E-3</v>
      </c>
      <c r="P28" s="21">
        <v>8.8879400000000004</v>
      </c>
      <c r="Q28" s="21">
        <v>-1.43433E-2</v>
      </c>
      <c r="R28" s="21">
        <v>18</v>
      </c>
      <c r="S28" s="21">
        <v>-9.5397899999999994E-3</v>
      </c>
      <c r="T28">
        <f t="shared" si="2"/>
        <v>17.707777777777778</v>
      </c>
      <c r="U28">
        <f t="shared" si="3"/>
        <v>-0.16482151646666665</v>
      </c>
      <c r="X28" s="9"/>
      <c r="Y28" s="21">
        <v>1.6493199999999999</v>
      </c>
      <c r="Z28" s="21">
        <v>14.254799999999999</v>
      </c>
      <c r="AA28" s="21">
        <v>-8.3679199999999992E-3</v>
      </c>
      <c r="AB28" s="21">
        <v>18</v>
      </c>
      <c r="AC28" s="21">
        <v>1.64856</v>
      </c>
      <c r="AD28">
        <f t="shared" si="4"/>
        <v>10.330765432098763</v>
      </c>
      <c r="AE28">
        <f t="shared" si="5"/>
        <v>17.038738042469131</v>
      </c>
      <c r="AF28" s="9"/>
      <c r="AG28" s="21">
        <v>-9.3078599999999994E-3</v>
      </c>
      <c r="AH28" s="21">
        <v>17.953099999999999</v>
      </c>
      <c r="AI28" s="21">
        <v>-1.4340200000000001E-2</v>
      </c>
      <c r="AJ28" s="21">
        <v>18</v>
      </c>
      <c r="AK28" s="21">
        <v>-9.5489500000000005E-3</v>
      </c>
      <c r="AL28">
        <f t="shared" si="6"/>
        <v>17.703950617283951</v>
      </c>
      <c r="AM28">
        <f t="shared" si="7"/>
        <v>-0.16478589379259259</v>
      </c>
      <c r="AP28" s="9"/>
      <c r="AQ28" s="21">
        <v>1.6493199999999999</v>
      </c>
      <c r="AR28" s="21">
        <v>23.367000000000001</v>
      </c>
      <c r="AS28" s="21">
        <v>-8.3892800000000007E-3</v>
      </c>
      <c r="AT28" s="21">
        <v>18</v>
      </c>
      <c r="AU28" s="21">
        <v>1.6494800000000001</v>
      </c>
      <c r="AV28">
        <f t="shared" si="8"/>
        <v>10.357135802469136</v>
      </c>
      <c r="AW28">
        <f t="shared" si="9"/>
        <v>17.082231221728396</v>
      </c>
      <c r="AX28" s="9"/>
      <c r="AY28" s="21">
        <v>-9.3078599999999994E-3</v>
      </c>
      <c r="AZ28" s="21">
        <v>27.0654</v>
      </c>
      <c r="BA28" s="21">
        <v>-1.4331099999999999E-2</v>
      </c>
      <c r="BB28" s="21">
        <v>18</v>
      </c>
      <c r="BC28" s="21">
        <v>-9.5519999999999997E-3</v>
      </c>
      <c r="BD28">
        <f t="shared" si="10"/>
        <v>17.692716049382714</v>
      </c>
      <c r="BE28">
        <f t="shared" si="11"/>
        <v>-0.16468132400740737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1.64429</v>
      </c>
      <c r="H29" s="21">
        <v>5.1996700000000002</v>
      </c>
      <c r="I29" s="21">
        <v>-8.4197999999999999E-3</v>
      </c>
      <c r="J29" s="21">
        <v>19</v>
      </c>
      <c r="K29" s="21">
        <v>1.64398</v>
      </c>
      <c r="L29">
        <f t="shared" si="0"/>
        <v>10.394814814814813</v>
      </c>
      <c r="M29">
        <f t="shared" si="1"/>
        <v>17.092090051851848</v>
      </c>
      <c r="N29" s="9"/>
      <c r="O29" s="21">
        <v>-4.2724599999999996E-3</v>
      </c>
      <c r="P29" s="21">
        <v>8.8980099999999993</v>
      </c>
      <c r="Q29" s="21">
        <v>-1.43433E-2</v>
      </c>
      <c r="R29" s="21">
        <v>19</v>
      </c>
      <c r="S29" s="21">
        <v>-4.5013400000000004E-3</v>
      </c>
      <c r="T29">
        <f t="shared" si="2"/>
        <v>17.707777777777778</v>
      </c>
      <c r="U29">
        <f t="shared" si="3"/>
        <v>-7.5655772244444433E-2</v>
      </c>
      <c r="X29" s="9"/>
      <c r="Y29" s="21">
        <v>1.64429</v>
      </c>
      <c r="Z29" s="21">
        <v>14.264900000000001</v>
      </c>
      <c r="AA29" s="21">
        <v>-8.6822500000000007E-3</v>
      </c>
      <c r="AB29" s="21">
        <v>19</v>
      </c>
      <c r="AC29" s="21">
        <v>1.64398</v>
      </c>
      <c r="AD29">
        <f t="shared" si="4"/>
        <v>10.718827160493827</v>
      </c>
      <c r="AE29">
        <f t="shared" si="5"/>
        <v>17.624860311728394</v>
      </c>
      <c r="AF29" s="9"/>
      <c r="AG29" s="21">
        <v>-4.2724599999999996E-3</v>
      </c>
      <c r="AH29" s="21">
        <v>17.963200000000001</v>
      </c>
      <c r="AI29" s="21">
        <v>-1.43372E-2</v>
      </c>
      <c r="AJ29" s="21">
        <v>19</v>
      </c>
      <c r="AK29" s="21">
        <v>-4.5288100000000003E-3</v>
      </c>
      <c r="AL29">
        <f t="shared" si="6"/>
        <v>17.700246913580244</v>
      </c>
      <c r="AM29">
        <f t="shared" si="7"/>
        <v>-7.5623596928395043E-2</v>
      </c>
      <c r="AP29" s="9"/>
      <c r="AQ29" s="21">
        <v>1.64429</v>
      </c>
      <c r="AR29" s="21">
        <v>23.377099999999999</v>
      </c>
      <c r="AS29" s="21">
        <v>-8.6975100000000003E-3</v>
      </c>
      <c r="AT29" s="21">
        <v>19</v>
      </c>
      <c r="AU29" s="21">
        <v>1.64276</v>
      </c>
      <c r="AV29">
        <f t="shared" si="8"/>
        <v>10.737666666666666</v>
      </c>
      <c r="AW29">
        <f t="shared" si="9"/>
        <v>17.655837923333333</v>
      </c>
      <c r="AX29" s="9"/>
      <c r="AY29" s="21">
        <v>-4.2724599999999996E-3</v>
      </c>
      <c r="AZ29" s="21">
        <v>27.075399999999998</v>
      </c>
      <c r="BA29" s="21">
        <v>-1.4331099999999999E-2</v>
      </c>
      <c r="BB29" s="21">
        <v>19</v>
      </c>
      <c r="BC29" s="21">
        <v>-4.5257600000000002E-3</v>
      </c>
      <c r="BD29">
        <f t="shared" si="10"/>
        <v>17.692716049382714</v>
      </c>
      <c r="BE29">
        <f t="shared" si="11"/>
        <v>-7.5591421612345666E-2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1.6392500000000001</v>
      </c>
      <c r="H30" s="21">
        <v>5.20974</v>
      </c>
      <c r="I30" s="21">
        <v>-8.6975100000000003E-3</v>
      </c>
      <c r="J30" s="21">
        <v>20</v>
      </c>
      <c r="K30" s="21">
        <v>1.6391</v>
      </c>
      <c r="L30">
        <f t="shared" si="0"/>
        <v>10.737666666666666</v>
      </c>
      <c r="M30">
        <f t="shared" si="1"/>
        <v>17.601720083333333</v>
      </c>
      <c r="N30" s="9"/>
      <c r="O30" s="21">
        <v>7.6293900000000002E-4</v>
      </c>
      <c r="P30" s="21">
        <v>8.90808</v>
      </c>
      <c r="Q30" s="21">
        <v>-1.4340200000000001E-2</v>
      </c>
      <c r="R30" s="21">
        <v>20</v>
      </c>
      <c r="S30" s="21">
        <v>5.8898900000000005E-4</v>
      </c>
      <c r="T30">
        <f t="shared" si="2"/>
        <v>17.703950617283951</v>
      </c>
      <c r="U30">
        <f t="shared" si="3"/>
        <v>1.3507034380000001E-2</v>
      </c>
      <c r="X30" s="9"/>
      <c r="Y30" s="21">
        <v>1.6392500000000001</v>
      </c>
      <c r="Z30" s="21">
        <v>14.275</v>
      </c>
      <c r="AA30" s="21">
        <v>-8.9721699999999998E-3</v>
      </c>
      <c r="AB30" s="21">
        <v>20</v>
      </c>
      <c r="AC30" s="21">
        <v>1.63849</v>
      </c>
      <c r="AD30">
        <f t="shared" si="4"/>
        <v>11.076753086419751</v>
      </c>
      <c r="AE30">
        <f t="shared" si="5"/>
        <v>18.157567496913579</v>
      </c>
      <c r="AF30" s="9"/>
      <c r="AG30" s="21">
        <v>7.6293900000000002E-4</v>
      </c>
      <c r="AH30" s="21">
        <v>17.973299999999998</v>
      </c>
      <c r="AI30" s="21">
        <v>-1.43524E-2</v>
      </c>
      <c r="AJ30" s="21">
        <v>20</v>
      </c>
      <c r="AK30" s="21">
        <v>5.9509299999999999E-4</v>
      </c>
      <c r="AL30">
        <f t="shared" si="6"/>
        <v>17.719012345679008</v>
      </c>
      <c r="AM30">
        <f t="shared" si="7"/>
        <v>1.3518525559999998E-2</v>
      </c>
      <c r="AP30" s="9"/>
      <c r="AQ30" s="21">
        <v>1.6392500000000001</v>
      </c>
      <c r="AR30" s="21">
        <v>23.3872</v>
      </c>
      <c r="AS30" s="21">
        <v>-8.9904800000000003E-3</v>
      </c>
      <c r="AT30" s="21">
        <v>20</v>
      </c>
      <c r="AU30" s="21">
        <v>1.63849</v>
      </c>
      <c r="AV30">
        <f t="shared" si="8"/>
        <v>11.099358024691359</v>
      </c>
      <c r="AW30">
        <f t="shared" si="9"/>
        <v>18.194622641975311</v>
      </c>
      <c r="AX30" s="9"/>
      <c r="AY30" s="21">
        <v>7.6293900000000002E-4</v>
      </c>
      <c r="AZ30" s="21">
        <v>27.0855</v>
      </c>
      <c r="BA30" s="21">
        <v>-1.4334100000000001E-2</v>
      </c>
      <c r="BB30" s="21">
        <v>20</v>
      </c>
      <c r="BC30" s="21">
        <v>6.0119600000000002E-4</v>
      </c>
      <c r="BD30">
        <f t="shared" si="10"/>
        <v>17.69641975308642</v>
      </c>
      <c r="BE30">
        <f t="shared" si="11"/>
        <v>1.3501288790000001E-2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1.63422</v>
      </c>
      <c r="H31" s="21">
        <v>5.2198099999999998</v>
      </c>
      <c r="I31" s="21">
        <v>-8.9691200000000006E-3</v>
      </c>
      <c r="J31" s="21">
        <v>21</v>
      </c>
      <c r="K31" s="21">
        <v>1.6333</v>
      </c>
      <c r="L31">
        <f t="shared" si="0"/>
        <v>11.072987654320988</v>
      </c>
      <c r="M31">
        <f t="shared" si="1"/>
        <v>18.095697884444444</v>
      </c>
      <c r="N31" s="9"/>
      <c r="O31" s="21">
        <v>5.7983399999999999E-3</v>
      </c>
      <c r="P31" s="21">
        <v>8.9181500000000007</v>
      </c>
      <c r="Q31" s="21">
        <v>-1.43494E-2</v>
      </c>
      <c r="R31" s="21">
        <v>21</v>
      </c>
      <c r="S31" s="21">
        <v>5.6732199999999997E-3</v>
      </c>
      <c r="T31">
        <f t="shared" si="2"/>
        <v>17.715308641975309</v>
      </c>
      <c r="U31">
        <f t="shared" si="3"/>
        <v>0.10271938271111111</v>
      </c>
      <c r="X31" s="9"/>
      <c r="Y31" s="21">
        <v>1.63422</v>
      </c>
      <c r="Z31" s="21">
        <v>14.285</v>
      </c>
      <c r="AA31" s="21">
        <v>-9.2346200000000007E-3</v>
      </c>
      <c r="AB31" s="21">
        <v>21</v>
      </c>
      <c r="AC31" s="21">
        <v>1.63361</v>
      </c>
      <c r="AD31">
        <f t="shared" si="4"/>
        <v>11.400765432098765</v>
      </c>
      <c r="AE31">
        <f t="shared" si="5"/>
        <v>18.631358884444445</v>
      </c>
      <c r="AF31" s="9"/>
      <c r="AG31" s="21">
        <v>5.7983399999999999E-3</v>
      </c>
      <c r="AH31" s="21">
        <v>17.9834</v>
      </c>
      <c r="AI31" s="21">
        <v>-1.43555E-2</v>
      </c>
      <c r="AJ31" s="21">
        <v>21</v>
      </c>
      <c r="AK31" s="21">
        <v>5.5725100000000001E-3</v>
      </c>
      <c r="AL31">
        <f t="shared" si="6"/>
        <v>17.722839506172836</v>
      </c>
      <c r="AM31">
        <f t="shared" si="7"/>
        <v>0.10276304922222219</v>
      </c>
      <c r="AP31" s="9"/>
      <c r="AQ31" s="21">
        <v>1.63422</v>
      </c>
      <c r="AR31" s="21">
        <v>23.397200000000002</v>
      </c>
      <c r="AS31" s="21">
        <v>-9.2620800000000007E-3</v>
      </c>
      <c r="AT31" s="21">
        <v>21</v>
      </c>
      <c r="AU31" s="21">
        <v>1.6333</v>
      </c>
      <c r="AV31">
        <f t="shared" si="8"/>
        <v>11.434666666666667</v>
      </c>
      <c r="AW31">
        <f t="shared" si="9"/>
        <v>18.686760960000001</v>
      </c>
      <c r="AX31" s="9"/>
      <c r="AY31" s="21">
        <v>5.7983399999999999E-3</v>
      </c>
      <c r="AZ31" s="21">
        <v>27.095600000000001</v>
      </c>
      <c r="BA31" s="21">
        <v>-1.43494E-2</v>
      </c>
      <c r="BB31" s="21">
        <v>21</v>
      </c>
      <c r="BC31" s="21">
        <v>5.5999800000000001E-3</v>
      </c>
      <c r="BD31">
        <f t="shared" si="10"/>
        <v>17.715308641975309</v>
      </c>
      <c r="BE31">
        <f t="shared" si="11"/>
        <v>0.10271938271111111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1.6291800000000001</v>
      </c>
      <c r="H32" s="21">
        <v>5.2298799999999996</v>
      </c>
      <c r="I32" s="21">
        <v>-9.2071500000000008E-3</v>
      </c>
      <c r="J32" s="21">
        <v>22</v>
      </c>
      <c r="K32" s="21">
        <v>1.62903</v>
      </c>
      <c r="L32">
        <f t="shared" si="0"/>
        <v>11.366851851851852</v>
      </c>
      <c r="M32">
        <f t="shared" si="1"/>
        <v>18.518647699999999</v>
      </c>
      <c r="N32" s="9"/>
      <c r="O32" s="21">
        <v>1.08337E-2</v>
      </c>
      <c r="P32" s="21">
        <v>8.9282199999999996</v>
      </c>
      <c r="Q32" s="21">
        <v>-1.43616E-2</v>
      </c>
      <c r="R32" s="21">
        <v>22</v>
      </c>
      <c r="S32" s="21">
        <v>1.06903E-2</v>
      </c>
      <c r="T32">
        <f t="shared" si="2"/>
        <v>17.73037037037037</v>
      </c>
      <c r="U32">
        <f t="shared" si="3"/>
        <v>0.19208551348148148</v>
      </c>
      <c r="X32" s="9"/>
      <c r="Y32" s="21">
        <v>1.6291800000000001</v>
      </c>
      <c r="Z32" s="21">
        <v>14.2951</v>
      </c>
      <c r="AA32" s="21">
        <v>-9.4726600000000008E-3</v>
      </c>
      <c r="AB32" s="21">
        <v>22</v>
      </c>
      <c r="AC32" s="21">
        <v>1.6281099999999999</v>
      </c>
      <c r="AD32">
        <f t="shared" si="4"/>
        <v>11.694641975308642</v>
      </c>
      <c r="AE32">
        <f t="shared" si="5"/>
        <v>19.052676813333335</v>
      </c>
      <c r="AF32" s="9"/>
      <c r="AG32" s="21">
        <v>1.08337E-2</v>
      </c>
      <c r="AH32" s="21">
        <v>17.993400000000001</v>
      </c>
      <c r="AI32" s="21">
        <v>-1.43494E-2</v>
      </c>
      <c r="AJ32" s="21">
        <v>22</v>
      </c>
      <c r="AK32" s="21">
        <v>1.0553E-2</v>
      </c>
      <c r="AL32">
        <f t="shared" si="6"/>
        <v>17.715308641975309</v>
      </c>
      <c r="AM32">
        <f t="shared" si="7"/>
        <v>0.19192233923456789</v>
      </c>
      <c r="AP32" s="9"/>
      <c r="AQ32" s="21">
        <v>1.6291800000000001</v>
      </c>
      <c r="AR32" s="21">
        <v>23.407299999999999</v>
      </c>
      <c r="AS32" s="21">
        <v>-9.5092800000000002E-3</v>
      </c>
      <c r="AT32" s="21">
        <v>22</v>
      </c>
      <c r="AU32" s="21">
        <v>1.62842</v>
      </c>
      <c r="AV32">
        <f t="shared" si="8"/>
        <v>11.739851851851853</v>
      </c>
      <c r="AW32">
        <f t="shared" si="9"/>
        <v>19.126331840000002</v>
      </c>
      <c r="AX32" s="9"/>
      <c r="AY32" s="21">
        <v>1.08337E-2</v>
      </c>
      <c r="AZ32" s="21">
        <v>27.105699999999999</v>
      </c>
      <c r="BA32" s="21">
        <v>-1.43524E-2</v>
      </c>
      <c r="BB32" s="21">
        <v>22</v>
      </c>
      <c r="BC32" s="21">
        <v>1.0671999999999999E-2</v>
      </c>
      <c r="BD32">
        <f t="shared" si="10"/>
        <v>17.719012345679008</v>
      </c>
      <c r="BE32">
        <f t="shared" si="11"/>
        <v>0.19196246404938266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1.62415</v>
      </c>
      <c r="H33" s="21">
        <v>5.2399500000000003</v>
      </c>
      <c r="I33" s="21">
        <v>-9.4482400000000001E-3</v>
      </c>
      <c r="J33" s="21">
        <v>23</v>
      </c>
      <c r="K33" s="21">
        <v>1.62354</v>
      </c>
      <c r="L33">
        <f t="shared" si="0"/>
        <v>11.664493827160493</v>
      </c>
      <c r="M33">
        <f t="shared" si="1"/>
        <v>18.944887649382714</v>
      </c>
      <c r="N33" s="9"/>
      <c r="O33" s="21">
        <v>1.5869100000000001E-2</v>
      </c>
      <c r="P33" s="21">
        <v>8.9382900000000003</v>
      </c>
      <c r="Q33" s="21">
        <v>-1.43555E-2</v>
      </c>
      <c r="R33" s="21">
        <v>23</v>
      </c>
      <c r="S33" s="21">
        <v>1.5725699999999999E-2</v>
      </c>
      <c r="T33">
        <f t="shared" si="2"/>
        <v>17.722839506172836</v>
      </c>
      <c r="U33">
        <f t="shared" si="3"/>
        <v>0.28124551240740736</v>
      </c>
      <c r="X33" s="9"/>
      <c r="Y33" s="21">
        <v>1.62415</v>
      </c>
      <c r="Z33" s="21">
        <v>14.305199999999999</v>
      </c>
      <c r="AA33" s="21">
        <v>-9.7015399999999998E-3</v>
      </c>
      <c r="AB33" s="21">
        <v>23</v>
      </c>
      <c r="AC33" s="21">
        <v>1.62384</v>
      </c>
      <c r="AD33">
        <f t="shared" si="4"/>
        <v>11.977209876543208</v>
      </c>
      <c r="AE33">
        <f t="shared" si="5"/>
        <v>19.452785420987652</v>
      </c>
      <c r="AF33" s="9"/>
      <c r="AG33" s="21">
        <v>1.5869100000000001E-2</v>
      </c>
      <c r="AH33" s="21">
        <v>18.003499999999999</v>
      </c>
      <c r="AI33" s="21">
        <v>-1.4346299999999999E-2</v>
      </c>
      <c r="AJ33" s="21">
        <v>23</v>
      </c>
      <c r="AK33" s="21">
        <v>1.5689100000000001E-2</v>
      </c>
      <c r="AL33">
        <f t="shared" si="6"/>
        <v>17.711481481481481</v>
      </c>
      <c r="AM33">
        <f t="shared" si="7"/>
        <v>0.28106527077777776</v>
      </c>
      <c r="AP33" s="9"/>
      <c r="AQ33" s="21">
        <v>1.62415</v>
      </c>
      <c r="AR33" s="21">
        <v>23.417400000000001</v>
      </c>
      <c r="AS33" s="21">
        <v>-9.7473100000000003E-3</v>
      </c>
      <c r="AT33" s="21">
        <v>23</v>
      </c>
      <c r="AU33" s="21">
        <v>1.62415</v>
      </c>
      <c r="AV33">
        <f t="shared" si="8"/>
        <v>12.033716049382717</v>
      </c>
      <c r="AW33">
        <f t="shared" si="9"/>
        <v>19.544559921604939</v>
      </c>
      <c r="AX33" s="9"/>
      <c r="AY33" s="21">
        <v>1.5869100000000001E-2</v>
      </c>
      <c r="AZ33" s="21">
        <v>27.1157</v>
      </c>
      <c r="BA33" s="21">
        <v>-1.43555E-2</v>
      </c>
      <c r="BB33" s="21">
        <v>23</v>
      </c>
      <c r="BC33" s="21">
        <v>1.5695199999999999E-2</v>
      </c>
      <c r="BD33">
        <f t="shared" si="10"/>
        <v>17.722839506172836</v>
      </c>
      <c r="BE33">
        <f t="shared" si="11"/>
        <v>0.28124551240740736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1.61911</v>
      </c>
      <c r="H34" s="21">
        <v>5.2500299999999998</v>
      </c>
      <c r="I34" s="21">
        <v>-9.6618699999999995E-3</v>
      </c>
      <c r="J34" s="21">
        <v>24</v>
      </c>
      <c r="K34" s="21">
        <v>1.6180399999999999</v>
      </c>
      <c r="L34">
        <f t="shared" si="0"/>
        <v>11.928234567901232</v>
      </c>
      <c r="M34">
        <f t="shared" si="1"/>
        <v>19.313123871234563</v>
      </c>
      <c r="N34" s="9"/>
      <c r="O34" s="21">
        <v>2.0904499999999999E-2</v>
      </c>
      <c r="P34" s="21">
        <v>8.9483599999999992</v>
      </c>
      <c r="Q34" s="21">
        <v>-1.4340200000000001E-2</v>
      </c>
      <c r="R34" s="21">
        <v>24</v>
      </c>
      <c r="S34" s="21">
        <v>2.0816000000000001E-2</v>
      </c>
      <c r="T34">
        <f t="shared" si="2"/>
        <v>17.703950617283951</v>
      </c>
      <c r="U34">
        <f t="shared" si="3"/>
        <v>0.37009223567901234</v>
      </c>
      <c r="X34" s="9"/>
      <c r="Y34" s="21">
        <v>1.61911</v>
      </c>
      <c r="Z34" s="21">
        <v>14.315200000000001</v>
      </c>
      <c r="AA34" s="21">
        <v>-9.9334699999999998E-3</v>
      </c>
      <c r="AB34" s="21">
        <v>24</v>
      </c>
      <c r="AC34" s="21">
        <v>1.61835</v>
      </c>
      <c r="AD34">
        <f t="shared" si="4"/>
        <v>12.263543209876541</v>
      </c>
      <c r="AE34">
        <f t="shared" si="5"/>
        <v>19.856025446543207</v>
      </c>
      <c r="AF34" s="9"/>
      <c r="AG34" s="21">
        <v>2.0904499999999999E-2</v>
      </c>
      <c r="AH34" s="21">
        <v>18.0136</v>
      </c>
      <c r="AI34" s="21">
        <v>-1.4340200000000001E-2</v>
      </c>
      <c r="AJ34" s="21">
        <v>24</v>
      </c>
      <c r="AK34" s="21">
        <v>2.07764E-2</v>
      </c>
      <c r="AL34">
        <f t="shared" si="6"/>
        <v>17.703950617283951</v>
      </c>
      <c r="AM34">
        <f t="shared" si="7"/>
        <v>0.37009223567901234</v>
      </c>
      <c r="AP34" s="9"/>
      <c r="AQ34" s="21">
        <v>1.61911</v>
      </c>
      <c r="AR34" s="21">
        <v>23.427499999999998</v>
      </c>
      <c r="AS34" s="21">
        <v>-9.9731400000000001E-3</v>
      </c>
      <c r="AT34" s="21">
        <v>24</v>
      </c>
      <c r="AU34" s="21">
        <v>1.6186499999999999</v>
      </c>
      <c r="AV34">
        <f t="shared" si="8"/>
        <v>12.312518518518518</v>
      </c>
      <c r="AW34">
        <f t="shared" si="9"/>
        <v>19.935321858518517</v>
      </c>
      <c r="AX34" s="9"/>
      <c r="AY34" s="21">
        <v>2.0904499999999999E-2</v>
      </c>
      <c r="AZ34" s="21">
        <v>27.125800000000002</v>
      </c>
      <c r="BA34" s="21">
        <v>-1.43372E-2</v>
      </c>
      <c r="BB34" s="21">
        <v>24</v>
      </c>
      <c r="BC34" s="21">
        <v>2.0825199999999999E-2</v>
      </c>
      <c r="BD34">
        <f t="shared" si="10"/>
        <v>17.700246913580244</v>
      </c>
      <c r="BE34">
        <f t="shared" si="11"/>
        <v>0.37001481160493821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1.6140699999999999</v>
      </c>
      <c r="H35" s="21">
        <v>5.2601000000000004</v>
      </c>
      <c r="I35" s="21">
        <v>-9.8602299999999993E-3</v>
      </c>
      <c r="J35" s="21">
        <v>25</v>
      </c>
      <c r="K35" s="21">
        <v>1.6134599999999999</v>
      </c>
      <c r="L35">
        <f t="shared" si="0"/>
        <v>12.173123456790123</v>
      </c>
      <c r="M35">
        <f t="shared" si="1"/>
        <v>19.648273377901234</v>
      </c>
      <c r="N35" s="9"/>
      <c r="O35" s="21">
        <v>2.5939899999999998E-2</v>
      </c>
      <c r="P35" s="21">
        <v>8.9584299999999999</v>
      </c>
      <c r="Q35" s="21">
        <v>-1.43188E-2</v>
      </c>
      <c r="R35" s="21">
        <v>25</v>
      </c>
      <c r="S35" s="21">
        <v>2.5817900000000001E-2</v>
      </c>
      <c r="T35">
        <f t="shared" si="2"/>
        <v>17.677530864197529</v>
      </c>
      <c r="U35">
        <f t="shared" si="3"/>
        <v>0.45855338286419745</v>
      </c>
      <c r="X35" s="9"/>
      <c r="Y35" s="21">
        <v>1.6140699999999999</v>
      </c>
      <c r="Z35" s="21">
        <v>14.3253</v>
      </c>
      <c r="AA35" s="21">
        <v>-1.0141000000000001E-2</v>
      </c>
      <c r="AB35" s="21">
        <v>25</v>
      </c>
      <c r="AC35" s="21">
        <v>1.6137699999999999</v>
      </c>
      <c r="AD35">
        <f t="shared" si="4"/>
        <v>12.519753086419753</v>
      </c>
      <c r="AE35">
        <f t="shared" si="5"/>
        <v>20.207757864197529</v>
      </c>
      <c r="AF35" s="9"/>
      <c r="AG35" s="21">
        <v>2.5939899999999998E-2</v>
      </c>
      <c r="AH35" s="21">
        <v>18.023599999999998</v>
      </c>
      <c r="AI35" s="21">
        <v>-1.43372E-2</v>
      </c>
      <c r="AJ35" s="21">
        <v>25</v>
      </c>
      <c r="AK35" s="21">
        <v>2.5759899999999999E-2</v>
      </c>
      <c r="AL35">
        <f t="shared" si="6"/>
        <v>17.700246913580244</v>
      </c>
      <c r="AM35">
        <f t="shared" si="7"/>
        <v>0.45914263491358015</v>
      </c>
      <c r="AP35" s="9"/>
      <c r="AQ35" s="21">
        <v>1.6140699999999999</v>
      </c>
      <c r="AR35" s="21">
        <v>23.4375</v>
      </c>
      <c r="AS35" s="21">
        <v>-1.0174600000000001E-2</v>
      </c>
      <c r="AT35" s="21">
        <v>25</v>
      </c>
      <c r="AU35" s="21">
        <v>1.6128499999999999</v>
      </c>
      <c r="AV35">
        <f t="shared" si="8"/>
        <v>12.561234567901234</v>
      </c>
      <c r="AW35">
        <f t="shared" si="9"/>
        <v>20.274711879012344</v>
      </c>
      <c r="AX35" s="9"/>
      <c r="AY35" s="21">
        <v>2.5939899999999998E-2</v>
      </c>
      <c r="AZ35" s="21">
        <v>27.135899999999999</v>
      </c>
      <c r="BA35" s="21">
        <v>-1.4331099999999999E-2</v>
      </c>
      <c r="BB35" s="21">
        <v>25</v>
      </c>
      <c r="BC35" s="21">
        <v>2.5866699999999999E-2</v>
      </c>
      <c r="BD35">
        <f t="shared" si="10"/>
        <v>17.692716049382714</v>
      </c>
      <c r="BE35">
        <f t="shared" si="11"/>
        <v>0.45894728504938265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1.60904</v>
      </c>
      <c r="H36" s="21">
        <v>5.2701700000000002</v>
      </c>
      <c r="I36" s="21">
        <v>-1.00555E-2</v>
      </c>
      <c r="J36" s="21">
        <v>26</v>
      </c>
      <c r="K36" s="21">
        <v>1.6082799999999999</v>
      </c>
      <c r="L36">
        <f t="shared" si="0"/>
        <v>12.414197530864197</v>
      </c>
      <c r="M36">
        <f t="shared" si="1"/>
        <v>19.974940395061726</v>
      </c>
      <c r="N36" s="9"/>
      <c r="O36" s="21">
        <v>3.0975300000000001E-2</v>
      </c>
      <c r="P36" s="21">
        <v>8.9685000000000006</v>
      </c>
      <c r="Q36" s="21">
        <v>-1.43097E-2</v>
      </c>
      <c r="R36" s="21">
        <v>26</v>
      </c>
      <c r="S36" s="21">
        <v>3.0926499999999999E-2</v>
      </c>
      <c r="T36">
        <f t="shared" si="2"/>
        <v>17.666296296296295</v>
      </c>
      <c r="U36">
        <f t="shared" si="3"/>
        <v>0.54721882766666663</v>
      </c>
      <c r="X36" s="9"/>
      <c r="Y36" s="21">
        <v>1.60904</v>
      </c>
      <c r="Z36" s="21">
        <v>14.3354</v>
      </c>
      <c r="AA36" s="21">
        <v>-1.03485E-2</v>
      </c>
      <c r="AB36" s="21">
        <v>26</v>
      </c>
      <c r="AC36" s="21">
        <v>1.6082799999999999</v>
      </c>
      <c r="AD36">
        <f t="shared" si="4"/>
        <v>12.775925925925925</v>
      </c>
      <c r="AE36">
        <f t="shared" si="5"/>
        <v>20.556975851851853</v>
      </c>
      <c r="AF36" s="9"/>
      <c r="AG36" s="21">
        <v>3.0975300000000001E-2</v>
      </c>
      <c r="AH36" s="21">
        <v>18.0337</v>
      </c>
      <c r="AI36" s="21">
        <v>-1.4334100000000001E-2</v>
      </c>
      <c r="AJ36" s="21">
        <v>26</v>
      </c>
      <c r="AK36" s="21">
        <v>3.0874599999999999E-2</v>
      </c>
      <c r="AL36">
        <f t="shared" si="6"/>
        <v>17.69641975308642</v>
      </c>
      <c r="AM36">
        <f t="shared" si="7"/>
        <v>0.54815191077777781</v>
      </c>
      <c r="AP36" s="9"/>
      <c r="AQ36" s="21">
        <v>1.60904</v>
      </c>
      <c r="AR36" s="21">
        <v>23.447600000000001</v>
      </c>
      <c r="AS36" s="21">
        <v>-1.0372899999999999E-2</v>
      </c>
      <c r="AT36" s="21">
        <v>26</v>
      </c>
      <c r="AU36" s="21">
        <v>1.6076699999999999</v>
      </c>
      <c r="AV36">
        <f t="shared" si="8"/>
        <v>12.806049382716049</v>
      </c>
      <c r="AW36">
        <f t="shared" si="9"/>
        <v>20.605445698765433</v>
      </c>
      <c r="AX36" s="9"/>
      <c r="AY36" s="21">
        <v>3.0975300000000001E-2</v>
      </c>
      <c r="AZ36" s="21">
        <v>27.145900000000001</v>
      </c>
      <c r="BA36" s="21">
        <v>-1.4331099999999999E-2</v>
      </c>
      <c r="BB36" s="21">
        <v>26</v>
      </c>
      <c r="BC36" s="21">
        <v>3.0862400000000002E-2</v>
      </c>
      <c r="BD36">
        <f t="shared" si="10"/>
        <v>17.692716049382714</v>
      </c>
      <c r="BE36">
        <f t="shared" si="11"/>
        <v>0.54803718744444441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1.6040000000000001</v>
      </c>
      <c r="H37" s="21">
        <v>5.28024</v>
      </c>
      <c r="I37" s="21">
        <v>-1.02386E-2</v>
      </c>
      <c r="J37" s="21">
        <v>27</v>
      </c>
      <c r="K37" s="21">
        <v>1.6033900000000001</v>
      </c>
      <c r="L37">
        <f t="shared" si="0"/>
        <v>12.640246913580247</v>
      </c>
      <c r="M37">
        <f t="shared" si="1"/>
        <v>20.274956049382716</v>
      </c>
      <c r="N37" s="9"/>
      <c r="O37" s="21">
        <v>3.60107E-2</v>
      </c>
      <c r="P37" s="21">
        <v>8.9785799999999991</v>
      </c>
      <c r="Q37" s="21">
        <v>-1.4306599999999999E-2</v>
      </c>
      <c r="R37" s="21">
        <v>27</v>
      </c>
      <c r="S37" s="21">
        <v>3.5864300000000002E-2</v>
      </c>
      <c r="T37">
        <f t="shared" si="2"/>
        <v>17.662469135802468</v>
      </c>
      <c r="U37">
        <f t="shared" si="3"/>
        <v>0.63603787730864192</v>
      </c>
      <c r="X37" s="9"/>
      <c r="Y37" s="21">
        <v>1.6040000000000001</v>
      </c>
      <c r="Z37" s="21">
        <v>14.345499999999999</v>
      </c>
      <c r="AA37" s="21">
        <v>-1.05133E-2</v>
      </c>
      <c r="AB37" s="21">
        <v>27</v>
      </c>
      <c r="AC37" s="21">
        <v>1.6036999999999999</v>
      </c>
      <c r="AD37">
        <f t="shared" si="4"/>
        <v>12.979382716049383</v>
      </c>
      <c r="AE37">
        <f t="shared" si="5"/>
        <v>20.818929876543212</v>
      </c>
      <c r="AF37" s="9"/>
      <c r="AG37" s="21">
        <v>3.60107E-2</v>
      </c>
      <c r="AH37" s="21">
        <v>18.043800000000001</v>
      </c>
      <c r="AI37" s="21">
        <v>-1.4328E-2</v>
      </c>
      <c r="AJ37" s="21">
        <v>27</v>
      </c>
      <c r="AK37" s="21">
        <v>3.5909999999999997E-2</v>
      </c>
      <c r="AL37">
        <f t="shared" si="6"/>
        <v>17.68888888888889</v>
      </c>
      <c r="AM37">
        <f t="shared" si="7"/>
        <v>0.63698927111111114</v>
      </c>
      <c r="AP37" s="9"/>
      <c r="AQ37" s="21">
        <v>1.6040000000000001</v>
      </c>
      <c r="AR37" s="21">
        <v>23.457699999999999</v>
      </c>
      <c r="AS37" s="21">
        <v>-1.0555999999999999E-2</v>
      </c>
      <c r="AT37" s="21">
        <v>27</v>
      </c>
      <c r="AU37" s="21">
        <v>1.6033900000000001</v>
      </c>
      <c r="AV37">
        <f t="shared" si="8"/>
        <v>13.032098765432098</v>
      </c>
      <c r="AW37">
        <f t="shared" si="9"/>
        <v>20.903486419753087</v>
      </c>
      <c r="AX37" s="9"/>
      <c r="AY37" s="21">
        <v>3.60107E-2</v>
      </c>
      <c r="AZ37" s="21">
        <v>27.155999999999999</v>
      </c>
      <c r="BA37" s="21">
        <v>-1.4324999999999999E-2</v>
      </c>
      <c r="BB37" s="21">
        <v>27</v>
      </c>
      <c r="BC37" s="21">
        <v>3.5864300000000002E-2</v>
      </c>
      <c r="BD37">
        <f t="shared" si="10"/>
        <v>17.685185185185183</v>
      </c>
      <c r="BE37">
        <f t="shared" si="11"/>
        <v>0.63685589814814803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1.59897</v>
      </c>
      <c r="H38" s="21">
        <v>5.2903099999999998</v>
      </c>
      <c r="I38" s="21">
        <v>-1.0406500000000001E-2</v>
      </c>
      <c r="J38" s="21">
        <v>28</v>
      </c>
      <c r="K38" s="21">
        <v>1.5975999999999999</v>
      </c>
      <c r="L38">
        <f t="shared" si="0"/>
        <v>12.84753086419753</v>
      </c>
      <c r="M38">
        <f t="shared" si="1"/>
        <v>20.542816425925924</v>
      </c>
      <c r="N38" s="9"/>
      <c r="O38" s="21">
        <v>4.1046100000000002E-2</v>
      </c>
      <c r="P38" s="21">
        <v>8.9886499999999998</v>
      </c>
      <c r="Q38" s="21">
        <v>-1.43097E-2</v>
      </c>
      <c r="R38" s="21">
        <v>28</v>
      </c>
      <c r="S38" s="21">
        <v>4.09302E-2</v>
      </c>
      <c r="T38">
        <f t="shared" si="2"/>
        <v>17.666296296296295</v>
      </c>
      <c r="U38">
        <f t="shared" si="3"/>
        <v>0.72513256440740737</v>
      </c>
      <c r="X38" s="9"/>
      <c r="Y38" s="21">
        <v>1.59897</v>
      </c>
      <c r="Z38" s="21">
        <v>14.355499999999999</v>
      </c>
      <c r="AA38" s="21">
        <v>-1.0671999999999999E-2</v>
      </c>
      <c r="AB38" s="21">
        <v>28</v>
      </c>
      <c r="AC38" s="21">
        <v>1.5982099999999999</v>
      </c>
      <c r="AD38">
        <f t="shared" si="4"/>
        <v>13.175308641975306</v>
      </c>
      <c r="AE38">
        <f t="shared" si="5"/>
        <v>21.066923259259255</v>
      </c>
      <c r="AF38" s="9"/>
      <c r="AG38" s="21">
        <v>4.1046100000000002E-2</v>
      </c>
      <c r="AH38" s="21">
        <v>18.053899999999999</v>
      </c>
      <c r="AI38" s="21">
        <v>-1.4306599999999999E-2</v>
      </c>
      <c r="AJ38" s="21">
        <v>28</v>
      </c>
      <c r="AK38" s="21">
        <v>4.0954600000000001E-2</v>
      </c>
      <c r="AL38">
        <f t="shared" si="6"/>
        <v>17.662469135802468</v>
      </c>
      <c r="AM38">
        <f t="shared" si="7"/>
        <v>0.72497547439506171</v>
      </c>
      <c r="AP38" s="9"/>
      <c r="AQ38" s="21">
        <v>1.59897</v>
      </c>
      <c r="AR38" s="21">
        <v>23.467700000000001</v>
      </c>
      <c r="AS38" s="21">
        <v>-1.073E-2</v>
      </c>
      <c r="AT38" s="21">
        <v>28</v>
      </c>
      <c r="AU38" s="21">
        <v>1.5982099999999999</v>
      </c>
      <c r="AV38">
        <f t="shared" si="8"/>
        <v>13.246913580246913</v>
      </c>
      <c r="AW38">
        <f t="shared" si="9"/>
        <v>21.181417407407405</v>
      </c>
      <c r="AX38" s="9"/>
      <c r="AY38" s="21">
        <v>4.1046100000000002E-2</v>
      </c>
      <c r="AZ38" s="21">
        <v>27.1661</v>
      </c>
      <c r="BA38" s="21">
        <v>-1.4324999999999999E-2</v>
      </c>
      <c r="BB38" s="21">
        <v>28</v>
      </c>
      <c r="BC38" s="21">
        <v>4.0939299999999998E-2</v>
      </c>
      <c r="BD38">
        <f t="shared" si="10"/>
        <v>17.685185185185183</v>
      </c>
      <c r="BE38">
        <f t="shared" si="11"/>
        <v>0.72590787962962955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1.5939300000000001</v>
      </c>
      <c r="H39" s="21">
        <v>5.3003799999999996</v>
      </c>
      <c r="I39" s="21">
        <v>-1.05652E-2</v>
      </c>
      <c r="J39" s="21">
        <v>29</v>
      </c>
      <c r="K39" s="21">
        <v>1.5930200000000001</v>
      </c>
      <c r="L39">
        <f t="shared" si="0"/>
        <v>13.043456790123457</v>
      </c>
      <c r="M39">
        <f t="shared" si="1"/>
        <v>20.790357081481485</v>
      </c>
      <c r="N39" s="9"/>
      <c r="O39" s="21">
        <v>4.6081499999999997E-2</v>
      </c>
      <c r="P39" s="21">
        <v>8.9987200000000005</v>
      </c>
      <c r="Q39" s="21">
        <v>-1.4300500000000001E-2</v>
      </c>
      <c r="R39" s="21">
        <v>29</v>
      </c>
      <c r="S39" s="21">
        <v>4.6005200000000003E-2</v>
      </c>
      <c r="T39">
        <f t="shared" si="2"/>
        <v>17.654938271604937</v>
      </c>
      <c r="U39">
        <f t="shared" si="3"/>
        <v>0.8135660379629629</v>
      </c>
      <c r="X39" s="9"/>
      <c r="Y39" s="21">
        <v>1.5939300000000001</v>
      </c>
      <c r="Z39" s="21">
        <v>14.365600000000001</v>
      </c>
      <c r="AA39" s="21">
        <v>-1.08246E-2</v>
      </c>
      <c r="AB39" s="21">
        <v>29</v>
      </c>
      <c r="AC39" s="21">
        <v>1.5936300000000001</v>
      </c>
      <c r="AD39">
        <f t="shared" si="4"/>
        <v>13.363703703703703</v>
      </c>
      <c r="AE39">
        <f t="shared" si="5"/>
        <v>21.300808244444443</v>
      </c>
      <c r="AF39" s="9"/>
      <c r="AG39" s="21">
        <v>4.6081499999999997E-2</v>
      </c>
      <c r="AH39" s="21">
        <v>18.0639</v>
      </c>
      <c r="AI39" s="21">
        <v>-1.4300500000000001E-2</v>
      </c>
      <c r="AJ39" s="21">
        <v>29</v>
      </c>
      <c r="AK39" s="21">
        <v>4.6023599999999998E-2</v>
      </c>
      <c r="AL39">
        <f t="shared" si="6"/>
        <v>17.654938271604937</v>
      </c>
      <c r="AM39">
        <f t="shared" si="7"/>
        <v>0.8135660379629629</v>
      </c>
      <c r="AP39" s="9"/>
      <c r="AQ39" s="21">
        <v>1.5939300000000001</v>
      </c>
      <c r="AR39" s="21">
        <v>23.477799999999998</v>
      </c>
      <c r="AS39" s="21">
        <v>-1.08795E-2</v>
      </c>
      <c r="AT39" s="21">
        <v>29</v>
      </c>
      <c r="AU39" s="21">
        <v>1.5936300000000001</v>
      </c>
      <c r="AV39">
        <f t="shared" si="8"/>
        <v>13.431481481481482</v>
      </c>
      <c r="AW39">
        <f t="shared" si="9"/>
        <v>21.408841277777778</v>
      </c>
      <c r="AX39" s="9"/>
      <c r="AY39" s="21">
        <v>4.6081499999999997E-2</v>
      </c>
      <c r="AZ39" s="21">
        <v>27.176200000000001</v>
      </c>
      <c r="BA39" s="21">
        <v>-1.4328E-2</v>
      </c>
      <c r="BB39" s="21">
        <v>29</v>
      </c>
      <c r="BC39" s="21">
        <v>4.5990000000000003E-2</v>
      </c>
      <c r="BD39">
        <f t="shared" si="10"/>
        <v>17.68888888888889</v>
      </c>
      <c r="BE39">
        <f t="shared" si="11"/>
        <v>0.8151305333333333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1.5889</v>
      </c>
      <c r="H40" s="21">
        <v>5.3104500000000003</v>
      </c>
      <c r="I40" s="21">
        <v>-1.07086E-2</v>
      </c>
      <c r="J40" s="21">
        <v>30</v>
      </c>
      <c r="K40" s="21">
        <v>1.5887500000000001</v>
      </c>
      <c r="L40">
        <f t="shared" si="0"/>
        <v>13.220493827160492</v>
      </c>
      <c r="M40">
        <f t="shared" si="1"/>
        <v>21.006042641975306</v>
      </c>
      <c r="N40" s="9"/>
      <c r="O40" s="21">
        <v>5.11169E-2</v>
      </c>
      <c r="P40" s="21">
        <v>9.0087899999999994</v>
      </c>
      <c r="Q40" s="21">
        <v>-1.4300500000000001E-2</v>
      </c>
      <c r="R40" s="21">
        <v>30</v>
      </c>
      <c r="S40" s="21">
        <v>5.0567599999999997E-2</v>
      </c>
      <c r="T40">
        <f t="shared" si="2"/>
        <v>17.654938271604937</v>
      </c>
      <c r="U40">
        <f t="shared" si="3"/>
        <v>0.90246571413580245</v>
      </c>
      <c r="X40" s="9"/>
      <c r="Y40" s="21">
        <v>1.5889</v>
      </c>
      <c r="Z40" s="21">
        <v>14.3757</v>
      </c>
      <c r="AA40" s="21">
        <v>-1.0971099999999999E-2</v>
      </c>
      <c r="AB40" s="21">
        <v>30</v>
      </c>
      <c r="AC40" s="21">
        <v>1.5884400000000001</v>
      </c>
      <c r="AD40">
        <f t="shared" si="4"/>
        <v>13.544567901234567</v>
      </c>
      <c r="AE40">
        <f t="shared" si="5"/>
        <v>21.520963938271603</v>
      </c>
      <c r="AF40" s="9"/>
      <c r="AG40" s="21">
        <v>5.11169E-2</v>
      </c>
      <c r="AH40" s="21">
        <v>18.074000000000002</v>
      </c>
      <c r="AI40" s="21">
        <v>-1.4294400000000001E-2</v>
      </c>
      <c r="AJ40" s="21">
        <v>30</v>
      </c>
      <c r="AK40" s="21">
        <v>5.1010100000000003E-2</v>
      </c>
      <c r="AL40">
        <f t="shared" si="6"/>
        <v>17.647407407407407</v>
      </c>
      <c r="AM40">
        <f t="shared" si="7"/>
        <v>0.90208075970370372</v>
      </c>
      <c r="AP40" s="9"/>
      <c r="AQ40" s="21">
        <v>1.5889</v>
      </c>
      <c r="AR40" s="21">
        <v>23.4879</v>
      </c>
      <c r="AS40" s="21">
        <v>-1.10321E-2</v>
      </c>
      <c r="AT40" s="21">
        <v>30</v>
      </c>
      <c r="AU40" s="21">
        <v>1.58752</v>
      </c>
      <c r="AV40">
        <f t="shared" si="8"/>
        <v>13.619876543209877</v>
      </c>
      <c r="AW40">
        <f t="shared" si="9"/>
        <v>21.640621839506174</v>
      </c>
      <c r="AX40" s="9"/>
      <c r="AY40" s="21">
        <v>5.11169E-2</v>
      </c>
      <c r="AZ40" s="21">
        <v>27.186199999999999</v>
      </c>
      <c r="BA40" s="21">
        <v>-1.43372E-2</v>
      </c>
      <c r="BB40" s="21">
        <v>30</v>
      </c>
      <c r="BC40" s="21">
        <v>5.0628699999999999E-2</v>
      </c>
      <c r="BD40">
        <f t="shared" si="10"/>
        <v>17.700246913580244</v>
      </c>
      <c r="BE40">
        <f t="shared" si="11"/>
        <v>0.90478175145678996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1.58386</v>
      </c>
      <c r="H41" s="21">
        <v>5.3205200000000001</v>
      </c>
      <c r="I41" s="21">
        <v>-1.08459E-2</v>
      </c>
      <c r="J41" s="21">
        <v>31</v>
      </c>
      <c r="K41" s="21">
        <v>1.58325</v>
      </c>
      <c r="L41">
        <f t="shared" si="0"/>
        <v>13.389999999999999</v>
      </c>
      <c r="M41">
        <f t="shared" si="1"/>
        <v>21.207885399999999</v>
      </c>
      <c r="N41" s="9"/>
      <c r="O41" s="21">
        <v>5.6152300000000002E-2</v>
      </c>
      <c r="P41" s="21">
        <v>9.0188600000000001</v>
      </c>
      <c r="Q41" s="21">
        <v>-1.4297499999999999E-2</v>
      </c>
      <c r="R41" s="21">
        <v>31</v>
      </c>
      <c r="S41" s="21">
        <v>5.5603E-2</v>
      </c>
      <c r="T41">
        <f t="shared" si="2"/>
        <v>17.651234567901231</v>
      </c>
      <c r="U41">
        <f t="shared" si="3"/>
        <v>0.99115741882716035</v>
      </c>
      <c r="X41" s="9"/>
      <c r="Y41" s="21">
        <v>1.58386</v>
      </c>
      <c r="Z41" s="21">
        <v>14.3857</v>
      </c>
      <c r="AA41" s="21">
        <v>-1.11115E-2</v>
      </c>
      <c r="AB41" s="21">
        <v>31</v>
      </c>
      <c r="AC41" s="21">
        <v>1.5829500000000001</v>
      </c>
      <c r="AD41">
        <f t="shared" si="4"/>
        <v>13.717901234567901</v>
      </c>
      <c r="AE41">
        <f t="shared" si="5"/>
        <v>21.727235049382717</v>
      </c>
      <c r="AF41" s="9"/>
      <c r="AG41" s="21">
        <v>5.6152300000000002E-2</v>
      </c>
      <c r="AH41" s="21">
        <v>18.084099999999999</v>
      </c>
      <c r="AI41" s="21">
        <v>-1.4285300000000001E-2</v>
      </c>
      <c r="AJ41" s="21">
        <v>31</v>
      </c>
      <c r="AK41" s="21">
        <v>5.5664100000000001E-2</v>
      </c>
      <c r="AL41">
        <f t="shared" si="6"/>
        <v>17.636172839506173</v>
      </c>
      <c r="AM41">
        <f t="shared" si="7"/>
        <v>0.99031166813580251</v>
      </c>
      <c r="AP41" s="9"/>
      <c r="AQ41" s="21">
        <v>1.58386</v>
      </c>
      <c r="AR41" s="21">
        <v>23.498000000000001</v>
      </c>
      <c r="AS41" s="21">
        <v>-1.11755E-2</v>
      </c>
      <c r="AT41" s="21">
        <v>31</v>
      </c>
      <c r="AU41" s="21">
        <v>1.58264</v>
      </c>
      <c r="AV41">
        <f t="shared" si="8"/>
        <v>13.796913580246912</v>
      </c>
      <c r="AW41">
        <f t="shared" si="9"/>
        <v>21.852379543209874</v>
      </c>
      <c r="AX41" s="9"/>
      <c r="AY41" s="21">
        <v>5.6152300000000002E-2</v>
      </c>
      <c r="AZ41" s="21">
        <v>27.196300000000001</v>
      </c>
      <c r="BA41" s="21">
        <v>-1.4334100000000001E-2</v>
      </c>
      <c r="BB41" s="21">
        <v>31</v>
      </c>
      <c r="BC41" s="21">
        <v>5.5633500000000002E-2</v>
      </c>
      <c r="BD41">
        <f t="shared" si="10"/>
        <v>17.69641975308642</v>
      </c>
      <c r="BE41">
        <f t="shared" si="11"/>
        <v>0.99369467090123464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1.57883</v>
      </c>
      <c r="H42" s="21">
        <v>5.3305899999999999</v>
      </c>
      <c r="I42" s="21">
        <v>-1.0977199999999999E-2</v>
      </c>
      <c r="J42" s="21">
        <v>32</v>
      </c>
      <c r="K42" s="21">
        <v>1.57745</v>
      </c>
      <c r="L42">
        <f t="shared" si="0"/>
        <v>13.552098765432097</v>
      </c>
      <c r="M42">
        <f t="shared" si="1"/>
        <v>21.396460093827159</v>
      </c>
      <c r="N42" s="9"/>
      <c r="O42" s="21">
        <v>6.1187699999999998E-2</v>
      </c>
      <c r="P42" s="21">
        <v>9.0289300000000008</v>
      </c>
      <c r="Q42" s="21">
        <v>-1.4300500000000001E-2</v>
      </c>
      <c r="R42" s="21">
        <v>32</v>
      </c>
      <c r="S42" s="21">
        <v>6.0760500000000002E-2</v>
      </c>
      <c r="T42">
        <f t="shared" si="2"/>
        <v>17.654938271604937</v>
      </c>
      <c r="U42">
        <f t="shared" si="3"/>
        <v>1.0802650664814815</v>
      </c>
      <c r="X42" s="9"/>
      <c r="Y42" s="21">
        <v>1.57883</v>
      </c>
      <c r="Z42" s="21">
        <v>14.395799999999999</v>
      </c>
      <c r="AA42" s="21">
        <v>-1.1236599999999999E-2</v>
      </c>
      <c r="AB42" s="21">
        <v>32</v>
      </c>
      <c r="AC42" s="21">
        <v>1.5783700000000001</v>
      </c>
      <c r="AD42">
        <f t="shared" si="4"/>
        <v>13.872345679012344</v>
      </c>
      <c r="AE42">
        <f t="shared" si="5"/>
        <v>21.902075528395059</v>
      </c>
      <c r="AF42" s="9"/>
      <c r="AG42" s="21">
        <v>6.1187699999999998E-2</v>
      </c>
      <c r="AH42" s="21">
        <v>18.094100000000001</v>
      </c>
      <c r="AI42" s="21">
        <v>-1.4279200000000001E-2</v>
      </c>
      <c r="AJ42" s="21">
        <v>32</v>
      </c>
      <c r="AK42" s="21">
        <v>6.0638400000000002E-2</v>
      </c>
      <c r="AL42">
        <f t="shared" si="6"/>
        <v>17.628641975308639</v>
      </c>
      <c r="AM42">
        <f t="shared" si="7"/>
        <v>1.0786560565925924</v>
      </c>
      <c r="AP42" s="9"/>
      <c r="AQ42" s="21">
        <v>1.57883</v>
      </c>
      <c r="AR42" s="21">
        <v>23.507999999999999</v>
      </c>
      <c r="AS42" s="21">
        <v>-1.1306800000000001E-2</v>
      </c>
      <c r="AT42" s="21">
        <v>32</v>
      </c>
      <c r="AU42" s="21">
        <v>1.5777600000000001</v>
      </c>
      <c r="AV42">
        <f t="shared" si="8"/>
        <v>13.959012345679012</v>
      </c>
      <c r="AW42">
        <f t="shared" si="9"/>
        <v>22.038907461728392</v>
      </c>
      <c r="AX42" s="9"/>
      <c r="AY42" s="21">
        <v>6.1187699999999998E-2</v>
      </c>
      <c r="AZ42" s="21">
        <v>27.206399999999999</v>
      </c>
      <c r="BA42" s="21">
        <v>-1.4340200000000001E-2</v>
      </c>
      <c r="BB42" s="21">
        <v>32</v>
      </c>
      <c r="BC42" s="21">
        <v>6.0577400000000003E-2</v>
      </c>
      <c r="BD42">
        <f t="shared" si="10"/>
        <v>17.703950617283951</v>
      </c>
      <c r="BE42">
        <f t="shared" si="11"/>
        <v>1.0832640191851852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1.57379</v>
      </c>
      <c r="H43" s="21">
        <v>5.3406599999999997</v>
      </c>
      <c r="I43" s="21">
        <v>-1.1102300000000001E-2</v>
      </c>
      <c r="J43" s="21">
        <v>33</v>
      </c>
      <c r="K43" s="21">
        <v>1.5734900000000001</v>
      </c>
      <c r="L43">
        <f t="shared" si="0"/>
        <v>13.706543209876543</v>
      </c>
      <c r="M43">
        <f t="shared" si="1"/>
        <v>21.571220638271605</v>
      </c>
      <c r="N43" s="9"/>
      <c r="O43" s="21">
        <v>6.6223099999999993E-2</v>
      </c>
      <c r="P43" s="21">
        <v>9.0389999999999997</v>
      </c>
      <c r="Q43" s="21">
        <v>-1.43036E-2</v>
      </c>
      <c r="R43" s="21">
        <v>33</v>
      </c>
      <c r="S43" s="21">
        <v>6.5673800000000004E-2</v>
      </c>
      <c r="T43">
        <f t="shared" si="2"/>
        <v>17.658765432098765</v>
      </c>
      <c r="U43">
        <f t="shared" si="3"/>
        <v>1.1694181890864195</v>
      </c>
      <c r="X43" s="9"/>
      <c r="Y43" s="21">
        <v>1.57379</v>
      </c>
      <c r="Z43" s="21">
        <v>14.405900000000001</v>
      </c>
      <c r="AA43" s="21">
        <v>-1.1361700000000001E-2</v>
      </c>
      <c r="AB43" s="21">
        <v>33</v>
      </c>
      <c r="AC43" s="21">
        <v>1.57318</v>
      </c>
      <c r="AD43">
        <f t="shared" si="4"/>
        <v>14.026790123456792</v>
      </c>
      <c r="AE43">
        <f t="shared" si="5"/>
        <v>22.075222028395064</v>
      </c>
      <c r="AF43" s="9"/>
      <c r="AG43" s="21">
        <v>6.6223099999999993E-2</v>
      </c>
      <c r="AH43" s="21">
        <v>18.104199999999999</v>
      </c>
      <c r="AI43" s="21">
        <v>-1.42761E-2</v>
      </c>
      <c r="AJ43" s="21">
        <v>33</v>
      </c>
      <c r="AK43" s="21">
        <v>6.5643300000000002E-2</v>
      </c>
      <c r="AL43">
        <f t="shared" si="6"/>
        <v>17.624814814814812</v>
      </c>
      <c r="AM43">
        <f t="shared" si="7"/>
        <v>1.1671698739629626</v>
      </c>
      <c r="AP43" s="9"/>
      <c r="AQ43" s="21">
        <v>1.57379</v>
      </c>
      <c r="AR43" s="21">
        <v>23.5181</v>
      </c>
      <c r="AS43" s="21">
        <v>-1.14319E-2</v>
      </c>
      <c r="AT43" s="21">
        <v>33</v>
      </c>
      <c r="AU43" s="21">
        <v>1.5728800000000001</v>
      </c>
      <c r="AV43">
        <f t="shared" si="8"/>
        <v>14.113456790123456</v>
      </c>
      <c r="AW43">
        <f t="shared" si="9"/>
        <v>22.211617161728395</v>
      </c>
      <c r="AX43" s="9"/>
      <c r="AY43" s="21">
        <v>6.6223099999999993E-2</v>
      </c>
      <c r="AZ43" s="21">
        <v>27.2164</v>
      </c>
      <c r="BA43" s="21">
        <v>-1.43524E-2</v>
      </c>
      <c r="BB43" s="21">
        <v>33</v>
      </c>
      <c r="BC43" s="21">
        <v>6.5673800000000004E-2</v>
      </c>
      <c r="BD43">
        <f t="shared" si="10"/>
        <v>17.719012345679008</v>
      </c>
      <c r="BE43">
        <f t="shared" si="11"/>
        <v>1.1734079264691355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1.5687599999999999</v>
      </c>
      <c r="H44" s="21">
        <v>5.3507400000000001</v>
      </c>
      <c r="I44" s="21">
        <v>-1.12183E-2</v>
      </c>
      <c r="J44" s="21">
        <v>34</v>
      </c>
      <c r="K44" s="21">
        <v>1.5683</v>
      </c>
      <c r="L44">
        <f t="shared" si="0"/>
        <v>13.849753086419753</v>
      </c>
      <c r="M44">
        <f t="shared" si="1"/>
        <v>21.726938651851849</v>
      </c>
      <c r="N44" s="9"/>
      <c r="O44" s="21">
        <v>7.1258500000000002E-2</v>
      </c>
      <c r="P44" s="21">
        <v>9.0490700000000004</v>
      </c>
      <c r="Q44" s="21">
        <v>-1.4297499999999999E-2</v>
      </c>
      <c r="R44" s="21">
        <v>34</v>
      </c>
      <c r="S44" s="21">
        <v>7.07092E-2</v>
      </c>
      <c r="T44">
        <f t="shared" si="2"/>
        <v>17.651234567901231</v>
      </c>
      <c r="U44">
        <f t="shared" si="3"/>
        <v>1.2578004984567899</v>
      </c>
      <c r="X44" s="9"/>
      <c r="Y44" s="21">
        <v>1.5687599999999999</v>
      </c>
      <c r="Z44" s="21">
        <v>14.415900000000001</v>
      </c>
      <c r="AA44" s="21">
        <v>-1.14807E-2</v>
      </c>
      <c r="AB44" s="21">
        <v>34</v>
      </c>
      <c r="AC44" s="21">
        <v>1.56769</v>
      </c>
      <c r="AD44">
        <f t="shared" si="4"/>
        <v>14.173703703703703</v>
      </c>
      <c r="AE44">
        <f t="shared" si="5"/>
        <v>22.235139422222222</v>
      </c>
      <c r="AF44" s="9"/>
      <c r="AG44" s="21">
        <v>7.1258500000000002E-2</v>
      </c>
      <c r="AH44" s="21">
        <v>18.1143</v>
      </c>
      <c r="AI44" s="21">
        <v>-1.4279200000000001E-2</v>
      </c>
      <c r="AJ44" s="21">
        <v>34</v>
      </c>
      <c r="AK44" s="21">
        <v>7.0617700000000005E-2</v>
      </c>
      <c r="AL44">
        <f t="shared" si="6"/>
        <v>17.628641975308639</v>
      </c>
      <c r="AM44">
        <f t="shared" si="7"/>
        <v>1.2561905841975307</v>
      </c>
      <c r="AP44" s="9"/>
      <c r="AQ44" s="21">
        <v>1.5687599999999999</v>
      </c>
      <c r="AR44" s="21">
        <v>23.528199999999998</v>
      </c>
      <c r="AS44" s="21">
        <v>-1.1550899999999999E-2</v>
      </c>
      <c r="AT44" s="21">
        <v>34</v>
      </c>
      <c r="AU44" s="21">
        <v>1.5683</v>
      </c>
      <c r="AV44">
        <f t="shared" si="8"/>
        <v>14.260370370370369</v>
      </c>
      <c r="AW44">
        <f t="shared" si="9"/>
        <v>22.37109862222222</v>
      </c>
      <c r="AX44" s="9"/>
      <c r="AY44" s="21">
        <v>7.1258500000000002E-2</v>
      </c>
      <c r="AZ44" s="21">
        <v>27.226500000000001</v>
      </c>
      <c r="BA44" s="21">
        <v>-1.43616E-2</v>
      </c>
      <c r="BB44" s="21">
        <v>34</v>
      </c>
      <c r="BC44" s="21">
        <v>7.0770299999999994E-2</v>
      </c>
      <c r="BD44">
        <f t="shared" si="10"/>
        <v>17.73037037037037</v>
      </c>
      <c r="BE44">
        <f t="shared" si="11"/>
        <v>1.2634395970370371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1.56372</v>
      </c>
      <c r="H45" s="21">
        <v>5.3608099999999999</v>
      </c>
      <c r="I45" s="21">
        <v>-1.1328100000000001E-2</v>
      </c>
      <c r="J45" s="21">
        <v>35</v>
      </c>
      <c r="K45" s="21">
        <v>1.56311</v>
      </c>
      <c r="L45">
        <f t="shared" si="0"/>
        <v>13.985308641975308</v>
      </c>
      <c r="M45">
        <f t="shared" si="1"/>
        <v>21.869106829629629</v>
      </c>
      <c r="N45" s="9"/>
      <c r="O45" s="21">
        <v>7.6293899999999998E-2</v>
      </c>
      <c r="P45" s="21">
        <v>9.0591399999999993</v>
      </c>
      <c r="Q45" s="21">
        <v>-1.4297499999999999E-2</v>
      </c>
      <c r="R45" s="21">
        <v>35</v>
      </c>
      <c r="S45" s="21">
        <v>7.5775099999999998E-2</v>
      </c>
      <c r="T45">
        <f t="shared" si="2"/>
        <v>17.651234567901231</v>
      </c>
      <c r="U45">
        <f t="shared" si="3"/>
        <v>1.3466815249999997</v>
      </c>
      <c r="X45" s="9"/>
      <c r="Y45" s="21">
        <v>1.56372</v>
      </c>
      <c r="Z45" s="21">
        <v>14.426</v>
      </c>
      <c r="AA45" s="21">
        <v>-1.1605799999999999E-2</v>
      </c>
      <c r="AB45" s="21">
        <v>35</v>
      </c>
      <c r="AC45" s="21">
        <v>1.56342</v>
      </c>
      <c r="AD45">
        <f t="shared" si="4"/>
        <v>14.328148148148147</v>
      </c>
      <c r="AE45">
        <f t="shared" si="5"/>
        <v>22.405211822222221</v>
      </c>
      <c r="AF45" s="9"/>
      <c r="AG45" s="21">
        <v>7.6293899999999998E-2</v>
      </c>
      <c r="AH45" s="21">
        <v>18.124400000000001</v>
      </c>
      <c r="AI45" s="21">
        <v>-1.42822E-2</v>
      </c>
      <c r="AJ45" s="21">
        <v>35</v>
      </c>
      <c r="AK45" s="21">
        <v>7.5805700000000004E-2</v>
      </c>
      <c r="AL45">
        <f t="shared" si="6"/>
        <v>17.632345679012342</v>
      </c>
      <c r="AM45">
        <f t="shared" si="7"/>
        <v>1.3452404179999997</v>
      </c>
      <c r="AP45" s="9"/>
      <c r="AQ45" s="21">
        <v>1.56372</v>
      </c>
      <c r="AR45" s="21">
        <v>23.5382</v>
      </c>
      <c r="AS45" s="21">
        <v>-1.16699E-2</v>
      </c>
      <c r="AT45" s="21">
        <v>35</v>
      </c>
      <c r="AU45" s="21">
        <v>1.56372</v>
      </c>
      <c r="AV45">
        <f t="shared" si="8"/>
        <v>14.407283950617282</v>
      </c>
      <c r="AW45">
        <f t="shared" si="9"/>
        <v>22.528958059259256</v>
      </c>
      <c r="AX45" s="9"/>
      <c r="AY45" s="21">
        <v>7.6293899999999998E-2</v>
      </c>
      <c r="AZ45" s="21">
        <v>27.236599999999999</v>
      </c>
      <c r="BA45" s="21">
        <v>-1.43646E-2</v>
      </c>
      <c r="BB45" s="21">
        <v>35</v>
      </c>
      <c r="BC45" s="21">
        <v>7.5775099999999998E-2</v>
      </c>
      <c r="BD45">
        <f t="shared" si="10"/>
        <v>17.734074074074073</v>
      </c>
      <c r="BE45">
        <f t="shared" si="11"/>
        <v>1.3530016739999999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1.5586899999999999</v>
      </c>
      <c r="H46" s="21">
        <v>5.3708799999999997</v>
      </c>
      <c r="I46" s="21">
        <v>-1.14319E-2</v>
      </c>
      <c r="J46" s="21">
        <v>36</v>
      </c>
      <c r="K46" s="21">
        <v>1.55823</v>
      </c>
      <c r="L46">
        <f t="shared" si="0"/>
        <v>14.113456790123456</v>
      </c>
      <c r="M46">
        <f t="shared" si="1"/>
        <v>21.998503964197528</v>
      </c>
      <c r="N46" s="9"/>
      <c r="O46" s="21">
        <v>8.1329299999999993E-2</v>
      </c>
      <c r="P46" s="21">
        <v>9.06921</v>
      </c>
      <c r="Q46" s="21">
        <v>-1.42883E-2</v>
      </c>
      <c r="R46" s="21">
        <v>36</v>
      </c>
      <c r="S46" s="21">
        <v>8.0932599999999993E-2</v>
      </c>
      <c r="T46">
        <f t="shared" si="2"/>
        <v>17.639876543209876</v>
      </c>
      <c r="U46">
        <f t="shared" si="3"/>
        <v>1.4346388113456789</v>
      </c>
      <c r="X46" s="9"/>
      <c r="Y46" s="21">
        <v>1.5586899999999999</v>
      </c>
      <c r="Z46" s="21">
        <v>14.4361</v>
      </c>
      <c r="AA46" s="21">
        <v>-1.17249E-2</v>
      </c>
      <c r="AB46" s="21">
        <v>36</v>
      </c>
      <c r="AC46" s="21">
        <v>1.55823</v>
      </c>
      <c r="AD46">
        <f t="shared" si="4"/>
        <v>14.475185185185184</v>
      </c>
      <c r="AE46">
        <f t="shared" si="5"/>
        <v>22.562326396296292</v>
      </c>
      <c r="AF46" s="9"/>
      <c r="AG46" s="21">
        <v>8.1329299999999993E-2</v>
      </c>
      <c r="AH46" s="21">
        <v>18.134399999999999</v>
      </c>
      <c r="AI46" s="21">
        <v>-1.42761E-2</v>
      </c>
      <c r="AJ46" s="21">
        <v>36</v>
      </c>
      <c r="AK46" s="21">
        <v>8.0780000000000005E-2</v>
      </c>
      <c r="AL46">
        <f t="shared" si="6"/>
        <v>17.624814814814812</v>
      </c>
      <c r="AM46">
        <f t="shared" si="7"/>
        <v>1.4334138515185182</v>
      </c>
      <c r="AP46" s="9"/>
      <c r="AQ46" s="21">
        <v>1.5586899999999999</v>
      </c>
      <c r="AR46" s="21">
        <v>23.548300000000001</v>
      </c>
      <c r="AS46" s="21">
        <v>-1.17737E-2</v>
      </c>
      <c r="AT46" s="21">
        <v>36</v>
      </c>
      <c r="AU46" s="21">
        <v>1.55823</v>
      </c>
      <c r="AV46">
        <f t="shared" si="8"/>
        <v>14.535432098765432</v>
      </c>
      <c r="AW46">
        <f t="shared" si="9"/>
        <v>22.656232658024688</v>
      </c>
      <c r="AX46" s="9"/>
      <c r="AY46" s="21">
        <v>8.1329299999999993E-2</v>
      </c>
      <c r="AZ46" s="21">
        <v>27.246600000000001</v>
      </c>
      <c r="BA46" s="21">
        <v>-1.43555E-2</v>
      </c>
      <c r="BB46" s="21">
        <v>36</v>
      </c>
      <c r="BC46" s="21">
        <v>8.0841099999999999E-2</v>
      </c>
      <c r="BD46">
        <f t="shared" si="10"/>
        <v>17.722839506172836</v>
      </c>
      <c r="BE46">
        <f t="shared" si="11"/>
        <v>1.4413861310493823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1.55365</v>
      </c>
      <c r="H47" s="21">
        <v>5.3809500000000003</v>
      </c>
      <c r="I47" s="21">
        <v>-1.15295E-2</v>
      </c>
      <c r="J47" s="21">
        <v>37</v>
      </c>
      <c r="K47" s="21">
        <v>1.5533399999999999</v>
      </c>
      <c r="L47">
        <f t="shared" si="0"/>
        <v>14.23395061728395</v>
      </c>
      <c r="M47">
        <f t="shared" si="1"/>
        <v>22.11457737654321</v>
      </c>
      <c r="N47" s="9"/>
      <c r="O47" s="21">
        <v>8.6364700000000003E-2</v>
      </c>
      <c r="P47" s="21">
        <v>9.0792900000000003</v>
      </c>
      <c r="Q47" s="21">
        <v>-1.42822E-2</v>
      </c>
      <c r="R47" s="21">
        <v>37</v>
      </c>
      <c r="S47" s="21">
        <v>8.5845900000000003E-2</v>
      </c>
      <c r="T47">
        <f t="shared" si="2"/>
        <v>17.632345679012342</v>
      </c>
      <c r="U47">
        <f t="shared" si="3"/>
        <v>1.5228122448641972</v>
      </c>
      <c r="X47" s="9"/>
      <c r="Y47" s="21">
        <v>1.55365</v>
      </c>
      <c r="Z47" s="21">
        <v>14.446199999999999</v>
      </c>
      <c r="AA47" s="21">
        <v>-1.18286E-2</v>
      </c>
      <c r="AB47" s="21">
        <v>37</v>
      </c>
      <c r="AC47" s="21">
        <v>1.5533399999999999</v>
      </c>
      <c r="AD47">
        <f t="shared" si="4"/>
        <v>14.603209876543209</v>
      </c>
      <c r="AE47">
        <f t="shared" si="5"/>
        <v>22.688277024691356</v>
      </c>
      <c r="AF47" s="9"/>
      <c r="AG47" s="21">
        <v>8.6364700000000003E-2</v>
      </c>
      <c r="AH47" s="21">
        <v>18.144500000000001</v>
      </c>
      <c r="AI47" s="21">
        <v>-1.4263899999999999E-2</v>
      </c>
      <c r="AJ47" s="21">
        <v>37</v>
      </c>
      <c r="AK47" s="21">
        <v>8.58154E-2</v>
      </c>
      <c r="AL47">
        <f t="shared" si="6"/>
        <v>17.609753086419751</v>
      </c>
      <c r="AM47">
        <f t="shared" si="7"/>
        <v>1.5208610423827158</v>
      </c>
      <c r="AP47" s="9"/>
      <c r="AQ47" s="21">
        <v>1.55365</v>
      </c>
      <c r="AR47" s="21">
        <v>23.558399999999999</v>
      </c>
      <c r="AS47" s="21">
        <v>-1.18683E-2</v>
      </c>
      <c r="AT47" s="21">
        <v>37</v>
      </c>
      <c r="AU47" s="21">
        <v>1.5533399999999999</v>
      </c>
      <c r="AV47">
        <f t="shared" si="8"/>
        <v>14.652222222222221</v>
      </c>
      <c r="AW47">
        <f t="shared" si="9"/>
        <v>22.764425055555552</v>
      </c>
      <c r="AX47" s="9"/>
      <c r="AY47" s="21">
        <v>8.6364700000000003E-2</v>
      </c>
      <c r="AZ47" s="21">
        <v>27.256699999999999</v>
      </c>
      <c r="BA47" s="21">
        <v>-1.43494E-2</v>
      </c>
      <c r="BB47" s="21">
        <v>37</v>
      </c>
      <c r="BC47" s="21">
        <v>8.5845900000000003E-2</v>
      </c>
      <c r="BD47">
        <f t="shared" si="10"/>
        <v>17.715308641975309</v>
      </c>
      <c r="BE47">
        <f t="shared" si="11"/>
        <v>1.529977316271605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1.54861</v>
      </c>
      <c r="H48" s="21">
        <v>5.3910200000000001</v>
      </c>
      <c r="I48" s="21">
        <v>-1.1627200000000001E-2</v>
      </c>
      <c r="J48" s="21">
        <v>38</v>
      </c>
      <c r="K48" s="21">
        <v>1.5484599999999999</v>
      </c>
      <c r="L48">
        <f t="shared" si="0"/>
        <v>14.354567901234569</v>
      </c>
      <c r="M48">
        <f t="shared" si="1"/>
        <v>22.229627397530866</v>
      </c>
      <c r="N48" s="9"/>
      <c r="O48" s="21">
        <v>9.1400099999999998E-2</v>
      </c>
      <c r="P48" s="21">
        <v>9.0893599999999992</v>
      </c>
      <c r="Q48" s="21">
        <v>-1.4291399999999999E-2</v>
      </c>
      <c r="R48" s="21">
        <v>38</v>
      </c>
      <c r="S48" s="21">
        <v>9.0881299999999998E-2</v>
      </c>
      <c r="T48">
        <f t="shared" si="2"/>
        <v>17.643703703703704</v>
      </c>
      <c r="U48">
        <f t="shared" si="3"/>
        <v>1.6126362828888889</v>
      </c>
      <c r="X48" s="9"/>
      <c r="Y48" s="21">
        <v>1.54861</v>
      </c>
      <c r="Z48" s="21">
        <v>14.456200000000001</v>
      </c>
      <c r="AA48" s="21">
        <v>-1.1926300000000001E-2</v>
      </c>
      <c r="AB48" s="21">
        <v>38</v>
      </c>
      <c r="AC48" s="21">
        <v>1.54816</v>
      </c>
      <c r="AD48">
        <f t="shared" si="4"/>
        <v>14.723827160493826</v>
      </c>
      <c r="AE48">
        <f t="shared" si="5"/>
        <v>22.801465979012345</v>
      </c>
      <c r="AF48" s="9"/>
      <c r="AG48" s="21">
        <v>9.1400099999999998E-2</v>
      </c>
      <c r="AH48" s="21">
        <v>18.154599999999999</v>
      </c>
      <c r="AI48" s="21">
        <v>-1.4263899999999999E-2</v>
      </c>
      <c r="AJ48" s="21">
        <v>38</v>
      </c>
      <c r="AK48" s="21">
        <v>9.0911900000000004E-2</v>
      </c>
      <c r="AL48">
        <f t="shared" si="6"/>
        <v>17.609753086419751</v>
      </c>
      <c r="AM48">
        <f t="shared" si="7"/>
        <v>1.6095331930740739</v>
      </c>
      <c r="AP48" s="9"/>
      <c r="AQ48" s="21">
        <v>1.54861</v>
      </c>
      <c r="AR48" s="21">
        <v>23.5685</v>
      </c>
      <c r="AS48" s="21">
        <v>-1.1969E-2</v>
      </c>
      <c r="AT48" s="21">
        <v>38</v>
      </c>
      <c r="AU48" s="21">
        <v>1.54816</v>
      </c>
      <c r="AV48">
        <f t="shared" si="8"/>
        <v>14.776543209876543</v>
      </c>
      <c r="AW48">
        <f t="shared" si="9"/>
        <v>22.883102580246913</v>
      </c>
      <c r="AX48" s="9"/>
      <c r="AY48" s="21">
        <v>9.1400099999999998E-2</v>
      </c>
      <c r="AZ48" s="21">
        <v>27.2668</v>
      </c>
      <c r="BA48" s="21">
        <v>-1.43372E-2</v>
      </c>
      <c r="BB48" s="21">
        <v>38</v>
      </c>
      <c r="BC48" s="21">
        <v>9.0911900000000004E-2</v>
      </c>
      <c r="BD48">
        <f t="shared" si="10"/>
        <v>17.700246913580244</v>
      </c>
      <c r="BE48">
        <f t="shared" si="11"/>
        <v>1.6178043379259257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1.54358</v>
      </c>
      <c r="H49" s="21">
        <v>5.4010899999999999</v>
      </c>
      <c r="I49" s="21">
        <v>-1.1715700000000001E-2</v>
      </c>
      <c r="J49" s="21">
        <v>39</v>
      </c>
      <c r="K49" s="21">
        <v>1.5432699999999999</v>
      </c>
      <c r="L49">
        <f t="shared" si="0"/>
        <v>14.463827160493826</v>
      </c>
      <c r="M49">
        <f t="shared" si="1"/>
        <v>22.326074328395059</v>
      </c>
      <c r="N49" s="9"/>
      <c r="O49" s="21">
        <v>9.6435499999999993E-2</v>
      </c>
      <c r="P49" s="21">
        <v>9.0994299999999999</v>
      </c>
      <c r="Q49" s="21">
        <v>-1.4285300000000001E-2</v>
      </c>
      <c r="R49" s="21">
        <v>39</v>
      </c>
      <c r="S49" s="21">
        <v>9.5855700000000002E-2</v>
      </c>
      <c r="T49">
        <f t="shared" si="2"/>
        <v>17.636172839506173</v>
      </c>
      <c r="U49">
        <f t="shared" si="3"/>
        <v>1.7007531458641973</v>
      </c>
      <c r="X49" s="9"/>
      <c r="Y49" s="21">
        <v>1.54358</v>
      </c>
      <c r="Z49" s="21">
        <v>14.4663</v>
      </c>
      <c r="AA49" s="21">
        <v>-1.20178E-2</v>
      </c>
      <c r="AB49" s="21">
        <v>39</v>
      </c>
      <c r="AC49" s="21">
        <v>1.54297</v>
      </c>
      <c r="AD49">
        <f t="shared" si="4"/>
        <v>14.836790123456788</v>
      </c>
      <c r="AE49">
        <f t="shared" si="5"/>
        <v>22.901772498765428</v>
      </c>
      <c r="AF49" s="9"/>
      <c r="AG49" s="21">
        <v>9.6435499999999993E-2</v>
      </c>
      <c r="AH49" s="21">
        <v>18.1646</v>
      </c>
      <c r="AI49" s="21">
        <v>-1.42548E-2</v>
      </c>
      <c r="AJ49" s="21">
        <v>39</v>
      </c>
      <c r="AK49" s="21">
        <v>9.5886200000000005E-2</v>
      </c>
      <c r="AL49">
        <f t="shared" si="6"/>
        <v>17.598518518518517</v>
      </c>
      <c r="AM49">
        <f t="shared" si="7"/>
        <v>1.6971219325925924</v>
      </c>
      <c r="AP49" s="9"/>
      <c r="AQ49" s="21">
        <v>1.54358</v>
      </c>
      <c r="AR49" s="21">
        <v>23.578499999999998</v>
      </c>
      <c r="AS49" s="21">
        <v>-1.20667E-2</v>
      </c>
      <c r="AT49" s="21">
        <v>39</v>
      </c>
      <c r="AU49" s="21">
        <v>1.54236</v>
      </c>
      <c r="AV49">
        <f t="shared" si="8"/>
        <v>14.89716049382716</v>
      </c>
      <c r="AW49">
        <f t="shared" si="9"/>
        <v>22.994958995061726</v>
      </c>
      <c r="AX49" s="9"/>
      <c r="AY49" s="21">
        <v>9.6435499999999993E-2</v>
      </c>
      <c r="AZ49" s="21">
        <v>27.276900000000001</v>
      </c>
      <c r="BA49" s="21">
        <v>-1.4324999999999999E-2</v>
      </c>
      <c r="BB49" s="21">
        <v>39</v>
      </c>
      <c r="BC49" s="21">
        <v>9.5825199999999999E-2</v>
      </c>
      <c r="BD49">
        <f t="shared" si="10"/>
        <v>17.685185185185183</v>
      </c>
      <c r="BE49">
        <f t="shared" si="11"/>
        <v>1.7054796759259256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1.53854</v>
      </c>
      <c r="H50" s="21">
        <v>5.4111599999999997</v>
      </c>
      <c r="I50" s="21">
        <v>-1.1804200000000001E-2</v>
      </c>
      <c r="J50" s="21">
        <v>40</v>
      </c>
      <c r="K50" s="21">
        <v>1.5377799999999999</v>
      </c>
      <c r="L50">
        <f t="shared" si="0"/>
        <v>14.573086419753087</v>
      </c>
      <c r="M50">
        <f t="shared" si="1"/>
        <v>22.421276380246915</v>
      </c>
      <c r="N50" s="9"/>
      <c r="O50" s="21">
        <v>0.10147100000000001</v>
      </c>
      <c r="P50" s="21">
        <v>9.1095000000000006</v>
      </c>
      <c r="Q50" s="21">
        <v>-1.4285300000000001E-2</v>
      </c>
      <c r="R50" s="21">
        <v>40</v>
      </c>
      <c r="S50" s="21">
        <v>0.10101300000000001</v>
      </c>
      <c r="T50">
        <f t="shared" si="2"/>
        <v>17.636172839506173</v>
      </c>
      <c r="U50">
        <f t="shared" si="3"/>
        <v>1.7895600941975309</v>
      </c>
      <c r="X50" s="9"/>
      <c r="Y50" s="21">
        <v>1.53854</v>
      </c>
      <c r="Z50" s="21">
        <v>14.4764</v>
      </c>
      <c r="AA50" s="21">
        <v>-1.2109399999999999E-2</v>
      </c>
      <c r="AB50" s="21">
        <v>40</v>
      </c>
      <c r="AC50" s="21">
        <v>1.53809</v>
      </c>
      <c r="AD50">
        <f t="shared" si="4"/>
        <v>14.949876543209875</v>
      </c>
      <c r="AE50">
        <f t="shared" si="5"/>
        <v>23.000983056790123</v>
      </c>
      <c r="AF50" s="9"/>
      <c r="AG50" s="21">
        <v>0.10147100000000001</v>
      </c>
      <c r="AH50" s="21">
        <v>18.174700000000001</v>
      </c>
      <c r="AI50" s="21">
        <v>-1.4245600000000001E-2</v>
      </c>
      <c r="AJ50" s="21">
        <v>40</v>
      </c>
      <c r="AK50" s="21">
        <v>0.100922</v>
      </c>
      <c r="AL50">
        <f t="shared" si="6"/>
        <v>17.58716049382716</v>
      </c>
      <c r="AM50">
        <f t="shared" si="7"/>
        <v>1.7845867624691358</v>
      </c>
      <c r="AP50" s="9"/>
      <c r="AQ50" s="21">
        <v>1.53854</v>
      </c>
      <c r="AR50" s="21">
        <v>23.5886</v>
      </c>
      <c r="AS50" s="21">
        <v>-1.21552E-2</v>
      </c>
      <c r="AT50" s="21">
        <v>40</v>
      </c>
      <c r="AU50" s="21">
        <v>1.53809</v>
      </c>
      <c r="AV50">
        <f t="shared" si="8"/>
        <v>15.006419753086417</v>
      </c>
      <c r="AW50">
        <f t="shared" si="9"/>
        <v>23.087977046913576</v>
      </c>
      <c r="AX50" s="9"/>
      <c r="AY50" s="21">
        <v>0.10147100000000001</v>
      </c>
      <c r="AZ50" s="21">
        <v>27.286899999999999</v>
      </c>
      <c r="BA50" s="21">
        <v>-1.4324999999999999E-2</v>
      </c>
      <c r="BB50" s="21">
        <v>40</v>
      </c>
      <c r="BC50" s="21">
        <v>0.100952</v>
      </c>
      <c r="BD50">
        <f t="shared" si="10"/>
        <v>17.685185185185183</v>
      </c>
      <c r="BE50">
        <f t="shared" si="11"/>
        <v>1.7945334259259258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1.5335099999999999</v>
      </c>
      <c r="H51" s="21">
        <v>5.4212300000000004</v>
      </c>
      <c r="I51" s="21">
        <v>-1.1892700000000001E-2</v>
      </c>
      <c r="J51" s="21">
        <v>41</v>
      </c>
      <c r="K51" s="21">
        <v>1.5325899999999999</v>
      </c>
      <c r="L51">
        <f t="shared" si="0"/>
        <v>14.682345679012347</v>
      </c>
      <c r="M51">
        <f t="shared" si="1"/>
        <v>22.515523922222222</v>
      </c>
      <c r="N51" s="9"/>
      <c r="O51" s="21">
        <v>0.106506</v>
      </c>
      <c r="P51" s="21">
        <v>9.1195699999999995</v>
      </c>
      <c r="Q51" s="21">
        <v>-1.42822E-2</v>
      </c>
      <c r="R51" s="21">
        <v>41</v>
      </c>
      <c r="S51" s="21">
        <v>0.10592699999999999</v>
      </c>
      <c r="T51">
        <f t="shared" si="2"/>
        <v>17.632345679012342</v>
      </c>
      <c r="U51">
        <f t="shared" si="3"/>
        <v>1.8779506088888887</v>
      </c>
      <c r="X51" s="9"/>
      <c r="Y51" s="21">
        <v>1.5335099999999999</v>
      </c>
      <c r="Z51" s="21">
        <v>14.4864</v>
      </c>
      <c r="AA51" s="21">
        <v>-1.2185700000000001E-2</v>
      </c>
      <c r="AB51" s="21">
        <v>41</v>
      </c>
      <c r="AC51" s="21">
        <v>1.5328999999999999</v>
      </c>
      <c r="AD51">
        <f t="shared" si="4"/>
        <v>15.044074074074075</v>
      </c>
      <c r="AE51">
        <f t="shared" si="5"/>
        <v>23.070238033333332</v>
      </c>
      <c r="AF51" s="9"/>
      <c r="AG51" s="21">
        <v>0.106506</v>
      </c>
      <c r="AH51" s="21">
        <v>18.184799999999999</v>
      </c>
      <c r="AI51" s="21">
        <v>-1.4245600000000001E-2</v>
      </c>
      <c r="AJ51" s="21">
        <v>41</v>
      </c>
      <c r="AK51" s="21">
        <v>0.105988</v>
      </c>
      <c r="AL51">
        <f t="shared" si="6"/>
        <v>17.58716049382716</v>
      </c>
      <c r="AM51">
        <f t="shared" si="7"/>
        <v>1.8731381155555555</v>
      </c>
      <c r="AP51" s="9"/>
      <c r="AQ51" s="21">
        <v>1.5335099999999999</v>
      </c>
      <c r="AR51" s="21">
        <v>23.598700000000001</v>
      </c>
      <c r="AS51" s="21">
        <v>-1.22284E-2</v>
      </c>
      <c r="AT51" s="21">
        <v>41</v>
      </c>
      <c r="AU51" s="21">
        <v>1.5325899999999999</v>
      </c>
      <c r="AV51">
        <f t="shared" si="8"/>
        <v>15.096790123456788</v>
      </c>
      <c r="AW51">
        <f t="shared" si="9"/>
        <v>23.151078622222219</v>
      </c>
      <c r="AX51" s="9"/>
      <c r="AY51" s="21">
        <v>0.106506</v>
      </c>
      <c r="AZ51" s="21">
        <v>27.297000000000001</v>
      </c>
      <c r="BA51" s="21">
        <v>-1.43097E-2</v>
      </c>
      <c r="BB51" s="21">
        <v>41</v>
      </c>
      <c r="BC51" s="21">
        <v>0.105988</v>
      </c>
      <c r="BD51">
        <f t="shared" si="10"/>
        <v>17.666296296296295</v>
      </c>
      <c r="BE51">
        <f t="shared" si="11"/>
        <v>1.8815665533333332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1.52847</v>
      </c>
      <c r="H52" s="21">
        <v>5.4313000000000002</v>
      </c>
      <c r="I52" s="21">
        <v>-1.19659E-2</v>
      </c>
      <c r="J52" s="21">
        <v>42</v>
      </c>
      <c r="K52" s="21">
        <v>1.5280199999999999</v>
      </c>
      <c r="L52">
        <f t="shared" si="0"/>
        <v>14.772716049382716</v>
      </c>
      <c r="M52">
        <f t="shared" si="1"/>
        <v>22.5796533</v>
      </c>
      <c r="N52" s="9"/>
      <c r="O52" s="21">
        <v>0.111542</v>
      </c>
      <c r="P52" s="21">
        <v>9.1296400000000002</v>
      </c>
      <c r="Q52" s="21">
        <v>-1.4285300000000001E-2</v>
      </c>
      <c r="R52" s="21">
        <v>42</v>
      </c>
      <c r="S52" s="21">
        <v>0.11096200000000001</v>
      </c>
      <c r="T52">
        <f t="shared" si="2"/>
        <v>17.636172839506173</v>
      </c>
      <c r="U52">
        <f t="shared" si="3"/>
        <v>1.9671739908641976</v>
      </c>
      <c r="X52" s="9"/>
      <c r="Y52" s="21">
        <v>1.52847</v>
      </c>
      <c r="Z52" s="21">
        <v>14.496499999999999</v>
      </c>
      <c r="AA52" s="21">
        <v>-1.22589E-2</v>
      </c>
      <c r="AB52" s="21">
        <v>42</v>
      </c>
      <c r="AC52" s="21">
        <v>1.5283199999999999</v>
      </c>
      <c r="AD52">
        <f t="shared" si="4"/>
        <v>15.134444444444444</v>
      </c>
      <c r="AE52">
        <f t="shared" si="5"/>
        <v>23.132544299999999</v>
      </c>
      <c r="AF52" s="9"/>
      <c r="AG52" s="21">
        <v>0.111542</v>
      </c>
      <c r="AH52" s="21">
        <v>18.194900000000001</v>
      </c>
      <c r="AI52" s="21">
        <v>-1.4242599999999999E-2</v>
      </c>
      <c r="AJ52" s="21">
        <v>42</v>
      </c>
      <c r="AK52" s="21">
        <v>0.11099199999999999</v>
      </c>
      <c r="AL52">
        <f t="shared" si="6"/>
        <v>17.583456790123453</v>
      </c>
      <c r="AM52">
        <f t="shared" si="7"/>
        <v>1.9612939372839502</v>
      </c>
      <c r="AP52" s="9"/>
      <c r="AQ52" s="21">
        <v>1.52847</v>
      </c>
      <c r="AR52" s="21">
        <v>23.608699999999999</v>
      </c>
      <c r="AS52" s="21">
        <v>-1.23108E-2</v>
      </c>
      <c r="AT52" s="21">
        <v>42</v>
      </c>
      <c r="AU52" s="21">
        <v>1.5277099999999999</v>
      </c>
      <c r="AV52">
        <f t="shared" si="8"/>
        <v>15.198518518518517</v>
      </c>
      <c r="AW52">
        <f t="shared" si="9"/>
        <v>23.230479599999999</v>
      </c>
      <c r="AX52" s="9"/>
      <c r="AY52" s="21">
        <v>0.111542</v>
      </c>
      <c r="AZ52" s="21">
        <v>27.307099999999998</v>
      </c>
      <c r="BA52" s="21">
        <v>-1.4297499999999999E-2</v>
      </c>
      <c r="BB52" s="21">
        <v>42</v>
      </c>
      <c r="BC52" s="21">
        <v>0.11099199999999999</v>
      </c>
      <c r="BD52">
        <f t="shared" si="10"/>
        <v>17.651234567901231</v>
      </c>
      <c r="BE52">
        <f t="shared" si="11"/>
        <v>1.968854006172839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1.5234399999999999</v>
      </c>
      <c r="H53" s="21">
        <v>5.44137</v>
      </c>
      <c r="I53" s="21">
        <v>-1.20331E-2</v>
      </c>
      <c r="J53" s="21">
        <v>43</v>
      </c>
      <c r="K53" s="21">
        <v>1.5228299999999999</v>
      </c>
      <c r="L53">
        <f t="shared" si="0"/>
        <v>14.855679012345679</v>
      </c>
      <c r="M53">
        <f t="shared" si="1"/>
        <v>22.631735634567899</v>
      </c>
      <c r="N53" s="9"/>
      <c r="O53" s="21">
        <v>0.116577</v>
      </c>
      <c r="P53" s="21">
        <v>9.1397099999999991</v>
      </c>
      <c r="Q53" s="21">
        <v>-1.4291399999999999E-2</v>
      </c>
      <c r="R53" s="21">
        <v>43</v>
      </c>
      <c r="S53" s="21">
        <v>0.11602800000000001</v>
      </c>
      <c r="T53">
        <f t="shared" si="2"/>
        <v>17.643703703703704</v>
      </c>
      <c r="U53">
        <f t="shared" si="3"/>
        <v>2.0568500466666668</v>
      </c>
      <c r="X53" s="9"/>
      <c r="Y53" s="21">
        <v>1.5234399999999999</v>
      </c>
      <c r="Z53" s="21">
        <v>14.506600000000001</v>
      </c>
      <c r="AA53" s="21">
        <v>-1.23322E-2</v>
      </c>
      <c r="AB53" s="21">
        <v>43</v>
      </c>
      <c r="AC53" s="21">
        <v>1.5225200000000001</v>
      </c>
      <c r="AD53">
        <f t="shared" si="4"/>
        <v>15.224938271604938</v>
      </c>
      <c r="AE53">
        <f t="shared" si="5"/>
        <v>23.194279960493823</v>
      </c>
      <c r="AF53" s="9"/>
      <c r="AG53" s="21">
        <v>0.116577</v>
      </c>
      <c r="AH53" s="21">
        <v>18.204899999999999</v>
      </c>
      <c r="AI53" s="21">
        <v>-1.42334E-2</v>
      </c>
      <c r="AJ53" s="21">
        <v>43</v>
      </c>
      <c r="AK53" s="21">
        <v>0.11605799999999999</v>
      </c>
      <c r="AL53">
        <f t="shared" si="6"/>
        <v>17.572098765432099</v>
      </c>
      <c r="AM53">
        <f t="shared" si="7"/>
        <v>2.0485025577777778</v>
      </c>
      <c r="AP53" s="9"/>
      <c r="AQ53" s="21">
        <v>1.5234399999999999</v>
      </c>
      <c r="AR53" s="21">
        <v>23.6188</v>
      </c>
      <c r="AS53" s="21">
        <v>-1.2381E-2</v>
      </c>
      <c r="AT53" s="21">
        <v>43</v>
      </c>
      <c r="AU53" s="21">
        <v>1.5222199999999999</v>
      </c>
      <c r="AV53">
        <f t="shared" si="8"/>
        <v>15.285185185185183</v>
      </c>
      <c r="AW53">
        <f t="shared" si="9"/>
        <v>23.286062518518513</v>
      </c>
      <c r="AX53" s="9"/>
      <c r="AY53" s="21">
        <v>0.116577</v>
      </c>
      <c r="AZ53" s="21">
        <v>27.3171</v>
      </c>
      <c r="BA53" s="21">
        <v>-1.4285300000000001E-2</v>
      </c>
      <c r="BB53" s="21">
        <v>43</v>
      </c>
      <c r="BC53" s="21">
        <v>0.116089</v>
      </c>
      <c r="BD53">
        <f t="shared" si="10"/>
        <v>17.636172839506173</v>
      </c>
      <c r="BE53">
        <f t="shared" si="11"/>
        <v>2.0559721211111111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1.5184</v>
      </c>
      <c r="H54" s="21">
        <v>5.4514500000000004</v>
      </c>
      <c r="I54" s="21">
        <v>-1.21002E-2</v>
      </c>
      <c r="J54" s="21">
        <v>44</v>
      </c>
      <c r="K54" s="21">
        <v>1.5173300000000001</v>
      </c>
      <c r="L54">
        <f t="shared" si="0"/>
        <v>14.938518518518517</v>
      </c>
      <c r="M54">
        <f t="shared" si="1"/>
        <v>22.682646518518517</v>
      </c>
      <c r="N54" s="9"/>
      <c r="O54" s="21">
        <v>0.121613</v>
      </c>
      <c r="P54" s="21">
        <v>9.1497799999999998</v>
      </c>
      <c r="Q54" s="21">
        <v>-1.42731E-2</v>
      </c>
      <c r="R54" s="21">
        <v>44</v>
      </c>
      <c r="S54" s="21">
        <v>0.12109399999999999</v>
      </c>
      <c r="T54">
        <f t="shared" si="2"/>
        <v>17.621111111111112</v>
      </c>
      <c r="U54">
        <f t="shared" si="3"/>
        <v>2.1429561855555557</v>
      </c>
      <c r="X54" s="9"/>
      <c r="Y54" s="21">
        <v>1.5184</v>
      </c>
      <c r="Z54" s="21">
        <v>14.5167</v>
      </c>
      <c r="AA54" s="21">
        <v>-1.2417600000000001E-2</v>
      </c>
      <c r="AB54" s="21">
        <v>44</v>
      </c>
      <c r="AC54" s="21">
        <v>1.5179400000000001</v>
      </c>
      <c r="AD54">
        <f t="shared" si="4"/>
        <v>15.330370370370371</v>
      </c>
      <c r="AE54">
        <f t="shared" si="5"/>
        <v>23.277634370370372</v>
      </c>
      <c r="AF54" s="9"/>
      <c r="AG54" s="21">
        <v>0.121613</v>
      </c>
      <c r="AH54" s="21">
        <v>18.215</v>
      </c>
      <c r="AI54" s="21">
        <v>-1.4236499999999999E-2</v>
      </c>
      <c r="AJ54" s="21">
        <v>44</v>
      </c>
      <c r="AK54" s="21">
        <v>0.121124</v>
      </c>
      <c r="AL54">
        <f t="shared" si="6"/>
        <v>17.575925925925926</v>
      </c>
      <c r="AM54">
        <f t="shared" si="7"/>
        <v>2.1374610796296296</v>
      </c>
      <c r="AP54" s="9"/>
      <c r="AQ54" s="21">
        <v>1.5184</v>
      </c>
      <c r="AR54" s="21">
        <v>23.628900000000002</v>
      </c>
      <c r="AS54" s="21">
        <v>-1.2445100000000001E-2</v>
      </c>
      <c r="AT54" s="21">
        <v>44</v>
      </c>
      <c r="AU54" s="21">
        <v>1.5176400000000001</v>
      </c>
      <c r="AV54">
        <f t="shared" si="8"/>
        <v>15.36432098765432</v>
      </c>
      <c r="AW54">
        <f t="shared" si="9"/>
        <v>23.329184987654319</v>
      </c>
      <c r="AX54" s="9"/>
      <c r="AY54" s="21">
        <v>0.121613</v>
      </c>
      <c r="AZ54" s="21">
        <v>27.327200000000001</v>
      </c>
      <c r="BA54" s="21">
        <v>-1.42761E-2</v>
      </c>
      <c r="BB54" s="21">
        <v>44</v>
      </c>
      <c r="BC54" s="21">
        <v>0.121216</v>
      </c>
      <c r="BD54">
        <f t="shared" si="10"/>
        <v>17.624814814814812</v>
      </c>
      <c r="BE54">
        <f t="shared" si="11"/>
        <v>2.1434066040740736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1.5133700000000001</v>
      </c>
      <c r="H55" s="21">
        <v>5.4615200000000002</v>
      </c>
      <c r="I55" s="21">
        <v>-1.21765E-2</v>
      </c>
      <c r="J55" s="21">
        <v>45</v>
      </c>
      <c r="K55" s="21">
        <v>1.5127600000000001</v>
      </c>
      <c r="L55">
        <f t="shared" si="0"/>
        <v>15.032716049382715</v>
      </c>
      <c r="M55">
        <f t="shared" si="1"/>
        <v>22.750061487654321</v>
      </c>
      <c r="N55" s="9"/>
      <c r="O55" s="21">
        <v>0.12664800000000001</v>
      </c>
      <c r="P55" s="21">
        <v>9.1598500000000005</v>
      </c>
      <c r="Q55" s="21">
        <v>-1.427E-2</v>
      </c>
      <c r="R55" s="21">
        <v>45</v>
      </c>
      <c r="S55" s="21">
        <v>0.12615999999999999</v>
      </c>
      <c r="T55">
        <f t="shared" si="2"/>
        <v>17.617283950617285</v>
      </c>
      <c r="U55">
        <f t="shared" si="3"/>
        <v>2.2311937777777779</v>
      </c>
      <c r="X55" s="9"/>
      <c r="Y55" s="21">
        <v>1.5133700000000001</v>
      </c>
      <c r="Z55" s="21">
        <v>14.5267</v>
      </c>
      <c r="AA55" s="21">
        <v>-1.24908E-2</v>
      </c>
      <c r="AB55" s="21">
        <v>45</v>
      </c>
      <c r="AC55" s="21">
        <v>1.5124500000000001</v>
      </c>
      <c r="AD55">
        <f t="shared" si="4"/>
        <v>15.42074074074074</v>
      </c>
      <c r="AE55">
        <f t="shared" si="5"/>
        <v>23.337286414814816</v>
      </c>
      <c r="AF55" s="9"/>
      <c r="AG55" s="21">
        <v>0.12664800000000001</v>
      </c>
      <c r="AH55" s="21">
        <v>18.225100000000001</v>
      </c>
      <c r="AI55" s="21">
        <v>-1.42334E-2</v>
      </c>
      <c r="AJ55" s="21">
        <v>45</v>
      </c>
      <c r="AK55" s="21">
        <v>0.12612899999999999</v>
      </c>
      <c r="AL55">
        <f t="shared" si="6"/>
        <v>17.572098765432099</v>
      </c>
      <c r="AM55">
        <f t="shared" si="7"/>
        <v>2.2254711644444445</v>
      </c>
      <c r="AP55" s="9"/>
      <c r="AQ55" s="21">
        <v>1.5133700000000001</v>
      </c>
      <c r="AR55" s="21">
        <v>23.638999999999999</v>
      </c>
      <c r="AS55" s="21">
        <v>-1.25183E-2</v>
      </c>
      <c r="AT55" s="21">
        <v>45</v>
      </c>
      <c r="AU55" s="21">
        <v>1.5124500000000001</v>
      </c>
      <c r="AV55">
        <f t="shared" si="8"/>
        <v>15.454691358024689</v>
      </c>
      <c r="AW55">
        <f t="shared" si="9"/>
        <v>23.388666260493824</v>
      </c>
      <c r="AX55" s="9"/>
      <c r="AY55" s="21">
        <v>0.12664800000000001</v>
      </c>
      <c r="AZ55" s="21">
        <v>27.337299999999999</v>
      </c>
      <c r="BA55" s="21">
        <v>-1.4285300000000001E-2</v>
      </c>
      <c r="BB55" s="21">
        <v>45</v>
      </c>
      <c r="BC55" s="21">
        <v>0.12612899999999999</v>
      </c>
      <c r="BD55">
        <f t="shared" si="10"/>
        <v>17.636172839506173</v>
      </c>
      <c r="BE55">
        <f t="shared" si="11"/>
        <v>2.2335860177777782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1.5083299999999999</v>
      </c>
      <c r="H56" s="21">
        <v>5.47159</v>
      </c>
      <c r="I56" s="21">
        <v>-1.2240600000000001E-2</v>
      </c>
      <c r="J56" s="21">
        <v>46</v>
      </c>
      <c r="K56" s="21">
        <v>1.5081800000000001</v>
      </c>
      <c r="L56">
        <f t="shared" si="0"/>
        <v>15.111851851851853</v>
      </c>
      <c r="M56">
        <f t="shared" si="1"/>
        <v>22.793659503703704</v>
      </c>
      <c r="N56" s="9"/>
      <c r="O56" s="21">
        <v>0.13168299999999999</v>
      </c>
      <c r="P56" s="21">
        <v>9.1699199999999994</v>
      </c>
      <c r="Q56" s="21">
        <v>-1.4251700000000001E-2</v>
      </c>
      <c r="R56" s="21">
        <v>46</v>
      </c>
      <c r="S56" s="21">
        <v>0.13122600000000001</v>
      </c>
      <c r="T56">
        <f t="shared" si="2"/>
        <v>17.594691358024694</v>
      </c>
      <c r="U56">
        <f t="shared" si="3"/>
        <v>2.3169217420987658</v>
      </c>
      <c r="X56" s="9"/>
      <c r="Y56" s="21">
        <v>1.5083299999999999</v>
      </c>
      <c r="Z56" s="21">
        <v>14.536799999999999</v>
      </c>
      <c r="AA56" s="21">
        <v>-1.2548800000000001E-2</v>
      </c>
      <c r="AB56" s="21">
        <v>46</v>
      </c>
      <c r="AC56" s="21">
        <v>1.5081800000000001</v>
      </c>
      <c r="AD56">
        <f t="shared" si="4"/>
        <v>15.492345679012345</v>
      </c>
      <c r="AE56">
        <f t="shared" si="5"/>
        <v>23.36756975802469</v>
      </c>
      <c r="AF56" s="9"/>
      <c r="AG56" s="21">
        <v>0.13168299999999999</v>
      </c>
      <c r="AH56" s="21">
        <v>18.235099999999999</v>
      </c>
      <c r="AI56" s="21">
        <v>-1.42212E-2</v>
      </c>
      <c r="AJ56" s="21">
        <v>46</v>
      </c>
      <c r="AK56" s="21">
        <v>0.13122600000000001</v>
      </c>
      <c r="AL56">
        <f t="shared" si="6"/>
        <v>17.557037037037034</v>
      </c>
      <c r="AM56">
        <f t="shared" si="7"/>
        <v>2.3119633081481479</v>
      </c>
      <c r="AP56" s="9"/>
      <c r="AQ56" s="21">
        <v>1.5083299999999999</v>
      </c>
      <c r="AR56" s="21">
        <v>23.649000000000001</v>
      </c>
      <c r="AS56" s="21">
        <v>-1.25854E-2</v>
      </c>
      <c r="AT56" s="21">
        <v>46</v>
      </c>
      <c r="AU56" s="21">
        <v>1.50787</v>
      </c>
      <c r="AV56">
        <f t="shared" si="8"/>
        <v>15.53753086419753</v>
      </c>
      <c r="AW56">
        <f t="shared" si="9"/>
        <v>23.43572392839506</v>
      </c>
      <c r="AX56" s="9"/>
      <c r="AY56" s="21">
        <v>0.13168299999999999</v>
      </c>
      <c r="AZ56" s="21">
        <v>27.3474</v>
      </c>
      <c r="BA56" s="21">
        <v>-1.4285300000000001E-2</v>
      </c>
      <c r="BB56" s="21">
        <v>46</v>
      </c>
      <c r="BC56" s="21">
        <v>0.13128699999999999</v>
      </c>
      <c r="BD56">
        <f t="shared" si="10"/>
        <v>17.636172839506173</v>
      </c>
      <c r="BE56">
        <f t="shared" si="11"/>
        <v>2.3223841480246912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1.5033000000000001</v>
      </c>
      <c r="H57" s="21">
        <v>5.4816599999999998</v>
      </c>
      <c r="I57" s="21">
        <v>-1.22925E-2</v>
      </c>
      <c r="J57" s="21">
        <v>47</v>
      </c>
      <c r="K57" s="21">
        <v>1.50299</v>
      </c>
      <c r="L57">
        <f t="shared" si="0"/>
        <v>15.175925925925924</v>
      </c>
      <c r="M57">
        <f t="shared" si="1"/>
        <v>22.813969444444442</v>
      </c>
      <c r="N57" s="9"/>
      <c r="O57" s="21">
        <v>0.13671900000000001</v>
      </c>
      <c r="P57" s="21">
        <v>9.18</v>
      </c>
      <c r="Q57" s="21">
        <v>-1.4242599999999999E-2</v>
      </c>
      <c r="R57" s="21">
        <v>47</v>
      </c>
      <c r="S57" s="21">
        <v>0.13610800000000001</v>
      </c>
      <c r="T57">
        <f t="shared" si="2"/>
        <v>17.583456790123453</v>
      </c>
      <c r="U57">
        <f t="shared" si="3"/>
        <v>2.4039926288888886</v>
      </c>
      <c r="X57" s="9"/>
      <c r="Y57" s="21">
        <v>1.5033000000000001</v>
      </c>
      <c r="Z57" s="21">
        <v>14.546900000000001</v>
      </c>
      <c r="AA57" s="21">
        <v>-1.26129E-2</v>
      </c>
      <c r="AB57" s="21">
        <v>47</v>
      </c>
      <c r="AC57" s="21">
        <v>1.50299</v>
      </c>
      <c r="AD57">
        <f t="shared" si="4"/>
        <v>15.571481481481479</v>
      </c>
      <c r="AE57">
        <f t="shared" si="5"/>
        <v>23.408608111111107</v>
      </c>
      <c r="AF57" s="9"/>
      <c r="AG57" s="21">
        <v>0.13671900000000001</v>
      </c>
      <c r="AH57" s="21">
        <v>18.245200000000001</v>
      </c>
      <c r="AI57" s="21">
        <v>-1.4208999999999999E-2</v>
      </c>
      <c r="AJ57" s="21">
        <v>47</v>
      </c>
      <c r="AK57" s="21">
        <v>0.13616900000000001</v>
      </c>
      <c r="AL57">
        <f t="shared" si="6"/>
        <v>17.541975308641973</v>
      </c>
      <c r="AM57">
        <f t="shared" si="7"/>
        <v>2.3983213222222219</v>
      </c>
      <c r="AP57" s="9"/>
      <c r="AQ57" s="21">
        <v>1.5033000000000001</v>
      </c>
      <c r="AR57" s="21">
        <v>23.659099999999999</v>
      </c>
      <c r="AS57" s="21">
        <v>-1.2643400000000001E-2</v>
      </c>
      <c r="AT57" s="21">
        <v>47</v>
      </c>
      <c r="AU57" s="21">
        <v>1.50238</v>
      </c>
      <c r="AV57">
        <f t="shared" si="8"/>
        <v>15.609135802469137</v>
      </c>
      <c r="AW57">
        <f t="shared" si="9"/>
        <v>23.465213851851853</v>
      </c>
      <c r="AX57" s="9"/>
      <c r="AY57" s="21">
        <v>0.13671900000000001</v>
      </c>
      <c r="AZ57" s="21">
        <v>27.357399999999998</v>
      </c>
      <c r="BA57" s="21">
        <v>-1.42822E-2</v>
      </c>
      <c r="BB57" s="21">
        <v>47</v>
      </c>
      <c r="BC57" s="21">
        <v>0.13619999999999999</v>
      </c>
      <c r="BD57">
        <f t="shared" si="10"/>
        <v>17.632345679012342</v>
      </c>
      <c r="BE57">
        <f t="shared" si="11"/>
        <v>2.4106766688888888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1.4982599999999999</v>
      </c>
      <c r="H58" s="21">
        <v>5.4917299999999996</v>
      </c>
      <c r="I58" s="21">
        <v>-1.23505E-2</v>
      </c>
      <c r="J58" s="21">
        <v>48</v>
      </c>
      <c r="K58" s="21">
        <v>1.49719</v>
      </c>
      <c r="L58">
        <f t="shared" si="0"/>
        <v>15.247530864197531</v>
      </c>
      <c r="M58">
        <f t="shared" si="1"/>
        <v>22.844765592592591</v>
      </c>
      <c r="N58" s="9"/>
      <c r="O58" s="21">
        <v>0.14175399999999999</v>
      </c>
      <c r="P58" s="21">
        <v>9.1900700000000004</v>
      </c>
      <c r="Q58" s="21">
        <v>-1.4224199999999999E-2</v>
      </c>
      <c r="R58" s="21">
        <v>48</v>
      </c>
      <c r="S58" s="21">
        <v>0.141266</v>
      </c>
      <c r="T58">
        <f t="shared" si="2"/>
        <v>17.560740740740737</v>
      </c>
      <c r="U58">
        <f t="shared" si="3"/>
        <v>2.4893052429629625</v>
      </c>
      <c r="X58" s="9"/>
      <c r="Y58" s="21">
        <v>1.4982599999999999</v>
      </c>
      <c r="Z58" s="21">
        <v>14.556900000000001</v>
      </c>
      <c r="AA58" s="21">
        <v>-1.2677000000000001E-2</v>
      </c>
      <c r="AB58" s="21">
        <v>48</v>
      </c>
      <c r="AC58" s="21">
        <v>1.4975000000000001</v>
      </c>
      <c r="AD58">
        <f t="shared" si="4"/>
        <v>15.650617283950618</v>
      </c>
      <c r="AE58">
        <f t="shared" si="5"/>
        <v>23.448693851851854</v>
      </c>
      <c r="AF58" s="9"/>
      <c r="AG58" s="21">
        <v>0.14175399999999999</v>
      </c>
      <c r="AH58" s="21">
        <v>18.255299999999998</v>
      </c>
      <c r="AI58" s="21">
        <v>-1.4196800000000001E-2</v>
      </c>
      <c r="AJ58" s="21">
        <v>48</v>
      </c>
      <c r="AK58" s="21">
        <v>0.14117399999999999</v>
      </c>
      <c r="AL58">
        <f t="shared" si="6"/>
        <v>17.526913580246916</v>
      </c>
      <c r="AM58">
        <f t="shared" si="7"/>
        <v>2.4845101076543212</v>
      </c>
      <c r="AP58" s="9"/>
      <c r="AQ58" s="21">
        <v>1.4982599999999999</v>
      </c>
      <c r="AR58" s="21">
        <v>23.6692</v>
      </c>
      <c r="AS58" s="21">
        <v>-1.26953E-2</v>
      </c>
      <c r="AT58" s="21">
        <v>48</v>
      </c>
      <c r="AU58" s="21">
        <v>1.4981100000000001</v>
      </c>
      <c r="AV58">
        <f t="shared" si="8"/>
        <v>15.67320987654321</v>
      </c>
      <c r="AW58">
        <f t="shared" si="9"/>
        <v>23.482543429629629</v>
      </c>
      <c r="AX58" s="9"/>
      <c r="AY58" s="21">
        <v>0.14175399999999999</v>
      </c>
      <c r="AZ58" s="21">
        <v>27.3675</v>
      </c>
      <c r="BA58" s="21">
        <v>-1.427E-2</v>
      </c>
      <c r="BB58" s="21">
        <v>48</v>
      </c>
      <c r="BC58" s="21">
        <v>0.141296</v>
      </c>
      <c r="BD58">
        <f t="shared" si="10"/>
        <v>17.617283950617285</v>
      </c>
      <c r="BE58">
        <f t="shared" si="11"/>
        <v>2.4973204691358024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1.4932300000000001</v>
      </c>
      <c r="H59" s="21">
        <v>5.5018000000000002</v>
      </c>
      <c r="I59" s="21">
        <v>-1.2411500000000001E-2</v>
      </c>
      <c r="J59" s="21">
        <v>49</v>
      </c>
      <c r="K59" s="21">
        <v>1.49231</v>
      </c>
      <c r="L59">
        <f t="shared" si="0"/>
        <v>15.322839506172839</v>
      </c>
      <c r="M59">
        <f t="shared" si="1"/>
        <v>22.880523635802469</v>
      </c>
      <c r="N59" s="9"/>
      <c r="O59" s="21">
        <v>0.14679</v>
      </c>
      <c r="P59" s="21">
        <v>9.2001399999999993</v>
      </c>
      <c r="Q59" s="21">
        <v>-1.4218099999999999E-2</v>
      </c>
      <c r="R59" s="21">
        <v>49</v>
      </c>
      <c r="S59" s="21">
        <v>0.14624000000000001</v>
      </c>
      <c r="T59">
        <f t="shared" si="2"/>
        <v>17.553209876543207</v>
      </c>
      <c r="U59">
        <f t="shared" si="3"/>
        <v>2.5766356777777775</v>
      </c>
      <c r="X59" s="9"/>
      <c r="Y59" s="21">
        <v>1.4932300000000001</v>
      </c>
      <c r="Z59" s="21">
        <v>14.567</v>
      </c>
      <c r="AA59" s="21">
        <v>-1.2737999999999999E-2</v>
      </c>
      <c r="AB59" s="21">
        <v>49</v>
      </c>
      <c r="AC59" s="21">
        <v>1.49231</v>
      </c>
      <c r="AD59">
        <f t="shared" si="4"/>
        <v>15.725925925925925</v>
      </c>
      <c r="AE59">
        <f t="shared" si="5"/>
        <v>23.482424370370371</v>
      </c>
      <c r="AF59" s="9"/>
      <c r="AG59" s="21">
        <v>0.14679</v>
      </c>
      <c r="AH59" s="21">
        <v>18.2654</v>
      </c>
      <c r="AI59" s="21">
        <v>-1.41937E-2</v>
      </c>
      <c r="AJ59" s="21">
        <v>49</v>
      </c>
      <c r="AK59" s="21">
        <v>0.14624000000000001</v>
      </c>
      <c r="AL59">
        <f t="shared" si="6"/>
        <v>17.523086419753085</v>
      </c>
      <c r="AM59">
        <f t="shared" si="7"/>
        <v>2.5722138555555554</v>
      </c>
      <c r="AP59" s="9"/>
      <c r="AQ59" s="21">
        <v>1.4932300000000001</v>
      </c>
      <c r="AR59" s="21">
        <v>23.679200000000002</v>
      </c>
      <c r="AS59" s="21">
        <v>-1.27563E-2</v>
      </c>
      <c r="AT59" s="21">
        <v>49</v>
      </c>
      <c r="AU59" s="21">
        <v>1.49231</v>
      </c>
      <c r="AV59">
        <f t="shared" si="8"/>
        <v>15.748518518518516</v>
      </c>
      <c r="AW59">
        <f t="shared" si="9"/>
        <v>23.516160307407404</v>
      </c>
      <c r="AX59" s="9"/>
      <c r="AY59" s="21">
        <v>0.14679</v>
      </c>
      <c r="AZ59" s="21">
        <v>27.377600000000001</v>
      </c>
      <c r="BA59" s="21">
        <v>-1.42731E-2</v>
      </c>
      <c r="BB59" s="21">
        <v>49</v>
      </c>
      <c r="BC59" s="21">
        <v>0.14630099999999999</v>
      </c>
      <c r="BD59">
        <f t="shared" si="10"/>
        <v>17.621111111111112</v>
      </c>
      <c r="BE59">
        <f t="shared" si="11"/>
        <v>2.5866029000000004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1.4881899999999999</v>
      </c>
      <c r="H60" s="21">
        <v>5.51187</v>
      </c>
      <c r="I60" s="21">
        <v>-1.24756E-2</v>
      </c>
      <c r="J60" s="21">
        <v>50</v>
      </c>
      <c r="K60" s="21">
        <v>1.48773</v>
      </c>
      <c r="L60">
        <f t="shared" si="0"/>
        <v>15.401975308641974</v>
      </c>
      <c r="M60">
        <f t="shared" si="1"/>
        <v>22.921065634567899</v>
      </c>
      <c r="N60" s="9"/>
      <c r="O60" s="21">
        <v>0.15182499999999999</v>
      </c>
      <c r="P60" s="21">
        <v>9.21021</v>
      </c>
      <c r="Q60" s="21">
        <v>-1.42212E-2</v>
      </c>
      <c r="R60" s="21">
        <v>50</v>
      </c>
      <c r="S60" s="21">
        <v>0.15124499999999999</v>
      </c>
      <c r="T60">
        <f t="shared" si="2"/>
        <v>17.557037037037034</v>
      </c>
      <c r="U60">
        <f t="shared" si="3"/>
        <v>2.6655971481481475</v>
      </c>
      <c r="X60" s="9"/>
      <c r="Y60" s="21">
        <v>1.4881899999999999</v>
      </c>
      <c r="Z60" s="21">
        <v>14.5771</v>
      </c>
      <c r="AA60" s="21">
        <v>-1.2799100000000001E-2</v>
      </c>
      <c r="AB60" s="21">
        <v>50</v>
      </c>
      <c r="AC60" s="21">
        <v>1.48712</v>
      </c>
      <c r="AD60">
        <f t="shared" si="4"/>
        <v>15.801358024691359</v>
      </c>
      <c r="AE60">
        <f t="shared" si="5"/>
        <v>23.51542299876543</v>
      </c>
      <c r="AF60" s="9"/>
      <c r="AG60" s="21">
        <v>0.15182499999999999</v>
      </c>
      <c r="AH60" s="21">
        <v>18.275400000000001</v>
      </c>
      <c r="AI60" s="21">
        <v>-1.41998E-2</v>
      </c>
      <c r="AJ60" s="21">
        <v>50</v>
      </c>
      <c r="AK60" s="21">
        <v>0.151367</v>
      </c>
      <c r="AL60">
        <f t="shared" si="6"/>
        <v>17.530617283950615</v>
      </c>
      <c r="AM60">
        <f t="shared" si="7"/>
        <v>2.6615859691358019</v>
      </c>
      <c r="AP60" s="9"/>
      <c r="AQ60" s="21">
        <v>1.4881899999999999</v>
      </c>
      <c r="AR60" s="21">
        <v>23.689299999999999</v>
      </c>
      <c r="AS60" s="21">
        <v>-1.2811299999999999E-2</v>
      </c>
      <c r="AT60" s="21">
        <v>50</v>
      </c>
      <c r="AU60" s="21">
        <v>1.48773</v>
      </c>
      <c r="AV60">
        <f t="shared" si="8"/>
        <v>15.816419753086418</v>
      </c>
      <c r="AW60">
        <f t="shared" si="9"/>
        <v>23.537837712345674</v>
      </c>
      <c r="AX60" s="9"/>
      <c r="AY60" s="21">
        <v>0.15182499999999999</v>
      </c>
      <c r="AZ60" s="21">
        <v>27.387599999999999</v>
      </c>
      <c r="BA60" s="21">
        <v>-1.42761E-2</v>
      </c>
      <c r="BB60" s="21">
        <v>50</v>
      </c>
      <c r="BC60" s="21">
        <v>0.151398</v>
      </c>
      <c r="BD60">
        <f t="shared" si="10"/>
        <v>17.624814814814812</v>
      </c>
      <c r="BE60">
        <f t="shared" si="11"/>
        <v>2.6758875092592587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1.48315</v>
      </c>
      <c r="H61" s="21">
        <v>5.5219399999999998</v>
      </c>
      <c r="I61" s="21">
        <v>-1.2539700000000001E-2</v>
      </c>
      <c r="J61" s="21">
        <v>51</v>
      </c>
      <c r="K61" s="21">
        <v>1.48193</v>
      </c>
      <c r="L61">
        <f t="shared" si="0"/>
        <v>15.48111111111111</v>
      </c>
      <c r="M61">
        <f t="shared" si="1"/>
        <v>22.960809944444442</v>
      </c>
      <c r="N61" s="9"/>
      <c r="O61" s="21">
        <v>0.15686</v>
      </c>
      <c r="P61" s="21">
        <v>9.2202800000000007</v>
      </c>
      <c r="Q61" s="21">
        <v>-1.42303E-2</v>
      </c>
      <c r="R61" s="21">
        <v>51</v>
      </c>
      <c r="S61" s="21">
        <v>0.15640299999999999</v>
      </c>
      <c r="T61">
        <f t="shared" si="2"/>
        <v>17.568271604938271</v>
      </c>
      <c r="U61">
        <f t="shared" si="3"/>
        <v>2.7557590839506174</v>
      </c>
      <c r="X61" s="9"/>
      <c r="Y61" s="21">
        <v>1.48315</v>
      </c>
      <c r="Z61" s="21">
        <v>14.587199999999999</v>
      </c>
      <c r="AA61" s="21">
        <v>-1.2851E-2</v>
      </c>
      <c r="AB61" s="21">
        <v>51</v>
      </c>
      <c r="AC61" s="21">
        <v>1.48285</v>
      </c>
      <c r="AD61">
        <f t="shared" si="4"/>
        <v>15.865432098765432</v>
      </c>
      <c r="AE61">
        <f t="shared" si="5"/>
        <v>23.530815617283949</v>
      </c>
      <c r="AF61" s="9"/>
      <c r="AG61" s="21">
        <v>0.15686</v>
      </c>
      <c r="AH61" s="21">
        <v>18.285499999999999</v>
      </c>
      <c r="AI61" s="21">
        <v>-1.42059E-2</v>
      </c>
      <c r="AJ61" s="21">
        <v>51</v>
      </c>
      <c r="AK61" s="21">
        <v>0.15634200000000001</v>
      </c>
      <c r="AL61">
        <f t="shared" si="6"/>
        <v>17.538148148148146</v>
      </c>
      <c r="AM61">
        <f t="shared" si="7"/>
        <v>2.7510339185185182</v>
      </c>
      <c r="AP61" s="9"/>
      <c r="AQ61" s="21">
        <v>1.48315</v>
      </c>
      <c r="AR61" s="21">
        <v>23.699400000000001</v>
      </c>
      <c r="AS61" s="21">
        <v>-1.2854000000000001E-2</v>
      </c>
      <c r="AT61" s="21">
        <v>51</v>
      </c>
      <c r="AU61" s="21">
        <v>1.48254</v>
      </c>
      <c r="AV61">
        <f t="shared" si="8"/>
        <v>15.869135802469136</v>
      </c>
      <c r="AW61">
        <f t="shared" si="9"/>
        <v>23.5363087654321</v>
      </c>
      <c r="AX61" s="9"/>
      <c r="AY61" s="21">
        <v>0.15686</v>
      </c>
      <c r="AZ61" s="21">
        <v>27.3977</v>
      </c>
      <c r="BA61" s="21">
        <v>-1.42761E-2</v>
      </c>
      <c r="BB61" s="21">
        <v>51</v>
      </c>
      <c r="BC61" s="21">
        <v>0.15631100000000001</v>
      </c>
      <c r="BD61">
        <f t="shared" si="10"/>
        <v>17.624814814814812</v>
      </c>
      <c r="BE61">
        <f t="shared" si="11"/>
        <v>2.7646284518518516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1.4781200000000001</v>
      </c>
      <c r="H62" s="21">
        <v>5.5320099999999996</v>
      </c>
      <c r="I62" s="21">
        <v>-1.2600699999999999E-2</v>
      </c>
      <c r="J62" s="21">
        <v>52</v>
      </c>
      <c r="K62" s="21">
        <v>1.47736</v>
      </c>
      <c r="L62">
        <f t="shared" si="0"/>
        <v>15.556419753086418</v>
      </c>
      <c r="M62">
        <f t="shared" si="1"/>
        <v>22.994255165432097</v>
      </c>
      <c r="N62" s="9"/>
      <c r="O62" s="21">
        <v>0.16189600000000001</v>
      </c>
      <c r="P62" s="21">
        <v>9.2303499999999996</v>
      </c>
      <c r="Q62" s="21">
        <v>-1.42395E-2</v>
      </c>
      <c r="R62" s="21">
        <v>52</v>
      </c>
      <c r="S62" s="21">
        <v>0.16137699999999999</v>
      </c>
      <c r="T62">
        <f t="shared" si="2"/>
        <v>17.579629629629629</v>
      </c>
      <c r="U62">
        <f t="shared" si="3"/>
        <v>2.8460717185185187</v>
      </c>
      <c r="X62" s="9"/>
      <c r="Y62" s="21">
        <v>1.4781200000000001</v>
      </c>
      <c r="Z62" s="21">
        <v>14.597200000000001</v>
      </c>
      <c r="AA62" s="21">
        <v>-1.29059E-2</v>
      </c>
      <c r="AB62" s="21">
        <v>52</v>
      </c>
      <c r="AC62" s="21">
        <v>1.47797</v>
      </c>
      <c r="AD62">
        <f t="shared" si="4"/>
        <v>15.933209876543209</v>
      </c>
      <c r="AE62">
        <f t="shared" si="5"/>
        <v>23.551196182716051</v>
      </c>
      <c r="AF62" s="9"/>
      <c r="AG62" s="21">
        <v>0.16189600000000001</v>
      </c>
      <c r="AH62" s="21">
        <v>18.2956</v>
      </c>
      <c r="AI62" s="21">
        <v>-1.4212000000000001E-2</v>
      </c>
      <c r="AJ62" s="21">
        <v>52</v>
      </c>
      <c r="AK62" s="21">
        <v>0.16131599999999999</v>
      </c>
      <c r="AL62">
        <f t="shared" si="6"/>
        <v>17.54567901234568</v>
      </c>
      <c r="AM62">
        <f t="shared" si="7"/>
        <v>2.8405752493827165</v>
      </c>
      <c r="AP62" s="9"/>
      <c r="AQ62" s="21">
        <v>1.4781200000000001</v>
      </c>
      <c r="AR62" s="21">
        <v>23.709399999999999</v>
      </c>
      <c r="AS62" s="21">
        <v>-1.2899799999999999E-2</v>
      </c>
      <c r="AT62" s="21">
        <v>52</v>
      </c>
      <c r="AU62" s="21">
        <v>1.47736</v>
      </c>
      <c r="AV62">
        <f t="shared" si="8"/>
        <v>15.925679012345679</v>
      </c>
      <c r="AW62">
        <f t="shared" si="9"/>
        <v>23.540064661728398</v>
      </c>
      <c r="AX62" s="9"/>
      <c r="AY62" s="21">
        <v>0.16189600000000001</v>
      </c>
      <c r="AZ62" s="21">
        <v>27.407800000000002</v>
      </c>
      <c r="BA62" s="21">
        <v>-1.4285300000000001E-2</v>
      </c>
      <c r="BB62" s="21">
        <v>52</v>
      </c>
      <c r="BC62" s="21">
        <v>0.161438</v>
      </c>
      <c r="BD62">
        <f t="shared" si="10"/>
        <v>17.636172839506173</v>
      </c>
      <c r="BE62">
        <f t="shared" si="11"/>
        <v>2.8552258380246918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1.4730799999999999</v>
      </c>
      <c r="H63" s="21">
        <v>5.5420800000000003</v>
      </c>
      <c r="I63" s="21">
        <v>-1.2643400000000001E-2</v>
      </c>
      <c r="J63" s="21">
        <v>53</v>
      </c>
      <c r="K63" s="21">
        <v>1.4730799999999999</v>
      </c>
      <c r="L63">
        <f t="shared" si="0"/>
        <v>15.609135802469137</v>
      </c>
      <c r="M63">
        <f t="shared" si="1"/>
        <v>22.993505767901237</v>
      </c>
      <c r="N63" s="9"/>
      <c r="O63" s="21">
        <v>0.166931</v>
      </c>
      <c r="P63" s="21">
        <v>9.2404200000000003</v>
      </c>
      <c r="Q63" s="21">
        <v>-1.42303E-2</v>
      </c>
      <c r="R63" s="21">
        <v>53</v>
      </c>
      <c r="S63" s="21">
        <v>0.166351</v>
      </c>
      <c r="T63">
        <f t="shared" si="2"/>
        <v>17.568271604938271</v>
      </c>
      <c r="U63">
        <f t="shared" si="3"/>
        <v>2.9326891472839507</v>
      </c>
      <c r="X63" s="9"/>
      <c r="Y63" s="21">
        <v>1.4730799999999999</v>
      </c>
      <c r="Z63" s="21">
        <v>14.6073</v>
      </c>
      <c r="AA63" s="21">
        <v>-1.29547E-2</v>
      </c>
      <c r="AB63" s="21">
        <v>53</v>
      </c>
      <c r="AC63" s="21">
        <v>1.47278</v>
      </c>
      <c r="AD63">
        <f t="shared" si="4"/>
        <v>15.993456790123457</v>
      </c>
      <c r="AE63">
        <f t="shared" si="5"/>
        <v>23.55964132839506</v>
      </c>
      <c r="AF63" s="9"/>
      <c r="AG63" s="21">
        <v>0.166931</v>
      </c>
      <c r="AH63" s="21">
        <v>18.305599999999998</v>
      </c>
      <c r="AI63" s="21">
        <v>-1.4208999999999999E-2</v>
      </c>
      <c r="AJ63" s="21">
        <v>53</v>
      </c>
      <c r="AK63" s="21">
        <v>0.166412</v>
      </c>
      <c r="AL63">
        <f t="shared" si="6"/>
        <v>17.541975308641973</v>
      </c>
      <c r="AM63">
        <f t="shared" si="7"/>
        <v>2.9282994802469133</v>
      </c>
      <c r="AP63" s="9"/>
      <c r="AQ63" s="21">
        <v>1.4730799999999999</v>
      </c>
      <c r="AR63" s="21">
        <v>23.7195</v>
      </c>
      <c r="AS63" s="21">
        <v>-1.2948599999999999E-2</v>
      </c>
      <c r="AT63" s="21">
        <v>53</v>
      </c>
      <c r="AU63" s="21">
        <v>1.47278</v>
      </c>
      <c r="AV63">
        <f t="shared" si="8"/>
        <v>15.985925925925924</v>
      </c>
      <c r="AW63">
        <f t="shared" si="9"/>
        <v>23.548547762962961</v>
      </c>
      <c r="AX63" s="9"/>
      <c r="AY63" s="21">
        <v>0.166931</v>
      </c>
      <c r="AZ63" s="21">
        <v>27.417899999999999</v>
      </c>
      <c r="BA63" s="21">
        <v>-1.42883E-2</v>
      </c>
      <c r="BB63" s="21">
        <v>53</v>
      </c>
      <c r="BC63" s="21">
        <v>0.16644300000000001</v>
      </c>
      <c r="BD63">
        <f t="shared" si="10"/>
        <v>17.639876543209876</v>
      </c>
      <c r="BE63">
        <f t="shared" si="11"/>
        <v>2.9446422312345679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1.4680500000000001</v>
      </c>
      <c r="H64" s="21">
        <v>5.5521599999999998</v>
      </c>
      <c r="I64" s="21">
        <v>-1.26953E-2</v>
      </c>
      <c r="J64" s="21">
        <v>54</v>
      </c>
      <c r="K64" s="21">
        <v>1.46759</v>
      </c>
      <c r="L64">
        <f t="shared" si="0"/>
        <v>15.67320987654321</v>
      </c>
      <c r="M64">
        <f t="shared" si="1"/>
        <v>23.009055759259258</v>
      </c>
      <c r="N64" s="9"/>
      <c r="O64" s="21">
        <v>0.17196700000000001</v>
      </c>
      <c r="P64" s="21">
        <v>9.2504899999999992</v>
      </c>
      <c r="Q64" s="21">
        <v>-1.42273E-2</v>
      </c>
      <c r="R64" s="21">
        <v>54</v>
      </c>
      <c r="S64" s="21">
        <v>0.17144799999999999</v>
      </c>
      <c r="T64">
        <f t="shared" si="2"/>
        <v>17.564567901234565</v>
      </c>
      <c r="U64">
        <f t="shared" si="3"/>
        <v>3.0205260482716043</v>
      </c>
      <c r="X64" s="9"/>
      <c r="Y64" s="21">
        <v>1.4680500000000001</v>
      </c>
      <c r="Z64" s="21">
        <v>14.6174</v>
      </c>
      <c r="AA64" s="21">
        <v>-1.30066E-2</v>
      </c>
      <c r="AB64" s="21">
        <v>54</v>
      </c>
      <c r="AC64" s="21">
        <v>1.4679</v>
      </c>
      <c r="AD64">
        <f t="shared" si="4"/>
        <v>16.057530864197531</v>
      </c>
      <c r="AE64">
        <f t="shared" si="5"/>
        <v>23.573258185185185</v>
      </c>
      <c r="AF64" s="9"/>
      <c r="AG64" s="21">
        <v>0.17196700000000001</v>
      </c>
      <c r="AH64" s="21">
        <v>18.3157</v>
      </c>
      <c r="AI64" s="21">
        <v>-1.42059E-2</v>
      </c>
      <c r="AJ64" s="21">
        <v>54</v>
      </c>
      <c r="AK64" s="21">
        <v>0.17138700000000001</v>
      </c>
      <c r="AL64">
        <f t="shared" si="6"/>
        <v>17.538148148148146</v>
      </c>
      <c r="AM64">
        <f t="shared" si="7"/>
        <v>3.0159827225925921</v>
      </c>
      <c r="AP64" s="9"/>
      <c r="AQ64" s="21">
        <v>1.4680500000000001</v>
      </c>
      <c r="AR64" s="21">
        <v>23.729600000000001</v>
      </c>
      <c r="AS64" s="21">
        <v>-1.2988299999999999E-2</v>
      </c>
      <c r="AT64" s="21">
        <v>54</v>
      </c>
      <c r="AU64" s="21">
        <v>1.46759</v>
      </c>
      <c r="AV64">
        <f t="shared" si="8"/>
        <v>16.034938271604936</v>
      </c>
      <c r="AW64">
        <f t="shared" si="9"/>
        <v>23.540091129629626</v>
      </c>
      <c r="AX64" s="9"/>
      <c r="AY64" s="21">
        <v>0.17196700000000001</v>
      </c>
      <c r="AZ64" s="21">
        <v>27.427900000000001</v>
      </c>
      <c r="BA64" s="21">
        <v>-1.4294400000000001E-2</v>
      </c>
      <c r="BB64" s="21">
        <v>54</v>
      </c>
      <c r="BC64" s="21">
        <v>0.17147799999999999</v>
      </c>
      <c r="BD64">
        <f t="shared" si="10"/>
        <v>17.647407407407407</v>
      </c>
      <c r="BE64">
        <f t="shared" si="11"/>
        <v>3.0347717096296298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1.4630099999999999</v>
      </c>
      <c r="H65" s="21">
        <v>5.5622299999999996</v>
      </c>
      <c r="I65" s="21">
        <v>-1.27411E-2</v>
      </c>
      <c r="J65" s="21">
        <v>55</v>
      </c>
      <c r="K65" s="21">
        <v>1.4617899999999999</v>
      </c>
      <c r="L65">
        <f t="shared" si="0"/>
        <v>15.729753086419752</v>
      </c>
      <c r="M65">
        <f t="shared" si="1"/>
        <v>23.012786062962959</v>
      </c>
      <c r="N65" s="9"/>
      <c r="O65" s="21">
        <v>0.17700199999999999</v>
      </c>
      <c r="P65" s="21">
        <v>9.2605599999999999</v>
      </c>
      <c r="Q65" s="21">
        <v>-1.42303E-2</v>
      </c>
      <c r="R65" s="21">
        <v>55</v>
      </c>
      <c r="S65" s="21">
        <v>0.176453</v>
      </c>
      <c r="T65">
        <f t="shared" si="2"/>
        <v>17.568271604938271</v>
      </c>
      <c r="U65">
        <f t="shared" si="3"/>
        <v>3.109619210617284</v>
      </c>
      <c r="X65" s="9"/>
      <c r="Y65" s="21">
        <v>1.4630099999999999</v>
      </c>
      <c r="Z65" s="21">
        <v>14.6274</v>
      </c>
      <c r="AA65" s="21">
        <v>-1.3058500000000001E-2</v>
      </c>
      <c r="AB65" s="21">
        <v>55</v>
      </c>
      <c r="AC65" s="21">
        <v>1.46271</v>
      </c>
      <c r="AD65">
        <f t="shared" si="4"/>
        <v>16.121604938271602</v>
      </c>
      <c r="AE65">
        <f t="shared" si="5"/>
        <v>23.586069240740734</v>
      </c>
      <c r="AF65" s="9"/>
      <c r="AG65" s="21">
        <v>0.17700199999999999</v>
      </c>
      <c r="AH65" s="21">
        <v>18.325800000000001</v>
      </c>
      <c r="AI65" s="21">
        <v>-1.4208999999999999E-2</v>
      </c>
      <c r="AJ65" s="21">
        <v>55</v>
      </c>
      <c r="AK65" s="21">
        <v>0.176422</v>
      </c>
      <c r="AL65">
        <f t="shared" si="6"/>
        <v>17.541975308641973</v>
      </c>
      <c r="AM65">
        <f t="shared" si="7"/>
        <v>3.1049647135802463</v>
      </c>
      <c r="AP65" s="9"/>
      <c r="AQ65" s="21">
        <v>1.4630099999999999</v>
      </c>
      <c r="AR65" s="21">
        <v>23.739699999999999</v>
      </c>
      <c r="AS65" s="21">
        <v>-1.3030999999999999E-2</v>
      </c>
      <c r="AT65" s="21">
        <v>55</v>
      </c>
      <c r="AU65" s="21">
        <v>1.46271</v>
      </c>
      <c r="AV65">
        <f t="shared" si="8"/>
        <v>16.087654320987653</v>
      </c>
      <c r="AW65">
        <f t="shared" si="9"/>
        <v>23.536399148148146</v>
      </c>
      <c r="AX65" s="9"/>
      <c r="AY65" s="21">
        <v>0.17700199999999999</v>
      </c>
      <c r="AZ65" s="21">
        <v>27.437999999999999</v>
      </c>
      <c r="BA65" s="21">
        <v>-1.42822E-2</v>
      </c>
      <c r="BB65" s="21">
        <v>55</v>
      </c>
      <c r="BC65" s="21">
        <v>0.176514</v>
      </c>
      <c r="BD65">
        <f t="shared" si="10"/>
        <v>17.632345679012342</v>
      </c>
      <c r="BE65">
        <f t="shared" si="11"/>
        <v>3.1209604498765424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1.4579800000000001</v>
      </c>
      <c r="H66" s="21">
        <v>5.5723000000000003</v>
      </c>
      <c r="I66" s="21">
        <v>-1.2777699999999999E-2</v>
      </c>
      <c r="J66" s="21">
        <v>56</v>
      </c>
      <c r="K66" s="21">
        <v>1.4578199999999999</v>
      </c>
      <c r="L66">
        <f t="shared" si="0"/>
        <v>15.774938271604935</v>
      </c>
      <c r="M66">
        <f t="shared" si="1"/>
        <v>22.999544501234563</v>
      </c>
      <c r="N66" s="9"/>
      <c r="O66" s="21">
        <v>0.182037</v>
      </c>
      <c r="P66" s="21">
        <v>9.2706300000000006</v>
      </c>
      <c r="Q66" s="21">
        <v>-1.42303E-2</v>
      </c>
      <c r="R66" s="21">
        <v>56</v>
      </c>
      <c r="S66" s="21">
        <v>0.18145800000000001</v>
      </c>
      <c r="T66">
        <f t="shared" si="2"/>
        <v>17.568271604938271</v>
      </c>
      <c r="U66">
        <f t="shared" si="3"/>
        <v>3.1980754581481481</v>
      </c>
      <c r="X66" s="9"/>
      <c r="Y66" s="21">
        <v>1.4579800000000001</v>
      </c>
      <c r="Z66" s="21">
        <v>14.637499999999999</v>
      </c>
      <c r="AA66" s="21">
        <v>-1.31042E-2</v>
      </c>
      <c r="AB66" s="21">
        <v>56</v>
      </c>
      <c r="AC66" s="21">
        <v>1.4569099999999999</v>
      </c>
      <c r="AD66">
        <f t="shared" si="4"/>
        <v>16.178024691358022</v>
      </c>
      <c r="AE66">
        <f t="shared" si="5"/>
        <v>23.587236439506171</v>
      </c>
      <c r="AF66" s="9"/>
      <c r="AG66" s="21">
        <v>0.182037</v>
      </c>
      <c r="AH66" s="21">
        <v>18.335799999999999</v>
      </c>
      <c r="AI66" s="21">
        <v>-1.42059E-2</v>
      </c>
      <c r="AJ66" s="21">
        <v>56</v>
      </c>
      <c r="AK66" s="21">
        <v>0.18148800000000001</v>
      </c>
      <c r="AL66">
        <f t="shared" si="6"/>
        <v>17.538148148148146</v>
      </c>
      <c r="AM66">
        <f t="shared" si="7"/>
        <v>3.1925918744444441</v>
      </c>
      <c r="AP66" s="9"/>
      <c r="AQ66" s="21">
        <v>1.4579800000000001</v>
      </c>
      <c r="AR66" s="21">
        <v>23.749700000000001</v>
      </c>
      <c r="AS66" s="21">
        <v>-1.3070699999999999E-2</v>
      </c>
      <c r="AT66" s="21">
        <v>56</v>
      </c>
      <c r="AU66" s="21">
        <v>1.4572099999999999</v>
      </c>
      <c r="AV66">
        <f t="shared" si="8"/>
        <v>16.136666666666663</v>
      </c>
      <c r="AW66">
        <f t="shared" si="9"/>
        <v>23.526937266666664</v>
      </c>
      <c r="AX66" s="9"/>
      <c r="AY66" s="21">
        <v>0.182037</v>
      </c>
      <c r="AZ66" s="21">
        <v>27.4481</v>
      </c>
      <c r="BA66" s="21">
        <v>-1.4291399999999999E-2</v>
      </c>
      <c r="BB66" s="21">
        <v>56</v>
      </c>
      <c r="BC66" s="21">
        <v>0.18145800000000001</v>
      </c>
      <c r="BD66">
        <f t="shared" si="10"/>
        <v>17.643703703703704</v>
      </c>
      <c r="BE66">
        <f t="shared" si="11"/>
        <v>3.2118068911111113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1.4529399999999999</v>
      </c>
      <c r="H67" s="21">
        <v>5.5823700000000001</v>
      </c>
      <c r="I67" s="21">
        <v>-1.28174E-2</v>
      </c>
      <c r="J67" s="21">
        <v>57</v>
      </c>
      <c r="K67" s="21">
        <v>1.4517199999999999</v>
      </c>
      <c r="L67">
        <f t="shared" si="0"/>
        <v>15.82395061728395</v>
      </c>
      <c r="M67">
        <f t="shared" si="1"/>
        <v>22.99125080987654</v>
      </c>
      <c r="N67" s="9"/>
      <c r="O67" s="21">
        <v>0.18707299999999999</v>
      </c>
      <c r="P67" s="21">
        <v>9.2807099999999991</v>
      </c>
      <c r="Q67" s="21">
        <v>-1.42273E-2</v>
      </c>
      <c r="R67" s="21">
        <v>57</v>
      </c>
      <c r="S67" s="21">
        <v>0.186615</v>
      </c>
      <c r="T67">
        <f t="shared" si="2"/>
        <v>17.564567901234565</v>
      </c>
      <c r="U67">
        <f t="shared" si="3"/>
        <v>3.2858564109876536</v>
      </c>
      <c r="X67" s="9"/>
      <c r="Y67" s="21">
        <v>1.4529399999999999</v>
      </c>
      <c r="Z67" s="21">
        <v>14.647600000000001</v>
      </c>
      <c r="AA67" s="21">
        <v>-1.31561E-2</v>
      </c>
      <c r="AB67" s="21">
        <v>57</v>
      </c>
      <c r="AC67" s="21">
        <v>1.4529399999999999</v>
      </c>
      <c r="AD67">
        <f t="shared" si="4"/>
        <v>16.2420987654321</v>
      </c>
      <c r="AE67">
        <f t="shared" si="5"/>
        <v>23.598794980246915</v>
      </c>
      <c r="AF67" s="9"/>
      <c r="AG67" s="21">
        <v>0.18707299999999999</v>
      </c>
      <c r="AH67" s="21">
        <v>18.3459</v>
      </c>
      <c r="AI67" s="21">
        <v>-1.4208999999999999E-2</v>
      </c>
      <c r="AJ67" s="21">
        <v>57</v>
      </c>
      <c r="AK67" s="21">
        <v>0.186584</v>
      </c>
      <c r="AL67">
        <f t="shared" si="6"/>
        <v>17.541975308641973</v>
      </c>
      <c r="AM67">
        <f t="shared" si="7"/>
        <v>3.2816299469135797</v>
      </c>
      <c r="AP67" s="9"/>
      <c r="AQ67" s="21">
        <v>1.4529399999999999</v>
      </c>
      <c r="AR67" s="21">
        <v>23.759799999999998</v>
      </c>
      <c r="AS67" s="21">
        <v>-1.31165E-2</v>
      </c>
      <c r="AT67" s="21">
        <v>57</v>
      </c>
      <c r="AU67" s="21">
        <v>1.4520299999999999</v>
      </c>
      <c r="AV67">
        <f t="shared" si="8"/>
        <v>16.193209876543211</v>
      </c>
      <c r="AW67">
        <f t="shared" si="9"/>
        <v>23.527762358024692</v>
      </c>
      <c r="AX67" s="9"/>
      <c r="AY67" s="21">
        <v>0.18707299999999999</v>
      </c>
      <c r="AZ67" s="21">
        <v>27.458100000000002</v>
      </c>
      <c r="BA67" s="21">
        <v>-1.4300500000000001E-2</v>
      </c>
      <c r="BB67" s="21">
        <v>57</v>
      </c>
      <c r="BC67" s="21">
        <v>0.18646199999999999</v>
      </c>
      <c r="BD67">
        <f t="shared" si="10"/>
        <v>17.654938271604937</v>
      </c>
      <c r="BE67">
        <f t="shared" si="11"/>
        <v>3.3027622672839501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1.44791</v>
      </c>
      <c r="H68" s="21">
        <v>5.5924399999999999</v>
      </c>
      <c r="I68" s="21">
        <v>-1.2851E-2</v>
      </c>
      <c r="J68" s="21">
        <v>58</v>
      </c>
      <c r="K68" s="21">
        <v>1.4468399999999999</v>
      </c>
      <c r="L68">
        <f t="shared" si="0"/>
        <v>15.865432098765432</v>
      </c>
      <c r="M68">
        <f t="shared" si="1"/>
        <v>22.971717790123456</v>
      </c>
      <c r="N68" s="9"/>
      <c r="O68" s="21">
        <v>0.192108</v>
      </c>
      <c r="P68" s="21">
        <v>9.2907799999999998</v>
      </c>
      <c r="Q68" s="21">
        <v>-1.42151E-2</v>
      </c>
      <c r="R68" s="21">
        <v>58</v>
      </c>
      <c r="S68" s="21">
        <v>0.19162000000000001</v>
      </c>
      <c r="T68">
        <f t="shared" si="2"/>
        <v>17.549506172839507</v>
      </c>
      <c r="U68">
        <f t="shared" si="3"/>
        <v>3.3714005318518518</v>
      </c>
      <c r="X68" s="9"/>
      <c r="Y68" s="21">
        <v>1.44791</v>
      </c>
      <c r="Z68" s="21">
        <v>14.6577</v>
      </c>
      <c r="AA68" s="21">
        <v>-1.31897E-2</v>
      </c>
      <c r="AB68" s="21">
        <v>58</v>
      </c>
      <c r="AC68" s="21">
        <v>1.4474499999999999</v>
      </c>
      <c r="AD68">
        <f t="shared" si="4"/>
        <v>16.28358024691358</v>
      </c>
      <c r="AE68">
        <f t="shared" si="5"/>
        <v>23.577158675308642</v>
      </c>
      <c r="AF68" s="9"/>
      <c r="AG68" s="21">
        <v>0.192108</v>
      </c>
      <c r="AH68" s="21">
        <v>18.356000000000002</v>
      </c>
      <c r="AI68" s="21">
        <v>-1.4208999999999999E-2</v>
      </c>
      <c r="AJ68" s="21">
        <v>58</v>
      </c>
      <c r="AK68" s="21">
        <v>0.19158900000000001</v>
      </c>
      <c r="AL68">
        <f t="shared" si="6"/>
        <v>17.541975308641973</v>
      </c>
      <c r="AM68">
        <f t="shared" si="7"/>
        <v>3.3699537925925922</v>
      </c>
      <c r="AP68" s="9"/>
      <c r="AQ68" s="21">
        <v>1.44791</v>
      </c>
      <c r="AR68" s="21">
        <v>23.7699</v>
      </c>
      <c r="AS68" s="21">
        <v>-1.3153099999999999E-2</v>
      </c>
      <c r="AT68" s="21">
        <v>58</v>
      </c>
      <c r="AU68" s="21">
        <v>1.4471400000000001</v>
      </c>
      <c r="AV68">
        <f t="shared" si="8"/>
        <v>16.238395061728394</v>
      </c>
      <c r="AW68">
        <f t="shared" si="9"/>
        <v>23.51173459382716</v>
      </c>
      <c r="AX68" s="9"/>
      <c r="AY68" s="21">
        <v>0.192108</v>
      </c>
      <c r="AZ68" s="21">
        <v>27.4682</v>
      </c>
      <c r="BA68" s="21">
        <v>-1.4300500000000001E-2</v>
      </c>
      <c r="BB68" s="21">
        <v>58</v>
      </c>
      <c r="BC68" s="21">
        <v>0.19155900000000001</v>
      </c>
      <c r="BD68">
        <f t="shared" si="10"/>
        <v>17.654938271604937</v>
      </c>
      <c r="BE68">
        <f t="shared" si="11"/>
        <v>3.3916548814814811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1.4428700000000001</v>
      </c>
      <c r="H69" s="21">
        <v>5.6025099999999997</v>
      </c>
      <c r="I69" s="21">
        <v>-1.2896700000000001E-2</v>
      </c>
      <c r="J69" s="21">
        <v>59</v>
      </c>
      <c r="K69" s="21">
        <v>1.4422600000000001</v>
      </c>
      <c r="L69">
        <f t="shared" si="0"/>
        <v>15.92185185185185</v>
      </c>
      <c r="M69">
        <f t="shared" si="1"/>
        <v>22.97316238148148</v>
      </c>
      <c r="N69" s="9"/>
      <c r="O69" s="21">
        <v>0.19714400000000001</v>
      </c>
      <c r="P69" s="21">
        <v>9.3008500000000005</v>
      </c>
      <c r="Q69" s="21">
        <v>-1.4218099999999999E-2</v>
      </c>
      <c r="R69" s="21">
        <v>59</v>
      </c>
      <c r="S69" s="21">
        <v>0.196686</v>
      </c>
      <c r="T69">
        <f t="shared" si="2"/>
        <v>17.553209876543207</v>
      </c>
      <c r="U69">
        <f t="shared" si="3"/>
        <v>3.4605100079012341</v>
      </c>
      <c r="X69" s="9"/>
      <c r="Y69" s="21">
        <v>1.4428700000000001</v>
      </c>
      <c r="Z69" s="21">
        <v>14.6677</v>
      </c>
      <c r="AA69" s="21">
        <v>-1.32324E-2</v>
      </c>
      <c r="AB69" s="21">
        <v>59</v>
      </c>
      <c r="AC69" s="21">
        <v>1.4425699999999999</v>
      </c>
      <c r="AD69">
        <f t="shared" si="4"/>
        <v>16.336296296296297</v>
      </c>
      <c r="AE69">
        <f t="shared" si="5"/>
        <v>23.571151837037039</v>
      </c>
      <c r="AF69" s="9"/>
      <c r="AG69" s="21">
        <v>0.19714400000000001</v>
      </c>
      <c r="AH69" s="21">
        <v>18.366099999999999</v>
      </c>
      <c r="AI69" s="21">
        <v>-1.42273E-2</v>
      </c>
      <c r="AJ69" s="21">
        <v>59</v>
      </c>
      <c r="AK69" s="21">
        <v>0.19662499999999999</v>
      </c>
      <c r="AL69">
        <f t="shared" si="6"/>
        <v>17.564567901234565</v>
      </c>
      <c r="AM69">
        <f t="shared" si="7"/>
        <v>3.4627491743209871</v>
      </c>
      <c r="AP69" s="9"/>
      <c r="AQ69" s="21">
        <v>1.4428700000000001</v>
      </c>
      <c r="AR69" s="21">
        <v>23.779900000000001</v>
      </c>
      <c r="AS69" s="21">
        <v>-1.31927E-2</v>
      </c>
      <c r="AT69" s="21">
        <v>59</v>
      </c>
      <c r="AU69" s="21">
        <v>1.4425699999999999</v>
      </c>
      <c r="AV69">
        <f t="shared" si="8"/>
        <v>16.287283950617283</v>
      </c>
      <c r="AW69">
        <f t="shared" si="9"/>
        <v>23.500433393827162</v>
      </c>
      <c r="AX69" s="9"/>
      <c r="AY69" s="21">
        <v>0.19714400000000001</v>
      </c>
      <c r="AZ69" s="21">
        <v>27.478300000000001</v>
      </c>
      <c r="BA69" s="21">
        <v>-1.43036E-2</v>
      </c>
      <c r="BB69" s="21">
        <v>59</v>
      </c>
      <c r="BC69" s="21">
        <v>0.19662499999999999</v>
      </c>
      <c r="BD69">
        <f t="shared" si="10"/>
        <v>17.658765432098765</v>
      </c>
      <c r="BE69">
        <f t="shared" si="11"/>
        <v>3.4813196523456793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1.43784</v>
      </c>
      <c r="H70" s="21">
        <v>5.6125800000000003</v>
      </c>
      <c r="I70" s="21">
        <v>-1.2942499999999999E-2</v>
      </c>
      <c r="J70" s="21">
        <v>60</v>
      </c>
      <c r="K70" s="21">
        <v>1.4376800000000001</v>
      </c>
      <c r="L70">
        <f t="shared" si="0"/>
        <v>15.978395061728392</v>
      </c>
      <c r="M70">
        <f t="shared" si="1"/>
        <v>22.97437555555555</v>
      </c>
      <c r="N70" s="9"/>
      <c r="O70" s="21">
        <v>0.202179</v>
      </c>
      <c r="P70" s="21">
        <v>9.3109199999999994</v>
      </c>
      <c r="Q70" s="21">
        <v>-1.42212E-2</v>
      </c>
      <c r="R70" s="21">
        <v>60</v>
      </c>
      <c r="S70" s="21">
        <v>0.20163</v>
      </c>
      <c r="T70">
        <f t="shared" si="2"/>
        <v>17.557037037037034</v>
      </c>
      <c r="U70">
        <f t="shared" si="3"/>
        <v>3.5496641911111104</v>
      </c>
      <c r="X70" s="9"/>
      <c r="Y70" s="21">
        <v>1.43784</v>
      </c>
      <c r="Z70" s="21">
        <v>14.6778</v>
      </c>
      <c r="AA70" s="21">
        <v>-1.3256799999999999E-2</v>
      </c>
      <c r="AB70" s="21">
        <v>60</v>
      </c>
      <c r="AC70" s="21">
        <v>1.4376800000000001</v>
      </c>
      <c r="AD70">
        <f t="shared" si="4"/>
        <v>16.366419753086415</v>
      </c>
      <c r="AE70">
        <f t="shared" si="5"/>
        <v>23.532292977777772</v>
      </c>
      <c r="AF70" s="9"/>
      <c r="AG70" s="21">
        <v>0.202179</v>
      </c>
      <c r="AH70" s="21">
        <v>18.376100000000001</v>
      </c>
      <c r="AI70" s="21">
        <v>-1.42334E-2</v>
      </c>
      <c r="AJ70" s="21">
        <v>60</v>
      </c>
      <c r="AK70" s="21">
        <v>0.20163</v>
      </c>
      <c r="AL70">
        <f t="shared" si="6"/>
        <v>17.572098765432099</v>
      </c>
      <c r="AM70">
        <f t="shared" si="7"/>
        <v>3.5527093562962961</v>
      </c>
      <c r="AP70" s="9"/>
      <c r="AQ70" s="21">
        <v>1.43784</v>
      </c>
      <c r="AR70" s="21">
        <v>23.79</v>
      </c>
      <c r="AS70" s="21">
        <v>-1.32233E-2</v>
      </c>
      <c r="AT70" s="21">
        <v>60</v>
      </c>
      <c r="AU70" s="21">
        <v>1.4373800000000001</v>
      </c>
      <c r="AV70">
        <f t="shared" si="8"/>
        <v>16.32506172839506</v>
      </c>
      <c r="AW70">
        <f t="shared" si="9"/>
        <v>23.472826755555552</v>
      </c>
      <c r="AX70" s="9"/>
      <c r="AY70" s="21">
        <v>0.202179</v>
      </c>
      <c r="AZ70" s="21">
        <v>27.488399999999999</v>
      </c>
      <c r="BA70" s="21">
        <v>-1.4297499999999999E-2</v>
      </c>
      <c r="BB70" s="21">
        <v>60</v>
      </c>
      <c r="BC70" s="21">
        <v>0.20147699999999999</v>
      </c>
      <c r="BD70">
        <f t="shared" si="10"/>
        <v>17.651234567901231</v>
      </c>
      <c r="BE70">
        <f t="shared" si="11"/>
        <v>3.5687089537037027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1.4328000000000001</v>
      </c>
      <c r="H71" s="21">
        <v>5.6226500000000001</v>
      </c>
      <c r="I71" s="21">
        <v>-1.2985200000000001E-2</v>
      </c>
      <c r="J71" s="21">
        <v>61</v>
      </c>
      <c r="K71" s="21">
        <v>1.4321900000000001</v>
      </c>
      <c r="L71">
        <f t="shared" si="0"/>
        <v>16.031111111111109</v>
      </c>
      <c r="M71">
        <f t="shared" si="1"/>
        <v>22.969375999999997</v>
      </c>
      <c r="N71" s="9"/>
      <c r="O71" s="21">
        <v>0.20721400000000001</v>
      </c>
      <c r="P71" s="21">
        <v>9.3209900000000001</v>
      </c>
      <c r="Q71" s="21">
        <v>-1.42273E-2</v>
      </c>
      <c r="R71" s="21">
        <v>61</v>
      </c>
      <c r="S71" s="21">
        <v>0.20666499999999999</v>
      </c>
      <c r="T71">
        <f t="shared" si="2"/>
        <v>17.564567901234565</v>
      </c>
      <c r="U71">
        <f t="shared" si="3"/>
        <v>3.6396243730864191</v>
      </c>
      <c r="X71" s="9"/>
      <c r="Y71" s="21">
        <v>1.4328000000000001</v>
      </c>
      <c r="Z71" s="21">
        <v>14.687900000000001</v>
      </c>
      <c r="AA71" s="21">
        <v>-1.32751E-2</v>
      </c>
      <c r="AB71" s="21">
        <v>61</v>
      </c>
      <c r="AC71" s="21">
        <v>1.4321900000000001</v>
      </c>
      <c r="AD71">
        <f t="shared" si="4"/>
        <v>16.38901234567901</v>
      </c>
      <c r="AE71">
        <f t="shared" si="5"/>
        <v>23.482176888888887</v>
      </c>
      <c r="AF71" s="9"/>
      <c r="AG71" s="21">
        <v>0.20721400000000001</v>
      </c>
      <c r="AH71" s="21">
        <v>18.386199999999999</v>
      </c>
      <c r="AI71" s="21">
        <v>-1.42395E-2</v>
      </c>
      <c r="AJ71" s="21">
        <v>61</v>
      </c>
      <c r="AK71" s="21">
        <v>0.20666499999999999</v>
      </c>
      <c r="AL71">
        <f t="shared" si="6"/>
        <v>17.579629629629629</v>
      </c>
      <c r="AM71">
        <f t="shared" si="7"/>
        <v>3.6427453740740741</v>
      </c>
      <c r="AP71" s="9"/>
      <c r="AQ71" s="21">
        <v>1.4328000000000001</v>
      </c>
      <c r="AR71" s="21">
        <v>23.8001</v>
      </c>
      <c r="AS71" s="21">
        <v>-1.3262899999999999E-2</v>
      </c>
      <c r="AT71" s="21">
        <v>61</v>
      </c>
      <c r="AU71" s="21">
        <v>1.43188</v>
      </c>
      <c r="AV71">
        <f t="shared" si="8"/>
        <v>16.373950617283949</v>
      </c>
      <c r="AW71">
        <f t="shared" si="9"/>
        <v>23.460596444444445</v>
      </c>
      <c r="AX71" s="9"/>
      <c r="AY71" s="21">
        <v>0.20721400000000001</v>
      </c>
      <c r="AZ71" s="21">
        <v>27.4984</v>
      </c>
      <c r="BA71" s="21">
        <v>-1.4297499999999999E-2</v>
      </c>
      <c r="BB71" s="21">
        <v>61</v>
      </c>
      <c r="BC71" s="21">
        <v>0.20669599999999999</v>
      </c>
      <c r="BD71">
        <f t="shared" si="10"/>
        <v>17.651234567901231</v>
      </c>
      <c r="BE71">
        <f t="shared" si="11"/>
        <v>3.6575829197530858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1.4277599999999999</v>
      </c>
      <c r="H72" s="21">
        <v>5.6327199999999999</v>
      </c>
      <c r="I72" s="21">
        <v>-1.3030999999999999E-2</v>
      </c>
      <c r="J72" s="21">
        <v>62</v>
      </c>
      <c r="K72" s="21">
        <v>1.4273100000000001</v>
      </c>
      <c r="L72">
        <f t="shared" si="0"/>
        <v>16.087654320987653</v>
      </c>
      <c r="M72">
        <f t="shared" si="1"/>
        <v>22.969309333333332</v>
      </c>
      <c r="N72" s="9"/>
      <c r="O72" s="21">
        <v>0.21224999999999999</v>
      </c>
      <c r="P72" s="21">
        <v>9.3310600000000008</v>
      </c>
      <c r="Q72" s="21">
        <v>-1.42151E-2</v>
      </c>
      <c r="R72" s="21">
        <v>62</v>
      </c>
      <c r="S72" s="21">
        <v>0.21163899999999999</v>
      </c>
      <c r="T72">
        <f t="shared" si="2"/>
        <v>17.549506172839507</v>
      </c>
      <c r="U72">
        <f t="shared" si="3"/>
        <v>3.7248826851851855</v>
      </c>
      <c r="X72" s="9"/>
      <c r="Y72" s="21">
        <v>1.4277599999999999</v>
      </c>
      <c r="Z72" s="21">
        <v>14.697900000000001</v>
      </c>
      <c r="AA72" s="21">
        <v>-1.3302599999999999E-2</v>
      </c>
      <c r="AB72" s="21">
        <v>62</v>
      </c>
      <c r="AC72" s="21">
        <v>1.4273100000000001</v>
      </c>
      <c r="AD72">
        <f t="shared" si="4"/>
        <v>16.422962962962963</v>
      </c>
      <c r="AE72">
        <f t="shared" si="5"/>
        <v>23.448049599999997</v>
      </c>
      <c r="AF72" s="9"/>
      <c r="AG72" s="21">
        <v>0.21224999999999999</v>
      </c>
      <c r="AH72" s="21">
        <v>18.3963</v>
      </c>
      <c r="AI72" s="21">
        <v>-1.42395E-2</v>
      </c>
      <c r="AJ72" s="21">
        <v>62</v>
      </c>
      <c r="AK72" s="21">
        <v>0.21167</v>
      </c>
      <c r="AL72">
        <f t="shared" si="6"/>
        <v>17.579629629629629</v>
      </c>
      <c r="AM72">
        <f t="shared" si="7"/>
        <v>3.7312763888888885</v>
      </c>
      <c r="AP72" s="9"/>
      <c r="AQ72" s="21">
        <v>1.4277599999999999</v>
      </c>
      <c r="AR72" s="21">
        <v>23.810199999999998</v>
      </c>
      <c r="AS72" s="21">
        <v>-1.33087E-2</v>
      </c>
      <c r="AT72" s="21">
        <v>62</v>
      </c>
      <c r="AU72" s="21">
        <v>1.4273100000000001</v>
      </c>
      <c r="AV72">
        <f t="shared" si="8"/>
        <v>16.430493827160493</v>
      </c>
      <c r="AW72">
        <f t="shared" si="9"/>
        <v>23.458801866666665</v>
      </c>
      <c r="AX72" s="9"/>
      <c r="AY72" s="21">
        <v>0.21224999999999999</v>
      </c>
      <c r="AZ72" s="21">
        <v>27.508500000000002</v>
      </c>
      <c r="BA72" s="21">
        <v>-1.4300500000000001E-2</v>
      </c>
      <c r="BB72" s="21">
        <v>62</v>
      </c>
      <c r="BC72" s="21">
        <v>0.21163899999999999</v>
      </c>
      <c r="BD72">
        <f t="shared" si="10"/>
        <v>17.654938271604937</v>
      </c>
      <c r="BE72">
        <f t="shared" si="11"/>
        <v>3.7472606481481479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1.4227300000000001</v>
      </c>
      <c r="H73" s="21">
        <v>5.6427899999999998</v>
      </c>
      <c r="I73" s="21">
        <v>-1.30524E-2</v>
      </c>
      <c r="J73" s="21">
        <v>63</v>
      </c>
      <c r="K73" s="21">
        <v>1.42181</v>
      </c>
      <c r="L73">
        <f t="shared" si="0"/>
        <v>16.114074074074072</v>
      </c>
      <c r="M73">
        <f t="shared" si="1"/>
        <v>22.925976607407407</v>
      </c>
      <c r="N73" s="9"/>
      <c r="O73" s="21">
        <v>0.21728500000000001</v>
      </c>
      <c r="P73" s="21">
        <v>9.3411299999999997</v>
      </c>
      <c r="Q73" s="21">
        <v>-1.4212000000000001E-2</v>
      </c>
      <c r="R73" s="21">
        <v>63</v>
      </c>
      <c r="S73" s="21">
        <v>0.21676599999999999</v>
      </c>
      <c r="T73">
        <f t="shared" si="2"/>
        <v>17.54567901234568</v>
      </c>
      <c r="U73">
        <f t="shared" si="3"/>
        <v>3.812412864197531</v>
      </c>
      <c r="X73" s="9"/>
      <c r="Y73" s="21">
        <v>1.4227300000000001</v>
      </c>
      <c r="Z73" s="21">
        <v>14.708</v>
      </c>
      <c r="AA73" s="21">
        <v>-1.3327E-2</v>
      </c>
      <c r="AB73" s="21">
        <v>63</v>
      </c>
      <c r="AC73" s="21">
        <v>1.4215100000000001</v>
      </c>
      <c r="AD73">
        <f t="shared" si="4"/>
        <v>16.453086419753085</v>
      </c>
      <c r="AE73">
        <f t="shared" si="5"/>
        <v>23.408299641975308</v>
      </c>
      <c r="AF73" s="9"/>
      <c r="AG73" s="21">
        <v>0.21728500000000001</v>
      </c>
      <c r="AH73" s="21">
        <v>18.406300000000002</v>
      </c>
      <c r="AI73" s="21">
        <v>-1.42395E-2</v>
      </c>
      <c r="AJ73" s="21">
        <v>63</v>
      </c>
      <c r="AK73" s="21">
        <v>0.21676599999999999</v>
      </c>
      <c r="AL73">
        <f t="shared" si="6"/>
        <v>17.579629629629629</v>
      </c>
      <c r="AM73">
        <f t="shared" si="7"/>
        <v>3.819789824074074</v>
      </c>
      <c r="AP73" s="9"/>
      <c r="AQ73" s="21">
        <v>1.4227300000000001</v>
      </c>
      <c r="AR73" s="21">
        <v>23.8202</v>
      </c>
      <c r="AS73" s="21">
        <v>-1.33545E-2</v>
      </c>
      <c r="AT73" s="21">
        <v>63</v>
      </c>
      <c r="AU73" s="21">
        <v>1.4227300000000001</v>
      </c>
      <c r="AV73">
        <f t="shared" si="8"/>
        <v>16.487037037037037</v>
      </c>
      <c r="AW73">
        <f t="shared" si="9"/>
        <v>23.456602203703707</v>
      </c>
      <c r="AX73" s="9"/>
      <c r="AY73" s="21">
        <v>0.21728500000000001</v>
      </c>
      <c r="AZ73" s="21">
        <v>27.518599999999999</v>
      </c>
      <c r="BA73" s="21">
        <v>-1.43097E-2</v>
      </c>
      <c r="BB73" s="21">
        <v>63</v>
      </c>
      <c r="BC73" s="21">
        <v>0.21670500000000001</v>
      </c>
      <c r="BD73">
        <f t="shared" si="10"/>
        <v>17.666296296296295</v>
      </c>
      <c r="BE73">
        <f t="shared" si="11"/>
        <v>3.8386211907407404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1.4176899999999999</v>
      </c>
      <c r="H74" s="21">
        <v>5.6528700000000001</v>
      </c>
      <c r="I74" s="21">
        <v>-1.3073700000000001E-2</v>
      </c>
      <c r="J74" s="21">
        <v>64</v>
      </c>
      <c r="K74" s="21">
        <v>1.41693</v>
      </c>
      <c r="L74">
        <f t="shared" si="0"/>
        <v>16.14037037037037</v>
      </c>
      <c r="M74">
        <f t="shared" si="1"/>
        <v>22.882041670370366</v>
      </c>
      <c r="N74" s="9"/>
      <c r="O74" s="21">
        <v>0.22232099999999999</v>
      </c>
      <c r="P74" s="21">
        <v>9.3512000000000004</v>
      </c>
      <c r="Q74" s="21">
        <v>-1.4208999999999999E-2</v>
      </c>
      <c r="R74" s="21">
        <v>64</v>
      </c>
      <c r="S74" s="21">
        <v>0.221832</v>
      </c>
      <c r="T74">
        <f t="shared" si="2"/>
        <v>17.541975308641973</v>
      </c>
      <c r="U74">
        <f t="shared" si="3"/>
        <v>3.8999494925925919</v>
      </c>
      <c r="X74" s="9"/>
      <c r="Y74" s="21">
        <v>1.4176899999999999</v>
      </c>
      <c r="Z74" s="21">
        <v>14.7181</v>
      </c>
      <c r="AA74" s="21">
        <v>-1.33545E-2</v>
      </c>
      <c r="AB74" s="21">
        <v>64</v>
      </c>
      <c r="AC74" s="21">
        <v>1.41754</v>
      </c>
      <c r="AD74">
        <f t="shared" si="4"/>
        <v>16.487037037037037</v>
      </c>
      <c r="AE74">
        <f t="shared" si="5"/>
        <v>23.373507537037035</v>
      </c>
      <c r="AF74" s="9"/>
      <c r="AG74" s="21">
        <v>0.22232099999999999</v>
      </c>
      <c r="AH74" s="21">
        <v>18.416399999999999</v>
      </c>
      <c r="AI74" s="21">
        <v>-1.4236499999999999E-2</v>
      </c>
      <c r="AJ74" s="21">
        <v>64</v>
      </c>
      <c r="AK74" s="21">
        <v>0.221771</v>
      </c>
      <c r="AL74">
        <f t="shared" si="6"/>
        <v>17.575925925925926</v>
      </c>
      <c r="AM74">
        <f t="shared" si="7"/>
        <v>3.9074974277777774</v>
      </c>
      <c r="AP74" s="9"/>
      <c r="AQ74" s="21">
        <v>1.4176899999999999</v>
      </c>
      <c r="AR74" s="21">
        <v>23.830300000000001</v>
      </c>
      <c r="AS74" s="21">
        <v>-1.3412500000000001E-2</v>
      </c>
      <c r="AT74" s="21">
        <v>64</v>
      </c>
      <c r="AU74" s="21">
        <v>1.41693</v>
      </c>
      <c r="AV74">
        <f t="shared" si="8"/>
        <v>16.558641975308642</v>
      </c>
      <c r="AW74">
        <f t="shared" si="9"/>
        <v>23.475021141975308</v>
      </c>
      <c r="AX74" s="9"/>
      <c r="AY74" s="21">
        <v>0.22232099999999999</v>
      </c>
      <c r="AZ74" s="21">
        <v>27.528600000000001</v>
      </c>
      <c r="BA74" s="21">
        <v>-1.4324999999999999E-2</v>
      </c>
      <c r="BB74" s="21">
        <v>64</v>
      </c>
      <c r="BC74" s="21">
        <v>0.221832</v>
      </c>
      <c r="BD74">
        <f t="shared" si="10"/>
        <v>17.685185185185183</v>
      </c>
      <c r="BE74">
        <f t="shared" si="11"/>
        <v>3.9317880555555549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1.41266</v>
      </c>
      <c r="H75" s="21">
        <v>5.6629399999999999</v>
      </c>
      <c r="I75" s="21">
        <v>-1.31012E-2</v>
      </c>
      <c r="J75" s="21">
        <v>65</v>
      </c>
      <c r="K75" s="21">
        <v>1.41205</v>
      </c>
      <c r="L75">
        <f t="shared" si="0"/>
        <v>16.174320987654323</v>
      </c>
      <c r="M75">
        <f t="shared" si="1"/>
        <v>22.848816286419755</v>
      </c>
      <c r="N75" s="9"/>
      <c r="O75" s="21">
        <v>0.227356</v>
      </c>
      <c r="P75" s="21">
        <v>9.3612699999999993</v>
      </c>
      <c r="Q75" s="21">
        <v>-1.42059E-2</v>
      </c>
      <c r="R75" s="21">
        <v>65</v>
      </c>
      <c r="S75" s="21">
        <v>0.22680700000000001</v>
      </c>
      <c r="T75">
        <f t="shared" si="2"/>
        <v>17.538148148148146</v>
      </c>
      <c r="U75">
        <f t="shared" si="3"/>
        <v>3.98740321037037</v>
      </c>
      <c r="X75" s="9"/>
      <c r="Y75" s="21">
        <v>1.41266</v>
      </c>
      <c r="Z75" s="21">
        <v>14.7281</v>
      </c>
      <c r="AA75" s="21">
        <v>-1.33881E-2</v>
      </c>
      <c r="AB75" s="21">
        <v>65</v>
      </c>
      <c r="AC75" s="21">
        <v>1.41205</v>
      </c>
      <c r="AD75">
        <f t="shared" si="4"/>
        <v>16.528518518518517</v>
      </c>
      <c r="AE75">
        <f t="shared" si="5"/>
        <v>23.349176970370369</v>
      </c>
      <c r="AF75" s="9"/>
      <c r="AG75" s="21">
        <v>0.227356</v>
      </c>
      <c r="AH75" s="21">
        <v>18.426500000000001</v>
      </c>
      <c r="AI75" s="21">
        <v>-1.4236499999999999E-2</v>
      </c>
      <c r="AJ75" s="21">
        <v>65</v>
      </c>
      <c r="AK75" s="21">
        <v>0.22680700000000001</v>
      </c>
      <c r="AL75">
        <f t="shared" si="6"/>
        <v>17.575925925925926</v>
      </c>
      <c r="AM75">
        <f t="shared" si="7"/>
        <v>3.995992214814815</v>
      </c>
      <c r="AP75" s="9"/>
      <c r="AQ75" s="21">
        <v>1.41266</v>
      </c>
      <c r="AR75" s="21">
        <v>23.840399999999999</v>
      </c>
      <c r="AS75" s="21">
        <v>-1.34521E-2</v>
      </c>
      <c r="AT75" s="21">
        <v>65</v>
      </c>
      <c r="AU75" s="21">
        <v>1.41174</v>
      </c>
      <c r="AV75">
        <f t="shared" si="8"/>
        <v>16.607530864197528</v>
      </c>
      <c r="AW75">
        <f t="shared" si="9"/>
        <v>23.46079455061728</v>
      </c>
      <c r="AX75" s="9"/>
      <c r="AY75" s="21">
        <v>0.227356</v>
      </c>
      <c r="AZ75" s="21">
        <v>27.538699999999999</v>
      </c>
      <c r="BA75" s="21">
        <v>-1.4312699999999999E-2</v>
      </c>
      <c r="BB75" s="21">
        <v>65</v>
      </c>
      <c r="BC75" s="21">
        <v>0.22677600000000001</v>
      </c>
      <c r="BD75">
        <f t="shared" si="10"/>
        <v>17.669999999999998</v>
      </c>
      <c r="BE75">
        <f t="shared" si="11"/>
        <v>4.0173805199999997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1.4076200000000001</v>
      </c>
      <c r="H76" s="21">
        <v>5.6730099999999997</v>
      </c>
      <c r="I76" s="21">
        <v>-1.31378E-2</v>
      </c>
      <c r="J76" s="21">
        <v>66</v>
      </c>
      <c r="K76" s="21">
        <v>1.40717</v>
      </c>
      <c r="L76">
        <f t="shared" ref="L76:L139" si="12">-I76/$F$2*1000</f>
        <v>16.219506172839505</v>
      </c>
      <c r="M76">
        <f t="shared" ref="M76:M139" si="13">L76*G76</f>
        <v>22.830901279012345</v>
      </c>
      <c r="N76" s="9"/>
      <c r="O76" s="21">
        <v>0.23239099999999999</v>
      </c>
      <c r="P76" s="21">
        <v>9.37134</v>
      </c>
      <c r="Q76" s="21">
        <v>-1.4212000000000001E-2</v>
      </c>
      <c r="R76" s="21">
        <v>66</v>
      </c>
      <c r="S76" s="21">
        <v>0.23178099999999999</v>
      </c>
      <c r="T76">
        <f t="shared" ref="T76:T139" si="14">-Q76/$F$2*1000</f>
        <v>17.54567901234568</v>
      </c>
      <c r="U76">
        <f t="shared" ref="U76:U139" si="15">T76*O76</f>
        <v>4.0774578913580246</v>
      </c>
      <c r="X76" s="9"/>
      <c r="Y76" s="21">
        <v>1.4076200000000001</v>
      </c>
      <c r="Z76" s="21">
        <v>14.738200000000001</v>
      </c>
      <c r="AA76" s="21">
        <v>-1.34094E-2</v>
      </c>
      <c r="AB76" s="21">
        <v>66</v>
      </c>
      <c r="AC76" s="21">
        <v>1.40717</v>
      </c>
      <c r="AD76">
        <f t="shared" ref="AD76:AD139" si="16">-AA76/$F$2*1000</f>
        <v>16.554814814814815</v>
      </c>
      <c r="AE76">
        <f t="shared" ref="AE76:AE139" si="17">AD76*Y76</f>
        <v>23.302888429629633</v>
      </c>
      <c r="AF76" s="9"/>
      <c r="AG76" s="21">
        <v>0.23239099999999999</v>
      </c>
      <c r="AH76" s="21">
        <v>18.436599999999999</v>
      </c>
      <c r="AI76" s="21">
        <v>-1.4245600000000001E-2</v>
      </c>
      <c r="AJ76" s="21">
        <v>66</v>
      </c>
      <c r="AK76" s="21">
        <v>0.23181199999999999</v>
      </c>
      <c r="AL76">
        <f t="shared" ref="AL76:AL139" si="18">-AI76/$F$2*1000</f>
        <v>17.58716049382716</v>
      </c>
      <c r="AM76">
        <f t="shared" ref="AM76:AM139" si="19">AL76*AG76</f>
        <v>4.0870978143209875</v>
      </c>
      <c r="AP76" s="9"/>
      <c r="AQ76" s="21">
        <v>1.4076200000000001</v>
      </c>
      <c r="AR76" s="21">
        <v>23.8504</v>
      </c>
      <c r="AS76" s="21">
        <v>-1.34766E-2</v>
      </c>
      <c r="AT76" s="21">
        <v>66</v>
      </c>
      <c r="AU76" s="21">
        <v>1.40686</v>
      </c>
      <c r="AV76">
        <f t="shared" ref="AV76:AV139" si="20">-AS76/$F$2*1000</f>
        <v>16.637777777777774</v>
      </c>
      <c r="AW76">
        <f t="shared" ref="AW76:AW139" si="21">AV76*AQ76</f>
        <v>23.419668755555552</v>
      </c>
      <c r="AX76" s="9"/>
      <c r="AY76" s="21">
        <v>0.23239099999999999</v>
      </c>
      <c r="AZ76" s="21">
        <v>27.5488</v>
      </c>
      <c r="BA76" s="21">
        <v>-1.43158E-2</v>
      </c>
      <c r="BB76" s="21">
        <v>66</v>
      </c>
      <c r="BC76" s="21">
        <v>0.231934</v>
      </c>
      <c r="BD76">
        <f t="shared" ref="BD76:BD139" si="22">-BA76/$F$2*1000</f>
        <v>17.673827160493826</v>
      </c>
      <c r="BE76">
        <f t="shared" ref="BE76:BE139" si="23">BD76*AY76</f>
        <v>4.10723836765432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1.40259</v>
      </c>
      <c r="H77" s="21">
        <v>5.6830800000000004</v>
      </c>
      <c r="I77" s="21">
        <v>-1.3168300000000001E-2</v>
      </c>
      <c r="J77" s="21">
        <v>67</v>
      </c>
      <c r="K77" s="21">
        <v>1.40259</v>
      </c>
      <c r="L77">
        <f t="shared" si="12"/>
        <v>16.257160493827158</v>
      </c>
      <c r="M77">
        <f t="shared" si="13"/>
        <v>22.802130737037032</v>
      </c>
      <c r="N77" s="9"/>
      <c r="O77" s="21">
        <v>0.237427</v>
      </c>
      <c r="P77" s="21">
        <v>9.3814200000000003</v>
      </c>
      <c r="Q77" s="21">
        <v>-1.42059E-2</v>
      </c>
      <c r="R77" s="21">
        <v>67</v>
      </c>
      <c r="S77" s="21">
        <v>0.23693800000000001</v>
      </c>
      <c r="T77">
        <f t="shared" si="14"/>
        <v>17.538148148148146</v>
      </c>
      <c r="U77">
        <f t="shared" si="15"/>
        <v>4.1640299003703696</v>
      </c>
      <c r="X77" s="9"/>
      <c r="Y77" s="21">
        <v>1.40259</v>
      </c>
      <c r="Z77" s="21">
        <v>14.7483</v>
      </c>
      <c r="AA77" s="21">
        <v>-1.3427700000000001E-2</v>
      </c>
      <c r="AB77" s="21">
        <v>67</v>
      </c>
      <c r="AC77" s="21">
        <v>1.40198</v>
      </c>
      <c r="AD77">
        <f t="shared" si="16"/>
        <v>16.57740740740741</v>
      </c>
      <c r="AE77">
        <f t="shared" si="17"/>
        <v>23.251305855555561</v>
      </c>
      <c r="AF77" s="9"/>
      <c r="AG77" s="21">
        <v>0.237427</v>
      </c>
      <c r="AH77" s="21">
        <v>18.4466</v>
      </c>
      <c r="AI77" s="21">
        <v>-1.4251700000000001E-2</v>
      </c>
      <c r="AJ77" s="21">
        <v>67</v>
      </c>
      <c r="AK77" s="21">
        <v>0.236816</v>
      </c>
      <c r="AL77">
        <f t="shared" si="18"/>
        <v>17.594691358024694</v>
      </c>
      <c r="AM77">
        <f t="shared" si="19"/>
        <v>4.1774547850617285</v>
      </c>
      <c r="AP77" s="9"/>
      <c r="AQ77" s="21">
        <v>1.40259</v>
      </c>
      <c r="AR77" s="21">
        <v>23.860499999999998</v>
      </c>
      <c r="AS77" s="21">
        <v>-1.3504E-2</v>
      </c>
      <c r="AT77" s="21">
        <v>67</v>
      </c>
      <c r="AU77" s="21">
        <v>1.40228</v>
      </c>
      <c r="AV77">
        <f t="shared" si="20"/>
        <v>16.671604938271606</v>
      </c>
      <c r="AW77">
        <f t="shared" si="21"/>
        <v>23.383426370370373</v>
      </c>
      <c r="AX77" s="9"/>
      <c r="AY77" s="21">
        <v>0.237427</v>
      </c>
      <c r="AZ77" s="21">
        <v>27.558900000000001</v>
      </c>
      <c r="BA77" s="21">
        <v>-1.43219E-2</v>
      </c>
      <c r="BB77" s="21">
        <v>67</v>
      </c>
      <c r="BC77" s="21">
        <v>0.23706099999999999</v>
      </c>
      <c r="BD77">
        <f t="shared" si="22"/>
        <v>17.68135802469136</v>
      </c>
      <c r="BE77">
        <f t="shared" si="23"/>
        <v>4.1980317917283951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1.3975500000000001</v>
      </c>
      <c r="H78" s="21">
        <v>5.6931500000000002</v>
      </c>
      <c r="I78" s="21">
        <v>-1.31897E-2</v>
      </c>
      <c r="J78" s="21">
        <v>68</v>
      </c>
      <c r="K78" s="21">
        <v>1.39679</v>
      </c>
      <c r="L78">
        <f t="shared" si="12"/>
        <v>16.28358024691358</v>
      </c>
      <c r="M78">
        <f t="shared" si="13"/>
        <v>22.757117574074076</v>
      </c>
      <c r="N78" s="9"/>
      <c r="O78" s="21">
        <v>0.24246200000000001</v>
      </c>
      <c r="P78" s="21">
        <v>9.3914899999999992</v>
      </c>
      <c r="Q78" s="21">
        <v>-1.4196800000000001E-2</v>
      </c>
      <c r="R78" s="21">
        <v>68</v>
      </c>
      <c r="S78" s="21">
        <v>0.24188200000000001</v>
      </c>
      <c r="T78">
        <f t="shared" si="14"/>
        <v>17.526913580246916</v>
      </c>
      <c r="U78">
        <f t="shared" si="15"/>
        <v>4.2496105204938281</v>
      </c>
      <c r="X78" s="9"/>
      <c r="Y78" s="21">
        <v>1.3975500000000001</v>
      </c>
      <c r="Z78" s="21">
        <v>14.7584</v>
      </c>
      <c r="AA78" s="21">
        <v>-1.34491E-2</v>
      </c>
      <c r="AB78" s="21">
        <v>68</v>
      </c>
      <c r="AC78" s="21">
        <v>1.3964799999999999</v>
      </c>
      <c r="AD78">
        <f t="shared" si="16"/>
        <v>16.603827160493829</v>
      </c>
      <c r="AE78">
        <f t="shared" si="17"/>
        <v>23.204678648148153</v>
      </c>
      <c r="AF78" s="9"/>
      <c r="AG78" s="21">
        <v>0.24246200000000001</v>
      </c>
      <c r="AH78" s="21">
        <v>18.456700000000001</v>
      </c>
      <c r="AI78" s="21">
        <v>-1.42487E-2</v>
      </c>
      <c r="AJ78" s="21">
        <v>68</v>
      </c>
      <c r="AK78" s="21">
        <v>0.24188200000000001</v>
      </c>
      <c r="AL78">
        <f t="shared" si="18"/>
        <v>17.590987654320987</v>
      </c>
      <c r="AM78">
        <f t="shared" si="19"/>
        <v>4.2651460486419754</v>
      </c>
      <c r="AP78" s="9"/>
      <c r="AQ78" s="21">
        <v>1.3975500000000001</v>
      </c>
      <c r="AR78" s="21">
        <v>23.8706</v>
      </c>
      <c r="AS78" s="21">
        <v>-1.35376E-2</v>
      </c>
      <c r="AT78" s="21">
        <v>68</v>
      </c>
      <c r="AU78" s="21">
        <v>1.3970899999999999</v>
      </c>
      <c r="AV78">
        <f t="shared" si="20"/>
        <v>16.713086419753086</v>
      </c>
      <c r="AW78">
        <f t="shared" si="21"/>
        <v>23.357373925925927</v>
      </c>
      <c r="AX78" s="9"/>
      <c r="AY78" s="21">
        <v>0.24246200000000001</v>
      </c>
      <c r="AZ78" s="21">
        <v>27.568899999999999</v>
      </c>
      <c r="BA78" s="21">
        <v>-1.4312699999999999E-2</v>
      </c>
      <c r="BB78" s="21">
        <v>68</v>
      </c>
      <c r="BC78" s="21">
        <v>0.24185200000000001</v>
      </c>
      <c r="BD78">
        <f t="shared" si="22"/>
        <v>17.669999999999998</v>
      </c>
      <c r="BE78">
        <f t="shared" si="23"/>
        <v>4.2843035399999998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1.39252</v>
      </c>
      <c r="H79" s="21">
        <v>5.70322</v>
      </c>
      <c r="I79" s="21">
        <v>-1.32263E-2</v>
      </c>
      <c r="J79" s="21">
        <v>69</v>
      </c>
      <c r="K79" s="21">
        <v>1.39191</v>
      </c>
      <c r="L79">
        <f t="shared" si="12"/>
        <v>16.328765432098766</v>
      </c>
      <c r="M79">
        <f t="shared" si="13"/>
        <v>22.738132439506174</v>
      </c>
      <c r="N79" s="9"/>
      <c r="O79" s="21">
        <v>0.247498</v>
      </c>
      <c r="P79" s="21">
        <v>9.4015599999999999</v>
      </c>
      <c r="Q79" s="21">
        <v>-1.4190700000000001E-2</v>
      </c>
      <c r="R79" s="21">
        <v>69</v>
      </c>
      <c r="S79" s="21">
        <v>0.246979</v>
      </c>
      <c r="T79">
        <f t="shared" si="14"/>
        <v>17.519382716049382</v>
      </c>
      <c r="U79">
        <f t="shared" si="15"/>
        <v>4.3360121834567895</v>
      </c>
      <c r="X79" s="9"/>
      <c r="Y79" s="21">
        <v>1.39252</v>
      </c>
      <c r="Z79" s="21">
        <v>14.7684</v>
      </c>
      <c r="AA79" s="21">
        <v>-1.3473499999999999E-2</v>
      </c>
      <c r="AB79" s="21">
        <v>69</v>
      </c>
      <c r="AC79" s="21">
        <v>1.39191</v>
      </c>
      <c r="AD79">
        <f t="shared" si="16"/>
        <v>16.633950617283947</v>
      </c>
      <c r="AE79">
        <f t="shared" si="17"/>
        <v>23.163108913580242</v>
      </c>
      <c r="AF79" s="9"/>
      <c r="AG79" s="21">
        <v>0.247498</v>
      </c>
      <c r="AH79" s="21">
        <v>18.466799999999999</v>
      </c>
      <c r="AI79" s="21">
        <v>-1.42334E-2</v>
      </c>
      <c r="AJ79" s="21">
        <v>69</v>
      </c>
      <c r="AK79" s="21">
        <v>0.246979</v>
      </c>
      <c r="AL79">
        <f t="shared" si="18"/>
        <v>17.572098765432099</v>
      </c>
      <c r="AM79">
        <f t="shared" si="19"/>
        <v>4.3490593002469131</v>
      </c>
      <c r="AP79" s="9"/>
      <c r="AQ79" s="21">
        <v>1.39252</v>
      </c>
      <c r="AR79" s="21">
        <v>23.880700000000001</v>
      </c>
      <c r="AS79" s="21">
        <v>-1.35681E-2</v>
      </c>
      <c r="AT79" s="21">
        <v>69</v>
      </c>
      <c r="AU79" s="21">
        <v>1.39252</v>
      </c>
      <c r="AV79">
        <f t="shared" si="20"/>
        <v>16.750740740740738</v>
      </c>
      <c r="AW79">
        <f t="shared" si="21"/>
        <v>23.325741496296292</v>
      </c>
      <c r="AX79" s="9"/>
      <c r="AY79" s="21">
        <v>0.247498</v>
      </c>
      <c r="AZ79" s="21">
        <v>27.579000000000001</v>
      </c>
      <c r="BA79" s="21">
        <v>-1.43188E-2</v>
      </c>
      <c r="BB79" s="21">
        <v>69</v>
      </c>
      <c r="BC79" s="21">
        <v>0.246979</v>
      </c>
      <c r="BD79">
        <f t="shared" si="22"/>
        <v>17.677530864197529</v>
      </c>
      <c r="BE79">
        <f t="shared" si="23"/>
        <v>4.3751535338271594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1.38748</v>
      </c>
      <c r="H80" s="21">
        <v>5.7132899999999998</v>
      </c>
      <c r="I80" s="21">
        <v>-1.3250700000000001E-2</v>
      </c>
      <c r="J80" s="21">
        <v>70</v>
      </c>
      <c r="K80" s="21">
        <v>1.38672</v>
      </c>
      <c r="L80">
        <f t="shared" si="12"/>
        <v>16.358888888888888</v>
      </c>
      <c r="M80">
        <f t="shared" si="13"/>
        <v>22.697631155555555</v>
      </c>
      <c r="N80" s="9"/>
      <c r="O80" s="21">
        <v>0.25253300000000001</v>
      </c>
      <c r="P80" s="21">
        <v>9.4116300000000006</v>
      </c>
      <c r="Q80" s="21">
        <v>-1.4190700000000001E-2</v>
      </c>
      <c r="R80" s="21">
        <v>70</v>
      </c>
      <c r="S80" s="21">
        <v>0.25204500000000002</v>
      </c>
      <c r="T80">
        <f t="shared" si="14"/>
        <v>17.519382716049382</v>
      </c>
      <c r="U80">
        <f t="shared" si="15"/>
        <v>4.4242222754320988</v>
      </c>
      <c r="X80" s="9"/>
      <c r="Y80" s="21">
        <v>1.38748</v>
      </c>
      <c r="Z80" s="21">
        <v>14.778499999999999</v>
      </c>
      <c r="AA80" s="21">
        <v>-1.34918E-2</v>
      </c>
      <c r="AB80" s="21">
        <v>70</v>
      </c>
      <c r="AC80" s="21">
        <v>1.3870199999999999</v>
      </c>
      <c r="AD80">
        <f t="shared" si="16"/>
        <v>16.656543209876542</v>
      </c>
      <c r="AE80">
        <f t="shared" si="17"/>
        <v>23.110620572839505</v>
      </c>
      <c r="AF80" s="9"/>
      <c r="AG80" s="21">
        <v>0.25253300000000001</v>
      </c>
      <c r="AH80" s="21">
        <v>18.476800000000001</v>
      </c>
      <c r="AI80" s="21">
        <v>-1.4212000000000001E-2</v>
      </c>
      <c r="AJ80" s="21">
        <v>70</v>
      </c>
      <c r="AK80" s="21">
        <v>0.25192300000000001</v>
      </c>
      <c r="AL80">
        <f t="shared" si="18"/>
        <v>17.54567901234568</v>
      </c>
      <c r="AM80">
        <f t="shared" si="19"/>
        <v>4.4308629580246919</v>
      </c>
      <c r="AP80" s="9"/>
      <c r="AQ80" s="21">
        <v>1.38748</v>
      </c>
      <c r="AR80" s="21">
        <v>23.890699999999999</v>
      </c>
      <c r="AS80" s="21">
        <v>-1.35864E-2</v>
      </c>
      <c r="AT80" s="21">
        <v>70</v>
      </c>
      <c r="AU80" s="21">
        <v>1.3864099999999999</v>
      </c>
      <c r="AV80">
        <f t="shared" si="20"/>
        <v>16.77333333333333</v>
      </c>
      <c r="AW80">
        <f t="shared" si="21"/>
        <v>23.27266453333333</v>
      </c>
      <c r="AX80" s="9"/>
      <c r="AY80" s="21">
        <v>0.25253300000000001</v>
      </c>
      <c r="AZ80" s="21">
        <v>27.589099999999998</v>
      </c>
      <c r="BA80" s="21">
        <v>-1.43219E-2</v>
      </c>
      <c r="BB80" s="21">
        <v>70</v>
      </c>
      <c r="BC80" s="21">
        <v>0.25183100000000003</v>
      </c>
      <c r="BD80">
        <f t="shared" si="22"/>
        <v>17.68135802469136</v>
      </c>
      <c r="BE80">
        <f t="shared" si="23"/>
        <v>4.4651263860493833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1.38245</v>
      </c>
      <c r="H81" s="21">
        <v>5.7233599999999996</v>
      </c>
      <c r="I81" s="21">
        <v>-1.32721E-2</v>
      </c>
      <c r="J81" s="21">
        <v>71</v>
      </c>
      <c r="K81" s="21">
        <v>1.3815299999999999</v>
      </c>
      <c r="L81">
        <f t="shared" si="12"/>
        <v>16.385308641975307</v>
      </c>
      <c r="M81">
        <f t="shared" si="13"/>
        <v>22.651869932098762</v>
      </c>
      <c r="N81" s="9"/>
      <c r="O81" s="21">
        <v>0.25756800000000002</v>
      </c>
      <c r="P81" s="21">
        <v>9.4216999999999995</v>
      </c>
      <c r="Q81" s="21">
        <v>-1.41937E-2</v>
      </c>
      <c r="R81" s="21">
        <v>71</v>
      </c>
      <c r="S81" s="21">
        <v>0.257019</v>
      </c>
      <c r="T81">
        <f t="shared" si="14"/>
        <v>17.523086419753085</v>
      </c>
      <c r="U81">
        <f t="shared" si="15"/>
        <v>4.5133863229629627</v>
      </c>
      <c r="X81" s="9"/>
      <c r="Y81" s="21">
        <v>1.38245</v>
      </c>
      <c r="Z81" s="21">
        <v>14.788600000000001</v>
      </c>
      <c r="AA81" s="21">
        <v>-1.3516200000000001E-2</v>
      </c>
      <c r="AB81" s="21">
        <v>71</v>
      </c>
      <c r="AC81" s="21">
        <v>1.38245</v>
      </c>
      <c r="AD81">
        <f t="shared" si="16"/>
        <v>16.686666666666664</v>
      </c>
      <c r="AE81">
        <f t="shared" si="17"/>
        <v>23.068482333333328</v>
      </c>
      <c r="AF81" s="9"/>
      <c r="AG81" s="21">
        <v>0.25756800000000002</v>
      </c>
      <c r="AH81" s="21">
        <v>18.486899999999999</v>
      </c>
      <c r="AI81" s="21">
        <v>-1.4218099999999999E-2</v>
      </c>
      <c r="AJ81" s="21">
        <v>71</v>
      </c>
      <c r="AK81" s="21">
        <v>0.25692700000000002</v>
      </c>
      <c r="AL81">
        <f t="shared" si="18"/>
        <v>17.553209876543207</v>
      </c>
      <c r="AM81">
        <f t="shared" si="19"/>
        <v>4.5211451614814813</v>
      </c>
      <c r="AP81" s="9"/>
      <c r="AQ81" s="21">
        <v>1.38245</v>
      </c>
      <c r="AR81" s="21">
        <v>23.9008</v>
      </c>
      <c r="AS81" s="21">
        <v>-1.3598600000000001E-2</v>
      </c>
      <c r="AT81" s="21">
        <v>71</v>
      </c>
      <c r="AU81" s="21">
        <v>1.3815299999999999</v>
      </c>
      <c r="AV81">
        <f t="shared" si="20"/>
        <v>16.788395061728394</v>
      </c>
      <c r="AW81">
        <f t="shared" si="21"/>
        <v>23.20911675308642</v>
      </c>
      <c r="AX81" s="9"/>
      <c r="AY81" s="21">
        <v>0.25756800000000002</v>
      </c>
      <c r="AZ81" s="21">
        <v>27.5991</v>
      </c>
      <c r="BA81" s="21">
        <v>-1.4334100000000001E-2</v>
      </c>
      <c r="BB81" s="21">
        <v>71</v>
      </c>
      <c r="BC81" s="21">
        <v>0.25695800000000002</v>
      </c>
      <c r="BD81">
        <f t="shared" si="22"/>
        <v>17.69641975308642</v>
      </c>
      <c r="BE81">
        <f t="shared" si="23"/>
        <v>4.5580314429629638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1.37741</v>
      </c>
      <c r="H82" s="21">
        <v>5.7334300000000002</v>
      </c>
      <c r="I82" s="21">
        <v>-1.3296499999999999E-2</v>
      </c>
      <c r="J82" s="21">
        <v>72</v>
      </c>
      <c r="K82" s="21">
        <v>1.3763399999999999</v>
      </c>
      <c r="L82">
        <f t="shared" si="12"/>
        <v>16.415432098765429</v>
      </c>
      <c r="M82">
        <f t="shared" si="13"/>
        <v>22.610780327160491</v>
      </c>
      <c r="N82" s="9"/>
      <c r="O82" s="21">
        <v>0.262604</v>
      </c>
      <c r="P82" s="21">
        <v>9.4317700000000002</v>
      </c>
      <c r="Q82" s="21">
        <v>-1.4196800000000001E-2</v>
      </c>
      <c r="R82" s="21">
        <v>72</v>
      </c>
      <c r="S82" s="21">
        <v>0.26199299999999998</v>
      </c>
      <c r="T82">
        <f t="shared" si="14"/>
        <v>17.526913580246916</v>
      </c>
      <c r="U82">
        <f t="shared" si="15"/>
        <v>4.6026376138271612</v>
      </c>
      <c r="X82" s="9"/>
      <c r="Y82" s="21">
        <v>1.37741</v>
      </c>
      <c r="Z82" s="21">
        <v>14.7986</v>
      </c>
      <c r="AA82" s="21">
        <v>-1.3549800000000001E-2</v>
      </c>
      <c r="AB82" s="21">
        <v>72</v>
      </c>
      <c r="AC82" s="21">
        <v>1.3766499999999999</v>
      </c>
      <c r="AD82">
        <f t="shared" si="16"/>
        <v>16.728148148148147</v>
      </c>
      <c r="AE82">
        <f t="shared" si="17"/>
        <v>23.041518540740739</v>
      </c>
      <c r="AF82" s="9"/>
      <c r="AG82" s="21">
        <v>0.262604</v>
      </c>
      <c r="AH82" s="21">
        <v>18.497</v>
      </c>
      <c r="AI82" s="21">
        <v>-1.4208999999999999E-2</v>
      </c>
      <c r="AJ82" s="21">
        <v>72</v>
      </c>
      <c r="AK82" s="21">
        <v>0.26199299999999998</v>
      </c>
      <c r="AL82">
        <f t="shared" si="18"/>
        <v>17.541975308641973</v>
      </c>
      <c r="AM82">
        <f t="shared" si="19"/>
        <v>4.6065928839506167</v>
      </c>
      <c r="AP82" s="9"/>
      <c r="AQ82" s="21">
        <v>1.37741</v>
      </c>
      <c r="AR82" s="21">
        <v>23.910900000000002</v>
      </c>
      <c r="AS82" s="21">
        <v>-1.3616899999999999E-2</v>
      </c>
      <c r="AT82" s="21">
        <v>72</v>
      </c>
      <c r="AU82" s="21">
        <v>1.3769499999999999</v>
      </c>
      <c r="AV82">
        <f t="shared" si="20"/>
        <v>16.810987654320986</v>
      </c>
      <c r="AW82">
        <f t="shared" si="21"/>
        <v>23.155622504938268</v>
      </c>
      <c r="AX82" s="9"/>
      <c r="AY82" s="21">
        <v>0.262604</v>
      </c>
      <c r="AZ82" s="21">
        <v>27.609200000000001</v>
      </c>
      <c r="BA82" s="21">
        <v>-1.43372E-2</v>
      </c>
      <c r="BB82" s="21">
        <v>72</v>
      </c>
      <c r="BC82" s="21">
        <v>0.26202399999999998</v>
      </c>
      <c r="BD82">
        <f t="shared" si="22"/>
        <v>17.700246913580244</v>
      </c>
      <c r="BE82">
        <f t="shared" si="23"/>
        <v>4.6481556404938269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1.3723799999999999</v>
      </c>
      <c r="H83" s="21">
        <v>5.7435</v>
      </c>
      <c r="I83" s="21">
        <v>-1.3317900000000001E-2</v>
      </c>
      <c r="J83" s="21">
        <v>73</v>
      </c>
      <c r="K83" s="21">
        <v>1.3714599999999999</v>
      </c>
      <c r="L83">
        <f t="shared" si="12"/>
        <v>16.441851851851851</v>
      </c>
      <c r="M83">
        <f t="shared" si="13"/>
        <v>22.564468644444442</v>
      </c>
      <c r="N83" s="9"/>
      <c r="O83" s="21">
        <v>0.26763900000000002</v>
      </c>
      <c r="P83" s="21">
        <v>9.4418399999999991</v>
      </c>
      <c r="Q83" s="21">
        <v>-1.4196800000000001E-2</v>
      </c>
      <c r="R83" s="21">
        <v>73</v>
      </c>
      <c r="S83" s="21">
        <v>0.26712000000000002</v>
      </c>
      <c r="T83">
        <f t="shared" si="14"/>
        <v>17.526913580246916</v>
      </c>
      <c r="U83">
        <f t="shared" si="15"/>
        <v>4.6908856237037044</v>
      </c>
      <c r="X83" s="9"/>
      <c r="Y83" s="21">
        <v>1.3723799999999999</v>
      </c>
      <c r="Z83" s="21">
        <v>14.8087</v>
      </c>
      <c r="AA83" s="21">
        <v>-1.35864E-2</v>
      </c>
      <c r="AB83" s="21">
        <v>73</v>
      </c>
      <c r="AC83" s="21">
        <v>1.3714599999999999</v>
      </c>
      <c r="AD83">
        <f t="shared" si="16"/>
        <v>16.77333333333333</v>
      </c>
      <c r="AE83">
        <f t="shared" si="17"/>
        <v>23.019387199999993</v>
      </c>
      <c r="AF83" s="9"/>
      <c r="AG83" s="21">
        <v>0.26763900000000002</v>
      </c>
      <c r="AH83" s="21">
        <v>18.507100000000001</v>
      </c>
      <c r="AI83" s="21">
        <v>-1.4208999999999999E-2</v>
      </c>
      <c r="AJ83" s="21">
        <v>73</v>
      </c>
      <c r="AK83" s="21">
        <v>0.26715100000000003</v>
      </c>
      <c r="AL83">
        <f t="shared" si="18"/>
        <v>17.541975308641973</v>
      </c>
      <c r="AM83">
        <f t="shared" si="19"/>
        <v>4.6949167296296297</v>
      </c>
      <c r="AP83" s="9"/>
      <c r="AQ83" s="21">
        <v>1.3723799999999999</v>
      </c>
      <c r="AR83" s="21">
        <v>23.9209</v>
      </c>
      <c r="AS83" s="21">
        <v>-1.3638300000000001E-2</v>
      </c>
      <c r="AT83" s="21">
        <v>73</v>
      </c>
      <c r="AU83" s="21">
        <v>1.3720699999999999</v>
      </c>
      <c r="AV83">
        <f t="shared" si="20"/>
        <v>16.837407407407408</v>
      </c>
      <c r="AW83">
        <f t="shared" si="21"/>
        <v>23.107321177777777</v>
      </c>
      <c r="AX83" s="9"/>
      <c r="AY83" s="21">
        <v>0.26763900000000002</v>
      </c>
      <c r="AZ83" s="21">
        <v>27.619299999999999</v>
      </c>
      <c r="BA83" s="21">
        <v>-1.4331099999999999E-2</v>
      </c>
      <c r="BB83" s="21">
        <v>73</v>
      </c>
      <c r="BC83" s="21">
        <v>0.26712000000000002</v>
      </c>
      <c r="BD83">
        <f t="shared" si="22"/>
        <v>17.692716049382714</v>
      </c>
      <c r="BE83">
        <f t="shared" si="23"/>
        <v>4.7352608307407404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1.36734</v>
      </c>
      <c r="H84" s="21">
        <v>5.7535800000000004</v>
      </c>
      <c r="I84" s="21">
        <v>-1.3345299999999999E-2</v>
      </c>
      <c r="J84" s="21">
        <v>74</v>
      </c>
      <c r="K84" s="21">
        <v>1.3659699999999999</v>
      </c>
      <c r="L84">
        <f t="shared" si="12"/>
        <v>16.475679012345676</v>
      </c>
      <c r="M84">
        <f t="shared" si="13"/>
        <v>22.527854940740738</v>
      </c>
      <c r="N84" s="9"/>
      <c r="O84" s="21">
        <v>0.272675</v>
      </c>
      <c r="P84" s="21">
        <v>9.4519099999999998</v>
      </c>
      <c r="Q84" s="21">
        <v>-1.4202899999999999E-2</v>
      </c>
      <c r="R84" s="21">
        <v>74</v>
      </c>
      <c r="S84" s="21">
        <v>0.27215600000000001</v>
      </c>
      <c r="T84">
        <f t="shared" si="14"/>
        <v>17.534444444444443</v>
      </c>
      <c r="U84">
        <f t="shared" si="15"/>
        <v>4.7812046388888882</v>
      </c>
      <c r="X84" s="9"/>
      <c r="Y84" s="21">
        <v>1.36734</v>
      </c>
      <c r="Z84" s="21">
        <v>14.8188</v>
      </c>
      <c r="AA84" s="21">
        <v>-1.362E-2</v>
      </c>
      <c r="AB84" s="21">
        <v>74</v>
      </c>
      <c r="AC84" s="21">
        <v>1.3662700000000001</v>
      </c>
      <c r="AD84">
        <f t="shared" si="16"/>
        <v>16.814814814814813</v>
      </c>
      <c r="AE84">
        <f t="shared" si="17"/>
        <v>22.991568888888885</v>
      </c>
      <c r="AF84" s="9"/>
      <c r="AG84" s="21">
        <v>0.272675</v>
      </c>
      <c r="AH84" s="21">
        <v>18.517099999999999</v>
      </c>
      <c r="AI84" s="21">
        <v>-1.4212000000000001E-2</v>
      </c>
      <c r="AJ84" s="21">
        <v>74</v>
      </c>
      <c r="AK84" s="21">
        <v>0.27221699999999999</v>
      </c>
      <c r="AL84">
        <f t="shared" si="18"/>
        <v>17.54567901234568</v>
      </c>
      <c r="AM84">
        <f t="shared" si="19"/>
        <v>4.7842680246913583</v>
      </c>
      <c r="AP84" s="9"/>
      <c r="AQ84" s="21">
        <v>1.36734</v>
      </c>
      <c r="AR84" s="21">
        <v>23.931000000000001</v>
      </c>
      <c r="AS84" s="21">
        <v>-1.36627E-2</v>
      </c>
      <c r="AT84" s="21">
        <v>74</v>
      </c>
      <c r="AU84" s="21">
        <v>1.3662700000000001</v>
      </c>
      <c r="AV84">
        <f t="shared" si="20"/>
        <v>16.86753086419753</v>
      </c>
      <c r="AW84">
        <f t="shared" si="21"/>
        <v>23.063649651851851</v>
      </c>
      <c r="AX84" s="9"/>
      <c r="AY84" s="21">
        <v>0.272675</v>
      </c>
      <c r="AZ84" s="21">
        <v>27.629300000000001</v>
      </c>
      <c r="BA84" s="21">
        <v>-1.43158E-2</v>
      </c>
      <c r="BB84" s="21">
        <v>74</v>
      </c>
      <c r="BC84" s="21">
        <v>0.27215600000000001</v>
      </c>
      <c r="BD84">
        <f t="shared" si="22"/>
        <v>17.673827160493826</v>
      </c>
      <c r="BE84">
        <f t="shared" si="23"/>
        <v>4.8192108209876539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1.3623000000000001</v>
      </c>
      <c r="H85" s="21">
        <v>5.7636500000000002</v>
      </c>
      <c r="I85" s="21">
        <v>-1.33667E-2</v>
      </c>
      <c r="J85" s="21">
        <v>75</v>
      </c>
      <c r="K85" s="21">
        <v>1.3616900000000001</v>
      </c>
      <c r="L85">
        <f t="shared" si="12"/>
        <v>16.502098765432098</v>
      </c>
      <c r="M85">
        <f t="shared" si="13"/>
        <v>22.480809148148147</v>
      </c>
      <c r="N85" s="9"/>
      <c r="O85" s="21">
        <v>0.27771000000000001</v>
      </c>
      <c r="P85" s="21">
        <v>9.4619800000000005</v>
      </c>
      <c r="Q85" s="21">
        <v>-1.41937E-2</v>
      </c>
      <c r="R85" s="21">
        <v>75</v>
      </c>
      <c r="S85" s="21">
        <v>0.27719100000000002</v>
      </c>
      <c r="T85">
        <f t="shared" si="14"/>
        <v>17.523086419753085</v>
      </c>
      <c r="U85">
        <f t="shared" si="15"/>
        <v>4.8663363296296298</v>
      </c>
      <c r="X85" s="9"/>
      <c r="Y85" s="21">
        <v>1.3623000000000001</v>
      </c>
      <c r="Z85" s="21">
        <v>14.828900000000001</v>
      </c>
      <c r="AA85" s="21">
        <v>-1.3632200000000001E-2</v>
      </c>
      <c r="AB85" s="21">
        <v>75</v>
      </c>
      <c r="AC85" s="21">
        <v>1.3613900000000001</v>
      </c>
      <c r="AD85">
        <f t="shared" si="16"/>
        <v>16.829876543209878</v>
      </c>
      <c r="AE85">
        <f t="shared" si="17"/>
        <v>22.927340814814816</v>
      </c>
      <c r="AF85" s="9"/>
      <c r="AG85" s="21">
        <v>0.27771000000000001</v>
      </c>
      <c r="AH85" s="21">
        <v>18.527200000000001</v>
      </c>
      <c r="AI85" s="21">
        <v>-1.42151E-2</v>
      </c>
      <c r="AJ85" s="21">
        <v>75</v>
      </c>
      <c r="AK85" s="21">
        <v>0.27712999999999999</v>
      </c>
      <c r="AL85">
        <f t="shared" si="18"/>
        <v>17.549506172839507</v>
      </c>
      <c r="AM85">
        <f t="shared" si="19"/>
        <v>4.8736733592592598</v>
      </c>
      <c r="AP85" s="9"/>
      <c r="AQ85" s="21">
        <v>1.3623000000000001</v>
      </c>
      <c r="AR85" s="21">
        <v>23.941099999999999</v>
      </c>
      <c r="AS85" s="21">
        <v>-1.3677999999999999E-2</v>
      </c>
      <c r="AT85" s="21">
        <v>75</v>
      </c>
      <c r="AU85" s="21">
        <v>1.3610800000000001</v>
      </c>
      <c r="AV85">
        <f t="shared" si="20"/>
        <v>16.886419753086418</v>
      </c>
      <c r="AW85">
        <f t="shared" si="21"/>
        <v>23.004369629629629</v>
      </c>
      <c r="AX85" s="9"/>
      <c r="AY85" s="21">
        <v>0.27771000000000001</v>
      </c>
      <c r="AZ85" s="21">
        <v>27.639399999999998</v>
      </c>
      <c r="BA85" s="21">
        <v>-1.43158E-2</v>
      </c>
      <c r="BB85" s="21">
        <v>75</v>
      </c>
      <c r="BC85" s="21">
        <v>0.27719100000000002</v>
      </c>
      <c r="BD85">
        <f t="shared" si="22"/>
        <v>17.673827160493826</v>
      </c>
      <c r="BE85">
        <f t="shared" si="23"/>
        <v>4.9081985407407407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1.35727</v>
      </c>
      <c r="H86" s="21">
        <v>5.77372</v>
      </c>
      <c r="I86" s="21">
        <v>-1.33942E-2</v>
      </c>
      <c r="J86" s="21">
        <v>76</v>
      </c>
      <c r="K86" s="21">
        <v>1.3568100000000001</v>
      </c>
      <c r="L86">
        <f t="shared" si="12"/>
        <v>16.536049382716048</v>
      </c>
      <c r="M86">
        <f t="shared" si="13"/>
        <v>22.44388374567901</v>
      </c>
      <c r="N86" s="9"/>
      <c r="O86" s="21">
        <v>0.28274500000000002</v>
      </c>
      <c r="P86" s="21">
        <v>9.4720499999999994</v>
      </c>
      <c r="Q86" s="21">
        <v>-1.41998E-2</v>
      </c>
      <c r="R86" s="21">
        <v>76</v>
      </c>
      <c r="S86" s="21">
        <v>0.28228799999999998</v>
      </c>
      <c r="T86">
        <f t="shared" si="14"/>
        <v>17.530617283950615</v>
      </c>
      <c r="U86">
        <f t="shared" si="15"/>
        <v>4.9566943839506168</v>
      </c>
      <c r="X86" s="9"/>
      <c r="Y86" s="21">
        <v>1.35727</v>
      </c>
      <c r="Z86" s="21">
        <v>14.838900000000001</v>
      </c>
      <c r="AA86" s="21">
        <v>-1.3650499999999999E-2</v>
      </c>
      <c r="AB86" s="21">
        <v>76</v>
      </c>
      <c r="AC86" s="21">
        <v>1.3565100000000001</v>
      </c>
      <c r="AD86">
        <f t="shared" si="16"/>
        <v>16.852469135802469</v>
      </c>
      <c r="AE86">
        <f t="shared" si="17"/>
        <v>22.873350783950617</v>
      </c>
      <c r="AF86" s="9"/>
      <c r="AG86" s="21">
        <v>0.28274500000000002</v>
      </c>
      <c r="AH86" s="21">
        <v>18.537299999999998</v>
      </c>
      <c r="AI86" s="21">
        <v>-1.42059E-2</v>
      </c>
      <c r="AJ86" s="21">
        <v>76</v>
      </c>
      <c r="AK86" s="21">
        <v>0.28216599999999997</v>
      </c>
      <c r="AL86">
        <f t="shared" si="18"/>
        <v>17.538148148148146</v>
      </c>
      <c r="AM86">
        <f t="shared" si="19"/>
        <v>4.9588236981481479</v>
      </c>
      <c r="AP86" s="9"/>
      <c r="AQ86" s="21">
        <v>1.35727</v>
      </c>
      <c r="AR86" s="21">
        <v>23.9512</v>
      </c>
      <c r="AS86" s="21">
        <v>-1.36902E-2</v>
      </c>
      <c r="AT86" s="21">
        <v>76</v>
      </c>
      <c r="AU86" s="21">
        <v>1.3559000000000001</v>
      </c>
      <c r="AV86">
        <f t="shared" si="20"/>
        <v>16.901481481481479</v>
      </c>
      <c r="AW86">
        <f t="shared" si="21"/>
        <v>22.939873770370365</v>
      </c>
      <c r="AX86" s="9"/>
      <c r="AY86" s="21">
        <v>0.28274500000000002</v>
      </c>
      <c r="AZ86" s="21">
        <v>27.6495</v>
      </c>
      <c r="BA86" s="21">
        <v>-1.43036E-2</v>
      </c>
      <c r="BB86" s="21">
        <v>76</v>
      </c>
      <c r="BC86" s="21">
        <v>0.28216599999999997</v>
      </c>
      <c r="BD86">
        <f t="shared" si="22"/>
        <v>17.658765432098765</v>
      </c>
      <c r="BE86">
        <f t="shared" si="23"/>
        <v>4.9929276320987652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1.35223</v>
      </c>
      <c r="H87" s="21">
        <v>5.7837899999999998</v>
      </c>
      <c r="I87" s="21">
        <v>-1.3418599999999999E-2</v>
      </c>
      <c r="J87" s="21">
        <v>77</v>
      </c>
      <c r="K87" s="21">
        <v>1.35101</v>
      </c>
      <c r="L87">
        <f t="shared" si="12"/>
        <v>16.566172839506169</v>
      </c>
      <c r="M87">
        <f t="shared" si="13"/>
        <v>22.401275898765427</v>
      </c>
      <c r="N87" s="9"/>
      <c r="O87" s="21">
        <v>0.28778100000000001</v>
      </c>
      <c r="P87" s="21">
        <v>9.4821299999999997</v>
      </c>
      <c r="Q87" s="21">
        <v>-1.41937E-2</v>
      </c>
      <c r="R87" s="21">
        <v>77</v>
      </c>
      <c r="S87" s="21">
        <v>0.28716999999999998</v>
      </c>
      <c r="T87">
        <f t="shared" si="14"/>
        <v>17.523086419753085</v>
      </c>
      <c r="U87">
        <f t="shared" si="15"/>
        <v>5.0428113329629625</v>
      </c>
      <c r="X87" s="9"/>
      <c r="Y87" s="21">
        <v>1.35223</v>
      </c>
      <c r="Z87" s="21">
        <v>14.849</v>
      </c>
      <c r="AA87" s="21">
        <v>-1.36688E-2</v>
      </c>
      <c r="AB87" s="21">
        <v>77</v>
      </c>
      <c r="AC87" s="21">
        <v>1.3513200000000001</v>
      </c>
      <c r="AD87">
        <f t="shared" si="16"/>
        <v>16.87506172839506</v>
      </c>
      <c r="AE87">
        <f t="shared" si="17"/>
        <v>22.818964720987655</v>
      </c>
      <c r="AF87" s="9"/>
      <c r="AG87" s="21">
        <v>0.28778100000000001</v>
      </c>
      <c r="AH87" s="21">
        <v>18.5473</v>
      </c>
      <c r="AI87" s="21">
        <v>-1.4208999999999999E-2</v>
      </c>
      <c r="AJ87" s="21">
        <v>77</v>
      </c>
      <c r="AK87" s="21">
        <v>0.28720099999999998</v>
      </c>
      <c r="AL87">
        <f t="shared" si="18"/>
        <v>17.541975308641973</v>
      </c>
      <c r="AM87">
        <f t="shared" si="19"/>
        <v>5.0482471962962956</v>
      </c>
      <c r="AP87" s="9"/>
      <c r="AQ87" s="21">
        <v>1.35223</v>
      </c>
      <c r="AR87" s="21">
        <v>23.961200000000002</v>
      </c>
      <c r="AS87" s="21">
        <v>-1.37146E-2</v>
      </c>
      <c r="AT87" s="21">
        <v>77</v>
      </c>
      <c r="AU87" s="21">
        <v>1.3513200000000001</v>
      </c>
      <c r="AV87">
        <f t="shared" si="20"/>
        <v>16.931604938271605</v>
      </c>
      <c r="AW87">
        <f t="shared" si="21"/>
        <v>22.895424145679012</v>
      </c>
      <c r="AX87" s="9"/>
      <c r="AY87" s="21">
        <v>0.28778100000000001</v>
      </c>
      <c r="AZ87" s="21">
        <v>27.659600000000001</v>
      </c>
      <c r="BA87" s="21">
        <v>-1.42883E-2</v>
      </c>
      <c r="BB87" s="21">
        <v>77</v>
      </c>
      <c r="BC87" s="21">
        <v>0.28729199999999999</v>
      </c>
      <c r="BD87">
        <f t="shared" si="22"/>
        <v>17.639876543209876</v>
      </c>
      <c r="BE87">
        <f t="shared" si="23"/>
        <v>5.0764213114814813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1.3472</v>
      </c>
      <c r="H88" s="21">
        <v>5.7938599999999996</v>
      </c>
      <c r="I88" s="21">
        <v>-1.34491E-2</v>
      </c>
      <c r="J88" s="21">
        <v>78</v>
      </c>
      <c r="K88" s="21">
        <v>1.34613</v>
      </c>
      <c r="L88">
        <f t="shared" si="12"/>
        <v>16.603827160493829</v>
      </c>
      <c r="M88">
        <f t="shared" si="13"/>
        <v>22.368675950617284</v>
      </c>
      <c r="N88" s="9"/>
      <c r="O88" s="21">
        <v>0.29281600000000002</v>
      </c>
      <c r="P88" s="21">
        <v>9.4922000000000004</v>
      </c>
      <c r="Q88" s="21">
        <v>-1.4202899999999999E-2</v>
      </c>
      <c r="R88" s="21">
        <v>78</v>
      </c>
      <c r="S88" s="21">
        <v>0.292236</v>
      </c>
      <c r="T88">
        <f t="shared" si="14"/>
        <v>17.534444444444443</v>
      </c>
      <c r="U88">
        <f t="shared" si="15"/>
        <v>5.1343658844444446</v>
      </c>
      <c r="X88" s="9"/>
      <c r="Y88" s="21">
        <v>1.3472</v>
      </c>
      <c r="Z88" s="21">
        <v>14.8591</v>
      </c>
      <c r="AA88" s="21">
        <v>-1.3677999999999999E-2</v>
      </c>
      <c r="AB88" s="21">
        <v>78</v>
      </c>
      <c r="AC88" s="21">
        <v>1.3464400000000001</v>
      </c>
      <c r="AD88">
        <f t="shared" si="16"/>
        <v>16.886419753086418</v>
      </c>
      <c r="AE88">
        <f t="shared" si="17"/>
        <v>22.749384691358021</v>
      </c>
      <c r="AF88" s="9"/>
      <c r="AG88" s="21">
        <v>0.29281600000000002</v>
      </c>
      <c r="AH88" s="21">
        <v>18.557400000000001</v>
      </c>
      <c r="AI88" s="21">
        <v>-1.4212000000000001E-2</v>
      </c>
      <c r="AJ88" s="21">
        <v>78</v>
      </c>
      <c r="AK88" s="21">
        <v>0.292267</v>
      </c>
      <c r="AL88">
        <f t="shared" si="18"/>
        <v>17.54567901234568</v>
      </c>
      <c r="AM88">
        <f t="shared" si="19"/>
        <v>5.1376555456790127</v>
      </c>
      <c r="AP88" s="9"/>
      <c r="AQ88" s="21">
        <v>1.3472</v>
      </c>
      <c r="AR88" s="21">
        <v>23.971299999999999</v>
      </c>
      <c r="AS88" s="21">
        <v>-1.37512E-2</v>
      </c>
      <c r="AT88" s="21">
        <v>78</v>
      </c>
      <c r="AU88" s="21">
        <v>1.34674</v>
      </c>
      <c r="AV88">
        <f t="shared" si="20"/>
        <v>16.976790123456787</v>
      </c>
      <c r="AW88">
        <f t="shared" si="21"/>
        <v>22.871131654320983</v>
      </c>
      <c r="AX88" s="9"/>
      <c r="AY88" s="21">
        <v>0.29281600000000002</v>
      </c>
      <c r="AZ88" s="21">
        <v>27.669599999999999</v>
      </c>
      <c r="BA88" s="21">
        <v>-1.42883E-2</v>
      </c>
      <c r="BB88" s="21">
        <v>78</v>
      </c>
      <c r="BC88" s="21">
        <v>0.29220600000000002</v>
      </c>
      <c r="BD88">
        <f t="shared" si="22"/>
        <v>17.639876543209876</v>
      </c>
      <c r="BE88">
        <f t="shared" si="23"/>
        <v>5.1652380898765431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1.34216</v>
      </c>
      <c r="H89" s="21">
        <v>5.8039300000000003</v>
      </c>
      <c r="I89" s="21">
        <v>-1.34552E-2</v>
      </c>
      <c r="J89" s="21">
        <v>79</v>
      </c>
      <c r="K89" s="21">
        <v>1.34155</v>
      </c>
      <c r="L89">
        <f t="shared" si="12"/>
        <v>16.611358024691356</v>
      </c>
      <c r="M89">
        <f t="shared" si="13"/>
        <v>22.29510028641975</v>
      </c>
      <c r="N89" s="9"/>
      <c r="O89" s="21">
        <v>0.29785200000000001</v>
      </c>
      <c r="P89" s="21">
        <v>9.5022699999999993</v>
      </c>
      <c r="Q89" s="21">
        <v>-1.42059E-2</v>
      </c>
      <c r="R89" s="21">
        <v>79</v>
      </c>
      <c r="S89" s="21">
        <v>0.29727199999999998</v>
      </c>
      <c r="T89">
        <f t="shared" si="14"/>
        <v>17.538148148148146</v>
      </c>
      <c r="U89">
        <f t="shared" si="15"/>
        <v>5.2237725022222214</v>
      </c>
      <c r="X89" s="9"/>
      <c r="Y89" s="21">
        <v>1.34216</v>
      </c>
      <c r="Z89" s="21">
        <v>14.8691</v>
      </c>
      <c r="AA89" s="21">
        <v>-1.36902E-2</v>
      </c>
      <c r="AB89" s="21">
        <v>79</v>
      </c>
      <c r="AC89" s="21">
        <v>1.3412500000000001</v>
      </c>
      <c r="AD89">
        <f t="shared" si="16"/>
        <v>16.901481481481479</v>
      </c>
      <c r="AE89">
        <f t="shared" si="17"/>
        <v>22.684492385185184</v>
      </c>
      <c r="AF89" s="9"/>
      <c r="AG89" s="21">
        <v>0.29785200000000001</v>
      </c>
      <c r="AH89" s="21">
        <v>18.567499999999999</v>
      </c>
      <c r="AI89" s="21">
        <v>-1.4218099999999999E-2</v>
      </c>
      <c r="AJ89" s="21">
        <v>79</v>
      </c>
      <c r="AK89" s="21">
        <v>0.29730200000000001</v>
      </c>
      <c r="AL89">
        <f t="shared" si="18"/>
        <v>17.553209876543207</v>
      </c>
      <c r="AM89">
        <f t="shared" si="19"/>
        <v>5.2282586681481469</v>
      </c>
      <c r="AP89" s="9"/>
      <c r="AQ89" s="21">
        <v>1.34216</v>
      </c>
      <c r="AR89" s="21">
        <v>23.981400000000001</v>
      </c>
      <c r="AS89" s="21">
        <v>-1.37695E-2</v>
      </c>
      <c r="AT89" s="21">
        <v>79</v>
      </c>
      <c r="AU89" s="21">
        <v>1.34155</v>
      </c>
      <c r="AV89">
        <f t="shared" si="20"/>
        <v>16.999382716049382</v>
      </c>
      <c r="AW89">
        <f t="shared" si="21"/>
        <v>22.815891506172839</v>
      </c>
      <c r="AX89" s="9"/>
      <c r="AY89" s="21">
        <v>0.29785200000000001</v>
      </c>
      <c r="AZ89" s="21">
        <v>27.6797</v>
      </c>
      <c r="BA89" s="21">
        <v>-1.4285300000000001E-2</v>
      </c>
      <c r="BB89" s="21">
        <v>79</v>
      </c>
      <c r="BC89" s="21">
        <v>0.29733300000000001</v>
      </c>
      <c r="BD89">
        <f t="shared" si="22"/>
        <v>17.636172839506173</v>
      </c>
      <c r="BE89">
        <f t="shared" si="23"/>
        <v>5.2529693525925927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1.3371299999999999</v>
      </c>
      <c r="H90" s="21">
        <v>5.8140000000000001</v>
      </c>
      <c r="I90" s="21">
        <v>-1.3473499999999999E-2</v>
      </c>
      <c r="J90" s="21">
        <v>80</v>
      </c>
      <c r="K90" s="21">
        <v>1.33667</v>
      </c>
      <c r="L90">
        <f t="shared" si="12"/>
        <v>16.633950617283947</v>
      </c>
      <c r="M90">
        <f t="shared" si="13"/>
        <v>22.241754388888882</v>
      </c>
      <c r="N90" s="9"/>
      <c r="O90" s="21">
        <v>0.30288700000000002</v>
      </c>
      <c r="P90" s="21">
        <v>9.51234</v>
      </c>
      <c r="Q90" s="21">
        <v>-1.4202899999999999E-2</v>
      </c>
      <c r="R90" s="21">
        <v>80</v>
      </c>
      <c r="S90" s="21">
        <v>0.302338</v>
      </c>
      <c r="T90">
        <f t="shared" si="14"/>
        <v>17.534444444444443</v>
      </c>
      <c r="U90">
        <f t="shared" si="15"/>
        <v>5.3109552744444439</v>
      </c>
      <c r="X90" s="9"/>
      <c r="Y90" s="21">
        <v>1.3371299999999999</v>
      </c>
      <c r="Z90" s="21">
        <v>14.879200000000001</v>
      </c>
      <c r="AA90" s="21">
        <v>-1.3699299999999999E-2</v>
      </c>
      <c r="AB90" s="21">
        <v>80</v>
      </c>
      <c r="AC90" s="21">
        <v>1.33667</v>
      </c>
      <c r="AD90">
        <f t="shared" si="16"/>
        <v>16.912716049382716</v>
      </c>
      <c r="AE90">
        <f t="shared" si="17"/>
        <v>22.614500011111112</v>
      </c>
      <c r="AF90" s="9"/>
      <c r="AG90" s="21">
        <v>0.30288700000000002</v>
      </c>
      <c r="AH90" s="21">
        <v>18.5776</v>
      </c>
      <c r="AI90" s="21">
        <v>-1.42212E-2</v>
      </c>
      <c r="AJ90" s="21">
        <v>80</v>
      </c>
      <c r="AK90" s="21">
        <v>0.30221599999999998</v>
      </c>
      <c r="AL90">
        <f t="shared" si="18"/>
        <v>17.557037037037034</v>
      </c>
      <c r="AM90">
        <f t="shared" si="19"/>
        <v>5.3177982770370367</v>
      </c>
      <c r="AP90" s="9"/>
      <c r="AQ90" s="21">
        <v>1.3371299999999999</v>
      </c>
      <c r="AR90" s="21">
        <v>23.991399999999999</v>
      </c>
      <c r="AS90" s="21">
        <v>-1.3781699999999999E-2</v>
      </c>
      <c r="AT90" s="21">
        <v>80</v>
      </c>
      <c r="AU90" s="21">
        <v>1.33667</v>
      </c>
      <c r="AV90">
        <f t="shared" si="20"/>
        <v>17.014444444444443</v>
      </c>
      <c r="AW90">
        <f t="shared" si="21"/>
        <v>22.750524099999996</v>
      </c>
      <c r="AX90" s="9"/>
      <c r="AY90" s="21">
        <v>0.30288700000000002</v>
      </c>
      <c r="AZ90" s="21">
        <v>27.689800000000002</v>
      </c>
      <c r="BA90" s="21">
        <v>-1.4279200000000001E-2</v>
      </c>
      <c r="BB90" s="21">
        <v>80</v>
      </c>
      <c r="BC90" s="21">
        <v>0.30230699999999999</v>
      </c>
      <c r="BD90">
        <f t="shared" si="22"/>
        <v>17.628641975308639</v>
      </c>
      <c r="BE90">
        <f t="shared" si="23"/>
        <v>5.3394864819753085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1.33209</v>
      </c>
      <c r="H91" s="21">
        <v>5.8240699999999999</v>
      </c>
      <c r="I91" s="21">
        <v>-1.3494900000000001E-2</v>
      </c>
      <c r="J91" s="21">
        <v>81</v>
      </c>
      <c r="K91" s="21">
        <v>1.33179</v>
      </c>
      <c r="L91">
        <f t="shared" si="12"/>
        <v>16.660370370370369</v>
      </c>
      <c r="M91">
        <f t="shared" si="13"/>
        <v>22.193112766666665</v>
      </c>
      <c r="N91" s="9"/>
      <c r="O91" s="21">
        <v>0.30792199999999997</v>
      </c>
      <c r="P91" s="21">
        <v>9.5224100000000007</v>
      </c>
      <c r="Q91" s="21">
        <v>-1.4196800000000001E-2</v>
      </c>
      <c r="R91" s="21">
        <v>81</v>
      </c>
      <c r="S91" s="21">
        <v>0.30737300000000001</v>
      </c>
      <c r="T91">
        <f t="shared" si="14"/>
        <v>17.526913580246916</v>
      </c>
      <c r="U91">
        <f t="shared" si="15"/>
        <v>5.3969222834567905</v>
      </c>
      <c r="X91" s="9"/>
      <c r="Y91" s="21">
        <v>1.33209</v>
      </c>
      <c r="Z91" s="21">
        <v>14.8893</v>
      </c>
      <c r="AA91" s="21">
        <v>-1.3717699999999999E-2</v>
      </c>
      <c r="AB91" s="21">
        <v>81</v>
      </c>
      <c r="AC91" s="21">
        <v>1.33087</v>
      </c>
      <c r="AD91">
        <f t="shared" si="16"/>
        <v>16.935432098765432</v>
      </c>
      <c r="AE91">
        <f t="shared" si="17"/>
        <v>22.559519744444444</v>
      </c>
      <c r="AF91" s="9"/>
      <c r="AG91" s="21">
        <v>0.30792199999999997</v>
      </c>
      <c r="AH91" s="21">
        <v>18.587599999999998</v>
      </c>
      <c r="AI91" s="21">
        <v>-1.4224199999999999E-2</v>
      </c>
      <c r="AJ91" s="21">
        <v>81</v>
      </c>
      <c r="AK91" s="21">
        <v>0.307251</v>
      </c>
      <c r="AL91">
        <f t="shared" si="18"/>
        <v>17.560740740740737</v>
      </c>
      <c r="AM91">
        <f t="shared" si="19"/>
        <v>5.407338410370369</v>
      </c>
      <c r="AP91" s="9"/>
      <c r="AQ91" s="21">
        <v>1.33209</v>
      </c>
      <c r="AR91" s="21">
        <v>24.0015</v>
      </c>
      <c r="AS91" s="21">
        <v>-1.3787799999999999E-2</v>
      </c>
      <c r="AT91" s="21">
        <v>81</v>
      </c>
      <c r="AU91" s="21">
        <v>1.33118</v>
      </c>
      <c r="AV91">
        <f t="shared" si="20"/>
        <v>17.021975308641974</v>
      </c>
      <c r="AW91">
        <f t="shared" si="21"/>
        <v>22.674803088888886</v>
      </c>
      <c r="AX91" s="9"/>
      <c r="AY91" s="21">
        <v>0.30792199999999997</v>
      </c>
      <c r="AZ91" s="21">
        <v>27.6998</v>
      </c>
      <c r="BA91" s="21">
        <v>-1.42822E-2</v>
      </c>
      <c r="BB91" s="21">
        <v>81</v>
      </c>
      <c r="BC91" s="21">
        <v>0.30728100000000003</v>
      </c>
      <c r="BD91">
        <f t="shared" si="22"/>
        <v>17.632345679012342</v>
      </c>
      <c r="BE91">
        <f t="shared" si="23"/>
        <v>5.4293871461728376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1.3270599999999999</v>
      </c>
      <c r="H92" s="21">
        <v>5.8341399999999997</v>
      </c>
      <c r="I92" s="21">
        <v>-1.3510100000000001E-2</v>
      </c>
      <c r="J92" s="21">
        <v>82</v>
      </c>
      <c r="K92" s="21">
        <v>1.3269</v>
      </c>
      <c r="L92">
        <f t="shared" si="12"/>
        <v>16.679135802469133</v>
      </c>
      <c r="M92">
        <f t="shared" si="13"/>
        <v>22.134213958024688</v>
      </c>
      <c r="N92" s="9"/>
      <c r="O92" s="21">
        <v>0.31295800000000001</v>
      </c>
      <c r="P92" s="21">
        <v>9.5324799999999996</v>
      </c>
      <c r="Q92" s="21">
        <v>-1.4190700000000001E-2</v>
      </c>
      <c r="R92" s="21">
        <v>82</v>
      </c>
      <c r="S92" s="21">
        <v>0.31243900000000002</v>
      </c>
      <c r="T92">
        <f t="shared" si="14"/>
        <v>17.519382716049382</v>
      </c>
      <c r="U92">
        <f t="shared" si="15"/>
        <v>5.4828309760493825</v>
      </c>
      <c r="X92" s="9"/>
      <c r="Y92" s="21">
        <v>1.3270599999999999</v>
      </c>
      <c r="Z92" s="21">
        <v>14.8994</v>
      </c>
      <c r="AA92" s="21">
        <v>-1.3732899999999999E-2</v>
      </c>
      <c r="AB92" s="21">
        <v>82</v>
      </c>
      <c r="AC92" s="21">
        <v>1.3266</v>
      </c>
      <c r="AD92">
        <f t="shared" si="16"/>
        <v>16.954197530864196</v>
      </c>
      <c r="AE92">
        <f t="shared" si="17"/>
        <v>22.499237375308638</v>
      </c>
      <c r="AF92" s="9"/>
      <c r="AG92" s="21">
        <v>0.31295800000000001</v>
      </c>
      <c r="AH92" s="21">
        <v>18.5977</v>
      </c>
      <c r="AI92" s="21">
        <v>-1.4224199999999999E-2</v>
      </c>
      <c r="AJ92" s="21">
        <v>82</v>
      </c>
      <c r="AK92" s="21">
        <v>0.312469</v>
      </c>
      <c r="AL92">
        <f t="shared" si="18"/>
        <v>17.560740740740737</v>
      </c>
      <c r="AM92">
        <f t="shared" si="19"/>
        <v>5.4957743007407398</v>
      </c>
      <c r="AP92" s="9"/>
      <c r="AQ92" s="21">
        <v>1.3270599999999999</v>
      </c>
      <c r="AR92" s="21">
        <v>24.011600000000001</v>
      </c>
      <c r="AS92" s="21">
        <v>-1.37848E-2</v>
      </c>
      <c r="AT92" s="21">
        <v>82</v>
      </c>
      <c r="AU92" s="21">
        <v>1.32629</v>
      </c>
      <c r="AV92">
        <f t="shared" si="20"/>
        <v>17.018271604938271</v>
      </c>
      <c r="AW92">
        <f t="shared" si="21"/>
        <v>22.58426751604938</v>
      </c>
      <c r="AX92" s="9"/>
      <c r="AY92" s="21">
        <v>0.31295800000000001</v>
      </c>
      <c r="AZ92" s="21">
        <v>27.709900000000001</v>
      </c>
      <c r="BA92" s="21">
        <v>-1.42883E-2</v>
      </c>
      <c r="BB92" s="21">
        <v>82</v>
      </c>
      <c r="BC92" s="21">
        <v>0.31240800000000002</v>
      </c>
      <c r="BD92">
        <f t="shared" si="22"/>
        <v>17.639876543209876</v>
      </c>
      <c r="BE92">
        <f t="shared" si="23"/>
        <v>5.520540483209877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1.32202</v>
      </c>
      <c r="H93" s="21">
        <v>5.8442100000000003</v>
      </c>
      <c r="I93" s="21">
        <v>-1.3522299999999999E-2</v>
      </c>
      <c r="J93" s="21">
        <v>83</v>
      </c>
      <c r="K93" s="21">
        <v>1.32202</v>
      </c>
      <c r="L93">
        <f t="shared" si="12"/>
        <v>16.694197530864194</v>
      </c>
      <c r="M93">
        <f t="shared" si="13"/>
        <v>22.070063019753082</v>
      </c>
      <c r="N93" s="9"/>
      <c r="O93" s="21">
        <v>0.31799300000000003</v>
      </c>
      <c r="P93" s="21">
        <v>9.5425500000000003</v>
      </c>
      <c r="Q93" s="21">
        <v>-1.41815E-2</v>
      </c>
      <c r="R93" s="21">
        <v>83</v>
      </c>
      <c r="S93" s="21">
        <v>0.31738300000000003</v>
      </c>
      <c r="T93">
        <f t="shared" si="14"/>
        <v>17.508024691358024</v>
      </c>
      <c r="U93">
        <f t="shared" si="15"/>
        <v>5.5674292956790126</v>
      </c>
      <c r="X93" s="9"/>
      <c r="Y93" s="21">
        <v>1.32202</v>
      </c>
      <c r="Z93" s="21">
        <v>14.9094</v>
      </c>
      <c r="AA93" s="21">
        <v>-1.3754300000000001E-2</v>
      </c>
      <c r="AB93" s="21">
        <v>83</v>
      </c>
      <c r="AC93" s="21">
        <v>1.32111</v>
      </c>
      <c r="AD93">
        <f t="shared" si="16"/>
        <v>16.980617283950615</v>
      </c>
      <c r="AE93">
        <f t="shared" si="17"/>
        <v>22.448715661728389</v>
      </c>
      <c r="AF93" s="9"/>
      <c r="AG93" s="21">
        <v>0.31799300000000003</v>
      </c>
      <c r="AH93" s="21">
        <v>18.607800000000001</v>
      </c>
      <c r="AI93" s="21">
        <v>-1.42273E-2</v>
      </c>
      <c r="AJ93" s="21">
        <v>83</v>
      </c>
      <c r="AK93" s="21">
        <v>0.317444</v>
      </c>
      <c r="AL93">
        <f t="shared" si="18"/>
        <v>17.564567901234565</v>
      </c>
      <c r="AM93">
        <f t="shared" si="19"/>
        <v>5.5854096406172831</v>
      </c>
      <c r="AP93" s="9"/>
      <c r="AQ93" s="21">
        <v>1.32202</v>
      </c>
      <c r="AR93" s="21">
        <v>24.021599999999999</v>
      </c>
      <c r="AS93" s="21">
        <v>-1.37939E-2</v>
      </c>
      <c r="AT93" s="21">
        <v>83</v>
      </c>
      <c r="AU93" s="21">
        <v>1.32172</v>
      </c>
      <c r="AV93">
        <f t="shared" si="20"/>
        <v>17.029506172839504</v>
      </c>
      <c r="AW93">
        <f t="shared" si="21"/>
        <v>22.513347750617282</v>
      </c>
      <c r="AX93" s="9"/>
      <c r="AY93" s="21">
        <v>0.31799300000000003</v>
      </c>
      <c r="AZ93" s="21">
        <v>27.72</v>
      </c>
      <c r="BA93" s="21">
        <v>-1.4294400000000001E-2</v>
      </c>
      <c r="BB93" s="21">
        <v>83</v>
      </c>
      <c r="BC93" s="21">
        <v>0.317444</v>
      </c>
      <c r="BD93">
        <f t="shared" si="22"/>
        <v>17.647407407407407</v>
      </c>
      <c r="BE93">
        <f t="shared" si="23"/>
        <v>5.611752023703704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1.3169900000000001</v>
      </c>
      <c r="H94" s="21">
        <v>5.8542899999999998</v>
      </c>
      <c r="I94" s="21">
        <v>-1.3549800000000001E-2</v>
      </c>
      <c r="J94" s="21">
        <v>84</v>
      </c>
      <c r="K94" s="21">
        <v>1.3162199999999999</v>
      </c>
      <c r="L94">
        <f t="shared" si="12"/>
        <v>16.728148148148147</v>
      </c>
      <c r="M94">
        <f t="shared" si="13"/>
        <v>22.03080382962963</v>
      </c>
      <c r="N94" s="9"/>
      <c r="O94" s="21">
        <v>0.32302900000000001</v>
      </c>
      <c r="P94" s="21">
        <v>9.5526199999999992</v>
      </c>
      <c r="Q94" s="21">
        <v>-1.4175399999999999E-2</v>
      </c>
      <c r="R94" s="21">
        <v>84</v>
      </c>
      <c r="S94" s="21">
        <v>0.32247900000000002</v>
      </c>
      <c r="T94">
        <f t="shared" si="14"/>
        <v>17.500493827160494</v>
      </c>
      <c r="U94">
        <f t="shared" si="15"/>
        <v>5.6531670204938269</v>
      </c>
      <c r="X94" s="9"/>
      <c r="Y94" s="21">
        <v>1.3169900000000001</v>
      </c>
      <c r="Z94" s="21">
        <v>14.919499999999999</v>
      </c>
      <c r="AA94" s="21">
        <v>-1.3760400000000001E-2</v>
      </c>
      <c r="AB94" s="21">
        <v>84</v>
      </c>
      <c r="AC94" s="21">
        <v>1.31592</v>
      </c>
      <c r="AD94">
        <f t="shared" si="16"/>
        <v>16.988148148148149</v>
      </c>
      <c r="AE94">
        <f t="shared" si="17"/>
        <v>22.373221229629632</v>
      </c>
      <c r="AF94" s="9"/>
      <c r="AG94" s="21">
        <v>0.32302900000000001</v>
      </c>
      <c r="AH94" s="21">
        <v>18.617799999999999</v>
      </c>
      <c r="AI94" s="21">
        <v>-1.4218099999999999E-2</v>
      </c>
      <c r="AJ94" s="21">
        <v>84</v>
      </c>
      <c r="AK94" s="21">
        <v>0.32247900000000002</v>
      </c>
      <c r="AL94">
        <f t="shared" si="18"/>
        <v>17.553209876543207</v>
      </c>
      <c r="AM94">
        <f t="shared" si="19"/>
        <v>5.6701958332098759</v>
      </c>
      <c r="AP94" s="9"/>
      <c r="AQ94" s="21">
        <v>1.3169900000000001</v>
      </c>
      <c r="AR94" s="21">
        <v>24.031700000000001</v>
      </c>
      <c r="AS94" s="21">
        <v>-1.38031E-2</v>
      </c>
      <c r="AT94" s="21">
        <v>84</v>
      </c>
      <c r="AU94" s="21">
        <v>1.3156099999999999</v>
      </c>
      <c r="AV94">
        <f t="shared" si="20"/>
        <v>17.040864197530862</v>
      </c>
      <c r="AW94">
        <f t="shared" si="21"/>
        <v>22.442647739506171</v>
      </c>
      <c r="AX94" s="9"/>
      <c r="AY94" s="21">
        <v>0.32302900000000001</v>
      </c>
      <c r="AZ94" s="21">
        <v>27.7301</v>
      </c>
      <c r="BA94" s="21">
        <v>-1.42883E-2</v>
      </c>
      <c r="BB94" s="21">
        <v>84</v>
      </c>
      <c r="BC94" s="21">
        <v>0.32238800000000001</v>
      </c>
      <c r="BD94">
        <f t="shared" si="22"/>
        <v>17.639876543209876</v>
      </c>
      <c r="BE94">
        <f t="shared" si="23"/>
        <v>5.6981916798765431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1.3119499999999999</v>
      </c>
      <c r="H95" s="21">
        <v>5.8643599999999996</v>
      </c>
      <c r="I95" s="21">
        <v>-1.35742E-2</v>
      </c>
      <c r="J95" s="21">
        <v>85</v>
      </c>
      <c r="K95" s="21">
        <v>1.31104</v>
      </c>
      <c r="L95">
        <f t="shared" si="12"/>
        <v>16.758271604938273</v>
      </c>
      <c r="M95">
        <f t="shared" si="13"/>
        <v>21.986014432098766</v>
      </c>
      <c r="N95" s="9"/>
      <c r="O95" s="21">
        <v>0.32806400000000002</v>
      </c>
      <c r="P95" s="21">
        <v>9.5626899999999999</v>
      </c>
      <c r="Q95" s="21">
        <v>-1.4175399999999999E-2</v>
      </c>
      <c r="R95" s="21">
        <v>85</v>
      </c>
      <c r="S95" s="21">
        <v>0.32742300000000002</v>
      </c>
      <c r="T95">
        <f t="shared" si="14"/>
        <v>17.500493827160494</v>
      </c>
      <c r="U95">
        <f t="shared" si="15"/>
        <v>5.7412820069135808</v>
      </c>
      <c r="X95" s="9"/>
      <c r="Y95" s="21">
        <v>1.3119499999999999</v>
      </c>
      <c r="Z95" s="21">
        <v>14.929600000000001</v>
      </c>
      <c r="AA95" s="21">
        <v>-1.37634E-2</v>
      </c>
      <c r="AB95" s="21">
        <v>85</v>
      </c>
      <c r="AC95" s="21">
        <v>1.31134</v>
      </c>
      <c r="AD95">
        <f t="shared" si="16"/>
        <v>16.991851851851852</v>
      </c>
      <c r="AE95">
        <f t="shared" si="17"/>
        <v>22.292460037037035</v>
      </c>
      <c r="AF95" s="9"/>
      <c r="AG95" s="21">
        <v>0.32806400000000002</v>
      </c>
      <c r="AH95" s="21">
        <v>18.6279</v>
      </c>
      <c r="AI95" s="21">
        <v>-1.4208999999999999E-2</v>
      </c>
      <c r="AJ95" s="21">
        <v>85</v>
      </c>
      <c r="AK95" s="21">
        <v>0.32745400000000002</v>
      </c>
      <c r="AL95">
        <f t="shared" si="18"/>
        <v>17.541975308641973</v>
      </c>
      <c r="AM95">
        <f t="shared" si="19"/>
        <v>5.7548905876543204</v>
      </c>
      <c r="AP95" s="9"/>
      <c r="AQ95" s="21">
        <v>1.3119499999999999</v>
      </c>
      <c r="AR95" s="21">
        <v>24.041799999999999</v>
      </c>
      <c r="AS95" s="21">
        <v>-1.38031E-2</v>
      </c>
      <c r="AT95" s="21">
        <v>85</v>
      </c>
      <c r="AU95" s="21">
        <v>1.31134</v>
      </c>
      <c r="AV95">
        <f t="shared" si="20"/>
        <v>17.040864197530862</v>
      </c>
      <c r="AW95">
        <f t="shared" si="21"/>
        <v>22.356761783950613</v>
      </c>
      <c r="AX95" s="9"/>
      <c r="AY95" s="21">
        <v>0.32806400000000002</v>
      </c>
      <c r="AZ95" s="21">
        <v>27.740100000000002</v>
      </c>
      <c r="BA95" s="21">
        <v>-1.42822E-2</v>
      </c>
      <c r="BB95" s="21">
        <v>85</v>
      </c>
      <c r="BC95" s="21">
        <v>0.327515</v>
      </c>
      <c r="BD95">
        <f t="shared" si="22"/>
        <v>17.632345679012342</v>
      </c>
      <c r="BE95">
        <f t="shared" si="23"/>
        <v>5.7845378528395051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1.3069200000000001</v>
      </c>
      <c r="H96" s="21">
        <v>5.8744300000000003</v>
      </c>
      <c r="I96" s="21">
        <v>-1.3604700000000001E-2</v>
      </c>
      <c r="J96" s="21">
        <v>86</v>
      </c>
      <c r="K96" s="21">
        <v>1.30646</v>
      </c>
      <c r="L96">
        <f t="shared" si="12"/>
        <v>16.795925925925925</v>
      </c>
      <c r="M96">
        <f t="shared" si="13"/>
        <v>21.950931511111111</v>
      </c>
      <c r="N96" s="9"/>
      <c r="O96" s="21">
        <v>0.33309899999999998</v>
      </c>
      <c r="P96" s="21">
        <v>9.5727600000000006</v>
      </c>
      <c r="Q96" s="21">
        <v>-1.41815E-2</v>
      </c>
      <c r="R96" s="21">
        <v>86</v>
      </c>
      <c r="S96" s="21">
        <v>0.33251999999999998</v>
      </c>
      <c r="T96">
        <f t="shared" si="14"/>
        <v>17.508024691358024</v>
      </c>
      <c r="U96">
        <f t="shared" si="15"/>
        <v>5.8319055166666658</v>
      </c>
      <c r="X96" s="9"/>
      <c r="Y96" s="21">
        <v>1.3069200000000001</v>
      </c>
      <c r="Z96" s="21">
        <v>14.9396</v>
      </c>
      <c r="AA96" s="21">
        <v>-1.37634E-2</v>
      </c>
      <c r="AB96" s="21">
        <v>86</v>
      </c>
      <c r="AC96" s="21">
        <v>1.3061499999999999</v>
      </c>
      <c r="AD96">
        <f t="shared" si="16"/>
        <v>16.991851851851852</v>
      </c>
      <c r="AE96">
        <f t="shared" si="17"/>
        <v>22.206991022222223</v>
      </c>
      <c r="AF96" s="9"/>
      <c r="AG96" s="21">
        <v>0.33309899999999998</v>
      </c>
      <c r="AH96" s="21">
        <v>18.638000000000002</v>
      </c>
      <c r="AI96" s="21">
        <v>-1.4212000000000001E-2</v>
      </c>
      <c r="AJ96" s="21">
        <v>86</v>
      </c>
      <c r="AK96" s="21">
        <v>0.33255000000000001</v>
      </c>
      <c r="AL96">
        <f t="shared" si="18"/>
        <v>17.54567901234568</v>
      </c>
      <c r="AM96">
        <f t="shared" si="19"/>
        <v>5.8444481333333336</v>
      </c>
      <c r="AP96" s="9"/>
      <c r="AQ96" s="21">
        <v>1.3069200000000001</v>
      </c>
      <c r="AR96" s="21">
        <v>24.0519</v>
      </c>
      <c r="AS96" s="21">
        <v>-1.3809200000000001E-2</v>
      </c>
      <c r="AT96" s="21">
        <v>86</v>
      </c>
      <c r="AU96" s="21">
        <v>1.30585</v>
      </c>
      <c r="AV96">
        <f t="shared" si="20"/>
        <v>17.048395061728392</v>
      </c>
      <c r="AW96">
        <f t="shared" si="21"/>
        <v>22.280888474074072</v>
      </c>
      <c r="AX96" s="9"/>
      <c r="AY96" s="21">
        <v>0.33309899999999998</v>
      </c>
      <c r="AZ96" s="21">
        <v>27.7502</v>
      </c>
      <c r="BA96" s="21">
        <v>-1.427E-2</v>
      </c>
      <c r="BB96" s="21">
        <v>86</v>
      </c>
      <c r="BC96" s="21">
        <v>0.33248899999999998</v>
      </c>
      <c r="BD96">
        <f t="shared" si="22"/>
        <v>17.617283950617285</v>
      </c>
      <c r="BE96">
        <f t="shared" si="23"/>
        <v>5.8682996666666662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1.3018799999999999</v>
      </c>
      <c r="H97" s="21">
        <v>5.8845000000000001</v>
      </c>
      <c r="I97" s="21">
        <v>-1.362E-2</v>
      </c>
      <c r="J97" s="21">
        <v>87</v>
      </c>
      <c r="K97" s="21">
        <v>1.3006599999999999</v>
      </c>
      <c r="L97">
        <f t="shared" si="12"/>
        <v>16.814814814814813</v>
      </c>
      <c r="M97">
        <f t="shared" si="13"/>
        <v>21.890871111111107</v>
      </c>
      <c r="N97" s="9"/>
      <c r="O97" s="21">
        <v>0.33813500000000002</v>
      </c>
      <c r="P97" s="21">
        <v>9.5828399999999991</v>
      </c>
      <c r="Q97" s="21">
        <v>-1.4190700000000001E-2</v>
      </c>
      <c r="R97" s="21">
        <v>87</v>
      </c>
      <c r="S97" s="21">
        <v>0.33752399999999999</v>
      </c>
      <c r="T97">
        <f t="shared" si="14"/>
        <v>17.519382716049382</v>
      </c>
      <c r="U97">
        <f t="shared" si="15"/>
        <v>5.9239164746913584</v>
      </c>
      <c r="X97" s="9"/>
      <c r="Y97" s="21">
        <v>1.3018799999999999</v>
      </c>
      <c r="Z97" s="21">
        <v>14.9497</v>
      </c>
      <c r="AA97" s="21">
        <v>-1.3772599999999999E-2</v>
      </c>
      <c r="AB97" s="21">
        <v>87</v>
      </c>
      <c r="AC97" s="21">
        <v>1.3012699999999999</v>
      </c>
      <c r="AD97">
        <f t="shared" si="16"/>
        <v>17.00320987654321</v>
      </c>
      <c r="AE97">
        <f t="shared" si="17"/>
        <v>22.136138874074071</v>
      </c>
      <c r="AF97" s="9"/>
      <c r="AG97" s="21">
        <v>0.33813500000000002</v>
      </c>
      <c r="AH97" s="21">
        <v>18.648</v>
      </c>
      <c r="AI97" s="21">
        <v>-1.4212000000000001E-2</v>
      </c>
      <c r="AJ97" s="21">
        <v>87</v>
      </c>
      <c r="AK97" s="21">
        <v>0.33752399999999999</v>
      </c>
      <c r="AL97">
        <f t="shared" si="18"/>
        <v>17.54567901234568</v>
      </c>
      <c r="AM97">
        <f t="shared" si="19"/>
        <v>5.9328081728395068</v>
      </c>
      <c r="AP97" s="9"/>
      <c r="AQ97" s="21">
        <v>1.3018799999999999</v>
      </c>
      <c r="AR97" s="21">
        <v>24.061900000000001</v>
      </c>
      <c r="AS97" s="21">
        <v>-1.38245E-2</v>
      </c>
      <c r="AT97" s="21">
        <v>87</v>
      </c>
      <c r="AU97" s="21">
        <v>1.3012699999999999</v>
      </c>
      <c r="AV97">
        <f t="shared" si="20"/>
        <v>17.067283950617281</v>
      </c>
      <c r="AW97">
        <f t="shared" si="21"/>
        <v>22.219555629629625</v>
      </c>
      <c r="AX97" s="9"/>
      <c r="AY97" s="21">
        <v>0.33813500000000002</v>
      </c>
      <c r="AZ97" s="21">
        <v>27.760300000000001</v>
      </c>
      <c r="BA97" s="21">
        <v>-1.42609E-2</v>
      </c>
      <c r="BB97" s="21">
        <v>87</v>
      </c>
      <c r="BC97" s="21">
        <v>0.33752399999999999</v>
      </c>
      <c r="BD97">
        <f t="shared" si="22"/>
        <v>17.606049382716048</v>
      </c>
      <c r="BE97">
        <f t="shared" si="23"/>
        <v>5.9532215080246909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1.29684</v>
      </c>
      <c r="H98" s="21">
        <v>5.8945699999999999</v>
      </c>
      <c r="I98" s="21">
        <v>-1.36536E-2</v>
      </c>
      <c r="J98" s="21">
        <v>88</v>
      </c>
      <c r="K98" s="21">
        <v>1.2963899999999999</v>
      </c>
      <c r="L98">
        <f t="shared" si="12"/>
        <v>16.856296296296296</v>
      </c>
      <c r="M98">
        <f t="shared" si="13"/>
        <v>21.859919288888889</v>
      </c>
      <c r="N98" s="9"/>
      <c r="O98" s="21">
        <v>0.34316999999999998</v>
      </c>
      <c r="P98" s="21">
        <v>9.5929099999999998</v>
      </c>
      <c r="Q98" s="21">
        <v>-1.4202899999999999E-2</v>
      </c>
      <c r="R98" s="21">
        <v>88</v>
      </c>
      <c r="S98" s="21">
        <v>0.34252899999999997</v>
      </c>
      <c r="T98">
        <f t="shared" si="14"/>
        <v>17.534444444444443</v>
      </c>
      <c r="U98">
        <f t="shared" si="15"/>
        <v>6.0172952999999989</v>
      </c>
      <c r="X98" s="9"/>
      <c r="Y98" s="21">
        <v>1.29684</v>
      </c>
      <c r="Z98" s="21">
        <v>14.9598</v>
      </c>
      <c r="AA98" s="21">
        <v>-1.37848E-2</v>
      </c>
      <c r="AB98" s="21">
        <v>88</v>
      </c>
      <c r="AC98" s="21">
        <v>1.2963899999999999</v>
      </c>
      <c r="AD98">
        <f t="shared" si="16"/>
        <v>17.018271604938271</v>
      </c>
      <c r="AE98">
        <f t="shared" si="17"/>
        <v>22.069975348148148</v>
      </c>
      <c r="AF98" s="9"/>
      <c r="AG98" s="21">
        <v>0.34316999999999998</v>
      </c>
      <c r="AH98" s="21">
        <v>18.658100000000001</v>
      </c>
      <c r="AI98" s="21">
        <v>-1.42151E-2</v>
      </c>
      <c r="AJ98" s="21">
        <v>88</v>
      </c>
      <c r="AK98" s="21">
        <v>0.34268199999999999</v>
      </c>
      <c r="AL98">
        <f t="shared" si="18"/>
        <v>17.549506172839507</v>
      </c>
      <c r="AM98">
        <f t="shared" si="19"/>
        <v>6.0224640333333337</v>
      </c>
      <c r="AP98" s="9"/>
      <c r="AQ98" s="21">
        <v>1.29684</v>
      </c>
      <c r="AR98" s="21">
        <v>24.071999999999999</v>
      </c>
      <c r="AS98" s="21">
        <v>-1.3854999999999999E-2</v>
      </c>
      <c r="AT98" s="21">
        <v>88</v>
      </c>
      <c r="AU98" s="21">
        <v>1.2960799999999999</v>
      </c>
      <c r="AV98">
        <f t="shared" si="20"/>
        <v>17.104938271604937</v>
      </c>
      <c r="AW98">
        <f t="shared" si="21"/>
        <v>22.182368148148147</v>
      </c>
      <c r="AX98" s="9"/>
      <c r="AY98" s="21">
        <v>0.34316999999999998</v>
      </c>
      <c r="AZ98" s="21">
        <v>27.770299999999999</v>
      </c>
      <c r="BA98" s="21">
        <v>-1.4257799999999999E-2</v>
      </c>
      <c r="BB98" s="21">
        <v>88</v>
      </c>
      <c r="BC98" s="21">
        <v>0.34262100000000001</v>
      </c>
      <c r="BD98">
        <f t="shared" si="22"/>
        <v>17.60222222222222</v>
      </c>
      <c r="BE98">
        <f t="shared" si="23"/>
        <v>6.0405545999999992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1.2918099999999999</v>
      </c>
      <c r="H99" s="21">
        <v>5.9046399999999997</v>
      </c>
      <c r="I99" s="21">
        <v>-1.3677999999999999E-2</v>
      </c>
      <c r="J99" s="21">
        <v>89</v>
      </c>
      <c r="K99" s="21">
        <v>1.2911999999999999</v>
      </c>
      <c r="L99">
        <f t="shared" si="12"/>
        <v>16.886419753086418</v>
      </c>
      <c r="M99">
        <f t="shared" si="13"/>
        <v>21.814045901234564</v>
      </c>
      <c r="N99" s="9"/>
      <c r="O99" s="21">
        <v>0.34820600000000002</v>
      </c>
      <c r="P99" s="21">
        <v>9.6029800000000005</v>
      </c>
      <c r="Q99" s="21">
        <v>-1.41815E-2</v>
      </c>
      <c r="R99" s="21">
        <v>89</v>
      </c>
      <c r="S99" s="21">
        <v>0.34756500000000001</v>
      </c>
      <c r="T99">
        <f t="shared" si="14"/>
        <v>17.508024691358024</v>
      </c>
      <c r="U99">
        <f t="shared" si="15"/>
        <v>6.0963992456790121</v>
      </c>
      <c r="X99" s="9"/>
      <c r="Y99" s="21">
        <v>1.2918099999999999</v>
      </c>
      <c r="Z99" s="21">
        <v>14.969900000000001</v>
      </c>
      <c r="AA99" s="21">
        <v>-1.38E-2</v>
      </c>
      <c r="AB99" s="21">
        <v>89</v>
      </c>
      <c r="AC99" s="21">
        <v>1.2918099999999999</v>
      </c>
      <c r="AD99">
        <f t="shared" si="16"/>
        <v>17.037037037037035</v>
      </c>
      <c r="AE99">
        <f t="shared" si="17"/>
        <v>22.008614814814809</v>
      </c>
      <c r="AF99" s="9"/>
      <c r="AG99" s="21">
        <v>0.34820600000000002</v>
      </c>
      <c r="AH99" s="21">
        <v>18.668199999999999</v>
      </c>
      <c r="AI99" s="21">
        <v>-1.42059E-2</v>
      </c>
      <c r="AJ99" s="21">
        <v>89</v>
      </c>
      <c r="AK99" s="21">
        <v>0.34762599999999999</v>
      </c>
      <c r="AL99">
        <f t="shared" si="18"/>
        <v>17.538148148148146</v>
      </c>
      <c r="AM99">
        <f t="shared" si="19"/>
        <v>6.1068884140740733</v>
      </c>
      <c r="AP99" s="9"/>
      <c r="AQ99" s="21">
        <v>1.2918099999999999</v>
      </c>
      <c r="AR99" s="21">
        <v>24.082100000000001</v>
      </c>
      <c r="AS99" s="21">
        <v>-1.38733E-2</v>
      </c>
      <c r="AT99" s="21">
        <v>89</v>
      </c>
      <c r="AU99" s="21">
        <v>1.2905899999999999</v>
      </c>
      <c r="AV99">
        <f t="shared" si="20"/>
        <v>17.127530864197528</v>
      </c>
      <c r="AW99">
        <f t="shared" si="21"/>
        <v>22.125515645679005</v>
      </c>
      <c r="AX99" s="9"/>
      <c r="AY99" s="21">
        <v>0.34820600000000002</v>
      </c>
      <c r="AZ99" s="21">
        <v>27.7804</v>
      </c>
      <c r="BA99" s="21">
        <v>-1.427E-2</v>
      </c>
      <c r="BB99" s="21">
        <v>89</v>
      </c>
      <c r="BC99" s="21">
        <v>0.34765600000000002</v>
      </c>
      <c r="BD99">
        <f t="shared" si="22"/>
        <v>17.617283950617285</v>
      </c>
      <c r="BE99">
        <f t="shared" si="23"/>
        <v>6.1344439753086428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1.28677</v>
      </c>
      <c r="H100" s="21">
        <v>5.9147100000000004</v>
      </c>
      <c r="I100" s="21">
        <v>-1.3693200000000001E-2</v>
      </c>
      <c r="J100" s="21">
        <v>90</v>
      </c>
      <c r="K100" s="21">
        <v>1.2860100000000001</v>
      </c>
      <c r="L100">
        <f t="shared" si="12"/>
        <v>16.905185185185186</v>
      </c>
      <c r="M100">
        <f t="shared" si="13"/>
        <v>21.75308514074074</v>
      </c>
      <c r="N100" s="9"/>
      <c r="O100" s="21">
        <v>0.35324100000000003</v>
      </c>
      <c r="P100" s="21">
        <v>9.6130499999999994</v>
      </c>
      <c r="Q100" s="21">
        <v>-1.41785E-2</v>
      </c>
      <c r="R100" s="21">
        <v>90</v>
      </c>
      <c r="S100" s="21">
        <v>0.352661</v>
      </c>
      <c r="T100">
        <f t="shared" si="14"/>
        <v>17.504320987654321</v>
      </c>
      <c r="U100">
        <f t="shared" si="15"/>
        <v>6.1832438500000002</v>
      </c>
      <c r="X100" s="9"/>
      <c r="Y100" s="21">
        <v>1.28677</v>
      </c>
      <c r="Z100" s="21">
        <v>14.979900000000001</v>
      </c>
      <c r="AA100" s="21">
        <v>-1.3821399999999999E-2</v>
      </c>
      <c r="AB100" s="21">
        <v>90</v>
      </c>
      <c r="AC100" s="21">
        <v>1.2863199999999999</v>
      </c>
      <c r="AD100">
        <f t="shared" si="16"/>
        <v>17.063456790123453</v>
      </c>
      <c r="AE100">
        <f t="shared" si="17"/>
        <v>21.956744293827157</v>
      </c>
      <c r="AF100" s="9"/>
      <c r="AG100" s="21">
        <v>0.35324100000000003</v>
      </c>
      <c r="AH100" s="21">
        <v>18.6783</v>
      </c>
      <c r="AI100" s="21">
        <v>-1.4212000000000001E-2</v>
      </c>
      <c r="AJ100" s="21">
        <v>90</v>
      </c>
      <c r="AK100" s="21">
        <v>0.35256999999999999</v>
      </c>
      <c r="AL100">
        <f t="shared" si="18"/>
        <v>17.54567901234568</v>
      </c>
      <c r="AM100">
        <f t="shared" si="19"/>
        <v>6.1978532000000008</v>
      </c>
      <c r="AP100" s="9"/>
      <c r="AQ100" s="21">
        <v>1.28677</v>
      </c>
      <c r="AR100" s="21">
        <v>24.092099999999999</v>
      </c>
      <c r="AS100" s="21">
        <v>-1.38794E-2</v>
      </c>
      <c r="AT100" s="21">
        <v>90</v>
      </c>
      <c r="AU100" s="21">
        <v>1.2866200000000001</v>
      </c>
      <c r="AV100">
        <f t="shared" si="20"/>
        <v>17.135061728395058</v>
      </c>
      <c r="AW100">
        <f t="shared" si="21"/>
        <v>22.04888338024691</v>
      </c>
      <c r="AX100" s="9"/>
      <c r="AY100" s="21">
        <v>0.35324100000000003</v>
      </c>
      <c r="AZ100" s="21">
        <v>27.790500000000002</v>
      </c>
      <c r="BA100" s="21">
        <v>-1.4279200000000001E-2</v>
      </c>
      <c r="BB100" s="21">
        <v>90</v>
      </c>
      <c r="BC100" s="21">
        <v>0.35269200000000001</v>
      </c>
      <c r="BD100">
        <f t="shared" si="22"/>
        <v>17.628641975308639</v>
      </c>
      <c r="BE100">
        <f t="shared" si="23"/>
        <v>6.2271591199999996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1.2817400000000001</v>
      </c>
      <c r="H101" s="21">
        <v>5.9247800000000002</v>
      </c>
      <c r="I101" s="21">
        <v>-1.37054E-2</v>
      </c>
      <c r="J101" s="21">
        <v>91</v>
      </c>
      <c r="K101" s="21">
        <v>1.2814300000000001</v>
      </c>
      <c r="L101">
        <f t="shared" si="12"/>
        <v>16.920246913580247</v>
      </c>
      <c r="M101">
        <f t="shared" si="13"/>
        <v>21.687357279012346</v>
      </c>
      <c r="N101" s="9"/>
      <c r="O101" s="21">
        <v>0.35827599999999998</v>
      </c>
      <c r="P101" s="21">
        <v>9.6231200000000001</v>
      </c>
      <c r="Q101" s="21">
        <v>-1.41846E-2</v>
      </c>
      <c r="R101" s="21">
        <v>91</v>
      </c>
      <c r="S101" s="21">
        <v>0.35778799999999999</v>
      </c>
      <c r="T101">
        <f t="shared" si="14"/>
        <v>17.511851851851851</v>
      </c>
      <c r="U101">
        <f t="shared" si="15"/>
        <v>6.2740762340740739</v>
      </c>
      <c r="X101" s="9"/>
      <c r="Y101" s="21">
        <v>1.2817400000000001</v>
      </c>
      <c r="Z101" s="21">
        <v>14.99</v>
      </c>
      <c r="AA101" s="21">
        <v>-1.38306E-2</v>
      </c>
      <c r="AB101" s="21">
        <v>91</v>
      </c>
      <c r="AC101" s="21">
        <v>1.2811300000000001</v>
      </c>
      <c r="AD101">
        <f t="shared" si="16"/>
        <v>17.074814814814815</v>
      </c>
      <c r="AE101">
        <f t="shared" si="17"/>
        <v>21.885473140740743</v>
      </c>
      <c r="AF101" s="9"/>
      <c r="AG101" s="21">
        <v>0.35827599999999998</v>
      </c>
      <c r="AH101" s="21">
        <v>18.688300000000002</v>
      </c>
      <c r="AI101" s="21">
        <v>-1.4212000000000001E-2</v>
      </c>
      <c r="AJ101" s="21">
        <v>91</v>
      </c>
      <c r="AK101" s="21">
        <v>0.35769699999999999</v>
      </c>
      <c r="AL101">
        <f t="shared" si="18"/>
        <v>17.54567901234568</v>
      </c>
      <c r="AM101">
        <f t="shared" si="19"/>
        <v>6.2861956938271604</v>
      </c>
      <c r="AP101" s="9"/>
      <c r="AQ101" s="21">
        <v>1.2817400000000001</v>
      </c>
      <c r="AR101" s="21">
        <v>24.1022</v>
      </c>
      <c r="AS101" s="21">
        <v>-1.38824E-2</v>
      </c>
      <c r="AT101" s="21">
        <v>91</v>
      </c>
      <c r="AU101" s="21">
        <v>1.2811300000000001</v>
      </c>
      <c r="AV101">
        <f t="shared" si="20"/>
        <v>17.138765432098765</v>
      </c>
      <c r="AW101">
        <f t="shared" si="21"/>
        <v>21.967441204938272</v>
      </c>
      <c r="AX101" s="9"/>
      <c r="AY101" s="21">
        <v>0.35827599999999998</v>
      </c>
      <c r="AZ101" s="21">
        <v>27.800599999999999</v>
      </c>
      <c r="BA101" s="21">
        <v>-1.42822E-2</v>
      </c>
      <c r="BB101" s="21">
        <v>91</v>
      </c>
      <c r="BC101" s="21">
        <v>0.35769699999999999</v>
      </c>
      <c r="BD101">
        <f t="shared" si="22"/>
        <v>17.632345679012342</v>
      </c>
      <c r="BE101">
        <f t="shared" si="23"/>
        <v>6.3172462804938254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1.2766999999999999</v>
      </c>
      <c r="H102" s="21">
        <v>5.93485</v>
      </c>
      <c r="I102" s="21">
        <v>-1.37085E-2</v>
      </c>
      <c r="J102" s="21">
        <v>92</v>
      </c>
      <c r="K102" s="21">
        <v>1.2762500000000001</v>
      </c>
      <c r="L102">
        <f t="shared" si="12"/>
        <v>16.924074074074074</v>
      </c>
      <c r="M102">
        <f t="shared" si="13"/>
        <v>21.606965370370368</v>
      </c>
      <c r="N102" s="9"/>
      <c r="O102" s="21">
        <v>0.36331200000000002</v>
      </c>
      <c r="P102" s="21">
        <v>9.6331900000000008</v>
      </c>
      <c r="Q102" s="21">
        <v>-1.41785E-2</v>
      </c>
      <c r="R102" s="21">
        <v>92</v>
      </c>
      <c r="S102" s="21">
        <v>0.36276199999999997</v>
      </c>
      <c r="T102">
        <f t="shared" si="14"/>
        <v>17.504320987654321</v>
      </c>
      <c r="U102">
        <f t="shared" si="15"/>
        <v>6.3595298666666666</v>
      </c>
      <c r="X102" s="9"/>
      <c r="Y102" s="21">
        <v>1.2766999999999999</v>
      </c>
      <c r="Z102" s="21">
        <v>15.0001</v>
      </c>
      <c r="AA102" s="21">
        <v>-1.3854999999999999E-2</v>
      </c>
      <c r="AB102" s="21">
        <v>92</v>
      </c>
      <c r="AC102" s="21">
        <v>1.2759400000000001</v>
      </c>
      <c r="AD102">
        <f t="shared" si="16"/>
        <v>17.104938271604937</v>
      </c>
      <c r="AE102">
        <f t="shared" si="17"/>
        <v>21.837874691358021</v>
      </c>
      <c r="AF102" s="9"/>
      <c r="AG102" s="21">
        <v>0.36331200000000002</v>
      </c>
      <c r="AH102" s="21">
        <v>18.698399999999999</v>
      </c>
      <c r="AI102" s="21">
        <v>-1.42212E-2</v>
      </c>
      <c r="AJ102" s="21">
        <v>92</v>
      </c>
      <c r="AK102" s="21">
        <v>0.362701</v>
      </c>
      <c r="AL102">
        <f t="shared" si="18"/>
        <v>17.557037037037034</v>
      </c>
      <c r="AM102">
        <f t="shared" si="19"/>
        <v>6.3786822399999989</v>
      </c>
      <c r="AP102" s="9"/>
      <c r="AQ102" s="21">
        <v>1.2766999999999999</v>
      </c>
      <c r="AR102" s="21">
        <v>24.112300000000001</v>
      </c>
      <c r="AS102" s="21">
        <v>-1.38885E-2</v>
      </c>
      <c r="AT102" s="21">
        <v>92</v>
      </c>
      <c r="AU102" s="21">
        <v>1.2759400000000001</v>
      </c>
      <c r="AV102">
        <f t="shared" si="20"/>
        <v>17.146296296296295</v>
      </c>
      <c r="AW102">
        <f t="shared" si="21"/>
        <v>21.890676481481478</v>
      </c>
      <c r="AX102" s="9"/>
      <c r="AY102" s="21">
        <v>0.36331200000000002</v>
      </c>
      <c r="AZ102" s="21">
        <v>27.810600000000001</v>
      </c>
      <c r="BA102" s="21">
        <v>-1.4297499999999999E-2</v>
      </c>
      <c r="BB102" s="21">
        <v>92</v>
      </c>
      <c r="BC102" s="21">
        <v>0.362732</v>
      </c>
      <c r="BD102">
        <f t="shared" si="22"/>
        <v>17.651234567901231</v>
      </c>
      <c r="BE102">
        <f t="shared" si="23"/>
        <v>6.4129053333333319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1.2716700000000001</v>
      </c>
      <c r="H103" s="21">
        <v>5.9449199999999998</v>
      </c>
      <c r="I103" s="21">
        <v>-1.3726800000000001E-2</v>
      </c>
      <c r="J103" s="21">
        <v>93</v>
      </c>
      <c r="K103" s="21">
        <v>1.27136</v>
      </c>
      <c r="L103">
        <f t="shared" si="12"/>
        <v>16.946666666666665</v>
      </c>
      <c r="M103">
        <f t="shared" si="13"/>
        <v>21.550567600000001</v>
      </c>
      <c r="N103" s="9"/>
      <c r="O103" s="21">
        <v>0.36834699999999998</v>
      </c>
      <c r="P103" s="21">
        <v>9.6432599999999997</v>
      </c>
      <c r="Q103" s="21">
        <v>-1.41815E-2</v>
      </c>
      <c r="R103" s="21">
        <v>93</v>
      </c>
      <c r="S103" s="21">
        <v>0.36779800000000001</v>
      </c>
      <c r="T103">
        <f t="shared" si="14"/>
        <v>17.508024691358024</v>
      </c>
      <c r="U103">
        <f t="shared" si="15"/>
        <v>6.4490283709876541</v>
      </c>
      <c r="X103" s="9"/>
      <c r="Y103" s="21">
        <v>1.2716700000000001</v>
      </c>
      <c r="Z103" s="21">
        <v>15.0101</v>
      </c>
      <c r="AA103" s="21">
        <v>-1.38794E-2</v>
      </c>
      <c r="AB103" s="21">
        <v>93</v>
      </c>
      <c r="AC103" s="21">
        <v>1.2716700000000001</v>
      </c>
      <c r="AD103">
        <f t="shared" si="16"/>
        <v>17.135061728395058</v>
      </c>
      <c r="AE103">
        <f t="shared" si="17"/>
        <v>21.790143948148145</v>
      </c>
      <c r="AF103" s="9"/>
      <c r="AG103" s="21">
        <v>0.36834699999999998</v>
      </c>
      <c r="AH103" s="21">
        <v>18.708500000000001</v>
      </c>
      <c r="AI103" s="21">
        <v>-1.4236499999999999E-2</v>
      </c>
      <c r="AJ103" s="21">
        <v>93</v>
      </c>
      <c r="AK103" s="21">
        <v>0.36758400000000002</v>
      </c>
      <c r="AL103">
        <f t="shared" si="18"/>
        <v>17.575925925925926</v>
      </c>
      <c r="AM103">
        <f t="shared" si="19"/>
        <v>6.4740395870370371</v>
      </c>
      <c r="AP103" s="9"/>
      <c r="AQ103" s="21">
        <v>1.2716700000000001</v>
      </c>
      <c r="AR103" s="21">
        <v>24.122399999999999</v>
      </c>
      <c r="AS103" s="21">
        <v>-1.3897700000000001E-2</v>
      </c>
      <c r="AT103" s="21">
        <v>93</v>
      </c>
      <c r="AU103" s="21">
        <v>1.27136</v>
      </c>
      <c r="AV103">
        <f t="shared" si="20"/>
        <v>17.157654320987653</v>
      </c>
      <c r="AW103">
        <f t="shared" si="21"/>
        <v>21.818874270370369</v>
      </c>
      <c r="AX103" s="9"/>
      <c r="AY103" s="21">
        <v>0.36834699999999998</v>
      </c>
      <c r="AZ103" s="21">
        <v>27.820699999999999</v>
      </c>
      <c r="BA103" s="21">
        <v>-1.43036E-2</v>
      </c>
      <c r="BB103" s="21">
        <v>93</v>
      </c>
      <c r="BC103" s="21">
        <v>0.36776700000000001</v>
      </c>
      <c r="BD103">
        <f t="shared" si="22"/>
        <v>17.658765432098765</v>
      </c>
      <c r="BE103">
        <f t="shared" si="23"/>
        <v>6.5045532706172837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1.2666299999999999</v>
      </c>
      <c r="H104" s="21">
        <v>5.9550000000000001</v>
      </c>
      <c r="I104" s="21">
        <v>-1.37421E-2</v>
      </c>
      <c r="J104" s="21">
        <v>94</v>
      </c>
      <c r="K104" s="21">
        <v>1.2658700000000001</v>
      </c>
      <c r="L104">
        <f t="shared" si="12"/>
        <v>16.965555555555554</v>
      </c>
      <c r="M104">
        <f t="shared" si="13"/>
        <v>21.489081633333331</v>
      </c>
      <c r="N104" s="9"/>
      <c r="O104" s="21">
        <v>0.37338300000000002</v>
      </c>
      <c r="P104" s="21">
        <v>9.6533300000000004</v>
      </c>
      <c r="Q104" s="21">
        <v>-1.41785E-2</v>
      </c>
      <c r="R104" s="21">
        <v>94</v>
      </c>
      <c r="S104" s="21">
        <v>0.372803</v>
      </c>
      <c r="T104">
        <f t="shared" si="14"/>
        <v>17.504320987654321</v>
      </c>
      <c r="U104">
        <f t="shared" si="15"/>
        <v>6.535815883333334</v>
      </c>
      <c r="X104" s="9"/>
      <c r="Y104" s="21">
        <v>1.2666299999999999</v>
      </c>
      <c r="Z104" s="21">
        <v>15.020200000000001</v>
      </c>
      <c r="AA104" s="21">
        <v>-1.38885E-2</v>
      </c>
      <c r="AB104" s="21">
        <v>94</v>
      </c>
      <c r="AC104" s="21">
        <v>1.26556</v>
      </c>
      <c r="AD104">
        <f t="shared" si="16"/>
        <v>17.146296296296295</v>
      </c>
      <c r="AE104">
        <f t="shared" si="17"/>
        <v>21.718013277777775</v>
      </c>
      <c r="AF104" s="9"/>
      <c r="AG104" s="21">
        <v>0.37338300000000002</v>
      </c>
      <c r="AH104" s="21">
        <v>18.718499999999999</v>
      </c>
      <c r="AI104" s="21">
        <v>-1.42487E-2</v>
      </c>
      <c r="AJ104" s="21">
        <v>94</v>
      </c>
      <c r="AK104" s="21">
        <v>0.372803</v>
      </c>
      <c r="AL104">
        <f t="shared" si="18"/>
        <v>17.590987654320987</v>
      </c>
      <c r="AM104">
        <f t="shared" si="19"/>
        <v>6.5681757433333336</v>
      </c>
      <c r="AP104" s="9"/>
      <c r="AQ104" s="21">
        <v>1.2666299999999999</v>
      </c>
      <c r="AR104" s="21">
        <v>24.132400000000001</v>
      </c>
      <c r="AS104" s="21">
        <v>-1.39008E-2</v>
      </c>
      <c r="AT104" s="21">
        <v>94</v>
      </c>
      <c r="AU104" s="21">
        <v>1.26617</v>
      </c>
      <c r="AV104">
        <f t="shared" si="20"/>
        <v>17.161481481481481</v>
      </c>
      <c r="AW104">
        <f t="shared" si="21"/>
        <v>21.737247288888888</v>
      </c>
      <c r="AX104" s="9"/>
      <c r="AY104" s="21">
        <v>0.37338300000000002</v>
      </c>
      <c r="AZ104" s="21">
        <v>27.8308</v>
      </c>
      <c r="BA104" s="21">
        <v>-1.4285300000000001E-2</v>
      </c>
      <c r="BB104" s="21">
        <v>94</v>
      </c>
      <c r="BC104" s="21">
        <v>0.37283300000000003</v>
      </c>
      <c r="BD104">
        <f t="shared" si="22"/>
        <v>17.636172839506173</v>
      </c>
      <c r="BE104">
        <f t="shared" si="23"/>
        <v>6.5850471233333341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1.2616000000000001</v>
      </c>
      <c r="H105" s="21">
        <v>5.9650699999999999</v>
      </c>
      <c r="I105" s="21">
        <v>-1.3760400000000001E-2</v>
      </c>
      <c r="J105" s="21">
        <v>95</v>
      </c>
      <c r="K105" s="21">
        <v>1.2609900000000001</v>
      </c>
      <c r="L105">
        <f t="shared" si="12"/>
        <v>16.988148148148149</v>
      </c>
      <c r="M105">
        <f t="shared" si="13"/>
        <v>21.432247703703705</v>
      </c>
      <c r="N105" s="9"/>
      <c r="O105" s="21">
        <v>0.37841799999999998</v>
      </c>
      <c r="P105" s="21">
        <v>9.6633999999999993</v>
      </c>
      <c r="Q105" s="21">
        <v>-1.41785E-2</v>
      </c>
      <c r="R105" s="21">
        <v>95</v>
      </c>
      <c r="S105" s="21">
        <v>0.37789899999999998</v>
      </c>
      <c r="T105">
        <f t="shared" si="14"/>
        <v>17.504320987654321</v>
      </c>
      <c r="U105">
        <f t="shared" si="15"/>
        <v>6.6239501395061726</v>
      </c>
      <c r="X105" s="9"/>
      <c r="Y105" s="21">
        <v>1.2616000000000001</v>
      </c>
      <c r="Z105" s="21">
        <v>15.0303</v>
      </c>
      <c r="AA105" s="21">
        <v>-1.38916E-2</v>
      </c>
      <c r="AB105" s="21">
        <v>95</v>
      </c>
      <c r="AC105" s="21">
        <v>1.26129</v>
      </c>
      <c r="AD105">
        <f t="shared" si="16"/>
        <v>17.150123456790123</v>
      </c>
      <c r="AE105">
        <f t="shared" si="17"/>
        <v>21.636595753086421</v>
      </c>
      <c r="AF105" s="9"/>
      <c r="AG105" s="21">
        <v>0.37841799999999998</v>
      </c>
      <c r="AH105" s="21">
        <v>18.7286</v>
      </c>
      <c r="AI105" s="21">
        <v>-1.4257799999999999E-2</v>
      </c>
      <c r="AJ105" s="21">
        <v>95</v>
      </c>
      <c r="AK105" s="21">
        <v>0.37780799999999998</v>
      </c>
      <c r="AL105">
        <f t="shared" si="18"/>
        <v>17.60222222222222</v>
      </c>
      <c r="AM105">
        <f t="shared" si="19"/>
        <v>6.660997728888888</v>
      </c>
      <c r="AP105" s="9"/>
      <c r="AQ105" s="21">
        <v>1.2616000000000001</v>
      </c>
      <c r="AR105" s="21">
        <v>24.142499999999998</v>
      </c>
      <c r="AS105" s="21">
        <v>-1.3913E-2</v>
      </c>
      <c r="AT105" s="21">
        <v>95</v>
      </c>
      <c r="AU105" s="21">
        <v>1.26068</v>
      </c>
      <c r="AV105">
        <f t="shared" si="20"/>
        <v>17.176543209876542</v>
      </c>
      <c r="AW105">
        <f t="shared" si="21"/>
        <v>21.669926913580245</v>
      </c>
      <c r="AX105" s="9"/>
      <c r="AY105" s="21">
        <v>0.37841799999999998</v>
      </c>
      <c r="AZ105" s="21">
        <v>27.840800000000002</v>
      </c>
      <c r="BA105" s="21">
        <v>-1.42761E-2</v>
      </c>
      <c r="BB105" s="21">
        <v>95</v>
      </c>
      <c r="BC105" s="21">
        <v>0.37783800000000001</v>
      </c>
      <c r="BD105">
        <f t="shared" si="22"/>
        <v>17.624814814814812</v>
      </c>
      <c r="BE105">
        <f t="shared" si="23"/>
        <v>6.6695471725925914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1.2565599999999999</v>
      </c>
      <c r="H106" s="21">
        <v>5.9751399999999997</v>
      </c>
      <c r="I106" s="21">
        <v>-1.3754300000000001E-2</v>
      </c>
      <c r="J106" s="21">
        <v>96</v>
      </c>
      <c r="K106" s="21">
        <v>1.2561</v>
      </c>
      <c r="L106">
        <f t="shared" si="12"/>
        <v>16.980617283950615</v>
      </c>
      <c r="M106">
        <f t="shared" si="13"/>
        <v>21.337164454320984</v>
      </c>
      <c r="N106" s="9"/>
      <c r="O106" s="21">
        <v>0.38345299999999999</v>
      </c>
      <c r="P106" s="21">
        <v>9.67347</v>
      </c>
      <c r="Q106" s="21">
        <v>-1.41815E-2</v>
      </c>
      <c r="R106" s="21">
        <v>96</v>
      </c>
      <c r="S106" s="21">
        <v>0.38281300000000001</v>
      </c>
      <c r="T106">
        <f t="shared" si="14"/>
        <v>17.508024691358024</v>
      </c>
      <c r="U106">
        <f t="shared" si="15"/>
        <v>6.7135045919753082</v>
      </c>
      <c r="X106" s="9"/>
      <c r="Y106" s="21">
        <v>1.2565599999999999</v>
      </c>
      <c r="Z106" s="21">
        <v>15.0404</v>
      </c>
      <c r="AA106" s="21">
        <v>-1.3894699999999999E-2</v>
      </c>
      <c r="AB106" s="21">
        <v>96</v>
      </c>
      <c r="AC106" s="21">
        <v>1.25549</v>
      </c>
      <c r="AD106">
        <f t="shared" si="16"/>
        <v>17.153950617283947</v>
      </c>
      <c r="AE106">
        <f t="shared" si="17"/>
        <v>21.554968187654314</v>
      </c>
      <c r="AF106" s="9"/>
      <c r="AG106" s="21">
        <v>0.38345299999999999</v>
      </c>
      <c r="AH106" s="21">
        <v>18.738700000000001</v>
      </c>
      <c r="AI106" s="21">
        <v>-1.42487E-2</v>
      </c>
      <c r="AJ106" s="21">
        <v>96</v>
      </c>
      <c r="AK106" s="21">
        <v>0.38290400000000002</v>
      </c>
      <c r="AL106">
        <f t="shared" si="18"/>
        <v>17.590987654320987</v>
      </c>
      <c r="AM106">
        <f t="shared" si="19"/>
        <v>6.7453169890123448</v>
      </c>
      <c r="AP106" s="9"/>
      <c r="AQ106" s="21">
        <v>1.2565599999999999</v>
      </c>
      <c r="AR106" s="21">
        <v>24.1526</v>
      </c>
      <c r="AS106" s="21">
        <v>-1.39191E-2</v>
      </c>
      <c r="AT106" s="21">
        <v>96</v>
      </c>
      <c r="AU106" s="21">
        <v>1.2561</v>
      </c>
      <c r="AV106">
        <f t="shared" si="20"/>
        <v>17.184074074074076</v>
      </c>
      <c r="AW106">
        <f t="shared" si="21"/>
        <v>21.592820118518517</v>
      </c>
      <c r="AX106" s="9"/>
      <c r="AY106" s="21">
        <v>0.38345299999999999</v>
      </c>
      <c r="AZ106" s="21">
        <v>27.850899999999999</v>
      </c>
      <c r="BA106" s="21">
        <v>-1.4263899999999999E-2</v>
      </c>
      <c r="BB106" s="21">
        <v>96</v>
      </c>
      <c r="BC106" s="21">
        <v>0.38287399999999999</v>
      </c>
      <c r="BD106">
        <f t="shared" si="22"/>
        <v>17.609753086419751</v>
      </c>
      <c r="BE106">
        <f t="shared" si="23"/>
        <v>6.7525126502469126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1.25153</v>
      </c>
      <c r="H107" s="21">
        <v>5.9852100000000004</v>
      </c>
      <c r="I107" s="21">
        <v>-1.37482E-2</v>
      </c>
      <c r="J107" s="21">
        <v>97</v>
      </c>
      <c r="K107" s="21">
        <v>1.25031</v>
      </c>
      <c r="L107">
        <f t="shared" si="12"/>
        <v>16.973086419753084</v>
      </c>
      <c r="M107">
        <f t="shared" si="13"/>
        <v>21.242326846913578</v>
      </c>
      <c r="N107" s="9"/>
      <c r="O107" s="21">
        <v>0.38848899999999997</v>
      </c>
      <c r="P107" s="21">
        <v>9.6835500000000003</v>
      </c>
      <c r="Q107" s="21">
        <v>-1.41876E-2</v>
      </c>
      <c r="R107" s="21">
        <v>97</v>
      </c>
      <c r="S107" s="21">
        <v>0.38784800000000003</v>
      </c>
      <c r="T107">
        <f t="shared" si="14"/>
        <v>17.515555555555554</v>
      </c>
      <c r="U107">
        <f t="shared" si="15"/>
        <v>6.8046006622222217</v>
      </c>
      <c r="X107" s="9"/>
      <c r="Y107" s="21">
        <v>1.25153</v>
      </c>
      <c r="Z107" s="21">
        <v>15.0504</v>
      </c>
      <c r="AA107" s="21">
        <v>-1.3909899999999999E-2</v>
      </c>
      <c r="AB107" s="21">
        <v>97</v>
      </c>
      <c r="AC107" s="21">
        <v>1.25122</v>
      </c>
      <c r="AD107">
        <f t="shared" si="16"/>
        <v>17.172716049382714</v>
      </c>
      <c r="AE107">
        <f t="shared" si="17"/>
        <v>21.492169317283949</v>
      </c>
      <c r="AF107" s="9"/>
      <c r="AG107" s="21">
        <v>0.38848899999999997</v>
      </c>
      <c r="AH107" s="21">
        <v>18.748799999999999</v>
      </c>
      <c r="AI107" s="21">
        <v>-1.42334E-2</v>
      </c>
      <c r="AJ107" s="21">
        <v>97</v>
      </c>
      <c r="AK107" s="21">
        <v>0.387909</v>
      </c>
      <c r="AL107">
        <f t="shared" si="18"/>
        <v>17.572098765432099</v>
      </c>
      <c r="AM107">
        <f t="shared" si="19"/>
        <v>6.8265670772839497</v>
      </c>
      <c r="AP107" s="9"/>
      <c r="AQ107" s="21">
        <v>1.25153</v>
      </c>
      <c r="AR107" s="21">
        <v>24.162600000000001</v>
      </c>
      <c r="AS107" s="21">
        <v>-1.39221E-2</v>
      </c>
      <c r="AT107" s="21">
        <v>97</v>
      </c>
      <c r="AU107" s="21">
        <v>1.25031</v>
      </c>
      <c r="AV107">
        <f t="shared" si="20"/>
        <v>17.187777777777779</v>
      </c>
      <c r="AW107">
        <f t="shared" si="21"/>
        <v>21.511019522222224</v>
      </c>
      <c r="AX107" s="9"/>
      <c r="AY107" s="21">
        <v>0.38848899999999997</v>
      </c>
      <c r="AZ107" s="21">
        <v>27.861000000000001</v>
      </c>
      <c r="BA107" s="21">
        <v>-1.42548E-2</v>
      </c>
      <c r="BB107" s="21">
        <v>97</v>
      </c>
      <c r="BC107" s="21">
        <v>0.38781700000000002</v>
      </c>
      <c r="BD107">
        <f t="shared" si="22"/>
        <v>17.598518518518517</v>
      </c>
      <c r="BE107">
        <f t="shared" si="23"/>
        <v>6.83683086074074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1.2464900000000001</v>
      </c>
      <c r="H108" s="21">
        <v>5.9952800000000002</v>
      </c>
      <c r="I108" s="21">
        <v>-1.37573E-2</v>
      </c>
      <c r="J108" s="21">
        <v>98</v>
      </c>
      <c r="K108" s="21">
        <v>1.24634</v>
      </c>
      <c r="L108">
        <f t="shared" si="12"/>
        <v>16.984320987654321</v>
      </c>
      <c r="M108">
        <f t="shared" si="13"/>
        <v>21.170786267901235</v>
      </c>
      <c r="N108" s="9"/>
      <c r="O108" s="21">
        <v>0.39352399999999998</v>
      </c>
      <c r="P108" s="21">
        <v>9.6936199999999992</v>
      </c>
      <c r="Q108" s="21">
        <v>-1.4196800000000001E-2</v>
      </c>
      <c r="R108" s="21">
        <v>98</v>
      </c>
      <c r="S108" s="21">
        <v>0.39294400000000002</v>
      </c>
      <c r="T108">
        <f t="shared" si="14"/>
        <v>17.526913580246916</v>
      </c>
      <c r="U108">
        <f t="shared" si="15"/>
        <v>6.8972611397530867</v>
      </c>
      <c r="X108" s="9"/>
      <c r="Y108" s="21">
        <v>1.2464900000000001</v>
      </c>
      <c r="Z108" s="21">
        <v>15.060499999999999</v>
      </c>
      <c r="AA108" s="21">
        <v>-1.39252E-2</v>
      </c>
      <c r="AB108" s="21">
        <v>98</v>
      </c>
      <c r="AC108" s="21">
        <v>1.24634</v>
      </c>
      <c r="AD108">
        <f t="shared" si="16"/>
        <v>17.191604938271606</v>
      </c>
      <c r="AE108">
        <f t="shared" si="17"/>
        <v>21.429163639506175</v>
      </c>
      <c r="AF108" s="9"/>
      <c r="AG108" s="21">
        <v>0.39352399999999998</v>
      </c>
      <c r="AH108" s="21">
        <v>18.758800000000001</v>
      </c>
      <c r="AI108" s="21">
        <v>-1.42212E-2</v>
      </c>
      <c r="AJ108" s="21">
        <v>98</v>
      </c>
      <c r="AK108" s="21">
        <v>0.393036</v>
      </c>
      <c r="AL108">
        <f t="shared" si="18"/>
        <v>17.557037037037034</v>
      </c>
      <c r="AM108">
        <f t="shared" si="19"/>
        <v>6.9091154429629613</v>
      </c>
      <c r="AP108" s="9"/>
      <c r="AQ108" s="21">
        <v>1.2464900000000001</v>
      </c>
      <c r="AR108" s="21">
        <v>24.172699999999999</v>
      </c>
      <c r="AS108" s="21">
        <v>-1.39404E-2</v>
      </c>
      <c r="AT108" s="21">
        <v>98</v>
      </c>
      <c r="AU108" s="21">
        <v>1.24512</v>
      </c>
      <c r="AV108">
        <f t="shared" si="20"/>
        <v>17.21037037037037</v>
      </c>
      <c r="AW108">
        <f t="shared" si="21"/>
        <v>21.452554562962963</v>
      </c>
      <c r="AX108" s="9"/>
      <c r="AY108" s="21">
        <v>0.39352399999999998</v>
      </c>
      <c r="AZ108" s="21">
        <v>27.871099999999998</v>
      </c>
      <c r="BA108" s="21">
        <v>-1.4245600000000001E-2</v>
      </c>
      <c r="BB108" s="21">
        <v>98</v>
      </c>
      <c r="BC108" s="21">
        <v>0.39297500000000002</v>
      </c>
      <c r="BD108">
        <f t="shared" si="22"/>
        <v>17.58716049382716</v>
      </c>
      <c r="BE108">
        <f t="shared" si="23"/>
        <v>6.9209697461728386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1.24146</v>
      </c>
      <c r="H109" s="21">
        <v>6.00535</v>
      </c>
      <c r="I109" s="21">
        <v>-1.37573E-2</v>
      </c>
      <c r="J109" s="21">
        <v>99</v>
      </c>
      <c r="K109" s="21">
        <v>1.2408399999999999</v>
      </c>
      <c r="L109">
        <f t="shared" si="12"/>
        <v>16.984320987654321</v>
      </c>
      <c r="M109">
        <f t="shared" si="13"/>
        <v>21.085355133333334</v>
      </c>
      <c r="N109" s="9"/>
      <c r="O109" s="21">
        <v>0.39856000000000003</v>
      </c>
      <c r="P109" s="21">
        <v>9.7036899999999999</v>
      </c>
      <c r="Q109" s="21">
        <v>-1.4196800000000001E-2</v>
      </c>
      <c r="R109" s="21">
        <v>99</v>
      </c>
      <c r="S109" s="21">
        <v>0.397949</v>
      </c>
      <c r="T109">
        <f t="shared" si="14"/>
        <v>17.526913580246916</v>
      </c>
      <c r="U109">
        <f t="shared" si="15"/>
        <v>6.9855266765432109</v>
      </c>
      <c r="X109" s="9"/>
      <c r="Y109" s="21">
        <v>1.24146</v>
      </c>
      <c r="Z109" s="21">
        <v>15.070600000000001</v>
      </c>
      <c r="AA109" s="21">
        <v>-1.39343E-2</v>
      </c>
      <c r="AB109" s="21">
        <v>99</v>
      </c>
      <c r="AC109" s="21">
        <v>1.24054</v>
      </c>
      <c r="AD109">
        <f t="shared" si="16"/>
        <v>17.202839506172836</v>
      </c>
      <c r="AE109">
        <f t="shared" si="17"/>
        <v>21.356637133333329</v>
      </c>
      <c r="AF109" s="9"/>
      <c r="AG109" s="21">
        <v>0.39856000000000003</v>
      </c>
      <c r="AH109" s="21">
        <v>18.768899999999999</v>
      </c>
      <c r="AI109" s="21">
        <v>-1.42273E-2</v>
      </c>
      <c r="AJ109" s="21">
        <v>99</v>
      </c>
      <c r="AK109" s="21">
        <v>0.39810200000000001</v>
      </c>
      <c r="AL109">
        <f t="shared" si="18"/>
        <v>17.564567901234565</v>
      </c>
      <c r="AM109">
        <f t="shared" si="19"/>
        <v>7.0005341827160485</v>
      </c>
      <c r="AP109" s="9"/>
      <c r="AQ109" s="21">
        <v>1.24146</v>
      </c>
      <c r="AR109" s="21">
        <v>24.1828</v>
      </c>
      <c r="AS109" s="21">
        <v>-1.3952600000000001E-2</v>
      </c>
      <c r="AT109" s="21">
        <v>99</v>
      </c>
      <c r="AU109" s="21">
        <v>1.24054</v>
      </c>
      <c r="AV109">
        <f t="shared" si="20"/>
        <v>17.225432098765431</v>
      </c>
      <c r="AW109">
        <f t="shared" si="21"/>
        <v>21.384684933333332</v>
      </c>
      <c r="AX109" s="9"/>
      <c r="AY109" s="21">
        <v>0.39856000000000003</v>
      </c>
      <c r="AZ109" s="21">
        <v>27.8811</v>
      </c>
      <c r="BA109" s="21">
        <v>-1.4236499999999999E-2</v>
      </c>
      <c r="BB109" s="21">
        <v>99</v>
      </c>
      <c r="BC109" s="21">
        <v>0.39798</v>
      </c>
      <c r="BD109">
        <f t="shared" si="22"/>
        <v>17.575925925925926</v>
      </c>
      <c r="BE109">
        <f t="shared" si="23"/>
        <v>7.0050610370370379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1.2364200000000001</v>
      </c>
      <c r="H110" s="21">
        <v>6.0154199999999998</v>
      </c>
      <c r="I110" s="21">
        <v>-1.37695E-2</v>
      </c>
      <c r="J110" s="21">
        <v>100</v>
      </c>
      <c r="K110" s="21">
        <v>1.2353499999999999</v>
      </c>
      <c r="L110">
        <f t="shared" si="12"/>
        <v>16.999382716049382</v>
      </c>
      <c r="M110">
        <f t="shared" si="13"/>
        <v>21.018376777777778</v>
      </c>
      <c r="N110" s="9"/>
      <c r="O110" s="21">
        <v>0.40359499999999998</v>
      </c>
      <c r="P110" s="21">
        <v>9.7137600000000006</v>
      </c>
      <c r="Q110" s="21">
        <v>-1.4208999999999999E-2</v>
      </c>
      <c r="R110" s="21">
        <v>100</v>
      </c>
      <c r="S110" s="21">
        <v>0.40316800000000003</v>
      </c>
      <c r="T110">
        <f t="shared" si="14"/>
        <v>17.541975308641973</v>
      </c>
      <c r="U110">
        <f t="shared" si="15"/>
        <v>7.079853524691357</v>
      </c>
      <c r="X110" s="9"/>
      <c r="Y110" s="21">
        <v>1.2364200000000001</v>
      </c>
      <c r="Z110" s="21">
        <v>15.0806</v>
      </c>
      <c r="AA110" s="21">
        <v>-1.39496E-2</v>
      </c>
      <c r="AB110" s="21">
        <v>100</v>
      </c>
      <c r="AC110" s="21">
        <v>1.23566</v>
      </c>
      <c r="AD110">
        <f t="shared" si="16"/>
        <v>17.221728395061724</v>
      </c>
      <c r="AE110">
        <f t="shared" si="17"/>
        <v>21.29328942222222</v>
      </c>
      <c r="AF110" s="9"/>
      <c r="AG110" s="21">
        <v>0.40359499999999998</v>
      </c>
      <c r="AH110" s="21">
        <v>18.779</v>
      </c>
      <c r="AI110" s="21">
        <v>-1.4245600000000001E-2</v>
      </c>
      <c r="AJ110" s="21">
        <v>100</v>
      </c>
      <c r="AK110" s="21">
        <v>0.40301500000000001</v>
      </c>
      <c r="AL110">
        <f t="shared" si="18"/>
        <v>17.58716049382716</v>
      </c>
      <c r="AM110">
        <f t="shared" si="19"/>
        <v>7.0980900395061717</v>
      </c>
      <c r="AP110" s="9"/>
      <c r="AQ110" s="21">
        <v>1.2364200000000001</v>
      </c>
      <c r="AR110" s="21">
        <v>24.192900000000002</v>
      </c>
      <c r="AS110" s="21">
        <v>-1.3958699999999999E-2</v>
      </c>
      <c r="AT110" s="21">
        <v>100</v>
      </c>
      <c r="AU110" s="21">
        <v>1.2359599999999999</v>
      </c>
      <c r="AV110">
        <f t="shared" si="20"/>
        <v>17.232962962962961</v>
      </c>
      <c r="AW110">
        <f t="shared" si="21"/>
        <v>21.307180066666668</v>
      </c>
      <c r="AX110" s="9"/>
      <c r="AY110" s="21">
        <v>0.40359499999999998</v>
      </c>
      <c r="AZ110" s="21">
        <v>27.891200000000001</v>
      </c>
      <c r="BA110" s="21">
        <v>-1.42273E-2</v>
      </c>
      <c r="BB110" s="21">
        <v>100</v>
      </c>
      <c r="BC110" s="21">
        <v>0.40301500000000001</v>
      </c>
      <c r="BD110">
        <f t="shared" si="22"/>
        <v>17.564567901234565</v>
      </c>
      <c r="BE110">
        <f t="shared" si="23"/>
        <v>7.0889717820987634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1.2313799999999999</v>
      </c>
      <c r="H111" s="21">
        <v>6.0254899999999996</v>
      </c>
      <c r="I111" s="21">
        <v>-1.37787E-2</v>
      </c>
      <c r="J111" s="21">
        <v>101</v>
      </c>
      <c r="K111" s="21">
        <v>1.23047</v>
      </c>
      <c r="L111">
        <f t="shared" si="12"/>
        <v>17.01074074074074</v>
      </c>
      <c r="M111">
        <f t="shared" si="13"/>
        <v>20.946685933333331</v>
      </c>
      <c r="N111" s="9"/>
      <c r="O111" s="21">
        <v>0.40862999999999999</v>
      </c>
      <c r="P111" s="21">
        <v>9.7238299999999995</v>
      </c>
      <c r="Q111" s="21">
        <v>-1.4212000000000001E-2</v>
      </c>
      <c r="R111" s="21">
        <v>101</v>
      </c>
      <c r="S111" s="21">
        <v>0.40811199999999997</v>
      </c>
      <c r="T111">
        <f t="shared" si="14"/>
        <v>17.54567901234568</v>
      </c>
      <c r="U111">
        <f t="shared" si="15"/>
        <v>7.1696908148148148</v>
      </c>
      <c r="X111" s="9"/>
      <c r="Y111" s="21">
        <v>1.2313799999999999</v>
      </c>
      <c r="Z111" s="21">
        <v>15.0907</v>
      </c>
      <c r="AA111" s="21">
        <v>-1.39679E-2</v>
      </c>
      <c r="AB111" s="21">
        <v>101</v>
      </c>
      <c r="AC111" s="21">
        <v>1.2307699999999999</v>
      </c>
      <c r="AD111">
        <f t="shared" si="16"/>
        <v>17.244320987654319</v>
      </c>
      <c r="AE111">
        <f t="shared" si="17"/>
        <v>21.234311977777775</v>
      </c>
      <c r="AF111" s="9"/>
      <c r="AG111" s="21">
        <v>0.40862999999999999</v>
      </c>
      <c r="AH111" s="21">
        <v>18.789000000000001</v>
      </c>
      <c r="AI111" s="21">
        <v>-1.4251700000000001E-2</v>
      </c>
      <c r="AJ111" s="21">
        <v>101</v>
      </c>
      <c r="AK111" s="21">
        <v>0.40795900000000002</v>
      </c>
      <c r="AL111">
        <f t="shared" si="18"/>
        <v>17.594691358024694</v>
      </c>
      <c r="AM111">
        <f t="shared" si="19"/>
        <v>7.1897187296296305</v>
      </c>
      <c r="AP111" s="9"/>
      <c r="AQ111" s="21">
        <v>1.2313799999999999</v>
      </c>
      <c r="AR111" s="21">
        <v>24.2029</v>
      </c>
      <c r="AS111" s="21">
        <v>-1.39557E-2</v>
      </c>
      <c r="AT111" s="21">
        <v>101</v>
      </c>
      <c r="AU111" s="21">
        <v>1.23047</v>
      </c>
      <c r="AV111">
        <f t="shared" si="20"/>
        <v>17.229259259259258</v>
      </c>
      <c r="AW111">
        <f t="shared" si="21"/>
        <v>21.215765266666665</v>
      </c>
      <c r="AX111" s="9"/>
      <c r="AY111" s="21">
        <v>0.40862999999999999</v>
      </c>
      <c r="AZ111" s="21">
        <v>27.901299999999999</v>
      </c>
      <c r="BA111" s="21">
        <v>-1.42151E-2</v>
      </c>
      <c r="BB111" s="21">
        <v>101</v>
      </c>
      <c r="BC111" s="21">
        <v>0.40811199999999997</v>
      </c>
      <c r="BD111">
        <f t="shared" si="22"/>
        <v>17.549506172839507</v>
      </c>
      <c r="BE111">
        <f t="shared" si="23"/>
        <v>7.1712547074074076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1.2263500000000001</v>
      </c>
      <c r="H112" s="21">
        <v>6.0355600000000003</v>
      </c>
      <c r="I112" s="21">
        <v>-1.3787799999999999E-2</v>
      </c>
      <c r="J112" s="21">
        <v>102</v>
      </c>
      <c r="K112" s="21">
        <v>1.22559</v>
      </c>
      <c r="L112">
        <f t="shared" si="12"/>
        <v>17.021975308641974</v>
      </c>
      <c r="M112">
        <f t="shared" si="13"/>
        <v>20.874899419753085</v>
      </c>
      <c r="N112" s="9"/>
      <c r="O112" s="21">
        <v>0.41366599999999998</v>
      </c>
      <c r="P112" s="21">
        <v>9.7339000000000002</v>
      </c>
      <c r="Q112" s="21">
        <v>-1.4202899999999999E-2</v>
      </c>
      <c r="R112" s="21">
        <v>102</v>
      </c>
      <c r="S112" s="21">
        <v>0.41317700000000002</v>
      </c>
      <c r="T112">
        <f t="shared" si="14"/>
        <v>17.534444444444443</v>
      </c>
      <c r="U112">
        <f t="shared" si="15"/>
        <v>7.2534034955555544</v>
      </c>
      <c r="X112" s="9"/>
      <c r="Y112" s="21">
        <v>1.2263500000000001</v>
      </c>
      <c r="Z112" s="21">
        <v>15.1008</v>
      </c>
      <c r="AA112" s="21">
        <v>-1.3977099999999999E-2</v>
      </c>
      <c r="AB112" s="21">
        <v>102</v>
      </c>
      <c r="AC112" s="21">
        <v>1.22559</v>
      </c>
      <c r="AD112">
        <f t="shared" si="16"/>
        <v>17.255679012345677</v>
      </c>
      <c r="AE112">
        <f t="shared" si="17"/>
        <v>21.161501956790122</v>
      </c>
      <c r="AF112" s="9"/>
      <c r="AG112" s="21">
        <v>0.41366599999999998</v>
      </c>
      <c r="AH112" s="21">
        <v>18.799099999999999</v>
      </c>
      <c r="AI112" s="21">
        <v>-1.4245600000000001E-2</v>
      </c>
      <c r="AJ112" s="21">
        <v>102</v>
      </c>
      <c r="AK112" s="21">
        <v>0.41311599999999998</v>
      </c>
      <c r="AL112">
        <f t="shared" si="18"/>
        <v>17.58716049382716</v>
      </c>
      <c r="AM112">
        <f t="shared" si="19"/>
        <v>7.2752103328395057</v>
      </c>
      <c r="AP112" s="9"/>
      <c r="AQ112" s="21">
        <v>1.2263500000000001</v>
      </c>
      <c r="AR112" s="21">
        <v>24.213000000000001</v>
      </c>
      <c r="AS112" s="21">
        <v>-1.39679E-2</v>
      </c>
      <c r="AT112" s="21">
        <v>102</v>
      </c>
      <c r="AU112" s="21">
        <v>1.22559</v>
      </c>
      <c r="AV112">
        <f t="shared" si="20"/>
        <v>17.244320987654319</v>
      </c>
      <c r="AW112">
        <f t="shared" si="21"/>
        <v>21.147573043209874</v>
      </c>
      <c r="AX112" s="9"/>
      <c r="AY112" s="21">
        <v>0.41366599999999998</v>
      </c>
      <c r="AZ112" s="21">
        <v>27.911300000000001</v>
      </c>
      <c r="BA112" s="21">
        <v>-1.42151E-2</v>
      </c>
      <c r="BB112" s="21">
        <v>102</v>
      </c>
      <c r="BC112" s="21">
        <v>0.41305500000000001</v>
      </c>
      <c r="BD112">
        <f t="shared" si="22"/>
        <v>17.549506172839507</v>
      </c>
      <c r="BE112">
        <f t="shared" si="23"/>
        <v>7.2596340204938272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1.2213099999999999</v>
      </c>
      <c r="H113" s="21">
        <v>6.0456300000000001</v>
      </c>
      <c r="I113" s="21">
        <v>-1.38031E-2</v>
      </c>
      <c r="J113" s="21">
        <v>103</v>
      </c>
      <c r="K113" s="21">
        <v>1.2213099999999999</v>
      </c>
      <c r="L113">
        <f t="shared" si="12"/>
        <v>17.040864197530862</v>
      </c>
      <c r="M113">
        <f t="shared" si="13"/>
        <v>20.812177853086414</v>
      </c>
      <c r="N113" s="9"/>
      <c r="O113" s="21">
        <v>0.41870099999999999</v>
      </c>
      <c r="P113" s="21">
        <v>9.7439699999999991</v>
      </c>
      <c r="Q113" s="21">
        <v>-1.41876E-2</v>
      </c>
      <c r="R113" s="21">
        <v>103</v>
      </c>
      <c r="S113" s="21">
        <v>0.41805999999999999</v>
      </c>
      <c r="T113">
        <f t="shared" si="14"/>
        <v>17.515555555555554</v>
      </c>
      <c r="U113">
        <f t="shared" si="15"/>
        <v>7.3337806266666661</v>
      </c>
      <c r="X113" s="9"/>
      <c r="Y113" s="21">
        <v>1.2213099999999999</v>
      </c>
      <c r="Z113" s="21">
        <v>15.110799999999999</v>
      </c>
      <c r="AA113" s="21">
        <v>-1.3974E-2</v>
      </c>
      <c r="AB113" s="21">
        <v>103</v>
      </c>
      <c r="AC113" s="21">
        <v>1.2203999999999999</v>
      </c>
      <c r="AD113">
        <f t="shared" si="16"/>
        <v>17.251851851851853</v>
      </c>
      <c r="AE113">
        <f t="shared" si="17"/>
        <v>21.069859185185184</v>
      </c>
      <c r="AF113" s="9"/>
      <c r="AG113" s="21">
        <v>0.41870099999999999</v>
      </c>
      <c r="AH113" s="21">
        <v>18.809200000000001</v>
      </c>
      <c r="AI113" s="21">
        <v>-1.4245600000000001E-2</v>
      </c>
      <c r="AJ113" s="21">
        <v>103</v>
      </c>
      <c r="AK113" s="21">
        <v>0.41809099999999999</v>
      </c>
      <c r="AL113">
        <f t="shared" si="18"/>
        <v>17.58716049382716</v>
      </c>
      <c r="AM113">
        <f t="shared" si="19"/>
        <v>7.3637616859259252</v>
      </c>
      <c r="AP113" s="9"/>
      <c r="AQ113" s="21">
        <v>1.2213099999999999</v>
      </c>
      <c r="AR113" s="21">
        <v>24.223099999999999</v>
      </c>
      <c r="AS113" s="21">
        <v>-1.39679E-2</v>
      </c>
      <c r="AT113" s="21">
        <v>103</v>
      </c>
      <c r="AU113" s="21">
        <v>1.2203999999999999</v>
      </c>
      <c r="AV113">
        <f t="shared" si="20"/>
        <v>17.244320987654319</v>
      </c>
      <c r="AW113">
        <f t="shared" si="21"/>
        <v>21.060661665432097</v>
      </c>
      <c r="AX113" s="9"/>
      <c r="AY113" s="21">
        <v>0.41870099999999999</v>
      </c>
      <c r="AZ113" s="21">
        <v>27.921399999999998</v>
      </c>
      <c r="BA113" s="21">
        <v>-1.42273E-2</v>
      </c>
      <c r="BB113" s="21">
        <v>103</v>
      </c>
      <c r="BC113" s="21">
        <v>0.41799900000000001</v>
      </c>
      <c r="BD113">
        <f t="shared" si="22"/>
        <v>17.564567901234565</v>
      </c>
      <c r="BE113">
        <f t="shared" si="23"/>
        <v>7.3543021448148131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1.21628</v>
      </c>
      <c r="H114" s="21">
        <v>6.0557100000000004</v>
      </c>
      <c r="I114" s="21">
        <v>-1.38275E-2</v>
      </c>
      <c r="J114" s="21">
        <v>104</v>
      </c>
      <c r="K114" s="21">
        <v>1.2155199999999999</v>
      </c>
      <c r="L114">
        <f t="shared" si="12"/>
        <v>17.070987654320987</v>
      </c>
      <c r="M114">
        <f t="shared" si="13"/>
        <v>20.763100864197529</v>
      </c>
      <c r="N114" s="9"/>
      <c r="O114" s="21">
        <v>0.42373699999999997</v>
      </c>
      <c r="P114" s="21">
        <v>9.7540399999999998</v>
      </c>
      <c r="Q114" s="21">
        <v>-1.41815E-2</v>
      </c>
      <c r="R114" s="21">
        <v>104</v>
      </c>
      <c r="S114" s="21">
        <v>0.42315700000000001</v>
      </c>
      <c r="T114">
        <f t="shared" si="14"/>
        <v>17.508024691358024</v>
      </c>
      <c r="U114">
        <f t="shared" si="15"/>
        <v>7.4187978586419749</v>
      </c>
      <c r="X114" s="9"/>
      <c r="Y114" s="21">
        <v>1.21628</v>
      </c>
      <c r="Z114" s="21">
        <v>15.120900000000001</v>
      </c>
      <c r="AA114" s="21">
        <v>-1.39709E-2</v>
      </c>
      <c r="AB114" s="21">
        <v>104</v>
      </c>
      <c r="AC114" s="21">
        <v>1.2152099999999999</v>
      </c>
      <c r="AD114">
        <f t="shared" si="16"/>
        <v>17.248024691358022</v>
      </c>
      <c r="AE114">
        <f t="shared" si="17"/>
        <v>20.978427471604935</v>
      </c>
      <c r="AF114" s="9"/>
      <c r="AG114" s="21">
        <v>0.42373699999999997</v>
      </c>
      <c r="AH114" s="21">
        <v>18.819299999999998</v>
      </c>
      <c r="AI114" s="21">
        <v>-1.4245600000000001E-2</v>
      </c>
      <c r="AJ114" s="21">
        <v>104</v>
      </c>
      <c r="AK114" s="21">
        <v>0.42309600000000003</v>
      </c>
      <c r="AL114">
        <f t="shared" si="18"/>
        <v>17.58716049382716</v>
      </c>
      <c r="AM114">
        <f t="shared" si="19"/>
        <v>7.4523306261728388</v>
      </c>
      <c r="AP114" s="9"/>
      <c r="AQ114" s="21">
        <v>1.21628</v>
      </c>
      <c r="AR114" s="21">
        <v>24.2331</v>
      </c>
      <c r="AS114" s="21">
        <v>-1.39709E-2</v>
      </c>
      <c r="AT114" s="21">
        <v>104</v>
      </c>
      <c r="AU114" s="21">
        <v>1.2155199999999999</v>
      </c>
      <c r="AV114">
        <f t="shared" si="20"/>
        <v>17.248024691358022</v>
      </c>
      <c r="AW114">
        <f t="shared" si="21"/>
        <v>20.978427471604935</v>
      </c>
      <c r="AX114" s="9"/>
      <c r="AY114" s="21">
        <v>0.42373699999999997</v>
      </c>
      <c r="AZ114" s="21">
        <v>27.9315</v>
      </c>
      <c r="BA114" s="21">
        <v>-1.4236499999999999E-2</v>
      </c>
      <c r="BB114" s="21">
        <v>104</v>
      </c>
      <c r="BC114" s="21">
        <v>0.423126</v>
      </c>
      <c r="BD114">
        <f t="shared" si="22"/>
        <v>17.575925925925926</v>
      </c>
      <c r="BE114">
        <f t="shared" si="23"/>
        <v>7.4475701240740735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1.2112400000000001</v>
      </c>
      <c r="H115" s="21">
        <v>6.0657800000000002</v>
      </c>
      <c r="I115" s="21">
        <v>-1.38397E-2</v>
      </c>
      <c r="J115" s="21">
        <v>105</v>
      </c>
      <c r="K115" s="21">
        <v>1.2106300000000001</v>
      </c>
      <c r="L115">
        <f t="shared" si="12"/>
        <v>17.086049382716048</v>
      </c>
      <c r="M115">
        <f t="shared" si="13"/>
        <v>20.695306454320988</v>
      </c>
      <c r="N115" s="9"/>
      <c r="O115" s="21">
        <v>0.42877199999999999</v>
      </c>
      <c r="P115" s="21">
        <v>9.7641100000000005</v>
      </c>
      <c r="Q115" s="21">
        <v>-1.41785E-2</v>
      </c>
      <c r="R115" s="21">
        <v>105</v>
      </c>
      <c r="S115" s="21">
        <v>0.42819200000000002</v>
      </c>
      <c r="T115">
        <f t="shared" si="14"/>
        <v>17.504320987654321</v>
      </c>
      <c r="U115">
        <f t="shared" si="15"/>
        <v>7.5053627185185183</v>
      </c>
      <c r="X115" s="9"/>
      <c r="Y115" s="21">
        <v>1.2112400000000001</v>
      </c>
      <c r="Z115" s="21">
        <v>15.131</v>
      </c>
      <c r="AA115" s="21">
        <v>-1.39893E-2</v>
      </c>
      <c r="AB115" s="21">
        <v>105</v>
      </c>
      <c r="AC115" s="21">
        <v>1.2106300000000001</v>
      </c>
      <c r="AD115">
        <f t="shared" si="16"/>
        <v>17.270740740740738</v>
      </c>
      <c r="AE115">
        <f t="shared" si="17"/>
        <v>20.919012014814815</v>
      </c>
      <c r="AF115" s="9"/>
      <c r="AG115" s="21">
        <v>0.42877199999999999</v>
      </c>
      <c r="AH115" s="21">
        <v>18.8293</v>
      </c>
      <c r="AI115" s="21">
        <v>-1.4257799999999999E-2</v>
      </c>
      <c r="AJ115" s="21">
        <v>105</v>
      </c>
      <c r="AK115" s="21">
        <v>0.42813099999999998</v>
      </c>
      <c r="AL115">
        <f t="shared" si="18"/>
        <v>17.60222222222222</v>
      </c>
      <c r="AM115">
        <f t="shared" si="19"/>
        <v>7.5473400266666655</v>
      </c>
      <c r="AP115" s="9"/>
      <c r="AQ115" s="21">
        <v>1.2112400000000001</v>
      </c>
      <c r="AR115" s="21">
        <v>24.243200000000002</v>
      </c>
      <c r="AS115" s="21">
        <v>-1.3983199999999999E-2</v>
      </c>
      <c r="AT115" s="21">
        <v>105</v>
      </c>
      <c r="AU115" s="21">
        <v>1.2100200000000001</v>
      </c>
      <c r="AV115">
        <f t="shared" si="20"/>
        <v>17.263209876543208</v>
      </c>
      <c r="AW115">
        <f t="shared" si="21"/>
        <v>20.909890330864197</v>
      </c>
      <c r="AX115" s="9"/>
      <c r="AY115" s="21">
        <v>0.42877199999999999</v>
      </c>
      <c r="AZ115" s="21">
        <v>27.941500000000001</v>
      </c>
      <c r="BA115" s="21">
        <v>-1.4251700000000001E-2</v>
      </c>
      <c r="BB115" s="21">
        <v>105</v>
      </c>
      <c r="BC115" s="21">
        <v>0.428284</v>
      </c>
      <c r="BD115">
        <f t="shared" si="22"/>
        <v>17.594691358024694</v>
      </c>
      <c r="BE115">
        <f t="shared" si="23"/>
        <v>7.5441110029629632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1.20621</v>
      </c>
      <c r="H116" s="21">
        <v>6.07585</v>
      </c>
      <c r="I116" s="21">
        <v>-1.38458E-2</v>
      </c>
      <c r="J116" s="21">
        <v>106</v>
      </c>
      <c r="K116" s="21">
        <v>1.2051400000000001</v>
      </c>
      <c r="L116">
        <f t="shared" si="12"/>
        <v>17.093580246913579</v>
      </c>
      <c r="M116">
        <f t="shared" si="13"/>
        <v>20.618447429629629</v>
      </c>
      <c r="N116" s="9"/>
      <c r="O116" s="21">
        <v>0.433807</v>
      </c>
      <c r="P116" s="21">
        <v>9.7741799999999994</v>
      </c>
      <c r="Q116" s="21">
        <v>-1.41724E-2</v>
      </c>
      <c r="R116" s="21">
        <v>106</v>
      </c>
      <c r="S116" s="21">
        <v>0.43325799999999998</v>
      </c>
      <c r="T116">
        <f t="shared" si="14"/>
        <v>17.496790123456787</v>
      </c>
      <c r="U116">
        <f t="shared" si="15"/>
        <v>7.5902300330864181</v>
      </c>
      <c r="X116" s="9"/>
      <c r="Y116" s="21">
        <v>1.20621</v>
      </c>
      <c r="Z116" s="21">
        <v>15.1411</v>
      </c>
      <c r="AA116" s="21">
        <v>-1.3983199999999999E-2</v>
      </c>
      <c r="AB116" s="21">
        <v>106</v>
      </c>
      <c r="AC116" s="21">
        <v>1.2051400000000001</v>
      </c>
      <c r="AD116">
        <f t="shared" si="16"/>
        <v>17.263209876543208</v>
      </c>
      <c r="AE116">
        <f t="shared" si="17"/>
        <v>20.823056385185183</v>
      </c>
      <c r="AF116" s="9"/>
      <c r="AG116" s="21">
        <v>0.433807</v>
      </c>
      <c r="AH116" s="21">
        <v>18.839400000000001</v>
      </c>
      <c r="AI116" s="21">
        <v>-1.4263899999999999E-2</v>
      </c>
      <c r="AJ116" s="21">
        <v>106</v>
      </c>
      <c r="AK116" s="21">
        <v>0.43316700000000002</v>
      </c>
      <c r="AL116">
        <f t="shared" si="18"/>
        <v>17.609753086419751</v>
      </c>
      <c r="AM116">
        <f t="shared" si="19"/>
        <v>7.6392341571604927</v>
      </c>
      <c r="AP116" s="9"/>
      <c r="AQ116" s="21">
        <v>1.20621</v>
      </c>
      <c r="AR116" s="21">
        <v>24.253299999999999</v>
      </c>
      <c r="AS116" s="21">
        <v>-1.3974E-2</v>
      </c>
      <c r="AT116" s="21">
        <v>106</v>
      </c>
      <c r="AU116" s="21">
        <v>1.2051400000000001</v>
      </c>
      <c r="AV116">
        <f t="shared" si="20"/>
        <v>17.251851851851853</v>
      </c>
      <c r="AW116">
        <f t="shared" si="21"/>
        <v>20.809356222222224</v>
      </c>
      <c r="AX116" s="9"/>
      <c r="AY116" s="21">
        <v>0.433807</v>
      </c>
      <c r="AZ116" s="21">
        <v>27.951599999999999</v>
      </c>
      <c r="BA116" s="21">
        <v>-1.4263899999999999E-2</v>
      </c>
      <c r="BB116" s="21">
        <v>106</v>
      </c>
      <c r="BC116" s="21">
        <v>0.43316700000000002</v>
      </c>
      <c r="BD116">
        <f t="shared" si="22"/>
        <v>17.609753086419751</v>
      </c>
      <c r="BE116">
        <f t="shared" si="23"/>
        <v>7.6392341571604927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1.2011700000000001</v>
      </c>
      <c r="H117" s="21">
        <v>6.0859199999999998</v>
      </c>
      <c r="I117" s="21">
        <v>-1.38519E-2</v>
      </c>
      <c r="J117" s="21">
        <v>107</v>
      </c>
      <c r="K117" s="21">
        <v>1.1999500000000001</v>
      </c>
      <c r="L117">
        <f t="shared" si="12"/>
        <v>17.101111111111113</v>
      </c>
      <c r="M117">
        <f t="shared" si="13"/>
        <v>20.541341633333335</v>
      </c>
      <c r="N117" s="9"/>
      <c r="O117" s="21">
        <v>0.43884299999999998</v>
      </c>
      <c r="P117" s="21">
        <v>9.7842599999999997</v>
      </c>
      <c r="Q117" s="21">
        <v>-1.4190700000000001E-2</v>
      </c>
      <c r="R117" s="21">
        <v>107</v>
      </c>
      <c r="S117" s="21">
        <v>0.43829299999999999</v>
      </c>
      <c r="T117">
        <f t="shared" si="14"/>
        <v>17.519382716049382</v>
      </c>
      <c r="U117">
        <f t="shared" si="15"/>
        <v>7.6882584692592584</v>
      </c>
      <c r="X117" s="9"/>
      <c r="Y117" s="21">
        <v>1.2011700000000001</v>
      </c>
      <c r="Z117" s="21">
        <v>15.1511</v>
      </c>
      <c r="AA117" s="21">
        <v>-1.3986200000000001E-2</v>
      </c>
      <c r="AB117" s="21">
        <v>107</v>
      </c>
      <c r="AC117" s="21">
        <v>1.2002600000000001</v>
      </c>
      <c r="AD117">
        <f t="shared" si="16"/>
        <v>17.266913580246914</v>
      </c>
      <c r="AE117">
        <f t="shared" si="17"/>
        <v>20.740498585185186</v>
      </c>
      <c r="AF117" s="9"/>
      <c r="AG117" s="21">
        <v>0.43884299999999998</v>
      </c>
      <c r="AH117" s="21">
        <v>18.849499999999999</v>
      </c>
      <c r="AI117" s="21">
        <v>-1.4263899999999999E-2</v>
      </c>
      <c r="AJ117" s="21">
        <v>107</v>
      </c>
      <c r="AK117" s="21">
        <v>0.43817099999999998</v>
      </c>
      <c r="AL117">
        <f t="shared" si="18"/>
        <v>17.609753086419751</v>
      </c>
      <c r="AM117">
        <f t="shared" si="19"/>
        <v>7.7279168737037027</v>
      </c>
      <c r="AP117" s="9"/>
      <c r="AQ117" s="21">
        <v>1.2011700000000001</v>
      </c>
      <c r="AR117" s="21">
        <v>24.263400000000001</v>
      </c>
      <c r="AS117" s="21">
        <v>-1.3986200000000001E-2</v>
      </c>
      <c r="AT117" s="21">
        <v>107</v>
      </c>
      <c r="AU117" s="21">
        <v>1.2005600000000001</v>
      </c>
      <c r="AV117">
        <f t="shared" si="20"/>
        <v>17.266913580246914</v>
      </c>
      <c r="AW117">
        <f t="shared" si="21"/>
        <v>20.740498585185186</v>
      </c>
      <c r="AX117" s="9"/>
      <c r="AY117" s="21">
        <v>0.43884299999999998</v>
      </c>
      <c r="AZ117" s="21">
        <v>27.9617</v>
      </c>
      <c r="BA117" s="21">
        <v>-1.4279200000000001E-2</v>
      </c>
      <c r="BB117" s="21">
        <v>107</v>
      </c>
      <c r="BC117" s="21">
        <v>0.43829299999999999</v>
      </c>
      <c r="BD117">
        <f t="shared" si="22"/>
        <v>17.628641975308639</v>
      </c>
      <c r="BE117">
        <f t="shared" si="23"/>
        <v>7.7362061303703689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1.19614</v>
      </c>
      <c r="H118" s="21">
        <v>6.0959899999999996</v>
      </c>
      <c r="I118" s="21">
        <v>-1.3848900000000001E-2</v>
      </c>
      <c r="J118" s="21">
        <v>108</v>
      </c>
      <c r="K118" s="21">
        <v>1.19598</v>
      </c>
      <c r="L118">
        <f t="shared" si="12"/>
        <v>17.09740740740741</v>
      </c>
      <c r="M118">
        <f t="shared" si="13"/>
        <v>20.450892896296299</v>
      </c>
      <c r="N118" s="9"/>
      <c r="O118" s="21">
        <v>0.44387799999999999</v>
      </c>
      <c r="P118" s="21">
        <v>9.7943300000000004</v>
      </c>
      <c r="Q118" s="21">
        <v>-1.4196800000000001E-2</v>
      </c>
      <c r="R118" s="21">
        <v>108</v>
      </c>
      <c r="S118" s="21">
        <v>0.44332899999999997</v>
      </c>
      <c r="T118">
        <f t="shared" si="14"/>
        <v>17.526913580246916</v>
      </c>
      <c r="U118">
        <f t="shared" si="15"/>
        <v>7.7798113461728402</v>
      </c>
      <c r="X118" s="9"/>
      <c r="Y118" s="21">
        <v>1.19614</v>
      </c>
      <c r="Z118" s="21">
        <v>15.161199999999999</v>
      </c>
      <c r="AA118" s="21">
        <v>-1.3992299999999999E-2</v>
      </c>
      <c r="AB118" s="21">
        <v>108</v>
      </c>
      <c r="AC118" s="21">
        <v>1.19537</v>
      </c>
      <c r="AD118">
        <f t="shared" si="16"/>
        <v>17.274444444444445</v>
      </c>
      <c r="AE118">
        <f t="shared" si="17"/>
        <v>20.662653977777779</v>
      </c>
      <c r="AF118" s="9"/>
      <c r="AG118" s="21">
        <v>0.44387799999999999</v>
      </c>
      <c r="AH118" s="21">
        <v>18.859500000000001</v>
      </c>
      <c r="AI118" s="21">
        <v>-1.42548E-2</v>
      </c>
      <c r="AJ118" s="21">
        <v>108</v>
      </c>
      <c r="AK118" s="21">
        <v>0.44332899999999997</v>
      </c>
      <c r="AL118">
        <f t="shared" si="18"/>
        <v>17.598518518518517</v>
      </c>
      <c r="AM118">
        <f t="shared" si="19"/>
        <v>7.8115952029629625</v>
      </c>
      <c r="AP118" s="9"/>
      <c r="AQ118" s="21">
        <v>1.19614</v>
      </c>
      <c r="AR118" s="21">
        <v>24.273399999999999</v>
      </c>
      <c r="AS118" s="21">
        <v>-1.39893E-2</v>
      </c>
      <c r="AT118" s="21">
        <v>108</v>
      </c>
      <c r="AU118" s="21">
        <v>1.1950700000000001</v>
      </c>
      <c r="AV118">
        <f t="shared" si="20"/>
        <v>17.270740740740738</v>
      </c>
      <c r="AW118">
        <f t="shared" si="21"/>
        <v>20.658223829629627</v>
      </c>
      <c r="AX118" s="9"/>
      <c r="AY118" s="21">
        <v>0.44387799999999999</v>
      </c>
      <c r="AZ118" s="21">
        <v>27.971800000000002</v>
      </c>
      <c r="BA118" s="21">
        <v>-1.42822E-2</v>
      </c>
      <c r="BB118" s="21">
        <v>108</v>
      </c>
      <c r="BC118" s="21">
        <v>0.44332899999999997</v>
      </c>
      <c r="BD118">
        <f t="shared" si="22"/>
        <v>17.632345679012342</v>
      </c>
      <c r="BE118">
        <f t="shared" si="23"/>
        <v>7.82661033530864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1.1911</v>
      </c>
      <c r="H119" s="21">
        <v>6.1060600000000003</v>
      </c>
      <c r="I119" s="21">
        <v>-1.3842800000000001E-2</v>
      </c>
      <c r="J119" s="21">
        <v>109</v>
      </c>
      <c r="K119" s="21">
        <v>1.19049</v>
      </c>
      <c r="L119">
        <f t="shared" si="12"/>
        <v>17.089876543209876</v>
      </c>
      <c r="M119">
        <f t="shared" si="13"/>
        <v>20.355751950617282</v>
      </c>
      <c r="N119" s="9"/>
      <c r="O119" s="21">
        <v>0.44891399999999998</v>
      </c>
      <c r="P119" s="21">
        <v>9.8043999999999993</v>
      </c>
      <c r="Q119" s="21">
        <v>-1.4202899999999999E-2</v>
      </c>
      <c r="R119" s="21">
        <v>109</v>
      </c>
      <c r="S119" s="21">
        <v>0.44830300000000001</v>
      </c>
      <c r="T119">
        <f t="shared" si="14"/>
        <v>17.534444444444443</v>
      </c>
      <c r="U119">
        <f t="shared" si="15"/>
        <v>7.8714575933333322</v>
      </c>
      <c r="X119" s="9"/>
      <c r="Y119" s="21">
        <v>1.1911</v>
      </c>
      <c r="Z119" s="21">
        <v>15.1713</v>
      </c>
      <c r="AA119" s="21">
        <v>-1.3998399999999999E-2</v>
      </c>
      <c r="AB119" s="21">
        <v>109</v>
      </c>
      <c r="AC119" s="21">
        <v>1.19049</v>
      </c>
      <c r="AD119">
        <f t="shared" si="16"/>
        <v>17.281975308641975</v>
      </c>
      <c r="AE119">
        <f t="shared" si="17"/>
        <v>20.584560790123458</v>
      </c>
      <c r="AF119" s="9"/>
      <c r="AG119" s="21">
        <v>0.44891399999999998</v>
      </c>
      <c r="AH119" s="21">
        <v>18.869599999999998</v>
      </c>
      <c r="AI119" s="21">
        <v>-1.4245600000000001E-2</v>
      </c>
      <c r="AJ119" s="21">
        <v>109</v>
      </c>
      <c r="AK119" s="21">
        <v>0.44824199999999997</v>
      </c>
      <c r="AL119">
        <f t="shared" si="18"/>
        <v>17.58716049382716</v>
      </c>
      <c r="AM119">
        <f t="shared" si="19"/>
        <v>7.8951225659259254</v>
      </c>
      <c r="AP119" s="9"/>
      <c r="AQ119" s="21">
        <v>1.1911</v>
      </c>
      <c r="AR119" s="21">
        <v>24.2835</v>
      </c>
      <c r="AS119" s="21">
        <v>-1.3998399999999999E-2</v>
      </c>
      <c r="AT119" s="21">
        <v>109</v>
      </c>
      <c r="AU119" s="21">
        <v>1.18988</v>
      </c>
      <c r="AV119">
        <f t="shared" si="20"/>
        <v>17.281975308641975</v>
      </c>
      <c r="AW119">
        <f t="shared" si="21"/>
        <v>20.584560790123458</v>
      </c>
      <c r="AX119" s="9"/>
      <c r="AY119" s="21">
        <v>0.44891399999999998</v>
      </c>
      <c r="AZ119" s="21">
        <v>27.9818</v>
      </c>
      <c r="BA119" s="21">
        <v>-1.42822E-2</v>
      </c>
      <c r="BB119" s="21">
        <v>109</v>
      </c>
      <c r="BC119" s="21">
        <v>0.44830300000000001</v>
      </c>
      <c r="BD119">
        <f t="shared" si="22"/>
        <v>17.632345679012342</v>
      </c>
      <c r="BE119">
        <f t="shared" si="23"/>
        <v>7.9154068281481464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1.18607</v>
      </c>
      <c r="H120" s="21">
        <v>6.1161300000000001</v>
      </c>
      <c r="I120" s="21">
        <v>-1.38458E-2</v>
      </c>
      <c r="J120" s="21">
        <v>110</v>
      </c>
      <c r="K120" s="21">
        <v>1.1850000000000001</v>
      </c>
      <c r="L120">
        <f t="shared" si="12"/>
        <v>17.093580246913579</v>
      </c>
      <c r="M120">
        <f t="shared" si="13"/>
        <v>20.274182723456789</v>
      </c>
      <c r="N120" s="9"/>
      <c r="O120" s="21">
        <v>0.45394899999999999</v>
      </c>
      <c r="P120" s="21">
        <v>9.81447</v>
      </c>
      <c r="Q120" s="21">
        <v>-1.4202899999999999E-2</v>
      </c>
      <c r="R120" s="21">
        <v>110</v>
      </c>
      <c r="S120" s="21">
        <v>0.45321699999999998</v>
      </c>
      <c r="T120">
        <f t="shared" si="14"/>
        <v>17.534444444444443</v>
      </c>
      <c r="U120">
        <f t="shared" si="15"/>
        <v>7.9597435211111103</v>
      </c>
      <c r="X120" s="9"/>
      <c r="Y120" s="21">
        <v>1.18607</v>
      </c>
      <c r="Z120" s="21">
        <v>15.1813</v>
      </c>
      <c r="AA120" s="21">
        <v>-1.40015E-2</v>
      </c>
      <c r="AB120" s="21">
        <v>110</v>
      </c>
      <c r="AC120" s="21">
        <v>1.1853</v>
      </c>
      <c r="AD120">
        <f t="shared" si="16"/>
        <v>17.285802469135803</v>
      </c>
      <c r="AE120">
        <f t="shared" si="17"/>
        <v>20.502171734567902</v>
      </c>
      <c r="AF120" s="9"/>
      <c r="AG120" s="21">
        <v>0.45394899999999999</v>
      </c>
      <c r="AH120" s="21">
        <v>18.8797</v>
      </c>
      <c r="AI120" s="21">
        <v>-1.4242599999999999E-2</v>
      </c>
      <c r="AJ120" s="21">
        <v>110</v>
      </c>
      <c r="AK120" s="21">
        <v>0.45340000000000003</v>
      </c>
      <c r="AL120">
        <f t="shared" si="18"/>
        <v>17.583456790123453</v>
      </c>
      <c r="AM120">
        <f t="shared" si="19"/>
        <v>7.9819926264197507</v>
      </c>
      <c r="AP120" s="9"/>
      <c r="AQ120" s="21">
        <v>1.18607</v>
      </c>
      <c r="AR120" s="21">
        <v>24.293600000000001</v>
      </c>
      <c r="AS120" s="21">
        <v>-1.40076E-2</v>
      </c>
      <c r="AT120" s="21">
        <v>110</v>
      </c>
      <c r="AU120" s="21">
        <v>1.1850000000000001</v>
      </c>
      <c r="AV120">
        <f t="shared" si="20"/>
        <v>17.293333333333333</v>
      </c>
      <c r="AW120">
        <f t="shared" si="21"/>
        <v>20.511103866666666</v>
      </c>
      <c r="AX120" s="9"/>
      <c r="AY120" s="21">
        <v>0.45394899999999999</v>
      </c>
      <c r="AZ120" s="21">
        <v>27.991900000000001</v>
      </c>
      <c r="BA120" s="21">
        <v>-1.4285300000000001E-2</v>
      </c>
      <c r="BB120" s="21">
        <v>110</v>
      </c>
      <c r="BC120" s="21">
        <v>0.45343</v>
      </c>
      <c r="BD120">
        <f t="shared" si="22"/>
        <v>17.636172839506173</v>
      </c>
      <c r="BE120">
        <f t="shared" si="23"/>
        <v>8.0059230243209871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1.18103</v>
      </c>
      <c r="H121" s="21">
        <v>6.1261999999999999</v>
      </c>
      <c r="I121" s="21">
        <v>-1.3858000000000001E-2</v>
      </c>
      <c r="J121" s="21">
        <v>111</v>
      </c>
      <c r="K121" s="21">
        <v>1.17981</v>
      </c>
      <c r="L121">
        <f t="shared" si="12"/>
        <v>17.10864197530864</v>
      </c>
      <c r="M121">
        <f t="shared" si="13"/>
        <v>20.205819432098764</v>
      </c>
      <c r="N121" s="9"/>
      <c r="O121" s="21">
        <v>0.458984</v>
      </c>
      <c r="P121" s="21">
        <v>9.8245400000000007</v>
      </c>
      <c r="Q121" s="21">
        <v>-1.41937E-2</v>
      </c>
      <c r="R121" s="21">
        <v>111</v>
      </c>
      <c r="S121" s="21">
        <v>0.45834399999999997</v>
      </c>
      <c r="T121">
        <f t="shared" si="14"/>
        <v>17.523086419753085</v>
      </c>
      <c r="U121">
        <f t="shared" si="15"/>
        <v>8.0428162972839505</v>
      </c>
      <c r="X121" s="9"/>
      <c r="Y121" s="21">
        <v>1.18103</v>
      </c>
      <c r="Z121" s="21">
        <v>15.1914</v>
      </c>
      <c r="AA121" s="21">
        <v>-1.40137E-2</v>
      </c>
      <c r="AB121" s="21">
        <v>111</v>
      </c>
      <c r="AC121" s="21">
        <v>1.17981</v>
      </c>
      <c r="AD121">
        <f t="shared" si="16"/>
        <v>17.300864197530863</v>
      </c>
      <c r="AE121">
        <f t="shared" si="17"/>
        <v>20.432839643209878</v>
      </c>
      <c r="AF121" s="9"/>
      <c r="AG121" s="21">
        <v>0.458984</v>
      </c>
      <c r="AH121" s="21">
        <v>18.889800000000001</v>
      </c>
      <c r="AI121" s="21">
        <v>-1.4245600000000001E-2</v>
      </c>
      <c r="AJ121" s="21">
        <v>111</v>
      </c>
      <c r="AK121" s="21">
        <v>0.45840500000000001</v>
      </c>
      <c r="AL121">
        <f t="shared" si="18"/>
        <v>17.58716049382716</v>
      </c>
      <c r="AM121">
        <f t="shared" si="19"/>
        <v>8.0722252720987644</v>
      </c>
      <c r="AP121" s="9"/>
      <c r="AQ121" s="21">
        <v>1.18103</v>
      </c>
      <c r="AR121" s="21">
        <v>24.303599999999999</v>
      </c>
      <c r="AS121" s="21">
        <v>-1.40167E-2</v>
      </c>
      <c r="AT121" s="21">
        <v>111</v>
      </c>
      <c r="AU121" s="21">
        <v>1.1795</v>
      </c>
      <c r="AV121">
        <f t="shared" si="20"/>
        <v>17.304567901234567</v>
      </c>
      <c r="AW121">
        <f t="shared" si="21"/>
        <v>20.437213828395059</v>
      </c>
      <c r="AX121" s="9"/>
      <c r="AY121" s="21">
        <v>0.458984</v>
      </c>
      <c r="AZ121" s="21">
        <v>28.001999999999999</v>
      </c>
      <c r="BA121" s="21">
        <v>-1.4291399999999999E-2</v>
      </c>
      <c r="BB121" s="21">
        <v>111</v>
      </c>
      <c r="BC121" s="21">
        <v>0.458374</v>
      </c>
      <c r="BD121">
        <f t="shared" si="22"/>
        <v>17.643703703703704</v>
      </c>
      <c r="BE121">
        <f t="shared" si="23"/>
        <v>8.0981777007407416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1.1759900000000001</v>
      </c>
      <c r="H122" s="21">
        <v>6.1362699999999997</v>
      </c>
      <c r="I122" s="21">
        <v>-1.38824E-2</v>
      </c>
      <c r="J122" s="21">
        <v>112</v>
      </c>
      <c r="K122" s="21">
        <v>1.17523</v>
      </c>
      <c r="L122">
        <f t="shared" si="12"/>
        <v>17.138765432098765</v>
      </c>
      <c r="M122">
        <f t="shared" si="13"/>
        <v>20.15501676049383</v>
      </c>
      <c r="N122" s="9"/>
      <c r="O122" s="21">
        <v>0.46401999999999999</v>
      </c>
      <c r="P122" s="21">
        <v>9.8346099999999996</v>
      </c>
      <c r="Q122" s="21">
        <v>-1.41846E-2</v>
      </c>
      <c r="R122" s="21">
        <v>112</v>
      </c>
      <c r="S122" s="21">
        <v>0.46353100000000003</v>
      </c>
      <c r="T122">
        <f t="shared" si="14"/>
        <v>17.511851851851851</v>
      </c>
      <c r="U122">
        <f t="shared" si="15"/>
        <v>8.1258494962962953</v>
      </c>
      <c r="X122" s="9"/>
      <c r="Y122" s="21">
        <v>1.1759900000000001</v>
      </c>
      <c r="Z122" s="21">
        <v>15.201499999999999</v>
      </c>
      <c r="AA122" s="21">
        <v>-1.40228E-2</v>
      </c>
      <c r="AB122" s="21">
        <v>112</v>
      </c>
      <c r="AC122" s="21">
        <v>1.17462</v>
      </c>
      <c r="AD122">
        <f t="shared" si="16"/>
        <v>17.312098765432097</v>
      </c>
      <c r="AE122">
        <f t="shared" si="17"/>
        <v>20.358855027160494</v>
      </c>
      <c r="AF122" s="9"/>
      <c r="AG122" s="21">
        <v>0.46401999999999999</v>
      </c>
      <c r="AH122" s="21">
        <v>18.899799999999999</v>
      </c>
      <c r="AI122" s="21">
        <v>-1.4257799999999999E-2</v>
      </c>
      <c r="AJ122" s="21">
        <v>112</v>
      </c>
      <c r="AK122" s="21">
        <v>0.46353100000000003</v>
      </c>
      <c r="AL122">
        <f t="shared" si="18"/>
        <v>17.60222222222222</v>
      </c>
      <c r="AM122">
        <f t="shared" si="19"/>
        <v>8.1677831555555542</v>
      </c>
      <c r="AP122" s="9"/>
      <c r="AQ122" s="21">
        <v>1.1759900000000001</v>
      </c>
      <c r="AR122" s="21">
        <v>24.313700000000001</v>
      </c>
      <c r="AS122" s="21">
        <v>-1.4041100000000001E-2</v>
      </c>
      <c r="AT122" s="21">
        <v>112</v>
      </c>
      <c r="AU122" s="21">
        <v>1.17493</v>
      </c>
      <c r="AV122">
        <f t="shared" si="20"/>
        <v>17.334691358024692</v>
      </c>
      <c r="AW122">
        <f t="shared" si="21"/>
        <v>20.38542369012346</v>
      </c>
      <c r="AX122" s="9"/>
      <c r="AY122" s="21">
        <v>0.46401999999999999</v>
      </c>
      <c r="AZ122" s="21">
        <v>28.012</v>
      </c>
      <c r="BA122" s="21">
        <v>-1.4291399999999999E-2</v>
      </c>
      <c r="BB122" s="21">
        <v>112</v>
      </c>
      <c r="BC122" s="21">
        <v>0.46344000000000002</v>
      </c>
      <c r="BD122">
        <f t="shared" si="22"/>
        <v>17.643703703703704</v>
      </c>
      <c r="BE122">
        <f t="shared" si="23"/>
        <v>8.1870313925925924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1.17096</v>
      </c>
      <c r="H123" s="21">
        <v>6.1463400000000004</v>
      </c>
      <c r="I123" s="21">
        <v>-1.39069E-2</v>
      </c>
      <c r="J123" s="21">
        <v>113</v>
      </c>
      <c r="K123" s="21">
        <v>1.17004</v>
      </c>
      <c r="L123">
        <f t="shared" si="12"/>
        <v>17.169012345679011</v>
      </c>
      <c r="M123">
        <f t="shared" si="13"/>
        <v>20.104226696296294</v>
      </c>
      <c r="N123" s="9"/>
      <c r="O123" s="21">
        <v>0.469055</v>
      </c>
      <c r="P123" s="21">
        <v>9.8446800000000003</v>
      </c>
      <c r="Q123" s="21">
        <v>-1.4175399999999999E-2</v>
      </c>
      <c r="R123" s="21">
        <v>113</v>
      </c>
      <c r="S123" s="21">
        <v>0.468414</v>
      </c>
      <c r="T123">
        <f t="shared" si="14"/>
        <v>17.500493827160494</v>
      </c>
      <c r="U123">
        <f t="shared" si="15"/>
        <v>8.2086941320987652</v>
      </c>
      <c r="X123" s="9"/>
      <c r="Y123" s="21">
        <v>1.17096</v>
      </c>
      <c r="Z123" s="21">
        <v>15.211600000000001</v>
      </c>
      <c r="AA123" s="21">
        <v>-1.4035000000000001E-2</v>
      </c>
      <c r="AB123" s="21">
        <v>113</v>
      </c>
      <c r="AC123" s="21">
        <v>1.17004</v>
      </c>
      <c r="AD123">
        <f t="shared" si="16"/>
        <v>17.327160493827162</v>
      </c>
      <c r="AE123">
        <f t="shared" si="17"/>
        <v>20.289411851851852</v>
      </c>
      <c r="AF123" s="9"/>
      <c r="AG123" s="21">
        <v>0.469055</v>
      </c>
      <c r="AH123" s="21">
        <v>18.9099</v>
      </c>
      <c r="AI123" s="21">
        <v>-1.42609E-2</v>
      </c>
      <c r="AJ123" s="21">
        <v>113</v>
      </c>
      <c r="AK123" s="21">
        <v>0.468445</v>
      </c>
      <c r="AL123">
        <f t="shared" si="18"/>
        <v>17.606049382716048</v>
      </c>
      <c r="AM123">
        <f t="shared" si="19"/>
        <v>8.258205493209875</v>
      </c>
      <c r="AP123" s="9"/>
      <c r="AQ123" s="21">
        <v>1.17096</v>
      </c>
      <c r="AR123" s="21">
        <v>24.323799999999999</v>
      </c>
      <c r="AS123" s="21">
        <v>-1.40503E-2</v>
      </c>
      <c r="AT123" s="21">
        <v>113</v>
      </c>
      <c r="AU123" s="21">
        <v>1.17004</v>
      </c>
      <c r="AV123">
        <f t="shared" si="20"/>
        <v>17.34604938271605</v>
      </c>
      <c r="AW123">
        <f t="shared" si="21"/>
        <v>20.311529985185185</v>
      </c>
      <c r="AX123" s="9"/>
      <c r="AY123" s="21">
        <v>0.469055</v>
      </c>
      <c r="AZ123" s="21">
        <v>28.022099999999998</v>
      </c>
      <c r="BA123" s="21">
        <v>-1.4294400000000001E-2</v>
      </c>
      <c r="BB123" s="21">
        <v>113</v>
      </c>
      <c r="BC123" s="21">
        <v>0.46850599999999998</v>
      </c>
      <c r="BD123">
        <f t="shared" si="22"/>
        <v>17.647407407407407</v>
      </c>
      <c r="BE123">
        <f t="shared" si="23"/>
        <v>8.2776046814814812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1.1659200000000001</v>
      </c>
      <c r="H124" s="21">
        <v>6.1564199999999998</v>
      </c>
      <c r="I124" s="21">
        <v>-1.3931300000000001E-2</v>
      </c>
      <c r="J124" s="21">
        <v>114</v>
      </c>
      <c r="K124" s="21">
        <v>1.16486</v>
      </c>
      <c r="L124">
        <f t="shared" si="12"/>
        <v>17.199135802469137</v>
      </c>
      <c r="M124">
        <f t="shared" si="13"/>
        <v>20.052816414814817</v>
      </c>
      <c r="N124" s="9"/>
      <c r="O124" s="21">
        <v>0.47409099999999998</v>
      </c>
      <c r="P124" s="21">
        <v>9.8547499999999992</v>
      </c>
      <c r="Q124" s="21">
        <v>-1.41815E-2</v>
      </c>
      <c r="R124" s="21">
        <v>114</v>
      </c>
      <c r="S124" s="21">
        <v>0.47354099999999999</v>
      </c>
      <c r="T124">
        <f t="shared" si="14"/>
        <v>17.508024691358024</v>
      </c>
      <c r="U124">
        <f t="shared" si="15"/>
        <v>8.3003969339506174</v>
      </c>
      <c r="X124" s="9"/>
      <c r="Y124" s="21">
        <v>1.1659200000000001</v>
      </c>
      <c r="Z124" s="21">
        <v>15.2216</v>
      </c>
      <c r="AA124" s="21">
        <v>-1.4047199999999999E-2</v>
      </c>
      <c r="AB124" s="21">
        <v>114</v>
      </c>
      <c r="AC124" s="21">
        <v>1.16486</v>
      </c>
      <c r="AD124">
        <f t="shared" si="16"/>
        <v>17.342222222222222</v>
      </c>
      <c r="AE124">
        <f t="shared" si="17"/>
        <v>20.219643733333335</v>
      </c>
      <c r="AF124" s="9"/>
      <c r="AG124" s="21">
        <v>0.47409099999999998</v>
      </c>
      <c r="AH124" s="21">
        <v>18.920000000000002</v>
      </c>
      <c r="AI124" s="21">
        <v>-1.4263899999999999E-2</v>
      </c>
      <c r="AJ124" s="21">
        <v>114</v>
      </c>
      <c r="AK124" s="21">
        <v>0.47344999999999998</v>
      </c>
      <c r="AL124">
        <f t="shared" si="18"/>
        <v>17.609753086419751</v>
      </c>
      <c r="AM124">
        <f t="shared" si="19"/>
        <v>8.3486254504938255</v>
      </c>
      <c r="AP124" s="9"/>
      <c r="AQ124" s="21">
        <v>1.1659200000000001</v>
      </c>
      <c r="AR124" s="21">
        <v>24.3339</v>
      </c>
      <c r="AS124" s="21">
        <v>-1.40625E-2</v>
      </c>
      <c r="AT124" s="21">
        <v>114</v>
      </c>
      <c r="AU124" s="21">
        <v>1.16516</v>
      </c>
      <c r="AV124">
        <f t="shared" si="20"/>
        <v>17.361111111111111</v>
      </c>
      <c r="AW124">
        <f t="shared" si="21"/>
        <v>20.241666666666667</v>
      </c>
      <c r="AX124" s="9"/>
      <c r="AY124" s="21">
        <v>0.47409099999999998</v>
      </c>
      <c r="AZ124" s="21">
        <v>28.0322</v>
      </c>
      <c r="BA124" s="21">
        <v>-1.4285300000000001E-2</v>
      </c>
      <c r="BB124" s="21">
        <v>114</v>
      </c>
      <c r="BC124" s="21">
        <v>0.47344999999999998</v>
      </c>
      <c r="BD124">
        <f t="shared" si="22"/>
        <v>17.636172839506173</v>
      </c>
      <c r="BE124">
        <f t="shared" si="23"/>
        <v>8.3611508176543214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1.16089</v>
      </c>
      <c r="H125" s="21">
        <v>6.1664899999999996</v>
      </c>
      <c r="I125" s="21">
        <v>-1.3943499999999999E-2</v>
      </c>
      <c r="J125" s="21">
        <v>115</v>
      </c>
      <c r="K125" s="21">
        <v>1.1599699999999999</v>
      </c>
      <c r="L125">
        <f t="shared" si="12"/>
        <v>17.214197530864197</v>
      </c>
      <c r="M125">
        <f t="shared" si="13"/>
        <v>19.983789771604936</v>
      </c>
      <c r="N125" s="9"/>
      <c r="O125" s="21">
        <v>0.479126</v>
      </c>
      <c r="P125" s="21">
        <v>9.8648199999999999</v>
      </c>
      <c r="Q125" s="21">
        <v>-1.41724E-2</v>
      </c>
      <c r="R125" s="21">
        <v>115</v>
      </c>
      <c r="S125" s="21">
        <v>0.47848499999999999</v>
      </c>
      <c r="T125">
        <f t="shared" si="14"/>
        <v>17.496790123456787</v>
      </c>
      <c r="U125">
        <f t="shared" si="15"/>
        <v>8.3831670646913565</v>
      </c>
      <c r="X125" s="9"/>
      <c r="Y125" s="21">
        <v>1.16089</v>
      </c>
      <c r="Z125" s="21">
        <v>15.2317</v>
      </c>
      <c r="AA125" s="21">
        <v>-1.40442E-2</v>
      </c>
      <c r="AB125" s="21">
        <v>115</v>
      </c>
      <c r="AC125" s="21">
        <v>1.1599699999999999</v>
      </c>
      <c r="AD125">
        <f t="shared" si="16"/>
        <v>17.338518518518516</v>
      </c>
      <c r="AE125">
        <f t="shared" si="17"/>
        <v>20.12811276296296</v>
      </c>
      <c r="AF125" s="9"/>
      <c r="AG125" s="21">
        <v>0.479126</v>
      </c>
      <c r="AH125" s="21">
        <v>18.93</v>
      </c>
      <c r="AI125" s="21">
        <v>-1.4251700000000001E-2</v>
      </c>
      <c r="AJ125" s="21">
        <v>115</v>
      </c>
      <c r="AK125" s="21">
        <v>0.47854600000000003</v>
      </c>
      <c r="AL125">
        <f t="shared" si="18"/>
        <v>17.594691358024694</v>
      </c>
      <c r="AM125">
        <f t="shared" si="19"/>
        <v>8.4300740916049399</v>
      </c>
      <c r="AP125" s="9"/>
      <c r="AQ125" s="21">
        <v>1.16089</v>
      </c>
      <c r="AR125" s="21">
        <v>24.343900000000001</v>
      </c>
      <c r="AS125" s="21">
        <v>-1.4065599999999999E-2</v>
      </c>
      <c r="AT125" s="21">
        <v>115</v>
      </c>
      <c r="AU125" s="21">
        <v>1.15967</v>
      </c>
      <c r="AV125">
        <f t="shared" si="20"/>
        <v>17.364938271604938</v>
      </c>
      <c r="AW125">
        <f t="shared" si="21"/>
        <v>20.158783190123454</v>
      </c>
      <c r="AX125" s="9"/>
      <c r="AY125" s="21">
        <v>0.479126</v>
      </c>
      <c r="AZ125" s="21">
        <v>28.042300000000001</v>
      </c>
      <c r="BA125" s="21">
        <v>-1.4267E-2</v>
      </c>
      <c r="BB125" s="21">
        <v>115</v>
      </c>
      <c r="BC125" s="21">
        <v>0.47848499999999999</v>
      </c>
      <c r="BD125">
        <f t="shared" si="22"/>
        <v>17.613580246913582</v>
      </c>
      <c r="BE125">
        <f t="shared" si="23"/>
        <v>8.4391242493827168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1.15585</v>
      </c>
      <c r="H126" s="21">
        <v>6.1765600000000003</v>
      </c>
      <c r="I126" s="21">
        <v>-1.3946500000000001E-2</v>
      </c>
      <c r="J126" s="21">
        <v>116</v>
      </c>
      <c r="K126" s="21">
        <v>1.15509</v>
      </c>
      <c r="L126">
        <f t="shared" si="12"/>
        <v>17.217901234567901</v>
      </c>
      <c r="M126">
        <f t="shared" si="13"/>
        <v>19.901311141975309</v>
      </c>
      <c r="N126" s="9"/>
      <c r="O126" s="21">
        <v>0.48416100000000001</v>
      </c>
      <c r="P126" s="21">
        <v>9.8748900000000006</v>
      </c>
      <c r="Q126" s="21">
        <v>-1.4175399999999999E-2</v>
      </c>
      <c r="R126" s="21">
        <v>116</v>
      </c>
      <c r="S126" s="21">
        <v>0.48361199999999999</v>
      </c>
      <c r="T126">
        <f t="shared" si="14"/>
        <v>17.500493827160494</v>
      </c>
      <c r="U126">
        <f t="shared" si="15"/>
        <v>8.4730565918518526</v>
      </c>
      <c r="X126" s="9"/>
      <c r="Y126" s="21">
        <v>1.15585</v>
      </c>
      <c r="Z126" s="21">
        <v>15.2418</v>
      </c>
      <c r="AA126" s="21">
        <v>-1.4041100000000001E-2</v>
      </c>
      <c r="AB126" s="21">
        <v>116</v>
      </c>
      <c r="AC126" s="21">
        <v>1.15479</v>
      </c>
      <c r="AD126">
        <f t="shared" si="16"/>
        <v>17.334691358024692</v>
      </c>
      <c r="AE126">
        <f t="shared" si="17"/>
        <v>20.03630300617284</v>
      </c>
      <c r="AF126" s="9"/>
      <c r="AG126" s="21">
        <v>0.48416100000000001</v>
      </c>
      <c r="AH126" s="21">
        <v>18.940100000000001</v>
      </c>
      <c r="AI126" s="21">
        <v>-1.42303E-2</v>
      </c>
      <c r="AJ126" s="21">
        <v>116</v>
      </c>
      <c r="AK126" s="21">
        <v>0.48352099999999998</v>
      </c>
      <c r="AL126">
        <f t="shared" si="18"/>
        <v>17.568271604938271</v>
      </c>
      <c r="AM126">
        <f t="shared" si="19"/>
        <v>8.5058719485185179</v>
      </c>
      <c r="AP126" s="9"/>
      <c r="AQ126" s="21">
        <v>1.15585</v>
      </c>
      <c r="AR126" s="21">
        <v>24.353999999999999</v>
      </c>
      <c r="AS126" s="21">
        <v>-1.4065599999999999E-2</v>
      </c>
      <c r="AT126" s="21">
        <v>116</v>
      </c>
      <c r="AU126" s="21">
        <v>1.1554</v>
      </c>
      <c r="AV126">
        <f t="shared" si="20"/>
        <v>17.364938271604938</v>
      </c>
      <c r="AW126">
        <f t="shared" si="21"/>
        <v>20.07126390123457</v>
      </c>
      <c r="AX126" s="9"/>
      <c r="AY126" s="21">
        <v>0.48416100000000001</v>
      </c>
      <c r="AZ126" s="21">
        <v>28.052299999999999</v>
      </c>
      <c r="BA126" s="21">
        <v>-1.427E-2</v>
      </c>
      <c r="BB126" s="21">
        <v>116</v>
      </c>
      <c r="BC126" s="21">
        <v>0.48361199999999999</v>
      </c>
      <c r="BD126">
        <f t="shared" si="22"/>
        <v>17.617283950617285</v>
      </c>
      <c r="BE126">
        <f t="shared" si="23"/>
        <v>8.5296018148148161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1.15082</v>
      </c>
      <c r="H127" s="21">
        <v>6.1866300000000001</v>
      </c>
      <c r="I127" s="21">
        <v>-1.3952600000000001E-2</v>
      </c>
      <c r="J127" s="21">
        <v>117</v>
      </c>
      <c r="K127" s="21">
        <v>1.1496</v>
      </c>
      <c r="L127">
        <f t="shared" si="12"/>
        <v>17.225432098765431</v>
      </c>
      <c r="M127">
        <f t="shared" si="13"/>
        <v>19.823371767901232</v>
      </c>
      <c r="N127" s="9"/>
      <c r="O127" s="21">
        <v>0.48919699999999999</v>
      </c>
      <c r="P127" s="21">
        <v>9.8849699999999991</v>
      </c>
      <c r="Q127" s="21">
        <v>-1.41724E-2</v>
      </c>
      <c r="R127" s="21">
        <v>117</v>
      </c>
      <c r="S127" s="21">
        <v>0.48861700000000002</v>
      </c>
      <c r="T127">
        <f t="shared" si="14"/>
        <v>17.496790123456787</v>
      </c>
      <c r="U127">
        <f t="shared" si="15"/>
        <v>8.5593772380246893</v>
      </c>
      <c r="X127" s="9"/>
      <c r="Y127" s="21">
        <v>1.15082</v>
      </c>
      <c r="Z127" s="21">
        <v>15.251799999999999</v>
      </c>
      <c r="AA127" s="21">
        <v>-1.40442E-2</v>
      </c>
      <c r="AB127" s="21">
        <v>117</v>
      </c>
      <c r="AC127" s="21">
        <v>1.1492899999999999</v>
      </c>
      <c r="AD127">
        <f t="shared" si="16"/>
        <v>17.338518518518516</v>
      </c>
      <c r="AE127">
        <f t="shared" si="17"/>
        <v>19.953513881481477</v>
      </c>
      <c r="AF127" s="9"/>
      <c r="AG127" s="21">
        <v>0.48919699999999999</v>
      </c>
      <c r="AH127" s="21">
        <v>18.950199999999999</v>
      </c>
      <c r="AI127" s="21">
        <v>-1.42212E-2</v>
      </c>
      <c r="AJ127" s="21">
        <v>117</v>
      </c>
      <c r="AK127" s="21">
        <v>0.48858600000000002</v>
      </c>
      <c r="AL127">
        <f t="shared" si="18"/>
        <v>17.557037037037034</v>
      </c>
      <c r="AM127">
        <f t="shared" si="19"/>
        <v>8.5888498474074062</v>
      </c>
      <c r="AP127" s="9"/>
      <c r="AQ127" s="21">
        <v>1.15082</v>
      </c>
      <c r="AR127" s="21">
        <v>24.364100000000001</v>
      </c>
      <c r="AS127" s="21">
        <v>-1.4053299999999999E-2</v>
      </c>
      <c r="AT127" s="21">
        <v>117</v>
      </c>
      <c r="AU127" s="21">
        <v>1.1498999999999999</v>
      </c>
      <c r="AV127">
        <f t="shared" si="20"/>
        <v>17.349753086419753</v>
      </c>
      <c r="AW127">
        <f t="shared" si="21"/>
        <v>19.96644284691358</v>
      </c>
      <c r="AX127" s="9"/>
      <c r="AY127" s="21">
        <v>0.48919699999999999</v>
      </c>
      <c r="AZ127" s="21">
        <v>28.0624</v>
      </c>
      <c r="BA127" s="21">
        <v>-1.427E-2</v>
      </c>
      <c r="BB127" s="21">
        <v>117</v>
      </c>
      <c r="BC127" s="21">
        <v>0.48855599999999999</v>
      </c>
      <c r="BD127">
        <f t="shared" si="22"/>
        <v>17.617283950617285</v>
      </c>
      <c r="BE127">
        <f t="shared" si="23"/>
        <v>8.6183224567901231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1.14578</v>
      </c>
      <c r="H128" s="21">
        <v>6.1966999999999999</v>
      </c>
      <c r="I128" s="21">
        <v>-1.3937400000000001E-2</v>
      </c>
      <c r="J128" s="21">
        <v>118</v>
      </c>
      <c r="K128" s="21">
        <v>1.1453199999999999</v>
      </c>
      <c r="L128">
        <f t="shared" si="12"/>
        <v>17.206666666666667</v>
      </c>
      <c r="M128">
        <f t="shared" si="13"/>
        <v>19.715054533333333</v>
      </c>
      <c r="N128" s="9"/>
      <c r="O128" s="21">
        <v>0.494232</v>
      </c>
      <c r="P128" s="21">
        <v>9.8950399999999998</v>
      </c>
      <c r="Q128" s="21">
        <v>-1.4169299999999999E-2</v>
      </c>
      <c r="R128" s="21">
        <v>118</v>
      </c>
      <c r="S128" s="21">
        <v>0.49368299999999998</v>
      </c>
      <c r="T128">
        <f t="shared" si="14"/>
        <v>17.492962962962959</v>
      </c>
      <c r="U128">
        <f t="shared" si="15"/>
        <v>8.6455820711111091</v>
      </c>
      <c r="X128" s="9"/>
      <c r="Y128" s="21">
        <v>1.14578</v>
      </c>
      <c r="Z128" s="21">
        <v>15.261900000000001</v>
      </c>
      <c r="AA128" s="21">
        <v>-1.40442E-2</v>
      </c>
      <c r="AB128" s="21">
        <v>118</v>
      </c>
      <c r="AC128" s="21">
        <v>1.1444099999999999</v>
      </c>
      <c r="AD128">
        <f t="shared" si="16"/>
        <v>17.338518518518516</v>
      </c>
      <c r="AE128">
        <f t="shared" si="17"/>
        <v>19.866127748148145</v>
      </c>
      <c r="AF128" s="9"/>
      <c r="AG128" s="21">
        <v>0.494232</v>
      </c>
      <c r="AH128" s="21">
        <v>18.9602</v>
      </c>
      <c r="AI128" s="21">
        <v>-1.4224199999999999E-2</v>
      </c>
      <c r="AJ128" s="21">
        <v>118</v>
      </c>
      <c r="AK128" s="21">
        <v>0.49362200000000001</v>
      </c>
      <c r="AL128">
        <f t="shared" si="18"/>
        <v>17.560740740740737</v>
      </c>
      <c r="AM128">
        <f t="shared" si="19"/>
        <v>8.6790800177777765</v>
      </c>
      <c r="AP128" s="9"/>
      <c r="AQ128" s="21">
        <v>1.14578</v>
      </c>
      <c r="AR128" s="21">
        <v>24.374099999999999</v>
      </c>
      <c r="AS128" s="21">
        <v>-1.4047199999999999E-2</v>
      </c>
      <c r="AT128" s="21">
        <v>118</v>
      </c>
      <c r="AU128" s="21">
        <v>1.1450199999999999</v>
      </c>
      <c r="AV128">
        <f t="shared" si="20"/>
        <v>17.342222222222222</v>
      </c>
      <c r="AW128">
        <f t="shared" si="21"/>
        <v>19.870371377777779</v>
      </c>
      <c r="AX128" s="9"/>
      <c r="AY128" s="21">
        <v>0.494232</v>
      </c>
      <c r="AZ128" s="21">
        <v>28.072500000000002</v>
      </c>
      <c r="BA128" s="21">
        <v>-1.4257799999999999E-2</v>
      </c>
      <c r="BB128" s="21">
        <v>118</v>
      </c>
      <c r="BC128" s="21">
        <v>0.493591</v>
      </c>
      <c r="BD128">
        <f t="shared" si="22"/>
        <v>17.60222222222222</v>
      </c>
      <c r="BE128">
        <f t="shared" si="23"/>
        <v>8.6995814933333317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1.1407499999999999</v>
      </c>
      <c r="H129" s="21">
        <v>6.2067699999999997</v>
      </c>
      <c r="I129" s="21">
        <v>-1.3931300000000001E-2</v>
      </c>
      <c r="J129" s="21">
        <v>119</v>
      </c>
      <c r="K129" s="21">
        <v>1.1392199999999999</v>
      </c>
      <c r="L129">
        <f t="shared" si="12"/>
        <v>17.199135802469137</v>
      </c>
      <c r="M129">
        <f t="shared" si="13"/>
        <v>19.619914166666668</v>
      </c>
      <c r="N129" s="9"/>
      <c r="O129" s="21">
        <v>0.49926799999999999</v>
      </c>
      <c r="P129" s="21">
        <v>9.9051100000000005</v>
      </c>
      <c r="Q129" s="21">
        <v>-1.41724E-2</v>
      </c>
      <c r="R129" s="21">
        <v>119</v>
      </c>
      <c r="S129" s="21">
        <v>0.49868800000000002</v>
      </c>
      <c r="T129">
        <f t="shared" si="14"/>
        <v>17.496790123456787</v>
      </c>
      <c r="U129">
        <f t="shared" si="15"/>
        <v>8.7355874113580221</v>
      </c>
      <c r="X129" s="9"/>
      <c r="Y129" s="21">
        <v>1.1407499999999999</v>
      </c>
      <c r="Z129" s="21">
        <v>15.272</v>
      </c>
      <c r="AA129" s="21">
        <v>-1.4041100000000001E-2</v>
      </c>
      <c r="AB129" s="21">
        <v>119</v>
      </c>
      <c r="AC129" s="21">
        <v>1.1398299999999999</v>
      </c>
      <c r="AD129">
        <f t="shared" si="16"/>
        <v>17.334691358024692</v>
      </c>
      <c r="AE129">
        <f t="shared" si="17"/>
        <v>19.774549166666667</v>
      </c>
      <c r="AF129" s="9"/>
      <c r="AG129" s="21">
        <v>0.49926799999999999</v>
      </c>
      <c r="AH129" s="21">
        <v>18.970300000000002</v>
      </c>
      <c r="AI129" s="21">
        <v>-1.42273E-2</v>
      </c>
      <c r="AJ129" s="21">
        <v>119</v>
      </c>
      <c r="AK129" s="21">
        <v>0.49880999999999998</v>
      </c>
      <c r="AL129">
        <f t="shared" si="18"/>
        <v>17.564567901234565</v>
      </c>
      <c r="AM129">
        <f t="shared" si="19"/>
        <v>8.7694266869135777</v>
      </c>
      <c r="AP129" s="9"/>
      <c r="AQ129" s="21">
        <v>1.1407499999999999</v>
      </c>
      <c r="AR129" s="21">
        <v>24.3842</v>
      </c>
      <c r="AS129" s="21">
        <v>-1.40289E-2</v>
      </c>
      <c r="AT129" s="21">
        <v>119</v>
      </c>
      <c r="AU129" s="21">
        <v>1.1401399999999999</v>
      </c>
      <c r="AV129">
        <f t="shared" si="20"/>
        <v>17.319629629629631</v>
      </c>
      <c r="AW129">
        <f t="shared" si="21"/>
        <v>19.757367500000001</v>
      </c>
      <c r="AX129" s="9"/>
      <c r="AY129" s="21">
        <v>0.49926799999999999</v>
      </c>
      <c r="AZ129" s="21">
        <v>28.0825</v>
      </c>
      <c r="BA129" s="21">
        <v>-1.4251700000000001E-2</v>
      </c>
      <c r="BB129" s="21">
        <v>119</v>
      </c>
      <c r="BC129" s="21">
        <v>0.49868800000000002</v>
      </c>
      <c r="BD129">
        <f t="shared" si="22"/>
        <v>17.594691358024694</v>
      </c>
      <c r="BE129">
        <f t="shared" si="23"/>
        <v>8.7844663649382717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1.13571</v>
      </c>
      <c r="H130" s="21">
        <v>6.2168400000000004</v>
      </c>
      <c r="I130" s="21">
        <v>-1.39252E-2</v>
      </c>
      <c r="J130" s="21">
        <v>120</v>
      </c>
      <c r="K130" s="21">
        <v>1.1343399999999999</v>
      </c>
      <c r="L130">
        <f t="shared" si="12"/>
        <v>17.191604938271606</v>
      </c>
      <c r="M130">
        <f t="shared" si="13"/>
        <v>19.524677644444445</v>
      </c>
      <c r="N130" s="9"/>
      <c r="O130" s="21">
        <v>0.50430299999999995</v>
      </c>
      <c r="P130" s="21">
        <v>9.9151799999999994</v>
      </c>
      <c r="Q130" s="21">
        <v>-1.41815E-2</v>
      </c>
      <c r="R130" s="21">
        <v>120</v>
      </c>
      <c r="S130" s="21">
        <v>0.50369299999999995</v>
      </c>
      <c r="T130">
        <f t="shared" si="14"/>
        <v>17.508024691358024</v>
      </c>
      <c r="U130">
        <f t="shared" si="15"/>
        <v>8.8293493759259238</v>
      </c>
      <c r="X130" s="9"/>
      <c r="Y130" s="21">
        <v>1.13571</v>
      </c>
      <c r="Z130" s="21">
        <v>15.2821</v>
      </c>
      <c r="AA130" s="21">
        <v>-1.4041100000000001E-2</v>
      </c>
      <c r="AB130" s="21">
        <v>120</v>
      </c>
      <c r="AC130" s="21">
        <v>1.1346400000000001</v>
      </c>
      <c r="AD130">
        <f t="shared" si="16"/>
        <v>17.334691358024692</v>
      </c>
      <c r="AE130">
        <f t="shared" si="17"/>
        <v>19.687182322222224</v>
      </c>
      <c r="AF130" s="9"/>
      <c r="AG130" s="21">
        <v>0.50430299999999995</v>
      </c>
      <c r="AH130" s="21">
        <v>18.980399999999999</v>
      </c>
      <c r="AI130" s="21">
        <v>-1.4224199999999999E-2</v>
      </c>
      <c r="AJ130" s="21">
        <v>120</v>
      </c>
      <c r="AK130" s="21">
        <v>0.50369299999999995</v>
      </c>
      <c r="AL130">
        <f t="shared" si="18"/>
        <v>17.560740740740737</v>
      </c>
      <c r="AM130">
        <f t="shared" si="19"/>
        <v>8.8559342377777757</v>
      </c>
      <c r="AP130" s="9"/>
      <c r="AQ130" s="21">
        <v>1.13571</v>
      </c>
      <c r="AR130" s="21">
        <v>24.394300000000001</v>
      </c>
      <c r="AS130" s="21">
        <v>-1.40289E-2</v>
      </c>
      <c r="AT130" s="21">
        <v>120</v>
      </c>
      <c r="AU130" s="21">
        <v>1.1349499999999999</v>
      </c>
      <c r="AV130">
        <f t="shared" si="20"/>
        <v>17.319629629629631</v>
      </c>
      <c r="AW130">
        <f t="shared" si="21"/>
        <v>19.670076566666669</v>
      </c>
      <c r="AX130" s="9"/>
      <c r="AY130" s="21">
        <v>0.50430299999999995</v>
      </c>
      <c r="AZ130" s="21">
        <v>28.092600000000001</v>
      </c>
      <c r="BA130" s="21">
        <v>-1.42334E-2</v>
      </c>
      <c r="BB130" s="21">
        <v>120</v>
      </c>
      <c r="BC130" s="21">
        <v>0.50360099999999997</v>
      </c>
      <c r="BD130">
        <f t="shared" si="22"/>
        <v>17.572098765432099</v>
      </c>
      <c r="BE130">
        <f t="shared" si="23"/>
        <v>8.8616621237037023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1.1306799999999999</v>
      </c>
      <c r="H131" s="21">
        <v>6.2269100000000002</v>
      </c>
      <c r="I131" s="21">
        <v>-1.3931300000000001E-2</v>
      </c>
      <c r="J131" s="21">
        <v>121</v>
      </c>
      <c r="K131" s="21">
        <v>1.1297600000000001</v>
      </c>
      <c r="L131">
        <f t="shared" si="12"/>
        <v>17.199135802469137</v>
      </c>
      <c r="M131">
        <f t="shared" si="13"/>
        <v>19.4467188691358</v>
      </c>
      <c r="N131" s="9"/>
      <c r="O131" s="21">
        <v>0.50933799999999996</v>
      </c>
      <c r="P131" s="21">
        <v>9.9252500000000001</v>
      </c>
      <c r="Q131" s="21">
        <v>-1.4175399999999999E-2</v>
      </c>
      <c r="R131" s="21">
        <v>121</v>
      </c>
      <c r="S131" s="21">
        <v>0.50875899999999996</v>
      </c>
      <c r="T131">
        <f t="shared" si="14"/>
        <v>17.500493827160494</v>
      </c>
      <c r="U131">
        <f t="shared" si="15"/>
        <v>8.9136665249382698</v>
      </c>
      <c r="X131" s="9"/>
      <c r="Y131" s="21">
        <v>1.1306799999999999</v>
      </c>
      <c r="Z131" s="21">
        <v>15.2921</v>
      </c>
      <c r="AA131" s="21">
        <v>-1.40442E-2</v>
      </c>
      <c r="AB131" s="21">
        <v>121</v>
      </c>
      <c r="AC131" s="21">
        <v>1.1300699999999999</v>
      </c>
      <c r="AD131">
        <f t="shared" si="16"/>
        <v>17.338518518518516</v>
      </c>
      <c r="AE131">
        <f t="shared" si="17"/>
        <v>19.604316118518515</v>
      </c>
      <c r="AF131" s="9"/>
      <c r="AG131" s="21">
        <v>0.50933799999999996</v>
      </c>
      <c r="AH131" s="21">
        <v>18.990500000000001</v>
      </c>
      <c r="AI131" s="21">
        <v>-1.42151E-2</v>
      </c>
      <c r="AJ131" s="21">
        <v>121</v>
      </c>
      <c r="AK131" s="21">
        <v>0.50875899999999996</v>
      </c>
      <c r="AL131">
        <f t="shared" si="18"/>
        <v>17.549506172839507</v>
      </c>
      <c r="AM131">
        <f t="shared" si="19"/>
        <v>8.9386303750617273</v>
      </c>
      <c r="AP131" s="9"/>
      <c r="AQ131" s="21">
        <v>1.1306799999999999</v>
      </c>
      <c r="AR131" s="21">
        <v>24.404299999999999</v>
      </c>
      <c r="AS131" s="21">
        <v>-1.40442E-2</v>
      </c>
      <c r="AT131" s="21">
        <v>121</v>
      </c>
      <c r="AU131" s="21">
        <v>1.1297600000000001</v>
      </c>
      <c r="AV131">
        <f t="shared" si="20"/>
        <v>17.338518518518516</v>
      </c>
      <c r="AW131">
        <f t="shared" si="21"/>
        <v>19.604316118518515</v>
      </c>
      <c r="AX131" s="9"/>
      <c r="AY131" s="21">
        <v>0.50933799999999996</v>
      </c>
      <c r="AZ131" s="21">
        <v>28.102699999999999</v>
      </c>
      <c r="BA131" s="21">
        <v>-1.42212E-2</v>
      </c>
      <c r="BB131" s="21">
        <v>121</v>
      </c>
      <c r="BC131" s="21">
        <v>0.50872799999999996</v>
      </c>
      <c r="BD131">
        <f t="shared" si="22"/>
        <v>17.557037037037034</v>
      </c>
      <c r="BE131">
        <f t="shared" si="23"/>
        <v>8.9424661303703683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1.12564</v>
      </c>
      <c r="H132" s="21">
        <v>6.23698</v>
      </c>
      <c r="I132" s="21">
        <v>-1.39282E-2</v>
      </c>
      <c r="J132" s="21">
        <v>122</v>
      </c>
      <c r="K132" s="21">
        <v>1.1245700000000001</v>
      </c>
      <c r="L132">
        <f t="shared" si="12"/>
        <v>17.195308641975309</v>
      </c>
      <c r="M132">
        <f t="shared" si="13"/>
        <v>19.355727219753085</v>
      </c>
      <c r="N132" s="9"/>
      <c r="O132" s="21">
        <v>0.514374</v>
      </c>
      <c r="P132" s="21">
        <v>9.9353200000000008</v>
      </c>
      <c r="Q132" s="21">
        <v>-1.41785E-2</v>
      </c>
      <c r="R132" s="21">
        <v>122</v>
      </c>
      <c r="S132" s="21">
        <v>0.513733</v>
      </c>
      <c r="T132">
        <f t="shared" si="14"/>
        <v>17.504320987654321</v>
      </c>
      <c r="U132">
        <f t="shared" si="15"/>
        <v>9.0037676037037038</v>
      </c>
      <c r="X132" s="9"/>
      <c r="Y132" s="21">
        <v>1.12564</v>
      </c>
      <c r="Z132" s="21">
        <v>15.302199999999999</v>
      </c>
      <c r="AA132" s="21">
        <v>-1.40564E-2</v>
      </c>
      <c r="AB132" s="21">
        <v>122</v>
      </c>
      <c r="AC132" s="21">
        <v>1.1245700000000001</v>
      </c>
      <c r="AD132">
        <f t="shared" si="16"/>
        <v>17.35358024691358</v>
      </c>
      <c r="AE132">
        <f t="shared" si="17"/>
        <v>19.533884069135802</v>
      </c>
      <c r="AF132" s="9"/>
      <c r="AG132" s="21">
        <v>0.514374</v>
      </c>
      <c r="AH132" s="21">
        <v>19.000499999999999</v>
      </c>
      <c r="AI132" s="21">
        <v>-1.4208999999999999E-2</v>
      </c>
      <c r="AJ132" s="21">
        <v>122</v>
      </c>
      <c r="AK132" s="21">
        <v>0.51370199999999999</v>
      </c>
      <c r="AL132">
        <f t="shared" si="18"/>
        <v>17.541975308641973</v>
      </c>
      <c r="AM132">
        <f t="shared" si="19"/>
        <v>9.0231360074074054</v>
      </c>
      <c r="AP132" s="9"/>
      <c r="AQ132" s="21">
        <v>1.12564</v>
      </c>
      <c r="AR132" s="21">
        <v>24.414400000000001</v>
      </c>
      <c r="AS132" s="21">
        <v>-1.4053299999999999E-2</v>
      </c>
      <c r="AT132" s="21">
        <v>122</v>
      </c>
      <c r="AU132" s="21">
        <v>1.1251800000000001</v>
      </c>
      <c r="AV132">
        <f t="shared" si="20"/>
        <v>17.349753086419753</v>
      </c>
      <c r="AW132">
        <f t="shared" si="21"/>
        <v>19.529576064197531</v>
      </c>
      <c r="AX132" s="9"/>
      <c r="AY132" s="21">
        <v>0.514374</v>
      </c>
      <c r="AZ132" s="21">
        <v>28.1128</v>
      </c>
      <c r="BA132" s="21">
        <v>-1.42151E-2</v>
      </c>
      <c r="BB132" s="21">
        <v>122</v>
      </c>
      <c r="BC132" s="21">
        <v>0.513733</v>
      </c>
      <c r="BD132">
        <f t="shared" si="22"/>
        <v>17.549506172839507</v>
      </c>
      <c r="BE132">
        <f t="shared" si="23"/>
        <v>9.0270096881481479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1.1206100000000001</v>
      </c>
      <c r="H133" s="21">
        <v>6.2470499999999998</v>
      </c>
      <c r="I133" s="21">
        <v>-1.39252E-2</v>
      </c>
      <c r="J133" s="21">
        <v>123</v>
      </c>
      <c r="K133" s="21">
        <v>1.11938</v>
      </c>
      <c r="L133">
        <f t="shared" si="12"/>
        <v>17.191604938271606</v>
      </c>
      <c r="M133">
        <f t="shared" si="13"/>
        <v>19.265084409876547</v>
      </c>
      <c r="N133" s="9"/>
      <c r="O133" s="21">
        <v>0.51940900000000001</v>
      </c>
      <c r="P133" s="21">
        <v>9.9453899999999997</v>
      </c>
      <c r="Q133" s="21">
        <v>-1.41663E-2</v>
      </c>
      <c r="R133" s="21">
        <v>123</v>
      </c>
      <c r="S133" s="21">
        <v>0.51870700000000003</v>
      </c>
      <c r="T133">
        <f t="shared" si="14"/>
        <v>17.489259259259256</v>
      </c>
      <c r="U133">
        <f t="shared" si="15"/>
        <v>9.0840786625925904</v>
      </c>
      <c r="X133" s="9"/>
      <c r="Y133" s="21">
        <v>1.1206100000000001</v>
      </c>
      <c r="Z133" s="21">
        <v>15.3123</v>
      </c>
      <c r="AA133" s="21">
        <v>-1.40625E-2</v>
      </c>
      <c r="AB133" s="21">
        <v>123</v>
      </c>
      <c r="AC133" s="21">
        <v>1.11938</v>
      </c>
      <c r="AD133">
        <f t="shared" si="16"/>
        <v>17.361111111111111</v>
      </c>
      <c r="AE133">
        <f t="shared" si="17"/>
        <v>19.455034722222223</v>
      </c>
      <c r="AF133" s="9"/>
      <c r="AG133" s="21">
        <v>0.51940900000000001</v>
      </c>
      <c r="AH133" s="21">
        <v>19.0106</v>
      </c>
      <c r="AI133" s="21">
        <v>-1.41998E-2</v>
      </c>
      <c r="AJ133" s="21">
        <v>123</v>
      </c>
      <c r="AK133" s="21">
        <v>0.51882899999999998</v>
      </c>
      <c r="AL133">
        <f t="shared" si="18"/>
        <v>17.530617283950615</v>
      </c>
      <c r="AM133">
        <f t="shared" si="19"/>
        <v>9.1055603928395055</v>
      </c>
      <c r="AP133" s="9"/>
      <c r="AQ133" s="21">
        <v>1.1206100000000001</v>
      </c>
      <c r="AR133" s="21">
        <v>24.424499999999998</v>
      </c>
      <c r="AS133" s="21">
        <v>-1.40625E-2</v>
      </c>
      <c r="AT133" s="21">
        <v>123</v>
      </c>
      <c r="AU133" s="21">
        <v>1.1196900000000001</v>
      </c>
      <c r="AV133">
        <f t="shared" si="20"/>
        <v>17.361111111111111</v>
      </c>
      <c r="AW133">
        <f t="shared" si="21"/>
        <v>19.455034722222223</v>
      </c>
      <c r="AX133" s="9"/>
      <c r="AY133" s="21">
        <v>0.51940900000000001</v>
      </c>
      <c r="AZ133" s="21">
        <v>28.122800000000002</v>
      </c>
      <c r="BA133" s="21">
        <v>-1.42151E-2</v>
      </c>
      <c r="BB133" s="21">
        <v>123</v>
      </c>
      <c r="BC133" s="21">
        <v>0.51882899999999998</v>
      </c>
      <c r="BD133">
        <f t="shared" si="22"/>
        <v>17.549506172839507</v>
      </c>
      <c r="BE133">
        <f t="shared" si="23"/>
        <v>9.1153714517283966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1.11557</v>
      </c>
      <c r="H134" s="21">
        <v>6.2571300000000001</v>
      </c>
      <c r="I134" s="21">
        <v>-1.3931300000000001E-2</v>
      </c>
      <c r="J134" s="21">
        <v>124</v>
      </c>
      <c r="K134" s="21">
        <v>1.1148100000000001</v>
      </c>
      <c r="L134">
        <f t="shared" si="12"/>
        <v>17.199135802469137</v>
      </c>
      <c r="M134">
        <f t="shared" si="13"/>
        <v>19.186839927160495</v>
      </c>
      <c r="N134" s="9"/>
      <c r="O134" s="21">
        <v>0.52444500000000005</v>
      </c>
      <c r="P134" s="21">
        <v>9.9554600000000004</v>
      </c>
      <c r="Q134" s="21">
        <v>-1.41449E-2</v>
      </c>
      <c r="R134" s="21">
        <v>124</v>
      </c>
      <c r="S134" s="21">
        <v>0.52377300000000004</v>
      </c>
      <c r="T134">
        <f t="shared" si="14"/>
        <v>17.462839506172838</v>
      </c>
      <c r="U134">
        <f t="shared" si="15"/>
        <v>9.1582988648148156</v>
      </c>
      <c r="X134" s="9"/>
      <c r="Y134" s="21">
        <v>1.11557</v>
      </c>
      <c r="Z134" s="21">
        <v>15.3223</v>
      </c>
      <c r="AA134" s="21">
        <v>-1.40778E-2</v>
      </c>
      <c r="AB134" s="21">
        <v>124</v>
      </c>
      <c r="AC134" s="21">
        <v>1.1148100000000001</v>
      </c>
      <c r="AD134">
        <f t="shared" si="16"/>
        <v>17.38</v>
      </c>
      <c r="AE134">
        <f t="shared" si="17"/>
        <v>19.388606599999999</v>
      </c>
      <c r="AF134" s="9"/>
      <c r="AG134" s="21">
        <v>0.52444500000000005</v>
      </c>
      <c r="AH134" s="21">
        <v>19.020700000000001</v>
      </c>
      <c r="AI134" s="21">
        <v>-1.4202899999999999E-2</v>
      </c>
      <c r="AJ134" s="21">
        <v>124</v>
      </c>
      <c r="AK134" s="21">
        <v>0.52383400000000002</v>
      </c>
      <c r="AL134">
        <f t="shared" si="18"/>
        <v>17.534444444444443</v>
      </c>
      <c r="AM134">
        <f t="shared" si="19"/>
        <v>9.1958517166666667</v>
      </c>
      <c r="AP134" s="9"/>
      <c r="AQ134" s="21">
        <v>1.11557</v>
      </c>
      <c r="AR134" s="21">
        <v>24.4346</v>
      </c>
      <c r="AS134" s="21">
        <v>-1.4080799999999999E-2</v>
      </c>
      <c r="AT134" s="21">
        <v>124</v>
      </c>
      <c r="AU134" s="21">
        <v>1.11511</v>
      </c>
      <c r="AV134">
        <f t="shared" si="20"/>
        <v>17.383703703703702</v>
      </c>
      <c r="AW134">
        <f t="shared" si="21"/>
        <v>19.392738340740738</v>
      </c>
      <c r="AX134" s="9"/>
      <c r="AY134" s="21">
        <v>0.52444500000000005</v>
      </c>
      <c r="AZ134" s="21">
        <v>28.132899999999999</v>
      </c>
      <c r="BA134" s="21">
        <v>-1.42212E-2</v>
      </c>
      <c r="BB134" s="21">
        <v>124</v>
      </c>
      <c r="BC134" s="21">
        <v>0.52374299999999996</v>
      </c>
      <c r="BD134">
        <f t="shared" si="22"/>
        <v>17.557037037037034</v>
      </c>
      <c r="BE134">
        <f t="shared" si="23"/>
        <v>9.2077002888888888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1.11053</v>
      </c>
      <c r="H135" s="21">
        <v>6.2671999999999999</v>
      </c>
      <c r="I135" s="21">
        <v>-1.3931300000000001E-2</v>
      </c>
      <c r="J135" s="21">
        <v>125</v>
      </c>
      <c r="K135" s="21">
        <v>1.10992</v>
      </c>
      <c r="L135">
        <f t="shared" si="12"/>
        <v>17.199135802469137</v>
      </c>
      <c r="M135">
        <f t="shared" si="13"/>
        <v>19.10015628271605</v>
      </c>
      <c r="N135" s="9"/>
      <c r="O135" s="21">
        <v>0.52947999999999995</v>
      </c>
      <c r="P135" s="21">
        <v>9.9655299999999993</v>
      </c>
      <c r="Q135" s="21">
        <v>-1.41418E-2</v>
      </c>
      <c r="R135" s="21">
        <v>125</v>
      </c>
      <c r="S135" s="21">
        <v>0.52886999999999995</v>
      </c>
      <c r="T135">
        <f t="shared" si="14"/>
        <v>17.45901234567901</v>
      </c>
      <c r="U135">
        <f t="shared" si="15"/>
        <v>9.2441978567901213</v>
      </c>
      <c r="X135" s="9"/>
      <c r="Y135" s="21">
        <v>1.11053</v>
      </c>
      <c r="Z135" s="21">
        <v>15.3324</v>
      </c>
      <c r="AA135" s="21">
        <v>-1.409E-2</v>
      </c>
      <c r="AB135" s="21">
        <v>125</v>
      </c>
      <c r="AC135" s="21">
        <v>1.10931</v>
      </c>
      <c r="AD135">
        <f t="shared" si="16"/>
        <v>17.39506172839506</v>
      </c>
      <c r="AE135">
        <f t="shared" si="17"/>
        <v>19.317737901234565</v>
      </c>
      <c r="AF135" s="9"/>
      <c r="AG135" s="21">
        <v>0.52947999999999995</v>
      </c>
      <c r="AH135" s="21">
        <v>19.0307</v>
      </c>
      <c r="AI135" s="21">
        <v>-1.4208999999999999E-2</v>
      </c>
      <c r="AJ135" s="21">
        <v>125</v>
      </c>
      <c r="AK135" s="21">
        <v>0.52883899999999995</v>
      </c>
      <c r="AL135">
        <f t="shared" si="18"/>
        <v>17.541975308641973</v>
      </c>
      <c r="AM135">
        <f t="shared" si="19"/>
        <v>9.2881250864197504</v>
      </c>
      <c r="AP135" s="9"/>
      <c r="AQ135" s="21">
        <v>1.11053</v>
      </c>
      <c r="AR135" s="21">
        <v>24.444600000000001</v>
      </c>
      <c r="AS135" s="21">
        <v>-1.4080799999999999E-2</v>
      </c>
      <c r="AT135" s="21">
        <v>125</v>
      </c>
      <c r="AU135" s="21">
        <v>1.1096200000000001</v>
      </c>
      <c r="AV135">
        <f t="shared" si="20"/>
        <v>17.383703703703702</v>
      </c>
      <c r="AW135">
        <f t="shared" si="21"/>
        <v>19.305124474074074</v>
      </c>
      <c r="AX135" s="9"/>
      <c r="AY135" s="21">
        <v>0.52947999999999995</v>
      </c>
      <c r="AZ135" s="21">
        <v>28.143000000000001</v>
      </c>
      <c r="BA135" s="21">
        <v>-1.42303E-2</v>
      </c>
      <c r="BB135" s="21">
        <v>125</v>
      </c>
      <c r="BC135" s="21">
        <v>0.52880899999999997</v>
      </c>
      <c r="BD135">
        <f t="shared" si="22"/>
        <v>17.568271604938271</v>
      </c>
      <c r="BE135">
        <f t="shared" si="23"/>
        <v>9.3020484493827151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1.1054999999999999</v>
      </c>
      <c r="H136" s="21">
        <v>6.2772699999999997</v>
      </c>
      <c r="I136" s="21">
        <v>-1.3931300000000001E-2</v>
      </c>
      <c r="J136" s="21">
        <v>126</v>
      </c>
      <c r="K136" s="21">
        <v>1.10504</v>
      </c>
      <c r="L136">
        <f t="shared" si="12"/>
        <v>17.199135802469137</v>
      </c>
      <c r="M136">
        <f t="shared" si="13"/>
        <v>19.013644629629628</v>
      </c>
      <c r="N136" s="9"/>
      <c r="O136" s="21">
        <v>0.53451499999999996</v>
      </c>
      <c r="P136" s="21">
        <v>9.9756</v>
      </c>
      <c r="Q136" s="21">
        <v>-1.41479E-2</v>
      </c>
      <c r="R136" s="21">
        <v>126</v>
      </c>
      <c r="S136" s="21">
        <v>0.53390499999999996</v>
      </c>
      <c r="T136">
        <f t="shared" si="14"/>
        <v>17.466543209876541</v>
      </c>
      <c r="U136">
        <f t="shared" si="15"/>
        <v>9.3361293438271584</v>
      </c>
      <c r="X136" s="9"/>
      <c r="Y136" s="21">
        <v>1.1054999999999999</v>
      </c>
      <c r="Z136" s="21">
        <v>15.342499999999999</v>
      </c>
      <c r="AA136" s="21">
        <v>-1.40991E-2</v>
      </c>
      <c r="AB136" s="21">
        <v>126</v>
      </c>
      <c r="AC136" s="21">
        <v>1.10504</v>
      </c>
      <c r="AD136">
        <f t="shared" si="16"/>
        <v>17.406296296296293</v>
      </c>
      <c r="AE136">
        <f t="shared" si="17"/>
        <v>19.242660555555553</v>
      </c>
      <c r="AF136" s="9"/>
      <c r="AG136" s="21">
        <v>0.53451499999999996</v>
      </c>
      <c r="AH136" s="21">
        <v>19.040800000000001</v>
      </c>
      <c r="AI136" s="21">
        <v>-1.42059E-2</v>
      </c>
      <c r="AJ136" s="21">
        <v>126</v>
      </c>
      <c r="AK136" s="21">
        <v>0.53390499999999996</v>
      </c>
      <c r="AL136">
        <f t="shared" si="18"/>
        <v>17.538148148148146</v>
      </c>
      <c r="AM136">
        <f t="shared" si="19"/>
        <v>9.3744032574074048</v>
      </c>
      <c r="AP136" s="9"/>
      <c r="AQ136" s="21">
        <v>1.1054999999999999</v>
      </c>
      <c r="AR136" s="21">
        <v>24.454699999999999</v>
      </c>
      <c r="AS136" s="21">
        <v>-1.409E-2</v>
      </c>
      <c r="AT136" s="21">
        <v>126</v>
      </c>
      <c r="AU136" s="21">
        <v>1.10443</v>
      </c>
      <c r="AV136">
        <f t="shared" si="20"/>
        <v>17.39506172839506</v>
      </c>
      <c r="AW136">
        <f t="shared" si="21"/>
        <v>19.230240740740737</v>
      </c>
      <c r="AX136" s="9"/>
      <c r="AY136" s="21">
        <v>0.53451499999999996</v>
      </c>
      <c r="AZ136" s="21">
        <v>28.152999999999999</v>
      </c>
      <c r="BA136" s="21">
        <v>-1.42334E-2</v>
      </c>
      <c r="BB136" s="21">
        <v>126</v>
      </c>
      <c r="BC136" s="21">
        <v>0.53387499999999999</v>
      </c>
      <c r="BD136">
        <f t="shared" si="22"/>
        <v>17.572098765432099</v>
      </c>
      <c r="BE136">
        <f t="shared" si="23"/>
        <v>9.392550371604937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1.10046</v>
      </c>
      <c r="H137" s="21">
        <v>6.2873400000000004</v>
      </c>
      <c r="I137" s="21">
        <v>-1.3946500000000001E-2</v>
      </c>
      <c r="J137" s="21">
        <v>127</v>
      </c>
      <c r="K137" s="21">
        <v>1.09955</v>
      </c>
      <c r="L137">
        <f t="shared" si="12"/>
        <v>17.217901234567901</v>
      </c>
      <c r="M137">
        <f t="shared" si="13"/>
        <v>18.94761159259259</v>
      </c>
      <c r="N137" s="9"/>
      <c r="O137" s="21">
        <v>0.539551</v>
      </c>
      <c r="P137" s="21">
        <v>9.9856800000000003</v>
      </c>
      <c r="Q137" s="21">
        <v>-1.41449E-2</v>
      </c>
      <c r="R137" s="21">
        <v>127</v>
      </c>
      <c r="S137" s="21">
        <v>0.53891</v>
      </c>
      <c r="T137">
        <f t="shared" si="14"/>
        <v>17.462839506172838</v>
      </c>
      <c r="U137">
        <f t="shared" si="15"/>
        <v>9.4220925183950612</v>
      </c>
      <c r="X137" s="9"/>
      <c r="Y137" s="21">
        <v>1.10046</v>
      </c>
      <c r="Z137" s="21">
        <v>15.352600000000001</v>
      </c>
      <c r="AA137" s="21">
        <v>-1.4114399999999999E-2</v>
      </c>
      <c r="AB137" s="21">
        <v>127</v>
      </c>
      <c r="AC137" s="21">
        <v>1.09924</v>
      </c>
      <c r="AD137">
        <f t="shared" si="16"/>
        <v>17.425185185185182</v>
      </c>
      <c r="AE137">
        <f t="shared" si="17"/>
        <v>19.175719288888885</v>
      </c>
      <c r="AF137" s="9"/>
      <c r="AG137" s="21">
        <v>0.539551</v>
      </c>
      <c r="AH137" s="21">
        <v>19.050899999999999</v>
      </c>
      <c r="AI137" s="21">
        <v>-1.42212E-2</v>
      </c>
      <c r="AJ137" s="21">
        <v>127</v>
      </c>
      <c r="AK137" s="21">
        <v>0.53891</v>
      </c>
      <c r="AL137">
        <f t="shared" si="18"/>
        <v>17.557037037037034</v>
      </c>
      <c r="AM137">
        <f t="shared" si="19"/>
        <v>9.4729168903703691</v>
      </c>
      <c r="AP137" s="9"/>
      <c r="AQ137" s="21">
        <v>1.10046</v>
      </c>
      <c r="AR137" s="21">
        <v>24.4648</v>
      </c>
      <c r="AS137" s="21">
        <v>-1.40991E-2</v>
      </c>
      <c r="AT137" s="21">
        <v>127</v>
      </c>
      <c r="AU137" s="21">
        <v>1.09955</v>
      </c>
      <c r="AV137">
        <f t="shared" si="20"/>
        <v>17.406296296296293</v>
      </c>
      <c r="AW137">
        <f t="shared" si="21"/>
        <v>19.154932822222218</v>
      </c>
      <c r="AX137" s="9"/>
      <c r="AY137" s="21">
        <v>0.539551</v>
      </c>
      <c r="AZ137" s="21">
        <v>28.1631</v>
      </c>
      <c r="BA137" s="21">
        <v>-1.42334E-2</v>
      </c>
      <c r="BB137" s="21">
        <v>127</v>
      </c>
      <c r="BC137" s="21">
        <v>0.53878800000000004</v>
      </c>
      <c r="BD137">
        <f t="shared" si="22"/>
        <v>17.572098765432099</v>
      </c>
      <c r="BE137">
        <f t="shared" si="23"/>
        <v>9.4810434609876548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1.0954299999999999</v>
      </c>
      <c r="H138" s="21">
        <v>6.2974100000000002</v>
      </c>
      <c r="I138" s="21">
        <v>-1.39709E-2</v>
      </c>
      <c r="J138" s="21">
        <v>128</v>
      </c>
      <c r="K138" s="21">
        <v>1.09436</v>
      </c>
      <c r="L138">
        <f t="shared" si="12"/>
        <v>17.248024691358022</v>
      </c>
      <c r="M138">
        <f t="shared" si="13"/>
        <v>18.894003687654315</v>
      </c>
      <c r="N138" s="9"/>
      <c r="O138" s="21">
        <v>0.54458600000000001</v>
      </c>
      <c r="P138" s="21">
        <v>9.9957499999999992</v>
      </c>
      <c r="Q138" s="21">
        <v>-1.41388E-2</v>
      </c>
      <c r="R138" s="21">
        <v>128</v>
      </c>
      <c r="S138" s="21">
        <v>0.54394500000000001</v>
      </c>
      <c r="T138">
        <f t="shared" si="14"/>
        <v>17.455308641975307</v>
      </c>
      <c r="U138">
        <f t="shared" si="15"/>
        <v>9.5059167120987649</v>
      </c>
      <c r="X138" s="9"/>
      <c r="Y138" s="21">
        <v>1.0954299999999999</v>
      </c>
      <c r="Z138" s="21">
        <v>15.3626</v>
      </c>
      <c r="AA138" s="21">
        <v>-1.4120499999999999E-2</v>
      </c>
      <c r="AB138" s="21">
        <v>128</v>
      </c>
      <c r="AC138" s="21">
        <v>1.09497</v>
      </c>
      <c r="AD138">
        <f t="shared" si="16"/>
        <v>17.432716049382716</v>
      </c>
      <c r="AE138">
        <f t="shared" si="17"/>
        <v>19.096320141975308</v>
      </c>
      <c r="AF138" s="9"/>
      <c r="AG138" s="21">
        <v>0.54458600000000001</v>
      </c>
      <c r="AH138" s="21">
        <v>19.061</v>
      </c>
      <c r="AI138" s="21">
        <v>-1.4224199999999999E-2</v>
      </c>
      <c r="AJ138" s="21">
        <v>128</v>
      </c>
      <c r="AK138" s="21">
        <v>0.54400599999999999</v>
      </c>
      <c r="AL138">
        <f t="shared" si="18"/>
        <v>17.560740740740737</v>
      </c>
      <c r="AM138">
        <f t="shared" si="19"/>
        <v>9.5633335570370352</v>
      </c>
      <c r="AP138" s="9"/>
      <c r="AQ138" s="21">
        <v>1.0954299999999999</v>
      </c>
      <c r="AR138" s="21">
        <v>24.474799999999998</v>
      </c>
      <c r="AS138" s="21">
        <v>-1.41022E-2</v>
      </c>
      <c r="AT138" s="21">
        <v>128</v>
      </c>
      <c r="AU138" s="21">
        <v>1.09467</v>
      </c>
      <c r="AV138">
        <f t="shared" si="20"/>
        <v>17.410123456790124</v>
      </c>
      <c r="AW138">
        <f t="shared" si="21"/>
        <v>19.071571538271606</v>
      </c>
      <c r="AX138" s="9"/>
      <c r="AY138" s="21">
        <v>0.54458600000000001</v>
      </c>
      <c r="AZ138" s="21">
        <v>28.173200000000001</v>
      </c>
      <c r="BA138" s="21">
        <v>-1.4236499999999999E-2</v>
      </c>
      <c r="BB138" s="21">
        <v>128</v>
      </c>
      <c r="BC138" s="21">
        <v>0.54397600000000002</v>
      </c>
      <c r="BD138">
        <f t="shared" si="22"/>
        <v>17.575925925925926</v>
      </c>
      <c r="BE138">
        <f t="shared" si="23"/>
        <v>9.5716031962962962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1.09039</v>
      </c>
      <c r="H139" s="21">
        <v>6.30748</v>
      </c>
      <c r="I139" s="21">
        <v>-1.3974E-2</v>
      </c>
      <c r="J139" s="21">
        <v>129</v>
      </c>
      <c r="K139" s="21">
        <v>1.09009</v>
      </c>
      <c r="L139">
        <f t="shared" si="12"/>
        <v>17.251851851851853</v>
      </c>
      <c r="M139">
        <f t="shared" si="13"/>
        <v>18.811246740740742</v>
      </c>
      <c r="N139" s="9"/>
      <c r="O139" s="21">
        <v>0.54962200000000005</v>
      </c>
      <c r="P139" s="21">
        <v>10.005800000000001</v>
      </c>
      <c r="Q139" s="21">
        <v>-1.41388E-2</v>
      </c>
      <c r="R139" s="21">
        <v>129</v>
      </c>
      <c r="S139" s="21">
        <v>0.549072</v>
      </c>
      <c r="T139">
        <f t="shared" si="14"/>
        <v>17.455308641975307</v>
      </c>
      <c r="U139">
        <f t="shared" si="15"/>
        <v>9.5938216464197534</v>
      </c>
      <c r="X139" s="9"/>
      <c r="Y139" s="21">
        <v>1.09039</v>
      </c>
      <c r="Z139" s="21">
        <v>15.3727</v>
      </c>
      <c r="AA139" s="21">
        <v>-1.4129600000000001E-2</v>
      </c>
      <c r="AB139" s="21">
        <v>129</v>
      </c>
      <c r="AC139" s="21">
        <v>1.08978</v>
      </c>
      <c r="AD139">
        <f t="shared" si="16"/>
        <v>17.443950617283949</v>
      </c>
      <c r="AE139">
        <f t="shared" si="17"/>
        <v>19.020709313580245</v>
      </c>
      <c r="AF139" s="9"/>
      <c r="AG139" s="21">
        <v>0.54962200000000005</v>
      </c>
      <c r="AH139" s="21">
        <v>19.071000000000002</v>
      </c>
      <c r="AI139" s="21">
        <v>-1.42303E-2</v>
      </c>
      <c r="AJ139" s="21">
        <v>129</v>
      </c>
      <c r="AK139" s="21">
        <v>0.549072</v>
      </c>
      <c r="AL139">
        <f t="shared" si="18"/>
        <v>17.568271604938271</v>
      </c>
      <c r="AM139">
        <f t="shared" si="19"/>
        <v>9.6559085760493844</v>
      </c>
      <c r="AP139" s="9"/>
      <c r="AQ139" s="21">
        <v>1.09039</v>
      </c>
      <c r="AR139" s="21">
        <v>24.4849</v>
      </c>
      <c r="AS139" s="21">
        <v>-1.4108300000000001E-2</v>
      </c>
      <c r="AT139" s="21">
        <v>129</v>
      </c>
      <c r="AU139" s="21">
        <v>1.08948</v>
      </c>
      <c r="AV139">
        <f t="shared" si="20"/>
        <v>17.417654320987655</v>
      </c>
      <c r="AW139">
        <f t="shared" si="21"/>
        <v>18.992036095061728</v>
      </c>
      <c r="AX139" s="9"/>
      <c r="AY139" s="21">
        <v>0.54962200000000005</v>
      </c>
      <c r="AZ139" s="21">
        <v>28.183299999999999</v>
      </c>
      <c r="BA139" s="21">
        <v>-1.4242599999999999E-2</v>
      </c>
      <c r="BB139" s="21">
        <v>129</v>
      </c>
      <c r="BC139" s="21">
        <v>0.549072</v>
      </c>
      <c r="BD139">
        <f t="shared" si="22"/>
        <v>17.583456790123453</v>
      </c>
      <c r="BE139">
        <f t="shared" si="23"/>
        <v>9.6642546879012325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1.0853600000000001</v>
      </c>
      <c r="H140" s="21">
        <v>6.3175499999999998</v>
      </c>
      <c r="I140" s="21">
        <v>-1.3983199999999999E-2</v>
      </c>
      <c r="J140" s="21">
        <v>130</v>
      </c>
      <c r="K140" s="21">
        <v>1.0845899999999999</v>
      </c>
      <c r="L140">
        <f t="shared" ref="L140:L203" si="24">-I140/$F$2*1000</f>
        <v>17.263209876543208</v>
      </c>
      <c r="M140">
        <f t="shared" ref="M140:M203" si="25">L140*G140</f>
        <v>18.736797471604937</v>
      </c>
      <c r="N140" s="9"/>
      <c r="O140" s="21">
        <v>0.55465699999999996</v>
      </c>
      <c r="P140" s="21">
        <v>10.0159</v>
      </c>
      <c r="Q140" s="21">
        <v>-1.41479E-2</v>
      </c>
      <c r="R140" s="21">
        <v>130</v>
      </c>
      <c r="S140" s="21">
        <v>0.55410800000000004</v>
      </c>
      <c r="T140">
        <f t="shared" ref="T140:T203" si="26">-Q140/$F$2*1000</f>
        <v>17.466543209876541</v>
      </c>
      <c r="U140">
        <f t="shared" ref="U140:U203" si="27">T140*O140</f>
        <v>9.6879404571604919</v>
      </c>
      <c r="X140" s="9"/>
      <c r="Y140" s="21">
        <v>1.0853600000000001</v>
      </c>
      <c r="Z140" s="21">
        <v>15.3828</v>
      </c>
      <c r="AA140" s="21">
        <v>-1.41327E-2</v>
      </c>
      <c r="AB140" s="21">
        <v>130</v>
      </c>
      <c r="AC140" s="21">
        <v>1.0845899999999999</v>
      </c>
      <c r="AD140">
        <f t="shared" ref="AD140:AD203" si="28">-AA140/$F$2*1000</f>
        <v>17.447777777777777</v>
      </c>
      <c r="AE140">
        <f t="shared" ref="AE140:AE203" si="29">AD140*Y140</f>
        <v>18.937120088888889</v>
      </c>
      <c r="AF140" s="9"/>
      <c r="AG140" s="21">
        <v>0.55465699999999996</v>
      </c>
      <c r="AH140" s="21">
        <v>19.081099999999999</v>
      </c>
      <c r="AI140" s="21">
        <v>-1.4224199999999999E-2</v>
      </c>
      <c r="AJ140" s="21">
        <v>130</v>
      </c>
      <c r="AK140" s="21">
        <v>0.55401599999999995</v>
      </c>
      <c r="AL140">
        <f t="shared" ref="AL140:AL203" si="30">-AI140/$F$2*1000</f>
        <v>17.560740740740737</v>
      </c>
      <c r="AM140">
        <f t="shared" ref="AM140:AM203" si="31">AL140*AG140</f>
        <v>9.7401877770370344</v>
      </c>
      <c r="AP140" s="9"/>
      <c r="AQ140" s="21">
        <v>1.0853600000000001</v>
      </c>
      <c r="AR140" s="21">
        <v>24.495000000000001</v>
      </c>
      <c r="AS140" s="21">
        <v>-1.41113E-2</v>
      </c>
      <c r="AT140" s="21">
        <v>130</v>
      </c>
      <c r="AU140" s="21">
        <v>1.08429</v>
      </c>
      <c r="AV140">
        <f t="shared" ref="AV140:AV203" si="32">-AS140/$F$2*1000</f>
        <v>17.421358024691358</v>
      </c>
      <c r="AW140">
        <f t="shared" ref="AW140:AW203" si="33">AV140*AQ140</f>
        <v>18.908445145679014</v>
      </c>
      <c r="AX140" s="9"/>
      <c r="AY140" s="21">
        <v>0.55465699999999996</v>
      </c>
      <c r="AZ140" s="21">
        <v>28.193300000000001</v>
      </c>
      <c r="BA140" s="21">
        <v>-1.42395E-2</v>
      </c>
      <c r="BB140" s="21">
        <v>130</v>
      </c>
      <c r="BC140" s="21">
        <v>0.55413800000000002</v>
      </c>
      <c r="BD140">
        <f t="shared" ref="BD140:BD203" si="34">-BA140/$F$2*1000</f>
        <v>17.579629629629629</v>
      </c>
      <c r="BE140">
        <f t="shared" ref="BE140:BE203" si="35">BD140*AY140</f>
        <v>9.7506646314814809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1.0803199999999999</v>
      </c>
      <c r="H141" s="21">
        <v>6.3276199999999996</v>
      </c>
      <c r="I141" s="21">
        <v>-1.3983199999999999E-2</v>
      </c>
      <c r="J141" s="21">
        <v>131</v>
      </c>
      <c r="K141" s="21">
        <v>1.0797099999999999</v>
      </c>
      <c r="L141">
        <f t="shared" si="24"/>
        <v>17.263209876543208</v>
      </c>
      <c r="M141">
        <f t="shared" si="25"/>
        <v>18.649790893827156</v>
      </c>
      <c r="N141" s="9"/>
      <c r="O141" s="21">
        <v>0.55969199999999997</v>
      </c>
      <c r="P141" s="21">
        <v>10.026</v>
      </c>
      <c r="Q141" s="21">
        <v>-1.4157100000000001E-2</v>
      </c>
      <c r="R141" s="21">
        <v>131</v>
      </c>
      <c r="S141" s="21">
        <v>0.55908199999999997</v>
      </c>
      <c r="T141">
        <f t="shared" si="26"/>
        <v>17.477901234567902</v>
      </c>
      <c r="U141">
        <f t="shared" si="27"/>
        <v>9.7822414977777772</v>
      </c>
      <c r="X141" s="9"/>
      <c r="Y141" s="21">
        <v>1.0803199999999999</v>
      </c>
      <c r="Z141" s="21">
        <v>15.392799999999999</v>
      </c>
      <c r="AA141" s="21">
        <v>-1.4123500000000001E-2</v>
      </c>
      <c r="AB141" s="21">
        <v>131</v>
      </c>
      <c r="AC141" s="21">
        <v>1.07941</v>
      </c>
      <c r="AD141">
        <f t="shared" si="28"/>
        <v>17.436419753086419</v>
      </c>
      <c r="AE141">
        <f t="shared" si="29"/>
        <v>18.836912987654319</v>
      </c>
      <c r="AF141" s="9"/>
      <c r="AG141" s="21">
        <v>0.55969199999999997</v>
      </c>
      <c r="AH141" s="21">
        <v>19.091200000000001</v>
      </c>
      <c r="AI141" s="21">
        <v>-1.42151E-2</v>
      </c>
      <c r="AJ141" s="21">
        <v>131</v>
      </c>
      <c r="AK141" s="21">
        <v>0.55908199999999997</v>
      </c>
      <c r="AL141">
        <f t="shared" si="30"/>
        <v>17.549506172839507</v>
      </c>
      <c r="AM141">
        <f t="shared" si="31"/>
        <v>9.8223182088888894</v>
      </c>
      <c r="AP141" s="9"/>
      <c r="AQ141" s="21">
        <v>1.0803199999999999</v>
      </c>
      <c r="AR141" s="21">
        <v>24.505099999999999</v>
      </c>
      <c r="AS141" s="21">
        <v>-1.41266E-2</v>
      </c>
      <c r="AT141" s="21">
        <v>131</v>
      </c>
      <c r="AU141" s="21">
        <v>1.0788</v>
      </c>
      <c r="AV141">
        <f t="shared" si="32"/>
        <v>17.440246913580246</v>
      </c>
      <c r="AW141">
        <f t="shared" si="33"/>
        <v>18.841047545679011</v>
      </c>
      <c r="AX141" s="9"/>
      <c r="AY141" s="21">
        <v>0.55969199999999997</v>
      </c>
      <c r="AZ141" s="21">
        <v>28.203399999999998</v>
      </c>
      <c r="BA141" s="21">
        <v>-1.42273E-2</v>
      </c>
      <c r="BB141" s="21">
        <v>131</v>
      </c>
      <c r="BC141" s="21">
        <v>0.55911299999999997</v>
      </c>
      <c r="BD141">
        <f t="shared" si="34"/>
        <v>17.564567901234565</v>
      </c>
      <c r="BE141">
        <f t="shared" si="35"/>
        <v>9.8307481377777748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1.0752900000000001</v>
      </c>
      <c r="H142" s="21">
        <v>6.3376900000000003</v>
      </c>
      <c r="I142" s="21">
        <v>-1.3983199999999999E-2</v>
      </c>
      <c r="J142" s="21">
        <v>132</v>
      </c>
      <c r="K142" s="21">
        <v>1.07483</v>
      </c>
      <c r="L142">
        <f t="shared" si="24"/>
        <v>17.263209876543208</v>
      </c>
      <c r="M142">
        <f t="shared" si="25"/>
        <v>18.562956948148148</v>
      </c>
      <c r="N142" s="9"/>
      <c r="O142" s="21">
        <v>0.56472800000000001</v>
      </c>
      <c r="P142" s="21">
        <v>10.036</v>
      </c>
      <c r="Q142" s="21">
        <v>-1.41449E-2</v>
      </c>
      <c r="R142" s="21">
        <v>132</v>
      </c>
      <c r="S142" s="21">
        <v>0.564056</v>
      </c>
      <c r="T142">
        <f t="shared" si="26"/>
        <v>17.462839506172838</v>
      </c>
      <c r="U142">
        <f t="shared" si="27"/>
        <v>9.8617544286419747</v>
      </c>
      <c r="X142" s="9"/>
      <c r="Y142" s="21">
        <v>1.0752900000000001</v>
      </c>
      <c r="Z142" s="21">
        <v>15.402900000000001</v>
      </c>
      <c r="AA142" s="21">
        <v>-1.4114399999999999E-2</v>
      </c>
      <c r="AB142" s="21">
        <v>132</v>
      </c>
      <c r="AC142" s="21">
        <v>1.07422</v>
      </c>
      <c r="AD142">
        <f t="shared" si="28"/>
        <v>17.425185185185182</v>
      </c>
      <c r="AE142">
        <f t="shared" si="29"/>
        <v>18.737127377777774</v>
      </c>
      <c r="AF142" s="9"/>
      <c r="AG142" s="21">
        <v>0.56472800000000001</v>
      </c>
      <c r="AH142" s="21">
        <v>19.101199999999999</v>
      </c>
      <c r="AI142" s="21">
        <v>-1.4208999999999999E-2</v>
      </c>
      <c r="AJ142" s="21">
        <v>132</v>
      </c>
      <c r="AK142" s="21">
        <v>0.56408700000000001</v>
      </c>
      <c r="AL142">
        <f t="shared" si="30"/>
        <v>17.541975308641973</v>
      </c>
      <c r="AM142">
        <f t="shared" si="31"/>
        <v>9.9064446320987649</v>
      </c>
      <c r="AP142" s="9"/>
      <c r="AQ142" s="21">
        <v>1.0752900000000001</v>
      </c>
      <c r="AR142" s="21">
        <v>24.5151</v>
      </c>
      <c r="AS142" s="21">
        <v>-1.41327E-2</v>
      </c>
      <c r="AT142" s="21">
        <v>132</v>
      </c>
      <c r="AU142" s="21">
        <v>1.0745199999999999</v>
      </c>
      <c r="AV142">
        <f t="shared" si="32"/>
        <v>17.447777777777777</v>
      </c>
      <c r="AW142">
        <f t="shared" si="33"/>
        <v>18.761420966666666</v>
      </c>
      <c r="AX142" s="9"/>
      <c r="AY142" s="21">
        <v>0.56472800000000001</v>
      </c>
      <c r="AZ142" s="21">
        <v>28.2135</v>
      </c>
      <c r="BA142" s="21">
        <v>-1.42273E-2</v>
      </c>
      <c r="BB142" s="21">
        <v>132</v>
      </c>
      <c r="BC142" s="21">
        <v>0.56408700000000001</v>
      </c>
      <c r="BD142">
        <f t="shared" si="34"/>
        <v>17.564567901234565</v>
      </c>
      <c r="BE142">
        <f t="shared" si="35"/>
        <v>9.9192033017283929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1.0702499999999999</v>
      </c>
      <c r="H143" s="21">
        <v>6.3477600000000001</v>
      </c>
      <c r="I143" s="21">
        <v>-1.39893E-2</v>
      </c>
      <c r="J143" s="21">
        <v>133</v>
      </c>
      <c r="K143" s="21">
        <v>1.0696399999999999</v>
      </c>
      <c r="L143">
        <f t="shared" si="24"/>
        <v>17.270740740740738</v>
      </c>
      <c r="M143">
        <f t="shared" si="25"/>
        <v>18.484010277777774</v>
      </c>
      <c r="N143" s="9"/>
      <c r="O143" s="21">
        <v>0.56976300000000002</v>
      </c>
      <c r="P143" s="21">
        <v>10.046099999999999</v>
      </c>
      <c r="Q143" s="21">
        <v>-1.41327E-2</v>
      </c>
      <c r="R143" s="21">
        <v>133</v>
      </c>
      <c r="S143" s="21">
        <v>0.56918299999999999</v>
      </c>
      <c r="T143">
        <f t="shared" si="26"/>
        <v>17.447777777777777</v>
      </c>
      <c r="U143">
        <f t="shared" si="27"/>
        <v>9.9410982099999998</v>
      </c>
      <c r="X143" s="9"/>
      <c r="Y143" s="21">
        <v>1.0702499999999999</v>
      </c>
      <c r="Z143" s="21">
        <v>15.413</v>
      </c>
      <c r="AA143" s="21">
        <v>-1.41113E-2</v>
      </c>
      <c r="AB143" s="21">
        <v>133</v>
      </c>
      <c r="AC143" s="21">
        <v>1.06934</v>
      </c>
      <c r="AD143">
        <f t="shared" si="28"/>
        <v>17.421358024691358</v>
      </c>
      <c r="AE143">
        <f t="shared" si="29"/>
        <v>18.645208425925926</v>
      </c>
      <c r="AF143" s="9"/>
      <c r="AG143" s="21">
        <v>0.56976300000000002</v>
      </c>
      <c r="AH143" s="21">
        <v>19.1113</v>
      </c>
      <c r="AI143" s="21">
        <v>-1.4218099999999999E-2</v>
      </c>
      <c r="AJ143" s="21">
        <v>133</v>
      </c>
      <c r="AK143" s="21">
        <v>0.56915300000000002</v>
      </c>
      <c r="AL143">
        <f t="shared" si="30"/>
        <v>17.553209876543207</v>
      </c>
      <c r="AM143">
        <f t="shared" si="31"/>
        <v>10.001169518888888</v>
      </c>
      <c r="AP143" s="9"/>
      <c r="AQ143" s="21">
        <v>1.0702499999999999</v>
      </c>
      <c r="AR143" s="21">
        <v>24.525200000000002</v>
      </c>
      <c r="AS143" s="21">
        <v>-1.4123500000000001E-2</v>
      </c>
      <c r="AT143" s="21">
        <v>133</v>
      </c>
      <c r="AU143" s="21">
        <v>1.0696399999999999</v>
      </c>
      <c r="AV143">
        <f t="shared" si="32"/>
        <v>17.436419753086419</v>
      </c>
      <c r="AW143">
        <f t="shared" si="33"/>
        <v>18.661328240740737</v>
      </c>
      <c r="AX143" s="9"/>
      <c r="AY143" s="21">
        <v>0.56976300000000002</v>
      </c>
      <c r="AZ143" s="21">
        <v>28.223500000000001</v>
      </c>
      <c r="BA143" s="21">
        <v>-1.4236499999999999E-2</v>
      </c>
      <c r="BB143" s="21">
        <v>133</v>
      </c>
      <c r="BC143" s="21">
        <v>0.56909200000000004</v>
      </c>
      <c r="BD143">
        <f t="shared" si="34"/>
        <v>17.575925925925926</v>
      </c>
      <c r="BE143">
        <f t="shared" si="35"/>
        <v>10.014112283333334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1.0652200000000001</v>
      </c>
      <c r="H144" s="21">
        <v>6.3578400000000004</v>
      </c>
      <c r="I144" s="21">
        <v>-1.40045E-2</v>
      </c>
      <c r="J144" s="21">
        <v>134</v>
      </c>
      <c r="K144" s="21">
        <v>1.0641499999999999</v>
      </c>
      <c r="L144">
        <f t="shared" si="24"/>
        <v>17.289506172839506</v>
      </c>
      <c r="M144">
        <f t="shared" si="25"/>
        <v>18.417127765432099</v>
      </c>
      <c r="N144" s="9"/>
      <c r="O144" s="21">
        <v>0.57479899999999995</v>
      </c>
      <c r="P144" s="21">
        <v>10.0562</v>
      </c>
      <c r="Q144" s="21">
        <v>-1.4129600000000001E-2</v>
      </c>
      <c r="R144" s="21">
        <v>134</v>
      </c>
      <c r="S144" s="21">
        <v>0.57415799999999995</v>
      </c>
      <c r="T144">
        <f t="shared" si="26"/>
        <v>17.443950617283949</v>
      </c>
      <c r="U144">
        <f t="shared" si="27"/>
        <v>10.026765370864196</v>
      </c>
      <c r="X144" s="9"/>
      <c r="Y144" s="21">
        <v>1.0652200000000001</v>
      </c>
      <c r="Z144" s="21">
        <v>15.423</v>
      </c>
      <c r="AA144" s="21">
        <v>-1.4114399999999999E-2</v>
      </c>
      <c r="AB144" s="21">
        <v>134</v>
      </c>
      <c r="AC144" s="21">
        <v>1.0644499999999999</v>
      </c>
      <c r="AD144">
        <f t="shared" si="28"/>
        <v>17.425185185185182</v>
      </c>
      <c r="AE144">
        <f t="shared" si="29"/>
        <v>18.56165576296296</v>
      </c>
      <c r="AF144" s="9"/>
      <c r="AG144" s="21">
        <v>0.57479899999999995</v>
      </c>
      <c r="AH144" s="21">
        <v>19.121400000000001</v>
      </c>
      <c r="AI144" s="21">
        <v>-1.42273E-2</v>
      </c>
      <c r="AJ144" s="21">
        <v>134</v>
      </c>
      <c r="AK144" s="21">
        <v>0.57412700000000005</v>
      </c>
      <c r="AL144">
        <f t="shared" si="30"/>
        <v>17.564567901234565</v>
      </c>
      <c r="AM144">
        <f t="shared" si="31"/>
        <v>10.096096065061726</v>
      </c>
      <c r="AP144" s="9"/>
      <c r="AQ144" s="21">
        <v>1.0652200000000001</v>
      </c>
      <c r="AR144" s="21">
        <v>24.535299999999999</v>
      </c>
      <c r="AS144" s="21">
        <v>-1.4129600000000001E-2</v>
      </c>
      <c r="AT144" s="21">
        <v>134</v>
      </c>
      <c r="AU144" s="21">
        <v>1.0644499999999999</v>
      </c>
      <c r="AV144">
        <f t="shared" si="32"/>
        <v>17.443950617283949</v>
      </c>
      <c r="AW144">
        <f t="shared" si="33"/>
        <v>18.581645076543211</v>
      </c>
      <c r="AX144" s="9"/>
      <c r="AY144" s="21">
        <v>0.57479899999999995</v>
      </c>
      <c r="AZ144" s="21">
        <v>28.233599999999999</v>
      </c>
      <c r="BA144" s="21">
        <v>-1.4245600000000001E-2</v>
      </c>
      <c r="BB144" s="21">
        <v>134</v>
      </c>
      <c r="BC144" s="21">
        <v>0.57428000000000001</v>
      </c>
      <c r="BD144">
        <f t="shared" si="34"/>
        <v>17.58716049382716</v>
      </c>
      <c r="BE144">
        <f t="shared" si="35"/>
        <v>10.109082264691356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1.0601799999999999</v>
      </c>
      <c r="H145" s="21">
        <v>6.3679100000000002</v>
      </c>
      <c r="I145" s="21">
        <v>-1.40167E-2</v>
      </c>
      <c r="J145" s="21">
        <v>135</v>
      </c>
      <c r="K145" s="21">
        <v>1.0589599999999999</v>
      </c>
      <c r="L145">
        <f t="shared" si="24"/>
        <v>17.304567901234567</v>
      </c>
      <c r="M145">
        <f t="shared" si="25"/>
        <v>18.34595679753086</v>
      </c>
      <c r="N145" s="9"/>
      <c r="O145" s="21">
        <v>0.57983399999999996</v>
      </c>
      <c r="P145" s="21">
        <v>10.0662</v>
      </c>
      <c r="Q145" s="21">
        <v>-1.41266E-2</v>
      </c>
      <c r="R145" s="21">
        <v>135</v>
      </c>
      <c r="S145" s="21">
        <v>0.57919299999999996</v>
      </c>
      <c r="T145">
        <f t="shared" si="26"/>
        <v>17.440246913580246</v>
      </c>
      <c r="U145">
        <f t="shared" si="27"/>
        <v>10.112448128888888</v>
      </c>
      <c r="X145" s="9"/>
      <c r="Y145" s="21">
        <v>1.0601799999999999</v>
      </c>
      <c r="Z145" s="21">
        <v>15.4331</v>
      </c>
      <c r="AA145" s="21">
        <v>-1.4108300000000001E-2</v>
      </c>
      <c r="AB145" s="21">
        <v>135</v>
      </c>
      <c r="AC145" s="21">
        <v>1.0598799999999999</v>
      </c>
      <c r="AD145">
        <f t="shared" si="28"/>
        <v>17.417654320987655</v>
      </c>
      <c r="AE145">
        <f t="shared" si="29"/>
        <v>18.465848758024691</v>
      </c>
      <c r="AF145" s="9"/>
      <c r="AG145" s="21">
        <v>0.57983399999999996</v>
      </c>
      <c r="AH145" s="21">
        <v>19.131499999999999</v>
      </c>
      <c r="AI145" s="21">
        <v>-1.42273E-2</v>
      </c>
      <c r="AJ145" s="21">
        <v>135</v>
      </c>
      <c r="AK145" s="21">
        <v>0.57919299999999996</v>
      </c>
      <c r="AL145">
        <f t="shared" si="30"/>
        <v>17.564567901234565</v>
      </c>
      <c r="AM145">
        <f t="shared" si="31"/>
        <v>10.184533664444443</v>
      </c>
      <c r="AP145" s="9"/>
      <c r="AQ145" s="21">
        <v>1.0601799999999999</v>
      </c>
      <c r="AR145" s="21">
        <v>24.545300000000001</v>
      </c>
      <c r="AS145" s="21">
        <v>-1.4135699999999999E-2</v>
      </c>
      <c r="AT145" s="21">
        <v>135</v>
      </c>
      <c r="AU145" s="21">
        <v>1.0592699999999999</v>
      </c>
      <c r="AV145">
        <f t="shared" si="32"/>
        <v>17.45148148148148</v>
      </c>
      <c r="AW145">
        <f t="shared" si="33"/>
        <v>18.501711637037033</v>
      </c>
      <c r="AX145" s="9"/>
      <c r="AY145" s="21">
        <v>0.57983399999999996</v>
      </c>
      <c r="AZ145" s="21">
        <v>28.2437</v>
      </c>
      <c r="BA145" s="21">
        <v>-1.42609E-2</v>
      </c>
      <c r="BB145" s="21">
        <v>135</v>
      </c>
      <c r="BC145" s="21">
        <v>0.57925400000000005</v>
      </c>
      <c r="BD145">
        <f t="shared" si="34"/>
        <v>17.606049382716048</v>
      </c>
      <c r="BE145">
        <f t="shared" si="35"/>
        <v>10.208586037777776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1.05515</v>
      </c>
      <c r="H146" s="21">
        <v>6.37798</v>
      </c>
      <c r="I146" s="21">
        <v>-1.40289E-2</v>
      </c>
      <c r="J146" s="21">
        <v>136</v>
      </c>
      <c r="K146" s="21">
        <v>1.0543800000000001</v>
      </c>
      <c r="L146">
        <f t="shared" si="24"/>
        <v>17.319629629629631</v>
      </c>
      <c r="M146">
        <f t="shared" si="25"/>
        <v>18.274807203703705</v>
      </c>
      <c r="N146" s="9"/>
      <c r="O146" s="21">
        <v>0.58486899999999997</v>
      </c>
      <c r="P146" s="21">
        <v>10.0763</v>
      </c>
      <c r="Q146" s="21">
        <v>-1.4129600000000001E-2</v>
      </c>
      <c r="R146" s="21">
        <v>136</v>
      </c>
      <c r="S146" s="21">
        <v>0.58416699999999999</v>
      </c>
      <c r="T146">
        <f t="shared" si="26"/>
        <v>17.443950617283949</v>
      </c>
      <c r="U146">
        <f t="shared" si="27"/>
        <v>10.202425953580246</v>
      </c>
      <c r="X146" s="9"/>
      <c r="Y146" s="21">
        <v>1.05515</v>
      </c>
      <c r="Z146" s="21">
        <v>15.443199999999999</v>
      </c>
      <c r="AA146" s="21">
        <v>-1.4114399999999999E-2</v>
      </c>
      <c r="AB146" s="21">
        <v>136</v>
      </c>
      <c r="AC146" s="21">
        <v>1.0546899999999999</v>
      </c>
      <c r="AD146">
        <f t="shared" si="28"/>
        <v>17.425185185185182</v>
      </c>
      <c r="AE146">
        <f t="shared" si="29"/>
        <v>18.386184148148146</v>
      </c>
      <c r="AF146" s="9"/>
      <c r="AG146" s="21">
        <v>0.58486899999999997</v>
      </c>
      <c r="AH146" s="21">
        <v>19.141500000000001</v>
      </c>
      <c r="AI146" s="21">
        <v>-1.4224199999999999E-2</v>
      </c>
      <c r="AJ146" s="21">
        <v>136</v>
      </c>
      <c r="AK146" s="21">
        <v>0.584198</v>
      </c>
      <c r="AL146">
        <f t="shared" si="30"/>
        <v>17.560740740740737</v>
      </c>
      <c r="AM146">
        <f t="shared" si="31"/>
        <v>10.270732876296293</v>
      </c>
      <c r="AP146" s="9"/>
      <c r="AQ146" s="21">
        <v>1.05515</v>
      </c>
      <c r="AR146" s="21">
        <v>24.555399999999999</v>
      </c>
      <c r="AS146" s="21">
        <v>-1.41602E-2</v>
      </c>
      <c r="AT146" s="21">
        <v>136</v>
      </c>
      <c r="AU146" s="21">
        <v>1.0552999999999999</v>
      </c>
      <c r="AV146">
        <f t="shared" si="32"/>
        <v>17.481728395061729</v>
      </c>
      <c r="AW146">
        <f t="shared" si="33"/>
        <v>18.445845716049384</v>
      </c>
      <c r="AX146" s="9"/>
      <c r="AY146" s="21">
        <v>0.58486899999999997</v>
      </c>
      <c r="AZ146" s="21">
        <v>28.253699999999998</v>
      </c>
      <c r="BA146" s="21">
        <v>-1.4267E-2</v>
      </c>
      <c r="BB146" s="21">
        <v>136</v>
      </c>
      <c r="BC146" s="21">
        <v>0.58428999999999998</v>
      </c>
      <c r="BD146">
        <f t="shared" si="34"/>
        <v>17.613580246913582</v>
      </c>
      <c r="BE146">
        <f t="shared" si="35"/>
        <v>10.301637065432098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1.0501100000000001</v>
      </c>
      <c r="H147" s="21">
        <v>6.3880499999999998</v>
      </c>
      <c r="I147" s="21">
        <v>-1.4031999999999999E-2</v>
      </c>
      <c r="J147" s="21">
        <v>137</v>
      </c>
      <c r="K147" s="21">
        <v>1.0488900000000001</v>
      </c>
      <c r="L147">
        <f t="shared" si="24"/>
        <v>17.323456790123455</v>
      </c>
      <c r="M147">
        <f t="shared" si="25"/>
        <v>18.191535209876545</v>
      </c>
      <c r="N147" s="9"/>
      <c r="O147" s="21">
        <v>0.58990500000000001</v>
      </c>
      <c r="P147" s="21">
        <v>10.086399999999999</v>
      </c>
      <c r="Q147" s="21">
        <v>-1.4123500000000001E-2</v>
      </c>
      <c r="R147" s="21">
        <v>137</v>
      </c>
      <c r="S147" s="21">
        <v>0.58929399999999998</v>
      </c>
      <c r="T147">
        <f t="shared" si="26"/>
        <v>17.436419753086419</v>
      </c>
      <c r="U147">
        <f t="shared" si="27"/>
        <v>10.285831194444444</v>
      </c>
      <c r="X147" s="9"/>
      <c r="Y147" s="21">
        <v>1.0501100000000001</v>
      </c>
      <c r="Z147" s="21">
        <v>15.4533</v>
      </c>
      <c r="AA147" s="21">
        <v>-1.41113E-2</v>
      </c>
      <c r="AB147" s="21">
        <v>137</v>
      </c>
      <c r="AC147" s="21">
        <v>1.0488900000000001</v>
      </c>
      <c r="AD147">
        <f t="shared" si="28"/>
        <v>17.421358024691358</v>
      </c>
      <c r="AE147">
        <f t="shared" si="29"/>
        <v>18.294342275308644</v>
      </c>
      <c r="AF147" s="9"/>
      <c r="AG147" s="21">
        <v>0.58990500000000001</v>
      </c>
      <c r="AH147" s="21">
        <v>19.151599999999998</v>
      </c>
      <c r="AI147" s="21">
        <v>-1.4224199999999999E-2</v>
      </c>
      <c r="AJ147" s="21">
        <v>137</v>
      </c>
      <c r="AK147" s="21">
        <v>0.58932499999999999</v>
      </c>
      <c r="AL147">
        <f t="shared" si="30"/>
        <v>17.560740740740737</v>
      </c>
      <c r="AM147">
        <f t="shared" si="31"/>
        <v>10.359168766666665</v>
      </c>
      <c r="AP147" s="9"/>
      <c r="AQ147" s="21">
        <v>1.0501100000000001</v>
      </c>
      <c r="AR147" s="21">
        <v>24.5655</v>
      </c>
      <c r="AS147" s="21">
        <v>-1.41663E-2</v>
      </c>
      <c r="AT147" s="21">
        <v>137</v>
      </c>
      <c r="AU147" s="21">
        <v>1.0491900000000001</v>
      </c>
      <c r="AV147">
        <f t="shared" si="32"/>
        <v>17.489259259259256</v>
      </c>
      <c r="AW147">
        <f t="shared" si="33"/>
        <v>18.365646040740739</v>
      </c>
      <c r="AX147" s="9"/>
      <c r="AY147" s="21">
        <v>0.58990500000000001</v>
      </c>
      <c r="AZ147" s="21">
        <v>28.2638</v>
      </c>
      <c r="BA147" s="21">
        <v>-1.42609E-2</v>
      </c>
      <c r="BB147" s="21">
        <v>137</v>
      </c>
      <c r="BC147" s="21">
        <v>0.58929399999999998</v>
      </c>
      <c r="BD147">
        <f t="shared" si="34"/>
        <v>17.606049382716048</v>
      </c>
      <c r="BE147">
        <f t="shared" si="35"/>
        <v>10.38589656111111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1.0450699999999999</v>
      </c>
      <c r="H148" s="21">
        <v>6.3981199999999996</v>
      </c>
      <c r="I148" s="21">
        <v>-1.40289E-2</v>
      </c>
      <c r="J148" s="21">
        <v>138</v>
      </c>
      <c r="K148" s="21">
        <v>1.0443100000000001</v>
      </c>
      <c r="L148">
        <f t="shared" si="24"/>
        <v>17.319629629629631</v>
      </c>
      <c r="M148">
        <f t="shared" si="25"/>
        <v>18.100225337037038</v>
      </c>
      <c r="N148" s="9"/>
      <c r="O148" s="21">
        <v>0.59494000000000002</v>
      </c>
      <c r="P148" s="21">
        <v>10.096500000000001</v>
      </c>
      <c r="Q148" s="21">
        <v>-1.4123500000000001E-2</v>
      </c>
      <c r="R148" s="21">
        <v>138</v>
      </c>
      <c r="S148" s="21">
        <v>0.59426900000000005</v>
      </c>
      <c r="T148">
        <f t="shared" si="26"/>
        <v>17.436419753086419</v>
      </c>
      <c r="U148">
        <f t="shared" si="27"/>
        <v>10.373623567901234</v>
      </c>
      <c r="X148" s="9"/>
      <c r="Y148" s="21">
        <v>1.0450699999999999</v>
      </c>
      <c r="Z148" s="21">
        <v>15.4633</v>
      </c>
      <c r="AA148" s="21">
        <v>-1.41022E-2</v>
      </c>
      <c r="AB148" s="21">
        <v>138</v>
      </c>
      <c r="AC148" s="21">
        <v>1.0437000000000001</v>
      </c>
      <c r="AD148">
        <f t="shared" si="28"/>
        <v>17.410123456790124</v>
      </c>
      <c r="AE148">
        <f t="shared" si="29"/>
        <v>18.194797720987655</v>
      </c>
      <c r="AF148" s="9"/>
      <c r="AG148" s="21">
        <v>0.59494000000000002</v>
      </c>
      <c r="AH148" s="21">
        <v>19.1617</v>
      </c>
      <c r="AI148" s="21">
        <v>-1.42273E-2</v>
      </c>
      <c r="AJ148" s="21">
        <v>138</v>
      </c>
      <c r="AK148" s="21">
        <v>0.59433000000000002</v>
      </c>
      <c r="AL148">
        <f t="shared" si="30"/>
        <v>17.564567901234565</v>
      </c>
      <c r="AM148">
        <f t="shared" si="31"/>
        <v>10.449864027160492</v>
      </c>
      <c r="AP148" s="9"/>
      <c r="AQ148" s="21">
        <v>1.0450699999999999</v>
      </c>
      <c r="AR148" s="21">
        <v>24.575600000000001</v>
      </c>
      <c r="AS148" s="21">
        <v>-1.41876E-2</v>
      </c>
      <c r="AT148" s="21">
        <v>138</v>
      </c>
      <c r="AU148" s="21">
        <v>1.0440100000000001</v>
      </c>
      <c r="AV148">
        <f t="shared" si="32"/>
        <v>17.515555555555554</v>
      </c>
      <c r="AW148">
        <f t="shared" si="33"/>
        <v>18.304981644444442</v>
      </c>
      <c r="AX148" s="9"/>
      <c r="AY148" s="21">
        <v>0.59494000000000002</v>
      </c>
      <c r="AZ148" s="21">
        <v>28.273900000000001</v>
      </c>
      <c r="BA148" s="21">
        <v>-1.4257799999999999E-2</v>
      </c>
      <c r="BB148" s="21">
        <v>138</v>
      </c>
      <c r="BC148" s="21">
        <v>0.59429900000000002</v>
      </c>
      <c r="BD148">
        <f t="shared" si="34"/>
        <v>17.60222222222222</v>
      </c>
      <c r="BE148">
        <f t="shared" si="35"/>
        <v>10.472266088888889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1.0400400000000001</v>
      </c>
      <c r="H149" s="21">
        <v>6.4081900000000003</v>
      </c>
      <c r="I149" s="21">
        <v>-1.40289E-2</v>
      </c>
      <c r="J149" s="21">
        <v>139</v>
      </c>
      <c r="K149" s="21">
        <v>1.0394300000000001</v>
      </c>
      <c r="L149">
        <f t="shared" si="24"/>
        <v>17.319629629629631</v>
      </c>
      <c r="M149">
        <f t="shared" si="25"/>
        <v>18.013107600000001</v>
      </c>
      <c r="N149" s="9"/>
      <c r="O149" s="21">
        <v>0.59997599999999995</v>
      </c>
      <c r="P149" s="21">
        <v>10.1065</v>
      </c>
      <c r="Q149" s="21">
        <v>-1.4114399999999999E-2</v>
      </c>
      <c r="R149" s="21">
        <v>139</v>
      </c>
      <c r="S149" s="21">
        <v>0.59933499999999995</v>
      </c>
      <c r="T149">
        <f t="shared" si="26"/>
        <v>17.425185185185182</v>
      </c>
      <c r="U149">
        <f t="shared" si="27"/>
        <v>10.454692906666663</v>
      </c>
      <c r="X149" s="9"/>
      <c r="Y149" s="21">
        <v>1.0400400000000001</v>
      </c>
      <c r="Z149" s="21">
        <v>15.4734</v>
      </c>
      <c r="AA149" s="21">
        <v>-1.41022E-2</v>
      </c>
      <c r="AB149" s="21">
        <v>139</v>
      </c>
      <c r="AC149" s="21">
        <v>1.03912</v>
      </c>
      <c r="AD149">
        <f t="shared" si="28"/>
        <v>17.410123456790124</v>
      </c>
      <c r="AE149">
        <f t="shared" si="29"/>
        <v>18.107224800000001</v>
      </c>
      <c r="AF149" s="9"/>
      <c r="AG149" s="21">
        <v>0.59997599999999995</v>
      </c>
      <c r="AH149" s="21">
        <v>19.171700000000001</v>
      </c>
      <c r="AI149" s="21">
        <v>-1.4224199999999999E-2</v>
      </c>
      <c r="AJ149" s="21">
        <v>139</v>
      </c>
      <c r="AK149" s="21">
        <v>0.59939600000000004</v>
      </c>
      <c r="AL149">
        <f t="shared" si="30"/>
        <v>17.560740740740737</v>
      </c>
      <c r="AM149">
        <f t="shared" si="31"/>
        <v>10.536022986666664</v>
      </c>
      <c r="AP149" s="9"/>
      <c r="AQ149" s="21">
        <v>1.0400400000000001</v>
      </c>
      <c r="AR149" s="21">
        <v>24.585599999999999</v>
      </c>
      <c r="AS149" s="21">
        <v>-1.42059E-2</v>
      </c>
      <c r="AT149" s="21">
        <v>139</v>
      </c>
      <c r="AU149" s="21">
        <v>1.03851</v>
      </c>
      <c r="AV149">
        <f t="shared" si="32"/>
        <v>17.538148148148146</v>
      </c>
      <c r="AW149">
        <f t="shared" si="33"/>
        <v>18.2403756</v>
      </c>
      <c r="AX149" s="9"/>
      <c r="AY149" s="21">
        <v>0.59997599999999995</v>
      </c>
      <c r="AZ149" s="21">
        <v>28.283999999999999</v>
      </c>
      <c r="BA149" s="21">
        <v>-1.42548E-2</v>
      </c>
      <c r="BB149" s="21">
        <v>139</v>
      </c>
      <c r="BC149" s="21">
        <v>0.59942600000000001</v>
      </c>
      <c r="BD149">
        <f t="shared" si="34"/>
        <v>17.598518518518517</v>
      </c>
      <c r="BE149">
        <f t="shared" si="35"/>
        <v>10.558688746666665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1.0349999999999999</v>
      </c>
      <c r="H150" s="21">
        <v>6.4182600000000001</v>
      </c>
      <c r="I150" s="21">
        <v>-1.4025900000000001E-2</v>
      </c>
      <c r="J150" s="21">
        <v>140</v>
      </c>
      <c r="K150" s="21">
        <v>1.0339400000000001</v>
      </c>
      <c r="L150">
        <f t="shared" si="24"/>
        <v>17.315925925925924</v>
      </c>
      <c r="M150">
        <f t="shared" si="25"/>
        <v>17.92198333333333</v>
      </c>
      <c r="N150" s="9"/>
      <c r="O150" s="21">
        <v>0.60501099999999997</v>
      </c>
      <c r="P150" s="21">
        <v>10.1166</v>
      </c>
      <c r="Q150" s="21">
        <v>-1.4108300000000001E-2</v>
      </c>
      <c r="R150" s="21">
        <v>140</v>
      </c>
      <c r="S150" s="21">
        <v>0.60436999999999996</v>
      </c>
      <c r="T150">
        <f t="shared" si="26"/>
        <v>17.417654320987655</v>
      </c>
      <c r="U150">
        <f t="shared" si="27"/>
        <v>10.537872458395061</v>
      </c>
      <c r="X150" s="9"/>
      <c r="Y150" s="21">
        <v>1.0349999999999999</v>
      </c>
      <c r="Z150" s="21">
        <v>15.483499999999999</v>
      </c>
      <c r="AA150" s="21">
        <v>-1.41113E-2</v>
      </c>
      <c r="AB150" s="21">
        <v>140</v>
      </c>
      <c r="AC150" s="21">
        <v>1.0339400000000001</v>
      </c>
      <c r="AD150">
        <f t="shared" si="28"/>
        <v>17.421358024691358</v>
      </c>
      <c r="AE150">
        <f t="shared" si="29"/>
        <v>18.031105555555555</v>
      </c>
      <c r="AF150" s="9"/>
      <c r="AG150" s="21">
        <v>0.60501099999999997</v>
      </c>
      <c r="AH150" s="21">
        <v>19.181799999999999</v>
      </c>
      <c r="AI150" s="21">
        <v>-1.42151E-2</v>
      </c>
      <c r="AJ150" s="21">
        <v>140</v>
      </c>
      <c r="AK150" s="21">
        <v>0.60430899999999999</v>
      </c>
      <c r="AL150">
        <f t="shared" si="30"/>
        <v>17.549506172839507</v>
      </c>
      <c r="AM150">
        <f t="shared" si="31"/>
        <v>10.617644279135803</v>
      </c>
      <c r="AP150" s="9"/>
      <c r="AQ150" s="21">
        <v>1.0349999999999999</v>
      </c>
      <c r="AR150" s="21">
        <v>24.595700000000001</v>
      </c>
      <c r="AS150" s="21">
        <v>-1.4202899999999999E-2</v>
      </c>
      <c r="AT150" s="21">
        <v>140</v>
      </c>
      <c r="AU150" s="21">
        <v>1.0339400000000001</v>
      </c>
      <c r="AV150">
        <f t="shared" si="32"/>
        <v>17.534444444444443</v>
      </c>
      <c r="AW150">
        <f t="shared" si="33"/>
        <v>18.148149999999998</v>
      </c>
      <c r="AX150" s="9"/>
      <c r="AY150" s="21">
        <v>0.60501099999999997</v>
      </c>
      <c r="AZ150" s="21">
        <v>28.294</v>
      </c>
      <c r="BA150" s="21">
        <v>-1.4257799999999999E-2</v>
      </c>
      <c r="BB150" s="21">
        <v>140</v>
      </c>
      <c r="BC150" s="21">
        <v>0.60443100000000005</v>
      </c>
      <c r="BD150">
        <f t="shared" si="34"/>
        <v>17.60222222222222</v>
      </c>
      <c r="BE150">
        <f t="shared" si="35"/>
        <v>10.649538068888887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1.0299700000000001</v>
      </c>
      <c r="H151" s="21">
        <v>6.4283299999999999</v>
      </c>
      <c r="I151" s="21">
        <v>-1.4035000000000001E-2</v>
      </c>
      <c r="J151" s="21">
        <v>141</v>
      </c>
      <c r="K151" s="21">
        <v>1.0293600000000001</v>
      </c>
      <c r="L151">
        <f t="shared" si="24"/>
        <v>17.327160493827162</v>
      </c>
      <c r="M151">
        <f t="shared" si="25"/>
        <v>17.846455493827161</v>
      </c>
      <c r="N151" s="9"/>
      <c r="O151" s="21">
        <v>0.61004599999999998</v>
      </c>
      <c r="P151" s="21">
        <v>10.1267</v>
      </c>
      <c r="Q151" s="21">
        <v>-1.4120499999999999E-2</v>
      </c>
      <c r="R151" s="21">
        <v>141</v>
      </c>
      <c r="S151" s="21">
        <v>0.609375</v>
      </c>
      <c r="T151">
        <f t="shared" si="26"/>
        <v>17.432716049382716</v>
      </c>
      <c r="U151">
        <f t="shared" si="27"/>
        <v>10.634758695061727</v>
      </c>
      <c r="X151" s="9"/>
      <c r="Y151" s="21">
        <v>1.0299700000000001</v>
      </c>
      <c r="Z151" s="21">
        <v>15.493499999999999</v>
      </c>
      <c r="AA151" s="21">
        <v>-1.4120499999999999E-2</v>
      </c>
      <c r="AB151" s="21">
        <v>141</v>
      </c>
      <c r="AC151" s="21">
        <v>1.02966</v>
      </c>
      <c r="AD151">
        <f t="shared" si="28"/>
        <v>17.432716049382716</v>
      </c>
      <c r="AE151">
        <f t="shared" si="29"/>
        <v>17.955174549382718</v>
      </c>
      <c r="AF151" s="9"/>
      <c r="AG151" s="21">
        <v>0.61004599999999998</v>
      </c>
      <c r="AH151" s="21">
        <v>19.1919</v>
      </c>
      <c r="AI151" s="21">
        <v>-1.4208999999999999E-2</v>
      </c>
      <c r="AJ151" s="21">
        <v>141</v>
      </c>
      <c r="AK151" s="21">
        <v>0.60946699999999998</v>
      </c>
      <c r="AL151">
        <f t="shared" si="30"/>
        <v>17.541975308641973</v>
      </c>
      <c r="AM151">
        <f t="shared" si="31"/>
        <v>10.7014118691358</v>
      </c>
      <c r="AP151" s="9"/>
      <c r="AQ151" s="21">
        <v>1.0299700000000001</v>
      </c>
      <c r="AR151" s="21">
        <v>24.605799999999999</v>
      </c>
      <c r="AS151" s="21">
        <v>-1.4196800000000001E-2</v>
      </c>
      <c r="AT151" s="21">
        <v>141</v>
      </c>
      <c r="AU151" s="21">
        <v>1.02905</v>
      </c>
      <c r="AV151">
        <f t="shared" si="32"/>
        <v>17.526913580246916</v>
      </c>
      <c r="AW151">
        <f t="shared" si="33"/>
        <v>18.052195180246915</v>
      </c>
      <c r="AX151" s="9"/>
      <c r="AY151" s="21">
        <v>0.61004599999999998</v>
      </c>
      <c r="AZ151" s="21">
        <v>28.304099999999998</v>
      </c>
      <c r="BA151" s="21">
        <v>-1.4257799999999999E-2</v>
      </c>
      <c r="BB151" s="21">
        <v>141</v>
      </c>
      <c r="BC151" s="21">
        <v>0.609406</v>
      </c>
      <c r="BD151">
        <f t="shared" si="34"/>
        <v>17.60222222222222</v>
      </c>
      <c r="BE151">
        <f t="shared" si="35"/>
        <v>10.738165257777776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1.0249299999999999</v>
      </c>
      <c r="H152" s="21">
        <v>6.4383999999999997</v>
      </c>
      <c r="I152" s="21">
        <v>-1.4031999999999999E-2</v>
      </c>
      <c r="J152" s="21">
        <v>142</v>
      </c>
      <c r="K152" s="21">
        <v>1.02417</v>
      </c>
      <c r="L152">
        <f t="shared" si="24"/>
        <v>17.323456790123455</v>
      </c>
      <c r="M152">
        <f t="shared" si="25"/>
        <v>17.755330567901233</v>
      </c>
      <c r="N152" s="9"/>
      <c r="O152" s="21">
        <v>0.61508200000000002</v>
      </c>
      <c r="P152" s="21">
        <v>10.136699999999999</v>
      </c>
      <c r="Q152" s="21">
        <v>-1.4123500000000001E-2</v>
      </c>
      <c r="R152" s="21">
        <v>142</v>
      </c>
      <c r="S152" s="21">
        <v>0.61453199999999997</v>
      </c>
      <c r="T152">
        <f t="shared" si="26"/>
        <v>17.436419753086419</v>
      </c>
      <c r="U152">
        <f t="shared" si="27"/>
        <v>10.724827934567902</v>
      </c>
      <c r="X152" s="9"/>
      <c r="Y152" s="21">
        <v>1.0249299999999999</v>
      </c>
      <c r="Z152" s="21">
        <v>15.5036</v>
      </c>
      <c r="AA152" s="21">
        <v>-1.4123500000000001E-2</v>
      </c>
      <c r="AB152" s="21">
        <v>142</v>
      </c>
      <c r="AC152" s="21">
        <v>1.0244800000000001</v>
      </c>
      <c r="AD152">
        <f t="shared" si="28"/>
        <v>17.436419753086419</v>
      </c>
      <c r="AE152">
        <f t="shared" si="29"/>
        <v>17.871109697530862</v>
      </c>
      <c r="AF152" s="9"/>
      <c r="AG152" s="21">
        <v>0.61508200000000002</v>
      </c>
      <c r="AH152" s="21">
        <v>19.202000000000002</v>
      </c>
      <c r="AI152" s="21">
        <v>-1.42212E-2</v>
      </c>
      <c r="AJ152" s="21">
        <v>142</v>
      </c>
      <c r="AK152" s="21">
        <v>0.61447099999999999</v>
      </c>
      <c r="AL152">
        <f t="shared" si="30"/>
        <v>17.557037037037034</v>
      </c>
      <c r="AM152">
        <f t="shared" si="31"/>
        <v>10.799017454814813</v>
      </c>
      <c r="AP152" s="9"/>
      <c r="AQ152" s="21">
        <v>1.0249299999999999</v>
      </c>
      <c r="AR152" s="21">
        <v>24.6158</v>
      </c>
      <c r="AS152" s="21">
        <v>-1.41998E-2</v>
      </c>
      <c r="AT152" s="21">
        <v>142</v>
      </c>
      <c r="AU152" s="21">
        <v>1.02386</v>
      </c>
      <c r="AV152">
        <f t="shared" si="32"/>
        <v>17.530617283950615</v>
      </c>
      <c r="AW152">
        <f t="shared" si="33"/>
        <v>17.967655572839501</v>
      </c>
      <c r="AX152" s="9"/>
      <c r="AY152" s="21">
        <v>0.61508200000000002</v>
      </c>
      <c r="AZ152" s="21">
        <v>28.3142</v>
      </c>
      <c r="BA152" s="21">
        <v>-1.4257799999999999E-2</v>
      </c>
      <c r="BB152" s="21">
        <v>142</v>
      </c>
      <c r="BC152" s="21">
        <v>0.61447099999999999</v>
      </c>
      <c r="BD152">
        <f t="shared" si="34"/>
        <v>17.60222222222222</v>
      </c>
      <c r="BE152">
        <f t="shared" si="35"/>
        <v>10.826810048888888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1.0199</v>
      </c>
      <c r="H153" s="21">
        <v>6.4484700000000004</v>
      </c>
      <c r="I153" s="21">
        <v>-1.40381E-2</v>
      </c>
      <c r="J153" s="21">
        <v>143</v>
      </c>
      <c r="K153" s="21">
        <v>1.01898</v>
      </c>
      <c r="L153">
        <f t="shared" si="24"/>
        <v>17.330987654320985</v>
      </c>
      <c r="M153">
        <f t="shared" si="25"/>
        <v>17.675874308641973</v>
      </c>
      <c r="N153" s="9"/>
      <c r="O153" s="21">
        <v>0.62011700000000003</v>
      </c>
      <c r="P153" s="21">
        <v>10.146800000000001</v>
      </c>
      <c r="Q153" s="21">
        <v>-1.4135699999999999E-2</v>
      </c>
      <c r="R153" s="21">
        <v>143</v>
      </c>
      <c r="S153" s="21">
        <v>0.61956800000000001</v>
      </c>
      <c r="T153">
        <f t="shared" si="26"/>
        <v>17.45148148148148</v>
      </c>
      <c r="U153">
        <f t="shared" si="27"/>
        <v>10.821960341851851</v>
      </c>
      <c r="X153" s="9"/>
      <c r="Y153" s="21">
        <v>1.0199</v>
      </c>
      <c r="Z153" s="21">
        <v>15.5137</v>
      </c>
      <c r="AA153" s="21">
        <v>-1.41266E-2</v>
      </c>
      <c r="AB153" s="21">
        <v>143</v>
      </c>
      <c r="AC153" s="21">
        <v>1.01929</v>
      </c>
      <c r="AD153">
        <f t="shared" si="28"/>
        <v>17.440246913580246</v>
      </c>
      <c r="AE153">
        <f t="shared" si="29"/>
        <v>17.787307827160493</v>
      </c>
      <c r="AF153" s="9"/>
      <c r="AG153" s="21">
        <v>0.62011700000000003</v>
      </c>
      <c r="AH153" s="21">
        <v>19.212</v>
      </c>
      <c r="AI153" s="21">
        <v>-1.4224199999999999E-2</v>
      </c>
      <c r="AJ153" s="21">
        <v>143</v>
      </c>
      <c r="AK153" s="21">
        <v>0.619537</v>
      </c>
      <c r="AL153">
        <f t="shared" si="30"/>
        <v>17.560740740740737</v>
      </c>
      <c r="AM153">
        <f t="shared" si="31"/>
        <v>10.889713865925923</v>
      </c>
      <c r="AP153" s="9"/>
      <c r="AQ153" s="21">
        <v>1.0199</v>
      </c>
      <c r="AR153" s="21">
        <v>24.625900000000001</v>
      </c>
      <c r="AS153" s="21">
        <v>-1.4202899999999999E-2</v>
      </c>
      <c r="AT153" s="21">
        <v>143</v>
      </c>
      <c r="AU153" s="21">
        <v>1.01898</v>
      </c>
      <c r="AV153">
        <f t="shared" si="32"/>
        <v>17.534444444444443</v>
      </c>
      <c r="AW153">
        <f t="shared" si="33"/>
        <v>17.883379888888889</v>
      </c>
      <c r="AX153" s="9"/>
      <c r="AY153" s="21">
        <v>0.62011700000000003</v>
      </c>
      <c r="AZ153" s="21">
        <v>28.324200000000001</v>
      </c>
      <c r="BA153" s="21">
        <v>-1.42731E-2</v>
      </c>
      <c r="BB153" s="21">
        <v>143</v>
      </c>
      <c r="BC153" s="21">
        <v>0.619537</v>
      </c>
      <c r="BD153">
        <f t="shared" si="34"/>
        <v>17.621111111111112</v>
      </c>
      <c r="BE153">
        <f t="shared" si="35"/>
        <v>10.92715055888889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1.0148600000000001</v>
      </c>
      <c r="H154" s="21">
        <v>6.4585499999999998</v>
      </c>
      <c r="I154" s="21">
        <v>-1.4031999999999999E-2</v>
      </c>
      <c r="J154" s="21">
        <v>144</v>
      </c>
      <c r="K154" s="21">
        <v>1.01349</v>
      </c>
      <c r="L154">
        <f t="shared" si="24"/>
        <v>17.323456790123455</v>
      </c>
      <c r="M154">
        <f t="shared" si="25"/>
        <v>17.580883358024693</v>
      </c>
      <c r="N154" s="9"/>
      <c r="O154" s="21">
        <v>0.62515299999999996</v>
      </c>
      <c r="P154" s="21">
        <v>10.1569</v>
      </c>
      <c r="Q154" s="21">
        <v>-1.4129600000000001E-2</v>
      </c>
      <c r="R154" s="21">
        <v>144</v>
      </c>
      <c r="S154" s="21">
        <v>0.62454200000000004</v>
      </c>
      <c r="T154">
        <f t="shared" si="26"/>
        <v>17.443950617283949</v>
      </c>
      <c r="U154">
        <f t="shared" si="27"/>
        <v>10.905138060246912</v>
      </c>
      <c r="X154" s="9"/>
      <c r="Y154" s="21">
        <v>1.0148600000000001</v>
      </c>
      <c r="Z154" s="21">
        <v>15.5238</v>
      </c>
      <c r="AA154" s="21">
        <v>-1.41327E-2</v>
      </c>
      <c r="AB154" s="21">
        <v>144</v>
      </c>
      <c r="AC154" s="21">
        <v>1.0144</v>
      </c>
      <c r="AD154">
        <f t="shared" si="28"/>
        <v>17.447777777777777</v>
      </c>
      <c r="AE154">
        <f t="shared" si="29"/>
        <v>17.707051755555558</v>
      </c>
      <c r="AF154" s="9"/>
      <c r="AG154" s="21">
        <v>0.62515299999999996</v>
      </c>
      <c r="AH154" s="21">
        <v>19.222100000000001</v>
      </c>
      <c r="AI154" s="21">
        <v>-1.4218099999999999E-2</v>
      </c>
      <c r="AJ154" s="21">
        <v>144</v>
      </c>
      <c r="AK154" s="21">
        <v>0.62457300000000004</v>
      </c>
      <c r="AL154">
        <f t="shared" si="30"/>
        <v>17.553209876543207</v>
      </c>
      <c r="AM154">
        <f t="shared" si="31"/>
        <v>10.973441813950615</v>
      </c>
      <c r="AP154" s="9"/>
      <c r="AQ154" s="21">
        <v>1.0148600000000001</v>
      </c>
      <c r="AR154" s="21">
        <v>24.635999999999999</v>
      </c>
      <c r="AS154" s="21">
        <v>-1.41998E-2</v>
      </c>
      <c r="AT154" s="21">
        <v>144</v>
      </c>
      <c r="AU154" s="21">
        <v>1.0141</v>
      </c>
      <c r="AV154">
        <f t="shared" si="32"/>
        <v>17.530617283950615</v>
      </c>
      <c r="AW154">
        <f t="shared" si="33"/>
        <v>17.791122256790125</v>
      </c>
      <c r="AX154" s="9"/>
      <c r="AY154" s="21">
        <v>0.62515299999999996</v>
      </c>
      <c r="AZ154" s="21">
        <v>28.334299999999999</v>
      </c>
      <c r="BA154" s="21">
        <v>-1.4279200000000001E-2</v>
      </c>
      <c r="BB154" s="21">
        <v>144</v>
      </c>
      <c r="BC154" s="21">
        <v>0.62460300000000002</v>
      </c>
      <c r="BD154">
        <f t="shared" si="34"/>
        <v>17.628641975308639</v>
      </c>
      <c r="BE154">
        <f t="shared" si="35"/>
        <v>11.02059841679012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1.00983</v>
      </c>
      <c r="H155" s="21">
        <v>6.4686199999999996</v>
      </c>
      <c r="I155" s="21">
        <v>-1.4019800000000001E-2</v>
      </c>
      <c r="J155" s="21">
        <v>145</v>
      </c>
      <c r="K155" s="21">
        <v>1.00891</v>
      </c>
      <c r="L155">
        <f t="shared" si="24"/>
        <v>17.308395061728394</v>
      </c>
      <c r="M155">
        <f t="shared" si="25"/>
        <v>17.478536585185186</v>
      </c>
      <c r="N155" s="9"/>
      <c r="O155" s="21">
        <v>0.63018799999999997</v>
      </c>
      <c r="P155" s="21">
        <v>10.167</v>
      </c>
      <c r="Q155" s="21">
        <v>-1.41266E-2</v>
      </c>
      <c r="R155" s="21">
        <v>145</v>
      </c>
      <c r="S155" s="21">
        <v>0.62957799999999997</v>
      </c>
      <c r="T155">
        <f t="shared" si="26"/>
        <v>17.440246913580246</v>
      </c>
      <c r="U155">
        <f t="shared" si="27"/>
        <v>10.990634321975307</v>
      </c>
      <c r="X155" s="9"/>
      <c r="Y155" s="21">
        <v>1.00983</v>
      </c>
      <c r="Z155" s="21">
        <v>15.533799999999999</v>
      </c>
      <c r="AA155" s="21">
        <v>-1.41327E-2</v>
      </c>
      <c r="AB155" s="21">
        <v>145</v>
      </c>
      <c r="AC155" s="21">
        <v>1.00861</v>
      </c>
      <c r="AD155">
        <f t="shared" si="28"/>
        <v>17.447777777777777</v>
      </c>
      <c r="AE155">
        <f t="shared" si="29"/>
        <v>17.619289433333332</v>
      </c>
      <c r="AF155" s="9"/>
      <c r="AG155" s="21">
        <v>0.63018799999999997</v>
      </c>
      <c r="AH155" s="21">
        <v>19.232199999999999</v>
      </c>
      <c r="AI155" s="21">
        <v>-1.4202899999999999E-2</v>
      </c>
      <c r="AJ155" s="21">
        <v>145</v>
      </c>
      <c r="AK155" s="21">
        <v>0.62957799999999997</v>
      </c>
      <c r="AL155">
        <f t="shared" si="30"/>
        <v>17.534444444444443</v>
      </c>
      <c r="AM155">
        <f t="shared" si="31"/>
        <v>11.049996475555554</v>
      </c>
      <c r="AP155" s="9"/>
      <c r="AQ155" s="21">
        <v>1.00983</v>
      </c>
      <c r="AR155" s="21">
        <v>24.646100000000001</v>
      </c>
      <c r="AS155" s="21">
        <v>-1.4196800000000001E-2</v>
      </c>
      <c r="AT155" s="21">
        <v>145</v>
      </c>
      <c r="AU155" s="21">
        <v>1.00891</v>
      </c>
      <c r="AV155">
        <f t="shared" si="32"/>
        <v>17.526913580246916</v>
      </c>
      <c r="AW155">
        <f t="shared" si="33"/>
        <v>17.699203140740742</v>
      </c>
      <c r="AX155" s="9"/>
      <c r="AY155" s="21">
        <v>0.63018799999999997</v>
      </c>
      <c r="AZ155" s="21">
        <v>28.3444</v>
      </c>
      <c r="BA155" s="21">
        <v>-1.42731E-2</v>
      </c>
      <c r="BB155" s="21">
        <v>145</v>
      </c>
      <c r="BC155" s="21">
        <v>0.62951699999999999</v>
      </c>
      <c r="BD155">
        <f t="shared" si="34"/>
        <v>17.621111111111112</v>
      </c>
      <c r="BE155">
        <f t="shared" si="35"/>
        <v>11.10461276888889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1.0047900000000001</v>
      </c>
      <c r="H156" s="21">
        <v>6.4786900000000003</v>
      </c>
      <c r="I156" s="21">
        <v>-1.40167E-2</v>
      </c>
      <c r="J156" s="21">
        <v>146</v>
      </c>
      <c r="K156" s="21">
        <v>1.0043299999999999</v>
      </c>
      <c r="L156">
        <f t="shared" si="24"/>
        <v>17.304567901234567</v>
      </c>
      <c r="M156">
        <f t="shared" si="25"/>
        <v>17.387456781481482</v>
      </c>
      <c r="N156" s="9"/>
      <c r="O156" s="21">
        <v>0.63522299999999998</v>
      </c>
      <c r="P156" s="21">
        <v>10.177</v>
      </c>
      <c r="Q156" s="21">
        <v>-1.4129600000000001E-2</v>
      </c>
      <c r="R156" s="21">
        <v>146</v>
      </c>
      <c r="S156" s="21">
        <v>0.63461299999999998</v>
      </c>
      <c r="T156">
        <f t="shared" si="26"/>
        <v>17.443950617283949</v>
      </c>
      <c r="U156">
        <f t="shared" si="27"/>
        <v>11.080798642962963</v>
      </c>
      <c r="X156" s="9"/>
      <c r="Y156" s="21">
        <v>1.0047900000000001</v>
      </c>
      <c r="Z156" s="21">
        <v>15.543900000000001</v>
      </c>
      <c r="AA156" s="21">
        <v>-1.41327E-2</v>
      </c>
      <c r="AB156" s="21">
        <v>146</v>
      </c>
      <c r="AC156" s="21">
        <v>1.0037199999999999</v>
      </c>
      <c r="AD156">
        <f t="shared" si="28"/>
        <v>17.447777777777777</v>
      </c>
      <c r="AE156">
        <f t="shared" si="29"/>
        <v>17.531352633333334</v>
      </c>
      <c r="AF156" s="9"/>
      <c r="AG156" s="21">
        <v>0.63522299999999998</v>
      </c>
      <c r="AH156" s="21">
        <v>19.2422</v>
      </c>
      <c r="AI156" s="21">
        <v>-1.4212000000000001E-2</v>
      </c>
      <c r="AJ156" s="21">
        <v>146</v>
      </c>
      <c r="AK156" s="21">
        <v>0.634552</v>
      </c>
      <c r="AL156">
        <f t="shared" si="30"/>
        <v>17.54567901234568</v>
      </c>
      <c r="AM156">
        <f t="shared" si="31"/>
        <v>11.145418859259259</v>
      </c>
      <c r="AP156" s="9"/>
      <c r="AQ156" s="21">
        <v>1.0047900000000001</v>
      </c>
      <c r="AR156" s="21">
        <v>24.656099999999999</v>
      </c>
      <c r="AS156" s="21">
        <v>-1.41937E-2</v>
      </c>
      <c r="AT156" s="21">
        <v>146</v>
      </c>
      <c r="AU156" s="21">
        <v>1.0043299999999999</v>
      </c>
      <c r="AV156">
        <f t="shared" si="32"/>
        <v>17.523086419753085</v>
      </c>
      <c r="AW156">
        <f t="shared" si="33"/>
        <v>17.607022003703705</v>
      </c>
      <c r="AX156" s="9"/>
      <c r="AY156" s="21">
        <v>0.63522299999999998</v>
      </c>
      <c r="AZ156" s="21">
        <v>28.354500000000002</v>
      </c>
      <c r="BA156" s="21">
        <v>-1.42731E-2</v>
      </c>
      <c r="BB156" s="21">
        <v>146</v>
      </c>
      <c r="BC156" s="21">
        <v>0.63470499999999996</v>
      </c>
      <c r="BD156">
        <f t="shared" si="34"/>
        <v>17.621111111111112</v>
      </c>
      <c r="BE156">
        <f t="shared" si="35"/>
        <v>11.193335063333334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0.99975599999999998</v>
      </c>
      <c r="H157" s="21">
        <v>6.4887600000000001</v>
      </c>
      <c r="I157" s="21">
        <v>-1.40045E-2</v>
      </c>
      <c r="J157" s="21">
        <v>147</v>
      </c>
      <c r="K157" s="21">
        <v>0.99914599999999998</v>
      </c>
      <c r="L157">
        <f t="shared" si="24"/>
        <v>17.289506172839506</v>
      </c>
      <c r="M157">
        <f t="shared" si="25"/>
        <v>17.285287533333332</v>
      </c>
      <c r="N157" s="9"/>
      <c r="O157" s="21">
        <v>0.64025900000000002</v>
      </c>
      <c r="P157" s="21">
        <v>10.187099999999999</v>
      </c>
      <c r="Q157" s="21">
        <v>-1.4129600000000001E-2</v>
      </c>
      <c r="R157" s="21">
        <v>147</v>
      </c>
      <c r="S157" s="21">
        <v>0.639679</v>
      </c>
      <c r="T157">
        <f t="shared" si="26"/>
        <v>17.443950617283949</v>
      </c>
      <c r="U157">
        <f t="shared" si="27"/>
        <v>11.168646378271605</v>
      </c>
      <c r="X157" s="9"/>
      <c r="Y157" s="21">
        <v>0.99975599999999998</v>
      </c>
      <c r="Z157" s="21">
        <v>15.554</v>
      </c>
      <c r="AA157" s="21">
        <v>-1.41388E-2</v>
      </c>
      <c r="AB157" s="21">
        <v>147</v>
      </c>
      <c r="AC157" s="21">
        <v>0.99883999999999995</v>
      </c>
      <c r="AD157">
        <f t="shared" si="28"/>
        <v>17.455308641975307</v>
      </c>
      <c r="AE157">
        <f t="shared" si="29"/>
        <v>17.451049546666663</v>
      </c>
      <c r="AF157" s="9"/>
      <c r="AG157" s="21">
        <v>0.64025900000000002</v>
      </c>
      <c r="AH157" s="21">
        <v>19.252300000000002</v>
      </c>
      <c r="AI157" s="21">
        <v>-1.42212E-2</v>
      </c>
      <c r="AJ157" s="21">
        <v>147</v>
      </c>
      <c r="AK157" s="21">
        <v>0.63958700000000002</v>
      </c>
      <c r="AL157">
        <f t="shared" si="30"/>
        <v>17.557037037037034</v>
      </c>
      <c r="AM157">
        <f t="shared" si="31"/>
        <v>11.241050976296295</v>
      </c>
      <c r="AP157" s="9"/>
      <c r="AQ157" s="21">
        <v>0.99975599999999998</v>
      </c>
      <c r="AR157" s="21">
        <v>24.6662</v>
      </c>
      <c r="AS157" s="21">
        <v>-1.41876E-2</v>
      </c>
      <c r="AT157" s="21">
        <v>147</v>
      </c>
      <c r="AU157" s="21">
        <v>0.99914599999999998</v>
      </c>
      <c r="AV157">
        <f t="shared" si="32"/>
        <v>17.515555555555554</v>
      </c>
      <c r="AW157">
        <f t="shared" si="33"/>
        <v>17.511281759999999</v>
      </c>
      <c r="AX157" s="9"/>
      <c r="AY157" s="21">
        <v>0.64025900000000002</v>
      </c>
      <c r="AZ157" s="21">
        <v>28.3645</v>
      </c>
      <c r="BA157" s="21">
        <v>-1.4257799999999999E-2</v>
      </c>
      <c r="BB157" s="21">
        <v>147</v>
      </c>
      <c r="BC157" s="21">
        <v>0.63961800000000002</v>
      </c>
      <c r="BD157">
        <f t="shared" si="34"/>
        <v>17.60222222222222</v>
      </c>
      <c r="BE157">
        <f t="shared" si="35"/>
        <v>11.269981197777778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0.99472000000000005</v>
      </c>
      <c r="H158" s="21">
        <v>6.4988299999999999</v>
      </c>
      <c r="I158" s="21">
        <v>-1.40137E-2</v>
      </c>
      <c r="J158" s="21">
        <v>148</v>
      </c>
      <c r="K158" s="21">
        <v>0.99395800000000001</v>
      </c>
      <c r="L158">
        <f t="shared" si="24"/>
        <v>17.300864197530863</v>
      </c>
      <c r="M158">
        <f t="shared" si="25"/>
        <v>17.2095156345679</v>
      </c>
      <c r="N158" s="9"/>
      <c r="O158" s="21">
        <v>0.64529400000000003</v>
      </c>
      <c r="P158" s="21">
        <v>10.1972</v>
      </c>
      <c r="Q158" s="21">
        <v>-1.41266E-2</v>
      </c>
      <c r="R158" s="21">
        <v>148</v>
      </c>
      <c r="S158" s="21">
        <v>0.64462299999999995</v>
      </c>
      <c r="T158">
        <f t="shared" si="26"/>
        <v>17.440246913580246</v>
      </c>
      <c r="U158">
        <f t="shared" si="27"/>
        <v>11.254086691851851</v>
      </c>
      <c r="X158" s="9"/>
      <c r="Y158" s="21">
        <v>0.99472000000000005</v>
      </c>
      <c r="Z158" s="21">
        <v>15.564</v>
      </c>
      <c r="AA158" s="21">
        <v>-1.41418E-2</v>
      </c>
      <c r="AB158" s="21">
        <v>148</v>
      </c>
      <c r="AC158" s="21">
        <v>0.99426300000000001</v>
      </c>
      <c r="AD158">
        <f t="shared" si="28"/>
        <v>17.45901234567901</v>
      </c>
      <c r="AE158">
        <f t="shared" si="29"/>
        <v>17.366828760493824</v>
      </c>
      <c r="AF158" s="9"/>
      <c r="AG158" s="21">
        <v>0.64529400000000003</v>
      </c>
      <c r="AH158" s="21">
        <v>19.2624</v>
      </c>
      <c r="AI158" s="21">
        <v>-1.42151E-2</v>
      </c>
      <c r="AJ158" s="21">
        <v>148</v>
      </c>
      <c r="AK158" s="21">
        <v>0.64474500000000001</v>
      </c>
      <c r="AL158">
        <f t="shared" si="30"/>
        <v>17.549506172839507</v>
      </c>
      <c r="AM158">
        <f t="shared" si="31"/>
        <v>11.324591036296297</v>
      </c>
      <c r="AP158" s="9"/>
      <c r="AQ158" s="21">
        <v>0.99472000000000005</v>
      </c>
      <c r="AR158" s="21">
        <v>24.676300000000001</v>
      </c>
      <c r="AS158" s="21">
        <v>-1.41815E-2</v>
      </c>
      <c r="AT158" s="21">
        <v>148</v>
      </c>
      <c r="AU158" s="21">
        <v>0.99365199999999998</v>
      </c>
      <c r="AV158">
        <f t="shared" si="32"/>
        <v>17.508024691358024</v>
      </c>
      <c r="AW158">
        <f t="shared" si="33"/>
        <v>17.415582320987653</v>
      </c>
      <c r="AX158" s="9"/>
      <c r="AY158" s="21">
        <v>0.64529400000000003</v>
      </c>
      <c r="AZ158" s="21">
        <v>28.374600000000001</v>
      </c>
      <c r="BA158" s="21">
        <v>-1.4245600000000001E-2</v>
      </c>
      <c r="BB158" s="21">
        <v>148</v>
      </c>
      <c r="BC158" s="21">
        <v>0.64468400000000003</v>
      </c>
      <c r="BD158">
        <f t="shared" si="34"/>
        <v>17.58716049382716</v>
      </c>
      <c r="BE158">
        <f t="shared" si="35"/>
        <v>11.348889143703703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0.98968500000000004</v>
      </c>
      <c r="H159" s="21">
        <v>6.5088999999999997</v>
      </c>
      <c r="I159" s="21">
        <v>-1.4031999999999999E-2</v>
      </c>
      <c r="J159" s="21">
        <v>149</v>
      </c>
      <c r="K159" s="21">
        <v>0.98938000000000004</v>
      </c>
      <c r="L159">
        <f t="shared" si="24"/>
        <v>17.323456790123455</v>
      </c>
      <c r="M159">
        <f t="shared" si="25"/>
        <v>17.144765333333332</v>
      </c>
      <c r="N159" s="9"/>
      <c r="O159" s="21">
        <v>0.65032999999999996</v>
      </c>
      <c r="P159" s="21">
        <v>10.2072</v>
      </c>
      <c r="Q159" s="21">
        <v>-1.41388E-2</v>
      </c>
      <c r="R159" s="21">
        <v>149</v>
      </c>
      <c r="S159" s="21">
        <v>0.64971900000000005</v>
      </c>
      <c r="T159">
        <f t="shared" si="26"/>
        <v>17.455308641975307</v>
      </c>
      <c r="U159">
        <f t="shared" si="27"/>
        <v>11.3517108691358</v>
      </c>
      <c r="X159" s="9"/>
      <c r="Y159" s="21">
        <v>0.98968500000000004</v>
      </c>
      <c r="Z159" s="21">
        <v>15.5741</v>
      </c>
      <c r="AA159" s="21">
        <v>-1.41327E-2</v>
      </c>
      <c r="AB159" s="21">
        <v>149</v>
      </c>
      <c r="AC159" s="21">
        <v>0.98907500000000004</v>
      </c>
      <c r="AD159">
        <f t="shared" si="28"/>
        <v>17.447777777777777</v>
      </c>
      <c r="AE159">
        <f t="shared" si="29"/>
        <v>17.267803950000001</v>
      </c>
      <c r="AF159" s="9"/>
      <c r="AG159" s="21">
        <v>0.65032999999999996</v>
      </c>
      <c r="AH159" s="21">
        <v>19.272500000000001</v>
      </c>
      <c r="AI159" s="21">
        <v>-1.4218099999999999E-2</v>
      </c>
      <c r="AJ159" s="21">
        <v>149</v>
      </c>
      <c r="AK159" s="21">
        <v>0.64981100000000003</v>
      </c>
      <c r="AL159">
        <f t="shared" si="30"/>
        <v>17.553209876543207</v>
      </c>
      <c r="AM159">
        <f t="shared" si="31"/>
        <v>11.415378979012344</v>
      </c>
      <c r="AP159" s="9"/>
      <c r="AQ159" s="21">
        <v>0.98968500000000004</v>
      </c>
      <c r="AR159" s="21">
        <v>24.686299999999999</v>
      </c>
      <c r="AS159" s="21">
        <v>-1.41815E-2</v>
      </c>
      <c r="AT159" s="21">
        <v>149</v>
      </c>
      <c r="AU159" s="21">
        <v>0.98907500000000004</v>
      </c>
      <c r="AV159">
        <f t="shared" si="32"/>
        <v>17.508024691358024</v>
      </c>
      <c r="AW159">
        <f t="shared" si="33"/>
        <v>17.327429416666668</v>
      </c>
      <c r="AX159" s="9"/>
      <c r="AY159" s="21">
        <v>0.65032999999999996</v>
      </c>
      <c r="AZ159" s="21">
        <v>28.384699999999999</v>
      </c>
      <c r="BA159" s="21">
        <v>-1.42334E-2</v>
      </c>
      <c r="BB159" s="21">
        <v>149</v>
      </c>
      <c r="BC159" s="21">
        <v>0.64968899999999996</v>
      </c>
      <c r="BD159">
        <f t="shared" si="34"/>
        <v>17.572098765432099</v>
      </c>
      <c r="BE159">
        <f t="shared" si="35"/>
        <v>11.427662990123457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0.98465000000000003</v>
      </c>
      <c r="H160" s="21">
        <v>6.5189700000000004</v>
      </c>
      <c r="I160" s="21">
        <v>-1.40442E-2</v>
      </c>
      <c r="J160" s="21">
        <v>150</v>
      </c>
      <c r="K160" s="21">
        <v>0.98358199999999996</v>
      </c>
      <c r="L160">
        <f t="shared" si="24"/>
        <v>17.338518518518516</v>
      </c>
      <c r="M160">
        <f t="shared" si="25"/>
        <v>17.072372259259257</v>
      </c>
      <c r="N160" s="9"/>
      <c r="O160" s="21">
        <v>0.65536499999999998</v>
      </c>
      <c r="P160" s="21">
        <v>10.2173</v>
      </c>
      <c r="Q160" s="21">
        <v>-1.4151E-2</v>
      </c>
      <c r="R160" s="21">
        <v>150</v>
      </c>
      <c r="S160" s="21">
        <v>0.65472399999999997</v>
      </c>
      <c r="T160">
        <f t="shared" si="26"/>
        <v>17.470370370370368</v>
      </c>
      <c r="U160">
        <f t="shared" si="27"/>
        <v>11.449469277777776</v>
      </c>
      <c r="X160" s="9"/>
      <c r="Y160" s="21">
        <v>0.98465000000000003</v>
      </c>
      <c r="Z160" s="21">
        <v>15.584199999999999</v>
      </c>
      <c r="AA160" s="21">
        <v>-1.4120499999999999E-2</v>
      </c>
      <c r="AB160" s="21">
        <v>150</v>
      </c>
      <c r="AC160" s="21">
        <v>0.98358199999999996</v>
      </c>
      <c r="AD160">
        <f t="shared" si="28"/>
        <v>17.432716049382716</v>
      </c>
      <c r="AE160">
        <f t="shared" si="29"/>
        <v>17.165123858024693</v>
      </c>
      <c r="AF160" s="9"/>
      <c r="AG160" s="21">
        <v>0.65536499999999998</v>
      </c>
      <c r="AH160" s="21">
        <v>19.282499999999999</v>
      </c>
      <c r="AI160" s="21">
        <v>-1.42273E-2</v>
      </c>
      <c r="AJ160" s="21">
        <v>150</v>
      </c>
      <c r="AK160" s="21">
        <v>0.65478499999999995</v>
      </c>
      <c r="AL160">
        <f t="shared" si="30"/>
        <v>17.564567901234565</v>
      </c>
      <c r="AM160">
        <f t="shared" si="31"/>
        <v>11.511203042592591</v>
      </c>
      <c r="AP160" s="9"/>
      <c r="AQ160" s="21">
        <v>0.98465000000000003</v>
      </c>
      <c r="AR160" s="21">
        <v>24.696400000000001</v>
      </c>
      <c r="AS160" s="21">
        <v>-1.41846E-2</v>
      </c>
      <c r="AT160" s="21">
        <v>150</v>
      </c>
      <c r="AU160" s="21">
        <v>0.98388699999999996</v>
      </c>
      <c r="AV160">
        <f t="shared" si="32"/>
        <v>17.511851851851851</v>
      </c>
      <c r="AW160">
        <f t="shared" si="33"/>
        <v>17.243044925925926</v>
      </c>
      <c r="AX160" s="9"/>
      <c r="AY160" s="21">
        <v>0.65536499999999998</v>
      </c>
      <c r="AZ160" s="21">
        <v>28.3947</v>
      </c>
      <c r="BA160" s="21">
        <v>-1.4224199999999999E-2</v>
      </c>
      <c r="BB160" s="21">
        <v>150</v>
      </c>
      <c r="BC160" s="21">
        <v>0.65475499999999998</v>
      </c>
      <c r="BD160">
        <f t="shared" si="34"/>
        <v>17.560740740740737</v>
      </c>
      <c r="BE160">
        <f t="shared" si="35"/>
        <v>11.508694855555552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0.97961399999999998</v>
      </c>
      <c r="H161" s="21">
        <v>6.5290400000000002</v>
      </c>
      <c r="I161" s="21">
        <v>-1.40442E-2</v>
      </c>
      <c r="J161" s="21">
        <v>151</v>
      </c>
      <c r="K161" s="21">
        <v>0.97930899999999999</v>
      </c>
      <c r="L161">
        <f t="shared" si="24"/>
        <v>17.338518518518516</v>
      </c>
      <c r="M161">
        <f t="shared" si="25"/>
        <v>16.985055479999996</v>
      </c>
      <c r="N161" s="9"/>
      <c r="O161" s="21">
        <v>0.66039999999999999</v>
      </c>
      <c r="P161" s="21">
        <v>10.227399999999999</v>
      </c>
      <c r="Q161" s="21">
        <v>-1.41663E-2</v>
      </c>
      <c r="R161" s="21">
        <v>151</v>
      </c>
      <c r="S161" s="21">
        <v>0.65960700000000005</v>
      </c>
      <c r="T161">
        <f t="shared" si="26"/>
        <v>17.489259259259256</v>
      </c>
      <c r="U161">
        <f t="shared" si="27"/>
        <v>11.549906814814813</v>
      </c>
      <c r="X161" s="9"/>
      <c r="Y161" s="21">
        <v>0.97961399999999998</v>
      </c>
      <c r="Z161" s="21">
        <v>15.5943</v>
      </c>
      <c r="AA161" s="21">
        <v>-1.4108300000000001E-2</v>
      </c>
      <c r="AB161" s="21">
        <v>151</v>
      </c>
      <c r="AC161" s="21">
        <v>0.97839399999999999</v>
      </c>
      <c r="AD161">
        <f t="shared" si="28"/>
        <v>17.417654320987655</v>
      </c>
      <c r="AE161">
        <f t="shared" si="29"/>
        <v>17.06257802</v>
      </c>
      <c r="AF161" s="9"/>
      <c r="AG161" s="21">
        <v>0.66039999999999999</v>
      </c>
      <c r="AH161" s="21">
        <v>19.2926</v>
      </c>
      <c r="AI161" s="21">
        <v>-1.42273E-2</v>
      </c>
      <c r="AJ161" s="21">
        <v>151</v>
      </c>
      <c r="AK161" s="21">
        <v>0.65985099999999997</v>
      </c>
      <c r="AL161">
        <f t="shared" si="30"/>
        <v>17.564567901234565</v>
      </c>
      <c r="AM161">
        <f t="shared" si="31"/>
        <v>11.599640641975306</v>
      </c>
      <c r="AP161" s="9"/>
      <c r="AQ161" s="21">
        <v>0.97961399999999998</v>
      </c>
      <c r="AR161" s="21">
        <v>24.706499999999998</v>
      </c>
      <c r="AS161" s="21">
        <v>-1.41937E-2</v>
      </c>
      <c r="AT161" s="21">
        <v>151</v>
      </c>
      <c r="AU161" s="21">
        <v>0.97900399999999999</v>
      </c>
      <c r="AV161">
        <f t="shared" si="32"/>
        <v>17.523086419753085</v>
      </c>
      <c r="AW161">
        <f t="shared" si="33"/>
        <v>17.165860779999999</v>
      </c>
      <c r="AX161" s="9"/>
      <c r="AY161" s="21">
        <v>0.66039999999999999</v>
      </c>
      <c r="AZ161" s="21">
        <v>28.404800000000002</v>
      </c>
      <c r="BA161" s="21">
        <v>-1.4224199999999999E-2</v>
      </c>
      <c r="BB161" s="21">
        <v>151</v>
      </c>
      <c r="BC161" s="21">
        <v>0.65978999999999999</v>
      </c>
      <c r="BD161">
        <f t="shared" si="34"/>
        <v>17.560740740740737</v>
      </c>
      <c r="BE161">
        <f t="shared" si="35"/>
        <v>11.597113185185183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0.97457899999999997</v>
      </c>
      <c r="H162" s="21">
        <v>6.53911</v>
      </c>
      <c r="I162" s="21">
        <v>-1.40381E-2</v>
      </c>
      <c r="J162" s="21">
        <v>152</v>
      </c>
      <c r="K162" s="21">
        <v>0.97351100000000002</v>
      </c>
      <c r="L162">
        <f t="shared" si="24"/>
        <v>17.330987654320985</v>
      </c>
      <c r="M162">
        <f t="shared" si="25"/>
        <v>16.89041661716049</v>
      </c>
      <c r="N162" s="9"/>
      <c r="O162" s="21">
        <v>0.66543600000000003</v>
      </c>
      <c r="P162" s="21">
        <v>10.237500000000001</v>
      </c>
      <c r="Q162" s="21">
        <v>-1.41663E-2</v>
      </c>
      <c r="R162" s="21">
        <v>152</v>
      </c>
      <c r="S162" s="21">
        <v>0.66476400000000002</v>
      </c>
      <c r="T162">
        <f t="shared" si="26"/>
        <v>17.489259259259256</v>
      </c>
      <c r="U162">
        <f t="shared" si="27"/>
        <v>11.637982724444443</v>
      </c>
      <c r="X162" s="9"/>
      <c r="Y162" s="21">
        <v>0.97457899999999997</v>
      </c>
      <c r="Z162" s="21">
        <v>15.6043</v>
      </c>
      <c r="AA162" s="21">
        <v>-1.40961E-2</v>
      </c>
      <c r="AB162" s="21">
        <v>152</v>
      </c>
      <c r="AC162" s="21">
        <v>0.97351100000000002</v>
      </c>
      <c r="AD162">
        <f t="shared" si="28"/>
        <v>17.40259259259259</v>
      </c>
      <c r="AE162">
        <f t="shared" si="29"/>
        <v>16.960201286296293</v>
      </c>
      <c r="AF162" s="9"/>
      <c r="AG162" s="21">
        <v>0.66543600000000003</v>
      </c>
      <c r="AH162" s="21">
        <v>19.302700000000002</v>
      </c>
      <c r="AI162" s="21">
        <v>-1.42395E-2</v>
      </c>
      <c r="AJ162" s="21">
        <v>152</v>
      </c>
      <c r="AK162" s="21">
        <v>0.66479500000000002</v>
      </c>
      <c r="AL162">
        <f t="shared" si="30"/>
        <v>17.579629629629629</v>
      </c>
      <c r="AM162">
        <f t="shared" si="31"/>
        <v>11.698118422222223</v>
      </c>
      <c r="AP162" s="9"/>
      <c r="AQ162" s="21">
        <v>0.97457899999999997</v>
      </c>
      <c r="AR162" s="21">
        <v>24.7165</v>
      </c>
      <c r="AS162" s="21">
        <v>-1.41998E-2</v>
      </c>
      <c r="AT162" s="21">
        <v>152</v>
      </c>
      <c r="AU162" s="21">
        <v>0.97351100000000002</v>
      </c>
      <c r="AV162">
        <f t="shared" si="32"/>
        <v>17.530617283950615</v>
      </c>
      <c r="AW162">
        <f t="shared" si="33"/>
        <v>17.084971461975307</v>
      </c>
      <c r="AX162" s="9"/>
      <c r="AY162" s="21">
        <v>0.66543600000000003</v>
      </c>
      <c r="AZ162" s="21">
        <v>28.414899999999999</v>
      </c>
      <c r="BA162" s="21">
        <v>-1.42212E-2</v>
      </c>
      <c r="BB162" s="21">
        <v>152</v>
      </c>
      <c r="BC162" s="21">
        <v>0.66473400000000005</v>
      </c>
      <c r="BD162">
        <f t="shared" si="34"/>
        <v>17.557037037037034</v>
      </c>
      <c r="BE162">
        <f t="shared" si="35"/>
        <v>11.683084497777775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0.96954300000000004</v>
      </c>
      <c r="H163" s="21">
        <v>6.5491799999999998</v>
      </c>
      <c r="I163" s="21">
        <v>-1.40442E-2</v>
      </c>
      <c r="J163" s="21">
        <v>153</v>
      </c>
      <c r="K163" s="21">
        <v>0.96862800000000004</v>
      </c>
      <c r="L163">
        <f t="shared" si="24"/>
        <v>17.338518518518516</v>
      </c>
      <c r="M163">
        <f t="shared" si="25"/>
        <v>16.810439259999999</v>
      </c>
      <c r="N163" s="9"/>
      <c r="O163" s="21">
        <v>0.67047100000000004</v>
      </c>
      <c r="P163" s="21">
        <v>10.2475</v>
      </c>
      <c r="Q163" s="21">
        <v>-1.4169299999999999E-2</v>
      </c>
      <c r="R163" s="21">
        <v>153</v>
      </c>
      <c r="S163" s="21">
        <v>0.66989100000000001</v>
      </c>
      <c r="T163">
        <f t="shared" si="26"/>
        <v>17.492962962962959</v>
      </c>
      <c r="U163">
        <f t="shared" si="27"/>
        <v>11.72852437074074</v>
      </c>
      <c r="X163" s="9"/>
      <c r="Y163" s="21">
        <v>0.96954300000000004</v>
      </c>
      <c r="Z163" s="21">
        <v>15.6144</v>
      </c>
      <c r="AA163" s="21">
        <v>-1.40961E-2</v>
      </c>
      <c r="AB163" s="21">
        <v>153</v>
      </c>
      <c r="AC163" s="21">
        <v>0.96862800000000004</v>
      </c>
      <c r="AD163">
        <f t="shared" si="28"/>
        <v>17.40259259259259</v>
      </c>
      <c r="AE163">
        <f t="shared" si="29"/>
        <v>16.872561829999999</v>
      </c>
      <c r="AF163" s="9"/>
      <c r="AG163" s="21">
        <v>0.67047100000000004</v>
      </c>
      <c r="AH163" s="21">
        <v>19.3127</v>
      </c>
      <c r="AI163" s="21">
        <v>-1.4251700000000001E-2</v>
      </c>
      <c r="AJ163" s="21">
        <v>153</v>
      </c>
      <c r="AK163" s="21">
        <v>0.66989100000000001</v>
      </c>
      <c r="AL163">
        <f t="shared" si="30"/>
        <v>17.594691358024694</v>
      </c>
      <c r="AM163">
        <f t="shared" si="31"/>
        <v>11.796730309506176</v>
      </c>
      <c r="AP163" s="9"/>
      <c r="AQ163" s="21">
        <v>0.96954300000000004</v>
      </c>
      <c r="AR163" s="21">
        <v>24.726600000000001</v>
      </c>
      <c r="AS163" s="21">
        <v>-1.4202899999999999E-2</v>
      </c>
      <c r="AT163" s="21">
        <v>153</v>
      </c>
      <c r="AU163" s="21">
        <v>0.96893300000000004</v>
      </c>
      <c r="AV163">
        <f t="shared" si="32"/>
        <v>17.534444444444443</v>
      </c>
      <c r="AW163">
        <f t="shared" si="33"/>
        <v>17.00039787</v>
      </c>
      <c r="AX163" s="9"/>
      <c r="AY163" s="21">
        <v>0.67047100000000004</v>
      </c>
      <c r="AZ163" s="21">
        <v>28.425000000000001</v>
      </c>
      <c r="BA163" s="21">
        <v>-1.42212E-2</v>
      </c>
      <c r="BB163" s="21">
        <v>153</v>
      </c>
      <c r="BC163" s="21">
        <v>0.66976899999999995</v>
      </c>
      <c r="BD163">
        <f t="shared" si="34"/>
        <v>17.557037037037034</v>
      </c>
      <c r="BE163">
        <f t="shared" si="35"/>
        <v>11.771484179259257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0.96450800000000003</v>
      </c>
      <c r="H164" s="21">
        <v>6.5592600000000001</v>
      </c>
      <c r="I164" s="21">
        <v>-1.4047199999999999E-2</v>
      </c>
      <c r="J164" s="21">
        <v>154</v>
      </c>
      <c r="K164" s="21">
        <v>0.96343999999999996</v>
      </c>
      <c r="L164">
        <f t="shared" si="24"/>
        <v>17.342222222222222</v>
      </c>
      <c r="M164">
        <f t="shared" si="25"/>
        <v>16.726712071111113</v>
      </c>
      <c r="N164" s="9"/>
      <c r="O164" s="21">
        <v>0.67550699999999997</v>
      </c>
      <c r="P164" s="21">
        <v>10.2576</v>
      </c>
      <c r="Q164" s="21">
        <v>-1.4163200000000001E-2</v>
      </c>
      <c r="R164" s="21">
        <v>154</v>
      </c>
      <c r="S164" s="21">
        <v>0.67492700000000005</v>
      </c>
      <c r="T164">
        <f t="shared" si="26"/>
        <v>17.485432098765433</v>
      </c>
      <c r="U164">
        <f t="shared" si="27"/>
        <v>11.81153178074074</v>
      </c>
      <c r="X164" s="9"/>
      <c r="Y164" s="21">
        <v>0.96450800000000003</v>
      </c>
      <c r="Z164" s="21">
        <v>15.624499999999999</v>
      </c>
      <c r="AA164" s="21">
        <v>-1.41022E-2</v>
      </c>
      <c r="AB164" s="21">
        <v>154</v>
      </c>
      <c r="AC164" s="21">
        <v>0.96343999999999996</v>
      </c>
      <c r="AD164">
        <f t="shared" si="28"/>
        <v>17.410123456790124</v>
      </c>
      <c r="AE164">
        <f t="shared" si="29"/>
        <v>16.79220335506173</v>
      </c>
      <c r="AF164" s="9"/>
      <c r="AG164" s="21">
        <v>0.67550699999999997</v>
      </c>
      <c r="AH164" s="21">
        <v>19.322800000000001</v>
      </c>
      <c r="AI164" s="21">
        <v>-1.4242599999999999E-2</v>
      </c>
      <c r="AJ164" s="21">
        <v>154</v>
      </c>
      <c r="AK164" s="21">
        <v>0.67486599999999997</v>
      </c>
      <c r="AL164">
        <f t="shared" si="30"/>
        <v>17.583456790123453</v>
      </c>
      <c r="AM164">
        <f t="shared" si="31"/>
        <v>11.877748145925922</v>
      </c>
      <c r="AP164" s="9"/>
      <c r="AQ164" s="21">
        <v>0.96450800000000003</v>
      </c>
      <c r="AR164" s="21">
        <v>24.736699999999999</v>
      </c>
      <c r="AS164" s="21">
        <v>-1.42059E-2</v>
      </c>
      <c r="AT164" s="21">
        <v>154</v>
      </c>
      <c r="AU164" s="21">
        <v>0.96374499999999996</v>
      </c>
      <c r="AV164">
        <f t="shared" si="32"/>
        <v>17.538148148148146</v>
      </c>
      <c r="AW164">
        <f t="shared" si="33"/>
        <v>16.915684194074071</v>
      </c>
      <c r="AX164" s="9"/>
      <c r="AY164" s="21">
        <v>0.67550699999999997</v>
      </c>
      <c r="AZ164" s="21">
        <v>28.434999999999999</v>
      </c>
      <c r="BA164" s="21">
        <v>-1.4218099999999999E-2</v>
      </c>
      <c r="BB164" s="21">
        <v>154</v>
      </c>
      <c r="BC164" s="21">
        <v>0.67492700000000005</v>
      </c>
      <c r="BD164">
        <f t="shared" si="34"/>
        <v>17.553209876543207</v>
      </c>
      <c r="BE164">
        <f t="shared" si="35"/>
        <v>11.857316144074071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0.95947300000000002</v>
      </c>
      <c r="H165" s="21">
        <v>6.5693299999999999</v>
      </c>
      <c r="I165" s="21">
        <v>-1.4053299999999999E-2</v>
      </c>
      <c r="J165" s="21">
        <v>155</v>
      </c>
      <c r="K165" s="21">
        <v>0.95855699999999999</v>
      </c>
      <c r="L165">
        <f t="shared" si="24"/>
        <v>17.349753086419753</v>
      </c>
      <c r="M165">
        <f t="shared" si="25"/>
        <v>16.646619643086421</v>
      </c>
      <c r="N165" s="9"/>
      <c r="O165" s="21">
        <v>0.68054199999999998</v>
      </c>
      <c r="P165" s="21">
        <v>10.2677</v>
      </c>
      <c r="Q165" s="21">
        <v>-1.41602E-2</v>
      </c>
      <c r="R165" s="21">
        <v>155</v>
      </c>
      <c r="S165" s="21">
        <v>0.67993199999999998</v>
      </c>
      <c r="T165">
        <f t="shared" si="26"/>
        <v>17.481728395061729</v>
      </c>
      <c r="U165">
        <f t="shared" si="27"/>
        <v>11.897050405432099</v>
      </c>
      <c r="X165" s="9"/>
      <c r="Y165" s="21">
        <v>0.95947300000000002</v>
      </c>
      <c r="Z165" s="21">
        <v>15.634499999999999</v>
      </c>
      <c r="AA165" s="21">
        <v>-1.4108300000000001E-2</v>
      </c>
      <c r="AB165" s="21">
        <v>155</v>
      </c>
      <c r="AC165" s="21">
        <v>0.95886199999999999</v>
      </c>
      <c r="AD165">
        <f t="shared" si="28"/>
        <v>17.417654320987655</v>
      </c>
      <c r="AE165">
        <f t="shared" si="29"/>
        <v>16.711769044320988</v>
      </c>
      <c r="AF165" s="9"/>
      <c r="AG165" s="21">
        <v>0.68054199999999998</v>
      </c>
      <c r="AH165" s="21">
        <v>19.332899999999999</v>
      </c>
      <c r="AI165" s="21">
        <v>-1.4236499999999999E-2</v>
      </c>
      <c r="AJ165" s="21">
        <v>155</v>
      </c>
      <c r="AK165" s="21">
        <v>0.67990099999999998</v>
      </c>
      <c r="AL165">
        <f t="shared" si="30"/>
        <v>17.575925925925926</v>
      </c>
      <c r="AM165">
        <f t="shared" si="31"/>
        <v>11.961155781481482</v>
      </c>
      <c r="AP165" s="9"/>
      <c r="AQ165" s="21">
        <v>0.95947300000000002</v>
      </c>
      <c r="AR165" s="21">
        <v>24.7468</v>
      </c>
      <c r="AS165" s="21">
        <v>-1.4212000000000001E-2</v>
      </c>
      <c r="AT165" s="21">
        <v>155</v>
      </c>
      <c r="AU165" s="21">
        <v>0.95916699999999999</v>
      </c>
      <c r="AV165">
        <f t="shared" si="32"/>
        <v>17.54567901234568</v>
      </c>
      <c r="AW165">
        <f t="shared" si="33"/>
        <v>16.834605279012347</v>
      </c>
      <c r="AX165" s="9"/>
      <c r="AY165" s="21">
        <v>0.68054199999999998</v>
      </c>
      <c r="AZ165" s="21">
        <v>28.4451</v>
      </c>
      <c r="BA165" s="21">
        <v>-1.42212E-2</v>
      </c>
      <c r="BB165" s="21">
        <v>155</v>
      </c>
      <c r="BC165" s="21">
        <v>0.679871</v>
      </c>
      <c r="BD165">
        <f t="shared" si="34"/>
        <v>17.557037037037034</v>
      </c>
      <c r="BE165">
        <f t="shared" si="35"/>
        <v>11.948301099259258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0.95443699999999998</v>
      </c>
      <c r="H166" s="21">
        <v>6.5793999999999997</v>
      </c>
      <c r="I166" s="21">
        <v>-1.40594E-2</v>
      </c>
      <c r="J166" s="21">
        <v>156</v>
      </c>
      <c r="K166" s="21">
        <v>0.95397900000000002</v>
      </c>
      <c r="L166">
        <f t="shared" si="24"/>
        <v>17.357283950617283</v>
      </c>
      <c r="M166">
        <f t="shared" si="25"/>
        <v>16.566434021975308</v>
      </c>
      <c r="N166" s="9"/>
      <c r="O166" s="21">
        <v>0.68557699999999999</v>
      </c>
      <c r="P166" s="21">
        <v>10.277699999999999</v>
      </c>
      <c r="Q166" s="21">
        <v>-1.4151E-2</v>
      </c>
      <c r="R166" s="21">
        <v>156</v>
      </c>
      <c r="S166" s="21">
        <v>0.68496699999999999</v>
      </c>
      <c r="T166">
        <f t="shared" si="26"/>
        <v>17.470370370370368</v>
      </c>
      <c r="U166">
        <f t="shared" si="27"/>
        <v>11.977284107407407</v>
      </c>
      <c r="X166" s="9"/>
      <c r="Y166" s="21">
        <v>0.95443699999999998</v>
      </c>
      <c r="Z166" s="21">
        <v>15.644600000000001</v>
      </c>
      <c r="AA166" s="21">
        <v>-1.41113E-2</v>
      </c>
      <c r="AB166" s="21">
        <v>156</v>
      </c>
      <c r="AC166" s="21">
        <v>0.95336900000000002</v>
      </c>
      <c r="AD166">
        <f t="shared" si="28"/>
        <v>17.421358024691358</v>
      </c>
      <c r="AE166">
        <f t="shared" si="29"/>
        <v>16.627588689012345</v>
      </c>
      <c r="AF166" s="9"/>
      <c r="AG166" s="21">
        <v>0.68557699999999999</v>
      </c>
      <c r="AH166" s="21">
        <v>19.3429</v>
      </c>
      <c r="AI166" s="21">
        <v>-1.4224199999999999E-2</v>
      </c>
      <c r="AJ166" s="21">
        <v>156</v>
      </c>
      <c r="AK166" s="21">
        <v>0.68493700000000002</v>
      </c>
      <c r="AL166">
        <f t="shared" si="30"/>
        <v>17.560740740740737</v>
      </c>
      <c r="AM166">
        <f t="shared" si="31"/>
        <v>12.039239954814812</v>
      </c>
      <c r="AP166" s="9"/>
      <c r="AQ166" s="21">
        <v>0.95443699999999998</v>
      </c>
      <c r="AR166" s="21">
        <v>24.756799999999998</v>
      </c>
      <c r="AS166" s="21">
        <v>-1.42212E-2</v>
      </c>
      <c r="AT166" s="21">
        <v>156</v>
      </c>
      <c r="AU166" s="21">
        <v>0.95367400000000002</v>
      </c>
      <c r="AV166">
        <f t="shared" si="32"/>
        <v>17.557037037037034</v>
      </c>
      <c r="AW166">
        <f t="shared" si="33"/>
        <v>16.757085758518514</v>
      </c>
      <c r="AX166" s="9"/>
      <c r="AY166" s="21">
        <v>0.68557699999999999</v>
      </c>
      <c r="AZ166" s="21">
        <v>28.455200000000001</v>
      </c>
      <c r="BA166" s="21">
        <v>-1.42212E-2</v>
      </c>
      <c r="BB166" s="21">
        <v>156</v>
      </c>
      <c r="BC166" s="21">
        <v>0.68496699999999999</v>
      </c>
      <c r="BD166">
        <f t="shared" si="34"/>
        <v>17.557037037037034</v>
      </c>
      <c r="BE166">
        <f t="shared" si="35"/>
        <v>12.036700780740739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0.94940199999999997</v>
      </c>
      <c r="H167" s="21">
        <v>6.5894700000000004</v>
      </c>
      <c r="I167" s="21">
        <v>-1.4065599999999999E-2</v>
      </c>
      <c r="J167" s="21">
        <v>157</v>
      </c>
      <c r="K167" s="21">
        <v>0.94848600000000005</v>
      </c>
      <c r="L167">
        <f t="shared" si="24"/>
        <v>17.364938271604938</v>
      </c>
      <c r="M167">
        <f t="shared" si="25"/>
        <v>16.486307124938271</v>
      </c>
      <c r="N167" s="9"/>
      <c r="O167" s="21">
        <v>0.69061300000000003</v>
      </c>
      <c r="P167" s="21">
        <v>10.287800000000001</v>
      </c>
      <c r="Q167" s="21">
        <v>-1.41449E-2</v>
      </c>
      <c r="R167" s="21">
        <v>157</v>
      </c>
      <c r="S167" s="21">
        <v>0.68997200000000003</v>
      </c>
      <c r="T167">
        <f t="shared" si="26"/>
        <v>17.462839506172838</v>
      </c>
      <c r="U167">
        <f t="shared" si="27"/>
        <v>12.060063979876542</v>
      </c>
      <c r="X167" s="9"/>
      <c r="Y167" s="21">
        <v>0.94940199999999997</v>
      </c>
      <c r="Z167" s="21">
        <v>15.6547</v>
      </c>
      <c r="AA167" s="21">
        <v>-1.41113E-2</v>
      </c>
      <c r="AB167" s="21">
        <v>157</v>
      </c>
      <c r="AC167" s="21">
        <v>0.94879199999999997</v>
      </c>
      <c r="AD167">
        <f t="shared" si="28"/>
        <v>17.421358024691358</v>
      </c>
      <c r="AE167">
        <f t="shared" si="29"/>
        <v>16.539872151358026</v>
      </c>
      <c r="AF167" s="9"/>
      <c r="AG167" s="21">
        <v>0.69061300000000003</v>
      </c>
      <c r="AH167" s="21">
        <v>19.353000000000002</v>
      </c>
      <c r="AI167" s="21">
        <v>-1.4212000000000001E-2</v>
      </c>
      <c r="AJ167" s="21">
        <v>157</v>
      </c>
      <c r="AK167" s="21">
        <v>0.68997200000000003</v>
      </c>
      <c r="AL167">
        <f t="shared" si="30"/>
        <v>17.54567901234568</v>
      </c>
      <c r="AM167">
        <f t="shared" si="31"/>
        <v>12.117274019753088</v>
      </c>
      <c r="AP167" s="9"/>
      <c r="AQ167" s="21">
        <v>0.94940199999999997</v>
      </c>
      <c r="AR167" s="21">
        <v>24.7669</v>
      </c>
      <c r="AS167" s="21">
        <v>-1.42334E-2</v>
      </c>
      <c r="AT167" s="21">
        <v>157</v>
      </c>
      <c r="AU167" s="21">
        <v>0.94818100000000005</v>
      </c>
      <c r="AV167">
        <f t="shared" si="32"/>
        <v>17.572098765432099</v>
      </c>
      <c r="AW167">
        <f t="shared" si="33"/>
        <v>16.682985712098766</v>
      </c>
      <c r="AX167" s="9"/>
      <c r="AY167" s="21">
        <v>0.69061300000000003</v>
      </c>
      <c r="AZ167" s="21">
        <v>28.465199999999999</v>
      </c>
      <c r="BA167" s="21">
        <v>-1.42334E-2</v>
      </c>
      <c r="BB167" s="21">
        <v>157</v>
      </c>
      <c r="BC167" s="21">
        <v>0.69006299999999998</v>
      </c>
      <c r="BD167">
        <f t="shared" si="34"/>
        <v>17.572098765432099</v>
      </c>
      <c r="BE167">
        <f t="shared" si="35"/>
        <v>12.135519844691359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0.94436600000000004</v>
      </c>
      <c r="H168" s="21">
        <v>6.5995400000000002</v>
      </c>
      <c r="I168" s="21">
        <v>-1.4065599999999999E-2</v>
      </c>
      <c r="J168" s="21">
        <v>158</v>
      </c>
      <c r="K168" s="21">
        <v>0.943604</v>
      </c>
      <c r="L168">
        <f t="shared" si="24"/>
        <v>17.364938271604938</v>
      </c>
      <c r="M168">
        <f t="shared" si="25"/>
        <v>16.398857295802468</v>
      </c>
      <c r="N168" s="9"/>
      <c r="O168" s="21">
        <v>0.69564800000000004</v>
      </c>
      <c r="P168" s="21">
        <v>10.2979</v>
      </c>
      <c r="Q168" s="21">
        <v>-1.4151E-2</v>
      </c>
      <c r="R168" s="21">
        <v>158</v>
      </c>
      <c r="S168" s="21">
        <v>0.69503800000000004</v>
      </c>
      <c r="T168">
        <f t="shared" si="26"/>
        <v>17.470370370370368</v>
      </c>
      <c r="U168">
        <f t="shared" si="27"/>
        <v>12.153228207407407</v>
      </c>
      <c r="X168" s="9"/>
      <c r="Y168" s="21">
        <v>0.94436600000000004</v>
      </c>
      <c r="Z168" s="21">
        <v>15.6648</v>
      </c>
      <c r="AA168" s="21">
        <v>-1.4129600000000001E-2</v>
      </c>
      <c r="AB168" s="21">
        <v>158</v>
      </c>
      <c r="AC168" s="21">
        <v>0.94329799999999997</v>
      </c>
      <c r="AD168">
        <f t="shared" si="28"/>
        <v>17.443950617283949</v>
      </c>
      <c r="AE168">
        <f t="shared" si="29"/>
        <v>16.473473868641975</v>
      </c>
      <c r="AF168" s="9"/>
      <c r="AG168" s="21">
        <v>0.69564800000000004</v>
      </c>
      <c r="AH168" s="21">
        <v>19.363099999999999</v>
      </c>
      <c r="AI168" s="21">
        <v>-1.42151E-2</v>
      </c>
      <c r="AJ168" s="21">
        <v>158</v>
      </c>
      <c r="AK168" s="21">
        <v>0.69506800000000002</v>
      </c>
      <c r="AL168">
        <f t="shared" si="30"/>
        <v>17.549506172839507</v>
      </c>
      <c r="AM168">
        <f t="shared" si="31"/>
        <v>12.208278870123458</v>
      </c>
      <c r="AP168" s="9"/>
      <c r="AQ168" s="21">
        <v>0.94436600000000004</v>
      </c>
      <c r="AR168" s="21">
        <v>24.777000000000001</v>
      </c>
      <c r="AS168" s="21">
        <v>-1.4236499999999999E-2</v>
      </c>
      <c r="AT168" s="21">
        <v>158</v>
      </c>
      <c r="AU168" s="21">
        <v>0.94329799999999997</v>
      </c>
      <c r="AV168">
        <f t="shared" si="32"/>
        <v>17.575925925925926</v>
      </c>
      <c r="AW168">
        <f t="shared" si="33"/>
        <v>16.598106862962965</v>
      </c>
      <c r="AX168" s="9"/>
      <c r="AY168" s="21">
        <v>0.69564800000000004</v>
      </c>
      <c r="AZ168" s="21">
        <v>28.475300000000001</v>
      </c>
      <c r="BA168" s="21">
        <v>-1.42334E-2</v>
      </c>
      <c r="BB168" s="21">
        <v>158</v>
      </c>
      <c r="BC168" s="21">
        <v>0.69497699999999996</v>
      </c>
      <c r="BD168">
        <f t="shared" si="34"/>
        <v>17.572098765432099</v>
      </c>
      <c r="BE168">
        <f t="shared" si="35"/>
        <v>12.223995361975309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0.93933100000000003</v>
      </c>
      <c r="H169" s="21">
        <v>6.60961</v>
      </c>
      <c r="I169" s="21">
        <v>-1.40564E-2</v>
      </c>
      <c r="J169" s="21">
        <v>159</v>
      </c>
      <c r="K169" s="21">
        <v>0.93841600000000003</v>
      </c>
      <c r="L169">
        <f t="shared" si="24"/>
        <v>17.35358024691358</v>
      </c>
      <c r="M169">
        <f t="shared" si="25"/>
        <v>16.300755886913581</v>
      </c>
      <c r="N169" s="9"/>
      <c r="O169" s="21">
        <v>0.70068399999999997</v>
      </c>
      <c r="P169" s="21">
        <v>10.3079</v>
      </c>
      <c r="Q169" s="21">
        <v>-1.41418E-2</v>
      </c>
      <c r="R169" s="21">
        <v>159</v>
      </c>
      <c r="S169" s="21">
        <v>0.70016500000000004</v>
      </c>
      <c r="T169">
        <f t="shared" si="26"/>
        <v>17.45901234567901</v>
      </c>
      <c r="U169">
        <f t="shared" si="27"/>
        <v>12.233250606419752</v>
      </c>
      <c r="X169" s="9"/>
      <c r="Y169" s="21">
        <v>0.93933100000000003</v>
      </c>
      <c r="Z169" s="21">
        <v>15.674799999999999</v>
      </c>
      <c r="AA169" s="21">
        <v>-1.4151E-2</v>
      </c>
      <c r="AB169" s="21">
        <v>159</v>
      </c>
      <c r="AC169" s="21">
        <v>0.93841600000000003</v>
      </c>
      <c r="AD169">
        <f t="shared" si="28"/>
        <v>17.470370370370368</v>
      </c>
      <c r="AE169">
        <f t="shared" si="29"/>
        <v>16.410460470370367</v>
      </c>
      <c r="AF169" s="9"/>
      <c r="AG169" s="21">
        <v>0.70068399999999997</v>
      </c>
      <c r="AH169" s="21">
        <v>19.373200000000001</v>
      </c>
      <c r="AI169" s="21">
        <v>-1.4208999999999999E-2</v>
      </c>
      <c r="AJ169" s="21">
        <v>159</v>
      </c>
      <c r="AK169" s="21">
        <v>0.70007299999999995</v>
      </c>
      <c r="AL169">
        <f t="shared" si="30"/>
        <v>17.541975308641973</v>
      </c>
      <c r="AM169">
        <f t="shared" si="31"/>
        <v>12.291381427160491</v>
      </c>
      <c r="AP169" s="9"/>
      <c r="AQ169" s="21">
        <v>0.93933100000000003</v>
      </c>
      <c r="AR169" s="21">
        <v>24.786999999999999</v>
      </c>
      <c r="AS169" s="21">
        <v>-1.42212E-2</v>
      </c>
      <c r="AT169" s="21">
        <v>159</v>
      </c>
      <c r="AU169" s="21">
        <v>0.93811</v>
      </c>
      <c r="AV169">
        <f t="shared" si="32"/>
        <v>17.557037037037034</v>
      </c>
      <c r="AW169">
        <f t="shared" si="33"/>
        <v>16.491869157037033</v>
      </c>
      <c r="AX169" s="9"/>
      <c r="AY169" s="21">
        <v>0.70068399999999997</v>
      </c>
      <c r="AZ169" s="21">
        <v>28.485399999999998</v>
      </c>
      <c r="BA169" s="21">
        <v>-1.4245600000000001E-2</v>
      </c>
      <c r="BB169" s="21">
        <v>159</v>
      </c>
      <c r="BC169" s="21">
        <v>0.70016500000000004</v>
      </c>
      <c r="BD169">
        <f t="shared" si="34"/>
        <v>17.58716049382716</v>
      </c>
      <c r="BE169">
        <f t="shared" si="35"/>
        <v>12.32304196345679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0.93429600000000002</v>
      </c>
      <c r="H170" s="21">
        <v>6.6196799999999998</v>
      </c>
      <c r="I170" s="21">
        <v>-1.40594E-2</v>
      </c>
      <c r="J170" s="21">
        <v>160</v>
      </c>
      <c r="K170" s="21">
        <v>0.93383799999999995</v>
      </c>
      <c r="L170">
        <f t="shared" si="24"/>
        <v>17.357283950617283</v>
      </c>
      <c r="M170">
        <f t="shared" si="25"/>
        <v>16.216840965925925</v>
      </c>
      <c r="N170" s="9"/>
      <c r="O170" s="21">
        <v>0.70571899999999999</v>
      </c>
      <c r="P170" s="21">
        <v>10.318</v>
      </c>
      <c r="Q170" s="21">
        <v>-1.4157100000000001E-2</v>
      </c>
      <c r="R170" s="21">
        <v>160</v>
      </c>
      <c r="S170" s="21">
        <v>0.70507799999999998</v>
      </c>
      <c r="T170">
        <f t="shared" si="26"/>
        <v>17.477901234567902</v>
      </c>
      <c r="U170">
        <f t="shared" si="27"/>
        <v>12.334486981358024</v>
      </c>
      <c r="X170" s="9"/>
      <c r="Y170" s="21">
        <v>0.93429600000000002</v>
      </c>
      <c r="Z170" s="21">
        <v>15.684900000000001</v>
      </c>
      <c r="AA170" s="21">
        <v>-1.41663E-2</v>
      </c>
      <c r="AB170" s="21">
        <v>160</v>
      </c>
      <c r="AC170" s="21">
        <v>0.93292200000000003</v>
      </c>
      <c r="AD170">
        <f t="shared" si="28"/>
        <v>17.489259259259256</v>
      </c>
      <c r="AE170">
        <f t="shared" si="29"/>
        <v>16.340144968888886</v>
      </c>
      <c r="AF170" s="9"/>
      <c r="AG170" s="21">
        <v>0.70571899999999999</v>
      </c>
      <c r="AH170" s="21">
        <v>19.383199999999999</v>
      </c>
      <c r="AI170" s="21">
        <v>-1.4208999999999999E-2</v>
      </c>
      <c r="AJ170" s="21">
        <v>160</v>
      </c>
      <c r="AK170" s="21">
        <v>0.70513899999999996</v>
      </c>
      <c r="AL170">
        <f t="shared" si="30"/>
        <v>17.541975308641973</v>
      </c>
      <c r="AM170">
        <f t="shared" si="31"/>
        <v>12.379705272839505</v>
      </c>
      <c r="AP170" s="9"/>
      <c r="AQ170" s="21">
        <v>0.93429600000000002</v>
      </c>
      <c r="AR170" s="21">
        <v>24.7971</v>
      </c>
      <c r="AS170" s="21">
        <v>-1.42273E-2</v>
      </c>
      <c r="AT170" s="21">
        <v>160</v>
      </c>
      <c r="AU170" s="21">
        <v>0.93353299999999995</v>
      </c>
      <c r="AV170">
        <f t="shared" si="32"/>
        <v>17.564567901234565</v>
      </c>
      <c r="AW170">
        <f t="shared" si="33"/>
        <v>16.41050553185185</v>
      </c>
      <c r="AX170" s="9"/>
      <c r="AY170" s="21">
        <v>0.70571899999999999</v>
      </c>
      <c r="AZ170" s="21">
        <v>28.4955</v>
      </c>
      <c r="BA170" s="21">
        <v>-1.4251700000000001E-2</v>
      </c>
      <c r="BB170" s="21">
        <v>160</v>
      </c>
      <c r="BC170" s="21">
        <v>0.70507799999999998</v>
      </c>
      <c r="BD170">
        <f t="shared" si="34"/>
        <v>17.594691358024694</v>
      </c>
      <c r="BE170">
        <f t="shared" si="35"/>
        <v>12.416907990493829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0.92925999999999997</v>
      </c>
      <c r="H171" s="21">
        <v>6.6297499999999996</v>
      </c>
      <c r="I171" s="21">
        <v>-1.4041100000000001E-2</v>
      </c>
      <c r="J171" s="21">
        <v>161</v>
      </c>
      <c r="K171" s="21">
        <v>0.92864999999999998</v>
      </c>
      <c r="L171">
        <f t="shared" si="24"/>
        <v>17.334691358024692</v>
      </c>
      <c r="M171">
        <f t="shared" si="25"/>
        <v>16.108435291358024</v>
      </c>
      <c r="N171" s="9"/>
      <c r="O171" s="21">
        <v>0.710754</v>
      </c>
      <c r="P171" s="21">
        <v>10.328099999999999</v>
      </c>
      <c r="Q171" s="21">
        <v>-1.4154099999999999E-2</v>
      </c>
      <c r="R171" s="21">
        <v>161</v>
      </c>
      <c r="S171" s="21">
        <v>0.710144</v>
      </c>
      <c r="T171">
        <f t="shared" si="26"/>
        <v>17.474197530864195</v>
      </c>
      <c r="U171">
        <f t="shared" si="27"/>
        <v>12.41985579185185</v>
      </c>
      <c r="X171" s="9"/>
      <c r="Y171" s="21">
        <v>0.92925999999999997</v>
      </c>
      <c r="Z171" s="21">
        <v>15.695</v>
      </c>
      <c r="AA171" s="21">
        <v>-1.4169299999999999E-2</v>
      </c>
      <c r="AB171" s="21">
        <v>161</v>
      </c>
      <c r="AC171" s="21">
        <v>0.92834499999999998</v>
      </c>
      <c r="AD171">
        <f t="shared" si="28"/>
        <v>17.492962962962959</v>
      </c>
      <c r="AE171">
        <f t="shared" si="29"/>
        <v>16.25551076296296</v>
      </c>
      <c r="AF171" s="9"/>
      <c r="AG171" s="21">
        <v>0.710754</v>
      </c>
      <c r="AH171" s="21">
        <v>19.3933</v>
      </c>
      <c r="AI171" s="21">
        <v>-1.4208999999999999E-2</v>
      </c>
      <c r="AJ171" s="21">
        <v>161</v>
      </c>
      <c r="AK171" s="21">
        <v>0.71011400000000002</v>
      </c>
      <c r="AL171">
        <f t="shared" si="30"/>
        <v>17.541975308641973</v>
      </c>
      <c r="AM171">
        <f t="shared" si="31"/>
        <v>12.468029118518517</v>
      </c>
      <c r="AP171" s="9"/>
      <c r="AQ171" s="21">
        <v>0.92925999999999997</v>
      </c>
      <c r="AR171" s="21">
        <v>24.807200000000002</v>
      </c>
      <c r="AS171" s="21">
        <v>-1.42273E-2</v>
      </c>
      <c r="AT171" s="21">
        <v>161</v>
      </c>
      <c r="AU171" s="21">
        <v>0.92834499999999998</v>
      </c>
      <c r="AV171">
        <f t="shared" si="32"/>
        <v>17.564567901234565</v>
      </c>
      <c r="AW171">
        <f t="shared" si="33"/>
        <v>16.32205036790123</v>
      </c>
      <c r="AX171" s="9"/>
      <c r="AY171" s="21">
        <v>0.710754</v>
      </c>
      <c r="AZ171" s="21">
        <v>28.505500000000001</v>
      </c>
      <c r="BA171" s="21">
        <v>-1.42487E-2</v>
      </c>
      <c r="BB171" s="21">
        <v>161</v>
      </c>
      <c r="BC171" s="21">
        <v>0.710144</v>
      </c>
      <c r="BD171">
        <f t="shared" si="34"/>
        <v>17.590987654320987</v>
      </c>
      <c r="BE171">
        <f t="shared" si="35"/>
        <v>12.502864839259258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0.92422499999999996</v>
      </c>
      <c r="H172" s="21">
        <v>6.6398200000000003</v>
      </c>
      <c r="I172" s="21">
        <v>-1.40442E-2</v>
      </c>
      <c r="J172" s="21">
        <v>162</v>
      </c>
      <c r="K172" s="21">
        <v>0.92346200000000001</v>
      </c>
      <c r="L172">
        <f t="shared" si="24"/>
        <v>17.338518518518516</v>
      </c>
      <c r="M172">
        <f t="shared" si="25"/>
        <v>16.024692277777774</v>
      </c>
      <c r="N172" s="9"/>
      <c r="O172" s="21">
        <v>0.71579000000000004</v>
      </c>
      <c r="P172" s="21">
        <v>10.338200000000001</v>
      </c>
      <c r="Q172" s="21">
        <v>-1.41449E-2</v>
      </c>
      <c r="R172" s="21">
        <v>162</v>
      </c>
      <c r="S172" s="21">
        <v>0.71511800000000003</v>
      </c>
      <c r="T172">
        <f t="shared" si="26"/>
        <v>17.462839506172838</v>
      </c>
      <c r="U172">
        <f t="shared" si="27"/>
        <v>12.499725890123456</v>
      </c>
      <c r="X172" s="9"/>
      <c r="Y172" s="21">
        <v>0.92422499999999996</v>
      </c>
      <c r="Z172" s="21">
        <v>15.705</v>
      </c>
      <c r="AA172" s="21">
        <v>-1.41815E-2</v>
      </c>
      <c r="AB172" s="21">
        <v>162</v>
      </c>
      <c r="AC172" s="21">
        <v>0.92285200000000001</v>
      </c>
      <c r="AD172">
        <f t="shared" si="28"/>
        <v>17.508024691358024</v>
      </c>
      <c r="AE172">
        <f t="shared" si="29"/>
        <v>16.181354120370369</v>
      </c>
      <c r="AF172" s="9"/>
      <c r="AG172" s="21">
        <v>0.71579000000000004</v>
      </c>
      <c r="AH172" s="21">
        <v>19.403400000000001</v>
      </c>
      <c r="AI172" s="21">
        <v>-1.42059E-2</v>
      </c>
      <c r="AJ172" s="21">
        <v>162</v>
      </c>
      <c r="AK172" s="21">
        <v>0.71517900000000001</v>
      </c>
      <c r="AL172">
        <f t="shared" si="30"/>
        <v>17.538148148148146</v>
      </c>
      <c r="AM172">
        <f t="shared" si="31"/>
        <v>12.553631062962962</v>
      </c>
      <c r="AP172" s="9"/>
      <c r="AQ172" s="21">
        <v>0.92422499999999996</v>
      </c>
      <c r="AR172" s="21">
        <v>24.817299999999999</v>
      </c>
      <c r="AS172" s="21">
        <v>-1.42334E-2</v>
      </c>
      <c r="AT172" s="21">
        <v>162</v>
      </c>
      <c r="AU172" s="21">
        <v>0.923767</v>
      </c>
      <c r="AV172">
        <f t="shared" si="32"/>
        <v>17.572098765432099</v>
      </c>
      <c r="AW172">
        <f t="shared" si="33"/>
        <v>16.240572981481481</v>
      </c>
      <c r="AX172" s="9"/>
      <c r="AY172" s="21">
        <v>0.71579000000000004</v>
      </c>
      <c r="AZ172" s="21">
        <v>28.515599999999999</v>
      </c>
      <c r="BA172" s="21">
        <v>-1.4245600000000001E-2</v>
      </c>
      <c r="BB172" s="21">
        <v>162</v>
      </c>
      <c r="BC172" s="21">
        <v>0.71521000000000001</v>
      </c>
      <c r="BD172">
        <f t="shared" si="34"/>
        <v>17.58716049382716</v>
      </c>
      <c r="BE172">
        <f t="shared" si="35"/>
        <v>12.588713609876542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0.91918900000000003</v>
      </c>
      <c r="H173" s="21">
        <v>6.6498900000000001</v>
      </c>
      <c r="I173" s="21">
        <v>-1.40503E-2</v>
      </c>
      <c r="J173" s="21">
        <v>163</v>
      </c>
      <c r="K173" s="21">
        <v>0.91827400000000003</v>
      </c>
      <c r="L173">
        <f t="shared" si="24"/>
        <v>17.34604938271605</v>
      </c>
      <c r="M173">
        <f t="shared" si="25"/>
        <v>15.944297786049384</v>
      </c>
      <c r="N173" s="9"/>
      <c r="O173" s="21">
        <v>0.72082500000000005</v>
      </c>
      <c r="P173" s="21">
        <v>10.3482</v>
      </c>
      <c r="Q173" s="21">
        <v>-1.41449E-2</v>
      </c>
      <c r="R173" s="21">
        <v>163</v>
      </c>
      <c r="S173" s="21">
        <v>0.72018400000000005</v>
      </c>
      <c r="T173">
        <f t="shared" si="26"/>
        <v>17.462839506172838</v>
      </c>
      <c r="U173">
        <f t="shared" si="27"/>
        <v>12.587651287037037</v>
      </c>
      <c r="X173" s="9"/>
      <c r="Y173" s="21">
        <v>0.91918900000000003</v>
      </c>
      <c r="Z173" s="21">
        <v>15.7151</v>
      </c>
      <c r="AA173" s="21">
        <v>-1.4190700000000001E-2</v>
      </c>
      <c r="AB173" s="21">
        <v>163</v>
      </c>
      <c r="AC173" s="21">
        <v>0.91827400000000003</v>
      </c>
      <c r="AD173">
        <f t="shared" si="28"/>
        <v>17.519382716049382</v>
      </c>
      <c r="AE173">
        <f t="shared" si="29"/>
        <v>16.103623879382717</v>
      </c>
      <c r="AF173" s="9"/>
      <c r="AG173" s="21">
        <v>0.72082500000000005</v>
      </c>
      <c r="AH173" s="21">
        <v>19.413399999999999</v>
      </c>
      <c r="AI173" s="21">
        <v>-1.42059E-2</v>
      </c>
      <c r="AJ173" s="21">
        <v>163</v>
      </c>
      <c r="AK173" s="21">
        <v>0.720306</v>
      </c>
      <c r="AL173">
        <f t="shared" si="30"/>
        <v>17.538148148148146</v>
      </c>
      <c r="AM173">
        <f t="shared" si="31"/>
        <v>12.641935638888889</v>
      </c>
      <c r="AP173" s="9"/>
      <c r="AQ173" s="21">
        <v>0.91918900000000003</v>
      </c>
      <c r="AR173" s="21">
        <v>24.827300000000001</v>
      </c>
      <c r="AS173" s="21">
        <v>-1.42395E-2</v>
      </c>
      <c r="AT173" s="21">
        <v>163</v>
      </c>
      <c r="AU173" s="21">
        <v>0.91857900000000003</v>
      </c>
      <c r="AV173">
        <f t="shared" si="32"/>
        <v>17.579629629629629</v>
      </c>
      <c r="AW173">
        <f t="shared" si="33"/>
        <v>16.159002179629631</v>
      </c>
      <c r="AX173" s="9"/>
      <c r="AY173" s="21">
        <v>0.72082500000000005</v>
      </c>
      <c r="AZ173" s="21">
        <v>28.525700000000001</v>
      </c>
      <c r="BA173" s="21">
        <v>-1.42487E-2</v>
      </c>
      <c r="BB173" s="21">
        <v>163</v>
      </c>
      <c r="BC173" s="21">
        <v>0.72021500000000005</v>
      </c>
      <c r="BD173">
        <f t="shared" si="34"/>
        <v>17.590987654320987</v>
      </c>
      <c r="BE173">
        <f t="shared" si="35"/>
        <v>12.680023675925927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0.91415400000000002</v>
      </c>
      <c r="H174" s="21">
        <v>6.6599700000000004</v>
      </c>
      <c r="I174" s="21">
        <v>-1.4053299999999999E-2</v>
      </c>
      <c r="J174" s="21">
        <v>164</v>
      </c>
      <c r="K174" s="21">
        <v>0.91308599999999995</v>
      </c>
      <c r="L174">
        <f t="shared" si="24"/>
        <v>17.349753086419753</v>
      </c>
      <c r="M174">
        <f t="shared" si="25"/>
        <v>15.860346182962964</v>
      </c>
      <c r="N174" s="9"/>
      <c r="O174" s="21">
        <v>0.72586099999999998</v>
      </c>
      <c r="P174" s="21">
        <v>10.3583</v>
      </c>
      <c r="Q174" s="21">
        <v>-1.4129600000000001E-2</v>
      </c>
      <c r="R174" s="21">
        <v>164</v>
      </c>
      <c r="S174" s="21">
        <v>0.72531100000000004</v>
      </c>
      <c r="T174">
        <f t="shared" si="26"/>
        <v>17.443950617283949</v>
      </c>
      <c r="U174">
        <f t="shared" si="27"/>
        <v>12.661883439012344</v>
      </c>
      <c r="X174" s="9"/>
      <c r="Y174" s="21">
        <v>0.91415400000000002</v>
      </c>
      <c r="Z174" s="21">
        <v>15.725199999999999</v>
      </c>
      <c r="AA174" s="21">
        <v>-1.41846E-2</v>
      </c>
      <c r="AB174" s="21">
        <v>164</v>
      </c>
      <c r="AC174" s="21">
        <v>0.91308599999999995</v>
      </c>
      <c r="AD174">
        <f t="shared" si="28"/>
        <v>17.511851851851851</v>
      </c>
      <c r="AE174">
        <f t="shared" si="29"/>
        <v>16.008529417777776</v>
      </c>
      <c r="AF174" s="9"/>
      <c r="AG174" s="21">
        <v>0.72586099999999998</v>
      </c>
      <c r="AH174" s="21">
        <v>19.423500000000001</v>
      </c>
      <c r="AI174" s="21">
        <v>-1.4202899999999999E-2</v>
      </c>
      <c r="AJ174" s="21">
        <v>164</v>
      </c>
      <c r="AK174" s="21">
        <v>0.72518899999999997</v>
      </c>
      <c r="AL174">
        <f t="shared" si="30"/>
        <v>17.534444444444443</v>
      </c>
      <c r="AM174">
        <f t="shared" si="31"/>
        <v>12.727569378888887</v>
      </c>
      <c r="AP174" s="9"/>
      <c r="AQ174" s="21">
        <v>0.91415400000000002</v>
      </c>
      <c r="AR174" s="21">
        <v>24.837399999999999</v>
      </c>
      <c r="AS174" s="21">
        <v>-1.4242599999999999E-2</v>
      </c>
      <c r="AT174" s="21">
        <v>164</v>
      </c>
      <c r="AU174" s="21">
        <v>0.91339099999999995</v>
      </c>
      <c r="AV174">
        <f t="shared" si="32"/>
        <v>17.583456790123453</v>
      </c>
      <c r="AW174">
        <f t="shared" si="33"/>
        <v>16.073987358518515</v>
      </c>
      <c r="AX174" s="9"/>
      <c r="AY174" s="21">
        <v>0.72586099999999998</v>
      </c>
      <c r="AZ174" s="21">
        <v>28.535699999999999</v>
      </c>
      <c r="BA174" s="21">
        <v>-1.4242599999999999E-2</v>
      </c>
      <c r="BB174" s="21">
        <v>164</v>
      </c>
      <c r="BC174" s="21">
        <v>0.72521999999999998</v>
      </c>
      <c r="BD174">
        <f t="shared" si="34"/>
        <v>17.583456790123453</v>
      </c>
      <c r="BE174">
        <f t="shared" si="35"/>
        <v>12.7631455291358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0.90911900000000001</v>
      </c>
      <c r="H175" s="21">
        <v>6.6700400000000002</v>
      </c>
      <c r="I175" s="21">
        <v>-1.4068600000000001E-2</v>
      </c>
      <c r="J175" s="21">
        <v>165</v>
      </c>
      <c r="K175" s="21">
        <v>0.90850799999999998</v>
      </c>
      <c r="L175">
        <f t="shared" si="24"/>
        <v>17.368641975308641</v>
      </c>
      <c r="M175">
        <f t="shared" si="25"/>
        <v>15.790162423950617</v>
      </c>
      <c r="N175" s="9"/>
      <c r="O175" s="21">
        <v>0.73089599999999999</v>
      </c>
      <c r="P175" s="21">
        <v>10.368399999999999</v>
      </c>
      <c r="Q175" s="21">
        <v>-1.41174E-2</v>
      </c>
      <c r="R175" s="21">
        <v>165</v>
      </c>
      <c r="S175" s="21">
        <v>0.73028599999999999</v>
      </c>
      <c r="T175">
        <f t="shared" si="26"/>
        <v>17.428888888888888</v>
      </c>
      <c r="U175">
        <f t="shared" si="27"/>
        <v>12.738705173333333</v>
      </c>
      <c r="X175" s="9"/>
      <c r="Y175" s="21">
        <v>0.90911900000000001</v>
      </c>
      <c r="Z175" s="21">
        <v>15.735200000000001</v>
      </c>
      <c r="AA175" s="21">
        <v>-1.4175399999999999E-2</v>
      </c>
      <c r="AB175" s="21">
        <v>165</v>
      </c>
      <c r="AC175" s="21">
        <v>0.90850799999999998</v>
      </c>
      <c r="AD175">
        <f t="shared" si="28"/>
        <v>17.500493827160494</v>
      </c>
      <c r="AE175">
        <f t="shared" si="29"/>
        <v>15.910031447654321</v>
      </c>
      <c r="AF175" s="9"/>
      <c r="AG175" s="21">
        <v>0.73089599999999999</v>
      </c>
      <c r="AH175" s="21">
        <v>19.433599999999998</v>
      </c>
      <c r="AI175" s="21">
        <v>-1.41998E-2</v>
      </c>
      <c r="AJ175" s="21">
        <v>165</v>
      </c>
      <c r="AK175" s="21">
        <v>0.73025499999999999</v>
      </c>
      <c r="AL175">
        <f t="shared" si="30"/>
        <v>17.530617283950615</v>
      </c>
      <c r="AM175">
        <f t="shared" si="31"/>
        <v>12.813058050370369</v>
      </c>
      <c r="AP175" s="9"/>
      <c r="AQ175" s="21">
        <v>0.90911900000000001</v>
      </c>
      <c r="AR175" s="21">
        <v>24.8475</v>
      </c>
      <c r="AS175" s="21">
        <v>-1.4251700000000001E-2</v>
      </c>
      <c r="AT175" s="21">
        <v>165</v>
      </c>
      <c r="AU175" s="21">
        <v>0.90911900000000001</v>
      </c>
      <c r="AV175">
        <f t="shared" si="32"/>
        <v>17.594691358024694</v>
      </c>
      <c r="AW175">
        <f t="shared" si="33"/>
        <v>15.995668212716051</v>
      </c>
      <c r="AX175" s="9"/>
      <c r="AY175" s="21">
        <v>0.73089599999999999</v>
      </c>
      <c r="AZ175" s="21">
        <v>28.5458</v>
      </c>
      <c r="BA175" s="21">
        <v>-1.4236499999999999E-2</v>
      </c>
      <c r="BB175" s="21">
        <v>165</v>
      </c>
      <c r="BC175" s="21">
        <v>0.73028599999999999</v>
      </c>
      <c r="BD175">
        <f t="shared" si="34"/>
        <v>17.575925925925926</v>
      </c>
      <c r="BE175">
        <f t="shared" si="35"/>
        <v>12.846173955555555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0.90408299999999997</v>
      </c>
      <c r="H176" s="21">
        <v>6.68011</v>
      </c>
      <c r="I176" s="21">
        <v>-1.4071699999999999E-2</v>
      </c>
      <c r="J176" s="21">
        <v>166</v>
      </c>
      <c r="K176" s="21">
        <v>0.90362500000000001</v>
      </c>
      <c r="L176">
        <f t="shared" si="24"/>
        <v>17.372469135802469</v>
      </c>
      <c r="M176">
        <f t="shared" si="25"/>
        <v>15.706154013703703</v>
      </c>
      <c r="N176" s="9"/>
      <c r="O176" s="21">
        <v>0.735931</v>
      </c>
      <c r="P176" s="21">
        <v>10.378399999999999</v>
      </c>
      <c r="Q176" s="21">
        <v>-1.41113E-2</v>
      </c>
      <c r="R176" s="21">
        <v>166</v>
      </c>
      <c r="S176" s="21">
        <v>0.73529100000000003</v>
      </c>
      <c r="T176">
        <f t="shared" si="26"/>
        <v>17.421358024691358</v>
      </c>
      <c r="U176">
        <f t="shared" si="27"/>
        <v>12.820917432469136</v>
      </c>
      <c r="X176" s="9"/>
      <c r="Y176" s="21">
        <v>0.90408299999999997</v>
      </c>
      <c r="Z176" s="21">
        <v>15.7453</v>
      </c>
      <c r="AA176" s="21">
        <v>-1.41663E-2</v>
      </c>
      <c r="AB176" s="21">
        <v>166</v>
      </c>
      <c r="AC176" s="21">
        <v>0.90301500000000001</v>
      </c>
      <c r="AD176">
        <f t="shared" si="28"/>
        <v>17.489259259259256</v>
      </c>
      <c r="AE176">
        <f t="shared" si="29"/>
        <v>15.811741978888886</v>
      </c>
      <c r="AF176" s="9"/>
      <c r="AG176" s="21">
        <v>0.735931</v>
      </c>
      <c r="AH176" s="21">
        <v>19.4437</v>
      </c>
      <c r="AI176" s="21">
        <v>-1.41937E-2</v>
      </c>
      <c r="AJ176" s="21">
        <v>166</v>
      </c>
      <c r="AK176" s="21">
        <v>0.735321</v>
      </c>
      <c r="AL176">
        <f t="shared" si="30"/>
        <v>17.523086419753085</v>
      </c>
      <c r="AM176">
        <f t="shared" si="31"/>
        <v>12.895782511975307</v>
      </c>
      <c r="AP176" s="9"/>
      <c r="AQ176" s="21">
        <v>0.90408299999999997</v>
      </c>
      <c r="AR176" s="21">
        <v>24.857500000000002</v>
      </c>
      <c r="AS176" s="21">
        <v>-1.42609E-2</v>
      </c>
      <c r="AT176" s="21">
        <v>166</v>
      </c>
      <c r="AU176" s="21">
        <v>0.90332000000000001</v>
      </c>
      <c r="AV176">
        <f t="shared" si="32"/>
        <v>17.606049382716048</v>
      </c>
      <c r="AW176">
        <f t="shared" si="33"/>
        <v>15.917329944074073</v>
      </c>
      <c r="AX176" s="9"/>
      <c r="AY176" s="21">
        <v>0.735931</v>
      </c>
      <c r="AZ176" s="21">
        <v>28.555900000000001</v>
      </c>
      <c r="BA176" s="21">
        <v>-1.42303E-2</v>
      </c>
      <c r="BB176" s="21">
        <v>166</v>
      </c>
      <c r="BC176" s="21">
        <v>0.73529100000000003</v>
      </c>
      <c r="BD176">
        <f t="shared" si="34"/>
        <v>17.568271604938271</v>
      </c>
      <c r="BE176">
        <f t="shared" si="35"/>
        <v>12.929035690493826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0.89904799999999996</v>
      </c>
      <c r="H177" s="21">
        <v>6.6901799999999998</v>
      </c>
      <c r="I177" s="21">
        <v>-1.4074700000000001E-2</v>
      </c>
      <c r="J177" s="21">
        <v>167</v>
      </c>
      <c r="K177" s="21">
        <v>0.89843799999999996</v>
      </c>
      <c r="L177">
        <f t="shared" si="24"/>
        <v>17.376172839506172</v>
      </c>
      <c r="M177">
        <f t="shared" si="25"/>
        <v>15.622013439012344</v>
      </c>
      <c r="N177" s="9"/>
      <c r="O177" s="21">
        <v>0.74096700000000004</v>
      </c>
      <c r="P177" s="21">
        <v>10.388500000000001</v>
      </c>
      <c r="Q177" s="21">
        <v>-1.4120499999999999E-2</v>
      </c>
      <c r="R177" s="21">
        <v>167</v>
      </c>
      <c r="S177" s="21">
        <v>0.74038700000000002</v>
      </c>
      <c r="T177">
        <f t="shared" si="26"/>
        <v>17.432716049382716</v>
      </c>
      <c r="U177">
        <f t="shared" si="27"/>
        <v>12.917067312962963</v>
      </c>
      <c r="X177" s="9"/>
      <c r="Y177" s="21">
        <v>0.89904799999999996</v>
      </c>
      <c r="Z177" s="21">
        <v>15.7554</v>
      </c>
      <c r="AA177" s="21">
        <v>-1.41663E-2</v>
      </c>
      <c r="AB177" s="21">
        <v>167</v>
      </c>
      <c r="AC177" s="21">
        <v>0.89813200000000004</v>
      </c>
      <c r="AD177">
        <f t="shared" si="28"/>
        <v>17.489259259259256</v>
      </c>
      <c r="AE177">
        <f t="shared" si="29"/>
        <v>15.723683558518514</v>
      </c>
      <c r="AF177" s="9"/>
      <c r="AG177" s="21">
        <v>0.74096700000000004</v>
      </c>
      <c r="AH177" s="21">
        <v>19.453700000000001</v>
      </c>
      <c r="AI177" s="21">
        <v>-1.4196800000000001E-2</v>
      </c>
      <c r="AJ177" s="21">
        <v>167</v>
      </c>
      <c r="AK177" s="21">
        <v>0.74029500000000004</v>
      </c>
      <c r="AL177">
        <f t="shared" si="30"/>
        <v>17.526913580246916</v>
      </c>
      <c r="AM177">
        <f t="shared" si="31"/>
        <v>12.986864574814817</v>
      </c>
      <c r="AP177" s="9"/>
      <c r="AQ177" s="21">
        <v>0.89904799999999996</v>
      </c>
      <c r="AR177" s="21">
        <v>24.867599999999999</v>
      </c>
      <c r="AS177" s="21">
        <v>-1.427E-2</v>
      </c>
      <c r="AT177" s="21">
        <v>167</v>
      </c>
      <c r="AU177" s="21">
        <v>0.89843799999999996</v>
      </c>
      <c r="AV177">
        <f t="shared" si="32"/>
        <v>17.617283950617285</v>
      </c>
      <c r="AW177">
        <f t="shared" si="33"/>
        <v>15.838783901234567</v>
      </c>
      <c r="AX177" s="9"/>
      <c r="AY177" s="21">
        <v>0.74096700000000004</v>
      </c>
      <c r="AZ177" s="21">
        <v>28.565999999999999</v>
      </c>
      <c r="BA177" s="21">
        <v>-1.42303E-2</v>
      </c>
      <c r="BB177" s="21">
        <v>167</v>
      </c>
      <c r="BC177" s="21">
        <v>0.74041699999999999</v>
      </c>
      <c r="BD177">
        <f t="shared" si="34"/>
        <v>17.568271604938271</v>
      </c>
      <c r="BE177">
        <f t="shared" si="35"/>
        <v>13.017509506296296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0.89401200000000003</v>
      </c>
      <c r="H178" s="21">
        <v>6.7002499999999996</v>
      </c>
      <c r="I178" s="21">
        <v>-1.40839E-2</v>
      </c>
      <c r="J178" s="21">
        <v>168</v>
      </c>
      <c r="K178" s="21">
        <v>0.89355499999999999</v>
      </c>
      <c r="L178">
        <f t="shared" si="24"/>
        <v>17.387530864197529</v>
      </c>
      <c r="M178">
        <f t="shared" si="25"/>
        <v>15.544661242962961</v>
      </c>
      <c r="N178" s="9"/>
      <c r="O178" s="21">
        <v>0.74600200000000005</v>
      </c>
      <c r="P178" s="21">
        <v>10.3986</v>
      </c>
      <c r="Q178" s="21">
        <v>-1.41266E-2</v>
      </c>
      <c r="R178" s="21">
        <v>168</v>
      </c>
      <c r="S178" s="21">
        <v>0.74536100000000005</v>
      </c>
      <c r="T178">
        <f t="shared" si="26"/>
        <v>17.440246913580246</v>
      </c>
      <c r="U178">
        <f t="shared" si="27"/>
        <v>13.010459078024692</v>
      </c>
      <c r="X178" s="9"/>
      <c r="Y178" s="21">
        <v>0.89401200000000003</v>
      </c>
      <c r="Z178" s="21">
        <v>15.765499999999999</v>
      </c>
      <c r="AA178" s="21">
        <v>-1.4163200000000001E-2</v>
      </c>
      <c r="AB178" s="21">
        <v>168</v>
      </c>
      <c r="AC178" s="21">
        <v>0.89324999999999999</v>
      </c>
      <c r="AD178">
        <f t="shared" si="28"/>
        <v>17.485432098765433</v>
      </c>
      <c r="AE178">
        <f t="shared" si="29"/>
        <v>15.632186121481482</v>
      </c>
      <c r="AF178" s="9"/>
      <c r="AG178" s="21">
        <v>0.74600200000000005</v>
      </c>
      <c r="AH178" s="21">
        <v>19.463799999999999</v>
      </c>
      <c r="AI178" s="21">
        <v>-1.41815E-2</v>
      </c>
      <c r="AJ178" s="21">
        <v>168</v>
      </c>
      <c r="AK178" s="21">
        <v>0.74539200000000005</v>
      </c>
      <c r="AL178">
        <f t="shared" si="30"/>
        <v>17.508024691358024</v>
      </c>
      <c r="AM178">
        <f t="shared" si="31"/>
        <v>13.06102143580247</v>
      </c>
      <c r="AP178" s="9"/>
      <c r="AQ178" s="21">
        <v>0.89401200000000003</v>
      </c>
      <c r="AR178" s="21">
        <v>24.877700000000001</v>
      </c>
      <c r="AS178" s="21">
        <v>-1.42548E-2</v>
      </c>
      <c r="AT178" s="21">
        <v>168</v>
      </c>
      <c r="AU178" s="21">
        <v>0.89294399999999996</v>
      </c>
      <c r="AV178">
        <f t="shared" si="32"/>
        <v>17.598518518518517</v>
      </c>
      <c r="AW178">
        <f t="shared" si="33"/>
        <v>15.733286737777778</v>
      </c>
      <c r="AX178" s="9"/>
      <c r="AY178" s="21">
        <v>0.74600200000000005</v>
      </c>
      <c r="AZ178" s="21">
        <v>28.576000000000001</v>
      </c>
      <c r="BA178" s="21">
        <v>-1.42273E-2</v>
      </c>
      <c r="BB178" s="21">
        <v>168</v>
      </c>
      <c r="BC178" s="21">
        <v>0.74542200000000003</v>
      </c>
      <c r="BD178">
        <f t="shared" si="34"/>
        <v>17.564567901234565</v>
      </c>
      <c r="BE178">
        <f t="shared" si="35"/>
        <v>13.103202783456789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0.88897700000000002</v>
      </c>
      <c r="H179" s="21">
        <v>6.7103200000000003</v>
      </c>
      <c r="I179" s="21">
        <v>-1.4071699999999999E-2</v>
      </c>
      <c r="J179" s="21">
        <v>169</v>
      </c>
      <c r="K179" s="21">
        <v>0.88836700000000002</v>
      </c>
      <c r="L179">
        <f t="shared" si="24"/>
        <v>17.372469135802469</v>
      </c>
      <c r="M179">
        <f t="shared" si="25"/>
        <v>15.443725494938271</v>
      </c>
      <c r="N179" s="9"/>
      <c r="O179" s="21">
        <v>0.75103799999999998</v>
      </c>
      <c r="P179" s="21">
        <v>10.4087</v>
      </c>
      <c r="Q179" s="21">
        <v>-1.4129600000000001E-2</v>
      </c>
      <c r="R179" s="21">
        <v>169</v>
      </c>
      <c r="S179" s="21">
        <v>0.75054900000000002</v>
      </c>
      <c r="T179">
        <f t="shared" si="26"/>
        <v>17.443950617283949</v>
      </c>
      <c r="U179">
        <f t="shared" si="27"/>
        <v>13.101069783703702</v>
      </c>
      <c r="X179" s="9"/>
      <c r="Y179" s="21">
        <v>0.88897700000000002</v>
      </c>
      <c r="Z179" s="21">
        <v>15.775499999999999</v>
      </c>
      <c r="AA179" s="21">
        <v>-1.4154099999999999E-2</v>
      </c>
      <c r="AB179" s="21">
        <v>169</v>
      </c>
      <c r="AC179" s="21">
        <v>0.88775599999999999</v>
      </c>
      <c r="AD179">
        <f t="shared" si="28"/>
        <v>17.474197530864195</v>
      </c>
      <c r="AE179">
        <f t="shared" si="29"/>
        <v>15.53415969839506</v>
      </c>
      <c r="AF179" s="9"/>
      <c r="AG179" s="21">
        <v>0.75103799999999998</v>
      </c>
      <c r="AH179" s="21">
        <v>19.4739</v>
      </c>
      <c r="AI179" s="21">
        <v>-1.41663E-2</v>
      </c>
      <c r="AJ179" s="21">
        <v>169</v>
      </c>
      <c r="AK179" s="21">
        <v>0.75036599999999998</v>
      </c>
      <c r="AL179">
        <f t="shared" si="30"/>
        <v>17.489259259259256</v>
      </c>
      <c r="AM179">
        <f t="shared" si="31"/>
        <v>13.135098295555553</v>
      </c>
      <c r="AP179" s="9"/>
      <c r="AQ179" s="21">
        <v>0.88897700000000002</v>
      </c>
      <c r="AR179" s="21">
        <v>24.887799999999999</v>
      </c>
      <c r="AS179" s="21">
        <v>-1.4245600000000001E-2</v>
      </c>
      <c r="AT179" s="21">
        <v>169</v>
      </c>
      <c r="AU179" s="21">
        <v>0.88775599999999999</v>
      </c>
      <c r="AV179">
        <f t="shared" si="32"/>
        <v>17.58716049382716</v>
      </c>
      <c r="AW179">
        <f t="shared" si="33"/>
        <v>15.634581174320987</v>
      </c>
      <c r="AX179" s="9"/>
      <c r="AY179" s="21">
        <v>0.75103799999999998</v>
      </c>
      <c r="AZ179" s="21">
        <v>28.586099999999998</v>
      </c>
      <c r="BA179" s="21">
        <v>-1.42303E-2</v>
      </c>
      <c r="BB179" s="21">
        <v>169</v>
      </c>
      <c r="BC179" s="21">
        <v>0.75042699999999996</v>
      </c>
      <c r="BD179">
        <f t="shared" si="34"/>
        <v>17.568271604938271</v>
      </c>
      <c r="BE179">
        <f t="shared" si="35"/>
        <v>13.19443956962963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0.88394200000000001</v>
      </c>
      <c r="H180" s="21">
        <v>6.7203900000000001</v>
      </c>
      <c r="I180" s="21">
        <v>-1.4080799999999999E-2</v>
      </c>
      <c r="J180" s="21">
        <v>170</v>
      </c>
      <c r="K180" s="21">
        <v>0.88348400000000005</v>
      </c>
      <c r="L180">
        <f t="shared" si="24"/>
        <v>17.383703703703702</v>
      </c>
      <c r="M180">
        <f t="shared" si="25"/>
        <v>15.366185819259258</v>
      </c>
      <c r="N180" s="9"/>
      <c r="O180" s="21">
        <v>0.756073</v>
      </c>
      <c r="P180" s="21">
        <v>10.418699999999999</v>
      </c>
      <c r="Q180" s="21">
        <v>-1.4123500000000001E-2</v>
      </c>
      <c r="R180" s="21">
        <v>170</v>
      </c>
      <c r="S180" s="21">
        <v>0.75500500000000004</v>
      </c>
      <c r="T180">
        <f t="shared" si="26"/>
        <v>17.436419753086419</v>
      </c>
      <c r="U180">
        <f t="shared" si="27"/>
        <v>13.183206191975309</v>
      </c>
      <c r="X180" s="9"/>
      <c r="Y180" s="21">
        <v>0.88394200000000001</v>
      </c>
      <c r="Z180" s="21">
        <v>15.785600000000001</v>
      </c>
      <c r="AA180" s="21">
        <v>-1.4154099999999999E-2</v>
      </c>
      <c r="AB180" s="21">
        <v>170</v>
      </c>
      <c r="AC180" s="21">
        <v>0.88317900000000005</v>
      </c>
      <c r="AD180">
        <f t="shared" si="28"/>
        <v>17.474197530864195</v>
      </c>
      <c r="AE180">
        <f t="shared" si="29"/>
        <v>15.446177113827158</v>
      </c>
      <c r="AF180" s="9"/>
      <c r="AG180" s="21">
        <v>0.756073</v>
      </c>
      <c r="AH180" s="21">
        <v>19.483899999999998</v>
      </c>
      <c r="AI180" s="21">
        <v>-1.4163200000000001E-2</v>
      </c>
      <c r="AJ180" s="21">
        <v>170</v>
      </c>
      <c r="AK180" s="21">
        <v>0.75531000000000004</v>
      </c>
      <c r="AL180">
        <f t="shared" si="30"/>
        <v>17.485432098765433</v>
      </c>
      <c r="AM180">
        <f t="shared" si="31"/>
        <v>13.220263103209877</v>
      </c>
      <c r="AP180" s="9"/>
      <c r="AQ180" s="21">
        <v>0.88394200000000001</v>
      </c>
      <c r="AR180" s="21">
        <v>24.8978</v>
      </c>
      <c r="AS180" s="21">
        <v>-1.42487E-2</v>
      </c>
      <c r="AT180" s="21">
        <v>170</v>
      </c>
      <c r="AU180" s="21">
        <v>0.88348400000000005</v>
      </c>
      <c r="AV180">
        <f t="shared" si="32"/>
        <v>17.590987654320987</v>
      </c>
      <c r="AW180">
        <f t="shared" si="33"/>
        <v>15.549412809135802</v>
      </c>
      <c r="AX180" s="9"/>
      <c r="AY180" s="21">
        <v>0.756073</v>
      </c>
      <c r="AZ180" s="21">
        <v>28.5962</v>
      </c>
      <c r="BA180" s="21">
        <v>-1.4224199999999999E-2</v>
      </c>
      <c r="BB180" s="21">
        <v>170</v>
      </c>
      <c r="BC180" s="21">
        <v>0.75531000000000004</v>
      </c>
      <c r="BD180">
        <f t="shared" si="34"/>
        <v>17.560740740740737</v>
      </c>
      <c r="BE180">
        <f t="shared" si="35"/>
        <v>13.277201934074071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0.87890599999999997</v>
      </c>
      <c r="H181" s="21">
        <v>6.7304599999999999</v>
      </c>
      <c r="I181" s="21">
        <v>-1.4093E-2</v>
      </c>
      <c r="J181" s="21">
        <v>171</v>
      </c>
      <c r="K181" s="21">
        <v>0.87799099999999997</v>
      </c>
      <c r="L181">
        <f t="shared" si="24"/>
        <v>17.398765432098763</v>
      </c>
      <c r="M181">
        <f t="shared" si="25"/>
        <v>15.291879330864194</v>
      </c>
      <c r="N181" s="9"/>
      <c r="O181" s="21">
        <v>0.76110800000000001</v>
      </c>
      <c r="P181" s="21">
        <v>10.428800000000001</v>
      </c>
      <c r="Q181" s="21">
        <v>-1.4123500000000001E-2</v>
      </c>
      <c r="R181" s="21">
        <v>171</v>
      </c>
      <c r="S181" s="21">
        <v>0.76019300000000001</v>
      </c>
      <c r="T181">
        <f t="shared" si="26"/>
        <v>17.436419753086419</v>
      </c>
      <c r="U181">
        <f t="shared" si="27"/>
        <v>13.270998565432098</v>
      </c>
      <c r="X181" s="9"/>
      <c r="Y181" s="21">
        <v>0.87890599999999997</v>
      </c>
      <c r="Z181" s="21">
        <v>15.7957</v>
      </c>
      <c r="AA181" s="21">
        <v>-1.41663E-2</v>
      </c>
      <c r="AB181" s="21">
        <v>171</v>
      </c>
      <c r="AC181" s="21">
        <v>0.87829599999999997</v>
      </c>
      <c r="AD181">
        <f t="shared" si="28"/>
        <v>17.489259259259256</v>
      </c>
      <c r="AE181">
        <f t="shared" si="29"/>
        <v>15.371414898518516</v>
      </c>
      <c r="AF181" s="9"/>
      <c r="AG181" s="21">
        <v>0.76110800000000001</v>
      </c>
      <c r="AH181" s="21">
        <v>19.494</v>
      </c>
      <c r="AI181" s="21">
        <v>-1.41663E-2</v>
      </c>
      <c r="AJ181" s="21">
        <v>171</v>
      </c>
      <c r="AK181" s="21">
        <v>0.76049800000000001</v>
      </c>
      <c r="AL181">
        <f t="shared" si="30"/>
        <v>17.489259259259256</v>
      </c>
      <c r="AM181">
        <f t="shared" si="31"/>
        <v>13.311215136296294</v>
      </c>
      <c r="AP181" s="9"/>
      <c r="AQ181" s="21">
        <v>0.87890599999999997</v>
      </c>
      <c r="AR181" s="21">
        <v>24.907900000000001</v>
      </c>
      <c r="AS181" s="21">
        <v>-1.42487E-2</v>
      </c>
      <c r="AT181" s="21">
        <v>171</v>
      </c>
      <c r="AU181" s="21">
        <v>0.87799099999999997</v>
      </c>
      <c r="AV181">
        <f t="shared" si="32"/>
        <v>17.590987654320987</v>
      </c>
      <c r="AW181">
        <f t="shared" si="33"/>
        <v>15.46082459530864</v>
      </c>
      <c r="AX181" s="9"/>
      <c r="AY181" s="21">
        <v>0.76110800000000001</v>
      </c>
      <c r="AZ181" s="21">
        <v>28.606200000000001</v>
      </c>
      <c r="BA181" s="21">
        <v>-1.4224199999999999E-2</v>
      </c>
      <c r="BB181" s="21">
        <v>171</v>
      </c>
      <c r="BC181" s="21">
        <v>0.76019300000000001</v>
      </c>
      <c r="BD181">
        <f t="shared" si="34"/>
        <v>17.560740740740737</v>
      </c>
      <c r="BE181">
        <f t="shared" si="35"/>
        <v>13.3656202637037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0.87387099999999995</v>
      </c>
      <c r="H182" s="21">
        <v>6.7405299999999997</v>
      </c>
      <c r="I182" s="21">
        <v>-1.40991E-2</v>
      </c>
      <c r="J182" s="21">
        <v>172</v>
      </c>
      <c r="K182" s="21">
        <v>0.872803</v>
      </c>
      <c r="L182">
        <f t="shared" si="24"/>
        <v>17.406296296296293</v>
      </c>
      <c r="M182">
        <f t="shared" si="25"/>
        <v>15.210857550740737</v>
      </c>
      <c r="N182" s="9"/>
      <c r="O182" s="21">
        <v>0.76614400000000005</v>
      </c>
      <c r="P182" s="21">
        <v>10.4389</v>
      </c>
      <c r="Q182" s="21">
        <v>-1.4135699999999999E-2</v>
      </c>
      <c r="R182" s="21">
        <v>172</v>
      </c>
      <c r="S182" s="21">
        <v>0.76538099999999998</v>
      </c>
      <c r="T182">
        <f t="shared" si="26"/>
        <v>17.45148148148148</v>
      </c>
      <c r="U182">
        <f t="shared" si="27"/>
        <v>13.370347828148148</v>
      </c>
      <c r="X182" s="9"/>
      <c r="Y182" s="21">
        <v>0.87387099999999995</v>
      </c>
      <c r="Z182" s="21">
        <v>15.8057</v>
      </c>
      <c r="AA182" s="21">
        <v>-1.4175399999999999E-2</v>
      </c>
      <c r="AB182" s="21">
        <v>172</v>
      </c>
      <c r="AC182" s="21">
        <v>0.873108</v>
      </c>
      <c r="AD182">
        <f t="shared" si="28"/>
        <v>17.500493827160494</v>
      </c>
      <c r="AE182">
        <f t="shared" si="29"/>
        <v>15.293174041234566</v>
      </c>
      <c r="AF182" s="9"/>
      <c r="AG182" s="21">
        <v>0.76614400000000005</v>
      </c>
      <c r="AH182" s="21">
        <v>19.504100000000001</v>
      </c>
      <c r="AI182" s="21">
        <v>-1.41663E-2</v>
      </c>
      <c r="AJ182" s="21">
        <v>172</v>
      </c>
      <c r="AK182" s="21">
        <v>0.76538099999999998</v>
      </c>
      <c r="AL182">
        <f t="shared" si="30"/>
        <v>17.489259259259256</v>
      </c>
      <c r="AM182">
        <f t="shared" si="31"/>
        <v>13.399291045925924</v>
      </c>
      <c r="AP182" s="9"/>
      <c r="AQ182" s="21">
        <v>0.87387099999999995</v>
      </c>
      <c r="AR182" s="21">
        <v>24.917999999999999</v>
      </c>
      <c r="AS182" s="21">
        <v>-1.4251700000000001E-2</v>
      </c>
      <c r="AT182" s="21">
        <v>172</v>
      </c>
      <c r="AU182" s="21">
        <v>0.873108</v>
      </c>
      <c r="AV182">
        <f t="shared" si="32"/>
        <v>17.594691358024694</v>
      </c>
      <c r="AW182">
        <f t="shared" si="33"/>
        <v>15.375490531728396</v>
      </c>
      <c r="AX182" s="9"/>
      <c r="AY182" s="21">
        <v>0.76614400000000005</v>
      </c>
      <c r="AZ182" s="21">
        <v>28.616299999999999</v>
      </c>
      <c r="BA182" s="21">
        <v>-1.42212E-2</v>
      </c>
      <c r="BB182" s="21">
        <v>172</v>
      </c>
      <c r="BC182" s="21">
        <v>0.76477099999999998</v>
      </c>
      <c r="BD182">
        <f t="shared" si="34"/>
        <v>17.557037037037034</v>
      </c>
      <c r="BE182">
        <f t="shared" si="35"/>
        <v>13.451218583703703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0.86883500000000002</v>
      </c>
      <c r="H183" s="21">
        <v>6.7506000000000004</v>
      </c>
      <c r="I183" s="21">
        <v>-1.40839E-2</v>
      </c>
      <c r="J183" s="21">
        <v>173</v>
      </c>
      <c r="K183" s="21">
        <v>0.86792000000000002</v>
      </c>
      <c r="L183">
        <f t="shared" si="24"/>
        <v>17.387530864197529</v>
      </c>
      <c r="M183">
        <f t="shared" si="25"/>
        <v>15.106895378395061</v>
      </c>
      <c r="N183" s="9"/>
      <c r="O183" s="21">
        <v>0.77117899999999995</v>
      </c>
      <c r="P183" s="21">
        <v>10.4489</v>
      </c>
      <c r="Q183" s="21">
        <v>-1.4120499999999999E-2</v>
      </c>
      <c r="R183" s="21">
        <v>173</v>
      </c>
      <c r="S183" s="21">
        <v>0.77026399999999995</v>
      </c>
      <c r="T183">
        <f t="shared" si="26"/>
        <v>17.432716049382716</v>
      </c>
      <c r="U183">
        <f t="shared" si="27"/>
        <v>13.443744530246912</v>
      </c>
      <c r="X183" s="9"/>
      <c r="Y183" s="21">
        <v>0.86883500000000002</v>
      </c>
      <c r="Z183" s="21">
        <v>15.815799999999999</v>
      </c>
      <c r="AA183" s="21">
        <v>-1.41876E-2</v>
      </c>
      <c r="AB183" s="21">
        <v>173</v>
      </c>
      <c r="AC183" s="21">
        <v>0.86822500000000002</v>
      </c>
      <c r="AD183">
        <f t="shared" si="28"/>
        <v>17.515555555555554</v>
      </c>
      <c r="AE183">
        <f t="shared" si="29"/>
        <v>15.21812771111111</v>
      </c>
      <c r="AF183" s="9"/>
      <c r="AG183" s="21">
        <v>0.77117899999999995</v>
      </c>
      <c r="AH183" s="21">
        <v>19.514199999999999</v>
      </c>
      <c r="AI183" s="21">
        <v>-1.41724E-2</v>
      </c>
      <c r="AJ183" s="21">
        <v>173</v>
      </c>
      <c r="AK183" s="21">
        <v>0.77056899999999995</v>
      </c>
      <c r="AL183">
        <f t="shared" si="30"/>
        <v>17.496790123456787</v>
      </c>
      <c r="AM183">
        <f t="shared" si="31"/>
        <v>13.493157110617281</v>
      </c>
      <c r="AP183" s="9"/>
      <c r="AQ183" s="21">
        <v>0.86883500000000002</v>
      </c>
      <c r="AR183" s="21">
        <v>24.928000000000001</v>
      </c>
      <c r="AS183" s="21">
        <v>-1.4257799999999999E-2</v>
      </c>
      <c r="AT183" s="21">
        <v>173</v>
      </c>
      <c r="AU183" s="21">
        <v>0.86822500000000002</v>
      </c>
      <c r="AV183">
        <f t="shared" si="32"/>
        <v>17.60222222222222</v>
      </c>
      <c r="AW183">
        <f t="shared" si="33"/>
        <v>15.293426744444444</v>
      </c>
      <c r="AX183" s="9"/>
      <c r="AY183" s="21">
        <v>0.77117899999999995</v>
      </c>
      <c r="AZ183" s="21">
        <v>28.6264</v>
      </c>
      <c r="BA183" s="21">
        <v>-1.4218099999999999E-2</v>
      </c>
      <c r="BB183" s="21">
        <v>173</v>
      </c>
      <c r="BC183" s="21">
        <v>0.77087399999999995</v>
      </c>
      <c r="BD183">
        <f t="shared" si="34"/>
        <v>17.553209876543207</v>
      </c>
      <c r="BE183">
        <f t="shared" si="35"/>
        <v>13.536666839382713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0.86380000000000001</v>
      </c>
      <c r="H184" s="21">
        <v>6.7606799999999998</v>
      </c>
      <c r="I184" s="21">
        <v>-1.40839E-2</v>
      </c>
      <c r="J184" s="21">
        <v>174</v>
      </c>
      <c r="K184" s="21">
        <v>0.86242700000000005</v>
      </c>
      <c r="L184">
        <f t="shared" si="24"/>
        <v>17.387530864197529</v>
      </c>
      <c r="M184">
        <f t="shared" si="25"/>
        <v>15.019349160493826</v>
      </c>
      <c r="N184" s="9"/>
      <c r="O184" s="21">
        <v>0.77621499999999999</v>
      </c>
      <c r="P184" s="21">
        <v>10.459</v>
      </c>
      <c r="Q184" s="21">
        <v>-1.41113E-2</v>
      </c>
      <c r="R184" s="21">
        <v>174</v>
      </c>
      <c r="S184" s="21">
        <v>0.77545200000000003</v>
      </c>
      <c r="T184">
        <f t="shared" si="26"/>
        <v>17.421358024691358</v>
      </c>
      <c r="U184">
        <f t="shared" si="27"/>
        <v>13.522719419135802</v>
      </c>
      <c r="X184" s="9"/>
      <c r="Y184" s="21">
        <v>0.86380000000000001</v>
      </c>
      <c r="Z184" s="21">
        <v>15.825900000000001</v>
      </c>
      <c r="AA184" s="21">
        <v>-1.4190700000000001E-2</v>
      </c>
      <c r="AB184" s="21">
        <v>174</v>
      </c>
      <c r="AC184" s="21">
        <v>0.86303700000000005</v>
      </c>
      <c r="AD184">
        <f t="shared" si="28"/>
        <v>17.519382716049382</v>
      </c>
      <c r="AE184">
        <f t="shared" si="29"/>
        <v>15.133242790123456</v>
      </c>
      <c r="AF184" s="9"/>
      <c r="AG184" s="21">
        <v>0.77621499999999999</v>
      </c>
      <c r="AH184" s="21">
        <v>19.5242</v>
      </c>
      <c r="AI184" s="21">
        <v>-1.4175399999999999E-2</v>
      </c>
      <c r="AJ184" s="21">
        <v>174</v>
      </c>
      <c r="AK184" s="21">
        <v>0.77545200000000003</v>
      </c>
      <c r="AL184">
        <f t="shared" si="30"/>
        <v>17.500493827160494</v>
      </c>
      <c r="AM184">
        <f t="shared" si="31"/>
        <v>13.584145816049382</v>
      </c>
      <c r="AP184" s="9"/>
      <c r="AQ184" s="21">
        <v>0.86380000000000001</v>
      </c>
      <c r="AR184" s="21">
        <v>24.938099999999999</v>
      </c>
      <c r="AS184" s="21">
        <v>-1.42731E-2</v>
      </c>
      <c r="AT184" s="21">
        <v>174</v>
      </c>
      <c r="AU184" s="21">
        <v>0.86273200000000005</v>
      </c>
      <c r="AV184">
        <f t="shared" si="32"/>
        <v>17.621111111111112</v>
      </c>
      <c r="AW184">
        <f t="shared" si="33"/>
        <v>15.221115777777779</v>
      </c>
      <c r="AX184" s="9"/>
      <c r="AY184" s="21">
        <v>0.77621499999999999</v>
      </c>
      <c r="AZ184" s="21">
        <v>28.636399999999998</v>
      </c>
      <c r="BA184" s="21">
        <v>-1.42151E-2</v>
      </c>
      <c r="BB184" s="21">
        <v>174</v>
      </c>
      <c r="BC184" s="21">
        <v>0.77606200000000003</v>
      </c>
      <c r="BD184">
        <f t="shared" si="34"/>
        <v>17.549506172839507</v>
      </c>
      <c r="BE184">
        <f t="shared" si="35"/>
        <v>13.622189933950619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0.858765</v>
      </c>
      <c r="H185" s="21">
        <v>6.7707499999999996</v>
      </c>
      <c r="I185" s="21">
        <v>-1.4080799999999999E-2</v>
      </c>
      <c r="J185" s="21">
        <v>175</v>
      </c>
      <c r="K185" s="21">
        <v>0.85845899999999997</v>
      </c>
      <c r="L185">
        <f t="shared" si="24"/>
        <v>17.383703703703702</v>
      </c>
      <c r="M185">
        <f t="shared" si="25"/>
        <v>14.92851631111111</v>
      </c>
      <c r="N185" s="9"/>
      <c r="O185" s="21">
        <v>0.78125</v>
      </c>
      <c r="P185" s="21">
        <v>10.469099999999999</v>
      </c>
      <c r="Q185" s="21">
        <v>-1.4108300000000001E-2</v>
      </c>
      <c r="R185" s="21">
        <v>175</v>
      </c>
      <c r="S185" s="21">
        <v>0.78064</v>
      </c>
      <c r="T185">
        <f t="shared" si="26"/>
        <v>17.417654320987655</v>
      </c>
      <c r="U185">
        <f t="shared" si="27"/>
        <v>13.607542438271606</v>
      </c>
      <c r="X185" s="9"/>
      <c r="Y185" s="21">
        <v>0.858765</v>
      </c>
      <c r="Z185" s="21">
        <v>15.836</v>
      </c>
      <c r="AA185" s="21">
        <v>-1.4190700000000001E-2</v>
      </c>
      <c r="AB185" s="21">
        <v>175</v>
      </c>
      <c r="AC185" s="21">
        <v>0.85815399999999997</v>
      </c>
      <c r="AD185">
        <f t="shared" si="28"/>
        <v>17.519382716049382</v>
      </c>
      <c r="AE185">
        <f t="shared" si="29"/>
        <v>15.045032698148148</v>
      </c>
      <c r="AF185" s="9"/>
      <c r="AG185" s="21">
        <v>0.78125</v>
      </c>
      <c r="AH185" s="21">
        <v>19.534300000000002</v>
      </c>
      <c r="AI185" s="21">
        <v>-1.41602E-2</v>
      </c>
      <c r="AJ185" s="21">
        <v>175</v>
      </c>
      <c r="AK185" s="21">
        <v>0.78033399999999997</v>
      </c>
      <c r="AL185">
        <f t="shared" si="30"/>
        <v>17.481728395061729</v>
      </c>
      <c r="AM185">
        <f t="shared" si="31"/>
        <v>13.657600308641976</v>
      </c>
      <c r="AP185" s="9"/>
      <c r="AQ185" s="21">
        <v>0.858765</v>
      </c>
      <c r="AR185" s="21">
        <v>24.9482</v>
      </c>
      <c r="AS185" s="21">
        <v>-1.427E-2</v>
      </c>
      <c r="AT185" s="21">
        <v>175</v>
      </c>
      <c r="AU185" s="21">
        <v>0.85784899999999997</v>
      </c>
      <c r="AV185">
        <f t="shared" si="32"/>
        <v>17.617283950617285</v>
      </c>
      <c r="AW185">
        <f t="shared" si="33"/>
        <v>15.129106851851853</v>
      </c>
      <c r="AX185" s="9"/>
      <c r="AY185" s="21">
        <v>0.78125</v>
      </c>
      <c r="AZ185" s="21">
        <v>28.6465</v>
      </c>
      <c r="BA185" s="21">
        <v>-1.4196800000000001E-2</v>
      </c>
      <c r="BB185" s="21">
        <v>175</v>
      </c>
      <c r="BC185" s="21">
        <v>0.78064</v>
      </c>
      <c r="BD185">
        <f t="shared" si="34"/>
        <v>17.526913580246916</v>
      </c>
      <c r="BE185">
        <f t="shared" si="35"/>
        <v>13.692901234567904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0.85372899999999996</v>
      </c>
      <c r="H186" s="21">
        <v>6.7808200000000003</v>
      </c>
      <c r="I186" s="21">
        <v>-1.4080799999999999E-2</v>
      </c>
      <c r="J186" s="21">
        <v>176</v>
      </c>
      <c r="K186" s="21">
        <v>0.853271</v>
      </c>
      <c r="L186">
        <f t="shared" si="24"/>
        <v>17.383703703703702</v>
      </c>
      <c r="M186">
        <f t="shared" si="25"/>
        <v>14.840971979259256</v>
      </c>
      <c r="N186" s="9"/>
      <c r="O186" s="21">
        <v>0.78628500000000001</v>
      </c>
      <c r="P186" s="21">
        <v>10.479200000000001</v>
      </c>
      <c r="Q186" s="21">
        <v>-1.4108300000000001E-2</v>
      </c>
      <c r="R186" s="21">
        <v>176</v>
      </c>
      <c r="S186" s="21">
        <v>0.78582799999999997</v>
      </c>
      <c r="T186">
        <f t="shared" si="26"/>
        <v>17.417654320987655</v>
      </c>
      <c r="U186">
        <f t="shared" si="27"/>
        <v>13.695240327777778</v>
      </c>
      <c r="X186" s="9"/>
      <c r="Y186" s="21">
        <v>0.85372899999999996</v>
      </c>
      <c r="Z186" s="21">
        <v>15.846</v>
      </c>
      <c r="AA186" s="21">
        <v>-1.41846E-2</v>
      </c>
      <c r="AB186" s="21">
        <v>176</v>
      </c>
      <c r="AC186" s="21">
        <v>0.852661</v>
      </c>
      <c r="AD186">
        <f t="shared" si="28"/>
        <v>17.511851851851851</v>
      </c>
      <c r="AE186">
        <f t="shared" si="29"/>
        <v>14.950375769629629</v>
      </c>
      <c r="AF186" s="9"/>
      <c r="AG186" s="21">
        <v>0.78628500000000001</v>
      </c>
      <c r="AH186" s="21">
        <v>19.5444</v>
      </c>
      <c r="AI186" s="21">
        <v>-1.41388E-2</v>
      </c>
      <c r="AJ186" s="21">
        <v>176</v>
      </c>
      <c r="AK186" s="21">
        <v>0.78521700000000005</v>
      </c>
      <c r="AL186">
        <f t="shared" si="30"/>
        <v>17.455308641975307</v>
      </c>
      <c r="AM186">
        <f t="shared" si="31"/>
        <v>13.724847355555555</v>
      </c>
      <c r="AP186" s="9"/>
      <c r="AQ186" s="21">
        <v>0.85372899999999996</v>
      </c>
      <c r="AR186" s="21">
        <v>24.958300000000001</v>
      </c>
      <c r="AS186" s="21">
        <v>-1.4263899999999999E-2</v>
      </c>
      <c r="AT186" s="21">
        <v>176</v>
      </c>
      <c r="AU186" s="21">
        <v>0.852966</v>
      </c>
      <c r="AV186">
        <f t="shared" si="32"/>
        <v>17.609753086419751</v>
      </c>
      <c r="AW186">
        <f t="shared" si="33"/>
        <v>15.033956892716047</v>
      </c>
      <c r="AX186" s="9"/>
      <c r="AY186" s="21">
        <v>0.78628500000000001</v>
      </c>
      <c r="AZ186" s="21">
        <v>28.656600000000001</v>
      </c>
      <c r="BA186" s="21">
        <v>-1.41815E-2</v>
      </c>
      <c r="BB186" s="21">
        <v>176</v>
      </c>
      <c r="BC186" s="21">
        <v>0.78552200000000005</v>
      </c>
      <c r="BD186">
        <f t="shared" si="34"/>
        <v>17.508024691358024</v>
      </c>
      <c r="BE186">
        <f t="shared" si="35"/>
        <v>13.766297194444444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0.84869399999999995</v>
      </c>
      <c r="H187" s="21">
        <v>6.7908900000000001</v>
      </c>
      <c r="I187" s="21">
        <v>-1.4086899999999999E-2</v>
      </c>
      <c r="J187" s="21">
        <v>177</v>
      </c>
      <c r="K187" s="21">
        <v>0.84808300000000003</v>
      </c>
      <c r="L187">
        <f t="shared" si="24"/>
        <v>17.391234567901233</v>
      </c>
      <c r="M187">
        <f t="shared" si="25"/>
        <v>14.759836430370369</v>
      </c>
      <c r="N187" s="9"/>
      <c r="O187" s="21">
        <v>0.79132100000000005</v>
      </c>
      <c r="P187" s="21">
        <v>10.4892</v>
      </c>
      <c r="Q187" s="21">
        <v>-1.41174E-2</v>
      </c>
      <c r="R187" s="21">
        <v>177</v>
      </c>
      <c r="S187" s="21">
        <v>0.79132100000000005</v>
      </c>
      <c r="T187">
        <f t="shared" si="26"/>
        <v>17.428888888888888</v>
      </c>
      <c r="U187">
        <f t="shared" si="27"/>
        <v>13.791845784444446</v>
      </c>
      <c r="X187" s="9"/>
      <c r="Y187" s="21">
        <v>0.84869399999999995</v>
      </c>
      <c r="Z187" s="21">
        <v>15.8561</v>
      </c>
      <c r="AA187" s="21">
        <v>-1.41724E-2</v>
      </c>
      <c r="AB187" s="21">
        <v>177</v>
      </c>
      <c r="AC187" s="21">
        <v>0.84777800000000003</v>
      </c>
      <c r="AD187">
        <f t="shared" si="28"/>
        <v>17.496790123456787</v>
      </c>
      <c r="AE187">
        <f t="shared" si="29"/>
        <v>14.849420797037034</v>
      </c>
      <c r="AF187" s="9"/>
      <c r="AG187" s="21">
        <v>0.79132100000000005</v>
      </c>
      <c r="AH187" s="21">
        <v>19.554400000000001</v>
      </c>
      <c r="AI187" s="21">
        <v>-1.41418E-2</v>
      </c>
      <c r="AJ187" s="21">
        <v>177</v>
      </c>
      <c r="AK187" s="21">
        <v>0.78979500000000002</v>
      </c>
      <c r="AL187">
        <f t="shared" si="30"/>
        <v>17.45901234567901</v>
      </c>
      <c r="AM187">
        <f t="shared" si="31"/>
        <v>13.815683108395062</v>
      </c>
      <c r="AP187" s="9"/>
      <c r="AQ187" s="21">
        <v>0.84869399999999995</v>
      </c>
      <c r="AR187" s="21">
        <v>24.968299999999999</v>
      </c>
      <c r="AS187" s="21">
        <v>-1.4267E-2</v>
      </c>
      <c r="AT187" s="21">
        <v>177</v>
      </c>
      <c r="AU187" s="21">
        <v>0.84777800000000003</v>
      </c>
      <c r="AV187">
        <f t="shared" si="32"/>
        <v>17.613580246913582</v>
      </c>
      <c r="AW187">
        <f t="shared" si="33"/>
        <v>14.948539874074074</v>
      </c>
      <c r="AX187" s="9"/>
      <c r="AY187" s="21">
        <v>0.79132100000000005</v>
      </c>
      <c r="AZ187" s="21">
        <v>28.666699999999999</v>
      </c>
      <c r="BA187" s="21">
        <v>-1.4169299999999999E-2</v>
      </c>
      <c r="BB187" s="21">
        <v>177</v>
      </c>
      <c r="BC187" s="21">
        <v>0.79040500000000002</v>
      </c>
      <c r="BD187">
        <f t="shared" si="34"/>
        <v>17.492962962962959</v>
      </c>
      <c r="BE187">
        <f t="shared" si="35"/>
        <v>13.842548944814814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0.84365800000000002</v>
      </c>
      <c r="H188" s="21">
        <v>6.8009599999999999</v>
      </c>
      <c r="I188" s="21">
        <v>-1.409E-2</v>
      </c>
      <c r="J188" s="21">
        <v>178</v>
      </c>
      <c r="K188" s="21">
        <v>0.84320099999999998</v>
      </c>
      <c r="L188">
        <f t="shared" si="24"/>
        <v>17.39506172839506</v>
      </c>
      <c r="M188">
        <f t="shared" si="25"/>
        <v>14.67548298765432</v>
      </c>
      <c r="N188" s="9"/>
      <c r="O188" s="21">
        <v>0.79635599999999995</v>
      </c>
      <c r="P188" s="21">
        <v>10.4993</v>
      </c>
      <c r="Q188" s="21">
        <v>-1.4120499999999999E-2</v>
      </c>
      <c r="R188" s="21">
        <v>178</v>
      </c>
      <c r="S188" s="21">
        <v>0.79559299999999999</v>
      </c>
      <c r="T188">
        <f t="shared" si="26"/>
        <v>17.432716049382716</v>
      </c>
      <c r="U188">
        <f t="shared" si="27"/>
        <v>13.882648022222222</v>
      </c>
      <c r="X188" s="9"/>
      <c r="Y188" s="21">
        <v>0.84365800000000002</v>
      </c>
      <c r="Z188" s="21">
        <v>15.866199999999999</v>
      </c>
      <c r="AA188" s="21">
        <v>-1.41663E-2</v>
      </c>
      <c r="AB188" s="21">
        <v>178</v>
      </c>
      <c r="AC188" s="21">
        <v>0.84258999999999995</v>
      </c>
      <c r="AD188">
        <f t="shared" si="28"/>
        <v>17.489259259259256</v>
      </c>
      <c r="AE188">
        <f t="shared" si="29"/>
        <v>14.754953488148146</v>
      </c>
      <c r="AF188" s="9"/>
      <c r="AG188" s="21">
        <v>0.79635599999999995</v>
      </c>
      <c r="AH188" s="21">
        <v>19.564499999999999</v>
      </c>
      <c r="AI188" s="21">
        <v>-1.41449E-2</v>
      </c>
      <c r="AJ188" s="21">
        <v>178</v>
      </c>
      <c r="AK188" s="21">
        <v>0.79559299999999999</v>
      </c>
      <c r="AL188">
        <f t="shared" si="30"/>
        <v>17.462839506172838</v>
      </c>
      <c r="AM188">
        <f t="shared" si="31"/>
        <v>13.906637017777776</v>
      </c>
      <c r="AP188" s="9"/>
      <c r="AQ188" s="21">
        <v>0.84365800000000002</v>
      </c>
      <c r="AR188" s="21">
        <v>24.978400000000001</v>
      </c>
      <c r="AS188" s="21">
        <v>-1.42822E-2</v>
      </c>
      <c r="AT188" s="21">
        <v>178</v>
      </c>
      <c r="AU188" s="21">
        <v>0.84289599999999998</v>
      </c>
      <c r="AV188">
        <f t="shared" si="32"/>
        <v>17.632345679012342</v>
      </c>
      <c r="AW188">
        <f t="shared" si="33"/>
        <v>14.875669490864196</v>
      </c>
      <c r="AX188" s="9"/>
      <c r="AY188" s="21">
        <v>0.79635599999999995</v>
      </c>
      <c r="AZ188" s="21">
        <v>28.6767</v>
      </c>
      <c r="BA188" s="21">
        <v>-1.4154099999999999E-2</v>
      </c>
      <c r="BB188" s="21">
        <v>178</v>
      </c>
      <c r="BC188" s="21">
        <v>0.79559299999999999</v>
      </c>
      <c r="BD188">
        <f t="shared" si="34"/>
        <v>17.474197530864195</v>
      </c>
      <c r="BE188">
        <f t="shared" si="35"/>
        <v>13.915682048888886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0.83862300000000001</v>
      </c>
      <c r="H189" s="21">
        <v>6.8110299999999997</v>
      </c>
      <c r="I189" s="21">
        <v>-1.40961E-2</v>
      </c>
      <c r="J189" s="21">
        <v>179</v>
      </c>
      <c r="K189" s="21">
        <v>0.83831800000000001</v>
      </c>
      <c r="L189">
        <f t="shared" si="24"/>
        <v>17.40259259259259</v>
      </c>
      <c r="M189">
        <f t="shared" si="25"/>
        <v>14.594214407777777</v>
      </c>
      <c r="N189" s="9"/>
      <c r="O189" s="21">
        <v>0.80139199999999999</v>
      </c>
      <c r="P189" s="21">
        <v>10.509399999999999</v>
      </c>
      <c r="Q189" s="21">
        <v>-1.4129600000000001E-2</v>
      </c>
      <c r="R189" s="21">
        <v>179</v>
      </c>
      <c r="S189" s="21">
        <v>0.80078099999999997</v>
      </c>
      <c r="T189">
        <f t="shared" si="26"/>
        <v>17.443950617283949</v>
      </c>
      <c r="U189">
        <f t="shared" si="27"/>
        <v>13.979442473086419</v>
      </c>
      <c r="X189" s="9"/>
      <c r="Y189" s="21">
        <v>0.83862300000000001</v>
      </c>
      <c r="Z189" s="21">
        <v>15.876200000000001</v>
      </c>
      <c r="AA189" s="21">
        <v>-1.4175399999999999E-2</v>
      </c>
      <c r="AB189" s="21">
        <v>179</v>
      </c>
      <c r="AC189" s="21">
        <v>0.83831800000000001</v>
      </c>
      <c r="AD189">
        <f t="shared" si="28"/>
        <v>17.500493827160494</v>
      </c>
      <c r="AE189">
        <f t="shared" si="29"/>
        <v>14.676316634814814</v>
      </c>
      <c r="AF189" s="9"/>
      <c r="AG189" s="21">
        <v>0.80139199999999999</v>
      </c>
      <c r="AH189" s="21">
        <v>19.5746</v>
      </c>
      <c r="AI189" s="21">
        <v>-1.41449E-2</v>
      </c>
      <c r="AJ189" s="21">
        <v>179</v>
      </c>
      <c r="AK189" s="21">
        <v>0.80047599999999997</v>
      </c>
      <c r="AL189">
        <f t="shared" si="30"/>
        <v>17.462839506172838</v>
      </c>
      <c r="AM189">
        <f t="shared" si="31"/>
        <v>13.994579877530862</v>
      </c>
      <c r="AP189" s="9"/>
      <c r="AQ189" s="21">
        <v>0.83862300000000001</v>
      </c>
      <c r="AR189" s="21">
        <v>24.988499999999998</v>
      </c>
      <c r="AS189" s="21">
        <v>-1.4306599999999999E-2</v>
      </c>
      <c r="AT189" s="21">
        <v>179</v>
      </c>
      <c r="AU189" s="21">
        <v>0.83770800000000001</v>
      </c>
      <c r="AV189">
        <f t="shared" si="32"/>
        <v>17.662469135802468</v>
      </c>
      <c r="AW189">
        <f t="shared" si="33"/>
        <v>14.812152854074073</v>
      </c>
      <c r="AX189" s="9"/>
      <c r="AY189" s="21">
        <v>0.80139199999999999</v>
      </c>
      <c r="AZ189" s="21">
        <v>28.686800000000002</v>
      </c>
      <c r="BA189" s="21">
        <v>-1.41602E-2</v>
      </c>
      <c r="BB189" s="21">
        <v>179</v>
      </c>
      <c r="BC189" s="21">
        <v>0.80047599999999997</v>
      </c>
      <c r="BD189">
        <f t="shared" si="34"/>
        <v>17.481728395061729</v>
      </c>
      <c r="BE189">
        <f t="shared" si="35"/>
        <v>14.009717281975309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0.833588</v>
      </c>
      <c r="H190" s="21">
        <v>6.8211000000000004</v>
      </c>
      <c r="I190" s="21">
        <v>-1.41022E-2</v>
      </c>
      <c r="J190" s="21">
        <v>180</v>
      </c>
      <c r="K190" s="21">
        <v>0.83282500000000004</v>
      </c>
      <c r="L190">
        <f t="shared" si="24"/>
        <v>17.410123456790124</v>
      </c>
      <c r="M190">
        <f t="shared" si="25"/>
        <v>14.512869992098766</v>
      </c>
      <c r="N190" s="9"/>
      <c r="O190" s="21">
        <v>0.806427</v>
      </c>
      <c r="P190" s="21">
        <v>10.519399999999999</v>
      </c>
      <c r="Q190" s="21">
        <v>-1.4129600000000001E-2</v>
      </c>
      <c r="R190" s="21">
        <v>180</v>
      </c>
      <c r="S190" s="21">
        <v>0.80596900000000005</v>
      </c>
      <c r="T190">
        <f t="shared" si="26"/>
        <v>17.443950617283949</v>
      </c>
      <c r="U190">
        <f t="shared" si="27"/>
        <v>14.067272764444443</v>
      </c>
      <c r="X190" s="9"/>
      <c r="Y190" s="21">
        <v>0.833588</v>
      </c>
      <c r="Z190" s="21">
        <v>15.8863</v>
      </c>
      <c r="AA190" s="21">
        <v>-1.41815E-2</v>
      </c>
      <c r="AB190" s="21">
        <v>180</v>
      </c>
      <c r="AC190" s="21">
        <v>0.83282500000000004</v>
      </c>
      <c r="AD190">
        <f t="shared" si="28"/>
        <v>17.508024691358024</v>
      </c>
      <c r="AE190">
        <f t="shared" si="29"/>
        <v>14.594479286419752</v>
      </c>
      <c r="AF190" s="9"/>
      <c r="AG190" s="21">
        <v>0.806427</v>
      </c>
      <c r="AH190" s="21">
        <v>19.584700000000002</v>
      </c>
      <c r="AI190" s="21">
        <v>-1.4151E-2</v>
      </c>
      <c r="AJ190" s="21">
        <v>180</v>
      </c>
      <c r="AK190" s="21">
        <v>0.80566400000000005</v>
      </c>
      <c r="AL190">
        <f t="shared" si="30"/>
        <v>17.470370370370368</v>
      </c>
      <c r="AM190">
        <f t="shared" si="31"/>
        <v>14.088578366666665</v>
      </c>
      <c r="AP190" s="9"/>
      <c r="AQ190" s="21">
        <v>0.833588</v>
      </c>
      <c r="AR190" s="21">
        <v>24.9985</v>
      </c>
      <c r="AS190" s="21">
        <v>-1.43097E-2</v>
      </c>
      <c r="AT190" s="21">
        <v>180</v>
      </c>
      <c r="AU190" s="21">
        <v>0.83282500000000004</v>
      </c>
      <c r="AV190">
        <f t="shared" si="32"/>
        <v>17.666296296296295</v>
      </c>
      <c r="AW190">
        <f t="shared" si="33"/>
        <v>14.726412597037037</v>
      </c>
      <c r="AX190" s="9"/>
      <c r="AY190" s="21">
        <v>0.806427</v>
      </c>
      <c r="AZ190" s="21">
        <v>28.696899999999999</v>
      </c>
      <c r="BA190" s="21">
        <v>-1.4169299999999999E-2</v>
      </c>
      <c r="BB190" s="21">
        <v>180</v>
      </c>
      <c r="BC190" s="21">
        <v>0.80596900000000005</v>
      </c>
      <c r="BD190">
        <f t="shared" si="34"/>
        <v>17.492962962962959</v>
      </c>
      <c r="BE190">
        <f t="shared" si="35"/>
        <v>14.10679764333333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0.82855199999999996</v>
      </c>
      <c r="H191" s="21">
        <v>6.8311700000000002</v>
      </c>
      <c r="I191" s="21">
        <v>-1.40991E-2</v>
      </c>
      <c r="J191" s="21">
        <v>181</v>
      </c>
      <c r="K191" s="21">
        <v>0.82763699999999996</v>
      </c>
      <c r="L191">
        <f t="shared" si="24"/>
        <v>17.406296296296293</v>
      </c>
      <c r="M191">
        <f t="shared" si="25"/>
        <v>14.422021608888885</v>
      </c>
      <c r="N191" s="9"/>
      <c r="O191" s="21">
        <v>0.81146200000000002</v>
      </c>
      <c r="P191" s="21">
        <v>10.529500000000001</v>
      </c>
      <c r="Q191" s="21">
        <v>-1.4120499999999999E-2</v>
      </c>
      <c r="R191" s="21">
        <v>181</v>
      </c>
      <c r="S191" s="21">
        <v>0.81085200000000002</v>
      </c>
      <c r="T191">
        <f t="shared" si="26"/>
        <v>17.432716049382716</v>
      </c>
      <c r="U191">
        <f t="shared" si="27"/>
        <v>14.145986630864197</v>
      </c>
      <c r="X191" s="9"/>
      <c r="Y191" s="21">
        <v>0.82855199999999996</v>
      </c>
      <c r="Z191" s="21">
        <v>15.8964</v>
      </c>
      <c r="AA191" s="21">
        <v>-1.41876E-2</v>
      </c>
      <c r="AB191" s="21">
        <v>181</v>
      </c>
      <c r="AC191" s="21">
        <v>0.82733199999999996</v>
      </c>
      <c r="AD191">
        <f t="shared" si="28"/>
        <v>17.515555555555554</v>
      </c>
      <c r="AE191">
        <f t="shared" si="29"/>
        <v>14.512548586666664</v>
      </c>
      <c r="AF191" s="9"/>
      <c r="AG191" s="21">
        <v>0.81146200000000002</v>
      </c>
      <c r="AH191" s="21">
        <v>19.5947</v>
      </c>
      <c r="AI191" s="21">
        <v>-1.4151E-2</v>
      </c>
      <c r="AJ191" s="21">
        <v>181</v>
      </c>
      <c r="AK191" s="21">
        <v>0.81054700000000002</v>
      </c>
      <c r="AL191">
        <f t="shared" si="30"/>
        <v>17.470370370370368</v>
      </c>
      <c r="AM191">
        <f t="shared" si="31"/>
        <v>14.17654168148148</v>
      </c>
      <c r="AP191" s="9"/>
      <c r="AQ191" s="21">
        <v>0.82855199999999996</v>
      </c>
      <c r="AR191" s="21">
        <v>25.008600000000001</v>
      </c>
      <c r="AS191" s="21">
        <v>-1.43097E-2</v>
      </c>
      <c r="AT191" s="21">
        <v>181</v>
      </c>
      <c r="AU191" s="21">
        <v>0.82794199999999996</v>
      </c>
      <c r="AV191">
        <f t="shared" si="32"/>
        <v>17.666296296296295</v>
      </c>
      <c r="AW191">
        <f t="shared" si="33"/>
        <v>14.637445128888887</v>
      </c>
      <c r="AX191" s="9"/>
      <c r="AY191" s="21">
        <v>0.81146200000000002</v>
      </c>
      <c r="AZ191" s="21">
        <v>28.706900000000001</v>
      </c>
      <c r="BA191" s="21">
        <v>-1.41846E-2</v>
      </c>
      <c r="BB191" s="21">
        <v>181</v>
      </c>
      <c r="BC191" s="21">
        <v>0.81024200000000002</v>
      </c>
      <c r="BD191">
        <f t="shared" si="34"/>
        <v>17.511851851851851</v>
      </c>
      <c r="BE191">
        <f t="shared" si="35"/>
        <v>14.210202327407407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0.82351700000000005</v>
      </c>
      <c r="H192" s="21">
        <v>6.84124</v>
      </c>
      <c r="I192" s="21">
        <v>-1.40991E-2</v>
      </c>
      <c r="J192" s="21">
        <v>182</v>
      </c>
      <c r="K192" s="21">
        <v>0.82336399999999998</v>
      </c>
      <c r="L192">
        <f t="shared" si="24"/>
        <v>17.406296296296293</v>
      </c>
      <c r="M192">
        <f t="shared" si="25"/>
        <v>14.334380907037035</v>
      </c>
      <c r="N192" s="9"/>
      <c r="O192" s="21">
        <v>0.81649799999999995</v>
      </c>
      <c r="P192" s="21">
        <v>10.5396</v>
      </c>
      <c r="Q192" s="21">
        <v>-1.41174E-2</v>
      </c>
      <c r="R192" s="21">
        <v>182</v>
      </c>
      <c r="S192" s="21">
        <v>0.81603999999999999</v>
      </c>
      <c r="T192">
        <f t="shared" si="26"/>
        <v>17.428888888888888</v>
      </c>
      <c r="U192">
        <f t="shared" si="27"/>
        <v>14.230652919999999</v>
      </c>
      <c r="X192" s="9"/>
      <c r="Y192" s="21">
        <v>0.82351700000000005</v>
      </c>
      <c r="Z192" s="21">
        <v>15.906499999999999</v>
      </c>
      <c r="AA192" s="21">
        <v>-1.4190700000000001E-2</v>
      </c>
      <c r="AB192" s="21">
        <v>182</v>
      </c>
      <c r="AC192" s="21">
        <v>0.82244899999999999</v>
      </c>
      <c r="AD192">
        <f t="shared" si="28"/>
        <v>17.519382716049382</v>
      </c>
      <c r="AE192">
        <f t="shared" si="29"/>
        <v>14.42750949617284</v>
      </c>
      <c r="AF192" s="9"/>
      <c r="AG192" s="21">
        <v>0.81649799999999995</v>
      </c>
      <c r="AH192" s="21">
        <v>19.604800000000001</v>
      </c>
      <c r="AI192" s="21">
        <v>-1.41479E-2</v>
      </c>
      <c r="AJ192" s="21">
        <v>182</v>
      </c>
      <c r="AK192" s="21">
        <v>0.81573499999999999</v>
      </c>
      <c r="AL192">
        <f t="shared" si="30"/>
        <v>17.466543209876541</v>
      </c>
      <c r="AM192">
        <f t="shared" si="31"/>
        <v>14.261397597777774</v>
      </c>
      <c r="AP192" s="9"/>
      <c r="AQ192" s="21">
        <v>0.82351700000000005</v>
      </c>
      <c r="AR192" s="21">
        <v>25.018699999999999</v>
      </c>
      <c r="AS192" s="21">
        <v>-1.4312699999999999E-2</v>
      </c>
      <c r="AT192" s="21">
        <v>182</v>
      </c>
      <c r="AU192" s="21">
        <v>0.82305899999999999</v>
      </c>
      <c r="AV192">
        <f t="shared" si="32"/>
        <v>17.669999999999998</v>
      </c>
      <c r="AW192">
        <f t="shared" si="33"/>
        <v>14.551545389999999</v>
      </c>
      <c r="AX192" s="9"/>
      <c r="AY192" s="21">
        <v>0.81649799999999995</v>
      </c>
      <c r="AZ192" s="21">
        <v>28.716999999999999</v>
      </c>
      <c r="BA192" s="21">
        <v>-1.41876E-2</v>
      </c>
      <c r="BB192" s="21">
        <v>182</v>
      </c>
      <c r="BC192" s="21">
        <v>0.81542999999999999</v>
      </c>
      <c r="BD192">
        <f t="shared" si="34"/>
        <v>17.515555555555554</v>
      </c>
      <c r="BE192">
        <f t="shared" si="35"/>
        <v>14.301416079999997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0.81848100000000001</v>
      </c>
      <c r="H193" s="21">
        <v>6.8513099999999998</v>
      </c>
      <c r="I193" s="21">
        <v>-1.4108300000000001E-2</v>
      </c>
      <c r="J193" s="21">
        <v>183</v>
      </c>
      <c r="K193" s="21">
        <v>0.81756600000000001</v>
      </c>
      <c r="L193">
        <f t="shared" si="24"/>
        <v>17.417654320987655</v>
      </c>
      <c r="M193">
        <f t="shared" si="25"/>
        <v>14.256019126296296</v>
      </c>
      <c r="N193" s="9"/>
      <c r="O193" s="21">
        <v>0.82153299999999996</v>
      </c>
      <c r="P193" s="21">
        <v>10.5497</v>
      </c>
      <c r="Q193" s="21">
        <v>-1.4120499999999999E-2</v>
      </c>
      <c r="R193" s="21">
        <v>183</v>
      </c>
      <c r="S193" s="21">
        <v>0.82061799999999996</v>
      </c>
      <c r="T193">
        <f t="shared" si="26"/>
        <v>17.432716049382716</v>
      </c>
      <c r="U193">
        <f t="shared" si="27"/>
        <v>14.32155151419753</v>
      </c>
      <c r="X193" s="9"/>
      <c r="Y193" s="21">
        <v>0.81848100000000001</v>
      </c>
      <c r="Z193" s="21">
        <v>15.916499999999999</v>
      </c>
      <c r="AA193" s="21">
        <v>-1.41937E-2</v>
      </c>
      <c r="AB193" s="21">
        <v>183</v>
      </c>
      <c r="AC193" s="21">
        <v>0.81817600000000001</v>
      </c>
      <c r="AD193">
        <f t="shared" si="28"/>
        <v>17.523086419753085</v>
      </c>
      <c r="AE193">
        <f t="shared" si="29"/>
        <v>14.342313295925925</v>
      </c>
      <c r="AF193" s="9"/>
      <c r="AG193" s="21">
        <v>0.82153299999999996</v>
      </c>
      <c r="AH193" s="21">
        <v>19.614899999999999</v>
      </c>
      <c r="AI193" s="21">
        <v>-1.41418E-2</v>
      </c>
      <c r="AJ193" s="21">
        <v>183</v>
      </c>
      <c r="AK193" s="21">
        <v>0.82061799999999996</v>
      </c>
      <c r="AL193">
        <f t="shared" si="30"/>
        <v>17.45901234567901</v>
      </c>
      <c r="AM193">
        <f t="shared" si="31"/>
        <v>14.343154789382714</v>
      </c>
      <c r="AP193" s="9"/>
      <c r="AQ193" s="21">
        <v>0.81848100000000001</v>
      </c>
      <c r="AR193" s="21">
        <v>25.028700000000001</v>
      </c>
      <c r="AS193" s="21">
        <v>-1.43097E-2</v>
      </c>
      <c r="AT193" s="21">
        <v>183</v>
      </c>
      <c r="AU193" s="21">
        <v>0.81787100000000001</v>
      </c>
      <c r="AV193">
        <f t="shared" si="32"/>
        <v>17.666296296296295</v>
      </c>
      <c r="AW193">
        <f t="shared" si="33"/>
        <v>14.459527858888888</v>
      </c>
      <c r="AX193" s="9"/>
      <c r="AY193" s="21">
        <v>0.82153299999999996</v>
      </c>
      <c r="AZ193" s="21">
        <v>28.7271</v>
      </c>
      <c r="BA193" s="21">
        <v>-1.4196800000000001E-2</v>
      </c>
      <c r="BB193" s="21">
        <v>183</v>
      </c>
      <c r="BC193" s="21">
        <v>0.82092299999999996</v>
      </c>
      <c r="BD193">
        <f t="shared" si="34"/>
        <v>17.526913580246916</v>
      </c>
      <c r="BE193">
        <f t="shared" si="35"/>
        <v>14.398937894320989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0.813446</v>
      </c>
      <c r="H194" s="21">
        <v>6.8613900000000001</v>
      </c>
      <c r="I194" s="21">
        <v>-1.4120499999999999E-2</v>
      </c>
      <c r="J194" s="21">
        <v>184</v>
      </c>
      <c r="K194" s="21">
        <v>0.81268300000000004</v>
      </c>
      <c r="L194">
        <f t="shared" si="24"/>
        <v>17.432716049382716</v>
      </c>
      <c r="M194">
        <f t="shared" si="25"/>
        <v>14.180573139506173</v>
      </c>
      <c r="N194" s="9"/>
      <c r="O194" s="21">
        <v>0.826569</v>
      </c>
      <c r="P194" s="21">
        <v>10.559699999999999</v>
      </c>
      <c r="Q194" s="21">
        <v>-1.4123500000000001E-2</v>
      </c>
      <c r="R194" s="21">
        <v>184</v>
      </c>
      <c r="S194" s="21">
        <v>0.82611100000000004</v>
      </c>
      <c r="T194">
        <f t="shared" si="26"/>
        <v>17.436419753086419</v>
      </c>
      <c r="U194">
        <f t="shared" si="27"/>
        <v>14.412404038888889</v>
      </c>
      <c r="X194" s="9"/>
      <c r="Y194" s="21">
        <v>0.813446</v>
      </c>
      <c r="Z194" s="21">
        <v>15.926600000000001</v>
      </c>
      <c r="AA194" s="21">
        <v>-1.4196800000000001E-2</v>
      </c>
      <c r="AB194" s="21">
        <v>184</v>
      </c>
      <c r="AC194" s="21">
        <v>0.81268300000000004</v>
      </c>
      <c r="AD194">
        <f t="shared" si="28"/>
        <v>17.526913580246916</v>
      </c>
      <c r="AE194">
        <f t="shared" si="29"/>
        <v>14.257197744197533</v>
      </c>
      <c r="AF194" s="9"/>
      <c r="AG194" s="21">
        <v>0.826569</v>
      </c>
      <c r="AH194" s="21">
        <v>19.6249</v>
      </c>
      <c r="AI194" s="21">
        <v>-1.4151E-2</v>
      </c>
      <c r="AJ194" s="21">
        <v>184</v>
      </c>
      <c r="AK194" s="21">
        <v>0.82580600000000004</v>
      </c>
      <c r="AL194">
        <f t="shared" si="30"/>
        <v>17.470370370370368</v>
      </c>
      <c r="AM194">
        <f t="shared" si="31"/>
        <v>14.440466566666665</v>
      </c>
      <c r="AP194" s="9"/>
      <c r="AQ194" s="21">
        <v>0.813446</v>
      </c>
      <c r="AR194" s="21">
        <v>25.038799999999998</v>
      </c>
      <c r="AS194" s="21">
        <v>-1.43036E-2</v>
      </c>
      <c r="AT194" s="21">
        <v>184</v>
      </c>
      <c r="AU194" s="21">
        <v>0.81268300000000004</v>
      </c>
      <c r="AV194">
        <f t="shared" si="32"/>
        <v>17.658765432098765</v>
      </c>
      <c r="AW194">
        <f t="shared" si="33"/>
        <v>14.364452105679012</v>
      </c>
      <c r="AX194" s="9"/>
      <c r="AY194" s="21">
        <v>0.826569</v>
      </c>
      <c r="AZ194" s="21">
        <v>28.737200000000001</v>
      </c>
      <c r="BA194" s="21">
        <v>-1.42059E-2</v>
      </c>
      <c r="BB194" s="21">
        <v>184</v>
      </c>
      <c r="BC194" s="21">
        <v>0.82550000000000001</v>
      </c>
      <c r="BD194">
        <f t="shared" si="34"/>
        <v>17.538148148148146</v>
      </c>
      <c r="BE194">
        <f t="shared" si="35"/>
        <v>14.496489576666665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0.80841099999999999</v>
      </c>
      <c r="H195" s="21">
        <v>6.8714599999999999</v>
      </c>
      <c r="I195" s="21">
        <v>-1.4123500000000001E-2</v>
      </c>
      <c r="J195" s="21">
        <v>185</v>
      </c>
      <c r="K195" s="21">
        <v>0.80749499999999996</v>
      </c>
      <c r="L195">
        <f t="shared" si="24"/>
        <v>17.436419753086419</v>
      </c>
      <c r="M195">
        <f t="shared" si="25"/>
        <v>14.095793529012346</v>
      </c>
      <c r="N195" s="9"/>
      <c r="O195" s="21">
        <v>0.83160400000000001</v>
      </c>
      <c r="P195" s="21">
        <v>10.569800000000001</v>
      </c>
      <c r="Q195" s="21">
        <v>-1.4123500000000001E-2</v>
      </c>
      <c r="R195" s="21">
        <v>185</v>
      </c>
      <c r="S195" s="21">
        <v>0.83038299999999998</v>
      </c>
      <c r="T195">
        <f t="shared" si="26"/>
        <v>17.436419753086419</v>
      </c>
      <c r="U195">
        <f t="shared" si="27"/>
        <v>14.500196412345678</v>
      </c>
      <c r="X195" s="9"/>
      <c r="Y195" s="21">
        <v>0.80841099999999999</v>
      </c>
      <c r="Z195" s="21">
        <v>15.9367</v>
      </c>
      <c r="AA195" s="21">
        <v>-1.4190700000000001E-2</v>
      </c>
      <c r="AB195" s="21">
        <v>185</v>
      </c>
      <c r="AC195" s="21">
        <v>0.80749499999999996</v>
      </c>
      <c r="AD195">
        <f t="shared" si="28"/>
        <v>17.519382716049382</v>
      </c>
      <c r="AE195">
        <f t="shared" si="29"/>
        <v>14.162861700864196</v>
      </c>
      <c r="AF195" s="9"/>
      <c r="AG195" s="21">
        <v>0.83160400000000001</v>
      </c>
      <c r="AH195" s="21">
        <v>19.635000000000002</v>
      </c>
      <c r="AI195" s="21">
        <v>-1.41602E-2</v>
      </c>
      <c r="AJ195" s="21">
        <v>185</v>
      </c>
      <c r="AK195" s="21">
        <v>0.83129900000000001</v>
      </c>
      <c r="AL195">
        <f t="shared" si="30"/>
        <v>17.481728395061729</v>
      </c>
      <c r="AM195">
        <f t="shared" si="31"/>
        <v>14.537875260246915</v>
      </c>
      <c r="AP195" s="9"/>
      <c r="AQ195" s="21">
        <v>0.80841099999999999</v>
      </c>
      <c r="AR195" s="21">
        <v>25.0489</v>
      </c>
      <c r="AS195" s="21">
        <v>-1.4297499999999999E-2</v>
      </c>
      <c r="AT195" s="21">
        <v>185</v>
      </c>
      <c r="AU195" s="21">
        <v>0.80749499999999996</v>
      </c>
      <c r="AV195">
        <f t="shared" si="32"/>
        <v>17.651234567901231</v>
      </c>
      <c r="AW195">
        <f t="shared" si="33"/>
        <v>14.269452188271602</v>
      </c>
      <c r="AX195" s="9"/>
      <c r="AY195" s="21">
        <v>0.83160400000000001</v>
      </c>
      <c r="AZ195" s="21">
        <v>28.747199999999999</v>
      </c>
      <c r="BA195" s="21">
        <v>-1.41937E-2</v>
      </c>
      <c r="BB195" s="21">
        <v>185</v>
      </c>
      <c r="BC195" s="21">
        <v>0.83038299999999998</v>
      </c>
      <c r="BD195">
        <f t="shared" si="34"/>
        <v>17.523086419753085</v>
      </c>
      <c r="BE195">
        <f t="shared" si="35"/>
        <v>14.572268759012344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0.80337499999999995</v>
      </c>
      <c r="H196" s="21">
        <v>6.8815299999999997</v>
      </c>
      <c r="I196" s="21">
        <v>-1.4108300000000001E-2</v>
      </c>
      <c r="J196" s="21">
        <v>186</v>
      </c>
      <c r="K196" s="21">
        <v>0.80230699999999999</v>
      </c>
      <c r="L196">
        <f t="shared" si="24"/>
        <v>17.417654320987655</v>
      </c>
      <c r="M196">
        <f t="shared" si="25"/>
        <v>13.992908040123456</v>
      </c>
      <c r="N196" s="9"/>
      <c r="O196" s="21">
        <v>0.83663900000000002</v>
      </c>
      <c r="P196" s="21">
        <v>10.5799</v>
      </c>
      <c r="Q196" s="21">
        <v>-1.4129600000000001E-2</v>
      </c>
      <c r="R196" s="21">
        <v>186</v>
      </c>
      <c r="S196" s="21">
        <v>0.83557099999999995</v>
      </c>
      <c r="T196">
        <f t="shared" si="26"/>
        <v>17.443950617283949</v>
      </c>
      <c r="U196">
        <f t="shared" si="27"/>
        <v>14.594289400493826</v>
      </c>
      <c r="X196" s="9"/>
      <c r="Y196" s="21">
        <v>0.80337499999999995</v>
      </c>
      <c r="Z196" s="21">
        <v>15.9467</v>
      </c>
      <c r="AA196" s="21">
        <v>-1.41937E-2</v>
      </c>
      <c r="AB196" s="21">
        <v>186</v>
      </c>
      <c r="AC196" s="21">
        <v>0.80291699999999999</v>
      </c>
      <c r="AD196">
        <f t="shared" si="28"/>
        <v>17.523086419753085</v>
      </c>
      <c r="AE196">
        <f t="shared" si="29"/>
        <v>14.077609552469134</v>
      </c>
      <c r="AF196" s="9"/>
      <c r="AG196" s="21">
        <v>0.83663900000000002</v>
      </c>
      <c r="AH196" s="21">
        <v>19.645099999999999</v>
      </c>
      <c r="AI196" s="21">
        <v>-1.41663E-2</v>
      </c>
      <c r="AJ196" s="21">
        <v>186</v>
      </c>
      <c r="AK196" s="21">
        <v>0.83557099999999995</v>
      </c>
      <c r="AL196">
        <f t="shared" si="30"/>
        <v>17.489259259259256</v>
      </c>
      <c r="AM196">
        <f t="shared" si="31"/>
        <v>14.632196377407405</v>
      </c>
      <c r="AP196" s="9"/>
      <c r="AQ196" s="21">
        <v>0.80337499999999995</v>
      </c>
      <c r="AR196" s="21">
        <v>25.059000000000001</v>
      </c>
      <c r="AS196" s="21">
        <v>-1.4297499999999999E-2</v>
      </c>
      <c r="AT196" s="21">
        <v>186</v>
      </c>
      <c r="AU196" s="21">
        <v>0.80261199999999999</v>
      </c>
      <c r="AV196">
        <f t="shared" si="32"/>
        <v>17.651234567901231</v>
      </c>
      <c r="AW196">
        <f t="shared" si="33"/>
        <v>14.18056057098765</v>
      </c>
      <c r="AX196" s="9"/>
      <c r="AY196" s="21">
        <v>0.83663900000000002</v>
      </c>
      <c r="AZ196" s="21">
        <v>28.757300000000001</v>
      </c>
      <c r="BA196" s="21">
        <v>-1.4196800000000001E-2</v>
      </c>
      <c r="BB196" s="21">
        <v>186</v>
      </c>
      <c r="BC196" s="21">
        <v>0.83557099999999995</v>
      </c>
      <c r="BD196">
        <f t="shared" si="34"/>
        <v>17.526913580246916</v>
      </c>
      <c r="BE196">
        <f t="shared" si="35"/>
        <v>14.6636994508642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0.79834000000000005</v>
      </c>
      <c r="H197" s="21">
        <v>6.8916000000000004</v>
      </c>
      <c r="I197" s="21">
        <v>-1.41052E-2</v>
      </c>
      <c r="J197" s="21">
        <v>187</v>
      </c>
      <c r="K197" s="21">
        <v>0.79742400000000002</v>
      </c>
      <c r="L197">
        <f t="shared" si="24"/>
        <v>17.413827160493828</v>
      </c>
      <c r="M197">
        <f t="shared" si="25"/>
        <v>13.902154775308643</v>
      </c>
      <c r="N197" s="9"/>
      <c r="O197" s="21">
        <v>0.84167499999999995</v>
      </c>
      <c r="P197" s="21">
        <v>10.5899</v>
      </c>
      <c r="Q197" s="21">
        <v>-1.41388E-2</v>
      </c>
      <c r="R197" s="21">
        <v>187</v>
      </c>
      <c r="S197" s="21">
        <v>0.84075900000000003</v>
      </c>
      <c r="T197">
        <f t="shared" si="26"/>
        <v>17.455308641975307</v>
      </c>
      <c r="U197">
        <f t="shared" si="27"/>
        <v>14.691696901234566</v>
      </c>
      <c r="X197" s="9"/>
      <c r="Y197" s="21">
        <v>0.79834000000000005</v>
      </c>
      <c r="Z197" s="21">
        <v>15.956799999999999</v>
      </c>
      <c r="AA197" s="21">
        <v>-1.4196800000000001E-2</v>
      </c>
      <c r="AB197" s="21">
        <v>187</v>
      </c>
      <c r="AC197" s="21">
        <v>0.79803500000000005</v>
      </c>
      <c r="AD197">
        <f t="shared" si="28"/>
        <v>17.526913580246916</v>
      </c>
      <c r="AE197">
        <f t="shared" si="29"/>
        <v>13.992436187654324</v>
      </c>
      <c r="AF197" s="9"/>
      <c r="AG197" s="21">
        <v>0.84167499999999995</v>
      </c>
      <c r="AH197" s="21">
        <v>19.655100000000001</v>
      </c>
      <c r="AI197" s="21">
        <v>-1.4169299999999999E-2</v>
      </c>
      <c r="AJ197" s="21">
        <v>187</v>
      </c>
      <c r="AK197" s="21">
        <v>0.84106400000000003</v>
      </c>
      <c r="AL197">
        <f t="shared" si="30"/>
        <v>17.492962962962959</v>
      </c>
      <c r="AM197">
        <f t="shared" si="31"/>
        <v>14.723389601851848</v>
      </c>
      <c r="AP197" s="9"/>
      <c r="AQ197" s="21">
        <v>0.79834000000000005</v>
      </c>
      <c r="AR197" s="21">
        <v>25.068999999999999</v>
      </c>
      <c r="AS197" s="21">
        <v>-1.4279200000000001E-2</v>
      </c>
      <c r="AT197" s="21">
        <v>187</v>
      </c>
      <c r="AU197" s="21">
        <v>0.79742400000000002</v>
      </c>
      <c r="AV197">
        <f t="shared" si="32"/>
        <v>17.628641975308639</v>
      </c>
      <c r="AW197">
        <f t="shared" si="33"/>
        <v>14.073650034567899</v>
      </c>
      <c r="AX197" s="9"/>
      <c r="AY197" s="21">
        <v>0.84167499999999995</v>
      </c>
      <c r="AZ197" s="21">
        <v>28.767399999999999</v>
      </c>
      <c r="BA197" s="21">
        <v>-1.41937E-2</v>
      </c>
      <c r="BB197" s="21">
        <v>187</v>
      </c>
      <c r="BC197" s="21">
        <v>0.84075900000000003</v>
      </c>
      <c r="BD197">
        <f t="shared" si="34"/>
        <v>17.523086419753085</v>
      </c>
      <c r="BE197">
        <f t="shared" si="35"/>
        <v>14.748743762345677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0.79330400000000001</v>
      </c>
      <c r="H198" s="21">
        <v>6.9016700000000002</v>
      </c>
      <c r="I198" s="21">
        <v>-1.41113E-2</v>
      </c>
      <c r="J198" s="21">
        <v>188</v>
      </c>
      <c r="K198" s="21">
        <v>0.79223600000000005</v>
      </c>
      <c r="L198">
        <f t="shared" si="24"/>
        <v>17.421358024691358</v>
      </c>
      <c r="M198">
        <f t="shared" si="25"/>
        <v>13.820433006419753</v>
      </c>
      <c r="N198" s="9"/>
      <c r="O198" s="21">
        <v>0.84670999999999996</v>
      </c>
      <c r="P198" s="21">
        <v>10.6</v>
      </c>
      <c r="Q198" s="21">
        <v>-1.4151E-2</v>
      </c>
      <c r="R198" s="21">
        <v>188</v>
      </c>
      <c r="S198" s="21">
        <v>0.845947</v>
      </c>
      <c r="T198">
        <f t="shared" si="26"/>
        <v>17.470370370370368</v>
      </c>
      <c r="U198">
        <f t="shared" si="27"/>
        <v>14.792337296296294</v>
      </c>
      <c r="X198" s="9"/>
      <c r="Y198" s="21">
        <v>0.79330400000000001</v>
      </c>
      <c r="Z198" s="21">
        <v>15.966900000000001</v>
      </c>
      <c r="AA198" s="21">
        <v>-1.41876E-2</v>
      </c>
      <c r="AB198" s="21">
        <v>188</v>
      </c>
      <c r="AC198" s="21">
        <v>0.79223600000000005</v>
      </c>
      <c r="AD198">
        <f t="shared" si="28"/>
        <v>17.515555555555554</v>
      </c>
      <c r="AE198">
        <f t="shared" si="29"/>
        <v>13.895160284444444</v>
      </c>
      <c r="AF198" s="9"/>
      <c r="AG198" s="21">
        <v>0.84670999999999996</v>
      </c>
      <c r="AH198" s="21">
        <v>19.665199999999999</v>
      </c>
      <c r="AI198" s="21">
        <v>-1.41724E-2</v>
      </c>
      <c r="AJ198" s="21">
        <v>188</v>
      </c>
      <c r="AK198" s="21">
        <v>0.845642</v>
      </c>
      <c r="AL198">
        <f t="shared" si="30"/>
        <v>17.496790123456787</v>
      </c>
      <c r="AM198">
        <f t="shared" si="31"/>
        <v>14.814707165432095</v>
      </c>
      <c r="AP198" s="9"/>
      <c r="AQ198" s="21">
        <v>0.79330400000000001</v>
      </c>
      <c r="AR198" s="21">
        <v>25.0791</v>
      </c>
      <c r="AS198" s="21">
        <v>-1.42883E-2</v>
      </c>
      <c r="AT198" s="21">
        <v>188</v>
      </c>
      <c r="AU198" s="21">
        <v>0.79284699999999997</v>
      </c>
      <c r="AV198">
        <f t="shared" si="32"/>
        <v>17.639876543209876</v>
      </c>
      <c r="AW198">
        <f t="shared" si="33"/>
        <v>13.993784621234568</v>
      </c>
      <c r="AX198" s="9"/>
      <c r="AY198" s="21">
        <v>0.84670999999999996</v>
      </c>
      <c r="AZ198" s="21">
        <v>28.7774</v>
      </c>
      <c r="BA198" s="21">
        <v>-1.4190700000000001E-2</v>
      </c>
      <c r="BB198" s="21">
        <v>188</v>
      </c>
      <c r="BC198" s="21">
        <v>0.846252</v>
      </c>
      <c r="BD198">
        <f t="shared" si="34"/>
        <v>17.519382716049382</v>
      </c>
      <c r="BE198">
        <f t="shared" si="35"/>
        <v>14.833836539506171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0.788269</v>
      </c>
      <c r="H199" s="21">
        <v>6.91174</v>
      </c>
      <c r="I199" s="21">
        <v>-1.4123500000000001E-2</v>
      </c>
      <c r="J199" s="21">
        <v>189</v>
      </c>
      <c r="K199" s="21">
        <v>0.787354</v>
      </c>
      <c r="L199">
        <f t="shared" si="24"/>
        <v>17.436419753086419</v>
      </c>
      <c r="M199">
        <f t="shared" si="25"/>
        <v>13.744589162345678</v>
      </c>
      <c r="N199" s="9"/>
      <c r="O199" s="21">
        <v>0.851746</v>
      </c>
      <c r="P199" s="21">
        <v>10.610099999999999</v>
      </c>
      <c r="Q199" s="21">
        <v>-1.4157100000000001E-2</v>
      </c>
      <c r="R199" s="21">
        <v>189</v>
      </c>
      <c r="S199" s="21">
        <v>0.85143999999999997</v>
      </c>
      <c r="T199">
        <f t="shared" si="26"/>
        <v>17.477901234567902</v>
      </c>
      <c r="U199">
        <f t="shared" si="27"/>
        <v>14.886732464938273</v>
      </c>
      <c r="X199" s="9"/>
      <c r="Y199" s="21">
        <v>0.788269</v>
      </c>
      <c r="Z199" s="21">
        <v>15.977</v>
      </c>
      <c r="AA199" s="21">
        <v>-1.4190700000000001E-2</v>
      </c>
      <c r="AB199" s="21">
        <v>189</v>
      </c>
      <c r="AC199" s="21">
        <v>0.787659</v>
      </c>
      <c r="AD199">
        <f t="shared" si="28"/>
        <v>17.519382716049382</v>
      </c>
      <c r="AE199">
        <f t="shared" si="29"/>
        <v>13.809986294197531</v>
      </c>
      <c r="AF199" s="9"/>
      <c r="AG199" s="21">
        <v>0.851746</v>
      </c>
      <c r="AH199" s="21">
        <v>19.6753</v>
      </c>
      <c r="AI199" s="21">
        <v>-1.4169299999999999E-2</v>
      </c>
      <c r="AJ199" s="21">
        <v>189</v>
      </c>
      <c r="AK199" s="21">
        <v>0.85113499999999997</v>
      </c>
      <c r="AL199">
        <f t="shared" si="30"/>
        <v>17.492962962962959</v>
      </c>
      <c r="AM199">
        <f t="shared" si="31"/>
        <v>14.899561231851848</v>
      </c>
      <c r="AP199" s="9"/>
      <c r="AQ199" s="21">
        <v>0.788269</v>
      </c>
      <c r="AR199" s="21">
        <v>25.089200000000002</v>
      </c>
      <c r="AS199" s="21">
        <v>-1.4285300000000001E-2</v>
      </c>
      <c r="AT199" s="21">
        <v>189</v>
      </c>
      <c r="AU199" s="21">
        <v>0.78704799999999997</v>
      </c>
      <c r="AV199">
        <f t="shared" si="32"/>
        <v>17.636172839506173</v>
      </c>
      <c r="AW199">
        <f t="shared" si="33"/>
        <v>13.902048328024692</v>
      </c>
      <c r="AX199" s="9"/>
      <c r="AY199" s="21">
        <v>0.851746</v>
      </c>
      <c r="AZ199" s="21">
        <v>28.787500000000001</v>
      </c>
      <c r="BA199" s="21">
        <v>-1.4196800000000001E-2</v>
      </c>
      <c r="BB199" s="21">
        <v>189</v>
      </c>
      <c r="BC199" s="21">
        <v>0.85052499999999998</v>
      </c>
      <c r="BD199">
        <f t="shared" si="34"/>
        <v>17.526913580246916</v>
      </c>
      <c r="BE199">
        <f t="shared" si="35"/>
        <v>14.928478534320989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0.78323399999999999</v>
      </c>
      <c r="H200" s="21">
        <v>6.9218099999999998</v>
      </c>
      <c r="I200" s="21">
        <v>-1.41174E-2</v>
      </c>
      <c r="J200" s="21">
        <v>190</v>
      </c>
      <c r="K200" s="21">
        <v>0.78277600000000003</v>
      </c>
      <c r="L200">
        <f t="shared" si="24"/>
        <v>17.428888888888888</v>
      </c>
      <c r="M200">
        <f t="shared" si="25"/>
        <v>13.650898359999999</v>
      </c>
      <c r="N200" s="9"/>
      <c r="O200" s="21">
        <v>0.85678100000000001</v>
      </c>
      <c r="P200" s="21">
        <v>10.620100000000001</v>
      </c>
      <c r="Q200" s="21">
        <v>-1.4154099999999999E-2</v>
      </c>
      <c r="R200" s="21">
        <v>190</v>
      </c>
      <c r="S200" s="21">
        <v>0.85601799999999995</v>
      </c>
      <c r="T200">
        <f t="shared" si="26"/>
        <v>17.474197530864195</v>
      </c>
      <c r="U200">
        <f t="shared" si="27"/>
        <v>14.971560434691357</v>
      </c>
      <c r="X200" s="9"/>
      <c r="Y200" s="21">
        <v>0.78323399999999999</v>
      </c>
      <c r="Z200" s="21">
        <v>15.987</v>
      </c>
      <c r="AA200" s="21">
        <v>-1.41937E-2</v>
      </c>
      <c r="AB200" s="21">
        <v>190</v>
      </c>
      <c r="AC200" s="21">
        <v>0.78247100000000003</v>
      </c>
      <c r="AD200">
        <f t="shared" si="28"/>
        <v>17.523086419753085</v>
      </c>
      <c r="AE200">
        <f t="shared" si="29"/>
        <v>13.724677068888887</v>
      </c>
      <c r="AF200" s="9"/>
      <c r="AG200" s="21">
        <v>0.85678100000000001</v>
      </c>
      <c r="AH200" s="21">
        <v>19.685400000000001</v>
      </c>
      <c r="AI200" s="21">
        <v>-1.41663E-2</v>
      </c>
      <c r="AJ200" s="21">
        <v>190</v>
      </c>
      <c r="AK200" s="21">
        <v>0.85571299999999995</v>
      </c>
      <c r="AL200">
        <f t="shared" si="30"/>
        <v>17.489259259259256</v>
      </c>
      <c r="AM200">
        <f t="shared" si="31"/>
        <v>14.984465037407405</v>
      </c>
      <c r="AP200" s="9"/>
      <c r="AQ200" s="21">
        <v>0.78323399999999999</v>
      </c>
      <c r="AR200" s="21">
        <v>25.0992</v>
      </c>
      <c r="AS200" s="21">
        <v>-1.4285300000000001E-2</v>
      </c>
      <c r="AT200" s="21">
        <v>190</v>
      </c>
      <c r="AU200" s="21">
        <v>0.78277600000000003</v>
      </c>
      <c r="AV200">
        <f t="shared" si="32"/>
        <v>17.636172839506173</v>
      </c>
      <c r="AW200">
        <f t="shared" si="33"/>
        <v>13.813250197777778</v>
      </c>
      <c r="AX200" s="9"/>
      <c r="AY200" s="21">
        <v>0.85678100000000001</v>
      </c>
      <c r="AZ200" s="21">
        <v>28.797599999999999</v>
      </c>
      <c r="BA200" s="21">
        <v>-1.41998E-2</v>
      </c>
      <c r="BB200" s="21">
        <v>190</v>
      </c>
      <c r="BC200" s="21">
        <v>0.85571299999999995</v>
      </c>
      <c r="BD200">
        <f t="shared" si="34"/>
        <v>17.530617283950615</v>
      </c>
      <c r="BE200">
        <f t="shared" si="35"/>
        <v>15.019899807160492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0.77819799999999995</v>
      </c>
      <c r="H201" s="21">
        <v>6.9318799999999996</v>
      </c>
      <c r="I201" s="21">
        <v>-1.4120499999999999E-2</v>
      </c>
      <c r="J201" s="21">
        <v>191</v>
      </c>
      <c r="K201" s="21">
        <v>0.77789299999999995</v>
      </c>
      <c r="L201">
        <f t="shared" si="24"/>
        <v>17.432716049382716</v>
      </c>
      <c r="M201">
        <f t="shared" si="25"/>
        <v>13.566104764197529</v>
      </c>
      <c r="N201" s="9"/>
      <c r="O201" s="21">
        <v>0.86181600000000003</v>
      </c>
      <c r="P201" s="21">
        <v>10.6302</v>
      </c>
      <c r="Q201" s="21">
        <v>-1.4151E-2</v>
      </c>
      <c r="R201" s="21">
        <v>191</v>
      </c>
      <c r="S201" s="21">
        <v>0.86090100000000003</v>
      </c>
      <c r="T201">
        <f t="shared" si="26"/>
        <v>17.470370370370368</v>
      </c>
      <c r="U201">
        <f t="shared" si="27"/>
        <v>15.056244711111109</v>
      </c>
      <c r="X201" s="9"/>
      <c r="Y201" s="21">
        <v>0.77819799999999995</v>
      </c>
      <c r="Z201" s="21">
        <v>15.9971</v>
      </c>
      <c r="AA201" s="21">
        <v>-1.42059E-2</v>
      </c>
      <c r="AB201" s="21">
        <v>191</v>
      </c>
      <c r="AC201" s="21">
        <v>0.77697799999999995</v>
      </c>
      <c r="AD201">
        <f t="shared" si="28"/>
        <v>17.538148148148146</v>
      </c>
      <c r="AE201">
        <f t="shared" si="29"/>
        <v>13.648151812592589</v>
      </c>
      <c r="AF201" s="9"/>
      <c r="AG201" s="21">
        <v>0.86181600000000003</v>
      </c>
      <c r="AH201" s="21">
        <v>19.695399999999999</v>
      </c>
      <c r="AI201" s="21">
        <v>-1.41663E-2</v>
      </c>
      <c r="AJ201" s="21">
        <v>191</v>
      </c>
      <c r="AK201" s="21">
        <v>0.86090100000000003</v>
      </c>
      <c r="AL201">
        <f t="shared" si="30"/>
        <v>17.489259259259256</v>
      </c>
      <c r="AM201">
        <f t="shared" si="31"/>
        <v>15.072523457777775</v>
      </c>
      <c r="AP201" s="9"/>
      <c r="AQ201" s="21">
        <v>0.77819799999999995</v>
      </c>
      <c r="AR201" s="21">
        <v>25.109300000000001</v>
      </c>
      <c r="AS201" s="21">
        <v>-1.4294400000000001E-2</v>
      </c>
      <c r="AT201" s="21">
        <v>191</v>
      </c>
      <c r="AU201" s="21">
        <v>0.77758799999999995</v>
      </c>
      <c r="AV201">
        <f t="shared" si="32"/>
        <v>17.647407407407407</v>
      </c>
      <c r="AW201">
        <f t="shared" si="33"/>
        <v>13.733177149629627</v>
      </c>
      <c r="AX201" s="9"/>
      <c r="AY201" s="21">
        <v>0.86181600000000003</v>
      </c>
      <c r="AZ201" s="21">
        <v>28.807700000000001</v>
      </c>
      <c r="BA201" s="21">
        <v>-1.4196800000000001E-2</v>
      </c>
      <c r="BB201" s="21">
        <v>191</v>
      </c>
      <c r="BC201" s="21">
        <v>0.86059600000000003</v>
      </c>
      <c r="BD201">
        <f t="shared" si="34"/>
        <v>17.526913580246916</v>
      </c>
      <c r="BE201">
        <f t="shared" si="35"/>
        <v>15.104974554074076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0.77316300000000004</v>
      </c>
      <c r="H202" s="21">
        <v>6.9419500000000003</v>
      </c>
      <c r="I202" s="21">
        <v>-1.41174E-2</v>
      </c>
      <c r="J202" s="21">
        <v>192</v>
      </c>
      <c r="K202" s="21">
        <v>0.77209499999999998</v>
      </c>
      <c r="L202">
        <f t="shared" si="24"/>
        <v>17.428888888888888</v>
      </c>
      <c r="M202">
        <f t="shared" si="25"/>
        <v>13.47537202</v>
      </c>
      <c r="N202" s="9"/>
      <c r="O202" s="21">
        <v>0.86685199999999996</v>
      </c>
      <c r="P202" s="21">
        <v>10.6403</v>
      </c>
      <c r="Q202" s="21">
        <v>-1.41418E-2</v>
      </c>
      <c r="R202" s="21">
        <v>192</v>
      </c>
      <c r="S202" s="21">
        <v>0.865784</v>
      </c>
      <c r="T202">
        <f t="shared" si="26"/>
        <v>17.45901234567901</v>
      </c>
      <c r="U202">
        <f t="shared" si="27"/>
        <v>15.13437976987654</v>
      </c>
      <c r="X202" s="9"/>
      <c r="Y202" s="21">
        <v>0.77316300000000004</v>
      </c>
      <c r="Z202" s="21">
        <v>16.007200000000001</v>
      </c>
      <c r="AA202" s="21">
        <v>-1.41998E-2</v>
      </c>
      <c r="AB202" s="21">
        <v>192</v>
      </c>
      <c r="AC202" s="21">
        <v>0.77209499999999998</v>
      </c>
      <c r="AD202">
        <f t="shared" si="28"/>
        <v>17.530617283950615</v>
      </c>
      <c r="AE202">
        <f t="shared" si="29"/>
        <v>13.55402465111111</v>
      </c>
      <c r="AF202" s="9"/>
      <c r="AG202" s="21">
        <v>0.86685199999999996</v>
      </c>
      <c r="AH202" s="21">
        <v>19.705500000000001</v>
      </c>
      <c r="AI202" s="21">
        <v>-1.41663E-2</v>
      </c>
      <c r="AJ202" s="21">
        <v>192</v>
      </c>
      <c r="AK202" s="21">
        <v>0.866089</v>
      </c>
      <c r="AL202">
        <f t="shared" si="30"/>
        <v>17.489259259259256</v>
      </c>
      <c r="AM202">
        <f t="shared" si="31"/>
        <v>15.160599367407404</v>
      </c>
      <c r="AP202" s="9"/>
      <c r="AQ202" s="21">
        <v>0.77316300000000004</v>
      </c>
      <c r="AR202" s="21">
        <v>25.119399999999999</v>
      </c>
      <c r="AS202" s="21">
        <v>-1.4291399999999999E-2</v>
      </c>
      <c r="AT202" s="21">
        <v>192</v>
      </c>
      <c r="AU202" s="21">
        <v>0.77270499999999998</v>
      </c>
      <c r="AV202">
        <f t="shared" si="32"/>
        <v>17.643703703703704</v>
      </c>
      <c r="AW202">
        <f t="shared" si="33"/>
        <v>13.641458886666667</v>
      </c>
      <c r="AX202" s="9"/>
      <c r="AY202" s="21">
        <v>0.86685199999999996</v>
      </c>
      <c r="AZ202" s="21">
        <v>28.817699999999999</v>
      </c>
      <c r="BA202" s="21">
        <v>-1.41846E-2</v>
      </c>
      <c r="BB202" s="21">
        <v>192</v>
      </c>
      <c r="BC202" s="21">
        <v>0.865784</v>
      </c>
      <c r="BD202">
        <f t="shared" si="34"/>
        <v>17.511851851851851</v>
      </c>
      <c r="BE202">
        <f t="shared" si="35"/>
        <v>15.18018380148148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0.768127</v>
      </c>
      <c r="H203" s="21">
        <v>6.9520200000000001</v>
      </c>
      <c r="I203" s="21">
        <v>-1.4120499999999999E-2</v>
      </c>
      <c r="J203" s="21">
        <v>193</v>
      </c>
      <c r="K203" s="21">
        <v>0.767822</v>
      </c>
      <c r="L203">
        <f t="shared" si="24"/>
        <v>17.432716049382716</v>
      </c>
      <c r="M203">
        <f t="shared" si="25"/>
        <v>13.390539880864198</v>
      </c>
      <c r="N203" s="9"/>
      <c r="O203" s="21">
        <v>0.87188699999999997</v>
      </c>
      <c r="P203" s="21">
        <v>10.650399999999999</v>
      </c>
      <c r="Q203" s="21">
        <v>-1.41266E-2</v>
      </c>
      <c r="R203" s="21">
        <v>193</v>
      </c>
      <c r="S203" s="21">
        <v>0.87158199999999997</v>
      </c>
      <c r="T203">
        <f t="shared" si="26"/>
        <v>17.440246913580246</v>
      </c>
      <c r="U203">
        <f t="shared" si="27"/>
        <v>15.205924560740739</v>
      </c>
      <c r="X203" s="9"/>
      <c r="Y203" s="21">
        <v>0.768127</v>
      </c>
      <c r="Z203" s="21">
        <v>16.017199999999999</v>
      </c>
      <c r="AA203" s="21">
        <v>-1.41937E-2</v>
      </c>
      <c r="AB203" s="21">
        <v>193</v>
      </c>
      <c r="AC203" s="21">
        <v>0.76721200000000001</v>
      </c>
      <c r="AD203">
        <f t="shared" si="28"/>
        <v>17.523086419753085</v>
      </c>
      <c r="AE203">
        <f t="shared" si="29"/>
        <v>13.459955802345679</v>
      </c>
      <c r="AF203" s="9"/>
      <c r="AG203" s="21">
        <v>0.87188699999999997</v>
      </c>
      <c r="AH203" s="21">
        <v>19.715599999999998</v>
      </c>
      <c r="AI203" s="21">
        <v>-1.4175399999999999E-2</v>
      </c>
      <c r="AJ203" s="21">
        <v>193</v>
      </c>
      <c r="AK203" s="21">
        <v>0.87127699999999997</v>
      </c>
      <c r="AL203">
        <f t="shared" si="30"/>
        <v>17.500493827160494</v>
      </c>
      <c r="AM203">
        <f t="shared" si="31"/>
        <v>15.258453061481481</v>
      </c>
      <c r="AP203" s="9"/>
      <c r="AQ203" s="21">
        <v>0.768127</v>
      </c>
      <c r="AR203" s="21">
        <v>25.1295</v>
      </c>
      <c r="AS203" s="21">
        <v>-1.42822E-2</v>
      </c>
      <c r="AT203" s="21">
        <v>193</v>
      </c>
      <c r="AU203" s="21">
        <v>0.76721200000000001</v>
      </c>
      <c r="AV203">
        <f t="shared" si="32"/>
        <v>17.632345679012342</v>
      </c>
      <c r="AW203">
        <f t="shared" si="33"/>
        <v>13.543880789382714</v>
      </c>
      <c r="AX203" s="9"/>
      <c r="AY203" s="21">
        <v>0.87188699999999997</v>
      </c>
      <c r="AZ203" s="21">
        <v>28.8278</v>
      </c>
      <c r="BA203" s="21">
        <v>-1.41846E-2</v>
      </c>
      <c r="BB203" s="21">
        <v>193</v>
      </c>
      <c r="BC203" s="21">
        <v>0.87127699999999997</v>
      </c>
      <c r="BD203">
        <f t="shared" si="34"/>
        <v>17.511851851851851</v>
      </c>
      <c r="BE203">
        <f t="shared" si="35"/>
        <v>15.268355975555554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0.76309199999999999</v>
      </c>
      <c r="H204" s="21">
        <v>6.9621000000000004</v>
      </c>
      <c r="I204" s="21">
        <v>-1.4129600000000001E-2</v>
      </c>
      <c r="J204" s="21">
        <v>194</v>
      </c>
      <c r="K204" s="21">
        <v>0.76202400000000003</v>
      </c>
      <c r="L204">
        <f t="shared" ref="L204:L267" si="36">-I204/$F$2*1000</f>
        <v>17.443950617283949</v>
      </c>
      <c r="M204">
        <f t="shared" ref="M204:M267" si="37">L204*G204</f>
        <v>13.311339164444444</v>
      </c>
      <c r="N204" s="9"/>
      <c r="O204" s="21">
        <v>0.87692300000000001</v>
      </c>
      <c r="P204" s="21">
        <v>10.660399999999999</v>
      </c>
      <c r="Q204" s="21">
        <v>-1.4114399999999999E-2</v>
      </c>
      <c r="R204" s="21">
        <v>194</v>
      </c>
      <c r="S204" s="21">
        <v>0.87616000000000005</v>
      </c>
      <c r="T204">
        <f t="shared" ref="T204:T267" si="38">-Q204/$F$2*1000</f>
        <v>17.425185185185182</v>
      </c>
      <c r="U204">
        <f t="shared" ref="U204:U267" si="39">T204*O204</f>
        <v>15.280545668148145</v>
      </c>
      <c r="X204" s="9"/>
      <c r="Y204" s="21">
        <v>0.76309199999999999</v>
      </c>
      <c r="Z204" s="21">
        <v>16.0273</v>
      </c>
      <c r="AA204" s="21">
        <v>-1.4196800000000001E-2</v>
      </c>
      <c r="AB204" s="21">
        <v>194</v>
      </c>
      <c r="AC204" s="21">
        <v>0.76202400000000003</v>
      </c>
      <c r="AD204">
        <f t="shared" ref="AD204:AD267" si="40">-AA204/$F$2*1000</f>
        <v>17.526913580246916</v>
      </c>
      <c r="AE204">
        <f t="shared" ref="AE204:AE267" si="41">AD204*Y204</f>
        <v>13.374647537777779</v>
      </c>
      <c r="AF204" s="9"/>
      <c r="AG204" s="21">
        <v>0.87692300000000001</v>
      </c>
      <c r="AH204" s="21">
        <v>19.7256</v>
      </c>
      <c r="AI204" s="21">
        <v>-1.4175399999999999E-2</v>
      </c>
      <c r="AJ204" s="21">
        <v>194</v>
      </c>
      <c r="AK204" s="21">
        <v>0.87646500000000005</v>
      </c>
      <c r="AL204">
        <f t="shared" ref="AL204:AL267" si="42">-AI204/$F$2*1000</f>
        <v>17.500493827160494</v>
      </c>
      <c r="AM204">
        <f t="shared" ref="AM204:AM267" si="43">AL204*AG204</f>
        <v>15.346585548395062</v>
      </c>
      <c r="AP204" s="9"/>
      <c r="AQ204" s="21">
        <v>0.76309199999999999</v>
      </c>
      <c r="AR204" s="21">
        <v>25.139500000000002</v>
      </c>
      <c r="AS204" s="21">
        <v>-1.42822E-2</v>
      </c>
      <c r="AT204" s="21">
        <v>194</v>
      </c>
      <c r="AU204" s="21">
        <v>0.76263400000000003</v>
      </c>
      <c r="AV204">
        <f t="shared" ref="AV204:AV267" si="44">-AS204/$F$2*1000</f>
        <v>17.632345679012342</v>
      </c>
      <c r="AW204">
        <f t="shared" ref="AW204:AW267" si="45">AV204*AQ204</f>
        <v>13.455101928888887</v>
      </c>
      <c r="AX204" s="9"/>
      <c r="AY204" s="21">
        <v>0.87692300000000001</v>
      </c>
      <c r="AZ204" s="21">
        <v>28.837900000000001</v>
      </c>
      <c r="BA204" s="21">
        <v>-1.41785E-2</v>
      </c>
      <c r="BB204" s="21">
        <v>194</v>
      </c>
      <c r="BC204" s="21">
        <v>0.87585400000000002</v>
      </c>
      <c r="BD204">
        <f t="shared" ref="BD204:BD267" si="46">-BA204/$F$2*1000</f>
        <v>17.504320987654321</v>
      </c>
      <c r="BE204">
        <f t="shared" ref="BE204:BE267" si="47">BD204*AY204</f>
        <v>15.34994167345679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0.75805699999999998</v>
      </c>
      <c r="H205" s="21">
        <v>6.9721700000000002</v>
      </c>
      <c r="I205" s="21">
        <v>-1.4129600000000001E-2</v>
      </c>
      <c r="J205" s="21">
        <v>195</v>
      </c>
      <c r="K205" s="21">
        <v>0.75775099999999995</v>
      </c>
      <c r="L205">
        <f t="shared" si="36"/>
        <v>17.443950617283949</v>
      </c>
      <c r="M205">
        <f t="shared" si="37"/>
        <v>13.223508873086418</v>
      </c>
      <c r="N205" s="9"/>
      <c r="O205" s="21">
        <v>0.88195800000000002</v>
      </c>
      <c r="P205" s="21">
        <v>10.670500000000001</v>
      </c>
      <c r="Q205" s="21">
        <v>-1.41022E-2</v>
      </c>
      <c r="R205" s="21">
        <v>195</v>
      </c>
      <c r="S205" s="21">
        <v>0.88134800000000002</v>
      </c>
      <c r="T205">
        <f t="shared" si="38"/>
        <v>17.410123456790124</v>
      </c>
      <c r="U205">
        <f t="shared" si="39"/>
        <v>15.354997663703704</v>
      </c>
      <c r="X205" s="9"/>
      <c r="Y205" s="21">
        <v>0.75805699999999998</v>
      </c>
      <c r="Z205" s="21">
        <v>16.037400000000002</v>
      </c>
      <c r="AA205" s="21">
        <v>-1.41937E-2</v>
      </c>
      <c r="AB205" s="21">
        <v>195</v>
      </c>
      <c r="AC205" s="21">
        <v>0.75775099999999995</v>
      </c>
      <c r="AD205">
        <f t="shared" si="40"/>
        <v>17.523086419753085</v>
      </c>
      <c r="AE205">
        <f t="shared" si="41"/>
        <v>13.283498322098763</v>
      </c>
      <c r="AF205" s="9"/>
      <c r="AG205" s="21">
        <v>0.88195800000000002</v>
      </c>
      <c r="AH205" s="21">
        <v>19.735700000000001</v>
      </c>
      <c r="AI205" s="21">
        <v>-1.41846E-2</v>
      </c>
      <c r="AJ205" s="21">
        <v>195</v>
      </c>
      <c r="AK205" s="21">
        <v>0.88134800000000002</v>
      </c>
      <c r="AL205">
        <f t="shared" si="42"/>
        <v>17.511851851851851</v>
      </c>
      <c r="AM205">
        <f t="shared" si="43"/>
        <v>15.444717835555556</v>
      </c>
      <c r="AP205" s="9"/>
      <c r="AQ205" s="21">
        <v>0.75805699999999998</v>
      </c>
      <c r="AR205" s="21">
        <v>25.1496</v>
      </c>
      <c r="AS205" s="21">
        <v>-1.4285300000000001E-2</v>
      </c>
      <c r="AT205" s="21">
        <v>195</v>
      </c>
      <c r="AU205" s="21">
        <v>0.75683599999999995</v>
      </c>
      <c r="AV205">
        <f t="shared" si="44"/>
        <v>17.636172839506173</v>
      </c>
      <c r="AW205">
        <f t="shared" si="45"/>
        <v>13.369224274197531</v>
      </c>
      <c r="AX205" s="9"/>
      <c r="AY205" s="21">
        <v>0.88195800000000002</v>
      </c>
      <c r="AZ205" s="21">
        <v>28.847899999999999</v>
      </c>
      <c r="BA205" s="21">
        <v>-1.41724E-2</v>
      </c>
      <c r="BB205" s="21">
        <v>195</v>
      </c>
      <c r="BC205" s="21">
        <v>0.88104199999999999</v>
      </c>
      <c r="BD205">
        <f t="shared" si="46"/>
        <v>17.496790123456787</v>
      </c>
      <c r="BE205">
        <f t="shared" si="47"/>
        <v>15.431434023703702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0.75302100000000005</v>
      </c>
      <c r="H206" s="21">
        <v>6.98224</v>
      </c>
      <c r="I206" s="21">
        <v>-1.41266E-2</v>
      </c>
      <c r="J206" s="21">
        <v>196</v>
      </c>
      <c r="K206" s="21">
        <v>0.75256299999999998</v>
      </c>
      <c r="L206">
        <f t="shared" si="36"/>
        <v>17.440246913580246</v>
      </c>
      <c r="M206">
        <f t="shared" si="37"/>
        <v>13.132872171111112</v>
      </c>
      <c r="N206" s="9"/>
      <c r="O206" s="21">
        <v>0.88699300000000003</v>
      </c>
      <c r="P206" s="21">
        <v>10.6806</v>
      </c>
      <c r="Q206" s="21">
        <v>-1.41022E-2</v>
      </c>
      <c r="R206" s="21">
        <v>196</v>
      </c>
      <c r="S206" s="21">
        <v>0.88622999999999996</v>
      </c>
      <c r="T206">
        <f t="shared" si="38"/>
        <v>17.410123456790124</v>
      </c>
      <c r="U206">
        <f t="shared" si="39"/>
        <v>15.442657635308644</v>
      </c>
      <c r="X206" s="9"/>
      <c r="Y206" s="21">
        <v>0.75302100000000005</v>
      </c>
      <c r="Z206" s="21">
        <v>16.047499999999999</v>
      </c>
      <c r="AA206" s="21">
        <v>-1.41998E-2</v>
      </c>
      <c r="AB206" s="21">
        <v>196</v>
      </c>
      <c r="AC206" s="21">
        <v>0.75134299999999998</v>
      </c>
      <c r="AD206">
        <f t="shared" si="40"/>
        <v>17.530617283950615</v>
      </c>
      <c r="AE206">
        <f t="shared" si="41"/>
        <v>13.200922957777777</v>
      </c>
      <c r="AF206" s="9"/>
      <c r="AG206" s="21">
        <v>0.88699300000000003</v>
      </c>
      <c r="AH206" s="21">
        <v>19.745799999999999</v>
      </c>
      <c r="AI206" s="21">
        <v>-1.4202899999999999E-2</v>
      </c>
      <c r="AJ206" s="21">
        <v>196</v>
      </c>
      <c r="AK206" s="21">
        <v>0.88592499999999996</v>
      </c>
      <c r="AL206">
        <f t="shared" si="42"/>
        <v>17.534444444444443</v>
      </c>
      <c r="AM206">
        <f t="shared" si="43"/>
        <v>15.552929481111111</v>
      </c>
      <c r="AP206" s="9"/>
      <c r="AQ206" s="21">
        <v>0.75302100000000005</v>
      </c>
      <c r="AR206" s="21">
        <v>25.159700000000001</v>
      </c>
      <c r="AS206" s="21">
        <v>-1.4297499999999999E-2</v>
      </c>
      <c r="AT206" s="21">
        <v>196</v>
      </c>
      <c r="AU206" s="21">
        <v>0.75164799999999998</v>
      </c>
      <c r="AV206">
        <f t="shared" si="44"/>
        <v>17.651234567901231</v>
      </c>
      <c r="AW206">
        <f t="shared" si="45"/>
        <v>13.291750305555553</v>
      </c>
      <c r="AX206" s="9"/>
      <c r="AY206" s="21">
        <v>0.88699300000000003</v>
      </c>
      <c r="AZ206" s="21">
        <v>28.858000000000001</v>
      </c>
      <c r="BA206" s="21">
        <v>-1.4175399999999999E-2</v>
      </c>
      <c r="BB206" s="21">
        <v>196</v>
      </c>
      <c r="BC206" s="21">
        <v>0.88592499999999996</v>
      </c>
      <c r="BD206">
        <f t="shared" si="46"/>
        <v>17.500493827160494</v>
      </c>
      <c r="BE206">
        <f t="shared" si="47"/>
        <v>15.522815521234568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0.74798600000000004</v>
      </c>
      <c r="H207" s="21">
        <v>6.9923099999999998</v>
      </c>
      <c r="I207" s="21">
        <v>-1.41327E-2</v>
      </c>
      <c r="J207" s="21">
        <v>197</v>
      </c>
      <c r="K207" s="21">
        <v>0.74743700000000002</v>
      </c>
      <c r="L207">
        <f t="shared" si="36"/>
        <v>17.447777777777777</v>
      </c>
      <c r="M207">
        <f t="shared" si="37"/>
        <v>13.050693508888889</v>
      </c>
      <c r="N207" s="9"/>
      <c r="O207" s="21">
        <v>0.89202899999999996</v>
      </c>
      <c r="P207" s="21">
        <v>10.6906</v>
      </c>
      <c r="Q207" s="21">
        <v>-1.41174E-2</v>
      </c>
      <c r="R207" s="21">
        <v>197</v>
      </c>
      <c r="S207" s="21">
        <v>0.89141800000000004</v>
      </c>
      <c r="T207">
        <f t="shared" si="38"/>
        <v>17.428888888888888</v>
      </c>
      <c r="U207">
        <f t="shared" si="39"/>
        <v>15.547074326666666</v>
      </c>
      <c r="X207" s="9"/>
      <c r="Y207" s="21">
        <v>0.74798600000000004</v>
      </c>
      <c r="Z207" s="21">
        <v>16.057500000000001</v>
      </c>
      <c r="AA207" s="21">
        <v>-1.41998E-2</v>
      </c>
      <c r="AB207" s="21">
        <v>197</v>
      </c>
      <c r="AC207" s="21">
        <v>0.74737500000000001</v>
      </c>
      <c r="AD207">
        <f t="shared" si="40"/>
        <v>17.530617283950615</v>
      </c>
      <c r="AE207">
        <f t="shared" si="41"/>
        <v>13.112656299753086</v>
      </c>
      <c r="AF207" s="9"/>
      <c r="AG207" s="21">
        <v>0.89202899999999996</v>
      </c>
      <c r="AH207" s="21">
        <v>19.7559</v>
      </c>
      <c r="AI207" s="21">
        <v>-1.4202899999999999E-2</v>
      </c>
      <c r="AJ207" s="21">
        <v>197</v>
      </c>
      <c r="AK207" s="21">
        <v>0.89080800000000004</v>
      </c>
      <c r="AL207">
        <f t="shared" si="42"/>
        <v>17.534444444444443</v>
      </c>
      <c r="AM207">
        <f t="shared" si="43"/>
        <v>15.641232943333332</v>
      </c>
      <c r="AP207" s="9"/>
      <c r="AQ207" s="21">
        <v>0.74798600000000004</v>
      </c>
      <c r="AR207" s="21">
        <v>25.169699999999999</v>
      </c>
      <c r="AS207" s="21">
        <v>-1.4312699999999999E-2</v>
      </c>
      <c r="AT207" s="21">
        <v>197</v>
      </c>
      <c r="AU207" s="21">
        <v>0.74734500000000004</v>
      </c>
      <c r="AV207">
        <f t="shared" si="44"/>
        <v>17.669999999999998</v>
      </c>
      <c r="AW207">
        <f t="shared" si="45"/>
        <v>13.216912619999999</v>
      </c>
      <c r="AX207" s="9"/>
      <c r="AY207" s="21">
        <v>0.89202899999999996</v>
      </c>
      <c r="AZ207" s="21">
        <v>28.868099999999998</v>
      </c>
      <c r="BA207" s="21">
        <v>-1.41846E-2</v>
      </c>
      <c r="BB207" s="21">
        <v>197</v>
      </c>
      <c r="BC207" s="21">
        <v>0.89111300000000004</v>
      </c>
      <c r="BD207">
        <f t="shared" si="46"/>
        <v>17.511851851851851</v>
      </c>
      <c r="BE207">
        <f t="shared" si="47"/>
        <v>15.621079695555554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0.74295</v>
      </c>
      <c r="H208" s="21">
        <v>7.0023799999999996</v>
      </c>
      <c r="I208" s="21">
        <v>-1.41479E-2</v>
      </c>
      <c r="J208" s="21">
        <v>198</v>
      </c>
      <c r="K208" s="21">
        <v>0.74240099999999998</v>
      </c>
      <c r="L208">
        <f t="shared" si="36"/>
        <v>17.466543209876541</v>
      </c>
      <c r="M208">
        <f t="shared" si="37"/>
        <v>12.976768277777776</v>
      </c>
      <c r="N208" s="9"/>
      <c r="O208" s="21">
        <v>0.89706399999999997</v>
      </c>
      <c r="P208" s="21">
        <v>10.700699999999999</v>
      </c>
      <c r="Q208" s="21">
        <v>-1.4123500000000001E-2</v>
      </c>
      <c r="R208" s="21">
        <v>198</v>
      </c>
      <c r="S208" s="21">
        <v>0.89630100000000001</v>
      </c>
      <c r="T208">
        <f t="shared" si="38"/>
        <v>17.436419753086419</v>
      </c>
      <c r="U208">
        <f t="shared" si="39"/>
        <v>15.641584449382714</v>
      </c>
      <c r="X208" s="9"/>
      <c r="Y208" s="21">
        <v>0.74295</v>
      </c>
      <c r="Z208" s="21">
        <v>16.067599999999999</v>
      </c>
      <c r="AA208" s="21">
        <v>-1.4212000000000001E-2</v>
      </c>
      <c r="AB208" s="21">
        <v>198</v>
      </c>
      <c r="AC208" s="21">
        <v>0.742371</v>
      </c>
      <c r="AD208">
        <f t="shared" si="40"/>
        <v>17.54567901234568</v>
      </c>
      <c r="AE208">
        <f t="shared" si="41"/>
        <v>13.035562222222223</v>
      </c>
      <c r="AF208" s="9"/>
      <c r="AG208" s="21">
        <v>0.89706399999999997</v>
      </c>
      <c r="AH208" s="21">
        <v>19.765899999999998</v>
      </c>
      <c r="AI208" s="21">
        <v>-1.4196800000000001E-2</v>
      </c>
      <c r="AJ208" s="21">
        <v>198</v>
      </c>
      <c r="AK208" s="21">
        <v>0.89599600000000001</v>
      </c>
      <c r="AL208">
        <f t="shared" si="42"/>
        <v>17.526913580246916</v>
      </c>
      <c r="AM208">
        <f t="shared" si="43"/>
        <v>15.722763203950619</v>
      </c>
      <c r="AP208" s="9"/>
      <c r="AQ208" s="21">
        <v>0.74295</v>
      </c>
      <c r="AR208" s="21">
        <v>25.1798</v>
      </c>
      <c r="AS208" s="21">
        <v>-1.4324999999999999E-2</v>
      </c>
      <c r="AT208" s="21">
        <v>198</v>
      </c>
      <c r="AU208" s="21">
        <v>0.74231000000000003</v>
      </c>
      <c r="AV208">
        <f t="shared" si="44"/>
        <v>17.685185185185183</v>
      </c>
      <c r="AW208">
        <f t="shared" si="45"/>
        <v>13.139208333333332</v>
      </c>
      <c r="AX208" s="9"/>
      <c r="AY208" s="21">
        <v>0.89706399999999997</v>
      </c>
      <c r="AZ208" s="21">
        <v>28.8782</v>
      </c>
      <c r="BA208" s="21">
        <v>-1.41876E-2</v>
      </c>
      <c r="BB208" s="21">
        <v>198</v>
      </c>
      <c r="BC208" s="21">
        <v>0.89630100000000001</v>
      </c>
      <c r="BD208">
        <f t="shared" si="46"/>
        <v>17.515555555555554</v>
      </c>
      <c r="BE208">
        <f t="shared" si="47"/>
        <v>15.712574328888888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0.73791499999999999</v>
      </c>
      <c r="H209" s="21">
        <v>7.0124500000000003</v>
      </c>
      <c r="I209" s="21">
        <v>-1.4157100000000001E-2</v>
      </c>
      <c r="J209" s="21">
        <v>199</v>
      </c>
      <c r="K209" s="21">
        <v>0.73727399999999998</v>
      </c>
      <c r="L209">
        <f t="shared" si="36"/>
        <v>17.477901234567902</v>
      </c>
      <c r="M209">
        <f t="shared" si="37"/>
        <v>12.897205489506174</v>
      </c>
      <c r="N209" s="9"/>
      <c r="O209" s="21">
        <v>0.90210000000000001</v>
      </c>
      <c r="P209" s="21">
        <v>10.710800000000001</v>
      </c>
      <c r="Q209" s="21">
        <v>-1.41174E-2</v>
      </c>
      <c r="R209" s="21">
        <v>199</v>
      </c>
      <c r="S209" s="21">
        <v>0.90148899999999998</v>
      </c>
      <c r="T209">
        <f t="shared" si="38"/>
        <v>17.428888888888888</v>
      </c>
      <c r="U209">
        <f t="shared" si="39"/>
        <v>15.722600666666667</v>
      </c>
      <c r="X209" s="9"/>
      <c r="Y209" s="21">
        <v>0.73791499999999999</v>
      </c>
      <c r="Z209" s="21">
        <v>16.0777</v>
      </c>
      <c r="AA209" s="21">
        <v>-1.42273E-2</v>
      </c>
      <c r="AB209" s="21">
        <v>199</v>
      </c>
      <c r="AC209" s="21">
        <v>0.73739600000000005</v>
      </c>
      <c r="AD209">
        <f t="shared" si="40"/>
        <v>17.564567901234565</v>
      </c>
      <c r="AE209">
        <f t="shared" si="41"/>
        <v>12.961158122839503</v>
      </c>
      <c r="AF209" s="9"/>
      <c r="AG209" s="21">
        <v>0.90210000000000001</v>
      </c>
      <c r="AH209" s="21">
        <v>19.776</v>
      </c>
      <c r="AI209" s="21">
        <v>-1.4202899999999999E-2</v>
      </c>
      <c r="AJ209" s="21">
        <v>199</v>
      </c>
      <c r="AK209" s="21">
        <v>0.90179399999999998</v>
      </c>
      <c r="AL209">
        <f t="shared" si="42"/>
        <v>17.534444444444443</v>
      </c>
      <c r="AM209">
        <f t="shared" si="43"/>
        <v>15.817822333333332</v>
      </c>
      <c r="AP209" s="9"/>
      <c r="AQ209" s="21">
        <v>0.73791499999999999</v>
      </c>
      <c r="AR209" s="21">
        <v>25.189900000000002</v>
      </c>
      <c r="AS209" s="21">
        <v>-1.4328E-2</v>
      </c>
      <c r="AT209" s="21">
        <v>199</v>
      </c>
      <c r="AU209" s="21">
        <v>0.73733499999999996</v>
      </c>
      <c r="AV209">
        <f t="shared" si="44"/>
        <v>17.68888888888889</v>
      </c>
      <c r="AW209">
        <f t="shared" si="45"/>
        <v>13.052896444444444</v>
      </c>
      <c r="AX209" s="9"/>
      <c r="AY209" s="21">
        <v>0.90210000000000001</v>
      </c>
      <c r="AZ209" s="21">
        <v>28.888200000000001</v>
      </c>
      <c r="BA209" s="21">
        <v>-1.4175399999999999E-2</v>
      </c>
      <c r="BB209" s="21">
        <v>199</v>
      </c>
      <c r="BC209" s="21">
        <v>0.90118399999999999</v>
      </c>
      <c r="BD209">
        <f t="shared" si="46"/>
        <v>17.500493827160494</v>
      </c>
      <c r="BE209">
        <f t="shared" si="47"/>
        <v>15.787195481481481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0.73287999999999998</v>
      </c>
      <c r="H210" s="21">
        <v>7.0225200000000001</v>
      </c>
      <c r="I210" s="21">
        <v>-1.4151E-2</v>
      </c>
      <c r="J210" s="21">
        <v>200</v>
      </c>
      <c r="K210" s="21">
        <v>0.73223899999999997</v>
      </c>
      <c r="L210">
        <f t="shared" si="36"/>
        <v>17.470370370370368</v>
      </c>
      <c r="M210">
        <f t="shared" si="37"/>
        <v>12.803685037037035</v>
      </c>
      <c r="N210" s="9"/>
      <c r="O210" s="21">
        <v>0.90713500000000002</v>
      </c>
      <c r="P210" s="21">
        <v>10.7209</v>
      </c>
      <c r="Q210" s="21">
        <v>-1.41113E-2</v>
      </c>
      <c r="R210" s="21">
        <v>200</v>
      </c>
      <c r="S210" s="21">
        <v>0.90667699999999996</v>
      </c>
      <c r="T210">
        <f t="shared" si="38"/>
        <v>17.421358024691358</v>
      </c>
      <c r="U210">
        <f t="shared" si="39"/>
        <v>15.803523611728396</v>
      </c>
      <c r="X210" s="9"/>
      <c r="Y210" s="21">
        <v>0.73287999999999998</v>
      </c>
      <c r="Z210" s="21">
        <v>16.087700000000002</v>
      </c>
      <c r="AA210" s="21">
        <v>-1.42395E-2</v>
      </c>
      <c r="AB210" s="21">
        <v>200</v>
      </c>
      <c r="AC210" s="21">
        <v>0.73223899999999997</v>
      </c>
      <c r="AD210">
        <f t="shared" si="40"/>
        <v>17.579629629629629</v>
      </c>
      <c r="AE210">
        <f t="shared" si="41"/>
        <v>12.883758962962963</v>
      </c>
      <c r="AF210" s="9"/>
      <c r="AG210" s="21">
        <v>0.90713500000000002</v>
      </c>
      <c r="AH210" s="21">
        <v>19.786100000000001</v>
      </c>
      <c r="AI210" s="21">
        <v>-1.41998E-2</v>
      </c>
      <c r="AJ210" s="21">
        <v>200</v>
      </c>
      <c r="AK210" s="21">
        <v>0.90637199999999996</v>
      </c>
      <c r="AL210">
        <f t="shared" si="42"/>
        <v>17.530617283950615</v>
      </c>
      <c r="AM210">
        <f t="shared" si="43"/>
        <v>15.902636509876542</v>
      </c>
      <c r="AP210" s="9"/>
      <c r="AQ210" s="21">
        <v>0.73287999999999998</v>
      </c>
      <c r="AR210" s="21">
        <v>25.2</v>
      </c>
      <c r="AS210" s="21">
        <v>-1.43188E-2</v>
      </c>
      <c r="AT210" s="21">
        <v>200</v>
      </c>
      <c r="AU210" s="21">
        <v>0.732178</v>
      </c>
      <c r="AV210">
        <f t="shared" si="44"/>
        <v>17.677530864197529</v>
      </c>
      <c r="AW210">
        <f t="shared" si="45"/>
        <v>12.955508819753085</v>
      </c>
      <c r="AX210" s="9"/>
      <c r="AY210" s="21">
        <v>0.90713500000000002</v>
      </c>
      <c r="AZ210" s="21">
        <v>28.898299999999999</v>
      </c>
      <c r="BA210" s="21">
        <v>-1.4154099999999999E-2</v>
      </c>
      <c r="BB210" s="21">
        <v>200</v>
      </c>
      <c r="BC210" s="21">
        <v>0.90637199999999996</v>
      </c>
      <c r="BD210">
        <f t="shared" si="46"/>
        <v>17.474197530864195</v>
      </c>
      <c r="BE210">
        <f t="shared" si="47"/>
        <v>15.851456177160493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0.72784400000000005</v>
      </c>
      <c r="H211" s="21">
        <v>7.0325899999999999</v>
      </c>
      <c r="I211" s="21">
        <v>-1.4163200000000001E-2</v>
      </c>
      <c r="J211" s="21">
        <v>201</v>
      </c>
      <c r="K211" s="21">
        <v>0.72714199999999996</v>
      </c>
      <c r="L211">
        <f t="shared" si="36"/>
        <v>17.485432098765433</v>
      </c>
      <c r="M211">
        <f t="shared" si="37"/>
        <v>12.726666840493829</v>
      </c>
      <c r="N211" s="9"/>
      <c r="O211" s="21">
        <v>0.91217000000000004</v>
      </c>
      <c r="P211" s="21">
        <v>10.7309</v>
      </c>
      <c r="Q211" s="21">
        <v>-1.4114399999999999E-2</v>
      </c>
      <c r="R211" s="21">
        <v>201</v>
      </c>
      <c r="S211" s="21">
        <v>0.91156000000000004</v>
      </c>
      <c r="T211">
        <f t="shared" si="38"/>
        <v>17.425185185185182</v>
      </c>
      <c r="U211">
        <f t="shared" si="39"/>
        <v>15.894731170370369</v>
      </c>
      <c r="X211" s="9"/>
      <c r="Y211" s="21">
        <v>0.72784400000000005</v>
      </c>
      <c r="Z211" s="21">
        <v>16.097799999999999</v>
      </c>
      <c r="AA211" s="21">
        <v>-1.4251700000000001E-2</v>
      </c>
      <c r="AB211" s="21">
        <v>201</v>
      </c>
      <c r="AC211" s="21">
        <v>0.72726400000000002</v>
      </c>
      <c r="AD211">
        <f t="shared" si="40"/>
        <v>17.594691358024694</v>
      </c>
      <c r="AE211">
        <f t="shared" si="41"/>
        <v>12.806190536790126</v>
      </c>
      <c r="AF211" s="9"/>
      <c r="AG211" s="21">
        <v>0.91217000000000004</v>
      </c>
      <c r="AH211" s="21">
        <v>19.796099999999999</v>
      </c>
      <c r="AI211" s="21">
        <v>-1.41846E-2</v>
      </c>
      <c r="AJ211" s="21">
        <v>201</v>
      </c>
      <c r="AK211" s="21">
        <v>0.91217000000000004</v>
      </c>
      <c r="AL211">
        <f t="shared" si="42"/>
        <v>17.511851851851851</v>
      </c>
      <c r="AM211">
        <f t="shared" si="43"/>
        <v>15.973785903703703</v>
      </c>
      <c r="AP211" s="9"/>
      <c r="AQ211" s="21">
        <v>0.72784400000000005</v>
      </c>
      <c r="AR211" s="21">
        <v>25.21</v>
      </c>
      <c r="AS211" s="21">
        <v>-1.4306599999999999E-2</v>
      </c>
      <c r="AT211" s="21">
        <v>201</v>
      </c>
      <c r="AU211" s="21">
        <v>0.72717299999999996</v>
      </c>
      <c r="AV211">
        <f t="shared" si="44"/>
        <v>17.662469135802468</v>
      </c>
      <c r="AW211">
        <f t="shared" si="45"/>
        <v>12.855522185679012</v>
      </c>
      <c r="AX211" s="9"/>
      <c r="AY211" s="21">
        <v>0.91217000000000004</v>
      </c>
      <c r="AZ211" s="21">
        <v>28.9084</v>
      </c>
      <c r="BA211" s="21">
        <v>-1.41449E-2</v>
      </c>
      <c r="BB211" s="21">
        <v>201</v>
      </c>
      <c r="BC211" s="21">
        <v>0.91156000000000004</v>
      </c>
      <c r="BD211">
        <f t="shared" si="46"/>
        <v>17.462839506172838</v>
      </c>
      <c r="BE211">
        <f t="shared" si="47"/>
        <v>15.929078312345679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0.72280900000000003</v>
      </c>
      <c r="H212" s="21">
        <v>7.0426599999999997</v>
      </c>
      <c r="I212" s="21">
        <v>-1.41663E-2</v>
      </c>
      <c r="J212" s="21">
        <v>202</v>
      </c>
      <c r="K212" s="21">
        <v>0.72219800000000001</v>
      </c>
      <c r="L212">
        <f t="shared" si="36"/>
        <v>17.489259259259256</v>
      </c>
      <c r="M212">
        <f t="shared" si="37"/>
        <v>12.641393995925924</v>
      </c>
      <c r="N212" s="9"/>
      <c r="O212" s="21">
        <v>0.91720599999999997</v>
      </c>
      <c r="P212" s="21">
        <v>10.741</v>
      </c>
      <c r="Q212" s="21">
        <v>-1.41052E-2</v>
      </c>
      <c r="R212" s="21">
        <v>202</v>
      </c>
      <c r="S212" s="21">
        <v>0.91644300000000001</v>
      </c>
      <c r="T212">
        <f t="shared" si="38"/>
        <v>17.413827160493828</v>
      </c>
      <c r="U212">
        <f t="shared" si="39"/>
        <v>15.972066754567901</v>
      </c>
      <c r="X212" s="9"/>
      <c r="Y212" s="21">
        <v>0.72280900000000003</v>
      </c>
      <c r="Z212" s="21">
        <v>16.107900000000001</v>
      </c>
      <c r="AA212" s="21">
        <v>-1.42548E-2</v>
      </c>
      <c r="AB212" s="21">
        <v>202</v>
      </c>
      <c r="AC212" s="21">
        <v>0.72232099999999999</v>
      </c>
      <c r="AD212">
        <f t="shared" si="40"/>
        <v>17.598518518518517</v>
      </c>
      <c r="AE212">
        <f t="shared" si="41"/>
        <v>12.720367571851851</v>
      </c>
      <c r="AF212" s="9"/>
      <c r="AG212" s="21">
        <v>0.91720599999999997</v>
      </c>
      <c r="AH212" s="21">
        <v>19.8062</v>
      </c>
      <c r="AI212" s="21">
        <v>-1.4154099999999999E-2</v>
      </c>
      <c r="AJ212" s="21">
        <v>202</v>
      </c>
      <c r="AK212" s="21">
        <v>0.91613800000000001</v>
      </c>
      <c r="AL212">
        <f t="shared" si="42"/>
        <v>17.474197530864195</v>
      </c>
      <c r="AM212">
        <f t="shared" si="43"/>
        <v>16.027438820493824</v>
      </c>
      <c r="AP212" s="9"/>
      <c r="AQ212" s="21">
        <v>0.72280900000000003</v>
      </c>
      <c r="AR212" s="21">
        <v>25.220099999999999</v>
      </c>
      <c r="AS212" s="21">
        <v>-1.4300500000000001E-2</v>
      </c>
      <c r="AT212" s="21">
        <v>202</v>
      </c>
      <c r="AU212" s="21">
        <v>0.72213700000000003</v>
      </c>
      <c r="AV212">
        <f t="shared" si="44"/>
        <v>17.654938271604937</v>
      </c>
      <c r="AW212">
        <f t="shared" si="45"/>
        <v>12.761148277160494</v>
      </c>
      <c r="AX212" s="9"/>
      <c r="AY212" s="21">
        <v>0.91720599999999997</v>
      </c>
      <c r="AZ212" s="21">
        <v>28.918399999999998</v>
      </c>
      <c r="BA212" s="21">
        <v>-1.41449E-2</v>
      </c>
      <c r="BB212" s="21">
        <v>202</v>
      </c>
      <c r="BC212" s="21">
        <v>0.91674800000000001</v>
      </c>
      <c r="BD212">
        <f t="shared" si="46"/>
        <v>17.462839506172838</v>
      </c>
      <c r="BE212">
        <f t="shared" si="47"/>
        <v>16.017021172098762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0.71777299999999999</v>
      </c>
      <c r="H213" s="21">
        <v>7.0527300000000004</v>
      </c>
      <c r="I213" s="21">
        <v>-1.41724E-2</v>
      </c>
      <c r="J213" s="21">
        <v>203</v>
      </c>
      <c r="K213" s="21">
        <v>0.71716299999999999</v>
      </c>
      <c r="L213">
        <f t="shared" si="36"/>
        <v>17.496790123456787</v>
      </c>
      <c r="M213">
        <f t="shared" si="37"/>
        <v>12.558723537283948</v>
      </c>
      <c r="N213" s="9"/>
      <c r="O213" s="21">
        <v>0.92224099999999998</v>
      </c>
      <c r="P213" s="21">
        <v>10.751099999999999</v>
      </c>
      <c r="Q213" s="21">
        <v>-1.41022E-2</v>
      </c>
      <c r="R213" s="21">
        <v>203</v>
      </c>
      <c r="S213" s="21">
        <v>0.92102099999999998</v>
      </c>
      <c r="T213">
        <f t="shared" si="38"/>
        <v>17.410123456790124</v>
      </c>
      <c r="U213">
        <f t="shared" si="39"/>
        <v>16.05632966691358</v>
      </c>
      <c r="X213" s="9"/>
      <c r="Y213" s="21">
        <v>0.71777299999999999</v>
      </c>
      <c r="Z213" s="21">
        <v>16.117899999999999</v>
      </c>
      <c r="AA213" s="21">
        <v>-1.4257799999999999E-2</v>
      </c>
      <c r="AB213" s="21">
        <v>203</v>
      </c>
      <c r="AC213" s="21">
        <v>0.71716299999999999</v>
      </c>
      <c r="AD213">
        <f t="shared" si="40"/>
        <v>17.60222222222222</v>
      </c>
      <c r="AE213">
        <f t="shared" si="41"/>
        <v>12.634399851111109</v>
      </c>
      <c r="AF213" s="9"/>
      <c r="AG213" s="21">
        <v>0.92224099999999998</v>
      </c>
      <c r="AH213" s="21">
        <v>19.816299999999998</v>
      </c>
      <c r="AI213" s="21">
        <v>-1.41418E-2</v>
      </c>
      <c r="AJ213" s="21">
        <v>203</v>
      </c>
      <c r="AK213" s="21">
        <v>0.92163099999999998</v>
      </c>
      <c r="AL213">
        <f t="shared" si="42"/>
        <v>17.45901234567901</v>
      </c>
      <c r="AM213">
        <f t="shared" si="43"/>
        <v>16.101417004691356</v>
      </c>
      <c r="AP213" s="9"/>
      <c r="AQ213" s="21">
        <v>0.71777299999999999</v>
      </c>
      <c r="AR213" s="21">
        <v>25.2302</v>
      </c>
      <c r="AS213" s="21">
        <v>-1.43036E-2</v>
      </c>
      <c r="AT213" s="21">
        <v>203</v>
      </c>
      <c r="AU213" s="21">
        <v>0.71713300000000002</v>
      </c>
      <c r="AV213">
        <f t="shared" si="44"/>
        <v>17.658765432098765</v>
      </c>
      <c r="AW213">
        <f t="shared" si="45"/>
        <v>12.674985040493826</v>
      </c>
      <c r="AX213" s="9"/>
      <c r="AY213" s="21">
        <v>0.92224099999999998</v>
      </c>
      <c r="AZ213" s="21">
        <v>28.9285</v>
      </c>
      <c r="BA213" s="21">
        <v>-1.4151E-2</v>
      </c>
      <c r="BB213" s="21">
        <v>203</v>
      </c>
      <c r="BC213" s="21">
        <v>0.92132599999999998</v>
      </c>
      <c r="BD213">
        <f t="shared" si="46"/>
        <v>17.470370370370368</v>
      </c>
      <c r="BE213">
        <f t="shared" si="47"/>
        <v>16.111891840740739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0.71273799999999998</v>
      </c>
      <c r="H214" s="21">
        <v>7.0628099999999998</v>
      </c>
      <c r="I214" s="21">
        <v>-1.4169299999999999E-2</v>
      </c>
      <c r="J214" s="21">
        <v>204</v>
      </c>
      <c r="K214" s="21">
        <v>0.71209699999999998</v>
      </c>
      <c r="L214">
        <f t="shared" si="36"/>
        <v>17.492962962962959</v>
      </c>
      <c r="M214">
        <f t="shared" si="37"/>
        <v>12.467899436296294</v>
      </c>
      <c r="N214" s="9"/>
      <c r="O214" s="21">
        <v>0.92727700000000002</v>
      </c>
      <c r="P214" s="21">
        <v>10.761100000000001</v>
      </c>
      <c r="Q214" s="21">
        <v>-1.41052E-2</v>
      </c>
      <c r="R214" s="21">
        <v>204</v>
      </c>
      <c r="S214" s="21">
        <v>0.92651399999999995</v>
      </c>
      <c r="T214">
        <f t="shared" si="38"/>
        <v>17.413827160493828</v>
      </c>
      <c r="U214">
        <f t="shared" si="39"/>
        <v>16.147441407901237</v>
      </c>
      <c r="X214" s="9"/>
      <c r="Y214" s="21">
        <v>0.71273799999999998</v>
      </c>
      <c r="Z214" s="21">
        <v>16.128</v>
      </c>
      <c r="AA214" s="21">
        <v>-1.4242599999999999E-2</v>
      </c>
      <c r="AB214" s="21">
        <v>204</v>
      </c>
      <c r="AC214" s="21">
        <v>0.71212799999999998</v>
      </c>
      <c r="AD214">
        <f t="shared" si="40"/>
        <v>17.583456790123453</v>
      </c>
      <c r="AE214">
        <f t="shared" si="41"/>
        <v>12.532397825679009</v>
      </c>
      <c r="AF214" s="9"/>
      <c r="AG214" s="21">
        <v>0.92727700000000002</v>
      </c>
      <c r="AH214" s="21">
        <v>19.8264</v>
      </c>
      <c r="AI214" s="21">
        <v>-1.41449E-2</v>
      </c>
      <c r="AJ214" s="21">
        <v>204</v>
      </c>
      <c r="AK214" s="21">
        <v>0.92651399999999995</v>
      </c>
      <c r="AL214">
        <f t="shared" si="42"/>
        <v>17.462839506172838</v>
      </c>
      <c r="AM214">
        <f t="shared" si="43"/>
        <v>16.192889428765429</v>
      </c>
      <c r="AP214" s="9"/>
      <c r="AQ214" s="21">
        <v>0.71273799999999998</v>
      </c>
      <c r="AR214" s="21">
        <v>25.240200000000002</v>
      </c>
      <c r="AS214" s="21">
        <v>-1.4285300000000001E-2</v>
      </c>
      <c r="AT214" s="21">
        <v>204</v>
      </c>
      <c r="AU214" s="21">
        <v>0.71209699999999998</v>
      </c>
      <c r="AV214">
        <f t="shared" si="44"/>
        <v>17.636172839506173</v>
      </c>
      <c r="AW214">
        <f t="shared" si="45"/>
        <v>12.56997055728395</v>
      </c>
      <c r="AX214" s="9"/>
      <c r="AY214" s="21">
        <v>0.92727700000000002</v>
      </c>
      <c r="AZ214" s="21">
        <v>28.938600000000001</v>
      </c>
      <c r="BA214" s="21">
        <v>-1.4157100000000001E-2</v>
      </c>
      <c r="BB214" s="21">
        <v>204</v>
      </c>
      <c r="BC214" s="21">
        <v>0.92681899999999995</v>
      </c>
      <c r="BD214">
        <f t="shared" si="46"/>
        <v>17.477901234567902</v>
      </c>
      <c r="BE214">
        <f t="shared" si="47"/>
        <v>16.206855823086421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0.70770299999999997</v>
      </c>
      <c r="H215" s="21">
        <v>7.0728799999999996</v>
      </c>
      <c r="I215" s="21">
        <v>-1.4163200000000001E-2</v>
      </c>
      <c r="J215" s="21">
        <v>205</v>
      </c>
      <c r="K215" s="21">
        <v>0.70715300000000003</v>
      </c>
      <c r="L215">
        <f t="shared" si="36"/>
        <v>17.485432098765433</v>
      </c>
      <c r="M215">
        <f t="shared" si="37"/>
        <v>12.374492752592593</v>
      </c>
      <c r="N215" s="9"/>
      <c r="O215" s="21">
        <v>0.93231200000000003</v>
      </c>
      <c r="P215" s="21">
        <v>10.7712</v>
      </c>
      <c r="Q215" s="21">
        <v>-1.41113E-2</v>
      </c>
      <c r="R215" s="21">
        <v>205</v>
      </c>
      <c r="S215" s="21">
        <v>0.93170200000000003</v>
      </c>
      <c r="T215">
        <f t="shared" si="38"/>
        <v>17.421358024691358</v>
      </c>
      <c r="U215">
        <f t="shared" si="39"/>
        <v>16.242141142716051</v>
      </c>
      <c r="X215" s="9"/>
      <c r="Y215" s="21">
        <v>0.70770299999999997</v>
      </c>
      <c r="Z215" s="21">
        <v>16.138100000000001</v>
      </c>
      <c r="AA215" s="21">
        <v>-1.42487E-2</v>
      </c>
      <c r="AB215" s="21">
        <v>205</v>
      </c>
      <c r="AC215" s="21">
        <v>0.70706199999999997</v>
      </c>
      <c r="AD215">
        <f t="shared" si="40"/>
        <v>17.590987654320987</v>
      </c>
      <c r="AE215">
        <f t="shared" si="41"/>
        <v>12.449194735925925</v>
      </c>
      <c r="AF215" s="9"/>
      <c r="AG215" s="21">
        <v>0.93231200000000003</v>
      </c>
      <c r="AH215" s="21">
        <v>19.836400000000001</v>
      </c>
      <c r="AI215" s="21">
        <v>-1.4154099999999999E-2</v>
      </c>
      <c r="AJ215" s="21">
        <v>205</v>
      </c>
      <c r="AK215" s="21">
        <v>0.93170200000000003</v>
      </c>
      <c r="AL215">
        <f t="shared" si="42"/>
        <v>17.474197530864195</v>
      </c>
      <c r="AM215">
        <f t="shared" si="43"/>
        <v>16.291404048395059</v>
      </c>
      <c r="AP215" s="9"/>
      <c r="AQ215" s="21">
        <v>0.70770299999999997</v>
      </c>
      <c r="AR215" s="21">
        <v>25.250299999999999</v>
      </c>
      <c r="AS215" s="21">
        <v>-1.42761E-2</v>
      </c>
      <c r="AT215" s="21">
        <v>205</v>
      </c>
      <c r="AU215" s="21">
        <v>0.70721400000000001</v>
      </c>
      <c r="AV215">
        <f t="shared" si="44"/>
        <v>17.624814814814812</v>
      </c>
      <c r="AW215">
        <f t="shared" si="45"/>
        <v>12.473134318888887</v>
      </c>
      <c r="AX215" s="9"/>
      <c r="AY215" s="21">
        <v>0.93231200000000003</v>
      </c>
      <c r="AZ215" s="21">
        <v>28.948599999999999</v>
      </c>
      <c r="BA215" s="21">
        <v>-1.4157100000000001E-2</v>
      </c>
      <c r="BB215" s="21">
        <v>205</v>
      </c>
      <c r="BC215" s="21">
        <v>0.93170200000000003</v>
      </c>
      <c r="BD215">
        <f t="shared" si="46"/>
        <v>17.477901234567902</v>
      </c>
      <c r="BE215">
        <f t="shared" si="47"/>
        <v>16.294857055802471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0.70266700000000004</v>
      </c>
      <c r="H216" s="21">
        <v>7.0829500000000003</v>
      </c>
      <c r="I216" s="21">
        <v>-1.41663E-2</v>
      </c>
      <c r="J216" s="21">
        <v>206</v>
      </c>
      <c r="K216" s="21">
        <v>0.70193499999999998</v>
      </c>
      <c r="L216">
        <f t="shared" si="36"/>
        <v>17.489259259259256</v>
      </c>
      <c r="M216">
        <f t="shared" si="37"/>
        <v>12.289125335925924</v>
      </c>
      <c r="N216" s="9"/>
      <c r="O216" s="21">
        <v>0.93734700000000004</v>
      </c>
      <c r="P216" s="21">
        <v>10.7813</v>
      </c>
      <c r="Q216" s="21">
        <v>-1.41022E-2</v>
      </c>
      <c r="R216" s="21">
        <v>206</v>
      </c>
      <c r="S216" s="21">
        <v>0.93627899999999997</v>
      </c>
      <c r="T216">
        <f t="shared" si="38"/>
        <v>17.410123456790124</v>
      </c>
      <c r="U216">
        <f t="shared" si="39"/>
        <v>16.319326991851852</v>
      </c>
      <c r="X216" s="9"/>
      <c r="Y216" s="21">
        <v>0.70266700000000004</v>
      </c>
      <c r="Z216" s="21">
        <v>16.148199999999999</v>
      </c>
      <c r="AA216" s="21">
        <v>-1.42487E-2</v>
      </c>
      <c r="AB216" s="21">
        <v>206</v>
      </c>
      <c r="AC216" s="21">
        <v>0.70205700000000004</v>
      </c>
      <c r="AD216">
        <f t="shared" si="40"/>
        <v>17.590987654320987</v>
      </c>
      <c r="AE216">
        <f t="shared" si="41"/>
        <v>12.360606522098765</v>
      </c>
      <c r="AF216" s="9"/>
      <c r="AG216" s="21">
        <v>0.93734700000000004</v>
      </c>
      <c r="AH216" s="21">
        <v>19.846499999999999</v>
      </c>
      <c r="AI216" s="21">
        <v>-1.4157100000000001E-2</v>
      </c>
      <c r="AJ216" s="21">
        <v>206</v>
      </c>
      <c r="AK216" s="21">
        <v>0.93597399999999997</v>
      </c>
      <c r="AL216">
        <f t="shared" si="42"/>
        <v>17.477901234567902</v>
      </c>
      <c r="AM216">
        <f t="shared" si="43"/>
        <v>16.38285828851852</v>
      </c>
      <c r="AP216" s="9"/>
      <c r="AQ216" s="21">
        <v>0.70266700000000004</v>
      </c>
      <c r="AR216" s="21">
        <v>25.260400000000001</v>
      </c>
      <c r="AS216" s="21">
        <v>-1.42761E-2</v>
      </c>
      <c r="AT216" s="21">
        <v>206</v>
      </c>
      <c r="AU216" s="21">
        <v>0.70202600000000004</v>
      </c>
      <c r="AV216">
        <f t="shared" si="44"/>
        <v>17.624814814814812</v>
      </c>
      <c r="AW216">
        <f t="shared" si="45"/>
        <v>12.38437575148148</v>
      </c>
      <c r="AX216" s="9"/>
      <c r="AY216" s="21">
        <v>0.93734700000000004</v>
      </c>
      <c r="AZ216" s="21">
        <v>28.9587</v>
      </c>
      <c r="BA216" s="21">
        <v>-1.4157100000000001E-2</v>
      </c>
      <c r="BB216" s="21">
        <v>206</v>
      </c>
      <c r="BC216" s="21">
        <v>0.937195</v>
      </c>
      <c r="BD216">
        <f t="shared" si="46"/>
        <v>17.477901234567902</v>
      </c>
      <c r="BE216">
        <f t="shared" si="47"/>
        <v>16.38285828851852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0.69763200000000003</v>
      </c>
      <c r="H217" s="21">
        <v>7.0930200000000001</v>
      </c>
      <c r="I217" s="21">
        <v>-1.4163200000000001E-2</v>
      </c>
      <c r="J217" s="21">
        <v>207</v>
      </c>
      <c r="K217" s="21">
        <v>0.697052</v>
      </c>
      <c r="L217">
        <f t="shared" si="36"/>
        <v>17.485432098765433</v>
      </c>
      <c r="M217">
        <f t="shared" si="37"/>
        <v>12.198396965925927</v>
      </c>
      <c r="N217" s="9"/>
      <c r="O217" s="21">
        <v>0.94238299999999997</v>
      </c>
      <c r="P217" s="21">
        <v>10.791399999999999</v>
      </c>
      <c r="Q217" s="21">
        <v>-1.41022E-2</v>
      </c>
      <c r="R217" s="21">
        <v>207</v>
      </c>
      <c r="S217" s="21">
        <v>0.94177200000000005</v>
      </c>
      <c r="T217">
        <f t="shared" si="38"/>
        <v>17.410123456790124</v>
      </c>
      <c r="U217">
        <f t="shared" si="39"/>
        <v>16.407004373580246</v>
      </c>
      <c r="X217" s="9"/>
      <c r="Y217" s="21">
        <v>0.69763200000000003</v>
      </c>
      <c r="Z217" s="21">
        <v>16.158200000000001</v>
      </c>
      <c r="AA217" s="21">
        <v>-1.42395E-2</v>
      </c>
      <c r="AB217" s="21">
        <v>207</v>
      </c>
      <c r="AC217" s="21">
        <v>0.697021</v>
      </c>
      <c r="AD217">
        <f t="shared" si="40"/>
        <v>17.579629629629629</v>
      </c>
      <c r="AE217">
        <f t="shared" si="41"/>
        <v>12.264112177777777</v>
      </c>
      <c r="AF217" s="9"/>
      <c r="AG217" s="21">
        <v>0.94238299999999997</v>
      </c>
      <c r="AH217" s="21">
        <v>19.8566</v>
      </c>
      <c r="AI217" s="21">
        <v>-1.4154099999999999E-2</v>
      </c>
      <c r="AJ217" s="21">
        <v>207</v>
      </c>
      <c r="AK217" s="21">
        <v>0.94146700000000005</v>
      </c>
      <c r="AL217">
        <f t="shared" si="42"/>
        <v>17.474197530864195</v>
      </c>
      <c r="AM217">
        <f t="shared" si="43"/>
        <v>16.467386691728393</v>
      </c>
      <c r="AP217" s="9"/>
      <c r="AQ217" s="21">
        <v>0.69763200000000003</v>
      </c>
      <c r="AR217" s="21">
        <v>25.270499999999998</v>
      </c>
      <c r="AS217" s="21">
        <v>-1.42761E-2</v>
      </c>
      <c r="AT217" s="21">
        <v>207</v>
      </c>
      <c r="AU217" s="21">
        <v>0.697052</v>
      </c>
      <c r="AV217">
        <f t="shared" si="44"/>
        <v>17.624814814814812</v>
      </c>
      <c r="AW217">
        <f t="shared" si="45"/>
        <v>12.295634808888888</v>
      </c>
      <c r="AX217" s="9"/>
      <c r="AY217" s="21">
        <v>0.94238299999999997</v>
      </c>
      <c r="AZ217" s="21">
        <v>28.968800000000002</v>
      </c>
      <c r="BA217" s="21">
        <v>-1.41602E-2</v>
      </c>
      <c r="BB217" s="21">
        <v>207</v>
      </c>
      <c r="BC217" s="21">
        <v>0.94207799999999997</v>
      </c>
      <c r="BD217">
        <f t="shared" si="46"/>
        <v>17.481728395061729</v>
      </c>
      <c r="BE217">
        <f t="shared" si="47"/>
        <v>16.474483650123457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0.69259599999999999</v>
      </c>
      <c r="H218" s="21">
        <v>7.1030899999999999</v>
      </c>
      <c r="I218" s="21">
        <v>-1.41602E-2</v>
      </c>
      <c r="J218" s="21">
        <v>208</v>
      </c>
      <c r="K218" s="21">
        <v>0.69198599999999999</v>
      </c>
      <c r="L218">
        <f t="shared" si="36"/>
        <v>17.481728395061729</v>
      </c>
      <c r="M218">
        <f t="shared" si="37"/>
        <v>12.107775159506174</v>
      </c>
      <c r="N218" s="9"/>
      <c r="O218" s="21">
        <v>0.94741799999999998</v>
      </c>
      <c r="P218" s="21">
        <v>10.801399999999999</v>
      </c>
      <c r="Q218" s="21">
        <v>-1.409E-2</v>
      </c>
      <c r="R218" s="21">
        <v>208</v>
      </c>
      <c r="S218" s="21">
        <v>0.94665500000000002</v>
      </c>
      <c r="T218">
        <f t="shared" si="38"/>
        <v>17.39506172839506</v>
      </c>
      <c r="U218">
        <f t="shared" si="39"/>
        <v>16.480394592592592</v>
      </c>
      <c r="X218" s="9"/>
      <c r="Y218" s="21">
        <v>0.69259599999999999</v>
      </c>
      <c r="Z218" s="21">
        <v>16.168299999999999</v>
      </c>
      <c r="AA218" s="21">
        <v>-1.4236499999999999E-2</v>
      </c>
      <c r="AB218" s="21">
        <v>208</v>
      </c>
      <c r="AC218" s="21">
        <v>0.69204699999999997</v>
      </c>
      <c r="AD218">
        <f t="shared" si="40"/>
        <v>17.575925925925926</v>
      </c>
      <c r="AE218">
        <f t="shared" si="41"/>
        <v>12.173015992592592</v>
      </c>
      <c r="AF218" s="9"/>
      <c r="AG218" s="21">
        <v>0.94741799999999998</v>
      </c>
      <c r="AH218" s="21">
        <v>19.866599999999998</v>
      </c>
      <c r="AI218" s="21">
        <v>-1.41479E-2</v>
      </c>
      <c r="AJ218" s="21">
        <v>208</v>
      </c>
      <c r="AK218" s="21">
        <v>0.94665500000000002</v>
      </c>
      <c r="AL218">
        <f t="shared" si="42"/>
        <v>17.466543209876541</v>
      </c>
      <c r="AM218">
        <f t="shared" si="43"/>
        <v>16.548117434814813</v>
      </c>
      <c r="AP218" s="9"/>
      <c r="AQ218" s="21">
        <v>0.69259599999999999</v>
      </c>
      <c r="AR218" s="21">
        <v>25.2805</v>
      </c>
      <c r="AS218" s="21">
        <v>-1.4285300000000001E-2</v>
      </c>
      <c r="AT218" s="21">
        <v>208</v>
      </c>
      <c r="AU218" s="21">
        <v>0.69198599999999999</v>
      </c>
      <c r="AV218">
        <f t="shared" si="44"/>
        <v>17.636172839506173</v>
      </c>
      <c r="AW218">
        <f t="shared" si="45"/>
        <v>12.214742763950618</v>
      </c>
      <c r="AX218" s="9"/>
      <c r="AY218" s="21">
        <v>0.94741799999999998</v>
      </c>
      <c r="AZ218" s="21">
        <v>28.978899999999999</v>
      </c>
      <c r="BA218" s="21">
        <v>-1.4157100000000001E-2</v>
      </c>
      <c r="BB218" s="21">
        <v>208</v>
      </c>
      <c r="BC218" s="21">
        <v>0.94665500000000002</v>
      </c>
      <c r="BD218">
        <f t="shared" si="46"/>
        <v>17.477901234567902</v>
      </c>
      <c r="BE218">
        <f t="shared" si="47"/>
        <v>16.558878231851853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0.68756099999999998</v>
      </c>
      <c r="H219" s="21">
        <v>7.1131599999999997</v>
      </c>
      <c r="I219" s="21">
        <v>-1.4154099999999999E-2</v>
      </c>
      <c r="J219" s="21">
        <v>209</v>
      </c>
      <c r="K219" s="21">
        <v>0.68695099999999998</v>
      </c>
      <c r="L219">
        <f t="shared" si="36"/>
        <v>17.474197530864195</v>
      </c>
      <c r="M219">
        <f t="shared" si="37"/>
        <v>12.014576728518517</v>
      </c>
      <c r="N219" s="9"/>
      <c r="O219" s="21">
        <v>0.95245400000000002</v>
      </c>
      <c r="P219" s="21">
        <v>10.811500000000001</v>
      </c>
      <c r="Q219" s="21">
        <v>-1.4071699999999999E-2</v>
      </c>
      <c r="R219" s="21">
        <v>209</v>
      </c>
      <c r="S219" s="21">
        <v>0.95153799999999999</v>
      </c>
      <c r="T219">
        <f t="shared" si="38"/>
        <v>17.372469135802469</v>
      </c>
      <c r="U219">
        <f t="shared" si="39"/>
        <v>16.546477718271603</v>
      </c>
      <c r="X219" s="9"/>
      <c r="Y219" s="21">
        <v>0.68756099999999998</v>
      </c>
      <c r="Z219" s="21">
        <v>16.1784</v>
      </c>
      <c r="AA219" s="21">
        <v>-1.42395E-2</v>
      </c>
      <c r="AB219" s="21">
        <v>209</v>
      </c>
      <c r="AC219" s="21">
        <v>0.68695099999999998</v>
      </c>
      <c r="AD219">
        <f t="shared" si="40"/>
        <v>17.579629629629629</v>
      </c>
      <c r="AE219">
        <f t="shared" si="41"/>
        <v>12.087067727777777</v>
      </c>
      <c r="AF219" s="9"/>
      <c r="AG219" s="21">
        <v>0.95245400000000002</v>
      </c>
      <c r="AH219" s="21">
        <v>19.8767</v>
      </c>
      <c r="AI219" s="21">
        <v>-1.41266E-2</v>
      </c>
      <c r="AJ219" s="21">
        <v>209</v>
      </c>
      <c r="AK219" s="21">
        <v>0.95153799999999999</v>
      </c>
      <c r="AL219">
        <f t="shared" si="42"/>
        <v>17.440246913580246</v>
      </c>
      <c r="AM219">
        <f t="shared" si="43"/>
        <v>16.611032933827161</v>
      </c>
      <c r="AP219" s="9"/>
      <c r="AQ219" s="21">
        <v>0.68756099999999998</v>
      </c>
      <c r="AR219" s="21">
        <v>25.290600000000001</v>
      </c>
      <c r="AS219" s="21">
        <v>-1.4285300000000001E-2</v>
      </c>
      <c r="AT219" s="21">
        <v>209</v>
      </c>
      <c r="AU219" s="21">
        <v>0.68695099999999998</v>
      </c>
      <c r="AV219">
        <f t="shared" si="44"/>
        <v>17.636172839506173</v>
      </c>
      <c r="AW219">
        <f t="shared" si="45"/>
        <v>12.125944633703703</v>
      </c>
      <c r="AX219" s="9"/>
      <c r="AY219" s="21">
        <v>0.95245400000000002</v>
      </c>
      <c r="AZ219" s="21">
        <v>28.988900000000001</v>
      </c>
      <c r="BA219" s="21">
        <v>-1.41602E-2</v>
      </c>
      <c r="BB219" s="21">
        <v>209</v>
      </c>
      <c r="BC219" s="21">
        <v>0.95214799999999999</v>
      </c>
      <c r="BD219">
        <f t="shared" si="46"/>
        <v>17.481728395061729</v>
      </c>
      <c r="BE219">
        <f t="shared" si="47"/>
        <v>16.650542136790126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0.68252599999999997</v>
      </c>
      <c r="H220" s="21">
        <v>7.1232300000000004</v>
      </c>
      <c r="I220" s="21">
        <v>-1.4151E-2</v>
      </c>
      <c r="J220" s="21">
        <v>210</v>
      </c>
      <c r="K220" s="21">
        <v>0.68191500000000005</v>
      </c>
      <c r="L220">
        <f t="shared" si="36"/>
        <v>17.470370370370368</v>
      </c>
      <c r="M220">
        <f t="shared" si="37"/>
        <v>11.923982007407405</v>
      </c>
      <c r="N220" s="9"/>
      <c r="O220" s="21">
        <v>0.95748900000000003</v>
      </c>
      <c r="P220" s="21">
        <v>10.8216</v>
      </c>
      <c r="Q220" s="21">
        <v>-1.40839E-2</v>
      </c>
      <c r="R220" s="21">
        <v>210</v>
      </c>
      <c r="S220" s="21">
        <v>0.95672599999999997</v>
      </c>
      <c r="T220">
        <f t="shared" si="38"/>
        <v>17.387530864197529</v>
      </c>
      <c r="U220">
        <f t="shared" si="39"/>
        <v>16.648369539629631</v>
      </c>
      <c r="X220" s="9"/>
      <c r="Y220" s="21">
        <v>0.68252599999999997</v>
      </c>
      <c r="Z220" s="21">
        <v>16.188400000000001</v>
      </c>
      <c r="AA220" s="21">
        <v>-1.4251700000000001E-2</v>
      </c>
      <c r="AB220" s="21">
        <v>210</v>
      </c>
      <c r="AC220" s="21">
        <v>0.68194600000000005</v>
      </c>
      <c r="AD220">
        <f t="shared" si="40"/>
        <v>17.594691358024694</v>
      </c>
      <c r="AE220">
        <f t="shared" si="41"/>
        <v>12.008834313827162</v>
      </c>
      <c r="AF220" s="9"/>
      <c r="AG220" s="21">
        <v>0.95748900000000003</v>
      </c>
      <c r="AH220" s="21">
        <v>19.886800000000001</v>
      </c>
      <c r="AI220" s="21">
        <v>-1.4120499999999999E-2</v>
      </c>
      <c r="AJ220" s="21">
        <v>210</v>
      </c>
      <c r="AK220" s="21">
        <v>0.95703099999999997</v>
      </c>
      <c r="AL220">
        <f t="shared" si="42"/>
        <v>17.432716049382716</v>
      </c>
      <c r="AM220">
        <f t="shared" si="43"/>
        <v>16.691633857407407</v>
      </c>
      <c r="AP220" s="9"/>
      <c r="AQ220" s="21">
        <v>0.68252599999999997</v>
      </c>
      <c r="AR220" s="21">
        <v>25.300699999999999</v>
      </c>
      <c r="AS220" s="21">
        <v>-1.4300500000000001E-2</v>
      </c>
      <c r="AT220" s="21">
        <v>210</v>
      </c>
      <c r="AU220" s="21">
        <v>0.68185399999999996</v>
      </c>
      <c r="AV220">
        <f t="shared" si="44"/>
        <v>17.654938271604937</v>
      </c>
      <c r="AW220">
        <f t="shared" si="45"/>
        <v>12.049954398765431</v>
      </c>
      <c r="AX220" s="9"/>
      <c r="AY220" s="21">
        <v>0.95748900000000003</v>
      </c>
      <c r="AZ220" s="21">
        <v>28.998999999999999</v>
      </c>
      <c r="BA220" s="21">
        <v>-1.41785E-2</v>
      </c>
      <c r="BB220" s="21">
        <v>210</v>
      </c>
      <c r="BC220" s="21">
        <v>0.95642099999999997</v>
      </c>
      <c r="BD220">
        <f t="shared" si="46"/>
        <v>17.504320987654321</v>
      </c>
      <c r="BE220">
        <f t="shared" si="47"/>
        <v>16.760194798148149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0.67749000000000004</v>
      </c>
      <c r="H221" s="21">
        <v>7.1333000000000002</v>
      </c>
      <c r="I221" s="21">
        <v>-1.4151E-2</v>
      </c>
      <c r="J221" s="21">
        <v>211</v>
      </c>
      <c r="K221" s="21">
        <v>0.67694100000000001</v>
      </c>
      <c r="L221">
        <f t="shared" si="36"/>
        <v>17.470370370370368</v>
      </c>
      <c r="M221">
        <f t="shared" si="37"/>
        <v>11.836001222222221</v>
      </c>
      <c r="N221" s="9"/>
      <c r="O221" s="21">
        <v>0.96252400000000005</v>
      </c>
      <c r="P221" s="21">
        <v>10.8316</v>
      </c>
      <c r="Q221" s="21">
        <v>-1.4093E-2</v>
      </c>
      <c r="R221" s="21">
        <v>211</v>
      </c>
      <c r="S221" s="21">
        <v>0.96160900000000005</v>
      </c>
      <c r="T221">
        <f t="shared" si="38"/>
        <v>17.398765432098763</v>
      </c>
      <c r="U221">
        <f t="shared" si="39"/>
        <v>16.74672929876543</v>
      </c>
      <c r="X221" s="9"/>
      <c r="Y221" s="21">
        <v>0.67749000000000004</v>
      </c>
      <c r="Z221" s="21">
        <v>16.198499999999999</v>
      </c>
      <c r="AA221" s="21">
        <v>-1.42609E-2</v>
      </c>
      <c r="AB221" s="21">
        <v>211</v>
      </c>
      <c r="AC221" s="21">
        <v>0.67688000000000004</v>
      </c>
      <c r="AD221">
        <f t="shared" si="40"/>
        <v>17.606049382716048</v>
      </c>
      <c r="AE221">
        <f t="shared" si="41"/>
        <v>11.927922396296296</v>
      </c>
      <c r="AF221" s="9"/>
      <c r="AG221" s="21">
        <v>0.96252400000000005</v>
      </c>
      <c r="AH221" s="21">
        <v>19.896899999999999</v>
      </c>
      <c r="AI221" s="21">
        <v>-1.4114399999999999E-2</v>
      </c>
      <c r="AJ221" s="21">
        <v>211</v>
      </c>
      <c r="AK221" s="21">
        <v>0.96160900000000005</v>
      </c>
      <c r="AL221">
        <f t="shared" si="42"/>
        <v>17.425185185185182</v>
      </c>
      <c r="AM221">
        <f t="shared" si="43"/>
        <v>16.772158945185183</v>
      </c>
      <c r="AP221" s="9"/>
      <c r="AQ221" s="21">
        <v>0.67749000000000004</v>
      </c>
      <c r="AR221" s="21">
        <v>25.310700000000001</v>
      </c>
      <c r="AS221" s="21">
        <v>-1.43097E-2</v>
      </c>
      <c r="AT221" s="21">
        <v>211</v>
      </c>
      <c r="AU221" s="21">
        <v>0.67688000000000004</v>
      </c>
      <c r="AV221">
        <f t="shared" si="44"/>
        <v>17.666296296296295</v>
      </c>
      <c r="AW221">
        <f t="shared" si="45"/>
        <v>11.968739077777778</v>
      </c>
      <c r="AX221" s="9"/>
      <c r="AY221" s="21">
        <v>0.96252400000000005</v>
      </c>
      <c r="AZ221" s="21">
        <v>29.0091</v>
      </c>
      <c r="BA221" s="21">
        <v>-1.4175399999999999E-2</v>
      </c>
      <c r="BB221" s="21">
        <v>211</v>
      </c>
      <c r="BC221" s="21">
        <v>0.96191400000000005</v>
      </c>
      <c r="BD221">
        <f t="shared" si="46"/>
        <v>17.500493827160494</v>
      </c>
      <c r="BE221">
        <f t="shared" si="47"/>
        <v>16.844645320493829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0.67245500000000002</v>
      </c>
      <c r="H222" s="21">
        <v>7.14337</v>
      </c>
      <c r="I222" s="21">
        <v>-1.41602E-2</v>
      </c>
      <c r="J222" s="21">
        <v>212</v>
      </c>
      <c r="K222" s="21">
        <v>0.671844</v>
      </c>
      <c r="L222">
        <f t="shared" si="36"/>
        <v>17.481728395061729</v>
      </c>
      <c r="M222">
        <f t="shared" si="37"/>
        <v>11.755675667901235</v>
      </c>
      <c r="N222" s="9"/>
      <c r="O222" s="21">
        <v>0.96755999999999998</v>
      </c>
      <c r="P222" s="21">
        <v>10.841699999999999</v>
      </c>
      <c r="Q222" s="21">
        <v>-1.40961E-2</v>
      </c>
      <c r="R222" s="21">
        <v>212</v>
      </c>
      <c r="S222" s="21">
        <v>0.96679700000000002</v>
      </c>
      <c r="T222">
        <f t="shared" si="38"/>
        <v>17.40259259259259</v>
      </c>
      <c r="U222">
        <f t="shared" si="39"/>
        <v>16.838052488888888</v>
      </c>
      <c r="X222" s="9"/>
      <c r="Y222" s="21">
        <v>0.67245500000000002</v>
      </c>
      <c r="Z222" s="21">
        <v>16.208600000000001</v>
      </c>
      <c r="AA222" s="21">
        <v>-1.42609E-2</v>
      </c>
      <c r="AB222" s="21">
        <v>212</v>
      </c>
      <c r="AC222" s="21">
        <v>0.67181400000000002</v>
      </c>
      <c r="AD222">
        <f t="shared" si="40"/>
        <v>17.606049382716048</v>
      </c>
      <c r="AE222">
        <f t="shared" si="41"/>
        <v>11.839275937654321</v>
      </c>
      <c r="AF222" s="9"/>
      <c r="AG222" s="21">
        <v>0.96755999999999998</v>
      </c>
      <c r="AH222" s="21">
        <v>19.9069</v>
      </c>
      <c r="AI222" s="21">
        <v>-1.4114399999999999E-2</v>
      </c>
      <c r="AJ222" s="21">
        <v>212</v>
      </c>
      <c r="AK222" s="21">
        <v>0.96710200000000002</v>
      </c>
      <c r="AL222">
        <f t="shared" si="42"/>
        <v>17.425185185185182</v>
      </c>
      <c r="AM222">
        <f t="shared" si="43"/>
        <v>16.859912177777773</v>
      </c>
      <c r="AP222" s="9"/>
      <c r="AQ222" s="21">
        <v>0.67245500000000002</v>
      </c>
      <c r="AR222" s="21">
        <v>25.320799999999998</v>
      </c>
      <c r="AS222" s="21">
        <v>-1.43158E-2</v>
      </c>
      <c r="AT222" s="21">
        <v>212</v>
      </c>
      <c r="AU222" s="21">
        <v>0.671875</v>
      </c>
      <c r="AV222">
        <f t="shared" si="44"/>
        <v>17.673827160493826</v>
      </c>
      <c r="AW222">
        <f t="shared" si="45"/>
        <v>11.884853443209876</v>
      </c>
      <c r="AX222" s="9"/>
      <c r="AY222" s="21">
        <v>0.96755999999999998</v>
      </c>
      <c r="AZ222" s="21">
        <v>29.019100000000002</v>
      </c>
      <c r="BA222" s="21">
        <v>-1.4175399999999999E-2</v>
      </c>
      <c r="BB222" s="21">
        <v>212</v>
      </c>
      <c r="BC222" s="21">
        <v>0.96618700000000002</v>
      </c>
      <c r="BD222">
        <f t="shared" si="46"/>
        <v>17.500493827160494</v>
      </c>
      <c r="BE222">
        <f t="shared" si="47"/>
        <v>16.932777807407408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0.66741899999999998</v>
      </c>
      <c r="H223" s="21">
        <v>7.1534399999999998</v>
      </c>
      <c r="I223" s="21">
        <v>-1.4175399999999999E-2</v>
      </c>
      <c r="J223" s="21">
        <v>213</v>
      </c>
      <c r="K223" s="21">
        <v>0.66683999999999999</v>
      </c>
      <c r="L223">
        <f t="shared" si="36"/>
        <v>17.500493827160494</v>
      </c>
      <c r="M223">
        <f t="shared" si="37"/>
        <v>11.680162089629629</v>
      </c>
      <c r="N223" s="9"/>
      <c r="O223" s="21">
        <v>0.97259499999999999</v>
      </c>
      <c r="P223" s="21">
        <v>10.851800000000001</v>
      </c>
      <c r="Q223" s="21">
        <v>-1.41022E-2</v>
      </c>
      <c r="R223" s="21">
        <v>213</v>
      </c>
      <c r="S223" s="21">
        <v>0.97167999999999999</v>
      </c>
      <c r="T223">
        <f t="shared" si="38"/>
        <v>17.410123456790124</v>
      </c>
      <c r="U223">
        <f t="shared" si="39"/>
        <v>16.932999023456791</v>
      </c>
      <c r="X223" s="9"/>
      <c r="Y223" s="21">
        <v>0.66741899999999998</v>
      </c>
      <c r="Z223" s="21">
        <v>16.218699999999998</v>
      </c>
      <c r="AA223" s="21">
        <v>-1.42609E-2</v>
      </c>
      <c r="AB223" s="21">
        <v>213</v>
      </c>
      <c r="AC223" s="21">
        <v>0.66677900000000001</v>
      </c>
      <c r="AD223">
        <f t="shared" si="40"/>
        <v>17.606049382716048</v>
      </c>
      <c r="AE223">
        <f t="shared" si="41"/>
        <v>11.750611872962962</v>
      </c>
      <c r="AF223" s="9"/>
      <c r="AG223" s="21">
        <v>0.97259499999999999</v>
      </c>
      <c r="AH223" s="21">
        <v>19.917000000000002</v>
      </c>
      <c r="AI223" s="21">
        <v>-1.41022E-2</v>
      </c>
      <c r="AJ223" s="21">
        <v>213</v>
      </c>
      <c r="AK223" s="21">
        <v>0.97198499999999999</v>
      </c>
      <c r="AL223">
        <f t="shared" si="42"/>
        <v>17.410123456790124</v>
      </c>
      <c r="AM223">
        <f t="shared" si="43"/>
        <v>16.932999023456791</v>
      </c>
      <c r="AP223" s="9"/>
      <c r="AQ223" s="21">
        <v>0.66741899999999998</v>
      </c>
      <c r="AR223" s="21">
        <v>25.3309</v>
      </c>
      <c r="AS223" s="21">
        <v>-1.43158E-2</v>
      </c>
      <c r="AT223" s="21">
        <v>213</v>
      </c>
      <c r="AU223" s="21">
        <v>0.66683999999999999</v>
      </c>
      <c r="AV223">
        <f t="shared" si="44"/>
        <v>17.673827160493826</v>
      </c>
      <c r="AW223">
        <f t="shared" si="45"/>
        <v>11.795848049629628</v>
      </c>
      <c r="AX223" s="9"/>
      <c r="AY223" s="21">
        <v>0.97259499999999999</v>
      </c>
      <c r="AZ223" s="21">
        <v>29.029199999999999</v>
      </c>
      <c r="BA223" s="21">
        <v>-1.41815E-2</v>
      </c>
      <c r="BB223" s="21">
        <v>213</v>
      </c>
      <c r="BC223" s="21">
        <v>0.97137499999999999</v>
      </c>
      <c r="BD223">
        <f t="shared" si="46"/>
        <v>17.508024691358024</v>
      </c>
      <c r="BE223">
        <f t="shared" si="47"/>
        <v>17.028217274691357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0.66238399999999997</v>
      </c>
      <c r="H224" s="21">
        <v>7.1635200000000001</v>
      </c>
      <c r="I224" s="21">
        <v>-1.4175399999999999E-2</v>
      </c>
      <c r="J224" s="21">
        <v>214</v>
      </c>
      <c r="K224" s="21">
        <v>0.66168199999999999</v>
      </c>
      <c r="L224">
        <f t="shared" si="36"/>
        <v>17.500493827160494</v>
      </c>
      <c r="M224">
        <f t="shared" si="37"/>
        <v>11.592047103209875</v>
      </c>
      <c r="N224" s="9"/>
      <c r="O224" s="21">
        <v>0.97763100000000003</v>
      </c>
      <c r="P224" s="21">
        <v>10.8619</v>
      </c>
      <c r="Q224" s="21">
        <v>-1.41022E-2</v>
      </c>
      <c r="R224" s="21">
        <v>214</v>
      </c>
      <c r="S224" s="21">
        <v>0.97717299999999996</v>
      </c>
      <c r="T224">
        <f t="shared" si="38"/>
        <v>17.410123456790124</v>
      </c>
      <c r="U224">
        <f t="shared" si="39"/>
        <v>17.020676405185185</v>
      </c>
      <c r="X224" s="9"/>
      <c r="Y224" s="21">
        <v>0.66238399999999997</v>
      </c>
      <c r="Z224" s="21">
        <v>16.2287</v>
      </c>
      <c r="AA224" s="21">
        <v>-1.4267E-2</v>
      </c>
      <c r="AB224" s="21">
        <v>214</v>
      </c>
      <c r="AC224" s="21">
        <v>0.66174299999999997</v>
      </c>
      <c r="AD224">
        <f t="shared" si="40"/>
        <v>17.613580246913582</v>
      </c>
      <c r="AE224">
        <f t="shared" si="41"/>
        <v>11.666953738271605</v>
      </c>
      <c r="AF224" s="9"/>
      <c r="AG224" s="21">
        <v>0.97763100000000003</v>
      </c>
      <c r="AH224" s="21">
        <v>19.927099999999999</v>
      </c>
      <c r="AI224" s="21">
        <v>-1.4093E-2</v>
      </c>
      <c r="AJ224" s="21">
        <v>214</v>
      </c>
      <c r="AK224" s="21">
        <v>0.97656299999999996</v>
      </c>
      <c r="AL224">
        <f t="shared" si="42"/>
        <v>17.398765432098763</v>
      </c>
      <c r="AM224">
        <f t="shared" si="43"/>
        <v>17.009572448148145</v>
      </c>
      <c r="AP224" s="9"/>
      <c r="AQ224" s="21">
        <v>0.66238399999999997</v>
      </c>
      <c r="AR224" s="21">
        <v>25.341000000000001</v>
      </c>
      <c r="AS224" s="21">
        <v>-1.4312699999999999E-2</v>
      </c>
      <c r="AT224" s="21">
        <v>214</v>
      </c>
      <c r="AU224" s="21">
        <v>0.66174299999999997</v>
      </c>
      <c r="AV224">
        <f t="shared" si="44"/>
        <v>17.669999999999998</v>
      </c>
      <c r="AW224">
        <f t="shared" si="45"/>
        <v>11.704325279999999</v>
      </c>
      <c r="AX224" s="9"/>
      <c r="AY224" s="21">
        <v>0.97763100000000003</v>
      </c>
      <c r="AZ224" s="21">
        <v>29.039300000000001</v>
      </c>
      <c r="BA224" s="21">
        <v>-1.41937E-2</v>
      </c>
      <c r="BB224" s="21">
        <v>214</v>
      </c>
      <c r="BC224" s="21">
        <v>0.97656299999999996</v>
      </c>
      <c r="BD224">
        <f t="shared" si="46"/>
        <v>17.523086419753085</v>
      </c>
      <c r="BE224">
        <f t="shared" si="47"/>
        <v>17.13111249962963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0.65734899999999996</v>
      </c>
      <c r="H225" s="21">
        <v>7.1735899999999999</v>
      </c>
      <c r="I225" s="21">
        <v>-1.41724E-2</v>
      </c>
      <c r="J225" s="21">
        <v>215</v>
      </c>
      <c r="K225" s="21">
        <v>0.65670799999999996</v>
      </c>
      <c r="L225">
        <f t="shared" si="36"/>
        <v>17.496790123456787</v>
      </c>
      <c r="M225">
        <f t="shared" si="37"/>
        <v>11.501497490864194</v>
      </c>
      <c r="N225" s="9"/>
      <c r="O225" s="21">
        <v>0.98266600000000004</v>
      </c>
      <c r="P225" s="21">
        <v>10.8719</v>
      </c>
      <c r="Q225" s="21">
        <v>-1.409E-2</v>
      </c>
      <c r="R225" s="21">
        <v>215</v>
      </c>
      <c r="S225" s="21">
        <v>0.98205600000000004</v>
      </c>
      <c r="T225">
        <f t="shared" si="38"/>
        <v>17.39506172839506</v>
      </c>
      <c r="U225">
        <f t="shared" si="39"/>
        <v>17.093535728395061</v>
      </c>
      <c r="X225" s="9"/>
      <c r="Y225" s="21">
        <v>0.65734899999999996</v>
      </c>
      <c r="Z225" s="21">
        <v>16.238800000000001</v>
      </c>
      <c r="AA225" s="21">
        <v>-1.4279200000000001E-2</v>
      </c>
      <c r="AB225" s="21">
        <v>215</v>
      </c>
      <c r="AC225" s="21">
        <v>0.65670799999999996</v>
      </c>
      <c r="AD225">
        <f t="shared" si="40"/>
        <v>17.628641975308639</v>
      </c>
      <c r="AE225">
        <f t="shared" si="41"/>
        <v>11.588170173827159</v>
      </c>
      <c r="AF225" s="9"/>
      <c r="AG225" s="21">
        <v>0.98266600000000004</v>
      </c>
      <c r="AH225" s="21">
        <v>19.937100000000001</v>
      </c>
      <c r="AI225" s="21">
        <v>-1.4093E-2</v>
      </c>
      <c r="AJ225" s="21">
        <v>215</v>
      </c>
      <c r="AK225" s="21">
        <v>0.98144500000000001</v>
      </c>
      <c r="AL225">
        <f t="shared" si="42"/>
        <v>17.398765432098763</v>
      </c>
      <c r="AM225">
        <f t="shared" si="43"/>
        <v>17.097175232098763</v>
      </c>
      <c r="AP225" s="9"/>
      <c r="AQ225" s="21">
        <v>0.65734899999999996</v>
      </c>
      <c r="AR225" s="21">
        <v>25.350999999999999</v>
      </c>
      <c r="AS225" s="21">
        <v>-1.4324999999999999E-2</v>
      </c>
      <c r="AT225" s="21">
        <v>215</v>
      </c>
      <c r="AU225" s="21">
        <v>0.65670799999999996</v>
      </c>
      <c r="AV225">
        <f t="shared" si="44"/>
        <v>17.685185185185183</v>
      </c>
      <c r="AW225">
        <f t="shared" si="45"/>
        <v>11.625338796296294</v>
      </c>
      <c r="AX225" s="9"/>
      <c r="AY225" s="21">
        <v>0.98266600000000004</v>
      </c>
      <c r="AZ225" s="21">
        <v>29.049399999999999</v>
      </c>
      <c r="BA225" s="21">
        <v>-1.41998E-2</v>
      </c>
      <c r="BB225" s="21">
        <v>215</v>
      </c>
      <c r="BC225" s="21">
        <v>0.98144500000000001</v>
      </c>
      <c r="BD225">
        <f t="shared" si="46"/>
        <v>17.530617283950615</v>
      </c>
      <c r="BE225">
        <f t="shared" si="47"/>
        <v>17.226741563950615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0.65231300000000003</v>
      </c>
      <c r="H226" s="21">
        <v>7.1836599999999997</v>
      </c>
      <c r="I226" s="21">
        <v>-1.4175399999999999E-2</v>
      </c>
      <c r="J226" s="21">
        <v>216</v>
      </c>
      <c r="K226" s="21">
        <v>0.65167200000000003</v>
      </c>
      <c r="L226">
        <f t="shared" si="36"/>
        <v>17.500493827160494</v>
      </c>
      <c r="M226">
        <f t="shared" si="37"/>
        <v>11.415799629876544</v>
      </c>
      <c r="N226" s="9"/>
      <c r="O226" s="21">
        <v>0.98770100000000005</v>
      </c>
      <c r="P226" s="21">
        <v>10.882</v>
      </c>
      <c r="Q226" s="21">
        <v>-1.40839E-2</v>
      </c>
      <c r="R226" s="21">
        <v>216</v>
      </c>
      <c r="S226" s="21">
        <v>0.98663299999999998</v>
      </c>
      <c r="T226">
        <f t="shared" si="38"/>
        <v>17.387530864197529</v>
      </c>
      <c r="U226">
        <f t="shared" si="39"/>
        <v>17.173681622098766</v>
      </c>
      <c r="X226" s="9"/>
      <c r="Y226" s="21">
        <v>0.65231300000000003</v>
      </c>
      <c r="Z226" s="21">
        <v>16.248899999999999</v>
      </c>
      <c r="AA226" s="21">
        <v>-1.4285300000000001E-2</v>
      </c>
      <c r="AB226" s="21">
        <v>216</v>
      </c>
      <c r="AC226" s="21">
        <v>0.65164200000000005</v>
      </c>
      <c r="AD226">
        <f t="shared" si="40"/>
        <v>17.636172839506173</v>
      </c>
      <c r="AE226">
        <f t="shared" si="41"/>
        <v>11.504304813456791</v>
      </c>
      <c r="AF226" s="9"/>
      <c r="AG226" s="21">
        <v>0.98770100000000005</v>
      </c>
      <c r="AH226" s="21">
        <v>19.947199999999999</v>
      </c>
      <c r="AI226" s="21">
        <v>-1.40839E-2</v>
      </c>
      <c r="AJ226" s="21">
        <v>216</v>
      </c>
      <c r="AK226" s="21">
        <v>0.98724400000000001</v>
      </c>
      <c r="AL226">
        <f t="shared" si="42"/>
        <v>17.387530864197529</v>
      </c>
      <c r="AM226">
        <f t="shared" si="43"/>
        <v>17.173681622098766</v>
      </c>
      <c r="AP226" s="9"/>
      <c r="AQ226" s="21">
        <v>0.65231300000000003</v>
      </c>
      <c r="AR226" s="21">
        <v>25.3611</v>
      </c>
      <c r="AS226" s="21">
        <v>-1.4331099999999999E-2</v>
      </c>
      <c r="AT226" s="21">
        <v>216</v>
      </c>
      <c r="AU226" s="21">
        <v>0.65161100000000005</v>
      </c>
      <c r="AV226">
        <f t="shared" si="44"/>
        <v>17.692716049382714</v>
      </c>
      <c r="AW226">
        <f t="shared" si="45"/>
        <v>11.541188684320987</v>
      </c>
      <c r="AX226" s="9"/>
      <c r="AY226" s="21">
        <v>0.98770100000000005</v>
      </c>
      <c r="AZ226" s="21">
        <v>29.0594</v>
      </c>
      <c r="BA226" s="21">
        <v>-1.41876E-2</v>
      </c>
      <c r="BB226" s="21">
        <v>216</v>
      </c>
      <c r="BC226" s="21">
        <v>0.98663299999999998</v>
      </c>
      <c r="BD226">
        <f t="shared" si="46"/>
        <v>17.515555555555554</v>
      </c>
      <c r="BE226">
        <f t="shared" si="47"/>
        <v>17.300131737777779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0.64727800000000002</v>
      </c>
      <c r="H227" s="21">
        <v>7.1937300000000004</v>
      </c>
      <c r="I227" s="21">
        <v>-1.41785E-2</v>
      </c>
      <c r="J227" s="21">
        <v>217</v>
      </c>
      <c r="K227" s="21">
        <v>0.646698</v>
      </c>
      <c r="L227">
        <f t="shared" si="36"/>
        <v>17.504320987654321</v>
      </c>
      <c r="M227">
        <f t="shared" si="37"/>
        <v>11.330161880246914</v>
      </c>
      <c r="N227" s="9"/>
      <c r="O227" s="21">
        <v>0.99273699999999998</v>
      </c>
      <c r="P227" s="21">
        <v>10.892099999999999</v>
      </c>
      <c r="Q227" s="21">
        <v>-1.4080799999999999E-2</v>
      </c>
      <c r="R227" s="21">
        <v>217</v>
      </c>
      <c r="S227" s="21">
        <v>0.99212599999999995</v>
      </c>
      <c r="T227">
        <f t="shared" si="38"/>
        <v>17.383703703703702</v>
      </c>
      <c r="U227">
        <f t="shared" si="39"/>
        <v>17.257445863703701</v>
      </c>
      <c r="X227" s="9"/>
      <c r="Y227" s="21">
        <v>0.64727800000000002</v>
      </c>
      <c r="Z227" s="21">
        <v>16.258900000000001</v>
      </c>
      <c r="AA227" s="21">
        <v>-1.4285300000000001E-2</v>
      </c>
      <c r="AB227" s="21">
        <v>217</v>
      </c>
      <c r="AC227" s="21">
        <v>0.64663700000000002</v>
      </c>
      <c r="AD227">
        <f t="shared" si="40"/>
        <v>17.636172839506173</v>
      </c>
      <c r="AE227">
        <f t="shared" si="41"/>
        <v>11.415506683209877</v>
      </c>
      <c r="AF227" s="9"/>
      <c r="AG227" s="21">
        <v>0.99273699999999998</v>
      </c>
      <c r="AH227" s="21">
        <v>19.9573</v>
      </c>
      <c r="AI227" s="21">
        <v>-1.4074700000000001E-2</v>
      </c>
      <c r="AJ227" s="21">
        <v>217</v>
      </c>
      <c r="AK227" s="21">
        <v>0.99151599999999995</v>
      </c>
      <c r="AL227">
        <f t="shared" si="42"/>
        <v>17.376172839506172</v>
      </c>
      <c r="AM227">
        <f t="shared" si="43"/>
        <v>17.249969696172837</v>
      </c>
      <c r="AP227" s="9"/>
      <c r="AQ227" s="21">
        <v>0.64727800000000002</v>
      </c>
      <c r="AR227" s="21">
        <v>25.371200000000002</v>
      </c>
      <c r="AS227" s="21">
        <v>-1.4331099999999999E-2</v>
      </c>
      <c r="AT227" s="21">
        <v>217</v>
      </c>
      <c r="AU227" s="21">
        <v>0.64663700000000002</v>
      </c>
      <c r="AV227">
        <f t="shared" si="44"/>
        <v>17.692716049382714</v>
      </c>
      <c r="AW227">
        <f t="shared" si="45"/>
        <v>11.452105859012345</v>
      </c>
      <c r="AX227" s="9"/>
      <c r="AY227" s="21">
        <v>0.99273699999999998</v>
      </c>
      <c r="AZ227" s="21">
        <v>29.069500000000001</v>
      </c>
      <c r="BA227" s="21">
        <v>-1.41876E-2</v>
      </c>
      <c r="BB227" s="21">
        <v>217</v>
      </c>
      <c r="BC227" s="21">
        <v>0.99182099999999995</v>
      </c>
      <c r="BD227">
        <f t="shared" si="46"/>
        <v>17.515555555555554</v>
      </c>
      <c r="BE227">
        <f t="shared" si="47"/>
        <v>17.388340075555554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0.64224199999999998</v>
      </c>
      <c r="H228" s="21">
        <v>7.2038000000000002</v>
      </c>
      <c r="I228" s="21">
        <v>-1.4175399999999999E-2</v>
      </c>
      <c r="J228" s="21">
        <v>218</v>
      </c>
      <c r="K228" s="21">
        <v>0.64172399999999996</v>
      </c>
      <c r="L228">
        <f t="shared" si="36"/>
        <v>17.500493827160494</v>
      </c>
      <c r="M228">
        <f t="shared" si="37"/>
        <v>11.23955215654321</v>
      </c>
      <c r="N228" s="9"/>
      <c r="O228" s="21">
        <v>0.99777199999999999</v>
      </c>
      <c r="P228" s="21">
        <v>10.902100000000001</v>
      </c>
      <c r="Q228" s="21">
        <v>-1.4071699999999999E-2</v>
      </c>
      <c r="R228" s="21">
        <v>218</v>
      </c>
      <c r="S228" s="21">
        <v>0.99639900000000003</v>
      </c>
      <c r="T228">
        <f t="shared" si="38"/>
        <v>17.372469135802469</v>
      </c>
      <c r="U228">
        <f t="shared" si="39"/>
        <v>17.3337632745679</v>
      </c>
      <c r="X228" s="9"/>
      <c r="Y228" s="21">
        <v>0.64224199999999998</v>
      </c>
      <c r="Z228" s="21">
        <v>16.268999999999998</v>
      </c>
      <c r="AA228" s="21">
        <v>-1.42822E-2</v>
      </c>
      <c r="AB228" s="21">
        <v>218</v>
      </c>
      <c r="AC228" s="21">
        <v>0.64163199999999998</v>
      </c>
      <c r="AD228">
        <f t="shared" si="40"/>
        <v>17.632345679012342</v>
      </c>
      <c r="AE228">
        <f t="shared" si="41"/>
        <v>11.324232953580244</v>
      </c>
      <c r="AF228" s="9"/>
      <c r="AG228" s="21">
        <v>0.99777199999999999</v>
      </c>
      <c r="AH228" s="21">
        <v>19.967300000000002</v>
      </c>
      <c r="AI228" s="21">
        <v>-1.40625E-2</v>
      </c>
      <c r="AJ228" s="21">
        <v>218</v>
      </c>
      <c r="AK228" s="21">
        <v>0.99700900000000003</v>
      </c>
      <c r="AL228">
        <f t="shared" si="42"/>
        <v>17.361111111111111</v>
      </c>
      <c r="AM228">
        <f t="shared" si="43"/>
        <v>17.322430555555556</v>
      </c>
      <c r="AP228" s="9"/>
      <c r="AQ228" s="21">
        <v>0.64224199999999998</v>
      </c>
      <c r="AR228" s="21">
        <v>25.3812</v>
      </c>
      <c r="AS228" s="21">
        <v>-1.4324999999999999E-2</v>
      </c>
      <c r="AT228" s="21">
        <v>218</v>
      </c>
      <c r="AU228" s="21">
        <v>0.64160200000000001</v>
      </c>
      <c r="AV228">
        <f t="shared" si="44"/>
        <v>17.685185185185183</v>
      </c>
      <c r="AW228">
        <f t="shared" si="45"/>
        <v>11.358168703703702</v>
      </c>
      <c r="AX228" s="9"/>
      <c r="AY228" s="21">
        <v>0.99777199999999999</v>
      </c>
      <c r="AZ228" s="21">
        <v>29.079599999999999</v>
      </c>
      <c r="BA228" s="21">
        <v>-1.41846E-2</v>
      </c>
      <c r="BB228" s="21">
        <v>218</v>
      </c>
      <c r="BC228" s="21">
        <v>0.99731400000000003</v>
      </c>
      <c r="BD228">
        <f t="shared" si="46"/>
        <v>17.511851851851851</v>
      </c>
      <c r="BE228">
        <f t="shared" si="47"/>
        <v>17.472835445925924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0.63720699999999997</v>
      </c>
      <c r="H229" s="21">
        <v>7.21387</v>
      </c>
      <c r="I229" s="21">
        <v>-1.41724E-2</v>
      </c>
      <c r="J229" s="21">
        <v>219</v>
      </c>
      <c r="K229" s="21">
        <v>0.63659699999999997</v>
      </c>
      <c r="L229">
        <f t="shared" si="36"/>
        <v>17.496790123456787</v>
      </c>
      <c r="M229">
        <f t="shared" si="37"/>
        <v>11.149077144197529</v>
      </c>
      <c r="N229" s="9"/>
      <c r="O229" s="21">
        <v>1.00281</v>
      </c>
      <c r="P229" s="21">
        <v>10.9122</v>
      </c>
      <c r="Q229" s="21">
        <v>-1.40564E-2</v>
      </c>
      <c r="R229" s="21">
        <v>219</v>
      </c>
      <c r="S229" s="21">
        <v>1.0022</v>
      </c>
      <c r="T229">
        <f t="shared" si="38"/>
        <v>17.35358024691358</v>
      </c>
      <c r="U229">
        <f t="shared" si="39"/>
        <v>17.402343807407409</v>
      </c>
      <c r="X229" s="9"/>
      <c r="Y229" s="21">
        <v>0.63720699999999997</v>
      </c>
      <c r="Z229" s="21">
        <v>16.2791</v>
      </c>
      <c r="AA229" s="21">
        <v>-1.427E-2</v>
      </c>
      <c r="AB229" s="21">
        <v>219</v>
      </c>
      <c r="AC229" s="21">
        <v>0.63653599999999999</v>
      </c>
      <c r="AD229">
        <f t="shared" si="40"/>
        <v>17.617283950617285</v>
      </c>
      <c r="AE229">
        <f t="shared" si="41"/>
        <v>11.225856654320987</v>
      </c>
      <c r="AF229" s="9"/>
      <c r="AG229" s="21">
        <v>1.00281</v>
      </c>
      <c r="AH229" s="21">
        <v>19.977399999999999</v>
      </c>
      <c r="AI229" s="21">
        <v>-1.40625E-2</v>
      </c>
      <c r="AJ229" s="21">
        <v>219</v>
      </c>
      <c r="AK229" s="21">
        <v>1.0012799999999999</v>
      </c>
      <c r="AL229">
        <f t="shared" si="42"/>
        <v>17.361111111111111</v>
      </c>
      <c r="AM229">
        <f t="shared" si="43"/>
        <v>17.409895833333334</v>
      </c>
      <c r="AP229" s="9"/>
      <c r="AQ229" s="21">
        <v>0.63720699999999997</v>
      </c>
      <c r="AR229" s="21">
        <v>25.391300000000001</v>
      </c>
      <c r="AS229" s="21">
        <v>-1.43188E-2</v>
      </c>
      <c r="AT229" s="21">
        <v>219</v>
      </c>
      <c r="AU229" s="21">
        <v>0.63668800000000003</v>
      </c>
      <c r="AV229">
        <f t="shared" si="44"/>
        <v>17.677530864197529</v>
      </c>
      <c r="AW229">
        <f t="shared" si="45"/>
        <v>11.264246409382714</v>
      </c>
      <c r="AX229" s="9"/>
      <c r="AY229" s="21">
        <v>1.00281</v>
      </c>
      <c r="AZ229" s="21">
        <v>29.089600000000001</v>
      </c>
      <c r="BA229" s="21">
        <v>-1.41785E-2</v>
      </c>
      <c r="BB229" s="21">
        <v>219</v>
      </c>
      <c r="BC229" s="21">
        <v>1.0024999999999999</v>
      </c>
      <c r="BD229">
        <f t="shared" si="46"/>
        <v>17.504320987654321</v>
      </c>
      <c r="BE229">
        <f t="shared" si="47"/>
        <v>17.55350812962963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0.63217199999999996</v>
      </c>
      <c r="H230" s="21">
        <v>7.2239399999999998</v>
      </c>
      <c r="I230" s="21">
        <v>-1.41815E-2</v>
      </c>
      <c r="J230" s="21">
        <v>220</v>
      </c>
      <c r="K230" s="21">
        <v>0.63156100000000004</v>
      </c>
      <c r="L230">
        <f t="shared" si="36"/>
        <v>17.508024691358024</v>
      </c>
      <c r="M230">
        <f t="shared" si="37"/>
        <v>11.068082985185184</v>
      </c>
      <c r="N230" s="9"/>
      <c r="O230" s="21">
        <v>1.0078400000000001</v>
      </c>
      <c r="P230" s="21">
        <v>10.9223</v>
      </c>
      <c r="Q230" s="21">
        <v>-1.40594E-2</v>
      </c>
      <c r="R230" s="21">
        <v>220</v>
      </c>
      <c r="S230" s="21">
        <v>1.00739</v>
      </c>
      <c r="T230">
        <f t="shared" si="38"/>
        <v>17.357283950617283</v>
      </c>
      <c r="U230">
        <f t="shared" si="39"/>
        <v>17.493365056790125</v>
      </c>
      <c r="X230" s="9"/>
      <c r="Y230" s="21">
        <v>0.63217199999999996</v>
      </c>
      <c r="Z230" s="21">
        <v>16.289200000000001</v>
      </c>
      <c r="AA230" s="21">
        <v>-1.4263899999999999E-2</v>
      </c>
      <c r="AB230" s="21">
        <v>220</v>
      </c>
      <c r="AC230" s="21">
        <v>0.63143899999999997</v>
      </c>
      <c r="AD230">
        <f t="shared" si="40"/>
        <v>17.609753086419751</v>
      </c>
      <c r="AE230">
        <f t="shared" si="41"/>
        <v>11.132392828148147</v>
      </c>
      <c r="AF230" s="9"/>
      <c r="AG230" s="21">
        <v>1.0078400000000001</v>
      </c>
      <c r="AH230" s="21">
        <v>19.987500000000001</v>
      </c>
      <c r="AI230" s="21">
        <v>-1.4068600000000001E-2</v>
      </c>
      <c r="AJ230" s="21">
        <v>220</v>
      </c>
      <c r="AK230" s="21">
        <v>1.00739</v>
      </c>
      <c r="AL230">
        <f t="shared" si="42"/>
        <v>17.368641975308641</v>
      </c>
      <c r="AM230">
        <f t="shared" si="43"/>
        <v>17.504812128395063</v>
      </c>
      <c r="AP230" s="9"/>
      <c r="AQ230" s="21">
        <v>0.63217199999999996</v>
      </c>
      <c r="AR230" s="21">
        <v>25.401399999999999</v>
      </c>
      <c r="AS230" s="21">
        <v>-1.43188E-2</v>
      </c>
      <c r="AT230" s="21">
        <v>220</v>
      </c>
      <c r="AU230" s="21">
        <v>0.63156100000000004</v>
      </c>
      <c r="AV230">
        <f t="shared" si="44"/>
        <v>17.677530864197529</v>
      </c>
      <c r="AW230">
        <f t="shared" si="45"/>
        <v>11.17524004148148</v>
      </c>
      <c r="AX230" s="9"/>
      <c r="AY230" s="21">
        <v>1.0078400000000001</v>
      </c>
      <c r="AZ230" s="21">
        <v>29.099699999999999</v>
      </c>
      <c r="BA230" s="21">
        <v>-1.4175399999999999E-2</v>
      </c>
      <c r="BB230" s="21">
        <v>220</v>
      </c>
      <c r="BC230" s="21">
        <v>1.0067699999999999</v>
      </c>
      <c r="BD230">
        <f t="shared" si="46"/>
        <v>17.500493827160494</v>
      </c>
      <c r="BE230">
        <f t="shared" si="47"/>
        <v>17.637697698765432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0.62713600000000003</v>
      </c>
      <c r="H231" s="21">
        <v>7.2340099999999996</v>
      </c>
      <c r="I231" s="21">
        <v>-1.41937E-2</v>
      </c>
      <c r="J231" s="21">
        <v>221</v>
      </c>
      <c r="K231" s="21">
        <v>0.62652600000000003</v>
      </c>
      <c r="L231">
        <f t="shared" si="36"/>
        <v>17.523086419753085</v>
      </c>
      <c r="M231">
        <f t="shared" si="37"/>
        <v>10.989358324938271</v>
      </c>
      <c r="N231" s="9"/>
      <c r="O231" s="21">
        <v>1.01288</v>
      </c>
      <c r="P231" s="21">
        <v>10.9323</v>
      </c>
      <c r="Q231" s="21">
        <v>-1.4047199999999999E-2</v>
      </c>
      <c r="R231" s="21">
        <v>221</v>
      </c>
      <c r="S231" s="21">
        <v>1.01227</v>
      </c>
      <c r="T231">
        <f t="shared" si="38"/>
        <v>17.342222222222222</v>
      </c>
      <c r="U231">
        <f t="shared" si="39"/>
        <v>17.565590044444445</v>
      </c>
      <c r="X231" s="9"/>
      <c r="Y231" s="21">
        <v>0.62713600000000003</v>
      </c>
      <c r="Z231" s="21">
        <v>16.299199999999999</v>
      </c>
      <c r="AA231" s="21">
        <v>-1.42609E-2</v>
      </c>
      <c r="AB231" s="21">
        <v>221</v>
      </c>
      <c r="AC231" s="21">
        <v>0.62643400000000005</v>
      </c>
      <c r="AD231">
        <f t="shared" si="40"/>
        <v>17.606049382716048</v>
      </c>
      <c r="AE231">
        <f t="shared" si="41"/>
        <v>11.041387385679013</v>
      </c>
      <c r="AF231" s="9"/>
      <c r="AG231" s="21">
        <v>1.01288</v>
      </c>
      <c r="AH231" s="21">
        <v>19.997599999999998</v>
      </c>
      <c r="AI231" s="21">
        <v>-1.4071699999999999E-2</v>
      </c>
      <c r="AJ231" s="21">
        <v>221</v>
      </c>
      <c r="AK231" s="21">
        <v>1.01227</v>
      </c>
      <c r="AL231">
        <f t="shared" si="42"/>
        <v>17.372469135802469</v>
      </c>
      <c r="AM231">
        <f t="shared" si="43"/>
        <v>17.596226538271605</v>
      </c>
      <c r="AP231" s="9"/>
      <c r="AQ231" s="21">
        <v>0.62713600000000003</v>
      </c>
      <c r="AR231" s="21">
        <v>25.4114</v>
      </c>
      <c r="AS231" s="21">
        <v>-1.43188E-2</v>
      </c>
      <c r="AT231" s="21">
        <v>221</v>
      </c>
      <c r="AU231" s="21">
        <v>0.62661699999999998</v>
      </c>
      <c r="AV231">
        <f t="shared" si="44"/>
        <v>17.677530864197529</v>
      </c>
      <c r="AW231">
        <f t="shared" si="45"/>
        <v>11.086215996049381</v>
      </c>
      <c r="AX231" s="9"/>
      <c r="AY231" s="21">
        <v>1.01288</v>
      </c>
      <c r="AZ231" s="21">
        <v>29.1098</v>
      </c>
      <c r="BA231" s="21">
        <v>-1.4169299999999999E-2</v>
      </c>
      <c r="BB231" s="21">
        <v>221</v>
      </c>
      <c r="BC231" s="21">
        <v>1.01257</v>
      </c>
      <c r="BD231">
        <f t="shared" si="46"/>
        <v>17.492962962962959</v>
      </c>
      <c r="BE231">
        <f t="shared" si="47"/>
        <v>17.718272325925923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0.62210100000000002</v>
      </c>
      <c r="H232" s="21">
        <v>7.2440800000000003</v>
      </c>
      <c r="I232" s="21">
        <v>-1.4212000000000001E-2</v>
      </c>
      <c r="J232" s="21">
        <v>222</v>
      </c>
      <c r="K232" s="21">
        <v>0.62161299999999997</v>
      </c>
      <c r="L232">
        <f t="shared" si="36"/>
        <v>17.54567901234568</v>
      </c>
      <c r="M232">
        <f t="shared" si="37"/>
        <v>10.91518445925926</v>
      </c>
      <c r="N232" s="9"/>
      <c r="O232" s="21">
        <v>1.0179100000000001</v>
      </c>
      <c r="P232" s="21">
        <v>10.942399999999999</v>
      </c>
      <c r="Q232" s="21">
        <v>-1.4035000000000001E-2</v>
      </c>
      <c r="R232" s="21">
        <v>222</v>
      </c>
      <c r="S232" s="21">
        <v>1.01685</v>
      </c>
      <c r="T232">
        <f t="shared" si="38"/>
        <v>17.327160493827162</v>
      </c>
      <c r="U232">
        <f t="shared" si="39"/>
        <v>17.637489938271607</v>
      </c>
      <c r="X232" s="9"/>
      <c r="Y232" s="21">
        <v>0.62210100000000002</v>
      </c>
      <c r="Z232" s="21">
        <v>16.3093</v>
      </c>
      <c r="AA232" s="21">
        <v>-1.427E-2</v>
      </c>
      <c r="AB232" s="21">
        <v>222</v>
      </c>
      <c r="AC232" s="21">
        <v>0.62146000000000001</v>
      </c>
      <c r="AD232">
        <f t="shared" si="40"/>
        <v>17.617283950617285</v>
      </c>
      <c r="AE232">
        <f t="shared" si="41"/>
        <v>10.959729962962964</v>
      </c>
      <c r="AF232" s="9"/>
      <c r="AG232" s="21">
        <v>1.0179100000000001</v>
      </c>
      <c r="AH232" s="21">
        <v>20.0076</v>
      </c>
      <c r="AI232" s="21">
        <v>-1.4071699999999999E-2</v>
      </c>
      <c r="AJ232" s="21">
        <v>222</v>
      </c>
      <c r="AK232" s="21">
        <v>1.01715</v>
      </c>
      <c r="AL232">
        <f t="shared" si="42"/>
        <v>17.372469135802469</v>
      </c>
      <c r="AM232">
        <f t="shared" si="43"/>
        <v>17.683610058024691</v>
      </c>
      <c r="AP232" s="9"/>
      <c r="AQ232" s="21">
        <v>0.62210100000000002</v>
      </c>
      <c r="AR232" s="21">
        <v>25.421500000000002</v>
      </c>
      <c r="AS232" s="21">
        <v>-1.43219E-2</v>
      </c>
      <c r="AT232" s="21">
        <v>222</v>
      </c>
      <c r="AU232" s="21">
        <v>0.62155199999999999</v>
      </c>
      <c r="AV232">
        <f t="shared" si="44"/>
        <v>17.68135802469136</v>
      </c>
      <c r="AW232">
        <f t="shared" si="45"/>
        <v>10.999590508518519</v>
      </c>
      <c r="AX232" s="9"/>
      <c r="AY232" s="21">
        <v>1.0179100000000001</v>
      </c>
      <c r="AZ232" s="21">
        <v>29.119900000000001</v>
      </c>
      <c r="BA232" s="21">
        <v>-1.41663E-2</v>
      </c>
      <c r="BB232" s="21">
        <v>222</v>
      </c>
      <c r="BC232" s="21">
        <v>1.01715</v>
      </c>
      <c r="BD232">
        <f t="shared" si="46"/>
        <v>17.489259259259256</v>
      </c>
      <c r="BE232">
        <f t="shared" si="47"/>
        <v>17.802491892592592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0.61706499999999997</v>
      </c>
      <c r="H233" s="21">
        <v>7.2541500000000001</v>
      </c>
      <c r="I233" s="21">
        <v>-1.4224199999999999E-2</v>
      </c>
      <c r="J233" s="21">
        <v>223</v>
      </c>
      <c r="K233" s="21">
        <v>0.616394</v>
      </c>
      <c r="L233">
        <f t="shared" si="36"/>
        <v>17.560740740740737</v>
      </c>
      <c r="M233">
        <f t="shared" si="37"/>
        <v>10.836118485185182</v>
      </c>
      <c r="N233" s="9"/>
      <c r="O233" s="21">
        <v>1.02295</v>
      </c>
      <c r="P233" s="21">
        <v>10.952500000000001</v>
      </c>
      <c r="Q233" s="21">
        <v>-1.40289E-2</v>
      </c>
      <c r="R233" s="21">
        <v>223</v>
      </c>
      <c r="S233" s="21">
        <v>1.02203</v>
      </c>
      <c r="T233">
        <f t="shared" si="38"/>
        <v>17.319629629629631</v>
      </c>
      <c r="U233">
        <f t="shared" si="39"/>
        <v>17.717115129629633</v>
      </c>
      <c r="X233" s="9"/>
      <c r="Y233" s="21">
        <v>0.61706499999999997</v>
      </c>
      <c r="Z233" s="21">
        <v>16.319400000000002</v>
      </c>
      <c r="AA233" s="21">
        <v>-1.42761E-2</v>
      </c>
      <c r="AB233" s="21">
        <v>223</v>
      </c>
      <c r="AC233" s="21">
        <v>0.61645499999999998</v>
      </c>
      <c r="AD233">
        <f t="shared" si="40"/>
        <v>17.624814814814812</v>
      </c>
      <c r="AE233">
        <f t="shared" si="41"/>
        <v>10.875656353703702</v>
      </c>
      <c r="AF233" s="9"/>
      <c r="AG233" s="21">
        <v>1.02295</v>
      </c>
      <c r="AH233" s="21">
        <v>20.017700000000001</v>
      </c>
      <c r="AI233" s="21">
        <v>-1.4065599999999999E-2</v>
      </c>
      <c r="AJ233" s="21">
        <v>223</v>
      </c>
      <c r="AK233" s="21">
        <v>1.02203</v>
      </c>
      <c r="AL233">
        <f t="shared" si="42"/>
        <v>17.364938271604938</v>
      </c>
      <c r="AM233">
        <f t="shared" si="43"/>
        <v>17.763463604938273</v>
      </c>
      <c r="AP233" s="9"/>
      <c r="AQ233" s="21">
        <v>0.61706499999999997</v>
      </c>
      <c r="AR233" s="21">
        <v>25.4316</v>
      </c>
      <c r="AS233" s="21">
        <v>-1.4331099999999999E-2</v>
      </c>
      <c r="AT233" s="21">
        <v>223</v>
      </c>
      <c r="AU233" s="21">
        <v>0.616425</v>
      </c>
      <c r="AV233">
        <f t="shared" si="44"/>
        <v>17.692716049382714</v>
      </c>
      <c r="AW233">
        <f t="shared" si="45"/>
        <v>10.917555829012343</v>
      </c>
      <c r="AX233" s="9"/>
      <c r="AY233" s="21">
        <v>1.02295</v>
      </c>
      <c r="AZ233" s="21">
        <v>29.129899999999999</v>
      </c>
      <c r="BA233" s="21">
        <v>-1.4154099999999999E-2</v>
      </c>
      <c r="BB233" s="21">
        <v>223</v>
      </c>
      <c r="BC233" s="21">
        <v>1.02234</v>
      </c>
      <c r="BD233">
        <f t="shared" si="46"/>
        <v>17.474197530864195</v>
      </c>
      <c r="BE233">
        <f t="shared" si="47"/>
        <v>17.875230364197531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0.61202999999999996</v>
      </c>
      <c r="H234" s="21">
        <v>7.2642300000000004</v>
      </c>
      <c r="I234" s="21">
        <v>-1.42334E-2</v>
      </c>
      <c r="J234" s="21">
        <v>224</v>
      </c>
      <c r="K234" s="21">
        <v>0.61132799999999998</v>
      </c>
      <c r="L234">
        <f t="shared" si="36"/>
        <v>17.572098765432099</v>
      </c>
      <c r="M234">
        <f t="shared" si="37"/>
        <v>10.754651607407407</v>
      </c>
      <c r="N234" s="9"/>
      <c r="O234" s="21">
        <v>1.0279799999999999</v>
      </c>
      <c r="P234" s="21">
        <v>10.9626</v>
      </c>
      <c r="Q234" s="21">
        <v>-1.40228E-2</v>
      </c>
      <c r="R234" s="21">
        <v>224</v>
      </c>
      <c r="S234" s="21">
        <v>1.0269200000000001</v>
      </c>
      <c r="T234">
        <f t="shared" si="38"/>
        <v>17.312098765432097</v>
      </c>
      <c r="U234">
        <f t="shared" si="39"/>
        <v>17.796491288888884</v>
      </c>
      <c r="X234" s="9"/>
      <c r="Y234" s="21">
        <v>0.61202999999999996</v>
      </c>
      <c r="Z234" s="21">
        <v>16.3294</v>
      </c>
      <c r="AA234" s="21">
        <v>-1.42761E-2</v>
      </c>
      <c r="AB234" s="21">
        <v>224</v>
      </c>
      <c r="AC234" s="21">
        <v>0.61141999999999996</v>
      </c>
      <c r="AD234">
        <f t="shared" si="40"/>
        <v>17.624814814814812</v>
      </c>
      <c r="AE234">
        <f t="shared" si="41"/>
        <v>10.786915411111108</v>
      </c>
      <c r="AF234" s="9"/>
      <c r="AG234" s="21">
        <v>1.0279799999999999</v>
      </c>
      <c r="AH234" s="21">
        <v>20.027799999999999</v>
      </c>
      <c r="AI234" s="21">
        <v>-1.40564E-2</v>
      </c>
      <c r="AJ234" s="21">
        <v>224</v>
      </c>
      <c r="AK234" s="21">
        <v>1.0275300000000001</v>
      </c>
      <c r="AL234">
        <f t="shared" si="42"/>
        <v>17.35358024691358</v>
      </c>
      <c r="AM234">
        <f t="shared" si="43"/>
        <v>17.839133422222222</v>
      </c>
      <c r="AP234" s="9"/>
      <c r="AQ234" s="21">
        <v>0.61202999999999996</v>
      </c>
      <c r="AR234" s="21">
        <v>25.441700000000001</v>
      </c>
      <c r="AS234" s="21">
        <v>-1.4334100000000001E-2</v>
      </c>
      <c r="AT234" s="21">
        <v>224</v>
      </c>
      <c r="AU234" s="21">
        <v>0.61141999999999996</v>
      </c>
      <c r="AV234">
        <f t="shared" si="44"/>
        <v>17.69641975308642</v>
      </c>
      <c r="AW234">
        <f t="shared" si="45"/>
        <v>10.830739781481482</v>
      </c>
      <c r="AX234" s="9"/>
      <c r="AY234" s="21">
        <v>1.0279799999999999</v>
      </c>
      <c r="AZ234" s="21">
        <v>29.14</v>
      </c>
      <c r="BA234" s="21">
        <v>-1.41418E-2</v>
      </c>
      <c r="BB234" s="21">
        <v>224</v>
      </c>
      <c r="BC234" s="21">
        <v>1.0275300000000001</v>
      </c>
      <c r="BD234">
        <f t="shared" si="46"/>
        <v>17.45901234567901</v>
      </c>
      <c r="BE234">
        <f t="shared" si="47"/>
        <v>17.947515511111106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0.60699499999999995</v>
      </c>
      <c r="H235" s="21">
        <v>7.2743000000000002</v>
      </c>
      <c r="I235" s="21">
        <v>-1.42212E-2</v>
      </c>
      <c r="J235" s="21">
        <v>225</v>
      </c>
      <c r="K235" s="21">
        <v>0.60626199999999997</v>
      </c>
      <c r="L235">
        <f t="shared" si="36"/>
        <v>17.557037037037034</v>
      </c>
      <c r="M235">
        <f t="shared" si="37"/>
        <v>10.657033696296294</v>
      </c>
      <c r="N235" s="9"/>
      <c r="O235" s="21">
        <v>1.03302</v>
      </c>
      <c r="P235" s="21">
        <v>10.9726</v>
      </c>
      <c r="Q235" s="21">
        <v>-1.40228E-2</v>
      </c>
      <c r="R235" s="21">
        <v>225</v>
      </c>
      <c r="S235" s="21">
        <v>1.0318000000000001</v>
      </c>
      <c r="T235">
        <f t="shared" si="38"/>
        <v>17.312098765432097</v>
      </c>
      <c r="U235">
        <f t="shared" si="39"/>
        <v>17.883744266666667</v>
      </c>
      <c r="X235" s="9"/>
      <c r="Y235" s="21">
        <v>0.60699499999999995</v>
      </c>
      <c r="Z235" s="21">
        <v>16.339500000000001</v>
      </c>
      <c r="AA235" s="21">
        <v>-1.4279200000000001E-2</v>
      </c>
      <c r="AB235" s="21">
        <v>225</v>
      </c>
      <c r="AC235" s="21">
        <v>0.60629299999999997</v>
      </c>
      <c r="AD235">
        <f t="shared" si="40"/>
        <v>17.628641975308639</v>
      </c>
      <c r="AE235">
        <f t="shared" si="41"/>
        <v>10.700497535802466</v>
      </c>
      <c r="AF235" s="9"/>
      <c r="AG235" s="21">
        <v>1.03302</v>
      </c>
      <c r="AH235" s="21">
        <v>20.037800000000001</v>
      </c>
      <c r="AI235" s="21">
        <v>-1.4047199999999999E-2</v>
      </c>
      <c r="AJ235" s="21">
        <v>225</v>
      </c>
      <c r="AK235" s="21">
        <v>1.0321</v>
      </c>
      <c r="AL235">
        <f t="shared" si="42"/>
        <v>17.342222222222222</v>
      </c>
      <c r="AM235">
        <f t="shared" si="43"/>
        <v>17.914862400000001</v>
      </c>
      <c r="AP235" s="9"/>
      <c r="AQ235" s="21">
        <v>0.60699499999999995</v>
      </c>
      <c r="AR235" s="21">
        <v>25.451699999999999</v>
      </c>
      <c r="AS235" s="21">
        <v>-1.43433E-2</v>
      </c>
      <c r="AT235" s="21">
        <v>225</v>
      </c>
      <c r="AU235" s="21">
        <v>0.60635399999999995</v>
      </c>
      <c r="AV235">
        <f t="shared" si="44"/>
        <v>17.707777777777778</v>
      </c>
      <c r="AW235">
        <f t="shared" si="45"/>
        <v>10.748532572222222</v>
      </c>
      <c r="AX235" s="9"/>
      <c r="AY235" s="21">
        <v>1.03302</v>
      </c>
      <c r="AZ235" s="21">
        <v>29.150099999999998</v>
      </c>
      <c r="BA235" s="21">
        <v>-1.41449E-2</v>
      </c>
      <c r="BB235" s="21">
        <v>225</v>
      </c>
      <c r="BC235" s="21">
        <v>1.0318000000000001</v>
      </c>
      <c r="BD235">
        <f t="shared" si="46"/>
        <v>17.462839506172838</v>
      </c>
      <c r="BE235">
        <f t="shared" si="47"/>
        <v>18.039462466666667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0.60195900000000002</v>
      </c>
      <c r="H236" s="21">
        <v>7.28437</v>
      </c>
      <c r="I236" s="21">
        <v>-1.4212000000000001E-2</v>
      </c>
      <c r="J236" s="21">
        <v>226</v>
      </c>
      <c r="K236" s="21">
        <v>0.60131800000000002</v>
      </c>
      <c r="L236">
        <f t="shared" si="36"/>
        <v>17.54567901234568</v>
      </c>
      <c r="M236">
        <f t="shared" si="37"/>
        <v>10.561779392592593</v>
      </c>
      <c r="N236" s="9"/>
      <c r="O236" s="21">
        <v>1.03806</v>
      </c>
      <c r="P236" s="21">
        <v>10.982699999999999</v>
      </c>
      <c r="Q236" s="21">
        <v>-1.40167E-2</v>
      </c>
      <c r="R236" s="21">
        <v>226</v>
      </c>
      <c r="S236" s="21">
        <v>1.03729</v>
      </c>
      <c r="T236">
        <f t="shared" si="38"/>
        <v>17.304567901234567</v>
      </c>
      <c r="U236">
        <f t="shared" si="39"/>
        <v>17.963179755555554</v>
      </c>
      <c r="X236" s="9"/>
      <c r="Y236" s="21">
        <v>0.60195900000000002</v>
      </c>
      <c r="Z236" s="21">
        <v>16.349599999999999</v>
      </c>
      <c r="AA236" s="21">
        <v>-1.42731E-2</v>
      </c>
      <c r="AB236" s="21">
        <v>226</v>
      </c>
      <c r="AC236" s="21">
        <v>0.60131800000000002</v>
      </c>
      <c r="AD236">
        <f t="shared" si="40"/>
        <v>17.621111111111112</v>
      </c>
      <c r="AE236">
        <f t="shared" si="41"/>
        <v>10.607186423333335</v>
      </c>
      <c r="AF236" s="9"/>
      <c r="AG236" s="21">
        <v>1.03806</v>
      </c>
      <c r="AH236" s="21">
        <v>20.047899999999998</v>
      </c>
      <c r="AI236" s="21">
        <v>-1.4047199999999999E-2</v>
      </c>
      <c r="AJ236" s="21">
        <v>226</v>
      </c>
      <c r="AK236" s="21">
        <v>1.0376000000000001</v>
      </c>
      <c r="AL236">
        <f t="shared" si="42"/>
        <v>17.342222222222222</v>
      </c>
      <c r="AM236">
        <f t="shared" si="43"/>
        <v>18.002267199999999</v>
      </c>
      <c r="AP236" s="9"/>
      <c r="AQ236" s="21">
        <v>0.60195900000000002</v>
      </c>
      <c r="AR236" s="21">
        <v>25.4618</v>
      </c>
      <c r="AS236" s="21">
        <v>-1.4340200000000001E-2</v>
      </c>
      <c r="AT236" s="21">
        <v>226</v>
      </c>
      <c r="AU236" s="21">
        <v>0.60131800000000002</v>
      </c>
      <c r="AV236">
        <f t="shared" si="44"/>
        <v>17.703950617283951</v>
      </c>
      <c r="AW236">
        <f t="shared" si="45"/>
        <v>10.65705240962963</v>
      </c>
      <c r="AX236" s="9"/>
      <c r="AY236" s="21">
        <v>1.03806</v>
      </c>
      <c r="AZ236" s="21">
        <v>29.1601</v>
      </c>
      <c r="BA236" s="21">
        <v>-1.41449E-2</v>
      </c>
      <c r="BB236" s="21">
        <v>226</v>
      </c>
      <c r="BC236" s="21">
        <v>1.0376000000000001</v>
      </c>
      <c r="BD236">
        <f t="shared" si="46"/>
        <v>17.462839506172838</v>
      </c>
      <c r="BE236">
        <f t="shared" si="47"/>
        <v>18.127475177777775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0.59692400000000001</v>
      </c>
      <c r="H237" s="21">
        <v>7.2944399999999998</v>
      </c>
      <c r="I237" s="21">
        <v>-1.4202899999999999E-2</v>
      </c>
      <c r="J237" s="21">
        <v>227</v>
      </c>
      <c r="K237" s="21">
        <v>0.59628300000000001</v>
      </c>
      <c r="L237">
        <f t="shared" si="36"/>
        <v>17.534444444444443</v>
      </c>
      <c r="M237">
        <f t="shared" si="37"/>
        <v>10.466730715555554</v>
      </c>
      <c r="N237" s="9"/>
      <c r="O237" s="21">
        <v>1.0430900000000001</v>
      </c>
      <c r="P237" s="21">
        <v>10.992800000000001</v>
      </c>
      <c r="Q237" s="21">
        <v>-1.40167E-2</v>
      </c>
      <c r="R237" s="21">
        <v>227</v>
      </c>
      <c r="S237" s="21">
        <v>1.0424800000000001</v>
      </c>
      <c r="T237">
        <f t="shared" si="38"/>
        <v>17.304567901234567</v>
      </c>
      <c r="U237">
        <f t="shared" si="39"/>
        <v>18.050221732098766</v>
      </c>
      <c r="X237" s="9"/>
      <c r="Y237" s="21">
        <v>0.59692400000000001</v>
      </c>
      <c r="Z237" s="21">
        <v>16.3597</v>
      </c>
      <c r="AA237" s="21">
        <v>-1.42731E-2</v>
      </c>
      <c r="AB237" s="21">
        <v>227</v>
      </c>
      <c r="AC237" s="21">
        <v>0.59619100000000003</v>
      </c>
      <c r="AD237">
        <f t="shared" si="40"/>
        <v>17.621111111111112</v>
      </c>
      <c r="AE237">
        <f t="shared" si="41"/>
        <v>10.51846412888889</v>
      </c>
      <c r="AF237" s="9"/>
      <c r="AG237" s="21">
        <v>1.0430900000000001</v>
      </c>
      <c r="AH237" s="21">
        <v>20.058</v>
      </c>
      <c r="AI237" s="21">
        <v>-1.4053299999999999E-2</v>
      </c>
      <c r="AJ237" s="21">
        <v>227</v>
      </c>
      <c r="AK237" s="21">
        <v>1.0421800000000001</v>
      </c>
      <c r="AL237">
        <f t="shared" si="42"/>
        <v>17.349753086419753</v>
      </c>
      <c r="AM237">
        <f t="shared" si="43"/>
        <v>18.097353946913582</v>
      </c>
      <c r="AP237" s="9"/>
      <c r="AQ237" s="21">
        <v>0.59692400000000001</v>
      </c>
      <c r="AR237" s="21">
        <v>25.471900000000002</v>
      </c>
      <c r="AS237" s="21">
        <v>-1.43372E-2</v>
      </c>
      <c r="AT237" s="21">
        <v>227</v>
      </c>
      <c r="AU237" s="21">
        <v>0.59631299999999998</v>
      </c>
      <c r="AV237">
        <f t="shared" si="44"/>
        <v>17.700246913580244</v>
      </c>
      <c r="AW237">
        <f t="shared" si="45"/>
        <v>10.565702188641973</v>
      </c>
      <c r="AX237" s="9"/>
      <c r="AY237" s="21">
        <v>1.0430900000000001</v>
      </c>
      <c r="AZ237" s="21">
        <v>29.170200000000001</v>
      </c>
      <c r="BA237" s="21">
        <v>-1.41388E-2</v>
      </c>
      <c r="BB237" s="21">
        <v>227</v>
      </c>
      <c r="BC237" s="21">
        <v>1.0427900000000001</v>
      </c>
      <c r="BD237">
        <f t="shared" si="46"/>
        <v>17.455308641975307</v>
      </c>
      <c r="BE237">
        <f t="shared" si="47"/>
        <v>18.207457891358025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0.59188799999999997</v>
      </c>
      <c r="H238" s="21">
        <v>7.3045099999999996</v>
      </c>
      <c r="I238" s="21">
        <v>-1.41937E-2</v>
      </c>
      <c r="J238" s="21">
        <v>228</v>
      </c>
      <c r="K238" s="21">
        <v>0.591248</v>
      </c>
      <c r="L238">
        <f t="shared" si="36"/>
        <v>17.523086419753085</v>
      </c>
      <c r="M238">
        <f t="shared" si="37"/>
        <v>10.371704574814814</v>
      </c>
      <c r="N238" s="9"/>
      <c r="O238" s="21">
        <v>1.04813</v>
      </c>
      <c r="P238" s="21">
        <v>11.002800000000001</v>
      </c>
      <c r="Q238" s="21">
        <v>-1.40106E-2</v>
      </c>
      <c r="R238" s="21">
        <v>228</v>
      </c>
      <c r="S238" s="21">
        <v>1.0467500000000001</v>
      </c>
      <c r="T238">
        <f t="shared" si="38"/>
        <v>17.297037037037036</v>
      </c>
      <c r="U238">
        <f t="shared" si="39"/>
        <v>18.129543429629628</v>
      </c>
      <c r="X238" s="9"/>
      <c r="Y238" s="21">
        <v>0.59188799999999997</v>
      </c>
      <c r="Z238" s="21">
        <v>16.369700000000002</v>
      </c>
      <c r="AA238" s="21">
        <v>-1.4279200000000001E-2</v>
      </c>
      <c r="AB238" s="21">
        <v>228</v>
      </c>
      <c r="AC238" s="21">
        <v>0.59115600000000001</v>
      </c>
      <c r="AD238">
        <f t="shared" si="40"/>
        <v>17.628641975308639</v>
      </c>
      <c r="AE238">
        <f t="shared" si="41"/>
        <v>10.43418164148148</v>
      </c>
      <c r="AF238" s="9"/>
      <c r="AG238" s="21">
        <v>1.04813</v>
      </c>
      <c r="AH238" s="21">
        <v>20.068100000000001</v>
      </c>
      <c r="AI238" s="21">
        <v>-1.40594E-2</v>
      </c>
      <c r="AJ238" s="21">
        <v>228</v>
      </c>
      <c r="AK238" s="21">
        <v>1.0476700000000001</v>
      </c>
      <c r="AL238">
        <f t="shared" si="42"/>
        <v>17.357283950617283</v>
      </c>
      <c r="AM238">
        <f t="shared" si="43"/>
        <v>18.192690027160495</v>
      </c>
      <c r="AP238" s="9"/>
      <c r="AQ238" s="21">
        <v>0.59188799999999997</v>
      </c>
      <c r="AR238" s="21">
        <v>25.4819</v>
      </c>
      <c r="AS238" s="21">
        <v>-1.4328E-2</v>
      </c>
      <c r="AT238" s="21">
        <v>228</v>
      </c>
      <c r="AU238" s="21">
        <v>0.591248</v>
      </c>
      <c r="AV238">
        <f t="shared" si="44"/>
        <v>17.68888888888889</v>
      </c>
      <c r="AW238">
        <f t="shared" si="45"/>
        <v>10.469841066666667</v>
      </c>
      <c r="AX238" s="9"/>
      <c r="AY238" s="21">
        <v>1.04813</v>
      </c>
      <c r="AZ238" s="21">
        <v>29.180299999999999</v>
      </c>
      <c r="BA238" s="21">
        <v>-1.41388E-2</v>
      </c>
      <c r="BB238" s="21">
        <v>228</v>
      </c>
      <c r="BC238" s="21">
        <v>1.0473600000000001</v>
      </c>
      <c r="BD238">
        <f t="shared" si="46"/>
        <v>17.455308641975307</v>
      </c>
      <c r="BE238">
        <f t="shared" si="47"/>
        <v>18.295432646913579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0.58685299999999996</v>
      </c>
      <c r="H239" s="21">
        <v>7.3145800000000003</v>
      </c>
      <c r="I239" s="21">
        <v>-1.41937E-2</v>
      </c>
      <c r="J239" s="21">
        <v>229</v>
      </c>
      <c r="K239" s="21">
        <v>0.58627300000000004</v>
      </c>
      <c r="L239">
        <f t="shared" si="36"/>
        <v>17.523086419753085</v>
      </c>
      <c r="M239">
        <f t="shared" si="37"/>
        <v>10.283475834691357</v>
      </c>
      <c r="N239" s="9"/>
      <c r="O239" s="21">
        <v>1.0531600000000001</v>
      </c>
      <c r="P239" s="21">
        <v>11.0129</v>
      </c>
      <c r="Q239" s="21">
        <v>-1.40045E-2</v>
      </c>
      <c r="R239" s="21">
        <v>229</v>
      </c>
      <c r="S239" s="21">
        <v>1.0516399999999999</v>
      </c>
      <c r="T239">
        <f t="shared" si="38"/>
        <v>17.289506172839506</v>
      </c>
      <c r="U239">
        <f t="shared" si="39"/>
        <v>18.208616320987655</v>
      </c>
      <c r="X239" s="9"/>
      <c r="Y239" s="21">
        <v>0.58685299999999996</v>
      </c>
      <c r="Z239" s="21">
        <v>16.379799999999999</v>
      </c>
      <c r="AA239" s="21">
        <v>-1.4294400000000001E-2</v>
      </c>
      <c r="AB239" s="21">
        <v>229</v>
      </c>
      <c r="AC239" s="21">
        <v>0.58624299999999996</v>
      </c>
      <c r="AD239">
        <f t="shared" si="40"/>
        <v>17.647407407407407</v>
      </c>
      <c r="AE239">
        <f t="shared" si="41"/>
        <v>10.356433979259258</v>
      </c>
      <c r="AF239" s="9"/>
      <c r="AG239" s="21">
        <v>1.0531600000000001</v>
      </c>
      <c r="AH239" s="21">
        <v>20.078099999999999</v>
      </c>
      <c r="AI239" s="21">
        <v>-1.40625E-2</v>
      </c>
      <c r="AJ239" s="21">
        <v>229</v>
      </c>
      <c r="AK239" s="21">
        <v>1.0519400000000001</v>
      </c>
      <c r="AL239">
        <f t="shared" si="42"/>
        <v>17.361111111111111</v>
      </c>
      <c r="AM239">
        <f t="shared" si="43"/>
        <v>18.28402777777778</v>
      </c>
      <c r="AP239" s="9"/>
      <c r="AQ239" s="21">
        <v>0.58685299999999996</v>
      </c>
      <c r="AR239" s="21">
        <v>25.492000000000001</v>
      </c>
      <c r="AS239" s="21">
        <v>-1.4328E-2</v>
      </c>
      <c r="AT239" s="21">
        <v>229</v>
      </c>
      <c r="AU239" s="21">
        <v>0.58621199999999996</v>
      </c>
      <c r="AV239">
        <f t="shared" si="44"/>
        <v>17.68888888888889</v>
      </c>
      <c r="AW239">
        <f t="shared" si="45"/>
        <v>10.380777511111111</v>
      </c>
      <c r="AX239" s="9"/>
      <c r="AY239" s="21">
        <v>1.0531600000000001</v>
      </c>
      <c r="AZ239" s="21">
        <v>29.1904</v>
      </c>
      <c r="BA239" s="21">
        <v>-1.41388E-2</v>
      </c>
      <c r="BB239" s="21">
        <v>229</v>
      </c>
      <c r="BC239" s="21">
        <v>1.0519400000000001</v>
      </c>
      <c r="BD239">
        <f t="shared" si="46"/>
        <v>17.455308641975307</v>
      </c>
      <c r="BE239">
        <f t="shared" si="47"/>
        <v>18.383232849382715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0.58181799999999995</v>
      </c>
      <c r="H240" s="21">
        <v>7.3246500000000001</v>
      </c>
      <c r="I240" s="21">
        <v>-1.41937E-2</v>
      </c>
      <c r="J240" s="21">
        <v>230</v>
      </c>
      <c r="K240" s="21">
        <v>0.58105499999999999</v>
      </c>
      <c r="L240">
        <f t="shared" si="36"/>
        <v>17.523086419753085</v>
      </c>
      <c r="M240">
        <f t="shared" si="37"/>
        <v>10.195247094567899</v>
      </c>
      <c r="N240" s="9"/>
      <c r="O240" s="21">
        <v>1.0582</v>
      </c>
      <c r="P240" s="21">
        <v>11.023</v>
      </c>
      <c r="Q240" s="21">
        <v>-1.39893E-2</v>
      </c>
      <c r="R240" s="21">
        <v>230</v>
      </c>
      <c r="S240" s="21">
        <v>1.0577399999999999</v>
      </c>
      <c r="T240">
        <f t="shared" si="38"/>
        <v>17.270740740740738</v>
      </c>
      <c r="U240">
        <f t="shared" si="39"/>
        <v>18.275897851851848</v>
      </c>
      <c r="X240" s="9"/>
      <c r="Y240" s="21">
        <v>0.58181799999999995</v>
      </c>
      <c r="Z240" s="21">
        <v>16.389900000000001</v>
      </c>
      <c r="AA240" s="21">
        <v>-1.43097E-2</v>
      </c>
      <c r="AB240" s="21">
        <v>230</v>
      </c>
      <c r="AC240" s="21">
        <v>0.58120700000000003</v>
      </c>
      <c r="AD240">
        <f t="shared" si="40"/>
        <v>17.666296296296295</v>
      </c>
      <c r="AE240">
        <f t="shared" si="41"/>
        <v>10.278569178518516</v>
      </c>
      <c r="AF240" s="9"/>
      <c r="AG240" s="21">
        <v>1.0582</v>
      </c>
      <c r="AH240" s="21">
        <v>20.088200000000001</v>
      </c>
      <c r="AI240" s="21">
        <v>-1.40594E-2</v>
      </c>
      <c r="AJ240" s="21">
        <v>230</v>
      </c>
      <c r="AK240" s="21">
        <v>1.0574300000000001</v>
      </c>
      <c r="AL240">
        <f t="shared" si="42"/>
        <v>17.357283950617283</v>
      </c>
      <c r="AM240">
        <f t="shared" si="43"/>
        <v>18.367477876543209</v>
      </c>
      <c r="AP240" s="9"/>
      <c r="AQ240" s="21">
        <v>0.58181799999999995</v>
      </c>
      <c r="AR240" s="21">
        <v>25.502099999999999</v>
      </c>
      <c r="AS240" s="21">
        <v>-1.4324999999999999E-2</v>
      </c>
      <c r="AT240" s="21">
        <v>230</v>
      </c>
      <c r="AU240" s="21">
        <v>0.58117700000000005</v>
      </c>
      <c r="AV240">
        <f t="shared" si="44"/>
        <v>17.685185185185183</v>
      </c>
      <c r="AW240">
        <f t="shared" si="45"/>
        <v>10.289559074074072</v>
      </c>
      <c r="AX240" s="9"/>
      <c r="AY240" s="21">
        <v>1.0582</v>
      </c>
      <c r="AZ240" s="21">
        <v>29.200399999999998</v>
      </c>
      <c r="BA240" s="21">
        <v>-1.4123500000000001E-2</v>
      </c>
      <c r="BB240" s="21">
        <v>230</v>
      </c>
      <c r="BC240" s="21">
        <v>1.0577399999999999</v>
      </c>
      <c r="BD240">
        <f t="shared" si="46"/>
        <v>17.436419753086419</v>
      </c>
      <c r="BE240">
        <f t="shared" si="47"/>
        <v>18.451219382716047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0.57678200000000002</v>
      </c>
      <c r="H241" s="21">
        <v>7.3347199999999999</v>
      </c>
      <c r="I241" s="21">
        <v>-1.4196800000000001E-2</v>
      </c>
      <c r="J241" s="21">
        <v>231</v>
      </c>
      <c r="K241" s="21">
        <v>0.57614100000000001</v>
      </c>
      <c r="L241">
        <f t="shared" si="36"/>
        <v>17.526913580246916</v>
      </c>
      <c r="M241">
        <f t="shared" si="37"/>
        <v>10.109208268641977</v>
      </c>
      <c r="N241" s="9"/>
      <c r="O241" s="21">
        <v>1.0632299999999999</v>
      </c>
      <c r="P241" s="21">
        <v>11.033099999999999</v>
      </c>
      <c r="Q241" s="21">
        <v>-1.3977099999999999E-2</v>
      </c>
      <c r="R241" s="21">
        <v>231</v>
      </c>
      <c r="S241" s="21">
        <v>1.0626199999999999</v>
      </c>
      <c r="T241">
        <f t="shared" si="38"/>
        <v>17.255679012345677</v>
      </c>
      <c r="U241">
        <f t="shared" si="39"/>
        <v>18.346755596296294</v>
      </c>
      <c r="X241" s="9"/>
      <c r="Y241" s="21">
        <v>0.57678200000000002</v>
      </c>
      <c r="Z241" s="21">
        <v>16.399899999999999</v>
      </c>
      <c r="AA241" s="21">
        <v>-1.4306599999999999E-2</v>
      </c>
      <c r="AB241" s="21">
        <v>231</v>
      </c>
      <c r="AC241" s="21">
        <v>0.57617200000000002</v>
      </c>
      <c r="AD241">
        <f t="shared" si="40"/>
        <v>17.662469135802468</v>
      </c>
      <c r="AE241">
        <f t="shared" si="41"/>
        <v>10.187394273086419</v>
      </c>
      <c r="AF241" s="9"/>
      <c r="AG241" s="21">
        <v>1.0632299999999999</v>
      </c>
      <c r="AH241" s="21">
        <v>20.098299999999998</v>
      </c>
      <c r="AI241" s="21">
        <v>-1.4065599999999999E-2</v>
      </c>
      <c r="AJ241" s="21">
        <v>231</v>
      </c>
      <c r="AK241" s="21">
        <v>1.0623199999999999</v>
      </c>
      <c r="AL241">
        <f t="shared" si="42"/>
        <v>17.364938271604938</v>
      </c>
      <c r="AM241">
        <f t="shared" si="43"/>
        <v>18.462923318518516</v>
      </c>
      <c r="AP241" s="9"/>
      <c r="AQ241" s="21">
        <v>0.57678200000000002</v>
      </c>
      <c r="AR241" s="21">
        <v>25.5122</v>
      </c>
      <c r="AS241" s="21">
        <v>-1.43188E-2</v>
      </c>
      <c r="AT241" s="21">
        <v>231</v>
      </c>
      <c r="AU241" s="21">
        <v>0.57614100000000001</v>
      </c>
      <c r="AV241">
        <f t="shared" si="44"/>
        <v>17.677530864197529</v>
      </c>
      <c r="AW241">
        <f t="shared" si="45"/>
        <v>10.196081606913578</v>
      </c>
      <c r="AX241" s="9"/>
      <c r="AY241" s="21">
        <v>1.0632299999999999</v>
      </c>
      <c r="AZ241" s="21">
        <v>29.2105</v>
      </c>
      <c r="BA241" s="21">
        <v>-1.4108300000000001E-2</v>
      </c>
      <c r="BB241" s="21">
        <v>231</v>
      </c>
      <c r="BC241" s="21">
        <v>1.0623199999999999</v>
      </c>
      <c r="BD241">
        <f t="shared" si="46"/>
        <v>17.417654320987655</v>
      </c>
      <c r="BE241">
        <f t="shared" si="47"/>
        <v>18.518972603703702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0.57174700000000001</v>
      </c>
      <c r="H242" s="21">
        <v>7.3447899999999997</v>
      </c>
      <c r="I242" s="21">
        <v>-1.4196800000000001E-2</v>
      </c>
      <c r="J242" s="21">
        <v>232</v>
      </c>
      <c r="K242" s="21">
        <v>0.57116699999999998</v>
      </c>
      <c r="L242">
        <f t="shared" si="36"/>
        <v>17.526913580246916</v>
      </c>
      <c r="M242">
        <f t="shared" si="37"/>
        <v>10.020960258765433</v>
      </c>
      <c r="N242" s="9"/>
      <c r="O242" s="21">
        <v>1.0682700000000001</v>
      </c>
      <c r="P242" s="21">
        <v>11.043100000000001</v>
      </c>
      <c r="Q242" s="21">
        <v>-1.3974E-2</v>
      </c>
      <c r="R242" s="21">
        <v>232</v>
      </c>
      <c r="S242" s="21">
        <v>1.0674999999999999</v>
      </c>
      <c r="T242">
        <f t="shared" si="38"/>
        <v>17.251851851851853</v>
      </c>
      <c r="U242">
        <f t="shared" si="39"/>
        <v>18.429635777777779</v>
      </c>
      <c r="X242" s="9"/>
      <c r="Y242" s="21">
        <v>0.57174700000000001</v>
      </c>
      <c r="Z242" s="21">
        <v>16.41</v>
      </c>
      <c r="AA242" s="21">
        <v>-1.4312699999999999E-2</v>
      </c>
      <c r="AB242" s="21">
        <v>232</v>
      </c>
      <c r="AC242" s="21">
        <v>0.57119799999999998</v>
      </c>
      <c r="AD242">
        <f t="shared" si="40"/>
        <v>17.669999999999998</v>
      </c>
      <c r="AE242">
        <f t="shared" si="41"/>
        <v>10.102769489999998</v>
      </c>
      <c r="AF242" s="9"/>
      <c r="AG242" s="21">
        <v>1.0682700000000001</v>
      </c>
      <c r="AH242" s="21">
        <v>20.1083</v>
      </c>
      <c r="AI242" s="21">
        <v>-1.40778E-2</v>
      </c>
      <c r="AJ242" s="21">
        <v>232</v>
      </c>
      <c r="AK242" s="21">
        <v>1.0674999999999999</v>
      </c>
      <c r="AL242">
        <f t="shared" si="42"/>
        <v>17.38</v>
      </c>
      <c r="AM242">
        <f t="shared" si="43"/>
        <v>18.566532599999999</v>
      </c>
      <c r="AP242" s="9"/>
      <c r="AQ242" s="21">
        <v>0.57174700000000001</v>
      </c>
      <c r="AR242" s="21">
        <v>25.522200000000002</v>
      </c>
      <c r="AS242" s="21">
        <v>-1.4334100000000001E-2</v>
      </c>
      <c r="AT242" s="21">
        <v>232</v>
      </c>
      <c r="AU242" s="21">
        <v>0.57122799999999996</v>
      </c>
      <c r="AV242">
        <f t="shared" si="44"/>
        <v>17.69641975308642</v>
      </c>
      <c r="AW242">
        <f t="shared" si="45"/>
        <v>10.117874904567902</v>
      </c>
      <c r="AX242" s="9"/>
      <c r="AY242" s="21">
        <v>1.0682700000000001</v>
      </c>
      <c r="AZ242" s="21">
        <v>29.220600000000001</v>
      </c>
      <c r="BA242" s="21">
        <v>-1.4108300000000001E-2</v>
      </c>
      <c r="BB242" s="21">
        <v>232</v>
      </c>
      <c r="BC242" s="21">
        <v>1.06812</v>
      </c>
      <c r="BD242">
        <f t="shared" si="46"/>
        <v>17.417654320987655</v>
      </c>
      <c r="BE242">
        <f t="shared" si="47"/>
        <v>18.606757581481482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0.56671099999999996</v>
      </c>
      <c r="H243" s="21">
        <v>7.3548600000000004</v>
      </c>
      <c r="I243" s="21">
        <v>-1.41937E-2</v>
      </c>
      <c r="J243" s="21">
        <v>233</v>
      </c>
      <c r="K243" s="21">
        <v>0.56610099999999997</v>
      </c>
      <c r="L243">
        <f t="shared" si="36"/>
        <v>17.523086419753085</v>
      </c>
      <c r="M243">
        <f t="shared" si="37"/>
        <v>9.93052582802469</v>
      </c>
      <c r="N243" s="9"/>
      <c r="O243" s="21">
        <v>1.0732999999999999</v>
      </c>
      <c r="P243" s="21">
        <v>11.0532</v>
      </c>
      <c r="Q243" s="21">
        <v>-1.3977099999999999E-2</v>
      </c>
      <c r="R243" s="21">
        <v>233</v>
      </c>
      <c r="S243" s="21">
        <v>1.0720799999999999</v>
      </c>
      <c r="T243">
        <f t="shared" si="38"/>
        <v>17.255679012345677</v>
      </c>
      <c r="U243">
        <f t="shared" si="39"/>
        <v>18.520520283950614</v>
      </c>
      <c r="X243" s="9"/>
      <c r="Y243" s="21">
        <v>0.56671099999999996</v>
      </c>
      <c r="Z243" s="21">
        <v>16.420100000000001</v>
      </c>
      <c r="AA243" s="21">
        <v>-1.43097E-2</v>
      </c>
      <c r="AB243" s="21">
        <v>233</v>
      </c>
      <c r="AC243" s="21">
        <v>0.56603999999999999</v>
      </c>
      <c r="AD243">
        <f t="shared" si="40"/>
        <v>17.666296296296295</v>
      </c>
      <c r="AE243">
        <f t="shared" si="41"/>
        <v>10.011684440370368</v>
      </c>
      <c r="AF243" s="9"/>
      <c r="AG243" s="21">
        <v>1.0732999999999999</v>
      </c>
      <c r="AH243" s="21">
        <v>20.118400000000001</v>
      </c>
      <c r="AI243" s="21">
        <v>-1.4074700000000001E-2</v>
      </c>
      <c r="AJ243" s="21">
        <v>233</v>
      </c>
      <c r="AK243" s="21">
        <v>1.0720799999999999</v>
      </c>
      <c r="AL243">
        <f t="shared" si="42"/>
        <v>17.376172839506172</v>
      </c>
      <c r="AM243">
        <f t="shared" si="43"/>
        <v>18.649846308641973</v>
      </c>
      <c r="AP243" s="9"/>
      <c r="AQ243" s="21">
        <v>0.56671099999999996</v>
      </c>
      <c r="AR243" s="21">
        <v>25.532299999999999</v>
      </c>
      <c r="AS243" s="21">
        <v>-1.43433E-2</v>
      </c>
      <c r="AT243" s="21">
        <v>233</v>
      </c>
      <c r="AU243" s="21">
        <v>0.56610099999999997</v>
      </c>
      <c r="AV243">
        <f t="shared" si="44"/>
        <v>17.707777777777778</v>
      </c>
      <c r="AW243">
        <f t="shared" si="45"/>
        <v>10.035192452222223</v>
      </c>
      <c r="AX243" s="9"/>
      <c r="AY243" s="21">
        <v>1.0732999999999999</v>
      </c>
      <c r="AZ243" s="21">
        <v>29.230599999999999</v>
      </c>
      <c r="BA243" s="21">
        <v>-1.40961E-2</v>
      </c>
      <c r="BB243" s="21">
        <v>233</v>
      </c>
      <c r="BC243" s="21">
        <v>1.0726899999999999</v>
      </c>
      <c r="BD243">
        <f t="shared" si="46"/>
        <v>17.40259259259259</v>
      </c>
      <c r="BE243">
        <f t="shared" si="47"/>
        <v>18.678202629629627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0.56167599999999995</v>
      </c>
      <c r="H244" s="21">
        <v>7.3649399999999998</v>
      </c>
      <c r="I244" s="21">
        <v>-1.41937E-2</v>
      </c>
      <c r="J244" s="21">
        <v>234</v>
      </c>
      <c r="K244" s="21">
        <v>0.56100499999999998</v>
      </c>
      <c r="L244">
        <f t="shared" si="36"/>
        <v>17.523086419753085</v>
      </c>
      <c r="M244">
        <f t="shared" si="37"/>
        <v>9.8422970879012333</v>
      </c>
      <c r="N244" s="9"/>
      <c r="O244" s="21">
        <v>1.0783400000000001</v>
      </c>
      <c r="P244" s="21">
        <v>11.0633</v>
      </c>
      <c r="Q244" s="21">
        <v>-1.3977099999999999E-2</v>
      </c>
      <c r="R244" s="21">
        <v>234</v>
      </c>
      <c r="S244" s="21">
        <v>1.0772699999999999</v>
      </c>
      <c r="T244">
        <f t="shared" si="38"/>
        <v>17.255679012345677</v>
      </c>
      <c r="U244">
        <f t="shared" si="39"/>
        <v>18.60748890617284</v>
      </c>
      <c r="X244" s="9"/>
      <c r="Y244" s="21">
        <v>0.56167599999999995</v>
      </c>
      <c r="Z244" s="21">
        <v>16.430099999999999</v>
      </c>
      <c r="AA244" s="21">
        <v>-1.43188E-2</v>
      </c>
      <c r="AB244" s="21">
        <v>234</v>
      </c>
      <c r="AC244" s="21">
        <v>0.56100499999999998</v>
      </c>
      <c r="AD244">
        <f t="shared" si="40"/>
        <v>17.677530864197529</v>
      </c>
      <c r="AE244">
        <f t="shared" si="41"/>
        <v>9.9290448256790107</v>
      </c>
      <c r="AF244" s="9"/>
      <c r="AG244" s="21">
        <v>1.0783400000000001</v>
      </c>
      <c r="AH244" s="21">
        <v>20.128499999999999</v>
      </c>
      <c r="AI244" s="21">
        <v>-1.40778E-2</v>
      </c>
      <c r="AJ244" s="21">
        <v>234</v>
      </c>
      <c r="AK244" s="21">
        <v>1.07758</v>
      </c>
      <c r="AL244">
        <f t="shared" si="42"/>
        <v>17.38</v>
      </c>
      <c r="AM244">
        <f t="shared" si="43"/>
        <v>18.741549200000001</v>
      </c>
      <c r="AP244" s="9"/>
      <c r="AQ244" s="21">
        <v>0.56167599999999995</v>
      </c>
      <c r="AR244" s="21">
        <v>25.542400000000001</v>
      </c>
      <c r="AS244" s="21">
        <v>-1.43494E-2</v>
      </c>
      <c r="AT244" s="21">
        <v>234</v>
      </c>
      <c r="AU244" s="21">
        <v>0.56106599999999995</v>
      </c>
      <c r="AV244">
        <f t="shared" si="44"/>
        <v>17.715308641975309</v>
      </c>
      <c r="AW244">
        <f t="shared" si="45"/>
        <v>9.9502636967901221</v>
      </c>
      <c r="AX244" s="9"/>
      <c r="AY244" s="21">
        <v>1.0783400000000001</v>
      </c>
      <c r="AZ244" s="21">
        <v>29.2407</v>
      </c>
      <c r="BA244" s="21">
        <v>-1.40991E-2</v>
      </c>
      <c r="BB244" s="21">
        <v>234</v>
      </c>
      <c r="BC244" s="21">
        <v>1.0772699999999999</v>
      </c>
      <c r="BD244">
        <f t="shared" si="46"/>
        <v>17.406296296296293</v>
      </c>
      <c r="BE244">
        <f t="shared" si="47"/>
        <v>18.769905548148145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0.55664100000000005</v>
      </c>
      <c r="H245" s="21">
        <v>7.3750099999999996</v>
      </c>
      <c r="I245" s="21">
        <v>-1.41937E-2</v>
      </c>
      <c r="J245" s="21">
        <v>235</v>
      </c>
      <c r="K245" s="21">
        <v>0.55600000000000005</v>
      </c>
      <c r="L245">
        <f t="shared" si="36"/>
        <v>17.523086419753085</v>
      </c>
      <c r="M245">
        <f t="shared" si="37"/>
        <v>9.7540683477777783</v>
      </c>
      <c r="N245" s="9"/>
      <c r="O245" s="21">
        <v>1.0833699999999999</v>
      </c>
      <c r="P245" s="21">
        <v>11.0733</v>
      </c>
      <c r="Q245" s="21">
        <v>-1.3980100000000001E-2</v>
      </c>
      <c r="R245" s="21">
        <v>235</v>
      </c>
      <c r="S245" s="21">
        <v>1.0821499999999999</v>
      </c>
      <c r="T245">
        <f t="shared" si="38"/>
        <v>17.259382716049384</v>
      </c>
      <c r="U245">
        <f t="shared" si="39"/>
        <v>18.698297453086418</v>
      </c>
      <c r="X245" s="9"/>
      <c r="Y245" s="21">
        <v>0.55664100000000005</v>
      </c>
      <c r="Z245" s="21">
        <v>16.440200000000001</v>
      </c>
      <c r="AA245" s="21">
        <v>-1.4328E-2</v>
      </c>
      <c r="AB245" s="21">
        <v>235</v>
      </c>
      <c r="AC245" s="21">
        <v>0.55596900000000005</v>
      </c>
      <c r="AD245">
        <f t="shared" si="40"/>
        <v>17.68888888888889</v>
      </c>
      <c r="AE245">
        <f t="shared" si="41"/>
        <v>9.8463608000000011</v>
      </c>
      <c r="AF245" s="9"/>
      <c r="AG245" s="21">
        <v>1.0833699999999999</v>
      </c>
      <c r="AH245" s="21">
        <v>20.1386</v>
      </c>
      <c r="AI245" s="21">
        <v>-1.4080799999999999E-2</v>
      </c>
      <c r="AJ245" s="21">
        <v>235</v>
      </c>
      <c r="AK245" s="21">
        <v>1.0827599999999999</v>
      </c>
      <c r="AL245">
        <f t="shared" si="42"/>
        <v>17.383703703703702</v>
      </c>
      <c r="AM245">
        <f t="shared" si="43"/>
        <v>18.83298308148148</v>
      </c>
      <c r="AP245" s="9"/>
      <c r="AQ245" s="21">
        <v>0.55664100000000005</v>
      </c>
      <c r="AR245" s="21">
        <v>25.552399999999999</v>
      </c>
      <c r="AS245" s="21">
        <v>-1.43555E-2</v>
      </c>
      <c r="AT245" s="21">
        <v>235</v>
      </c>
      <c r="AU245" s="21">
        <v>0.55593899999999996</v>
      </c>
      <c r="AV245">
        <f t="shared" si="44"/>
        <v>17.722839506172836</v>
      </c>
      <c r="AW245">
        <f t="shared" si="45"/>
        <v>9.8652591055555536</v>
      </c>
      <c r="AX245" s="9"/>
      <c r="AY245" s="21">
        <v>1.0833699999999999</v>
      </c>
      <c r="AZ245" s="21">
        <v>29.250800000000002</v>
      </c>
      <c r="BA245" s="21">
        <v>-1.41022E-2</v>
      </c>
      <c r="BB245" s="21">
        <v>235</v>
      </c>
      <c r="BC245" s="21">
        <v>1.08246</v>
      </c>
      <c r="BD245">
        <f t="shared" si="46"/>
        <v>17.410123456790124</v>
      </c>
      <c r="BE245">
        <f t="shared" si="47"/>
        <v>18.861605449382715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0.55160500000000001</v>
      </c>
      <c r="H246" s="21">
        <v>7.3850800000000003</v>
      </c>
      <c r="I246" s="21">
        <v>-1.41937E-2</v>
      </c>
      <c r="J246" s="21">
        <v>236</v>
      </c>
      <c r="K246" s="21">
        <v>0.55093400000000003</v>
      </c>
      <c r="L246">
        <f t="shared" si="36"/>
        <v>17.523086419753085</v>
      </c>
      <c r="M246">
        <f t="shared" si="37"/>
        <v>9.6658220845679015</v>
      </c>
      <c r="N246" s="9"/>
      <c r="O246" s="21">
        <v>1.0884100000000001</v>
      </c>
      <c r="P246" s="21">
        <v>11.083399999999999</v>
      </c>
      <c r="Q246" s="21">
        <v>-1.3974E-2</v>
      </c>
      <c r="R246" s="21">
        <v>236</v>
      </c>
      <c r="S246" s="21">
        <v>1.08734</v>
      </c>
      <c r="T246">
        <f t="shared" si="38"/>
        <v>17.251851851851853</v>
      </c>
      <c r="U246">
        <f t="shared" si="39"/>
        <v>18.777088074074076</v>
      </c>
      <c r="X246" s="9"/>
      <c r="Y246" s="21">
        <v>0.55160500000000001</v>
      </c>
      <c r="Z246" s="21">
        <v>16.450299999999999</v>
      </c>
      <c r="AA246" s="21">
        <v>-1.43372E-2</v>
      </c>
      <c r="AB246" s="21">
        <v>236</v>
      </c>
      <c r="AC246" s="21">
        <v>0.55102499999999999</v>
      </c>
      <c r="AD246">
        <f t="shared" si="40"/>
        <v>17.700246913580244</v>
      </c>
      <c r="AE246">
        <f t="shared" si="41"/>
        <v>9.7635446987654309</v>
      </c>
      <c r="AF246" s="9"/>
      <c r="AG246" s="21">
        <v>1.0884100000000001</v>
      </c>
      <c r="AH246" s="21">
        <v>20.148599999999998</v>
      </c>
      <c r="AI246" s="21">
        <v>-1.4080799999999999E-2</v>
      </c>
      <c r="AJ246" s="21">
        <v>236</v>
      </c>
      <c r="AK246" s="21">
        <v>1.08704</v>
      </c>
      <c r="AL246">
        <f t="shared" si="42"/>
        <v>17.383703703703702</v>
      </c>
      <c r="AM246">
        <f t="shared" si="43"/>
        <v>18.920596948148148</v>
      </c>
      <c r="AP246" s="9"/>
      <c r="AQ246" s="21">
        <v>0.55160500000000001</v>
      </c>
      <c r="AR246" s="21">
        <v>25.5625</v>
      </c>
      <c r="AS246" s="21">
        <v>-1.43616E-2</v>
      </c>
      <c r="AT246" s="21">
        <v>236</v>
      </c>
      <c r="AU246" s="21">
        <v>0.55102499999999999</v>
      </c>
      <c r="AV246">
        <f t="shared" si="44"/>
        <v>17.73037037037037</v>
      </c>
      <c r="AW246">
        <f t="shared" si="45"/>
        <v>9.7801609481481488</v>
      </c>
      <c r="AX246" s="9"/>
      <c r="AY246" s="21">
        <v>1.0884100000000001</v>
      </c>
      <c r="AZ246" s="21">
        <v>29.2608</v>
      </c>
      <c r="BA246" s="21">
        <v>-1.409E-2</v>
      </c>
      <c r="BB246" s="21">
        <v>236</v>
      </c>
      <c r="BC246" s="21">
        <v>1.08734</v>
      </c>
      <c r="BD246">
        <f t="shared" si="46"/>
        <v>17.39506172839506</v>
      </c>
      <c r="BE246">
        <f t="shared" si="47"/>
        <v>18.93295913580247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0.54657</v>
      </c>
      <c r="H247" s="21">
        <v>7.3951500000000001</v>
      </c>
      <c r="I247" s="21">
        <v>-1.41998E-2</v>
      </c>
      <c r="J247" s="21">
        <v>237</v>
      </c>
      <c r="K247" s="21">
        <v>0.545929</v>
      </c>
      <c r="L247">
        <f t="shared" si="36"/>
        <v>17.530617283950615</v>
      </c>
      <c r="M247">
        <f t="shared" si="37"/>
        <v>9.5817094888888885</v>
      </c>
      <c r="N247" s="9"/>
      <c r="O247" s="21">
        <v>1.09344</v>
      </c>
      <c r="P247" s="21">
        <v>11.093500000000001</v>
      </c>
      <c r="Q247" s="21">
        <v>-1.3974E-2</v>
      </c>
      <c r="R247" s="21">
        <v>237</v>
      </c>
      <c r="S247" s="21">
        <v>1.09283</v>
      </c>
      <c r="T247">
        <f t="shared" si="38"/>
        <v>17.251851851851853</v>
      </c>
      <c r="U247">
        <f t="shared" si="39"/>
        <v>18.863864888888891</v>
      </c>
      <c r="X247" s="9"/>
      <c r="Y247" s="21">
        <v>0.54657</v>
      </c>
      <c r="Z247" s="21">
        <v>16.4604</v>
      </c>
      <c r="AA247" s="21">
        <v>-1.4340200000000001E-2</v>
      </c>
      <c r="AB247" s="21">
        <v>237</v>
      </c>
      <c r="AC247" s="21">
        <v>0.545929</v>
      </c>
      <c r="AD247">
        <f t="shared" si="40"/>
        <v>17.703950617283951</v>
      </c>
      <c r="AE247">
        <f t="shared" si="41"/>
        <v>9.6764482888888885</v>
      </c>
      <c r="AF247" s="9"/>
      <c r="AG247" s="21">
        <v>1.09344</v>
      </c>
      <c r="AH247" s="21">
        <v>20.1587</v>
      </c>
      <c r="AI247" s="21">
        <v>-1.40839E-2</v>
      </c>
      <c r="AJ247" s="21">
        <v>237</v>
      </c>
      <c r="AK247" s="21">
        <v>1.09222</v>
      </c>
      <c r="AL247">
        <f t="shared" si="42"/>
        <v>17.387530864197529</v>
      </c>
      <c r="AM247">
        <f t="shared" si="43"/>
        <v>19.012221748148146</v>
      </c>
      <c r="AP247" s="9"/>
      <c r="AQ247" s="21">
        <v>0.54657</v>
      </c>
      <c r="AR247" s="21">
        <v>25.572600000000001</v>
      </c>
      <c r="AS247" s="21">
        <v>-1.43646E-2</v>
      </c>
      <c r="AT247" s="21">
        <v>237</v>
      </c>
      <c r="AU247" s="21">
        <v>0.54595899999999997</v>
      </c>
      <c r="AV247">
        <f t="shared" si="44"/>
        <v>17.734074074074073</v>
      </c>
      <c r="AW247">
        <f t="shared" si="45"/>
        <v>9.6929128666666653</v>
      </c>
      <c r="AX247" s="9"/>
      <c r="AY247" s="21">
        <v>1.09344</v>
      </c>
      <c r="AZ247" s="21">
        <v>29.270900000000001</v>
      </c>
      <c r="BA247" s="21">
        <v>-1.4074700000000001E-2</v>
      </c>
      <c r="BB247" s="21">
        <v>237</v>
      </c>
      <c r="BC247" s="21">
        <v>1.09314</v>
      </c>
      <c r="BD247">
        <f t="shared" si="46"/>
        <v>17.376172839506172</v>
      </c>
      <c r="BE247">
        <f t="shared" si="47"/>
        <v>18.999802429629629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0.54153399999999996</v>
      </c>
      <c r="H248" s="21">
        <v>7.4052199999999999</v>
      </c>
      <c r="I248" s="21">
        <v>-1.4202899999999999E-2</v>
      </c>
      <c r="J248" s="21">
        <v>238</v>
      </c>
      <c r="K248" s="21">
        <v>0.54092399999999996</v>
      </c>
      <c r="L248">
        <f t="shared" si="36"/>
        <v>17.534444444444443</v>
      </c>
      <c r="M248">
        <f t="shared" si="37"/>
        <v>9.4954978377777763</v>
      </c>
      <c r="N248" s="9"/>
      <c r="O248" s="21">
        <v>1.0984799999999999</v>
      </c>
      <c r="P248" s="21">
        <v>11.1036</v>
      </c>
      <c r="Q248" s="21">
        <v>-1.39679E-2</v>
      </c>
      <c r="R248" s="21">
        <v>238</v>
      </c>
      <c r="S248" s="21">
        <v>1.09772</v>
      </c>
      <c r="T248">
        <f t="shared" si="38"/>
        <v>17.244320987654319</v>
      </c>
      <c r="U248">
        <f t="shared" si="39"/>
        <v>18.942541718518516</v>
      </c>
      <c r="X248" s="9"/>
      <c r="Y248" s="21">
        <v>0.54153399999999996</v>
      </c>
      <c r="Z248" s="21">
        <v>16.470400000000001</v>
      </c>
      <c r="AA248" s="21">
        <v>-1.43433E-2</v>
      </c>
      <c r="AB248" s="21">
        <v>238</v>
      </c>
      <c r="AC248" s="21">
        <v>0.54095499999999996</v>
      </c>
      <c r="AD248">
        <f t="shared" si="40"/>
        <v>17.707777777777778</v>
      </c>
      <c r="AE248">
        <f t="shared" si="41"/>
        <v>9.58936373111111</v>
      </c>
      <c r="AF248" s="9"/>
      <c r="AG248" s="21">
        <v>1.0984799999999999</v>
      </c>
      <c r="AH248" s="21">
        <v>20.168800000000001</v>
      </c>
      <c r="AI248" s="21">
        <v>-1.4071699999999999E-2</v>
      </c>
      <c r="AJ248" s="21">
        <v>238</v>
      </c>
      <c r="AK248" s="21">
        <v>1.09772</v>
      </c>
      <c r="AL248">
        <f t="shared" si="42"/>
        <v>17.372469135802469</v>
      </c>
      <c r="AM248">
        <f t="shared" si="43"/>
        <v>19.083309896296292</v>
      </c>
      <c r="AP248" s="9"/>
      <c r="AQ248" s="21">
        <v>0.54153399999999996</v>
      </c>
      <c r="AR248" s="21">
        <v>25.582699999999999</v>
      </c>
      <c r="AS248" s="21">
        <v>-1.43494E-2</v>
      </c>
      <c r="AT248" s="21">
        <v>238</v>
      </c>
      <c r="AU248" s="21">
        <v>0.54092399999999996</v>
      </c>
      <c r="AV248">
        <f t="shared" si="44"/>
        <v>17.715308641975309</v>
      </c>
      <c r="AW248">
        <f t="shared" si="45"/>
        <v>9.5934419501234558</v>
      </c>
      <c r="AX248" s="9"/>
      <c r="AY248" s="21">
        <v>1.0984799999999999</v>
      </c>
      <c r="AZ248" s="21">
        <v>29.280999999999999</v>
      </c>
      <c r="BA248" s="21">
        <v>-1.4065599999999999E-2</v>
      </c>
      <c r="BB248" s="21">
        <v>238</v>
      </c>
      <c r="BC248" s="21">
        <v>1.09802</v>
      </c>
      <c r="BD248">
        <f t="shared" si="46"/>
        <v>17.364938271604938</v>
      </c>
      <c r="BE248">
        <f t="shared" si="47"/>
        <v>19.075037392592591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0.53649899999999995</v>
      </c>
      <c r="H249" s="21">
        <v>7.4152899999999997</v>
      </c>
      <c r="I249" s="21">
        <v>-1.41998E-2</v>
      </c>
      <c r="J249" s="21">
        <v>239</v>
      </c>
      <c r="K249" s="21">
        <v>0.53585799999999995</v>
      </c>
      <c r="L249">
        <f t="shared" si="36"/>
        <v>17.530617283950615</v>
      </c>
      <c r="M249">
        <f t="shared" si="37"/>
        <v>9.4051586422222204</v>
      </c>
      <c r="N249" s="9"/>
      <c r="O249" s="21">
        <v>1.1035200000000001</v>
      </c>
      <c r="P249" s="21">
        <v>11.1136</v>
      </c>
      <c r="Q249" s="21">
        <v>-1.3980100000000001E-2</v>
      </c>
      <c r="R249" s="21">
        <v>239</v>
      </c>
      <c r="S249" s="21">
        <v>1.1029100000000001</v>
      </c>
      <c r="T249">
        <f t="shared" si="38"/>
        <v>17.259382716049384</v>
      </c>
      <c r="U249">
        <f t="shared" si="39"/>
        <v>19.046074014814817</v>
      </c>
      <c r="X249" s="9"/>
      <c r="Y249" s="21">
        <v>0.53649899999999995</v>
      </c>
      <c r="Z249" s="21">
        <v>16.480499999999999</v>
      </c>
      <c r="AA249" s="21">
        <v>-1.43494E-2</v>
      </c>
      <c r="AB249" s="21">
        <v>239</v>
      </c>
      <c r="AC249" s="21">
        <v>0.53588899999999995</v>
      </c>
      <c r="AD249">
        <f t="shared" si="40"/>
        <v>17.715308641975309</v>
      </c>
      <c r="AE249">
        <f t="shared" si="41"/>
        <v>9.5042453711111108</v>
      </c>
      <c r="AF249" s="9"/>
      <c r="AG249" s="21">
        <v>1.1035200000000001</v>
      </c>
      <c r="AH249" s="21">
        <v>20.178799999999999</v>
      </c>
      <c r="AI249" s="21">
        <v>-1.4068600000000001E-2</v>
      </c>
      <c r="AJ249" s="21">
        <v>239</v>
      </c>
      <c r="AK249" s="21">
        <v>1.1026</v>
      </c>
      <c r="AL249">
        <f t="shared" si="42"/>
        <v>17.368641975308641</v>
      </c>
      <c r="AM249">
        <f t="shared" si="43"/>
        <v>19.166643792592591</v>
      </c>
      <c r="AP249" s="9"/>
      <c r="AQ249" s="21">
        <v>0.53649899999999995</v>
      </c>
      <c r="AR249" s="21">
        <v>25.592700000000001</v>
      </c>
      <c r="AS249" s="21">
        <v>-1.43494E-2</v>
      </c>
      <c r="AT249" s="21">
        <v>239</v>
      </c>
      <c r="AU249" s="21">
        <v>0.53585799999999995</v>
      </c>
      <c r="AV249">
        <f t="shared" si="44"/>
        <v>17.715308641975309</v>
      </c>
      <c r="AW249">
        <f t="shared" si="45"/>
        <v>9.5042453711111108</v>
      </c>
      <c r="AX249" s="9"/>
      <c r="AY249" s="21">
        <v>1.1035200000000001</v>
      </c>
      <c r="AZ249" s="21">
        <v>29.2911</v>
      </c>
      <c r="BA249" s="21">
        <v>-1.4053299999999999E-2</v>
      </c>
      <c r="BB249" s="21">
        <v>239</v>
      </c>
      <c r="BC249" s="21">
        <v>1.10321</v>
      </c>
      <c r="BD249">
        <f t="shared" si="46"/>
        <v>17.349753086419753</v>
      </c>
      <c r="BE249">
        <f t="shared" si="47"/>
        <v>19.145799525925927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0.53146400000000005</v>
      </c>
      <c r="H250" s="21">
        <v>7.4253600000000004</v>
      </c>
      <c r="I250" s="21">
        <v>-1.4190700000000001E-2</v>
      </c>
      <c r="J250" s="21">
        <v>240</v>
      </c>
      <c r="K250" s="21">
        <v>0.53097499999999997</v>
      </c>
      <c r="L250">
        <f t="shared" si="36"/>
        <v>17.519382716049382</v>
      </c>
      <c r="M250">
        <f t="shared" si="37"/>
        <v>9.3109212158024697</v>
      </c>
      <c r="N250" s="9"/>
      <c r="O250" s="21">
        <v>1.1085499999999999</v>
      </c>
      <c r="P250" s="21">
        <v>11.123699999999999</v>
      </c>
      <c r="Q250" s="21">
        <v>-1.3986200000000001E-2</v>
      </c>
      <c r="R250" s="21">
        <v>240</v>
      </c>
      <c r="S250" s="21">
        <v>1.10748</v>
      </c>
      <c r="T250">
        <f t="shared" si="38"/>
        <v>17.266913580246914</v>
      </c>
      <c r="U250">
        <f t="shared" si="39"/>
        <v>19.141237049382717</v>
      </c>
      <c r="X250" s="9"/>
      <c r="Y250" s="21">
        <v>0.53146400000000005</v>
      </c>
      <c r="Z250" s="21">
        <v>16.490600000000001</v>
      </c>
      <c r="AA250" s="21">
        <v>-1.4346299999999999E-2</v>
      </c>
      <c r="AB250" s="21">
        <v>240</v>
      </c>
      <c r="AC250" s="21">
        <v>0.53073099999999995</v>
      </c>
      <c r="AD250">
        <f t="shared" si="40"/>
        <v>17.711481481481481</v>
      </c>
      <c r="AE250">
        <f t="shared" si="41"/>
        <v>9.4130147940740745</v>
      </c>
      <c r="AF250" s="9"/>
      <c r="AG250" s="21">
        <v>1.1085499999999999</v>
      </c>
      <c r="AH250" s="21">
        <v>20.1889</v>
      </c>
      <c r="AI250" s="21">
        <v>-1.40503E-2</v>
      </c>
      <c r="AJ250" s="21">
        <v>240</v>
      </c>
      <c r="AK250" s="21">
        <v>1.10809</v>
      </c>
      <c r="AL250">
        <f t="shared" si="42"/>
        <v>17.34604938271605</v>
      </c>
      <c r="AM250">
        <f t="shared" si="43"/>
        <v>19.228963043209877</v>
      </c>
      <c r="AP250" s="9"/>
      <c r="AQ250" s="21">
        <v>0.53146400000000005</v>
      </c>
      <c r="AR250" s="21">
        <v>25.602799999999998</v>
      </c>
      <c r="AS250" s="21">
        <v>-1.43372E-2</v>
      </c>
      <c r="AT250" s="21">
        <v>240</v>
      </c>
      <c r="AU250" s="21">
        <v>0.53088400000000002</v>
      </c>
      <c r="AV250">
        <f t="shared" si="44"/>
        <v>17.700246913580244</v>
      </c>
      <c r="AW250">
        <f t="shared" si="45"/>
        <v>9.4070440256790118</v>
      </c>
      <c r="AX250" s="9"/>
      <c r="AY250" s="21">
        <v>1.1085499999999999</v>
      </c>
      <c r="AZ250" s="21">
        <v>29.301100000000002</v>
      </c>
      <c r="BA250" s="21">
        <v>-1.40442E-2</v>
      </c>
      <c r="BB250" s="21">
        <v>240</v>
      </c>
      <c r="BC250" s="21">
        <v>1.10748</v>
      </c>
      <c r="BD250">
        <f t="shared" si="46"/>
        <v>17.338518518518516</v>
      </c>
      <c r="BE250">
        <f t="shared" si="47"/>
        <v>19.220614703703699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0.52642800000000001</v>
      </c>
      <c r="H251" s="21">
        <v>7.4354300000000002</v>
      </c>
      <c r="I251" s="21">
        <v>-1.4175399999999999E-2</v>
      </c>
      <c r="J251" s="21">
        <v>241</v>
      </c>
      <c r="K251" s="21">
        <v>0.52584799999999998</v>
      </c>
      <c r="L251">
        <f t="shared" si="36"/>
        <v>17.500493827160494</v>
      </c>
      <c r="M251">
        <f t="shared" si="37"/>
        <v>9.2127499644444448</v>
      </c>
      <c r="N251" s="9"/>
      <c r="O251" s="21">
        <v>1.1135900000000001</v>
      </c>
      <c r="P251" s="21">
        <v>11.133800000000001</v>
      </c>
      <c r="Q251" s="21">
        <v>-1.3992299999999999E-2</v>
      </c>
      <c r="R251" s="21">
        <v>241</v>
      </c>
      <c r="S251" s="21">
        <v>1.1129800000000001</v>
      </c>
      <c r="T251">
        <f t="shared" si="38"/>
        <v>17.274444444444445</v>
      </c>
      <c r="U251">
        <f t="shared" si="39"/>
        <v>19.23664858888889</v>
      </c>
      <c r="X251" s="9"/>
      <c r="Y251" s="21">
        <v>0.52642800000000001</v>
      </c>
      <c r="Z251" s="21">
        <v>16.500599999999999</v>
      </c>
      <c r="AA251" s="21">
        <v>-1.4340200000000001E-2</v>
      </c>
      <c r="AB251" s="21">
        <v>241</v>
      </c>
      <c r="AC251" s="21">
        <v>0.52569600000000005</v>
      </c>
      <c r="AD251">
        <f t="shared" si="40"/>
        <v>17.703950617283951</v>
      </c>
      <c r="AE251">
        <f t="shared" si="41"/>
        <v>9.3198553155555555</v>
      </c>
      <c r="AF251" s="9"/>
      <c r="AG251" s="21">
        <v>1.1135900000000001</v>
      </c>
      <c r="AH251" s="21">
        <v>20.199000000000002</v>
      </c>
      <c r="AI251" s="21">
        <v>-1.4041100000000001E-2</v>
      </c>
      <c r="AJ251" s="21">
        <v>241</v>
      </c>
      <c r="AK251" s="21">
        <v>1.11328</v>
      </c>
      <c r="AL251">
        <f t="shared" si="42"/>
        <v>17.334691358024692</v>
      </c>
      <c r="AM251">
        <f t="shared" si="43"/>
        <v>19.303738949382719</v>
      </c>
      <c r="AP251" s="9"/>
      <c r="AQ251" s="21">
        <v>0.52642800000000001</v>
      </c>
      <c r="AR251" s="21">
        <v>25.6129</v>
      </c>
      <c r="AS251" s="21">
        <v>-1.43372E-2</v>
      </c>
      <c r="AT251" s="21">
        <v>241</v>
      </c>
      <c r="AU251" s="21">
        <v>0.525787</v>
      </c>
      <c r="AV251">
        <f t="shared" si="44"/>
        <v>17.700246913580244</v>
      </c>
      <c r="AW251">
        <f t="shared" si="45"/>
        <v>9.3179055822222203</v>
      </c>
      <c r="AX251" s="9"/>
      <c r="AY251" s="21">
        <v>1.1135900000000001</v>
      </c>
      <c r="AZ251" s="21">
        <v>29.311199999999999</v>
      </c>
      <c r="BA251" s="21">
        <v>-1.4047199999999999E-2</v>
      </c>
      <c r="BB251" s="21">
        <v>241</v>
      </c>
      <c r="BC251" s="21">
        <v>1.1129800000000001</v>
      </c>
      <c r="BD251">
        <f t="shared" si="46"/>
        <v>17.342222222222222</v>
      </c>
      <c r="BE251">
        <f t="shared" si="47"/>
        <v>19.312125244444445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0.521393</v>
      </c>
      <c r="H252" s="21">
        <v>7.4455</v>
      </c>
      <c r="I252" s="21">
        <v>-1.41815E-2</v>
      </c>
      <c r="J252" s="21">
        <v>242</v>
      </c>
      <c r="K252" s="21">
        <v>0.52093500000000004</v>
      </c>
      <c r="L252">
        <f t="shared" si="36"/>
        <v>17.508024691358024</v>
      </c>
      <c r="M252">
        <f t="shared" si="37"/>
        <v>9.1285615179012343</v>
      </c>
      <c r="N252" s="9"/>
      <c r="O252" s="21">
        <v>1.1186199999999999</v>
      </c>
      <c r="P252" s="21">
        <v>11.143800000000001</v>
      </c>
      <c r="Q252" s="21">
        <v>-1.39954E-2</v>
      </c>
      <c r="R252" s="21">
        <v>242</v>
      </c>
      <c r="S252" s="21">
        <v>1.11816</v>
      </c>
      <c r="T252">
        <f t="shared" si="38"/>
        <v>17.278271604938272</v>
      </c>
      <c r="U252">
        <f t="shared" si="39"/>
        <v>19.327820182716049</v>
      </c>
      <c r="X252" s="9"/>
      <c r="Y252" s="21">
        <v>0.521393</v>
      </c>
      <c r="Z252" s="21">
        <v>16.5107</v>
      </c>
      <c r="AA252" s="21">
        <v>-1.4346299999999999E-2</v>
      </c>
      <c r="AB252" s="21">
        <v>242</v>
      </c>
      <c r="AC252" s="21">
        <v>0.52084399999999997</v>
      </c>
      <c r="AD252">
        <f t="shared" si="40"/>
        <v>17.711481481481481</v>
      </c>
      <c r="AE252">
        <f t="shared" si="41"/>
        <v>9.2346424640740743</v>
      </c>
      <c r="AF252" s="9"/>
      <c r="AG252" s="21">
        <v>1.1186199999999999</v>
      </c>
      <c r="AH252" s="21">
        <v>20.209099999999999</v>
      </c>
      <c r="AI252" s="21">
        <v>-1.4031999999999999E-2</v>
      </c>
      <c r="AJ252" s="21">
        <v>242</v>
      </c>
      <c r="AK252" s="21">
        <v>1.11755</v>
      </c>
      <c r="AL252">
        <f t="shared" si="42"/>
        <v>17.323456790123455</v>
      </c>
      <c r="AM252">
        <f t="shared" si="43"/>
        <v>19.378365234567898</v>
      </c>
      <c r="AP252" s="9"/>
      <c r="AQ252" s="21">
        <v>0.521393</v>
      </c>
      <c r="AR252" s="21">
        <v>25.622900000000001</v>
      </c>
      <c r="AS252" s="21">
        <v>-1.43433E-2</v>
      </c>
      <c r="AT252" s="21">
        <v>242</v>
      </c>
      <c r="AU252" s="21">
        <v>0.52078199999999997</v>
      </c>
      <c r="AV252">
        <f t="shared" si="44"/>
        <v>17.707777777777778</v>
      </c>
      <c r="AW252">
        <f t="shared" si="45"/>
        <v>9.2327113788888884</v>
      </c>
      <c r="AX252" s="9"/>
      <c r="AY252" s="21">
        <v>1.1186199999999999</v>
      </c>
      <c r="AZ252" s="21">
        <v>29.321300000000001</v>
      </c>
      <c r="BA252" s="21">
        <v>-1.40381E-2</v>
      </c>
      <c r="BB252" s="21">
        <v>242</v>
      </c>
      <c r="BC252" s="21">
        <v>1.1178600000000001</v>
      </c>
      <c r="BD252">
        <f t="shared" si="46"/>
        <v>17.330987654320985</v>
      </c>
      <c r="BE252">
        <f t="shared" si="47"/>
        <v>19.386789409876538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0.51635699999999995</v>
      </c>
      <c r="H253" s="21">
        <v>7.4555699999999998</v>
      </c>
      <c r="I253" s="21">
        <v>-1.41846E-2</v>
      </c>
      <c r="J253" s="21">
        <v>243</v>
      </c>
      <c r="K253" s="21">
        <v>0.51568599999999998</v>
      </c>
      <c r="L253">
        <f t="shared" si="36"/>
        <v>17.511851851851851</v>
      </c>
      <c r="M253">
        <f t="shared" si="37"/>
        <v>9.042367286666666</v>
      </c>
      <c r="N253" s="9"/>
      <c r="O253" s="21">
        <v>1.1236600000000001</v>
      </c>
      <c r="P253" s="21">
        <v>11.1539</v>
      </c>
      <c r="Q253" s="21">
        <v>-1.3992299999999999E-2</v>
      </c>
      <c r="R253" s="21">
        <v>243</v>
      </c>
      <c r="S253" s="21">
        <v>1.1227400000000001</v>
      </c>
      <c r="T253">
        <f t="shared" si="38"/>
        <v>17.274444444444445</v>
      </c>
      <c r="U253">
        <f t="shared" si="39"/>
        <v>19.410602244444448</v>
      </c>
      <c r="X253" s="9"/>
      <c r="Y253" s="21">
        <v>0.51635699999999995</v>
      </c>
      <c r="Z253" s="21">
        <v>16.520800000000001</v>
      </c>
      <c r="AA253" s="21">
        <v>-1.43494E-2</v>
      </c>
      <c r="AB253" s="21">
        <v>243</v>
      </c>
      <c r="AC253" s="21">
        <v>0.51568599999999998</v>
      </c>
      <c r="AD253">
        <f t="shared" si="40"/>
        <v>17.715308641975309</v>
      </c>
      <c r="AE253">
        <f t="shared" si="41"/>
        <v>9.1474236244444445</v>
      </c>
      <c r="AF253" s="9"/>
      <c r="AG253" s="21">
        <v>1.1236600000000001</v>
      </c>
      <c r="AH253" s="21">
        <v>20.219100000000001</v>
      </c>
      <c r="AI253" s="21">
        <v>-1.4025900000000001E-2</v>
      </c>
      <c r="AJ253" s="21">
        <v>243</v>
      </c>
      <c r="AK253" s="21">
        <v>1.1224400000000001</v>
      </c>
      <c r="AL253">
        <f t="shared" si="42"/>
        <v>17.315925925925924</v>
      </c>
      <c r="AM253">
        <f t="shared" si="43"/>
        <v>19.457213325925927</v>
      </c>
      <c r="AP253" s="9"/>
      <c r="AQ253" s="21">
        <v>0.51635699999999995</v>
      </c>
      <c r="AR253" s="21">
        <v>25.632999999999999</v>
      </c>
      <c r="AS253" s="21">
        <v>-1.43494E-2</v>
      </c>
      <c r="AT253" s="21">
        <v>243</v>
      </c>
      <c r="AU253" s="21">
        <v>0.51568599999999998</v>
      </c>
      <c r="AV253">
        <f t="shared" si="44"/>
        <v>17.715308641975309</v>
      </c>
      <c r="AW253">
        <f t="shared" si="45"/>
        <v>9.1474236244444445</v>
      </c>
      <c r="AX253" s="9"/>
      <c r="AY253" s="21">
        <v>1.1236600000000001</v>
      </c>
      <c r="AZ253" s="21">
        <v>29.331299999999999</v>
      </c>
      <c r="BA253" s="21">
        <v>-1.40228E-2</v>
      </c>
      <c r="BB253" s="21">
        <v>243</v>
      </c>
      <c r="BC253" s="21">
        <v>1.1221300000000001</v>
      </c>
      <c r="BD253">
        <f t="shared" si="46"/>
        <v>17.312098765432097</v>
      </c>
      <c r="BE253">
        <f t="shared" si="47"/>
        <v>19.452912898765433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0.51132200000000005</v>
      </c>
      <c r="H254" s="21">
        <v>7.4656500000000001</v>
      </c>
      <c r="I254" s="21">
        <v>-1.41937E-2</v>
      </c>
      <c r="J254" s="21">
        <v>244</v>
      </c>
      <c r="K254" s="21">
        <v>0.51071200000000005</v>
      </c>
      <c r="L254">
        <f t="shared" si="36"/>
        <v>17.523086419753085</v>
      </c>
      <c r="M254">
        <f t="shared" si="37"/>
        <v>8.9599395943209874</v>
      </c>
      <c r="N254" s="9"/>
      <c r="O254" s="21">
        <v>1.12869</v>
      </c>
      <c r="P254" s="21">
        <v>11.164</v>
      </c>
      <c r="Q254" s="21">
        <v>-1.40015E-2</v>
      </c>
      <c r="R254" s="21">
        <v>244</v>
      </c>
      <c r="S254" s="21">
        <v>1.1276200000000001</v>
      </c>
      <c r="T254">
        <f t="shared" si="38"/>
        <v>17.285802469135803</v>
      </c>
      <c r="U254">
        <f t="shared" si="39"/>
        <v>19.510312388888888</v>
      </c>
      <c r="X254" s="9"/>
      <c r="Y254" s="21">
        <v>0.51132200000000005</v>
      </c>
      <c r="Z254" s="21">
        <v>16.530899999999999</v>
      </c>
      <c r="AA254" s="21">
        <v>-1.43555E-2</v>
      </c>
      <c r="AB254" s="21">
        <v>244</v>
      </c>
      <c r="AC254" s="21">
        <v>0.51068100000000005</v>
      </c>
      <c r="AD254">
        <f t="shared" si="40"/>
        <v>17.722839506172836</v>
      </c>
      <c r="AE254">
        <f t="shared" si="41"/>
        <v>9.0620777419753082</v>
      </c>
      <c r="AF254" s="9"/>
      <c r="AG254" s="21">
        <v>1.12869</v>
      </c>
      <c r="AH254" s="21">
        <v>20.229199999999999</v>
      </c>
      <c r="AI254" s="21">
        <v>-1.40167E-2</v>
      </c>
      <c r="AJ254" s="21">
        <v>244</v>
      </c>
      <c r="AK254" s="21">
        <v>1.1282300000000001</v>
      </c>
      <c r="AL254">
        <f t="shared" si="42"/>
        <v>17.304567901234567</v>
      </c>
      <c r="AM254">
        <f t="shared" si="43"/>
        <v>19.531492744444442</v>
      </c>
      <c r="AP254" s="9"/>
      <c r="AQ254" s="21">
        <v>0.51132200000000005</v>
      </c>
      <c r="AR254" s="21">
        <v>25.6431</v>
      </c>
      <c r="AS254" s="21">
        <v>-1.43646E-2</v>
      </c>
      <c r="AT254" s="21">
        <v>244</v>
      </c>
      <c r="AU254" s="21">
        <v>0.51071200000000005</v>
      </c>
      <c r="AV254">
        <f t="shared" si="44"/>
        <v>17.734074074074073</v>
      </c>
      <c r="AW254">
        <f t="shared" si="45"/>
        <v>9.0678222237037041</v>
      </c>
      <c r="AX254" s="9"/>
      <c r="AY254" s="21">
        <v>1.12869</v>
      </c>
      <c r="AZ254" s="21">
        <v>29.3414</v>
      </c>
      <c r="BA254" s="21">
        <v>-1.40228E-2</v>
      </c>
      <c r="BB254" s="21">
        <v>244</v>
      </c>
      <c r="BC254" s="21">
        <v>1.1276200000000001</v>
      </c>
      <c r="BD254">
        <f t="shared" si="46"/>
        <v>17.312098765432097</v>
      </c>
      <c r="BE254">
        <f t="shared" si="47"/>
        <v>19.539992755555552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0.50628700000000004</v>
      </c>
      <c r="H255" s="21">
        <v>7.4757199999999999</v>
      </c>
      <c r="I255" s="21">
        <v>-1.41937E-2</v>
      </c>
      <c r="J255" s="21">
        <v>245</v>
      </c>
      <c r="K255" s="21">
        <v>0.50567600000000001</v>
      </c>
      <c r="L255">
        <f t="shared" si="36"/>
        <v>17.523086419753085</v>
      </c>
      <c r="M255">
        <f t="shared" si="37"/>
        <v>8.8717108541975307</v>
      </c>
      <c r="N255" s="9"/>
      <c r="O255" s="21">
        <v>1.1337299999999999</v>
      </c>
      <c r="P255" s="21">
        <v>11.174099999999999</v>
      </c>
      <c r="Q255" s="21">
        <v>-1.3998399999999999E-2</v>
      </c>
      <c r="R255" s="21">
        <v>245</v>
      </c>
      <c r="S255" s="21">
        <v>1.1328100000000001</v>
      </c>
      <c r="T255">
        <f t="shared" si="38"/>
        <v>17.281975308641975</v>
      </c>
      <c r="U255">
        <f t="shared" si="39"/>
        <v>19.593093866666663</v>
      </c>
      <c r="X255" s="9"/>
      <c r="Y255" s="21">
        <v>0.50628700000000004</v>
      </c>
      <c r="Z255" s="21">
        <v>16.540900000000001</v>
      </c>
      <c r="AA255" s="21">
        <v>-1.4346299999999999E-2</v>
      </c>
      <c r="AB255" s="21">
        <v>245</v>
      </c>
      <c r="AC255" s="21">
        <v>0.50564600000000004</v>
      </c>
      <c r="AD255">
        <f t="shared" si="40"/>
        <v>17.711481481481481</v>
      </c>
      <c r="AE255">
        <f t="shared" si="41"/>
        <v>8.9670928248148147</v>
      </c>
      <c r="AF255" s="9"/>
      <c r="AG255" s="21">
        <v>1.1337299999999999</v>
      </c>
      <c r="AH255" s="21">
        <v>20.2393</v>
      </c>
      <c r="AI255" s="21">
        <v>-1.40076E-2</v>
      </c>
      <c r="AJ255" s="21">
        <v>245</v>
      </c>
      <c r="AK255" s="21">
        <v>1.1331199999999999</v>
      </c>
      <c r="AL255">
        <f t="shared" si="42"/>
        <v>17.293333333333333</v>
      </c>
      <c r="AM255">
        <f t="shared" si="43"/>
        <v>19.605970799999998</v>
      </c>
      <c r="AP255" s="9"/>
      <c r="AQ255" s="21">
        <v>0.50628700000000004</v>
      </c>
      <c r="AR255" s="21">
        <v>25.653199999999998</v>
      </c>
      <c r="AS255" s="21">
        <v>-1.43707E-2</v>
      </c>
      <c r="AT255" s="21">
        <v>245</v>
      </c>
      <c r="AU255" s="21">
        <v>0.50561500000000004</v>
      </c>
      <c r="AV255">
        <f t="shared" si="44"/>
        <v>17.741604938271603</v>
      </c>
      <c r="AW255">
        <f t="shared" si="45"/>
        <v>8.9823439393827158</v>
      </c>
      <c r="AX255" s="9"/>
      <c r="AY255" s="21">
        <v>1.1337299999999999</v>
      </c>
      <c r="AZ255" s="21">
        <v>29.351500000000001</v>
      </c>
      <c r="BA255" s="21">
        <v>-1.40076E-2</v>
      </c>
      <c r="BB255" s="21">
        <v>245</v>
      </c>
      <c r="BC255" s="21">
        <v>1.1331199999999999</v>
      </c>
      <c r="BD255">
        <f t="shared" si="46"/>
        <v>17.293333333333333</v>
      </c>
      <c r="BE255">
        <f t="shared" si="47"/>
        <v>19.605970799999998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0.501251</v>
      </c>
      <c r="H256" s="21">
        <v>7.4857899999999997</v>
      </c>
      <c r="I256" s="21">
        <v>-1.4202899999999999E-2</v>
      </c>
      <c r="J256" s="21">
        <v>246</v>
      </c>
      <c r="K256" s="21">
        <v>0.50067099999999998</v>
      </c>
      <c r="L256">
        <f t="shared" si="36"/>
        <v>17.534444444444443</v>
      </c>
      <c r="M256">
        <f t="shared" si="37"/>
        <v>8.7891578122222214</v>
      </c>
      <c r="N256" s="9"/>
      <c r="O256" s="21">
        <v>1.13876</v>
      </c>
      <c r="P256" s="21">
        <v>11.184100000000001</v>
      </c>
      <c r="Q256" s="21">
        <v>-1.39954E-2</v>
      </c>
      <c r="R256" s="21">
        <v>246</v>
      </c>
      <c r="S256" s="21">
        <v>1.1386099999999999</v>
      </c>
      <c r="T256">
        <f t="shared" si="38"/>
        <v>17.278271604938272</v>
      </c>
      <c r="U256">
        <f t="shared" si="39"/>
        <v>19.675804572839507</v>
      </c>
      <c r="X256" s="9"/>
      <c r="Y256" s="21">
        <v>0.501251</v>
      </c>
      <c r="Z256" s="21">
        <v>16.550999999999998</v>
      </c>
      <c r="AA256" s="21">
        <v>-1.43494E-2</v>
      </c>
      <c r="AB256" s="21">
        <v>246</v>
      </c>
      <c r="AC256" s="21">
        <v>0.50061</v>
      </c>
      <c r="AD256">
        <f t="shared" si="40"/>
        <v>17.715308641975309</v>
      </c>
      <c r="AE256">
        <f t="shared" si="41"/>
        <v>8.8798161720987654</v>
      </c>
      <c r="AF256" s="9"/>
      <c r="AG256" s="21">
        <v>1.13876</v>
      </c>
      <c r="AH256" s="21">
        <v>20.249300000000002</v>
      </c>
      <c r="AI256" s="21">
        <v>-1.40015E-2</v>
      </c>
      <c r="AJ256" s="21">
        <v>246</v>
      </c>
      <c r="AK256" s="21">
        <v>1.1376999999999999</v>
      </c>
      <c r="AL256">
        <f t="shared" si="42"/>
        <v>17.285802469135803</v>
      </c>
      <c r="AM256">
        <f t="shared" si="43"/>
        <v>19.684380419753086</v>
      </c>
      <c r="AP256" s="9"/>
      <c r="AQ256" s="21">
        <v>0.501251</v>
      </c>
      <c r="AR256" s="21">
        <v>25.6632</v>
      </c>
      <c r="AS256" s="21">
        <v>-1.4373800000000001E-2</v>
      </c>
      <c r="AT256" s="21">
        <v>246</v>
      </c>
      <c r="AU256" s="21">
        <v>0.50070199999999998</v>
      </c>
      <c r="AV256">
        <f t="shared" si="44"/>
        <v>17.745432098765431</v>
      </c>
      <c r="AW256">
        <f t="shared" si="45"/>
        <v>8.8949155849382713</v>
      </c>
      <c r="AX256" s="9"/>
      <c r="AY256" s="21">
        <v>1.13876</v>
      </c>
      <c r="AZ256" s="21">
        <v>29.361599999999999</v>
      </c>
      <c r="BA256" s="21">
        <v>-1.40076E-2</v>
      </c>
      <c r="BB256" s="21">
        <v>246</v>
      </c>
      <c r="BC256" s="21">
        <v>1.1379999999999999</v>
      </c>
      <c r="BD256">
        <f t="shared" si="46"/>
        <v>17.293333333333333</v>
      </c>
      <c r="BE256">
        <f t="shared" si="47"/>
        <v>19.692956266666666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0.49621599999999999</v>
      </c>
      <c r="H257" s="21">
        <v>7.4958600000000004</v>
      </c>
      <c r="I257" s="21">
        <v>-1.4218099999999999E-2</v>
      </c>
      <c r="J257" s="21">
        <v>247</v>
      </c>
      <c r="K257" s="21">
        <v>0.49557499999999999</v>
      </c>
      <c r="L257">
        <f t="shared" si="36"/>
        <v>17.553209876543207</v>
      </c>
      <c r="M257">
        <f t="shared" si="37"/>
        <v>8.7101835920987636</v>
      </c>
      <c r="N257" s="9"/>
      <c r="O257" s="21">
        <v>1.1437999999999999</v>
      </c>
      <c r="P257" s="21">
        <v>11.1942</v>
      </c>
      <c r="Q257" s="21">
        <v>-1.3986200000000001E-2</v>
      </c>
      <c r="R257" s="21">
        <v>247</v>
      </c>
      <c r="S257" s="21">
        <v>1.1431899999999999</v>
      </c>
      <c r="T257">
        <f t="shared" si="38"/>
        <v>17.266913580246914</v>
      </c>
      <c r="U257">
        <f t="shared" si="39"/>
        <v>19.74989575308642</v>
      </c>
      <c r="X257" s="9"/>
      <c r="Y257" s="21">
        <v>0.49621599999999999</v>
      </c>
      <c r="Z257" s="21">
        <v>16.5611</v>
      </c>
      <c r="AA257" s="21">
        <v>-1.43433E-2</v>
      </c>
      <c r="AB257" s="21">
        <v>247</v>
      </c>
      <c r="AC257" s="21">
        <v>0.49563600000000002</v>
      </c>
      <c r="AD257">
        <f t="shared" si="40"/>
        <v>17.707777777777778</v>
      </c>
      <c r="AE257">
        <f t="shared" si="41"/>
        <v>8.7868826577777774</v>
      </c>
      <c r="AF257" s="9"/>
      <c r="AG257" s="21">
        <v>1.1437999999999999</v>
      </c>
      <c r="AH257" s="21">
        <v>20.259399999999999</v>
      </c>
      <c r="AI257" s="21">
        <v>-1.39954E-2</v>
      </c>
      <c r="AJ257" s="21">
        <v>247</v>
      </c>
      <c r="AK257" s="21">
        <v>1.1428799999999999</v>
      </c>
      <c r="AL257">
        <f t="shared" si="42"/>
        <v>17.278271604938272</v>
      </c>
      <c r="AM257">
        <f t="shared" si="43"/>
        <v>19.762887061728396</v>
      </c>
      <c r="AP257" s="9"/>
      <c r="AQ257" s="21">
        <v>0.49621599999999999</v>
      </c>
      <c r="AR257" s="21">
        <v>25.673300000000001</v>
      </c>
      <c r="AS257" s="21">
        <v>-1.4373800000000001E-2</v>
      </c>
      <c r="AT257" s="21">
        <v>247</v>
      </c>
      <c r="AU257" s="21">
        <v>0.49557499999999999</v>
      </c>
      <c r="AV257">
        <f t="shared" si="44"/>
        <v>17.745432098765431</v>
      </c>
      <c r="AW257">
        <f t="shared" si="45"/>
        <v>8.8055673343209868</v>
      </c>
      <c r="AX257" s="9"/>
      <c r="AY257" s="21">
        <v>1.1437999999999999</v>
      </c>
      <c r="AZ257" s="21">
        <v>29.371600000000001</v>
      </c>
      <c r="BA257" s="21">
        <v>-1.40106E-2</v>
      </c>
      <c r="BB257" s="21">
        <v>247</v>
      </c>
      <c r="BC257" s="21">
        <v>1.1425799999999999</v>
      </c>
      <c r="BD257">
        <f t="shared" si="46"/>
        <v>17.297037037037036</v>
      </c>
      <c r="BE257">
        <f t="shared" si="47"/>
        <v>19.784350962962961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0.49118000000000001</v>
      </c>
      <c r="H258" s="21">
        <v>7.5059300000000002</v>
      </c>
      <c r="I258" s="21">
        <v>-1.4218099999999999E-2</v>
      </c>
      <c r="J258" s="21">
        <v>248</v>
      </c>
      <c r="K258" s="21">
        <v>0.49066199999999999</v>
      </c>
      <c r="L258">
        <f t="shared" si="36"/>
        <v>17.553209876543207</v>
      </c>
      <c r="M258">
        <f t="shared" si="37"/>
        <v>8.6217856271604916</v>
      </c>
      <c r="N258" s="9"/>
      <c r="O258" s="21">
        <v>1.14883</v>
      </c>
      <c r="P258" s="21">
        <v>11.2043</v>
      </c>
      <c r="Q258" s="21">
        <v>-1.3983199999999999E-2</v>
      </c>
      <c r="R258" s="21">
        <v>248</v>
      </c>
      <c r="S258" s="21">
        <v>1.14838</v>
      </c>
      <c r="T258">
        <f t="shared" si="38"/>
        <v>17.263209876543208</v>
      </c>
      <c r="U258">
        <f t="shared" si="39"/>
        <v>19.832493402469133</v>
      </c>
      <c r="X258" s="9"/>
      <c r="Y258" s="21">
        <v>0.49118000000000001</v>
      </c>
      <c r="Z258" s="21">
        <v>16.571100000000001</v>
      </c>
      <c r="AA258" s="21">
        <v>-1.4334100000000001E-2</v>
      </c>
      <c r="AB258" s="21">
        <v>248</v>
      </c>
      <c r="AC258" s="21">
        <v>0.49053999999999998</v>
      </c>
      <c r="AD258">
        <f t="shared" si="40"/>
        <v>17.69641975308642</v>
      </c>
      <c r="AE258">
        <f t="shared" si="41"/>
        <v>8.6921274543209872</v>
      </c>
      <c r="AF258" s="9"/>
      <c r="AG258" s="21">
        <v>1.14883</v>
      </c>
      <c r="AH258" s="21">
        <v>20.269500000000001</v>
      </c>
      <c r="AI258" s="21">
        <v>-1.39954E-2</v>
      </c>
      <c r="AJ258" s="21">
        <v>248</v>
      </c>
      <c r="AK258" s="21">
        <v>1.1480699999999999</v>
      </c>
      <c r="AL258">
        <f t="shared" si="42"/>
        <v>17.278271604938272</v>
      </c>
      <c r="AM258">
        <f t="shared" si="43"/>
        <v>19.849796767901235</v>
      </c>
      <c r="AP258" s="9"/>
      <c r="AQ258" s="21">
        <v>0.49118000000000001</v>
      </c>
      <c r="AR258" s="21">
        <v>25.683399999999999</v>
      </c>
      <c r="AS258" s="21">
        <v>-1.43707E-2</v>
      </c>
      <c r="AT258" s="21">
        <v>248</v>
      </c>
      <c r="AU258" s="21">
        <v>0.49060100000000001</v>
      </c>
      <c r="AV258">
        <f t="shared" si="44"/>
        <v>17.741604938271603</v>
      </c>
      <c r="AW258">
        <f t="shared" si="45"/>
        <v>8.7143215135802468</v>
      </c>
      <c r="AX258" s="9"/>
      <c r="AY258" s="21">
        <v>1.14883</v>
      </c>
      <c r="AZ258" s="21">
        <v>29.381699999999999</v>
      </c>
      <c r="BA258" s="21">
        <v>-1.40137E-2</v>
      </c>
      <c r="BB258" s="21">
        <v>248</v>
      </c>
      <c r="BC258" s="21">
        <v>1.14777</v>
      </c>
      <c r="BD258">
        <f t="shared" si="46"/>
        <v>17.300864197530863</v>
      </c>
      <c r="BE258">
        <f t="shared" si="47"/>
        <v>19.875751816049384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0.48614499999999999</v>
      </c>
      <c r="H259" s="21">
        <v>7.516</v>
      </c>
      <c r="I259" s="21">
        <v>-1.42303E-2</v>
      </c>
      <c r="J259" s="21">
        <v>249</v>
      </c>
      <c r="K259" s="21">
        <v>0.48559600000000003</v>
      </c>
      <c r="L259">
        <f t="shared" si="36"/>
        <v>17.568271604938271</v>
      </c>
      <c r="M259">
        <f t="shared" si="37"/>
        <v>8.5407273993827157</v>
      </c>
      <c r="N259" s="9"/>
      <c r="O259" s="21">
        <v>1.15387</v>
      </c>
      <c r="P259" s="21">
        <v>11.2143</v>
      </c>
      <c r="Q259" s="21">
        <v>-1.3977099999999999E-2</v>
      </c>
      <c r="R259" s="21">
        <v>249</v>
      </c>
      <c r="S259" s="21">
        <v>1.15326</v>
      </c>
      <c r="T259">
        <f t="shared" si="38"/>
        <v>17.255679012345677</v>
      </c>
      <c r="U259">
        <f t="shared" si="39"/>
        <v>19.910810341975306</v>
      </c>
      <c r="X259" s="9"/>
      <c r="Y259" s="21">
        <v>0.48614499999999999</v>
      </c>
      <c r="Z259" s="21">
        <v>16.581199999999999</v>
      </c>
      <c r="AA259" s="21">
        <v>-1.43372E-2</v>
      </c>
      <c r="AB259" s="21">
        <v>249</v>
      </c>
      <c r="AC259" s="21">
        <v>0.485626</v>
      </c>
      <c r="AD259">
        <f t="shared" si="40"/>
        <v>17.700246913580244</v>
      </c>
      <c r="AE259">
        <f t="shared" si="41"/>
        <v>8.6048865358024678</v>
      </c>
      <c r="AF259" s="9"/>
      <c r="AG259" s="21">
        <v>1.15387</v>
      </c>
      <c r="AH259" s="21">
        <v>20.279599999999999</v>
      </c>
      <c r="AI259" s="21">
        <v>-1.3983199999999999E-2</v>
      </c>
      <c r="AJ259" s="21">
        <v>249</v>
      </c>
      <c r="AK259" s="21">
        <v>1.15326</v>
      </c>
      <c r="AL259">
        <f t="shared" si="42"/>
        <v>17.263209876543208</v>
      </c>
      <c r="AM259">
        <f t="shared" si="43"/>
        <v>19.919499980246911</v>
      </c>
      <c r="AP259" s="9"/>
      <c r="AQ259" s="21">
        <v>0.48614499999999999</v>
      </c>
      <c r="AR259" s="21">
        <v>25.6934</v>
      </c>
      <c r="AS259" s="21">
        <v>-1.4367700000000001E-2</v>
      </c>
      <c r="AT259" s="21">
        <v>249</v>
      </c>
      <c r="AU259" s="21">
        <v>0.48559600000000003</v>
      </c>
      <c r="AV259">
        <f t="shared" si="44"/>
        <v>17.7379012345679</v>
      </c>
      <c r="AW259">
        <f t="shared" si="45"/>
        <v>8.6231919956790115</v>
      </c>
      <c r="AX259" s="9"/>
      <c r="AY259" s="21">
        <v>1.15387</v>
      </c>
      <c r="AZ259" s="21">
        <v>29.3918</v>
      </c>
      <c r="BA259" s="21">
        <v>-1.40106E-2</v>
      </c>
      <c r="BB259" s="21">
        <v>249</v>
      </c>
      <c r="BC259" s="21">
        <v>1.15265</v>
      </c>
      <c r="BD259">
        <f t="shared" si="46"/>
        <v>17.297037037037036</v>
      </c>
      <c r="BE259">
        <f t="shared" si="47"/>
        <v>19.958532125925924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0.48110999999999998</v>
      </c>
      <c r="H260" s="21">
        <v>7.5260699999999998</v>
      </c>
      <c r="I260" s="21">
        <v>-1.42334E-2</v>
      </c>
      <c r="J260" s="21">
        <v>250</v>
      </c>
      <c r="K260" s="21">
        <v>0.48049900000000001</v>
      </c>
      <c r="L260">
        <f t="shared" si="36"/>
        <v>17.572098765432099</v>
      </c>
      <c r="M260">
        <f t="shared" si="37"/>
        <v>8.4541124370370362</v>
      </c>
      <c r="N260" s="9"/>
      <c r="O260" s="21">
        <v>1.1589100000000001</v>
      </c>
      <c r="P260" s="21">
        <v>11.224399999999999</v>
      </c>
      <c r="Q260" s="21">
        <v>-1.39679E-2</v>
      </c>
      <c r="R260" s="21">
        <v>250</v>
      </c>
      <c r="S260" s="21">
        <v>1.15845</v>
      </c>
      <c r="T260">
        <f t="shared" si="38"/>
        <v>17.244320987654319</v>
      </c>
      <c r="U260">
        <f t="shared" si="39"/>
        <v>19.984616035802468</v>
      </c>
      <c r="X260" s="9"/>
      <c r="Y260" s="21">
        <v>0.48110999999999998</v>
      </c>
      <c r="Z260" s="21">
        <v>16.5913</v>
      </c>
      <c r="AA260" s="21">
        <v>-1.4328E-2</v>
      </c>
      <c r="AB260" s="21">
        <v>250</v>
      </c>
      <c r="AC260" s="21">
        <v>0.48049900000000001</v>
      </c>
      <c r="AD260">
        <f t="shared" si="40"/>
        <v>17.68888888888889</v>
      </c>
      <c r="AE260">
        <f t="shared" si="41"/>
        <v>8.5103013333333344</v>
      </c>
      <c r="AF260" s="9"/>
      <c r="AG260" s="21">
        <v>1.1589100000000001</v>
      </c>
      <c r="AH260" s="21">
        <v>20.2896</v>
      </c>
      <c r="AI260" s="21">
        <v>-1.3964799999999999E-2</v>
      </c>
      <c r="AJ260" s="21">
        <v>250</v>
      </c>
      <c r="AK260" s="21">
        <v>1.1575299999999999</v>
      </c>
      <c r="AL260">
        <f t="shared" si="42"/>
        <v>17.240493827160492</v>
      </c>
      <c r="AM260">
        <f t="shared" si="43"/>
        <v>19.980180701234566</v>
      </c>
      <c r="AP260" s="9"/>
      <c r="AQ260" s="21">
        <v>0.48110999999999998</v>
      </c>
      <c r="AR260" s="21">
        <v>25.703499999999998</v>
      </c>
      <c r="AS260" s="21">
        <v>-1.4367700000000001E-2</v>
      </c>
      <c r="AT260" s="21">
        <v>250</v>
      </c>
      <c r="AU260" s="21">
        <v>0.48053000000000001</v>
      </c>
      <c r="AV260">
        <f t="shared" si="44"/>
        <v>17.7379012345679</v>
      </c>
      <c r="AW260">
        <f t="shared" si="45"/>
        <v>8.5338816629629619</v>
      </c>
      <c r="AX260" s="9"/>
      <c r="AY260" s="21">
        <v>1.1589100000000001</v>
      </c>
      <c r="AZ260" s="21">
        <v>29.401800000000001</v>
      </c>
      <c r="BA260" s="21">
        <v>-1.40137E-2</v>
      </c>
      <c r="BB260" s="21">
        <v>250</v>
      </c>
      <c r="BC260" s="21">
        <v>1.15845</v>
      </c>
      <c r="BD260">
        <f t="shared" si="46"/>
        <v>17.300864197530863</v>
      </c>
      <c r="BE260">
        <f t="shared" si="47"/>
        <v>20.050144527160494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0.476074</v>
      </c>
      <c r="H261" s="21">
        <v>7.5361399999999996</v>
      </c>
      <c r="I261" s="21">
        <v>-1.42334E-2</v>
      </c>
      <c r="J261" s="21">
        <v>251</v>
      </c>
      <c r="K261" s="21">
        <v>0.47552499999999998</v>
      </c>
      <c r="L261">
        <f t="shared" si="36"/>
        <v>17.572098765432099</v>
      </c>
      <c r="M261">
        <f t="shared" si="37"/>
        <v>8.3656193476543201</v>
      </c>
      <c r="N261" s="9"/>
      <c r="O261" s="21">
        <v>1.16394</v>
      </c>
      <c r="P261" s="21">
        <v>11.234500000000001</v>
      </c>
      <c r="Q261" s="21">
        <v>-1.3980100000000001E-2</v>
      </c>
      <c r="R261" s="21">
        <v>251</v>
      </c>
      <c r="S261" s="21">
        <v>1.16394</v>
      </c>
      <c r="T261">
        <f t="shared" si="38"/>
        <v>17.259382716049384</v>
      </c>
      <c r="U261">
        <f t="shared" si="39"/>
        <v>20.088885918518518</v>
      </c>
      <c r="X261" s="9"/>
      <c r="Y261" s="21">
        <v>0.476074</v>
      </c>
      <c r="Z261" s="21">
        <v>16.601400000000002</v>
      </c>
      <c r="AA261" s="21">
        <v>-1.4340200000000001E-2</v>
      </c>
      <c r="AB261" s="21">
        <v>251</v>
      </c>
      <c r="AC261" s="21">
        <v>0.47549400000000003</v>
      </c>
      <c r="AD261">
        <f t="shared" si="40"/>
        <v>17.703950617283951</v>
      </c>
      <c r="AE261">
        <f t="shared" si="41"/>
        <v>8.4283905861728403</v>
      </c>
      <c r="AF261" s="9"/>
      <c r="AG261" s="21">
        <v>1.16394</v>
      </c>
      <c r="AH261" s="21">
        <v>20.299700000000001</v>
      </c>
      <c r="AI261" s="21">
        <v>-1.3958699999999999E-2</v>
      </c>
      <c r="AJ261" s="21">
        <v>251</v>
      </c>
      <c r="AK261" s="21">
        <v>1.16364</v>
      </c>
      <c r="AL261">
        <f t="shared" si="42"/>
        <v>17.232962962962961</v>
      </c>
      <c r="AM261">
        <f t="shared" si="43"/>
        <v>20.058134911111107</v>
      </c>
      <c r="AP261" s="9"/>
      <c r="AQ261" s="21">
        <v>0.476074</v>
      </c>
      <c r="AR261" s="21">
        <v>25.7136</v>
      </c>
      <c r="AS261" s="21">
        <v>-1.43707E-2</v>
      </c>
      <c r="AT261" s="21">
        <v>251</v>
      </c>
      <c r="AU261" s="21">
        <v>0.47540300000000002</v>
      </c>
      <c r="AV261">
        <f t="shared" si="44"/>
        <v>17.741604938271603</v>
      </c>
      <c r="AW261">
        <f t="shared" si="45"/>
        <v>8.4463168293827149</v>
      </c>
      <c r="AX261" s="9"/>
      <c r="AY261" s="21">
        <v>1.16394</v>
      </c>
      <c r="AZ261" s="21">
        <v>29.411899999999999</v>
      </c>
      <c r="BA261" s="21">
        <v>-1.4025900000000001E-2</v>
      </c>
      <c r="BB261" s="21">
        <v>251</v>
      </c>
      <c r="BC261" s="21">
        <v>1.1630199999999999</v>
      </c>
      <c r="BD261">
        <f t="shared" si="46"/>
        <v>17.315925925925924</v>
      </c>
      <c r="BE261">
        <f t="shared" si="47"/>
        <v>20.154698822222219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0.47103899999999999</v>
      </c>
      <c r="H262" s="21">
        <v>7.5462100000000003</v>
      </c>
      <c r="I262" s="21">
        <v>-1.42273E-2</v>
      </c>
      <c r="J262" s="21">
        <v>252</v>
      </c>
      <c r="K262" s="21">
        <v>0.47039799999999998</v>
      </c>
      <c r="L262">
        <f t="shared" si="36"/>
        <v>17.564567901234565</v>
      </c>
      <c r="M262">
        <f t="shared" si="37"/>
        <v>8.2735964996296278</v>
      </c>
      <c r="N262" s="9"/>
      <c r="O262" s="21">
        <v>1.1689799999999999</v>
      </c>
      <c r="P262" s="21">
        <v>11.2446</v>
      </c>
      <c r="Q262" s="21">
        <v>-1.39893E-2</v>
      </c>
      <c r="R262" s="21">
        <v>252</v>
      </c>
      <c r="S262" s="21">
        <v>1.16791</v>
      </c>
      <c r="T262">
        <f t="shared" si="38"/>
        <v>17.270740740740738</v>
      </c>
      <c r="U262">
        <f t="shared" si="39"/>
        <v>20.189150511111105</v>
      </c>
      <c r="X262" s="9"/>
      <c r="Y262" s="21">
        <v>0.47103899999999999</v>
      </c>
      <c r="Z262" s="21">
        <v>16.6114</v>
      </c>
      <c r="AA262" s="21">
        <v>-1.43433E-2</v>
      </c>
      <c r="AB262" s="21">
        <v>252</v>
      </c>
      <c r="AC262" s="21">
        <v>0.47039799999999998</v>
      </c>
      <c r="AD262">
        <f t="shared" si="40"/>
        <v>17.707777777777778</v>
      </c>
      <c r="AE262">
        <f t="shared" si="41"/>
        <v>8.3410539366666665</v>
      </c>
      <c r="AF262" s="9"/>
      <c r="AG262" s="21">
        <v>1.1689799999999999</v>
      </c>
      <c r="AH262" s="21">
        <v>20.309799999999999</v>
      </c>
      <c r="AI262" s="21">
        <v>-1.39557E-2</v>
      </c>
      <c r="AJ262" s="21">
        <v>252</v>
      </c>
      <c r="AK262" s="21">
        <v>1.1676</v>
      </c>
      <c r="AL262">
        <f t="shared" si="42"/>
        <v>17.229259259259258</v>
      </c>
      <c r="AM262">
        <f t="shared" si="43"/>
        <v>20.140659488888886</v>
      </c>
      <c r="AP262" s="9"/>
      <c r="AQ262" s="21">
        <v>0.47103899999999999</v>
      </c>
      <c r="AR262" s="21">
        <v>25.723600000000001</v>
      </c>
      <c r="AS262" s="21">
        <v>-1.4373800000000001E-2</v>
      </c>
      <c r="AT262" s="21">
        <v>252</v>
      </c>
      <c r="AU262" s="21">
        <v>0.47042800000000001</v>
      </c>
      <c r="AV262">
        <f t="shared" si="44"/>
        <v>17.745432098765431</v>
      </c>
      <c r="AW262">
        <f t="shared" si="45"/>
        <v>8.3587905903703685</v>
      </c>
      <c r="AX262" s="9"/>
      <c r="AY262" s="21">
        <v>1.1689799999999999</v>
      </c>
      <c r="AZ262" s="21">
        <v>29.422000000000001</v>
      </c>
      <c r="BA262" s="21">
        <v>-1.40167E-2</v>
      </c>
      <c r="BB262" s="21">
        <v>252</v>
      </c>
      <c r="BC262" s="21">
        <v>1.16821</v>
      </c>
      <c r="BD262">
        <f t="shared" si="46"/>
        <v>17.304567901234567</v>
      </c>
      <c r="BE262">
        <f t="shared" si="47"/>
        <v>20.228693785185182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0.466003</v>
      </c>
      <c r="H263" s="21">
        <v>7.5562800000000001</v>
      </c>
      <c r="I263" s="21">
        <v>-1.4224199999999999E-2</v>
      </c>
      <c r="J263" s="21">
        <v>253</v>
      </c>
      <c r="K263" s="21">
        <v>0.46557599999999999</v>
      </c>
      <c r="L263">
        <f t="shared" si="36"/>
        <v>17.560740740740737</v>
      </c>
      <c r="M263">
        <f t="shared" si="37"/>
        <v>8.1833578674074055</v>
      </c>
      <c r="N263" s="9"/>
      <c r="O263" s="21">
        <v>1.17401</v>
      </c>
      <c r="P263" s="21">
        <v>11.2546</v>
      </c>
      <c r="Q263" s="21">
        <v>-1.3992299999999999E-2</v>
      </c>
      <c r="R263" s="21">
        <v>253</v>
      </c>
      <c r="S263" s="21">
        <v>1.17279</v>
      </c>
      <c r="T263">
        <f t="shared" si="38"/>
        <v>17.274444444444445</v>
      </c>
      <c r="U263">
        <f t="shared" si="39"/>
        <v>20.280370522222224</v>
      </c>
      <c r="X263" s="9"/>
      <c r="Y263" s="21">
        <v>0.466003</v>
      </c>
      <c r="Z263" s="21">
        <v>16.621500000000001</v>
      </c>
      <c r="AA263" s="21">
        <v>-1.43494E-2</v>
      </c>
      <c r="AB263" s="21">
        <v>253</v>
      </c>
      <c r="AC263" s="21">
        <v>0.46536300000000003</v>
      </c>
      <c r="AD263">
        <f t="shared" si="40"/>
        <v>17.715308641975309</v>
      </c>
      <c r="AE263">
        <f t="shared" si="41"/>
        <v>8.25538697308642</v>
      </c>
      <c r="AF263" s="9"/>
      <c r="AG263" s="21">
        <v>1.17401</v>
      </c>
      <c r="AH263" s="21">
        <v>20.319800000000001</v>
      </c>
      <c r="AI263" s="21">
        <v>-1.3952600000000001E-2</v>
      </c>
      <c r="AJ263" s="21">
        <v>253</v>
      </c>
      <c r="AK263" s="21">
        <v>1.1731</v>
      </c>
      <c r="AL263">
        <f t="shared" si="42"/>
        <v>17.225432098765431</v>
      </c>
      <c r="AM263">
        <f t="shared" si="43"/>
        <v>20.222829538271604</v>
      </c>
      <c r="AP263" s="9"/>
      <c r="AQ263" s="21">
        <v>0.466003</v>
      </c>
      <c r="AR263" s="21">
        <v>25.733699999999999</v>
      </c>
      <c r="AS263" s="21">
        <v>-1.43707E-2</v>
      </c>
      <c r="AT263" s="21">
        <v>253</v>
      </c>
      <c r="AU263" s="21">
        <v>0.46545399999999998</v>
      </c>
      <c r="AV263">
        <f t="shared" si="44"/>
        <v>17.741604938271603</v>
      </c>
      <c r="AW263">
        <f t="shared" si="45"/>
        <v>8.2676411260493818</v>
      </c>
      <c r="AX263" s="9"/>
      <c r="AY263" s="21">
        <v>1.17401</v>
      </c>
      <c r="AZ263" s="21">
        <v>29.432099999999998</v>
      </c>
      <c r="BA263" s="21">
        <v>-1.40228E-2</v>
      </c>
      <c r="BB263" s="21">
        <v>253</v>
      </c>
      <c r="BC263" s="21">
        <v>1.1734</v>
      </c>
      <c r="BD263">
        <f t="shared" si="46"/>
        <v>17.312098765432097</v>
      </c>
      <c r="BE263">
        <f t="shared" si="47"/>
        <v>20.324577071604935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0.46096799999999999</v>
      </c>
      <c r="H264" s="21">
        <v>7.5663600000000004</v>
      </c>
      <c r="I264" s="21">
        <v>-1.4224199999999999E-2</v>
      </c>
      <c r="J264" s="21">
        <v>254</v>
      </c>
      <c r="K264" s="21">
        <v>0.46038800000000002</v>
      </c>
      <c r="L264">
        <f t="shared" si="36"/>
        <v>17.560740740740737</v>
      </c>
      <c r="M264">
        <f t="shared" si="37"/>
        <v>8.0949395377777762</v>
      </c>
      <c r="N264" s="9"/>
      <c r="O264" s="21">
        <v>1.1790499999999999</v>
      </c>
      <c r="P264" s="21">
        <v>11.264699999999999</v>
      </c>
      <c r="Q264" s="21">
        <v>-1.3977099999999999E-2</v>
      </c>
      <c r="R264" s="21">
        <v>254</v>
      </c>
      <c r="S264" s="21">
        <v>1.17828</v>
      </c>
      <c r="T264">
        <f t="shared" si="38"/>
        <v>17.255679012345677</v>
      </c>
      <c r="U264">
        <f t="shared" si="39"/>
        <v>20.345308339506168</v>
      </c>
      <c r="X264" s="9"/>
      <c r="Y264" s="21">
        <v>0.46096799999999999</v>
      </c>
      <c r="Z264" s="21">
        <v>16.631599999999999</v>
      </c>
      <c r="AA264" s="21">
        <v>-1.4346299999999999E-2</v>
      </c>
      <c r="AB264" s="21">
        <v>254</v>
      </c>
      <c r="AC264" s="21">
        <v>0.46038800000000002</v>
      </c>
      <c r="AD264">
        <f t="shared" si="40"/>
        <v>17.711481481481481</v>
      </c>
      <c r="AE264">
        <f t="shared" si="41"/>
        <v>8.1644261955555546</v>
      </c>
      <c r="AF264" s="9"/>
      <c r="AG264" s="21">
        <v>1.1790499999999999</v>
      </c>
      <c r="AH264" s="21">
        <v>20.329899999999999</v>
      </c>
      <c r="AI264" s="21">
        <v>-1.3946500000000001E-2</v>
      </c>
      <c r="AJ264" s="21">
        <v>254</v>
      </c>
      <c r="AK264" s="21">
        <v>1.17859</v>
      </c>
      <c r="AL264">
        <f t="shared" si="42"/>
        <v>17.217901234567901</v>
      </c>
      <c r="AM264">
        <f t="shared" si="43"/>
        <v>20.300766450617282</v>
      </c>
      <c r="AP264" s="9"/>
      <c r="AQ264" s="21">
        <v>0.46096799999999999</v>
      </c>
      <c r="AR264" s="21">
        <v>25.7438</v>
      </c>
      <c r="AS264" s="21">
        <v>-1.43616E-2</v>
      </c>
      <c r="AT264" s="21">
        <v>254</v>
      </c>
      <c r="AU264" s="21">
        <v>0.46032699999999999</v>
      </c>
      <c r="AV264">
        <f t="shared" si="44"/>
        <v>17.73037037037037</v>
      </c>
      <c r="AW264">
        <f t="shared" si="45"/>
        <v>8.1731333688888892</v>
      </c>
      <c r="AX264" s="9"/>
      <c r="AY264" s="21">
        <v>1.1790499999999999</v>
      </c>
      <c r="AZ264" s="21">
        <v>29.4421</v>
      </c>
      <c r="BA264" s="21">
        <v>-1.40228E-2</v>
      </c>
      <c r="BB264" s="21">
        <v>254</v>
      </c>
      <c r="BC264" s="21">
        <v>1.17828</v>
      </c>
      <c r="BD264">
        <f t="shared" si="46"/>
        <v>17.312098765432097</v>
      </c>
      <c r="BE264">
        <f t="shared" si="47"/>
        <v>20.411830049382711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0.45593299999999998</v>
      </c>
      <c r="H265" s="21">
        <v>7.5764300000000002</v>
      </c>
      <c r="I265" s="21">
        <v>-1.4218099999999999E-2</v>
      </c>
      <c r="J265" s="21">
        <v>255</v>
      </c>
      <c r="K265" s="21">
        <v>0.45535300000000001</v>
      </c>
      <c r="L265">
        <f t="shared" si="36"/>
        <v>17.553209876543207</v>
      </c>
      <c r="M265">
        <f t="shared" si="37"/>
        <v>8.0030876386419738</v>
      </c>
      <c r="N265" s="9"/>
      <c r="O265" s="21">
        <v>1.18408</v>
      </c>
      <c r="P265" s="21">
        <v>11.274800000000001</v>
      </c>
      <c r="Q265" s="21">
        <v>-1.39679E-2</v>
      </c>
      <c r="R265" s="21">
        <v>255</v>
      </c>
      <c r="S265" s="21">
        <v>1.18347</v>
      </c>
      <c r="T265">
        <f t="shared" si="38"/>
        <v>17.244320987654319</v>
      </c>
      <c r="U265">
        <f t="shared" si="39"/>
        <v>20.418655595061725</v>
      </c>
      <c r="X265" s="9"/>
      <c r="Y265" s="21">
        <v>0.45593299999999998</v>
      </c>
      <c r="Z265" s="21">
        <v>16.6416</v>
      </c>
      <c r="AA265" s="21">
        <v>-1.4331099999999999E-2</v>
      </c>
      <c r="AB265" s="21">
        <v>255</v>
      </c>
      <c r="AC265" s="21">
        <v>0.45538299999999998</v>
      </c>
      <c r="AD265">
        <f t="shared" si="40"/>
        <v>17.692716049382714</v>
      </c>
      <c r="AE265">
        <f t="shared" si="41"/>
        <v>8.0666931065432088</v>
      </c>
      <c r="AF265" s="9"/>
      <c r="AG265" s="21">
        <v>1.18408</v>
      </c>
      <c r="AH265" s="21">
        <v>20.34</v>
      </c>
      <c r="AI265" s="21">
        <v>-1.39343E-2</v>
      </c>
      <c r="AJ265" s="21">
        <v>255</v>
      </c>
      <c r="AK265" s="21">
        <v>1.18347</v>
      </c>
      <c r="AL265">
        <f t="shared" si="42"/>
        <v>17.202839506172836</v>
      </c>
      <c r="AM265">
        <f t="shared" si="43"/>
        <v>20.369538202469133</v>
      </c>
      <c r="AP265" s="9"/>
      <c r="AQ265" s="21">
        <v>0.45593299999999998</v>
      </c>
      <c r="AR265" s="21">
        <v>25.753900000000002</v>
      </c>
      <c r="AS265" s="21">
        <v>-1.43433E-2</v>
      </c>
      <c r="AT265" s="21">
        <v>255</v>
      </c>
      <c r="AU265" s="21">
        <v>0.455322</v>
      </c>
      <c r="AV265">
        <f t="shared" si="44"/>
        <v>17.707777777777778</v>
      </c>
      <c r="AW265">
        <f t="shared" si="45"/>
        <v>8.0735602455555551</v>
      </c>
      <c r="AX265" s="9"/>
      <c r="AY265" s="21">
        <v>1.18408</v>
      </c>
      <c r="AZ265" s="21">
        <v>29.452200000000001</v>
      </c>
      <c r="BA265" s="21">
        <v>-1.40045E-2</v>
      </c>
      <c r="BB265" s="21">
        <v>255</v>
      </c>
      <c r="BC265" s="21">
        <v>1.18286</v>
      </c>
      <c r="BD265">
        <f t="shared" si="46"/>
        <v>17.289506172839506</v>
      </c>
      <c r="BE265">
        <f t="shared" si="47"/>
        <v>20.472158469135803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0.45089699999999999</v>
      </c>
      <c r="H266" s="21">
        <v>7.5865</v>
      </c>
      <c r="I266" s="21">
        <v>-1.4218099999999999E-2</v>
      </c>
      <c r="J266" s="21">
        <v>256</v>
      </c>
      <c r="K266" s="21">
        <v>0.45031700000000002</v>
      </c>
      <c r="L266">
        <f t="shared" si="36"/>
        <v>17.553209876543207</v>
      </c>
      <c r="M266">
        <f t="shared" si="37"/>
        <v>7.9146896737037018</v>
      </c>
      <c r="N266" s="9"/>
      <c r="O266" s="21">
        <v>1.18912</v>
      </c>
      <c r="P266" s="21">
        <v>11.284800000000001</v>
      </c>
      <c r="Q266" s="21">
        <v>-1.39557E-2</v>
      </c>
      <c r="R266" s="21">
        <v>256</v>
      </c>
      <c r="S266" s="21">
        <v>1.18835</v>
      </c>
      <c r="T266">
        <f t="shared" si="38"/>
        <v>17.229259259259258</v>
      </c>
      <c r="U266">
        <f t="shared" si="39"/>
        <v>20.487656770370368</v>
      </c>
      <c r="X266" s="9"/>
      <c r="Y266" s="21">
        <v>0.45089699999999999</v>
      </c>
      <c r="Z266" s="21">
        <v>16.651700000000002</v>
      </c>
      <c r="AA266" s="21">
        <v>-1.4312699999999999E-2</v>
      </c>
      <c r="AB266" s="21">
        <v>256</v>
      </c>
      <c r="AC266" s="21">
        <v>0.45031700000000002</v>
      </c>
      <c r="AD266">
        <f t="shared" si="40"/>
        <v>17.669999999999998</v>
      </c>
      <c r="AE266">
        <f t="shared" si="41"/>
        <v>7.9673499899999989</v>
      </c>
      <c r="AF266" s="9"/>
      <c r="AG266" s="21">
        <v>1.18912</v>
      </c>
      <c r="AH266" s="21">
        <v>20.350000000000001</v>
      </c>
      <c r="AI266" s="21">
        <v>-1.39282E-2</v>
      </c>
      <c r="AJ266" s="21">
        <v>256</v>
      </c>
      <c r="AK266" s="21">
        <v>1.18835</v>
      </c>
      <c r="AL266">
        <f t="shared" si="42"/>
        <v>17.195308641975309</v>
      </c>
      <c r="AM266">
        <f t="shared" si="43"/>
        <v>20.447285412345678</v>
      </c>
      <c r="AP266" s="9"/>
      <c r="AQ266" s="21">
        <v>0.45089699999999999</v>
      </c>
      <c r="AR266" s="21">
        <v>25.7639</v>
      </c>
      <c r="AS266" s="21">
        <v>-1.43433E-2</v>
      </c>
      <c r="AT266" s="21">
        <v>256</v>
      </c>
      <c r="AU266" s="21">
        <v>0.45031700000000002</v>
      </c>
      <c r="AV266">
        <f t="shared" si="44"/>
        <v>17.707777777777778</v>
      </c>
      <c r="AW266">
        <f t="shared" si="45"/>
        <v>7.9843838766666666</v>
      </c>
      <c r="AX266" s="9"/>
      <c r="AY266" s="21">
        <v>1.18912</v>
      </c>
      <c r="AZ266" s="21">
        <v>29.462299999999999</v>
      </c>
      <c r="BA266" s="21">
        <v>-1.39893E-2</v>
      </c>
      <c r="BB266" s="21">
        <v>256</v>
      </c>
      <c r="BC266" s="21">
        <v>1.18835</v>
      </c>
      <c r="BD266">
        <f t="shared" si="46"/>
        <v>17.270740740740738</v>
      </c>
      <c r="BE266">
        <f t="shared" si="47"/>
        <v>20.536983229629627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0.44586199999999998</v>
      </c>
      <c r="H267" s="21">
        <v>7.5965699999999998</v>
      </c>
      <c r="I267" s="21">
        <v>-1.42059E-2</v>
      </c>
      <c r="J267" s="21">
        <v>257</v>
      </c>
      <c r="K267" s="21">
        <v>0.44522099999999998</v>
      </c>
      <c r="L267">
        <f t="shared" si="36"/>
        <v>17.538148148148146</v>
      </c>
      <c r="M267">
        <f t="shared" si="37"/>
        <v>7.8195938096296285</v>
      </c>
      <c r="N267" s="9"/>
      <c r="O267" s="21">
        <v>1.19415</v>
      </c>
      <c r="P267" s="21">
        <v>11.2949</v>
      </c>
      <c r="Q267" s="21">
        <v>-1.39404E-2</v>
      </c>
      <c r="R267" s="21">
        <v>257</v>
      </c>
      <c r="S267" s="21">
        <v>1.19293</v>
      </c>
      <c r="T267">
        <f t="shared" si="38"/>
        <v>17.21037037037037</v>
      </c>
      <c r="U267">
        <f t="shared" si="39"/>
        <v>20.551763777777779</v>
      </c>
      <c r="X267" s="9"/>
      <c r="Y267" s="21">
        <v>0.44586199999999998</v>
      </c>
      <c r="Z267" s="21">
        <v>16.661799999999999</v>
      </c>
      <c r="AA267" s="21">
        <v>-1.4297499999999999E-2</v>
      </c>
      <c r="AB267" s="21">
        <v>257</v>
      </c>
      <c r="AC267" s="21">
        <v>0.44518999999999997</v>
      </c>
      <c r="AD267">
        <f t="shared" si="40"/>
        <v>17.651234567901231</v>
      </c>
      <c r="AE267">
        <f t="shared" si="41"/>
        <v>7.8700147469135784</v>
      </c>
      <c r="AF267" s="9"/>
      <c r="AG267" s="21">
        <v>1.19415</v>
      </c>
      <c r="AH267" s="21">
        <v>20.360099999999999</v>
      </c>
      <c r="AI267" s="21">
        <v>-1.3916E-2</v>
      </c>
      <c r="AJ267" s="21">
        <v>257</v>
      </c>
      <c r="AK267" s="21">
        <v>1.19354</v>
      </c>
      <c r="AL267">
        <f t="shared" si="42"/>
        <v>17.180246913580245</v>
      </c>
      <c r="AM267">
        <f t="shared" si="43"/>
        <v>20.515791851851851</v>
      </c>
      <c r="AP267" s="9"/>
      <c r="AQ267" s="21">
        <v>0.44586199999999998</v>
      </c>
      <c r="AR267" s="21">
        <v>25.774000000000001</v>
      </c>
      <c r="AS267" s="21">
        <v>-1.43433E-2</v>
      </c>
      <c r="AT267" s="21">
        <v>257</v>
      </c>
      <c r="AU267" s="21">
        <v>0.44522099999999998</v>
      </c>
      <c r="AV267">
        <f t="shared" si="44"/>
        <v>17.707777777777778</v>
      </c>
      <c r="AW267">
        <f t="shared" si="45"/>
        <v>7.8952252155555556</v>
      </c>
      <c r="AX267" s="9"/>
      <c r="AY267" s="21">
        <v>1.19415</v>
      </c>
      <c r="AZ267" s="21">
        <v>29.472300000000001</v>
      </c>
      <c r="BA267" s="21">
        <v>-1.3977099999999999E-2</v>
      </c>
      <c r="BB267" s="21">
        <v>257</v>
      </c>
      <c r="BC267" s="21">
        <v>1.1932400000000001</v>
      </c>
      <c r="BD267">
        <f t="shared" si="46"/>
        <v>17.255679012345677</v>
      </c>
      <c r="BE267">
        <f t="shared" si="47"/>
        <v>20.605869092592592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0.440826</v>
      </c>
      <c r="H268" s="21">
        <v>7.6066399999999996</v>
      </c>
      <c r="I268" s="21">
        <v>-1.4202899999999999E-2</v>
      </c>
      <c r="J268" s="21">
        <v>258</v>
      </c>
      <c r="K268" s="21">
        <v>0.44006299999999998</v>
      </c>
      <c r="L268">
        <f t="shared" ref="L268:L331" si="48">-I268/$F$2*1000</f>
        <v>17.534444444444443</v>
      </c>
      <c r="M268">
        <f t="shared" ref="M268:M331" si="49">L268*G268</f>
        <v>7.729639006666666</v>
      </c>
      <c r="N268" s="9"/>
      <c r="O268" s="21">
        <v>1.19919</v>
      </c>
      <c r="P268" s="21">
        <v>11.305</v>
      </c>
      <c r="Q268" s="21">
        <v>-1.39343E-2</v>
      </c>
      <c r="R268" s="21">
        <v>258</v>
      </c>
      <c r="S268" s="21">
        <v>1.1981200000000001</v>
      </c>
      <c r="T268">
        <f t="shared" ref="T268:T331" si="50">-Q268/$F$2*1000</f>
        <v>17.202839506172836</v>
      </c>
      <c r="U268">
        <f t="shared" ref="U268:U331" si="51">T268*O268</f>
        <v>20.629473107407403</v>
      </c>
      <c r="X268" s="9"/>
      <c r="Y268" s="21">
        <v>0.440826</v>
      </c>
      <c r="Z268" s="21">
        <v>16.671900000000001</v>
      </c>
      <c r="AA268" s="21">
        <v>-1.4297499999999999E-2</v>
      </c>
      <c r="AB268" s="21">
        <v>258</v>
      </c>
      <c r="AC268" s="21">
        <v>0.440216</v>
      </c>
      <c r="AD268">
        <f t="shared" ref="AD268:AD331" si="52">-AA268/$F$2*1000</f>
        <v>17.651234567901231</v>
      </c>
      <c r="AE268">
        <f t="shared" ref="AE268:AE331" si="53">AD268*Y268</f>
        <v>7.7811231296296279</v>
      </c>
      <c r="AF268" s="9"/>
      <c r="AG268" s="21">
        <v>1.19919</v>
      </c>
      <c r="AH268" s="21">
        <v>20.370200000000001</v>
      </c>
      <c r="AI268" s="21">
        <v>-1.3909899999999999E-2</v>
      </c>
      <c r="AJ268" s="21">
        <v>258</v>
      </c>
      <c r="AK268" s="21">
        <v>1.1984300000000001</v>
      </c>
      <c r="AL268">
        <f t="shared" ref="AL268:AL331" si="54">-AI268/$F$2*1000</f>
        <v>17.172716049382714</v>
      </c>
      <c r="AM268">
        <f t="shared" ref="AM268:AM331" si="55">AL268*AG268</f>
        <v>20.593349359259257</v>
      </c>
      <c r="AP268" s="9"/>
      <c r="AQ268" s="21">
        <v>0.440826</v>
      </c>
      <c r="AR268" s="21">
        <v>25.784099999999999</v>
      </c>
      <c r="AS268" s="21">
        <v>-1.43433E-2</v>
      </c>
      <c r="AT268" s="21">
        <v>258</v>
      </c>
      <c r="AU268" s="21">
        <v>0.44027699999999997</v>
      </c>
      <c r="AV268">
        <f t="shared" ref="AV268:AV331" si="56">-AS268/$F$2*1000</f>
        <v>17.707777777777778</v>
      </c>
      <c r="AW268">
        <f t="shared" ref="AW268:AW331" si="57">AV268*AQ268</f>
        <v>7.8060488466666671</v>
      </c>
      <c r="AX268" s="9"/>
      <c r="AY268" s="21">
        <v>1.19919</v>
      </c>
      <c r="AZ268" s="21">
        <v>29.482399999999998</v>
      </c>
      <c r="BA268" s="21">
        <v>-1.39709E-2</v>
      </c>
      <c r="BB268" s="21">
        <v>258</v>
      </c>
      <c r="BC268" s="21">
        <v>1.1984300000000001</v>
      </c>
      <c r="BD268">
        <f t="shared" ref="BD268:BD331" si="58">-BA268/$F$2*1000</f>
        <v>17.248024691358022</v>
      </c>
      <c r="BE268">
        <f t="shared" ref="BE268:BE331" si="59">BD268*AY268</f>
        <v>20.683658729629627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0.43579099999999998</v>
      </c>
      <c r="H269" s="21">
        <v>7.6167100000000003</v>
      </c>
      <c r="I269" s="21">
        <v>-1.42212E-2</v>
      </c>
      <c r="J269" s="21">
        <v>259</v>
      </c>
      <c r="K269" s="21">
        <v>0.43524200000000002</v>
      </c>
      <c r="L269">
        <f t="shared" si="48"/>
        <v>17.557037037037034</v>
      </c>
      <c r="M269">
        <f t="shared" si="49"/>
        <v>7.6511987274074063</v>
      </c>
      <c r="N269" s="9"/>
      <c r="O269" s="21">
        <v>1.2042200000000001</v>
      </c>
      <c r="P269" s="21">
        <v>11.315</v>
      </c>
      <c r="Q269" s="21">
        <v>-1.3916E-2</v>
      </c>
      <c r="R269" s="21">
        <v>259</v>
      </c>
      <c r="S269" s="21">
        <v>1.2036100000000001</v>
      </c>
      <c r="T269">
        <f t="shared" si="50"/>
        <v>17.180246913580245</v>
      </c>
      <c r="U269">
        <f t="shared" si="51"/>
        <v>20.688796938271604</v>
      </c>
      <c r="X269" s="9"/>
      <c r="Y269" s="21">
        <v>0.43579099999999998</v>
      </c>
      <c r="Z269" s="21">
        <v>16.681899999999999</v>
      </c>
      <c r="AA269" s="21">
        <v>-1.4291399999999999E-2</v>
      </c>
      <c r="AB269" s="21">
        <v>259</v>
      </c>
      <c r="AC269" s="21">
        <v>0.43514999999999998</v>
      </c>
      <c r="AD269">
        <f t="shared" si="52"/>
        <v>17.643703703703704</v>
      </c>
      <c r="AE269">
        <f t="shared" si="53"/>
        <v>7.6889672807407408</v>
      </c>
      <c r="AF269" s="9"/>
      <c r="AG269" s="21">
        <v>1.2042200000000001</v>
      </c>
      <c r="AH269" s="21">
        <v>20.380299999999998</v>
      </c>
      <c r="AI269" s="21">
        <v>-1.39069E-2</v>
      </c>
      <c r="AJ269" s="21">
        <v>259</v>
      </c>
      <c r="AK269" s="21">
        <v>1.2039200000000001</v>
      </c>
      <c r="AL269">
        <f t="shared" si="54"/>
        <v>17.169012345679011</v>
      </c>
      <c r="AM269">
        <f t="shared" si="55"/>
        <v>20.67526804691358</v>
      </c>
      <c r="AP269" s="9"/>
      <c r="AQ269" s="21">
        <v>0.43579099999999998</v>
      </c>
      <c r="AR269" s="21">
        <v>25.7941</v>
      </c>
      <c r="AS269" s="21">
        <v>-1.4346299999999999E-2</v>
      </c>
      <c r="AT269" s="21">
        <v>259</v>
      </c>
      <c r="AU269" s="21">
        <v>0.43514999999999998</v>
      </c>
      <c r="AV269">
        <f t="shared" si="56"/>
        <v>17.711481481481481</v>
      </c>
      <c r="AW269">
        <f t="shared" si="57"/>
        <v>7.7185042262962957</v>
      </c>
      <c r="AX269" s="9"/>
      <c r="AY269" s="21">
        <v>1.2042200000000001</v>
      </c>
      <c r="AZ269" s="21">
        <v>29.4925</v>
      </c>
      <c r="BA269" s="21">
        <v>-1.3974E-2</v>
      </c>
      <c r="BB269" s="21">
        <v>259</v>
      </c>
      <c r="BC269" s="21">
        <v>1.2033100000000001</v>
      </c>
      <c r="BD269">
        <f t="shared" si="58"/>
        <v>17.251851851851853</v>
      </c>
      <c r="BE269">
        <f t="shared" si="59"/>
        <v>20.77502503703704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0.43075600000000003</v>
      </c>
      <c r="H270" s="21">
        <v>7.6267800000000001</v>
      </c>
      <c r="I270" s="21">
        <v>-1.42273E-2</v>
      </c>
      <c r="J270" s="21">
        <v>260</v>
      </c>
      <c r="K270" s="21">
        <v>0.43011500000000003</v>
      </c>
      <c r="L270">
        <f t="shared" si="48"/>
        <v>17.564567901234565</v>
      </c>
      <c r="M270">
        <f t="shared" si="49"/>
        <v>7.5660430108641963</v>
      </c>
      <c r="N270" s="9"/>
      <c r="O270" s="21">
        <v>1.20926</v>
      </c>
      <c r="P270" s="21">
        <v>11.325100000000001</v>
      </c>
      <c r="Q270" s="21">
        <v>-1.38885E-2</v>
      </c>
      <c r="R270" s="21">
        <v>260</v>
      </c>
      <c r="S270" s="21">
        <v>1.2084999999999999</v>
      </c>
      <c r="T270">
        <f t="shared" si="50"/>
        <v>17.146296296296295</v>
      </c>
      <c r="U270">
        <f t="shared" si="51"/>
        <v>20.734330259259259</v>
      </c>
      <c r="X270" s="9"/>
      <c r="Y270" s="21">
        <v>0.43075600000000003</v>
      </c>
      <c r="Z270" s="21">
        <v>16.692</v>
      </c>
      <c r="AA270" s="21">
        <v>-1.4291399999999999E-2</v>
      </c>
      <c r="AB270" s="21">
        <v>260</v>
      </c>
      <c r="AC270" s="21">
        <v>0.43023699999999998</v>
      </c>
      <c r="AD270">
        <f t="shared" si="52"/>
        <v>17.643703703703704</v>
      </c>
      <c r="AE270">
        <f t="shared" si="53"/>
        <v>7.6001312325925934</v>
      </c>
      <c r="AF270" s="9"/>
      <c r="AG270" s="21">
        <v>1.20926</v>
      </c>
      <c r="AH270" s="21">
        <v>20.3903</v>
      </c>
      <c r="AI270" s="21">
        <v>-1.3909899999999999E-2</v>
      </c>
      <c r="AJ270" s="21">
        <v>260</v>
      </c>
      <c r="AK270" s="21">
        <v>1.2081900000000001</v>
      </c>
      <c r="AL270">
        <f t="shared" si="54"/>
        <v>17.172716049382714</v>
      </c>
      <c r="AM270">
        <f t="shared" si="55"/>
        <v>20.76627860987654</v>
      </c>
      <c r="AP270" s="9"/>
      <c r="AQ270" s="21">
        <v>0.43075600000000003</v>
      </c>
      <c r="AR270" s="21">
        <v>25.804200000000002</v>
      </c>
      <c r="AS270" s="21">
        <v>-1.4331099999999999E-2</v>
      </c>
      <c r="AT270" s="21">
        <v>260</v>
      </c>
      <c r="AU270" s="21">
        <v>0.430176</v>
      </c>
      <c r="AV270">
        <f t="shared" si="56"/>
        <v>17.692716049382714</v>
      </c>
      <c r="AW270">
        <f t="shared" si="57"/>
        <v>7.6212435945679005</v>
      </c>
      <c r="AX270" s="9"/>
      <c r="AY270" s="21">
        <v>1.20926</v>
      </c>
      <c r="AZ270" s="21">
        <v>29.502600000000001</v>
      </c>
      <c r="BA270" s="21">
        <v>-1.3986200000000001E-2</v>
      </c>
      <c r="BB270" s="21">
        <v>260</v>
      </c>
      <c r="BC270" s="21">
        <v>1.2088000000000001</v>
      </c>
      <c r="BD270">
        <f t="shared" si="58"/>
        <v>17.266913580246914</v>
      </c>
      <c r="BE270">
        <f t="shared" si="59"/>
        <v>20.880187916049383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0.42571999999999999</v>
      </c>
      <c r="H271" s="21">
        <v>7.6368499999999999</v>
      </c>
      <c r="I271" s="21">
        <v>-1.42395E-2</v>
      </c>
      <c r="J271" s="21">
        <v>261</v>
      </c>
      <c r="K271" s="21">
        <v>0.425232</v>
      </c>
      <c r="L271">
        <f t="shared" si="48"/>
        <v>17.579629629629629</v>
      </c>
      <c r="M271">
        <f t="shared" si="49"/>
        <v>7.4839999259259251</v>
      </c>
      <c r="N271" s="9"/>
      <c r="O271" s="21">
        <v>1.2142900000000001</v>
      </c>
      <c r="P271" s="21">
        <v>11.3352</v>
      </c>
      <c r="Q271" s="21">
        <v>-1.38733E-2</v>
      </c>
      <c r="R271" s="21">
        <v>261</v>
      </c>
      <c r="S271" s="21">
        <v>1.2139899999999999</v>
      </c>
      <c r="T271">
        <f t="shared" si="50"/>
        <v>17.127530864197528</v>
      </c>
      <c r="U271">
        <f t="shared" si="51"/>
        <v>20.797789453086416</v>
      </c>
      <c r="X271" s="9"/>
      <c r="Y271" s="21">
        <v>0.42571999999999999</v>
      </c>
      <c r="Z271" s="21">
        <v>16.702100000000002</v>
      </c>
      <c r="AA271" s="21">
        <v>-1.4294400000000001E-2</v>
      </c>
      <c r="AB271" s="21">
        <v>261</v>
      </c>
      <c r="AC271" s="21">
        <v>0.42510999999999999</v>
      </c>
      <c r="AD271">
        <f t="shared" si="52"/>
        <v>17.647407407407407</v>
      </c>
      <c r="AE271">
        <f t="shared" si="53"/>
        <v>7.5128542814814807</v>
      </c>
      <c r="AF271" s="9"/>
      <c r="AG271" s="21">
        <v>1.2142900000000001</v>
      </c>
      <c r="AH271" s="21">
        <v>20.400400000000001</v>
      </c>
      <c r="AI271" s="21">
        <v>-1.39221E-2</v>
      </c>
      <c r="AJ271" s="21">
        <v>261</v>
      </c>
      <c r="AK271" s="21">
        <v>1.2133799999999999</v>
      </c>
      <c r="AL271">
        <f t="shared" si="54"/>
        <v>17.187777777777779</v>
      </c>
      <c r="AM271">
        <f t="shared" si="55"/>
        <v>20.870946677777781</v>
      </c>
      <c r="AP271" s="9"/>
      <c r="AQ271" s="21">
        <v>0.42571999999999999</v>
      </c>
      <c r="AR271" s="21">
        <v>25.814299999999999</v>
      </c>
      <c r="AS271" s="21">
        <v>-1.4324999999999999E-2</v>
      </c>
      <c r="AT271" s="21">
        <v>261</v>
      </c>
      <c r="AU271" s="21">
        <v>0.42517100000000002</v>
      </c>
      <c r="AV271">
        <f t="shared" si="56"/>
        <v>17.685185185185183</v>
      </c>
      <c r="AW271">
        <f t="shared" si="57"/>
        <v>7.5289370370370357</v>
      </c>
      <c r="AX271" s="9"/>
      <c r="AY271" s="21">
        <v>1.2142900000000001</v>
      </c>
      <c r="AZ271" s="21">
        <v>29.512599999999999</v>
      </c>
      <c r="BA271" s="21">
        <v>-1.39954E-2</v>
      </c>
      <c r="BB271" s="21">
        <v>261</v>
      </c>
      <c r="BC271" s="21">
        <v>1.2133799999999999</v>
      </c>
      <c r="BD271">
        <f t="shared" si="58"/>
        <v>17.278271604938272</v>
      </c>
      <c r="BE271">
        <f t="shared" si="59"/>
        <v>20.980832427160497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0.42068499999999998</v>
      </c>
      <c r="H272" s="21">
        <v>7.6469199999999997</v>
      </c>
      <c r="I272" s="21">
        <v>-1.4245600000000001E-2</v>
      </c>
      <c r="J272" s="21">
        <v>262</v>
      </c>
      <c r="K272" s="21">
        <v>0.42010500000000001</v>
      </c>
      <c r="L272">
        <f t="shared" si="48"/>
        <v>17.58716049382716</v>
      </c>
      <c r="M272">
        <f t="shared" si="49"/>
        <v>7.3986546123456778</v>
      </c>
      <c r="N272" s="9"/>
      <c r="O272" s="21">
        <v>1.21933</v>
      </c>
      <c r="P272" s="21">
        <v>11.3453</v>
      </c>
      <c r="Q272" s="21">
        <v>-1.3858000000000001E-2</v>
      </c>
      <c r="R272" s="21">
        <v>262</v>
      </c>
      <c r="S272" s="21">
        <v>1.2182599999999999</v>
      </c>
      <c r="T272">
        <f t="shared" si="50"/>
        <v>17.10864197530864</v>
      </c>
      <c r="U272">
        <f t="shared" si="51"/>
        <v>20.861080419753083</v>
      </c>
      <c r="X272" s="9"/>
      <c r="Y272" s="21">
        <v>0.42068499999999998</v>
      </c>
      <c r="Z272" s="21">
        <v>16.7121</v>
      </c>
      <c r="AA272" s="21">
        <v>-1.42822E-2</v>
      </c>
      <c r="AB272" s="21">
        <v>262</v>
      </c>
      <c r="AC272" s="21">
        <v>0.42022700000000002</v>
      </c>
      <c r="AD272">
        <f t="shared" si="52"/>
        <v>17.632345679012342</v>
      </c>
      <c r="AE272">
        <f t="shared" si="53"/>
        <v>7.4176633419753069</v>
      </c>
      <c r="AF272" s="9"/>
      <c r="AG272" s="21">
        <v>1.21933</v>
      </c>
      <c r="AH272" s="21">
        <v>20.410499999999999</v>
      </c>
      <c r="AI272" s="21">
        <v>-1.39343E-2</v>
      </c>
      <c r="AJ272" s="21">
        <v>262</v>
      </c>
      <c r="AK272" s="21">
        <v>1.2182599999999999</v>
      </c>
      <c r="AL272">
        <f t="shared" si="54"/>
        <v>17.202839506172836</v>
      </c>
      <c r="AM272">
        <f t="shared" si="55"/>
        <v>20.975938295061724</v>
      </c>
      <c r="AP272" s="9"/>
      <c r="AQ272" s="21">
        <v>0.42068499999999998</v>
      </c>
      <c r="AR272" s="21">
        <v>25.824400000000001</v>
      </c>
      <c r="AS272" s="21">
        <v>-1.4331099999999999E-2</v>
      </c>
      <c r="AT272" s="21">
        <v>262</v>
      </c>
      <c r="AU272" s="21">
        <v>0.42010500000000001</v>
      </c>
      <c r="AV272">
        <f t="shared" si="56"/>
        <v>17.692716049382714</v>
      </c>
      <c r="AW272">
        <f t="shared" si="57"/>
        <v>7.4430602512345665</v>
      </c>
      <c r="AX272" s="9"/>
      <c r="AY272" s="21">
        <v>1.21933</v>
      </c>
      <c r="AZ272" s="21">
        <v>29.5227</v>
      </c>
      <c r="BA272" s="21">
        <v>-1.39954E-2</v>
      </c>
      <c r="BB272" s="21">
        <v>262</v>
      </c>
      <c r="BC272" s="21">
        <v>1.2188699999999999</v>
      </c>
      <c r="BD272">
        <f t="shared" si="58"/>
        <v>17.278271604938272</v>
      </c>
      <c r="BE272">
        <f t="shared" si="59"/>
        <v>21.067914916049382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0.41564899999999999</v>
      </c>
      <c r="H273" s="21">
        <v>7.6569900000000004</v>
      </c>
      <c r="I273" s="21">
        <v>-1.42548E-2</v>
      </c>
      <c r="J273" s="21">
        <v>263</v>
      </c>
      <c r="K273" s="21">
        <v>0.41500900000000002</v>
      </c>
      <c r="L273">
        <f t="shared" si="48"/>
        <v>17.598518518518517</v>
      </c>
      <c r="M273">
        <f t="shared" si="49"/>
        <v>7.3148066237037028</v>
      </c>
      <c r="N273" s="9"/>
      <c r="O273" s="21">
        <v>1.22437</v>
      </c>
      <c r="P273" s="21">
        <v>11.3553</v>
      </c>
      <c r="Q273" s="21">
        <v>-1.3848900000000001E-2</v>
      </c>
      <c r="R273" s="21">
        <v>263</v>
      </c>
      <c r="S273" s="21">
        <v>1.2237499999999999</v>
      </c>
      <c r="T273">
        <f t="shared" si="50"/>
        <v>17.09740740740741</v>
      </c>
      <c r="U273">
        <f t="shared" si="51"/>
        <v>20.933552707407408</v>
      </c>
      <c r="X273" s="9"/>
      <c r="Y273" s="21">
        <v>0.41564899999999999</v>
      </c>
      <c r="Z273" s="21">
        <v>16.722200000000001</v>
      </c>
      <c r="AA273" s="21">
        <v>-1.42822E-2</v>
      </c>
      <c r="AB273" s="21">
        <v>263</v>
      </c>
      <c r="AC273" s="21">
        <v>0.41500900000000002</v>
      </c>
      <c r="AD273">
        <f t="shared" si="52"/>
        <v>17.632345679012342</v>
      </c>
      <c r="AE273">
        <f t="shared" si="53"/>
        <v>7.3288668491358013</v>
      </c>
      <c r="AF273" s="9"/>
      <c r="AG273" s="21">
        <v>1.22437</v>
      </c>
      <c r="AH273" s="21">
        <v>20.420500000000001</v>
      </c>
      <c r="AI273" s="21">
        <v>-1.3937400000000001E-2</v>
      </c>
      <c r="AJ273" s="21">
        <v>263</v>
      </c>
      <c r="AK273" s="21">
        <v>1.2240599999999999</v>
      </c>
      <c r="AL273">
        <f t="shared" si="54"/>
        <v>17.206666666666667</v>
      </c>
      <c r="AM273">
        <f t="shared" si="55"/>
        <v>21.067326466666668</v>
      </c>
      <c r="AP273" s="9"/>
      <c r="AQ273" s="21">
        <v>0.41564899999999999</v>
      </c>
      <c r="AR273" s="21">
        <v>25.834399999999999</v>
      </c>
      <c r="AS273" s="21">
        <v>-1.43372E-2</v>
      </c>
      <c r="AT273" s="21">
        <v>263</v>
      </c>
      <c r="AU273" s="21">
        <v>0.41506999999999999</v>
      </c>
      <c r="AV273">
        <f t="shared" si="56"/>
        <v>17.700246913580244</v>
      </c>
      <c r="AW273">
        <f t="shared" si="57"/>
        <v>7.357089929382715</v>
      </c>
      <c r="AX273" s="9"/>
      <c r="AY273" s="21">
        <v>1.22437</v>
      </c>
      <c r="AZ273" s="21">
        <v>29.532800000000002</v>
      </c>
      <c r="BA273" s="21">
        <v>-1.3983199999999999E-2</v>
      </c>
      <c r="BB273" s="21">
        <v>263</v>
      </c>
      <c r="BC273" s="21">
        <v>1.2234499999999999</v>
      </c>
      <c r="BD273">
        <f t="shared" si="58"/>
        <v>17.263209876543208</v>
      </c>
      <c r="BE273">
        <f t="shared" si="59"/>
        <v>21.136556276543207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0.41061399999999998</v>
      </c>
      <c r="H274" s="21">
        <v>7.6670699999999998</v>
      </c>
      <c r="I274" s="21">
        <v>-1.4263899999999999E-2</v>
      </c>
      <c r="J274" s="21">
        <v>264</v>
      </c>
      <c r="K274" s="21">
        <v>0.41000399999999998</v>
      </c>
      <c r="L274">
        <f t="shared" si="48"/>
        <v>17.609753086419751</v>
      </c>
      <c r="M274">
        <f t="shared" si="49"/>
        <v>7.2308111538271591</v>
      </c>
      <c r="N274" s="9"/>
      <c r="O274" s="21">
        <v>1.2294</v>
      </c>
      <c r="P274" s="21">
        <v>11.365399999999999</v>
      </c>
      <c r="Q274" s="21">
        <v>-1.38306E-2</v>
      </c>
      <c r="R274" s="21">
        <v>264</v>
      </c>
      <c r="S274" s="21">
        <v>1.22864</v>
      </c>
      <c r="T274">
        <f t="shared" si="50"/>
        <v>17.074814814814815</v>
      </c>
      <c r="U274">
        <f t="shared" si="51"/>
        <v>20.991777333333335</v>
      </c>
      <c r="X274" s="9"/>
      <c r="Y274" s="21">
        <v>0.41061399999999998</v>
      </c>
      <c r="Z274" s="21">
        <v>16.732299999999999</v>
      </c>
      <c r="AA274" s="21">
        <v>-1.42822E-2</v>
      </c>
      <c r="AB274" s="21">
        <v>264</v>
      </c>
      <c r="AC274" s="21">
        <v>0.41000399999999998</v>
      </c>
      <c r="AD274">
        <f t="shared" si="52"/>
        <v>17.632345679012342</v>
      </c>
      <c r="AE274">
        <f t="shared" si="53"/>
        <v>7.2400879886419736</v>
      </c>
      <c r="AF274" s="9"/>
      <c r="AG274" s="21">
        <v>1.2294</v>
      </c>
      <c r="AH274" s="21">
        <v>20.430599999999998</v>
      </c>
      <c r="AI274" s="21">
        <v>-1.39191E-2</v>
      </c>
      <c r="AJ274" s="21">
        <v>264</v>
      </c>
      <c r="AK274" s="21">
        <v>1.2283299999999999</v>
      </c>
      <c r="AL274">
        <f t="shared" si="54"/>
        <v>17.184074074074076</v>
      </c>
      <c r="AM274">
        <f t="shared" si="55"/>
        <v>21.12610066666667</v>
      </c>
      <c r="AP274" s="9"/>
      <c r="AQ274" s="21">
        <v>0.41061399999999998</v>
      </c>
      <c r="AR274" s="21">
        <v>25.8445</v>
      </c>
      <c r="AS274" s="21">
        <v>-1.43372E-2</v>
      </c>
      <c r="AT274" s="21">
        <v>264</v>
      </c>
      <c r="AU274" s="21">
        <v>0.409943</v>
      </c>
      <c r="AV274">
        <f t="shared" si="56"/>
        <v>17.700246913580244</v>
      </c>
      <c r="AW274">
        <f t="shared" si="57"/>
        <v>7.2679691861728379</v>
      </c>
      <c r="AX274" s="9"/>
      <c r="AY274" s="21">
        <v>1.2294</v>
      </c>
      <c r="AZ274" s="21">
        <v>29.5428</v>
      </c>
      <c r="BA274" s="21">
        <v>-1.3964799999999999E-2</v>
      </c>
      <c r="BB274" s="21">
        <v>264</v>
      </c>
      <c r="BC274" s="21">
        <v>1.22864</v>
      </c>
      <c r="BD274">
        <f t="shared" si="58"/>
        <v>17.240493827160492</v>
      </c>
      <c r="BE274">
        <f t="shared" si="59"/>
        <v>21.19546311111111</v>
      </c>
    </row>
    <row r="275" spans="6:101" x14ac:dyDescent="0.25">
      <c r="F275" s="9"/>
      <c r="G275" s="21">
        <v>0.40557900000000002</v>
      </c>
      <c r="H275" s="21">
        <v>7.6771399999999996</v>
      </c>
      <c r="I275" s="21">
        <v>-1.4267E-2</v>
      </c>
      <c r="J275" s="21">
        <v>265</v>
      </c>
      <c r="K275" s="21">
        <v>0.40490700000000002</v>
      </c>
      <c r="L275">
        <f t="shared" si="48"/>
        <v>17.613580246913582</v>
      </c>
      <c r="M275">
        <f t="shared" si="49"/>
        <v>7.143698262962964</v>
      </c>
      <c r="N275" s="9"/>
      <c r="O275" s="21">
        <v>1.23444</v>
      </c>
      <c r="P275" s="21">
        <v>11.375500000000001</v>
      </c>
      <c r="Q275" s="21">
        <v>-1.38123E-2</v>
      </c>
      <c r="R275" s="21">
        <v>265</v>
      </c>
      <c r="S275" s="21">
        <v>1.2335199999999999</v>
      </c>
      <c r="T275">
        <f t="shared" si="50"/>
        <v>17.052222222222223</v>
      </c>
      <c r="U275">
        <f t="shared" si="51"/>
        <v>21.0499452</v>
      </c>
      <c r="X275" s="9"/>
      <c r="Y275" s="21">
        <v>0.40557900000000002</v>
      </c>
      <c r="Z275" s="21">
        <v>16.7423</v>
      </c>
      <c r="AA275" s="21">
        <v>-1.42761E-2</v>
      </c>
      <c r="AB275" s="21">
        <v>265</v>
      </c>
      <c r="AC275" s="21">
        <v>0.40496799999999999</v>
      </c>
      <c r="AD275">
        <f t="shared" si="52"/>
        <v>17.624814814814812</v>
      </c>
      <c r="AE275">
        <f t="shared" si="53"/>
        <v>7.148254767777777</v>
      </c>
      <c r="AF275" s="9"/>
      <c r="AG275" s="21">
        <v>1.23444</v>
      </c>
      <c r="AH275" s="21">
        <v>20.4407</v>
      </c>
      <c r="AI275" s="21">
        <v>-1.39069E-2</v>
      </c>
      <c r="AJ275" s="21">
        <v>265</v>
      </c>
      <c r="AK275" s="21">
        <v>1.23322</v>
      </c>
      <c r="AL275">
        <f t="shared" si="54"/>
        <v>17.169012345679011</v>
      </c>
      <c r="AM275">
        <f t="shared" si="55"/>
        <v>21.1941156</v>
      </c>
      <c r="AP275" s="9"/>
      <c r="AQ275" s="21">
        <v>0.40557900000000002</v>
      </c>
      <c r="AR275" s="21">
        <v>25.854600000000001</v>
      </c>
      <c r="AS275" s="21">
        <v>-1.4340200000000001E-2</v>
      </c>
      <c r="AT275" s="21">
        <v>265</v>
      </c>
      <c r="AU275" s="21">
        <v>0.40493800000000002</v>
      </c>
      <c r="AV275">
        <f t="shared" si="56"/>
        <v>17.703950617283951</v>
      </c>
      <c r="AW275">
        <f t="shared" si="57"/>
        <v>7.1803505874074078</v>
      </c>
      <c r="AX275" s="9"/>
      <c r="AY275" s="21">
        <v>1.23444</v>
      </c>
      <c r="AZ275" s="21">
        <v>29.552900000000001</v>
      </c>
      <c r="BA275" s="21">
        <v>-1.3946500000000001E-2</v>
      </c>
      <c r="BB275" s="21">
        <v>265</v>
      </c>
      <c r="BC275" s="21">
        <v>1.2341299999999999</v>
      </c>
      <c r="BD275">
        <f t="shared" si="58"/>
        <v>17.217901234567901</v>
      </c>
      <c r="BE275">
        <f t="shared" si="59"/>
        <v>21.254465999999997</v>
      </c>
    </row>
    <row r="276" spans="6:101" x14ac:dyDescent="0.25">
      <c r="F276" s="9"/>
      <c r="G276" s="21">
        <v>0.40054299999999998</v>
      </c>
      <c r="H276" s="21">
        <v>7.6872100000000003</v>
      </c>
      <c r="I276" s="21">
        <v>-1.4279200000000001E-2</v>
      </c>
      <c r="J276" s="21">
        <v>266</v>
      </c>
      <c r="K276" s="21">
        <v>0.39993299999999998</v>
      </c>
      <c r="L276">
        <f t="shared" si="48"/>
        <v>17.628641975308639</v>
      </c>
      <c r="M276">
        <f t="shared" si="49"/>
        <v>7.0610291427160483</v>
      </c>
      <c r="N276" s="9"/>
      <c r="O276" s="21">
        <v>1.2394700000000001</v>
      </c>
      <c r="P276" s="21">
        <v>11.3855</v>
      </c>
      <c r="Q276" s="21">
        <v>-1.38031E-2</v>
      </c>
      <c r="R276" s="21">
        <v>266</v>
      </c>
      <c r="S276" s="21">
        <v>1.2383999999999999</v>
      </c>
      <c r="T276">
        <f t="shared" si="50"/>
        <v>17.040864197530862</v>
      </c>
      <c r="U276">
        <f t="shared" si="51"/>
        <v>21.121639946913579</v>
      </c>
      <c r="X276" s="9"/>
      <c r="Y276" s="21">
        <v>0.40054299999999998</v>
      </c>
      <c r="Z276" s="21">
        <v>16.752400000000002</v>
      </c>
      <c r="AA276" s="21">
        <v>-1.4267E-2</v>
      </c>
      <c r="AB276" s="21">
        <v>266</v>
      </c>
      <c r="AC276" s="21">
        <v>0.39999400000000002</v>
      </c>
      <c r="AD276">
        <f t="shared" si="52"/>
        <v>17.613580246913582</v>
      </c>
      <c r="AE276">
        <f t="shared" si="53"/>
        <v>7.0549962728395066</v>
      </c>
      <c r="AF276" s="9"/>
      <c r="AG276" s="21">
        <v>1.2394700000000001</v>
      </c>
      <c r="AH276" s="21">
        <v>20.450800000000001</v>
      </c>
      <c r="AI276" s="21">
        <v>-1.3913E-2</v>
      </c>
      <c r="AJ276" s="21">
        <v>266</v>
      </c>
      <c r="AK276" s="21">
        <v>1.23871</v>
      </c>
      <c r="AL276">
        <f t="shared" si="54"/>
        <v>17.176543209876542</v>
      </c>
      <c r="AM276">
        <f t="shared" si="55"/>
        <v>21.289810012345679</v>
      </c>
      <c r="AP276" s="9"/>
      <c r="AQ276" s="21">
        <v>0.40054299999999998</v>
      </c>
      <c r="AR276" s="21">
        <v>25.864599999999999</v>
      </c>
      <c r="AS276" s="21">
        <v>-1.43555E-2</v>
      </c>
      <c r="AT276" s="21">
        <v>266</v>
      </c>
      <c r="AU276" s="21">
        <v>0.40005499999999999</v>
      </c>
      <c r="AV276">
        <f t="shared" si="56"/>
        <v>17.722839506172836</v>
      </c>
      <c r="AW276">
        <f t="shared" si="57"/>
        <v>7.0987593043209856</v>
      </c>
      <c r="AX276" s="9"/>
      <c r="AY276" s="21">
        <v>1.2394700000000001</v>
      </c>
      <c r="AZ276" s="21">
        <v>29.562999999999999</v>
      </c>
      <c r="BA276" s="21">
        <v>-1.39221E-2</v>
      </c>
      <c r="BB276" s="21">
        <v>266</v>
      </c>
      <c r="BC276" s="21">
        <v>1.2390099999999999</v>
      </c>
      <c r="BD276">
        <f t="shared" si="58"/>
        <v>17.187777777777779</v>
      </c>
      <c r="BE276">
        <f t="shared" si="59"/>
        <v>21.303734922222226</v>
      </c>
    </row>
    <row r="277" spans="6:101" x14ac:dyDescent="0.25">
      <c r="F277" s="9"/>
      <c r="G277" s="21">
        <v>0.39550800000000003</v>
      </c>
      <c r="H277" s="21">
        <v>7.6972800000000001</v>
      </c>
      <c r="I277" s="21">
        <v>-1.42822E-2</v>
      </c>
      <c r="J277" s="21">
        <v>267</v>
      </c>
      <c r="K277" s="21">
        <v>0.39486700000000002</v>
      </c>
      <c r="L277">
        <f t="shared" si="48"/>
        <v>17.632345679012342</v>
      </c>
      <c r="M277">
        <f t="shared" si="49"/>
        <v>6.9737337748148143</v>
      </c>
      <c r="N277" s="9"/>
      <c r="O277" s="21">
        <v>1.24451</v>
      </c>
      <c r="P277" s="21">
        <v>11.3956</v>
      </c>
      <c r="Q277" s="21">
        <v>-1.38E-2</v>
      </c>
      <c r="R277" s="21">
        <v>267</v>
      </c>
      <c r="S277" s="21">
        <v>1.24359</v>
      </c>
      <c r="T277">
        <f t="shared" si="50"/>
        <v>17.037037037037035</v>
      </c>
      <c r="U277">
        <f t="shared" si="51"/>
        <v>21.202762962962961</v>
      </c>
      <c r="X277" s="9"/>
      <c r="Y277" s="21">
        <v>0.39550800000000003</v>
      </c>
      <c r="Z277" s="21">
        <v>16.762499999999999</v>
      </c>
      <c r="AA277" s="21">
        <v>-1.4257799999999999E-2</v>
      </c>
      <c r="AB277" s="21">
        <v>267</v>
      </c>
      <c r="AC277" s="21">
        <v>0.394897</v>
      </c>
      <c r="AD277">
        <f t="shared" si="52"/>
        <v>17.60222222222222</v>
      </c>
      <c r="AE277">
        <f t="shared" si="53"/>
        <v>6.9618197066666667</v>
      </c>
      <c r="AF277" s="9"/>
      <c r="AG277" s="21">
        <v>1.24451</v>
      </c>
      <c r="AH277" s="21">
        <v>20.460799999999999</v>
      </c>
      <c r="AI277" s="21">
        <v>-1.3903799999999999E-2</v>
      </c>
      <c r="AJ277" s="21">
        <v>267</v>
      </c>
      <c r="AK277" s="21">
        <v>1.24359</v>
      </c>
      <c r="AL277">
        <f t="shared" si="54"/>
        <v>17.165185185185184</v>
      </c>
      <c r="AM277">
        <f t="shared" si="55"/>
        <v>21.362244614814813</v>
      </c>
      <c r="AP277" s="9"/>
      <c r="AQ277" s="21">
        <v>0.39550800000000003</v>
      </c>
      <c r="AR277" s="21">
        <v>25.874700000000001</v>
      </c>
      <c r="AS277" s="21">
        <v>-1.4367700000000001E-2</v>
      </c>
      <c r="AT277" s="21">
        <v>267</v>
      </c>
      <c r="AU277" s="21">
        <v>0.394928</v>
      </c>
      <c r="AV277">
        <f t="shared" si="56"/>
        <v>17.7379012345679</v>
      </c>
      <c r="AW277">
        <f t="shared" si="57"/>
        <v>7.0154818414814812</v>
      </c>
      <c r="AX277" s="9"/>
      <c r="AY277" s="21">
        <v>1.24451</v>
      </c>
      <c r="AZ277" s="21">
        <v>29.5731</v>
      </c>
      <c r="BA277" s="21">
        <v>-1.3894699999999999E-2</v>
      </c>
      <c r="BB277" s="21">
        <v>267</v>
      </c>
      <c r="BC277" s="21">
        <v>1.24359</v>
      </c>
      <c r="BD277">
        <f t="shared" si="58"/>
        <v>17.153950617283947</v>
      </c>
      <c r="BE277">
        <f t="shared" si="59"/>
        <v>21.348263082716045</v>
      </c>
    </row>
    <row r="278" spans="6:101" x14ac:dyDescent="0.25">
      <c r="F278" s="9"/>
      <c r="G278" s="21">
        <v>0.39047199999999999</v>
      </c>
      <c r="H278" s="21">
        <v>7.7073499999999999</v>
      </c>
      <c r="I278" s="21">
        <v>-1.42822E-2</v>
      </c>
      <c r="J278" s="21">
        <v>268</v>
      </c>
      <c r="K278" s="21">
        <v>0.38989299999999999</v>
      </c>
      <c r="L278">
        <f t="shared" si="48"/>
        <v>17.632345679012342</v>
      </c>
      <c r="M278">
        <f t="shared" si="49"/>
        <v>6.884937281975307</v>
      </c>
      <c r="N278" s="9"/>
      <c r="O278" s="21">
        <v>1.2495400000000001</v>
      </c>
      <c r="P278" s="21">
        <v>11.4057</v>
      </c>
      <c r="Q278" s="21">
        <v>-1.3797E-2</v>
      </c>
      <c r="R278" s="21">
        <v>268</v>
      </c>
      <c r="S278" s="21">
        <v>1.24878</v>
      </c>
      <c r="T278">
        <f t="shared" si="50"/>
        <v>17.033333333333331</v>
      </c>
      <c r="U278">
        <f t="shared" si="51"/>
        <v>21.283831333333332</v>
      </c>
      <c r="X278" s="9"/>
      <c r="Y278" s="21">
        <v>0.39047199999999999</v>
      </c>
      <c r="Z278" s="21">
        <v>16.772600000000001</v>
      </c>
      <c r="AA278" s="21">
        <v>-1.4263899999999999E-2</v>
      </c>
      <c r="AB278" s="21">
        <v>268</v>
      </c>
      <c r="AC278" s="21">
        <v>0.38992300000000002</v>
      </c>
      <c r="AD278">
        <f t="shared" si="52"/>
        <v>17.609753086419751</v>
      </c>
      <c r="AE278">
        <f t="shared" si="53"/>
        <v>6.8761155071604927</v>
      </c>
      <c r="AF278" s="9"/>
      <c r="AG278" s="21">
        <v>1.2495400000000001</v>
      </c>
      <c r="AH278" s="21">
        <v>20.4709</v>
      </c>
      <c r="AI278" s="21">
        <v>-1.38824E-2</v>
      </c>
      <c r="AJ278" s="21">
        <v>268</v>
      </c>
      <c r="AK278" s="21">
        <v>1.24878</v>
      </c>
      <c r="AL278">
        <f t="shared" si="54"/>
        <v>17.138765432098765</v>
      </c>
      <c r="AM278">
        <f t="shared" si="55"/>
        <v>21.415572958024693</v>
      </c>
      <c r="AP278" s="9"/>
      <c r="AQ278" s="21">
        <v>0.39047199999999999</v>
      </c>
      <c r="AR278" s="21">
        <v>25.884799999999998</v>
      </c>
      <c r="AS278" s="21">
        <v>-1.43768E-2</v>
      </c>
      <c r="AT278" s="21">
        <v>268</v>
      </c>
      <c r="AU278" s="21">
        <v>0.38992300000000002</v>
      </c>
      <c r="AV278">
        <f t="shared" si="56"/>
        <v>17.749135802469137</v>
      </c>
      <c r="AW278">
        <f t="shared" si="57"/>
        <v>6.9305405550617287</v>
      </c>
      <c r="AX278" s="9"/>
      <c r="AY278" s="21">
        <v>1.2495400000000001</v>
      </c>
      <c r="AZ278" s="21">
        <v>29.583100000000002</v>
      </c>
      <c r="BA278" s="21">
        <v>-1.38916E-2</v>
      </c>
      <c r="BB278" s="21">
        <v>268</v>
      </c>
      <c r="BC278" s="21">
        <v>1.24908</v>
      </c>
      <c r="BD278">
        <f t="shared" si="58"/>
        <v>17.150123456790123</v>
      </c>
      <c r="BE278">
        <f t="shared" si="59"/>
        <v>21.429765264197531</v>
      </c>
    </row>
    <row r="279" spans="6:101" x14ac:dyDescent="0.25">
      <c r="F279" s="9"/>
      <c r="G279" s="21">
        <v>0.38543699999999997</v>
      </c>
      <c r="H279" s="21">
        <v>7.7174199999999997</v>
      </c>
      <c r="I279" s="21">
        <v>-1.42822E-2</v>
      </c>
      <c r="J279" s="21">
        <v>269</v>
      </c>
      <c r="K279" s="21">
        <v>0.384857</v>
      </c>
      <c r="L279">
        <f t="shared" si="48"/>
        <v>17.632345679012342</v>
      </c>
      <c r="M279">
        <f t="shared" si="49"/>
        <v>6.7961584214814801</v>
      </c>
      <c r="N279" s="9"/>
      <c r="O279" s="21">
        <v>1.25458</v>
      </c>
      <c r="P279" s="21">
        <v>11.415800000000001</v>
      </c>
      <c r="Q279" s="21">
        <v>-1.37939E-2</v>
      </c>
      <c r="R279" s="21">
        <v>269</v>
      </c>
      <c r="S279" s="21">
        <v>1.25366</v>
      </c>
      <c r="T279">
        <f t="shared" si="50"/>
        <v>17.029506172839504</v>
      </c>
      <c r="U279">
        <f t="shared" si="51"/>
        <v>21.364877854320987</v>
      </c>
      <c r="X279" s="9"/>
      <c r="Y279" s="21">
        <v>0.38543699999999997</v>
      </c>
      <c r="Z279" s="21">
        <v>16.782599999999999</v>
      </c>
      <c r="AA279" s="21">
        <v>-1.42731E-2</v>
      </c>
      <c r="AB279" s="21">
        <v>269</v>
      </c>
      <c r="AC279" s="21">
        <v>0.38488800000000001</v>
      </c>
      <c r="AD279">
        <f t="shared" si="52"/>
        <v>17.621111111111112</v>
      </c>
      <c r="AE279">
        <f t="shared" si="53"/>
        <v>6.791828203333333</v>
      </c>
      <c r="AF279" s="9"/>
      <c r="AG279" s="21">
        <v>1.25458</v>
      </c>
      <c r="AH279" s="21">
        <v>20.481000000000002</v>
      </c>
      <c r="AI279" s="21">
        <v>-1.3870199999999999E-2</v>
      </c>
      <c r="AJ279" s="21">
        <v>269</v>
      </c>
      <c r="AK279" s="21">
        <v>1.25427</v>
      </c>
      <c r="AL279">
        <f t="shared" si="54"/>
        <v>17.123703703703701</v>
      </c>
      <c r="AM279">
        <f t="shared" si="55"/>
        <v>21.483056192592588</v>
      </c>
      <c r="AP279" s="9"/>
      <c r="AQ279" s="21">
        <v>0.38543699999999997</v>
      </c>
      <c r="AR279" s="21">
        <v>25.8949</v>
      </c>
      <c r="AS279" s="21">
        <v>-1.4385999999999999E-2</v>
      </c>
      <c r="AT279" s="21">
        <v>269</v>
      </c>
      <c r="AU279" s="21">
        <v>0.38479600000000003</v>
      </c>
      <c r="AV279">
        <f t="shared" si="56"/>
        <v>17.760493827160492</v>
      </c>
      <c r="AW279">
        <f t="shared" si="57"/>
        <v>6.8455514592592577</v>
      </c>
      <c r="AX279" s="9"/>
      <c r="AY279" s="21">
        <v>1.25458</v>
      </c>
      <c r="AZ279" s="21">
        <v>29.5932</v>
      </c>
      <c r="BA279" s="21">
        <v>-1.3897700000000001E-2</v>
      </c>
      <c r="BB279" s="21">
        <v>269</v>
      </c>
      <c r="BC279" s="21">
        <v>1.25397</v>
      </c>
      <c r="BD279">
        <f t="shared" si="58"/>
        <v>17.157654320987653</v>
      </c>
      <c r="BE279">
        <f t="shared" si="59"/>
        <v>21.52564995802469</v>
      </c>
    </row>
    <row r="280" spans="6:101" x14ac:dyDescent="0.25">
      <c r="F280" s="9"/>
      <c r="G280" s="21">
        <v>0.38040200000000002</v>
      </c>
      <c r="H280" s="21">
        <v>7.7274900000000004</v>
      </c>
      <c r="I280" s="21">
        <v>-1.42883E-2</v>
      </c>
      <c r="J280" s="21">
        <v>270</v>
      </c>
      <c r="K280" s="21">
        <v>0.37985200000000002</v>
      </c>
      <c r="L280">
        <f t="shared" si="48"/>
        <v>17.639876543209876</v>
      </c>
      <c r="M280">
        <f t="shared" si="49"/>
        <v>6.7102443167901233</v>
      </c>
      <c r="N280" s="9"/>
      <c r="O280" s="21">
        <v>1.2596099999999999</v>
      </c>
      <c r="P280" s="21">
        <v>11.425800000000001</v>
      </c>
      <c r="Q280" s="21">
        <v>-1.37909E-2</v>
      </c>
      <c r="R280" s="21">
        <v>270</v>
      </c>
      <c r="S280" s="21">
        <v>1.25885</v>
      </c>
      <c r="T280">
        <f t="shared" si="50"/>
        <v>17.025802469135801</v>
      </c>
      <c r="U280">
        <f t="shared" si="51"/>
        <v>21.445871048148145</v>
      </c>
      <c r="X280" s="9"/>
      <c r="Y280" s="21">
        <v>0.38040200000000002</v>
      </c>
      <c r="Z280" s="21">
        <v>16.7927</v>
      </c>
      <c r="AA280" s="21">
        <v>-1.42883E-2</v>
      </c>
      <c r="AB280" s="21">
        <v>270</v>
      </c>
      <c r="AC280" s="21">
        <v>0.37979099999999999</v>
      </c>
      <c r="AD280">
        <f t="shared" si="52"/>
        <v>17.639876543209876</v>
      </c>
      <c r="AE280">
        <f t="shared" si="53"/>
        <v>6.7102443167901233</v>
      </c>
      <c r="AF280" s="9"/>
      <c r="AG280" s="21">
        <v>1.2596099999999999</v>
      </c>
      <c r="AH280" s="21">
        <v>20.491</v>
      </c>
      <c r="AI280" s="21">
        <v>-1.38519E-2</v>
      </c>
      <c r="AJ280" s="21">
        <v>270</v>
      </c>
      <c r="AK280" s="21">
        <v>1.2591600000000001</v>
      </c>
      <c r="AL280">
        <f t="shared" si="54"/>
        <v>17.101111111111113</v>
      </c>
      <c r="AM280">
        <f t="shared" si="55"/>
        <v>21.540730566666667</v>
      </c>
      <c r="AP280" s="9"/>
      <c r="AQ280" s="21">
        <v>0.38040200000000002</v>
      </c>
      <c r="AR280" s="21">
        <v>25.904900000000001</v>
      </c>
      <c r="AS280" s="21">
        <v>-1.4395099999999999E-2</v>
      </c>
      <c r="AT280" s="21">
        <v>270</v>
      </c>
      <c r="AU280" s="21">
        <v>0.37988300000000003</v>
      </c>
      <c r="AV280">
        <f t="shared" si="56"/>
        <v>17.771728395061729</v>
      </c>
      <c r="AW280">
        <f t="shared" si="57"/>
        <v>6.7604010249382718</v>
      </c>
      <c r="AX280" s="9"/>
      <c r="AY280" s="21">
        <v>1.2596099999999999</v>
      </c>
      <c r="AZ280" s="21">
        <v>29.603300000000001</v>
      </c>
      <c r="BA280" s="21">
        <v>-1.3894699999999999E-2</v>
      </c>
      <c r="BB280" s="21">
        <v>270</v>
      </c>
      <c r="BC280" s="21">
        <v>1.2591600000000001</v>
      </c>
      <c r="BD280">
        <f t="shared" si="58"/>
        <v>17.153950617283947</v>
      </c>
      <c r="BE280">
        <f t="shared" si="59"/>
        <v>21.60728773703703</v>
      </c>
    </row>
    <row r="281" spans="6:101" x14ac:dyDescent="0.25">
      <c r="F281" s="9"/>
      <c r="G281" s="21">
        <v>0.37536599999999998</v>
      </c>
      <c r="H281" s="21">
        <v>7.7375600000000002</v>
      </c>
      <c r="I281" s="21">
        <v>-1.42822E-2</v>
      </c>
      <c r="J281" s="21">
        <v>271</v>
      </c>
      <c r="K281" s="21">
        <v>0.37478600000000001</v>
      </c>
      <c r="L281">
        <f t="shared" si="48"/>
        <v>17.632345679012342</v>
      </c>
      <c r="M281">
        <f t="shared" si="49"/>
        <v>6.6185830681481468</v>
      </c>
      <c r="N281" s="9"/>
      <c r="O281" s="21">
        <v>1.2646500000000001</v>
      </c>
      <c r="P281" s="21">
        <v>11.4359</v>
      </c>
      <c r="Q281" s="21">
        <v>-1.37787E-2</v>
      </c>
      <c r="R281" s="21">
        <v>271</v>
      </c>
      <c r="S281" s="21">
        <v>1.26434</v>
      </c>
      <c r="T281">
        <f t="shared" si="50"/>
        <v>17.01074074074074</v>
      </c>
      <c r="U281">
        <f t="shared" si="51"/>
        <v>21.512633277777777</v>
      </c>
      <c r="X281" s="9"/>
      <c r="Y281" s="21">
        <v>0.37536599999999998</v>
      </c>
      <c r="Z281" s="21">
        <v>16.802800000000001</v>
      </c>
      <c r="AA281" s="21">
        <v>-1.4300500000000001E-2</v>
      </c>
      <c r="AB281" s="21">
        <v>271</v>
      </c>
      <c r="AC281" s="21">
        <v>0.37472499999999997</v>
      </c>
      <c r="AD281">
        <f t="shared" si="52"/>
        <v>17.654938271604937</v>
      </c>
      <c r="AE281">
        <f t="shared" si="53"/>
        <v>6.6270635592592582</v>
      </c>
      <c r="AF281" s="9"/>
      <c r="AG281" s="21">
        <v>1.2646500000000001</v>
      </c>
      <c r="AH281" s="21">
        <v>20.501100000000001</v>
      </c>
      <c r="AI281" s="21">
        <v>-1.38306E-2</v>
      </c>
      <c r="AJ281" s="21">
        <v>271</v>
      </c>
      <c r="AK281" s="21">
        <v>1.2640400000000001</v>
      </c>
      <c r="AL281">
        <f t="shared" si="54"/>
        <v>17.074814814814815</v>
      </c>
      <c r="AM281">
        <f t="shared" si="55"/>
        <v>21.593664555555556</v>
      </c>
      <c r="AP281" s="9"/>
      <c r="AQ281" s="21">
        <v>0.37536599999999998</v>
      </c>
      <c r="AR281" s="21">
        <v>25.914999999999999</v>
      </c>
      <c r="AS281" s="21">
        <v>-1.43921E-2</v>
      </c>
      <c r="AT281" s="21">
        <v>271</v>
      </c>
      <c r="AU281" s="21">
        <v>0.37478600000000001</v>
      </c>
      <c r="AV281">
        <f t="shared" si="56"/>
        <v>17.768024691358022</v>
      </c>
      <c r="AW281">
        <f t="shared" si="57"/>
        <v>6.6695123562962948</v>
      </c>
      <c r="AX281" s="9"/>
      <c r="AY281" s="21">
        <v>1.2646500000000001</v>
      </c>
      <c r="AZ281" s="21">
        <v>29.613299999999999</v>
      </c>
      <c r="BA281" s="21">
        <v>-1.38824E-2</v>
      </c>
      <c r="BB281" s="21">
        <v>271</v>
      </c>
      <c r="BC281" s="21">
        <v>1.26373</v>
      </c>
      <c r="BD281">
        <f t="shared" si="58"/>
        <v>17.138765432098765</v>
      </c>
      <c r="BE281">
        <f t="shared" si="59"/>
        <v>21.674539703703704</v>
      </c>
    </row>
    <row r="282" spans="6:101" x14ac:dyDescent="0.25">
      <c r="F282" s="9"/>
      <c r="G282" s="21">
        <v>0.37033100000000002</v>
      </c>
      <c r="H282" s="21">
        <v>7.74763</v>
      </c>
      <c r="I282" s="21">
        <v>-1.42731E-2</v>
      </c>
      <c r="J282" s="21">
        <v>272</v>
      </c>
      <c r="K282" s="21">
        <v>0.36981199999999997</v>
      </c>
      <c r="L282">
        <f t="shared" si="48"/>
        <v>17.621111111111112</v>
      </c>
      <c r="M282">
        <f t="shared" si="49"/>
        <v>6.5256436988888895</v>
      </c>
      <c r="N282" s="9"/>
      <c r="O282" s="21">
        <v>1.2696799999999999</v>
      </c>
      <c r="P282" s="21">
        <v>11.446</v>
      </c>
      <c r="Q282" s="21">
        <v>-1.37695E-2</v>
      </c>
      <c r="R282" s="21">
        <v>272</v>
      </c>
      <c r="S282" s="21">
        <v>1.2686200000000001</v>
      </c>
      <c r="T282">
        <f t="shared" si="50"/>
        <v>16.999382716049382</v>
      </c>
      <c r="U282">
        <f t="shared" si="51"/>
        <v>21.58377624691358</v>
      </c>
      <c r="X282" s="9"/>
      <c r="Y282" s="21">
        <v>0.37033100000000002</v>
      </c>
      <c r="Z282" s="21">
        <v>16.812799999999999</v>
      </c>
      <c r="AA282" s="21">
        <v>-1.4312699999999999E-2</v>
      </c>
      <c r="AB282" s="21">
        <v>272</v>
      </c>
      <c r="AC282" s="21">
        <v>0.36969000000000002</v>
      </c>
      <c r="AD282">
        <f t="shared" si="52"/>
        <v>17.669999999999998</v>
      </c>
      <c r="AE282">
        <f t="shared" si="53"/>
        <v>6.5437487699999997</v>
      </c>
      <c r="AF282" s="9"/>
      <c r="AG282" s="21">
        <v>1.2696799999999999</v>
      </c>
      <c r="AH282" s="21">
        <v>20.511199999999999</v>
      </c>
      <c r="AI282" s="21">
        <v>-1.3815300000000001E-2</v>
      </c>
      <c r="AJ282" s="21">
        <v>272</v>
      </c>
      <c r="AK282" s="21">
        <v>1.2692300000000001</v>
      </c>
      <c r="AL282">
        <f t="shared" si="54"/>
        <v>17.055925925925926</v>
      </c>
      <c r="AM282">
        <f t="shared" si="55"/>
        <v>21.655568029629627</v>
      </c>
      <c r="AP282" s="9"/>
      <c r="AQ282" s="21">
        <v>0.37033100000000002</v>
      </c>
      <c r="AR282" s="21">
        <v>25.9251</v>
      </c>
      <c r="AS282" s="21">
        <v>-1.4379899999999999E-2</v>
      </c>
      <c r="AT282" s="21">
        <v>272</v>
      </c>
      <c r="AU282" s="21">
        <v>0.36965900000000002</v>
      </c>
      <c r="AV282">
        <f t="shared" si="56"/>
        <v>17.752962962962961</v>
      </c>
      <c r="AW282">
        <f t="shared" si="57"/>
        <v>6.5744725270370363</v>
      </c>
      <c r="AX282" s="9"/>
      <c r="AY282" s="21">
        <v>1.2696799999999999</v>
      </c>
      <c r="AZ282" s="21">
        <v>29.6234</v>
      </c>
      <c r="BA282" s="21">
        <v>-1.3870199999999999E-2</v>
      </c>
      <c r="BB282" s="21">
        <v>272</v>
      </c>
      <c r="BC282" s="21">
        <v>1.26892</v>
      </c>
      <c r="BD282">
        <f t="shared" si="58"/>
        <v>17.123703703703701</v>
      </c>
      <c r="BE282">
        <f t="shared" si="59"/>
        <v>21.741624118518512</v>
      </c>
    </row>
    <row r="283" spans="6:101" x14ac:dyDescent="0.25">
      <c r="F283" s="9"/>
      <c r="G283" s="21">
        <v>0.36529499999999998</v>
      </c>
      <c r="H283" s="21">
        <v>7.7576999999999998</v>
      </c>
      <c r="I283" s="21">
        <v>-1.42761E-2</v>
      </c>
      <c r="J283" s="21">
        <v>273</v>
      </c>
      <c r="K283" s="21">
        <v>0.36480699999999999</v>
      </c>
      <c r="L283">
        <f t="shared" si="48"/>
        <v>17.624814814814812</v>
      </c>
      <c r="M283">
        <f t="shared" si="49"/>
        <v>6.4382567277777767</v>
      </c>
      <c r="N283" s="9"/>
      <c r="O283" s="21">
        <v>1.2747200000000001</v>
      </c>
      <c r="P283" s="21">
        <v>11.456</v>
      </c>
      <c r="Q283" s="21">
        <v>-1.3760400000000001E-2</v>
      </c>
      <c r="R283" s="21">
        <v>273</v>
      </c>
      <c r="S283" s="21">
        <v>1.2747200000000001</v>
      </c>
      <c r="T283">
        <f t="shared" si="50"/>
        <v>16.988148148148149</v>
      </c>
      <c r="U283">
        <f t="shared" si="51"/>
        <v>21.655132207407409</v>
      </c>
      <c r="X283" s="9"/>
      <c r="Y283" s="21">
        <v>0.36529499999999998</v>
      </c>
      <c r="Z283" s="21">
        <v>16.822900000000001</v>
      </c>
      <c r="AA283" s="21">
        <v>-1.43158E-2</v>
      </c>
      <c r="AB283" s="21">
        <v>273</v>
      </c>
      <c r="AC283" s="21">
        <v>0.36459399999999997</v>
      </c>
      <c r="AD283">
        <f t="shared" si="52"/>
        <v>17.673827160493826</v>
      </c>
      <c r="AE283">
        <f t="shared" si="53"/>
        <v>6.4561606925925918</v>
      </c>
      <c r="AF283" s="9"/>
      <c r="AG283" s="21">
        <v>1.2747200000000001</v>
      </c>
      <c r="AH283" s="21">
        <v>20.5213</v>
      </c>
      <c r="AI283" s="21">
        <v>-1.3797E-2</v>
      </c>
      <c r="AJ283" s="21">
        <v>273</v>
      </c>
      <c r="AK283" s="21">
        <v>1.2738</v>
      </c>
      <c r="AL283">
        <f t="shared" si="54"/>
        <v>17.033333333333331</v>
      </c>
      <c r="AM283">
        <f t="shared" si="55"/>
        <v>21.712730666666666</v>
      </c>
      <c r="AP283" s="9"/>
      <c r="AQ283" s="21">
        <v>0.36529499999999998</v>
      </c>
      <c r="AR283" s="21">
        <v>25.935099999999998</v>
      </c>
      <c r="AS283" s="21">
        <v>-1.4382900000000001E-2</v>
      </c>
      <c r="AT283" s="21">
        <v>273</v>
      </c>
      <c r="AU283" s="21">
        <v>0.36471599999999998</v>
      </c>
      <c r="AV283">
        <f t="shared" si="56"/>
        <v>17.756666666666668</v>
      </c>
      <c r="AW283">
        <f t="shared" si="57"/>
        <v>6.4864215500000002</v>
      </c>
      <c r="AX283" s="9"/>
      <c r="AY283" s="21">
        <v>1.2747200000000001</v>
      </c>
      <c r="AZ283" s="21">
        <v>29.633500000000002</v>
      </c>
      <c r="BA283" s="21">
        <v>-1.3858000000000001E-2</v>
      </c>
      <c r="BB283" s="21">
        <v>273</v>
      </c>
      <c r="BC283" s="21">
        <v>1.2741100000000001</v>
      </c>
      <c r="BD283">
        <f t="shared" si="58"/>
        <v>17.10864197530864</v>
      </c>
      <c r="BE283">
        <f t="shared" si="59"/>
        <v>21.808728098765432</v>
      </c>
    </row>
    <row r="284" spans="6:101" x14ac:dyDescent="0.25">
      <c r="F284" s="9"/>
      <c r="G284" s="21">
        <v>0.36026000000000002</v>
      </c>
      <c r="H284" s="21">
        <v>7.7677800000000001</v>
      </c>
      <c r="I284" s="21">
        <v>-1.427E-2</v>
      </c>
      <c r="J284" s="21">
        <v>274</v>
      </c>
      <c r="K284" s="21">
        <v>0.35968</v>
      </c>
      <c r="L284">
        <f t="shared" si="48"/>
        <v>17.617283950617285</v>
      </c>
      <c r="M284">
        <f t="shared" si="49"/>
        <v>6.3468027160493836</v>
      </c>
      <c r="N284" s="9"/>
      <c r="O284" s="21">
        <v>1.2797499999999999</v>
      </c>
      <c r="P284" s="21">
        <v>11.466100000000001</v>
      </c>
      <c r="Q284" s="21">
        <v>-1.37421E-2</v>
      </c>
      <c r="R284" s="21">
        <v>274</v>
      </c>
      <c r="S284" s="21">
        <v>1.2793000000000001</v>
      </c>
      <c r="T284">
        <f t="shared" si="50"/>
        <v>16.965555555555554</v>
      </c>
      <c r="U284">
        <f t="shared" si="51"/>
        <v>21.711669722222219</v>
      </c>
      <c r="X284" s="9"/>
      <c r="Y284" s="21">
        <v>0.36026000000000002</v>
      </c>
      <c r="Z284" s="21">
        <v>16.832999999999998</v>
      </c>
      <c r="AA284" s="21">
        <v>-1.43219E-2</v>
      </c>
      <c r="AB284" s="21">
        <v>274</v>
      </c>
      <c r="AC284" s="21">
        <v>0.35968</v>
      </c>
      <c r="AD284">
        <f t="shared" si="52"/>
        <v>17.68135802469136</v>
      </c>
      <c r="AE284">
        <f t="shared" si="53"/>
        <v>6.3698860419753096</v>
      </c>
      <c r="AF284" s="9"/>
      <c r="AG284" s="21">
        <v>1.2797499999999999</v>
      </c>
      <c r="AH284" s="21">
        <v>20.531300000000002</v>
      </c>
      <c r="AI284" s="21">
        <v>-1.3775600000000001E-2</v>
      </c>
      <c r="AJ284" s="21">
        <v>274</v>
      </c>
      <c r="AK284" s="21">
        <v>1.2786900000000001</v>
      </c>
      <c r="AL284">
        <f t="shared" si="54"/>
        <v>17.006913580246916</v>
      </c>
      <c r="AM284">
        <f t="shared" si="55"/>
        <v>21.76459765432099</v>
      </c>
      <c r="AP284" s="9"/>
      <c r="AQ284" s="21">
        <v>0.36026000000000002</v>
      </c>
      <c r="AR284" s="21">
        <v>25.9452</v>
      </c>
      <c r="AS284" s="21">
        <v>-1.4382900000000001E-2</v>
      </c>
      <c r="AT284" s="21">
        <v>274</v>
      </c>
      <c r="AU284" s="21">
        <v>0.359711</v>
      </c>
      <c r="AV284">
        <f t="shared" si="56"/>
        <v>17.756666666666668</v>
      </c>
      <c r="AW284">
        <f t="shared" si="57"/>
        <v>6.3970167333333343</v>
      </c>
      <c r="AX284" s="9"/>
      <c r="AY284" s="21">
        <v>1.2797499999999999</v>
      </c>
      <c r="AZ284" s="21">
        <v>29.6435</v>
      </c>
      <c r="BA284" s="21">
        <v>-1.3842800000000001E-2</v>
      </c>
      <c r="BB284" s="21">
        <v>274</v>
      </c>
      <c r="BC284" s="21">
        <v>1.2789900000000001</v>
      </c>
      <c r="BD284">
        <f t="shared" si="58"/>
        <v>17.089876543209876</v>
      </c>
      <c r="BE284">
        <f t="shared" si="59"/>
        <v>21.870769506172838</v>
      </c>
    </row>
    <row r="285" spans="6:101" x14ac:dyDescent="0.25">
      <c r="F285" s="9"/>
      <c r="G285" s="21">
        <v>0.35522500000000001</v>
      </c>
      <c r="H285" s="21">
        <v>7.7778499999999999</v>
      </c>
      <c r="I285" s="21">
        <v>-1.427E-2</v>
      </c>
      <c r="J285" s="21">
        <v>275</v>
      </c>
      <c r="K285" s="21">
        <v>0.35470600000000002</v>
      </c>
      <c r="L285">
        <f t="shared" si="48"/>
        <v>17.617283950617285</v>
      </c>
      <c r="M285">
        <f t="shared" si="49"/>
        <v>6.2580996913580256</v>
      </c>
      <c r="N285" s="9"/>
      <c r="O285" s="21">
        <v>1.2847900000000001</v>
      </c>
      <c r="P285" s="21">
        <v>11.4762</v>
      </c>
      <c r="Q285" s="21">
        <v>-1.37299E-2</v>
      </c>
      <c r="R285" s="21">
        <v>275</v>
      </c>
      <c r="S285" s="21">
        <v>1.2844800000000001</v>
      </c>
      <c r="T285">
        <f t="shared" si="50"/>
        <v>16.950493827160493</v>
      </c>
      <c r="U285">
        <f t="shared" si="51"/>
        <v>21.777824964197531</v>
      </c>
      <c r="X285" s="9"/>
      <c r="Y285" s="21">
        <v>0.35522500000000001</v>
      </c>
      <c r="Z285" s="21">
        <v>16.8431</v>
      </c>
      <c r="AA285" s="21">
        <v>-1.4334100000000001E-2</v>
      </c>
      <c r="AB285" s="21">
        <v>275</v>
      </c>
      <c r="AC285" s="21">
        <v>0.35470600000000002</v>
      </c>
      <c r="AD285">
        <f t="shared" si="52"/>
        <v>17.69641975308642</v>
      </c>
      <c r="AE285">
        <f t="shared" si="53"/>
        <v>6.2862107067901238</v>
      </c>
      <c r="AF285" s="9"/>
      <c r="AG285" s="21">
        <v>1.2847900000000001</v>
      </c>
      <c r="AH285" s="21">
        <v>20.541399999999999</v>
      </c>
      <c r="AI285" s="21">
        <v>-1.37695E-2</v>
      </c>
      <c r="AJ285" s="21">
        <v>275</v>
      </c>
      <c r="AK285" s="21">
        <v>1.2838700000000001</v>
      </c>
      <c r="AL285">
        <f t="shared" si="54"/>
        <v>16.999382716049382</v>
      </c>
      <c r="AM285">
        <f t="shared" si="55"/>
        <v>21.840636919753088</v>
      </c>
      <c r="AP285" s="9"/>
      <c r="AQ285" s="21">
        <v>0.35522500000000001</v>
      </c>
      <c r="AR285" s="21">
        <v>25.955300000000001</v>
      </c>
      <c r="AS285" s="21">
        <v>-1.4389000000000001E-2</v>
      </c>
      <c r="AT285" s="21">
        <v>275</v>
      </c>
      <c r="AU285" s="21">
        <v>0.35464499999999999</v>
      </c>
      <c r="AV285">
        <f t="shared" si="56"/>
        <v>17.764197530864198</v>
      </c>
      <c r="AW285">
        <f t="shared" si="57"/>
        <v>6.3102870679012346</v>
      </c>
      <c r="AX285" s="9"/>
      <c r="AY285" s="21">
        <v>1.2847900000000001</v>
      </c>
      <c r="AZ285" s="21">
        <v>29.653600000000001</v>
      </c>
      <c r="BA285" s="21">
        <v>-1.3821399999999999E-2</v>
      </c>
      <c r="BB285" s="21">
        <v>275</v>
      </c>
      <c r="BC285" s="21">
        <v>1.2838700000000001</v>
      </c>
      <c r="BD285">
        <f t="shared" si="58"/>
        <v>17.063456790123453</v>
      </c>
      <c r="BE285">
        <f t="shared" si="59"/>
        <v>21.922958649382714</v>
      </c>
    </row>
    <row r="286" spans="6:101" x14ac:dyDescent="0.25">
      <c r="F286" s="9"/>
      <c r="G286" s="21">
        <v>0.35018899999999997</v>
      </c>
      <c r="H286" s="21">
        <v>7.7879199999999997</v>
      </c>
      <c r="I286" s="21">
        <v>-1.42883E-2</v>
      </c>
      <c r="J286" s="21">
        <v>276</v>
      </c>
      <c r="K286" s="21">
        <v>0.34954800000000003</v>
      </c>
      <c r="L286">
        <f t="shared" si="48"/>
        <v>17.639876543209876</v>
      </c>
      <c r="M286">
        <f t="shared" si="49"/>
        <v>6.1772907267901225</v>
      </c>
      <c r="N286" s="9"/>
      <c r="O286" s="21">
        <v>1.28983</v>
      </c>
      <c r="P286" s="21">
        <v>11.4863</v>
      </c>
      <c r="Q286" s="21">
        <v>-1.37146E-2</v>
      </c>
      <c r="R286" s="21">
        <v>276</v>
      </c>
      <c r="S286" s="21">
        <v>1.2893699999999999</v>
      </c>
      <c r="T286">
        <f t="shared" si="50"/>
        <v>16.931604938271605</v>
      </c>
      <c r="U286">
        <f t="shared" si="51"/>
        <v>21.838891997530865</v>
      </c>
      <c r="X286" s="9"/>
      <c r="Y286" s="21">
        <v>0.35018899999999997</v>
      </c>
      <c r="Z286" s="21">
        <v>16.853100000000001</v>
      </c>
      <c r="AA286" s="21">
        <v>-1.43372E-2</v>
      </c>
      <c r="AB286" s="21">
        <v>276</v>
      </c>
      <c r="AC286" s="21">
        <v>0.34957899999999997</v>
      </c>
      <c r="AD286">
        <f t="shared" si="52"/>
        <v>17.700246913580244</v>
      </c>
      <c r="AE286">
        <f t="shared" si="53"/>
        <v>6.1984317664197519</v>
      </c>
      <c r="AF286" s="9"/>
      <c r="AG286" s="21">
        <v>1.28983</v>
      </c>
      <c r="AH286" s="21">
        <v>20.551500000000001</v>
      </c>
      <c r="AI286" s="21">
        <v>-1.3775600000000001E-2</v>
      </c>
      <c r="AJ286" s="21">
        <v>276</v>
      </c>
      <c r="AK286" s="21">
        <v>1.2893699999999999</v>
      </c>
      <c r="AL286">
        <f t="shared" si="54"/>
        <v>17.006913580246916</v>
      </c>
      <c r="AM286">
        <f t="shared" si="55"/>
        <v>21.936027343209879</v>
      </c>
      <c r="AP286" s="9"/>
      <c r="AQ286" s="21">
        <v>0.35018899999999997</v>
      </c>
      <c r="AR286" s="21">
        <v>25.965399999999999</v>
      </c>
      <c r="AS286" s="21">
        <v>-1.4389000000000001E-2</v>
      </c>
      <c r="AT286" s="21">
        <v>276</v>
      </c>
      <c r="AU286" s="21">
        <v>0.34954800000000003</v>
      </c>
      <c r="AV286">
        <f t="shared" si="56"/>
        <v>17.764197530864198</v>
      </c>
      <c r="AW286">
        <f t="shared" si="57"/>
        <v>6.2208265691358022</v>
      </c>
      <c r="AX286" s="9"/>
      <c r="AY286" s="21">
        <v>1.28983</v>
      </c>
      <c r="AZ286" s="21">
        <v>29.663699999999999</v>
      </c>
      <c r="BA286" s="21">
        <v>-1.3806199999999999E-2</v>
      </c>
      <c r="BB286" s="21">
        <v>276</v>
      </c>
      <c r="BC286" s="21">
        <v>1.2893699999999999</v>
      </c>
      <c r="BD286">
        <f t="shared" si="58"/>
        <v>17.044691358024689</v>
      </c>
      <c r="BE286">
        <f t="shared" si="59"/>
        <v>21.984754254320986</v>
      </c>
    </row>
    <row r="287" spans="6:101" x14ac:dyDescent="0.25">
      <c r="F287" s="9"/>
      <c r="G287" s="21">
        <v>0.34515400000000002</v>
      </c>
      <c r="H287" s="21">
        <v>7.7979900000000004</v>
      </c>
      <c r="I287" s="21">
        <v>-1.4291399999999999E-2</v>
      </c>
      <c r="J287" s="21">
        <v>277</v>
      </c>
      <c r="K287" s="21">
        <v>0.34457399999999999</v>
      </c>
      <c r="L287">
        <f t="shared" si="48"/>
        <v>17.643703703703704</v>
      </c>
      <c r="M287">
        <f t="shared" si="49"/>
        <v>6.0897949081481482</v>
      </c>
      <c r="N287" s="9"/>
      <c r="O287" s="21">
        <v>1.2948599999999999</v>
      </c>
      <c r="P287" s="21">
        <v>11.4963</v>
      </c>
      <c r="Q287" s="21">
        <v>-1.37115E-2</v>
      </c>
      <c r="R287" s="21">
        <v>277</v>
      </c>
      <c r="S287" s="21">
        <v>1.2942499999999999</v>
      </c>
      <c r="T287">
        <f t="shared" si="50"/>
        <v>16.927777777777777</v>
      </c>
      <c r="U287">
        <f t="shared" si="51"/>
        <v>21.919102333333331</v>
      </c>
      <c r="X287" s="9"/>
      <c r="Y287" s="21">
        <v>0.34515400000000002</v>
      </c>
      <c r="Z287" s="21">
        <v>16.863199999999999</v>
      </c>
      <c r="AA287" s="21">
        <v>-1.4340200000000001E-2</v>
      </c>
      <c r="AB287" s="21">
        <v>277</v>
      </c>
      <c r="AC287" s="21">
        <v>0.344696</v>
      </c>
      <c r="AD287">
        <f t="shared" si="52"/>
        <v>17.703950617283951</v>
      </c>
      <c r="AE287">
        <f t="shared" si="53"/>
        <v>6.1105893713580253</v>
      </c>
      <c r="AF287" s="9"/>
      <c r="AG287" s="21">
        <v>1.2948599999999999</v>
      </c>
      <c r="AH287" s="21">
        <v>20.561499999999999</v>
      </c>
      <c r="AI287" s="21">
        <v>-1.3781699999999999E-2</v>
      </c>
      <c r="AJ287" s="21">
        <v>277</v>
      </c>
      <c r="AK287" s="21">
        <v>1.2939499999999999</v>
      </c>
      <c r="AL287">
        <f t="shared" si="54"/>
        <v>17.014444444444443</v>
      </c>
      <c r="AM287">
        <f t="shared" si="55"/>
        <v>22.031323533333332</v>
      </c>
      <c r="AP287" s="9"/>
      <c r="AQ287" s="21">
        <v>0.34515400000000002</v>
      </c>
      <c r="AR287" s="21">
        <v>25.9754</v>
      </c>
      <c r="AS287" s="21">
        <v>-1.4382900000000001E-2</v>
      </c>
      <c r="AT287" s="21">
        <v>277</v>
      </c>
      <c r="AU287" s="21">
        <v>0.34454299999999999</v>
      </c>
      <c r="AV287">
        <f t="shared" si="56"/>
        <v>17.756666666666668</v>
      </c>
      <c r="AW287">
        <f t="shared" si="57"/>
        <v>6.1287845266666672</v>
      </c>
      <c r="AX287" s="9"/>
      <c r="AY287" s="21">
        <v>1.2948599999999999</v>
      </c>
      <c r="AZ287" s="21">
        <v>29.6738</v>
      </c>
      <c r="BA287" s="21">
        <v>-1.37787E-2</v>
      </c>
      <c r="BB287" s="21">
        <v>277</v>
      </c>
      <c r="BC287" s="21">
        <v>1.2939499999999999</v>
      </c>
      <c r="BD287">
        <f t="shared" si="58"/>
        <v>17.01074074074074</v>
      </c>
      <c r="BE287">
        <f t="shared" si="59"/>
        <v>22.026527755555552</v>
      </c>
    </row>
    <row r="288" spans="6:101" x14ac:dyDescent="0.25">
      <c r="F288" s="9"/>
      <c r="G288" s="21">
        <v>0.34011799999999998</v>
      </c>
      <c r="H288" s="21">
        <v>7.8080600000000002</v>
      </c>
      <c r="I288" s="21">
        <v>-1.4285300000000001E-2</v>
      </c>
      <c r="J288" s="21">
        <v>278</v>
      </c>
      <c r="K288" s="21">
        <v>0.33953899999999998</v>
      </c>
      <c r="L288">
        <f t="shared" si="48"/>
        <v>17.636172839506173</v>
      </c>
      <c r="M288">
        <f t="shared" si="49"/>
        <v>5.9983798338271601</v>
      </c>
      <c r="N288" s="9"/>
      <c r="O288" s="21">
        <v>1.2999000000000001</v>
      </c>
      <c r="P288" s="21">
        <v>11.506399999999999</v>
      </c>
      <c r="Q288" s="21">
        <v>-1.37024E-2</v>
      </c>
      <c r="R288" s="21">
        <v>278</v>
      </c>
      <c r="S288" s="21">
        <v>1.2994399999999999</v>
      </c>
      <c r="T288">
        <f t="shared" si="50"/>
        <v>16.916543209876544</v>
      </c>
      <c r="U288">
        <f t="shared" si="51"/>
        <v>21.989814518518521</v>
      </c>
      <c r="X288" s="9"/>
      <c r="Y288" s="21">
        <v>0.34011799999999998</v>
      </c>
      <c r="Z288" s="21">
        <v>16.8733</v>
      </c>
      <c r="AA288" s="21">
        <v>-1.43433E-2</v>
      </c>
      <c r="AB288" s="21">
        <v>278</v>
      </c>
      <c r="AC288" s="21">
        <v>0.33953899999999998</v>
      </c>
      <c r="AD288">
        <f t="shared" si="52"/>
        <v>17.707777777777778</v>
      </c>
      <c r="AE288">
        <f t="shared" si="53"/>
        <v>6.0227339622222216</v>
      </c>
      <c r="AF288" s="9"/>
      <c r="AG288" s="21">
        <v>1.2999000000000001</v>
      </c>
      <c r="AH288" s="21">
        <v>20.5716</v>
      </c>
      <c r="AI288" s="21">
        <v>-1.3781699999999999E-2</v>
      </c>
      <c r="AJ288" s="21">
        <v>278</v>
      </c>
      <c r="AK288" s="21">
        <v>1.2991299999999999</v>
      </c>
      <c r="AL288">
        <f t="shared" si="54"/>
        <v>17.014444444444443</v>
      </c>
      <c r="AM288">
        <f t="shared" si="55"/>
        <v>22.117076333333333</v>
      </c>
      <c r="AP288" s="9"/>
      <c r="AQ288" s="21">
        <v>0.34011799999999998</v>
      </c>
      <c r="AR288" s="21">
        <v>25.985499999999998</v>
      </c>
      <c r="AS288" s="21">
        <v>-1.4379899999999999E-2</v>
      </c>
      <c r="AT288" s="21">
        <v>278</v>
      </c>
      <c r="AU288" s="21">
        <v>0.33960000000000001</v>
      </c>
      <c r="AV288">
        <f t="shared" si="56"/>
        <v>17.752962962962961</v>
      </c>
      <c r="AW288">
        <f t="shared" si="57"/>
        <v>6.0381022570370364</v>
      </c>
      <c r="AX288" s="9"/>
      <c r="AY288" s="21">
        <v>1.2999000000000001</v>
      </c>
      <c r="AZ288" s="21">
        <v>29.683800000000002</v>
      </c>
      <c r="BA288" s="21">
        <v>-1.3766499999999999E-2</v>
      </c>
      <c r="BB288" s="21">
        <v>278</v>
      </c>
      <c r="BC288" s="21">
        <v>1.2994399999999999</v>
      </c>
      <c r="BD288">
        <f t="shared" si="58"/>
        <v>16.995679012345676</v>
      </c>
      <c r="BE288">
        <f t="shared" si="59"/>
        <v>22.092683148148144</v>
      </c>
    </row>
    <row r="289" spans="6:57" x14ac:dyDescent="0.25">
      <c r="F289" s="9"/>
      <c r="G289" s="21">
        <v>0.33508300000000002</v>
      </c>
      <c r="H289" s="21">
        <v>7.81813</v>
      </c>
      <c r="I289" s="21">
        <v>-1.4279200000000001E-2</v>
      </c>
      <c r="J289" s="21">
        <v>279</v>
      </c>
      <c r="K289" s="21">
        <v>0.33447300000000002</v>
      </c>
      <c r="L289">
        <f t="shared" si="48"/>
        <v>17.628641975308639</v>
      </c>
      <c r="M289">
        <f t="shared" si="49"/>
        <v>5.9070582390123452</v>
      </c>
      <c r="N289" s="9"/>
      <c r="O289" s="21">
        <v>1.3049299999999999</v>
      </c>
      <c r="P289" s="21">
        <v>11.516500000000001</v>
      </c>
      <c r="Q289" s="21">
        <v>-1.36902E-2</v>
      </c>
      <c r="R289" s="21">
        <v>279</v>
      </c>
      <c r="S289" s="21">
        <v>1.3037099999999999</v>
      </c>
      <c r="T289">
        <f t="shared" si="50"/>
        <v>16.901481481481479</v>
      </c>
      <c r="U289">
        <f t="shared" si="51"/>
        <v>22.055250229629625</v>
      </c>
      <c r="X289" s="9"/>
      <c r="Y289" s="21">
        <v>0.33508300000000002</v>
      </c>
      <c r="Z289" s="21">
        <v>16.883299999999998</v>
      </c>
      <c r="AA289" s="21">
        <v>-1.43372E-2</v>
      </c>
      <c r="AB289" s="21">
        <v>279</v>
      </c>
      <c r="AC289" s="21">
        <v>0.334534</v>
      </c>
      <c r="AD289">
        <f t="shared" si="52"/>
        <v>17.700246913580244</v>
      </c>
      <c r="AE289">
        <f t="shared" si="53"/>
        <v>5.931051836543209</v>
      </c>
      <c r="AF289" s="9"/>
      <c r="AG289" s="21">
        <v>1.3049299999999999</v>
      </c>
      <c r="AH289" s="21">
        <v>20.581700000000001</v>
      </c>
      <c r="AI289" s="21">
        <v>-1.3787799999999999E-2</v>
      </c>
      <c r="AJ289" s="21">
        <v>279</v>
      </c>
      <c r="AK289" s="21">
        <v>1.30463</v>
      </c>
      <c r="AL289">
        <f t="shared" si="54"/>
        <v>17.021975308641974</v>
      </c>
      <c r="AM289">
        <f t="shared" si="55"/>
        <v>22.21248623950617</v>
      </c>
      <c r="AP289" s="9"/>
      <c r="AQ289" s="21">
        <v>0.33508300000000002</v>
      </c>
      <c r="AR289" s="21">
        <v>25.9956</v>
      </c>
      <c r="AS289" s="21">
        <v>-1.43768E-2</v>
      </c>
      <c r="AT289" s="21">
        <v>279</v>
      </c>
      <c r="AU289" s="21">
        <v>0.33450299999999999</v>
      </c>
      <c r="AV289">
        <f t="shared" si="56"/>
        <v>17.749135802469137</v>
      </c>
      <c r="AW289">
        <f t="shared" si="57"/>
        <v>5.9474336720987662</v>
      </c>
      <c r="AX289" s="9"/>
      <c r="AY289" s="21">
        <v>1.3049299999999999</v>
      </c>
      <c r="AZ289" s="21">
        <v>29.693899999999999</v>
      </c>
      <c r="BA289" s="21">
        <v>-1.3760400000000001E-2</v>
      </c>
      <c r="BB289" s="21">
        <v>279</v>
      </c>
      <c r="BC289" s="21">
        <v>1.30463</v>
      </c>
      <c r="BD289">
        <f t="shared" si="58"/>
        <v>16.988148148148149</v>
      </c>
      <c r="BE289">
        <f t="shared" si="59"/>
        <v>22.168344162962963</v>
      </c>
    </row>
    <row r="290" spans="6:57" x14ac:dyDescent="0.25">
      <c r="F290" s="9"/>
      <c r="G290" s="21">
        <v>0.33004800000000001</v>
      </c>
      <c r="H290" s="21">
        <v>7.8281999999999998</v>
      </c>
      <c r="I290" s="21">
        <v>-1.4285300000000001E-2</v>
      </c>
      <c r="J290" s="21">
        <v>280</v>
      </c>
      <c r="K290" s="21">
        <v>0.32943699999999998</v>
      </c>
      <c r="L290">
        <f t="shared" si="48"/>
        <v>17.636172839506173</v>
      </c>
      <c r="M290">
        <f t="shared" si="49"/>
        <v>5.8207835733333333</v>
      </c>
      <c r="N290" s="9"/>
      <c r="O290" s="21">
        <v>1.3099700000000001</v>
      </c>
      <c r="P290" s="21">
        <v>11.5265</v>
      </c>
      <c r="Q290" s="21">
        <v>-1.3687100000000001E-2</v>
      </c>
      <c r="R290" s="21">
        <v>280</v>
      </c>
      <c r="S290" s="21">
        <v>1.30951</v>
      </c>
      <c r="T290">
        <f t="shared" si="50"/>
        <v>16.897654320987655</v>
      </c>
      <c r="U290">
        <f t="shared" si="51"/>
        <v>22.135420230864199</v>
      </c>
      <c r="X290" s="9"/>
      <c r="Y290" s="21">
        <v>0.33004800000000001</v>
      </c>
      <c r="Z290" s="21">
        <v>16.8934</v>
      </c>
      <c r="AA290" s="21">
        <v>-1.43372E-2</v>
      </c>
      <c r="AB290" s="21">
        <v>280</v>
      </c>
      <c r="AC290" s="21">
        <v>0.32940700000000001</v>
      </c>
      <c r="AD290">
        <f t="shared" si="52"/>
        <v>17.700246913580244</v>
      </c>
      <c r="AE290">
        <f t="shared" si="53"/>
        <v>5.8419310933333328</v>
      </c>
      <c r="AF290" s="9"/>
      <c r="AG290" s="21">
        <v>1.3099700000000001</v>
      </c>
      <c r="AH290" s="21">
        <v>20.591799999999999</v>
      </c>
      <c r="AI290" s="21">
        <v>-1.37909E-2</v>
      </c>
      <c r="AJ290" s="21">
        <v>280</v>
      </c>
      <c r="AK290" s="21">
        <v>1.3089</v>
      </c>
      <c r="AL290">
        <f t="shared" si="54"/>
        <v>17.025802469135801</v>
      </c>
      <c r="AM290">
        <f t="shared" si="55"/>
        <v>22.303290460493827</v>
      </c>
      <c r="AP290" s="9"/>
      <c r="AQ290" s="21">
        <v>0.33004800000000001</v>
      </c>
      <c r="AR290" s="21">
        <v>26.005600000000001</v>
      </c>
      <c r="AS290" s="21">
        <v>-1.43707E-2</v>
      </c>
      <c r="AT290" s="21">
        <v>280</v>
      </c>
      <c r="AU290" s="21">
        <v>0.32949800000000001</v>
      </c>
      <c r="AV290">
        <f t="shared" si="56"/>
        <v>17.741604938271603</v>
      </c>
      <c r="AW290">
        <f t="shared" si="57"/>
        <v>5.8555812266666658</v>
      </c>
      <c r="AX290" s="9"/>
      <c r="AY290" s="21">
        <v>1.3099700000000001</v>
      </c>
      <c r="AZ290" s="21">
        <v>29.704000000000001</v>
      </c>
      <c r="BA290" s="21">
        <v>-1.37451E-2</v>
      </c>
      <c r="BB290" s="21">
        <v>280</v>
      </c>
      <c r="BC290" s="21">
        <v>1.3091999999999999</v>
      </c>
      <c r="BD290">
        <f t="shared" si="58"/>
        <v>16.969259259259257</v>
      </c>
      <c r="BE290">
        <f t="shared" si="59"/>
        <v>22.229220551851849</v>
      </c>
    </row>
    <row r="291" spans="6:57" x14ac:dyDescent="0.25">
      <c r="F291" s="9"/>
      <c r="G291" s="21">
        <v>0.32501200000000002</v>
      </c>
      <c r="H291" s="21">
        <v>7.8382699999999996</v>
      </c>
      <c r="I291" s="21">
        <v>-1.42761E-2</v>
      </c>
      <c r="J291" s="21">
        <v>281</v>
      </c>
      <c r="K291" s="21">
        <v>0.324463</v>
      </c>
      <c r="L291">
        <f t="shared" si="48"/>
        <v>17.624814814814812</v>
      </c>
      <c r="M291">
        <f t="shared" si="49"/>
        <v>5.728276312592592</v>
      </c>
      <c r="N291" s="9"/>
      <c r="O291" s="21">
        <v>1.3149999999999999</v>
      </c>
      <c r="P291" s="21">
        <v>11.5366</v>
      </c>
      <c r="Q291" s="21">
        <v>-1.3671900000000001E-2</v>
      </c>
      <c r="R291" s="21">
        <v>281</v>
      </c>
      <c r="S291" s="21">
        <v>1.3147</v>
      </c>
      <c r="T291">
        <f t="shared" si="50"/>
        <v>16.878888888888888</v>
      </c>
      <c r="U291">
        <f t="shared" si="51"/>
        <v>22.195738888888886</v>
      </c>
      <c r="X291" s="9"/>
      <c r="Y291" s="21">
        <v>0.32501200000000002</v>
      </c>
      <c r="Z291" s="21">
        <v>16.903500000000001</v>
      </c>
      <c r="AA291" s="21">
        <v>-1.4334100000000001E-2</v>
      </c>
      <c r="AB291" s="21">
        <v>281</v>
      </c>
      <c r="AC291" s="21">
        <v>0.324432</v>
      </c>
      <c r="AD291">
        <f t="shared" si="52"/>
        <v>17.69641975308642</v>
      </c>
      <c r="AE291">
        <f t="shared" si="53"/>
        <v>5.7515487767901243</v>
      </c>
      <c r="AF291" s="9"/>
      <c r="AG291" s="21">
        <v>1.3149999999999999</v>
      </c>
      <c r="AH291" s="21">
        <v>20.601800000000001</v>
      </c>
      <c r="AI291" s="21">
        <v>-1.37634E-2</v>
      </c>
      <c r="AJ291" s="21">
        <v>281</v>
      </c>
      <c r="AK291" s="21">
        <v>1.3147</v>
      </c>
      <c r="AL291">
        <f t="shared" si="54"/>
        <v>16.991851851851852</v>
      </c>
      <c r="AM291">
        <f t="shared" si="55"/>
        <v>22.344285185185186</v>
      </c>
      <c r="AP291" s="9"/>
      <c r="AQ291" s="21">
        <v>0.32501200000000002</v>
      </c>
      <c r="AR291" s="21">
        <v>26.015699999999999</v>
      </c>
      <c r="AS291" s="21">
        <v>-1.43646E-2</v>
      </c>
      <c r="AT291" s="21">
        <v>281</v>
      </c>
      <c r="AU291" s="21">
        <v>0.324463</v>
      </c>
      <c r="AV291">
        <f t="shared" si="56"/>
        <v>17.734074074074073</v>
      </c>
      <c r="AW291">
        <f t="shared" si="57"/>
        <v>5.7637868829629628</v>
      </c>
      <c r="AX291" s="9"/>
      <c r="AY291" s="21">
        <v>1.3149999999999999</v>
      </c>
      <c r="AZ291" s="21">
        <v>29.713999999999999</v>
      </c>
      <c r="BA291" s="21">
        <v>-1.37299E-2</v>
      </c>
      <c r="BB291" s="21">
        <v>281</v>
      </c>
      <c r="BC291" s="21">
        <v>1.31409</v>
      </c>
      <c r="BD291">
        <f t="shared" si="58"/>
        <v>16.950493827160493</v>
      </c>
      <c r="BE291">
        <f t="shared" si="59"/>
        <v>22.289899382716047</v>
      </c>
    </row>
    <row r="292" spans="6:57" x14ac:dyDescent="0.25">
      <c r="F292" s="9"/>
      <c r="G292" s="21">
        <v>0.31997700000000001</v>
      </c>
      <c r="H292" s="21">
        <v>7.8483400000000003</v>
      </c>
      <c r="I292" s="21">
        <v>-1.4267E-2</v>
      </c>
      <c r="J292" s="21">
        <v>282</v>
      </c>
      <c r="K292" s="21">
        <v>0.31942700000000002</v>
      </c>
      <c r="L292">
        <f t="shared" si="48"/>
        <v>17.613580246913582</v>
      </c>
      <c r="M292">
        <f t="shared" si="49"/>
        <v>5.6359405666666671</v>
      </c>
      <c r="N292" s="9"/>
      <c r="O292" s="21">
        <v>1.3200400000000001</v>
      </c>
      <c r="P292" s="21">
        <v>11.5467</v>
      </c>
      <c r="Q292" s="21">
        <v>-1.36536E-2</v>
      </c>
      <c r="R292" s="21">
        <v>282</v>
      </c>
      <c r="S292" s="21">
        <v>1.31958</v>
      </c>
      <c r="T292">
        <f t="shared" si="50"/>
        <v>16.856296296296296</v>
      </c>
      <c r="U292">
        <f t="shared" si="51"/>
        <v>22.250985362962965</v>
      </c>
      <c r="X292" s="9"/>
      <c r="Y292" s="21">
        <v>0.31997700000000001</v>
      </c>
      <c r="Z292" s="21">
        <v>16.913599999999999</v>
      </c>
      <c r="AA292" s="21">
        <v>-1.4328E-2</v>
      </c>
      <c r="AB292" s="21">
        <v>282</v>
      </c>
      <c r="AC292" s="21">
        <v>0.31939699999999999</v>
      </c>
      <c r="AD292">
        <f t="shared" si="52"/>
        <v>17.68888888888889</v>
      </c>
      <c r="AE292">
        <f t="shared" si="53"/>
        <v>5.6600376000000008</v>
      </c>
      <c r="AF292" s="9"/>
      <c r="AG292" s="21">
        <v>1.3200400000000001</v>
      </c>
      <c r="AH292" s="21">
        <v>20.611899999999999</v>
      </c>
      <c r="AI292" s="21">
        <v>-1.37421E-2</v>
      </c>
      <c r="AJ292" s="21">
        <v>282</v>
      </c>
      <c r="AK292" s="21">
        <v>1.3192699999999999</v>
      </c>
      <c r="AL292">
        <f t="shared" si="54"/>
        <v>16.965555555555554</v>
      </c>
      <c r="AM292">
        <f t="shared" si="55"/>
        <v>22.395211955555556</v>
      </c>
      <c r="AP292" s="9"/>
      <c r="AQ292" s="21">
        <v>0.31997700000000001</v>
      </c>
      <c r="AR292" s="21">
        <v>26.0258</v>
      </c>
      <c r="AS292" s="21">
        <v>-1.43585E-2</v>
      </c>
      <c r="AT292" s="21">
        <v>282</v>
      </c>
      <c r="AU292" s="21">
        <v>0.31939699999999999</v>
      </c>
      <c r="AV292">
        <f t="shared" si="56"/>
        <v>17.726543209876542</v>
      </c>
      <c r="AW292">
        <f t="shared" si="57"/>
        <v>5.6720861166666667</v>
      </c>
      <c r="AX292" s="9"/>
      <c r="AY292" s="21">
        <v>1.3200400000000001</v>
      </c>
      <c r="AZ292" s="21">
        <v>29.7241</v>
      </c>
      <c r="BA292" s="21">
        <v>-1.3717699999999999E-2</v>
      </c>
      <c r="BB292" s="21">
        <v>282</v>
      </c>
      <c r="BC292" s="21">
        <v>1.3192699999999999</v>
      </c>
      <c r="BD292">
        <f t="shared" si="58"/>
        <v>16.935432098765432</v>
      </c>
      <c r="BE292">
        <f t="shared" si="59"/>
        <v>22.355447787654324</v>
      </c>
    </row>
    <row r="293" spans="6:57" x14ac:dyDescent="0.25">
      <c r="F293" s="9"/>
      <c r="G293" s="21">
        <v>0.31494100000000003</v>
      </c>
      <c r="H293" s="21">
        <v>7.8584100000000001</v>
      </c>
      <c r="I293" s="21">
        <v>-1.4279200000000001E-2</v>
      </c>
      <c r="J293" s="21">
        <v>283</v>
      </c>
      <c r="K293" s="21">
        <v>0.314392</v>
      </c>
      <c r="L293">
        <f t="shared" si="48"/>
        <v>17.628641975308639</v>
      </c>
      <c r="M293">
        <f t="shared" si="49"/>
        <v>5.5519821323456782</v>
      </c>
      <c r="N293" s="9"/>
      <c r="O293" s="21">
        <v>1.32507</v>
      </c>
      <c r="P293" s="21">
        <v>11.556800000000001</v>
      </c>
      <c r="Q293" s="21">
        <v>-1.36475E-2</v>
      </c>
      <c r="R293" s="21">
        <v>283</v>
      </c>
      <c r="S293" s="21">
        <v>1.32446</v>
      </c>
      <c r="T293">
        <f t="shared" si="50"/>
        <v>16.848765432098766</v>
      </c>
      <c r="U293">
        <f t="shared" si="51"/>
        <v>22.325793611111113</v>
      </c>
      <c r="X293" s="9"/>
      <c r="Y293" s="21">
        <v>0.31494100000000003</v>
      </c>
      <c r="Z293" s="21">
        <v>16.9236</v>
      </c>
      <c r="AA293" s="21">
        <v>-1.4331099999999999E-2</v>
      </c>
      <c r="AB293" s="21">
        <v>283</v>
      </c>
      <c r="AC293" s="21">
        <v>0.31433100000000003</v>
      </c>
      <c r="AD293">
        <f t="shared" si="52"/>
        <v>17.692716049382714</v>
      </c>
      <c r="AE293">
        <f t="shared" si="53"/>
        <v>5.5721616853086413</v>
      </c>
      <c r="AF293" s="9"/>
      <c r="AG293" s="21">
        <v>1.32507</v>
      </c>
      <c r="AH293" s="21">
        <v>20.622</v>
      </c>
      <c r="AI293" s="21">
        <v>-1.3732899999999999E-2</v>
      </c>
      <c r="AJ293" s="21">
        <v>283</v>
      </c>
      <c r="AK293" s="21">
        <v>1.32416</v>
      </c>
      <c r="AL293">
        <f t="shared" si="54"/>
        <v>16.954197530864196</v>
      </c>
      <c r="AM293">
        <f t="shared" si="55"/>
        <v>22.465498522222219</v>
      </c>
      <c r="AP293" s="9"/>
      <c r="AQ293" s="21">
        <v>0.31494100000000003</v>
      </c>
      <c r="AR293" s="21">
        <v>26.035799999999998</v>
      </c>
      <c r="AS293" s="21">
        <v>-1.43616E-2</v>
      </c>
      <c r="AT293" s="21">
        <v>283</v>
      </c>
      <c r="AU293" s="21">
        <v>0.314392</v>
      </c>
      <c r="AV293">
        <f t="shared" si="56"/>
        <v>17.73037037037037</v>
      </c>
      <c r="AW293">
        <f t="shared" si="57"/>
        <v>5.5840205748148151</v>
      </c>
      <c r="AX293" s="9"/>
      <c r="AY293" s="21">
        <v>1.32507</v>
      </c>
      <c r="AZ293" s="21">
        <v>29.734200000000001</v>
      </c>
      <c r="BA293" s="21">
        <v>-1.3699299999999999E-2</v>
      </c>
      <c r="BB293" s="21">
        <v>283</v>
      </c>
      <c r="BC293" s="21">
        <v>1.32416</v>
      </c>
      <c r="BD293">
        <f t="shared" si="58"/>
        <v>16.912716049382716</v>
      </c>
      <c r="BE293">
        <f t="shared" si="59"/>
        <v>22.410532655555556</v>
      </c>
    </row>
    <row r="294" spans="6:57" x14ac:dyDescent="0.25">
      <c r="F294" s="9"/>
      <c r="G294" s="21">
        <v>0.30990600000000001</v>
      </c>
      <c r="H294" s="21">
        <v>7.8684900000000004</v>
      </c>
      <c r="I294" s="21">
        <v>-1.4279200000000001E-2</v>
      </c>
      <c r="J294" s="21">
        <v>284</v>
      </c>
      <c r="K294" s="21">
        <v>0.30941800000000003</v>
      </c>
      <c r="L294">
        <f t="shared" si="48"/>
        <v>17.628641975308639</v>
      </c>
      <c r="M294">
        <f t="shared" si="49"/>
        <v>5.4632219199999996</v>
      </c>
      <c r="N294" s="9"/>
      <c r="O294" s="21">
        <v>1.3301099999999999</v>
      </c>
      <c r="P294" s="21">
        <v>11.566800000000001</v>
      </c>
      <c r="Q294" s="21">
        <v>-1.36261E-2</v>
      </c>
      <c r="R294" s="21">
        <v>284</v>
      </c>
      <c r="S294" s="21">
        <v>1.32965</v>
      </c>
      <c r="T294">
        <f t="shared" si="50"/>
        <v>16.822345679012344</v>
      </c>
      <c r="U294">
        <f t="shared" si="51"/>
        <v>22.375570211111107</v>
      </c>
      <c r="X294" s="9"/>
      <c r="Y294" s="21">
        <v>0.30990600000000001</v>
      </c>
      <c r="Z294" s="21">
        <v>16.933700000000002</v>
      </c>
      <c r="AA294" s="21">
        <v>-1.4334100000000001E-2</v>
      </c>
      <c r="AB294" s="21">
        <v>284</v>
      </c>
      <c r="AC294" s="21">
        <v>0.30926500000000001</v>
      </c>
      <c r="AD294">
        <f t="shared" si="52"/>
        <v>17.69641975308642</v>
      </c>
      <c r="AE294">
        <f t="shared" si="53"/>
        <v>5.4842266600000009</v>
      </c>
      <c r="AF294" s="9"/>
      <c r="AG294" s="21">
        <v>1.3301099999999999</v>
      </c>
      <c r="AH294" s="21">
        <v>20.632000000000001</v>
      </c>
      <c r="AI294" s="21">
        <v>-1.37299E-2</v>
      </c>
      <c r="AJ294" s="21">
        <v>284</v>
      </c>
      <c r="AK294" s="21">
        <v>1.32965</v>
      </c>
      <c r="AL294">
        <f t="shared" si="54"/>
        <v>16.950493827160493</v>
      </c>
      <c r="AM294">
        <f t="shared" si="55"/>
        <v>22.546021344444441</v>
      </c>
      <c r="AP294" s="9"/>
      <c r="AQ294" s="21">
        <v>0.30990600000000001</v>
      </c>
      <c r="AR294" s="21">
        <v>26.0459</v>
      </c>
      <c r="AS294" s="21">
        <v>-1.4382900000000001E-2</v>
      </c>
      <c r="AT294" s="21">
        <v>284</v>
      </c>
      <c r="AU294" s="21">
        <v>0.30923499999999998</v>
      </c>
      <c r="AV294">
        <f t="shared" si="56"/>
        <v>17.756666666666668</v>
      </c>
      <c r="AW294">
        <f t="shared" si="57"/>
        <v>5.5028975400000002</v>
      </c>
      <c r="AX294" s="9"/>
      <c r="AY294" s="21">
        <v>1.3301099999999999</v>
      </c>
      <c r="AZ294" s="21">
        <v>29.744299999999999</v>
      </c>
      <c r="BA294" s="21">
        <v>-1.36749E-2</v>
      </c>
      <c r="BB294" s="21">
        <v>284</v>
      </c>
      <c r="BC294" s="21">
        <v>1.32965</v>
      </c>
      <c r="BD294">
        <f t="shared" si="58"/>
        <v>16.882592592592591</v>
      </c>
      <c r="BE294">
        <f t="shared" si="59"/>
        <v>22.45570523333333</v>
      </c>
    </row>
    <row r="295" spans="6:57" x14ac:dyDescent="0.25">
      <c r="F295" s="9"/>
      <c r="G295" s="21">
        <v>0.304871</v>
      </c>
      <c r="H295" s="21">
        <v>7.8785600000000002</v>
      </c>
      <c r="I295" s="21">
        <v>-1.4279200000000001E-2</v>
      </c>
      <c r="J295" s="21">
        <v>285</v>
      </c>
      <c r="K295" s="21">
        <v>0.30429099999999998</v>
      </c>
      <c r="L295">
        <f t="shared" si="48"/>
        <v>17.628641975308639</v>
      </c>
      <c r="M295">
        <f t="shared" si="49"/>
        <v>5.3744617076543202</v>
      </c>
      <c r="N295" s="9"/>
      <c r="O295" s="21">
        <v>1.33514</v>
      </c>
      <c r="P295" s="21">
        <v>11.5769</v>
      </c>
      <c r="Q295" s="21">
        <v>-1.36078E-2</v>
      </c>
      <c r="R295" s="21">
        <v>285</v>
      </c>
      <c r="S295" s="21">
        <v>1.33453</v>
      </c>
      <c r="T295">
        <f t="shared" si="50"/>
        <v>16.799753086419752</v>
      </c>
      <c r="U295">
        <f t="shared" si="51"/>
        <v>22.43002233580247</v>
      </c>
      <c r="X295" s="9"/>
      <c r="Y295" s="21">
        <v>0.304871</v>
      </c>
      <c r="Z295" s="21">
        <v>16.9438</v>
      </c>
      <c r="AA295" s="21">
        <v>-1.4328E-2</v>
      </c>
      <c r="AB295" s="21">
        <v>285</v>
      </c>
      <c r="AC295" s="21">
        <v>0.30429099999999998</v>
      </c>
      <c r="AD295">
        <f t="shared" si="52"/>
        <v>17.68888888888889</v>
      </c>
      <c r="AE295">
        <f t="shared" si="53"/>
        <v>5.392829244444445</v>
      </c>
      <c r="AF295" s="9"/>
      <c r="AG295" s="21">
        <v>1.33514</v>
      </c>
      <c r="AH295" s="21">
        <v>20.642099999999999</v>
      </c>
      <c r="AI295" s="21">
        <v>-1.3720700000000001E-2</v>
      </c>
      <c r="AJ295" s="21">
        <v>285</v>
      </c>
      <c r="AK295" s="21">
        <v>1.33423</v>
      </c>
      <c r="AL295">
        <f t="shared" si="54"/>
        <v>16.939135802469135</v>
      </c>
      <c r="AM295">
        <f t="shared" si="55"/>
        <v>22.616117775308641</v>
      </c>
      <c r="AP295" s="9"/>
      <c r="AQ295" s="21">
        <v>0.304871</v>
      </c>
      <c r="AR295" s="21">
        <v>26.056000000000001</v>
      </c>
      <c r="AS295" s="21">
        <v>-1.4382900000000001E-2</v>
      </c>
      <c r="AT295" s="21">
        <v>285</v>
      </c>
      <c r="AU295" s="21">
        <v>0.30425999999999997</v>
      </c>
      <c r="AV295">
        <f t="shared" si="56"/>
        <v>17.756666666666668</v>
      </c>
      <c r="AW295">
        <f t="shared" si="57"/>
        <v>5.4134927233333334</v>
      </c>
      <c r="AX295" s="9"/>
      <c r="AY295" s="21">
        <v>1.33514</v>
      </c>
      <c r="AZ295" s="21">
        <v>29.754300000000001</v>
      </c>
      <c r="BA295" s="21">
        <v>-1.3665800000000001E-2</v>
      </c>
      <c r="BB295" s="21">
        <v>285</v>
      </c>
      <c r="BC295" s="21">
        <v>1.33453</v>
      </c>
      <c r="BD295">
        <f t="shared" si="58"/>
        <v>16.871358024691357</v>
      </c>
      <c r="BE295">
        <f t="shared" si="59"/>
        <v>22.525624953086417</v>
      </c>
    </row>
    <row r="296" spans="6:57" x14ac:dyDescent="0.25">
      <c r="F296" s="9"/>
      <c r="G296" s="21">
        <v>0.29983500000000002</v>
      </c>
      <c r="H296" s="21">
        <v>7.88863</v>
      </c>
      <c r="I296" s="21">
        <v>-1.42548E-2</v>
      </c>
      <c r="J296" s="21">
        <v>286</v>
      </c>
      <c r="K296" s="21">
        <v>0.29922500000000002</v>
      </c>
      <c r="L296">
        <f t="shared" si="48"/>
        <v>17.598518518518517</v>
      </c>
      <c r="M296">
        <f t="shared" si="49"/>
        <v>5.2766517999999998</v>
      </c>
      <c r="N296" s="9"/>
      <c r="O296" s="21">
        <v>1.3401799999999999</v>
      </c>
      <c r="P296" s="21">
        <v>11.587</v>
      </c>
      <c r="Q296" s="21">
        <v>-1.3583400000000001E-2</v>
      </c>
      <c r="R296" s="21">
        <v>286</v>
      </c>
      <c r="S296" s="21">
        <v>1.33972</v>
      </c>
      <c r="T296">
        <f t="shared" si="50"/>
        <v>16.76962962962963</v>
      </c>
      <c r="U296">
        <f t="shared" si="51"/>
        <v>22.474322237037036</v>
      </c>
      <c r="X296" s="9"/>
      <c r="Y296" s="21">
        <v>0.29983500000000002</v>
      </c>
      <c r="Z296" s="21">
        <v>16.953800000000001</v>
      </c>
      <c r="AA296" s="21">
        <v>-1.4331099999999999E-2</v>
      </c>
      <c r="AB296" s="21">
        <v>286</v>
      </c>
      <c r="AC296" s="21">
        <v>0.299286</v>
      </c>
      <c r="AD296">
        <f t="shared" si="52"/>
        <v>17.692716049382714</v>
      </c>
      <c r="AE296">
        <f t="shared" si="53"/>
        <v>5.304895516666666</v>
      </c>
      <c r="AF296" s="9"/>
      <c r="AG296" s="21">
        <v>1.3401799999999999</v>
      </c>
      <c r="AH296" s="21">
        <v>20.652200000000001</v>
      </c>
      <c r="AI296" s="21">
        <v>-1.36963E-2</v>
      </c>
      <c r="AJ296" s="21">
        <v>286</v>
      </c>
      <c r="AK296" s="21">
        <v>1.33911</v>
      </c>
      <c r="AL296">
        <f t="shared" si="54"/>
        <v>16.90901234567901</v>
      </c>
      <c r="AM296">
        <f t="shared" si="55"/>
        <v>22.661120165432095</v>
      </c>
      <c r="AP296" s="9"/>
      <c r="AQ296" s="21">
        <v>0.29983500000000002</v>
      </c>
      <c r="AR296" s="21">
        <v>26.066099999999999</v>
      </c>
      <c r="AS296" s="21">
        <v>-1.4379899999999999E-2</v>
      </c>
      <c r="AT296" s="21">
        <v>286</v>
      </c>
      <c r="AU296" s="21">
        <v>0.29931600000000003</v>
      </c>
      <c r="AV296">
        <f t="shared" si="56"/>
        <v>17.752962962962961</v>
      </c>
      <c r="AW296">
        <f t="shared" si="57"/>
        <v>5.3229596499999996</v>
      </c>
      <c r="AX296" s="9"/>
      <c r="AY296" s="21">
        <v>1.3401799999999999</v>
      </c>
      <c r="AZ296" s="21">
        <v>29.764399999999998</v>
      </c>
      <c r="BA296" s="21">
        <v>-1.36414E-2</v>
      </c>
      <c r="BB296" s="21">
        <v>286</v>
      </c>
      <c r="BC296" s="21">
        <v>1.33972</v>
      </c>
      <c r="BD296">
        <f t="shared" si="58"/>
        <v>16.841234567901232</v>
      </c>
      <c r="BE296">
        <f t="shared" si="59"/>
        <v>22.570285743209872</v>
      </c>
    </row>
    <row r="297" spans="6:57" x14ac:dyDescent="0.25">
      <c r="F297" s="9"/>
      <c r="G297" s="21">
        <v>0.29480000000000001</v>
      </c>
      <c r="H297" s="21">
        <v>7.8986999999999998</v>
      </c>
      <c r="I297" s="21">
        <v>-1.4257799999999999E-2</v>
      </c>
      <c r="J297" s="21">
        <v>287</v>
      </c>
      <c r="K297" s="21">
        <v>0.29418899999999998</v>
      </c>
      <c r="L297">
        <f t="shared" si="48"/>
        <v>17.60222222222222</v>
      </c>
      <c r="M297">
        <f t="shared" si="49"/>
        <v>5.1891351111111108</v>
      </c>
      <c r="N297" s="9"/>
      <c r="O297" s="21">
        <v>1.34521</v>
      </c>
      <c r="P297" s="21">
        <v>11.597</v>
      </c>
      <c r="Q297" s="21">
        <v>-1.35681E-2</v>
      </c>
      <c r="R297" s="21">
        <v>287</v>
      </c>
      <c r="S297" s="21">
        <v>1.34491</v>
      </c>
      <c r="T297">
        <f t="shared" si="50"/>
        <v>16.750740740740738</v>
      </c>
      <c r="U297">
        <f t="shared" si="51"/>
        <v>22.53326395185185</v>
      </c>
      <c r="X297" s="9"/>
      <c r="Y297" s="21">
        <v>0.29480000000000001</v>
      </c>
      <c r="Z297" s="21">
        <v>16.963899999999999</v>
      </c>
      <c r="AA297" s="21">
        <v>-1.4331099999999999E-2</v>
      </c>
      <c r="AB297" s="21">
        <v>287</v>
      </c>
      <c r="AC297" s="21">
        <v>0.29425000000000001</v>
      </c>
      <c r="AD297">
        <f t="shared" si="52"/>
        <v>17.692716049382714</v>
      </c>
      <c r="AE297">
        <f t="shared" si="53"/>
        <v>5.2158126913580238</v>
      </c>
      <c r="AF297" s="9"/>
      <c r="AG297" s="21">
        <v>1.34521</v>
      </c>
      <c r="AH297" s="21">
        <v>20.662199999999999</v>
      </c>
      <c r="AI297" s="21">
        <v>-1.36963E-2</v>
      </c>
      <c r="AJ297" s="21">
        <v>287</v>
      </c>
      <c r="AK297" s="21">
        <v>1.3446</v>
      </c>
      <c r="AL297">
        <f t="shared" si="54"/>
        <v>16.90901234567901</v>
      </c>
      <c r="AM297">
        <f t="shared" si="55"/>
        <v>22.746172497530861</v>
      </c>
      <c r="AP297" s="9"/>
      <c r="AQ297" s="21">
        <v>0.29480000000000001</v>
      </c>
      <c r="AR297" s="21">
        <v>26.0761</v>
      </c>
      <c r="AS297" s="21">
        <v>-1.4389000000000001E-2</v>
      </c>
      <c r="AT297" s="21">
        <v>287</v>
      </c>
      <c r="AU297" s="21">
        <v>0.29425000000000001</v>
      </c>
      <c r="AV297">
        <f t="shared" si="56"/>
        <v>17.764197530864198</v>
      </c>
      <c r="AW297">
        <f t="shared" si="57"/>
        <v>5.2368854320987657</v>
      </c>
      <c r="AX297" s="9"/>
      <c r="AY297" s="21">
        <v>1.34521</v>
      </c>
      <c r="AZ297" s="21">
        <v>29.7745</v>
      </c>
      <c r="BA297" s="21">
        <v>-1.3623E-2</v>
      </c>
      <c r="BB297" s="21">
        <v>287</v>
      </c>
      <c r="BC297" s="21">
        <v>1.3443000000000001</v>
      </c>
      <c r="BD297">
        <f t="shared" si="58"/>
        <v>16.818518518518516</v>
      </c>
      <c r="BE297">
        <f t="shared" si="59"/>
        <v>22.624439296296295</v>
      </c>
    </row>
    <row r="298" spans="6:57" x14ac:dyDescent="0.25">
      <c r="F298" s="9"/>
      <c r="G298" s="21">
        <v>0.28976400000000002</v>
      </c>
      <c r="H298" s="21">
        <v>7.9087699999999996</v>
      </c>
      <c r="I298" s="21">
        <v>-1.4267E-2</v>
      </c>
      <c r="J298" s="21">
        <v>288</v>
      </c>
      <c r="K298" s="21">
        <v>0.28918500000000003</v>
      </c>
      <c r="L298">
        <f t="shared" si="48"/>
        <v>17.613580246913582</v>
      </c>
      <c r="M298">
        <f t="shared" si="49"/>
        <v>5.1037814666666677</v>
      </c>
      <c r="N298" s="9"/>
      <c r="O298" s="21">
        <v>1.35025</v>
      </c>
      <c r="P298" s="21">
        <v>11.607100000000001</v>
      </c>
      <c r="Q298" s="21">
        <v>-1.3549800000000001E-2</v>
      </c>
      <c r="R298" s="21">
        <v>288</v>
      </c>
      <c r="S298" s="21">
        <v>1.34918</v>
      </c>
      <c r="T298">
        <f t="shared" si="50"/>
        <v>16.728148148148147</v>
      </c>
      <c r="U298">
        <f t="shared" si="51"/>
        <v>22.587182037037035</v>
      </c>
      <c r="X298" s="9"/>
      <c r="Y298" s="21">
        <v>0.28976400000000002</v>
      </c>
      <c r="Z298" s="21">
        <v>16.974</v>
      </c>
      <c r="AA298" s="21">
        <v>-1.4334100000000001E-2</v>
      </c>
      <c r="AB298" s="21">
        <v>288</v>
      </c>
      <c r="AC298" s="21">
        <v>0.289215</v>
      </c>
      <c r="AD298">
        <f t="shared" si="52"/>
        <v>17.69641975308642</v>
      </c>
      <c r="AE298">
        <f t="shared" si="53"/>
        <v>5.1277853733333343</v>
      </c>
      <c r="AF298" s="9"/>
      <c r="AG298" s="21">
        <v>1.35025</v>
      </c>
      <c r="AH298" s="21">
        <v>20.6723</v>
      </c>
      <c r="AI298" s="21">
        <v>-1.3684099999999999E-2</v>
      </c>
      <c r="AJ298" s="21">
        <v>288</v>
      </c>
      <c r="AK298" s="21">
        <v>1.3494900000000001</v>
      </c>
      <c r="AL298">
        <f t="shared" si="54"/>
        <v>16.893950617283949</v>
      </c>
      <c r="AM298">
        <f t="shared" si="55"/>
        <v>22.811056820987652</v>
      </c>
      <c r="AP298" s="9"/>
      <c r="AQ298" s="21">
        <v>0.28976400000000002</v>
      </c>
      <c r="AR298" s="21">
        <v>26.086200000000002</v>
      </c>
      <c r="AS298" s="21">
        <v>-1.43707E-2</v>
      </c>
      <c r="AT298" s="21">
        <v>288</v>
      </c>
      <c r="AU298" s="21">
        <v>0.28915400000000002</v>
      </c>
      <c r="AV298">
        <f t="shared" si="56"/>
        <v>17.741604938271603</v>
      </c>
      <c r="AW298">
        <f t="shared" si="57"/>
        <v>5.1408784133333336</v>
      </c>
      <c r="AX298" s="9"/>
      <c r="AY298" s="21">
        <v>1.35025</v>
      </c>
      <c r="AZ298" s="21">
        <v>29.784500000000001</v>
      </c>
      <c r="BA298" s="21">
        <v>-1.35864E-2</v>
      </c>
      <c r="BB298" s="21">
        <v>288</v>
      </c>
      <c r="BC298" s="21">
        <v>1.34979</v>
      </c>
      <c r="BD298">
        <f t="shared" si="58"/>
        <v>16.77333333333333</v>
      </c>
      <c r="BE298">
        <f t="shared" si="59"/>
        <v>22.648193333333328</v>
      </c>
    </row>
    <row r="299" spans="6:57" x14ac:dyDescent="0.25">
      <c r="F299" s="9"/>
      <c r="G299" s="21">
        <v>0.28472900000000001</v>
      </c>
      <c r="H299" s="21">
        <v>7.9188400000000003</v>
      </c>
      <c r="I299" s="21">
        <v>-1.427E-2</v>
      </c>
      <c r="J299" s="21">
        <v>289</v>
      </c>
      <c r="K299" s="21">
        <v>0.28405799999999998</v>
      </c>
      <c r="L299">
        <f t="shared" si="48"/>
        <v>17.617283950617285</v>
      </c>
      <c r="M299">
        <f t="shared" si="49"/>
        <v>5.0161516419753092</v>
      </c>
      <c r="N299" s="9"/>
      <c r="O299" s="21">
        <v>1.3552900000000001</v>
      </c>
      <c r="P299" s="21">
        <v>11.6172</v>
      </c>
      <c r="Q299" s="21">
        <v>-1.35315E-2</v>
      </c>
      <c r="R299" s="21">
        <v>289</v>
      </c>
      <c r="S299" s="21">
        <v>1.3543700000000001</v>
      </c>
      <c r="T299">
        <f t="shared" si="50"/>
        <v>16.705555555555552</v>
      </c>
      <c r="U299">
        <f t="shared" si="51"/>
        <v>22.640872388888887</v>
      </c>
      <c r="X299" s="9"/>
      <c r="Y299" s="21">
        <v>0.28472900000000001</v>
      </c>
      <c r="Z299" s="21">
        <v>16.984100000000002</v>
      </c>
      <c r="AA299" s="21">
        <v>-1.43433E-2</v>
      </c>
      <c r="AB299" s="21">
        <v>289</v>
      </c>
      <c r="AC299" s="21">
        <v>0.28408800000000001</v>
      </c>
      <c r="AD299">
        <f t="shared" si="52"/>
        <v>17.707777777777778</v>
      </c>
      <c r="AE299">
        <f t="shared" si="53"/>
        <v>5.0419178588888895</v>
      </c>
      <c r="AF299" s="9"/>
      <c r="AG299" s="21">
        <v>1.3552900000000001</v>
      </c>
      <c r="AH299" s="21">
        <v>20.682400000000001</v>
      </c>
      <c r="AI299" s="21">
        <v>-1.3650499999999999E-2</v>
      </c>
      <c r="AJ299" s="21">
        <v>289</v>
      </c>
      <c r="AK299" s="21">
        <v>1.3546800000000001</v>
      </c>
      <c r="AL299">
        <f t="shared" si="54"/>
        <v>16.852469135802469</v>
      </c>
      <c r="AM299">
        <f t="shared" si="55"/>
        <v>22.839982895061731</v>
      </c>
      <c r="AP299" s="9"/>
      <c r="AQ299" s="21">
        <v>0.28472900000000001</v>
      </c>
      <c r="AR299" s="21">
        <v>26.096299999999999</v>
      </c>
      <c r="AS299" s="21">
        <v>-1.43707E-2</v>
      </c>
      <c r="AT299" s="21">
        <v>289</v>
      </c>
      <c r="AU299" s="21">
        <v>0.28417999999999999</v>
      </c>
      <c r="AV299">
        <f t="shared" si="56"/>
        <v>17.741604938271603</v>
      </c>
      <c r="AW299">
        <f t="shared" si="57"/>
        <v>5.0515494324691357</v>
      </c>
      <c r="AX299" s="9"/>
      <c r="AY299" s="21">
        <v>1.3552900000000001</v>
      </c>
      <c r="AZ299" s="21">
        <v>29.794599999999999</v>
      </c>
      <c r="BA299" s="21">
        <v>-1.35712E-2</v>
      </c>
      <c r="BB299" s="21">
        <v>289</v>
      </c>
      <c r="BC299" s="21">
        <v>1.35406</v>
      </c>
      <c r="BD299">
        <f t="shared" si="58"/>
        <v>16.754567901234566</v>
      </c>
      <c r="BE299">
        <f t="shared" si="59"/>
        <v>22.707298330864198</v>
      </c>
    </row>
    <row r="300" spans="6:57" x14ac:dyDescent="0.25">
      <c r="F300" s="9"/>
      <c r="G300" s="21">
        <v>0.279694</v>
      </c>
      <c r="H300" s="21">
        <v>7.9289100000000001</v>
      </c>
      <c r="I300" s="21">
        <v>-1.42761E-2</v>
      </c>
      <c r="J300" s="21">
        <v>290</v>
      </c>
      <c r="K300" s="21">
        <v>0.279144</v>
      </c>
      <c r="L300">
        <f t="shared" si="48"/>
        <v>17.624814814814812</v>
      </c>
      <c r="M300">
        <f t="shared" si="49"/>
        <v>4.9295549548148143</v>
      </c>
      <c r="N300" s="9"/>
      <c r="O300" s="21">
        <v>1.36032</v>
      </c>
      <c r="P300" s="21">
        <v>11.6272</v>
      </c>
      <c r="Q300" s="21">
        <v>-1.35193E-2</v>
      </c>
      <c r="R300" s="21">
        <v>290</v>
      </c>
      <c r="S300" s="21">
        <v>1.3598600000000001</v>
      </c>
      <c r="T300">
        <f t="shared" si="50"/>
        <v>16.690493827160495</v>
      </c>
      <c r="U300">
        <f t="shared" si="51"/>
        <v>22.704412562962965</v>
      </c>
      <c r="X300" s="9"/>
      <c r="Y300" s="21">
        <v>0.279694</v>
      </c>
      <c r="Z300" s="21">
        <v>16.9941</v>
      </c>
      <c r="AA300" s="21">
        <v>-1.43524E-2</v>
      </c>
      <c r="AB300" s="21">
        <v>290</v>
      </c>
      <c r="AC300" s="21">
        <v>0.279053</v>
      </c>
      <c r="AD300">
        <f t="shared" si="52"/>
        <v>17.719012345679008</v>
      </c>
      <c r="AE300">
        <f t="shared" si="53"/>
        <v>4.9559014390123446</v>
      </c>
      <c r="AF300" s="9"/>
      <c r="AG300" s="21">
        <v>1.36032</v>
      </c>
      <c r="AH300" s="21">
        <v>20.692499999999999</v>
      </c>
      <c r="AI300" s="21">
        <v>-1.362E-2</v>
      </c>
      <c r="AJ300" s="21">
        <v>290</v>
      </c>
      <c r="AK300" s="21">
        <v>1.3595600000000001</v>
      </c>
      <c r="AL300">
        <f t="shared" si="54"/>
        <v>16.814814814814813</v>
      </c>
      <c r="AM300">
        <f t="shared" si="55"/>
        <v>22.873528888888885</v>
      </c>
      <c r="AP300" s="9"/>
      <c r="AQ300" s="21">
        <v>0.279694</v>
      </c>
      <c r="AR300" s="21">
        <v>26.106300000000001</v>
      </c>
      <c r="AS300" s="21">
        <v>-1.43707E-2</v>
      </c>
      <c r="AT300" s="21">
        <v>290</v>
      </c>
      <c r="AU300" s="21">
        <v>0.27908300000000003</v>
      </c>
      <c r="AV300">
        <f t="shared" si="56"/>
        <v>17.741604938271603</v>
      </c>
      <c r="AW300">
        <f t="shared" si="57"/>
        <v>4.9622204516049377</v>
      </c>
      <c r="AX300" s="9"/>
      <c r="AY300" s="21">
        <v>1.36032</v>
      </c>
      <c r="AZ300" s="21">
        <v>29.8047</v>
      </c>
      <c r="BA300" s="21">
        <v>-1.3549800000000001E-2</v>
      </c>
      <c r="BB300" s="21">
        <v>290</v>
      </c>
      <c r="BC300" s="21">
        <v>1.3601700000000001</v>
      </c>
      <c r="BD300">
        <f t="shared" si="58"/>
        <v>16.728148148148147</v>
      </c>
      <c r="BE300">
        <f t="shared" si="59"/>
        <v>22.755634488888887</v>
      </c>
    </row>
    <row r="301" spans="6:57" x14ac:dyDescent="0.25">
      <c r="F301" s="9"/>
      <c r="G301" s="21">
        <v>0.27465800000000001</v>
      </c>
      <c r="H301" s="21">
        <v>7.9389799999999999</v>
      </c>
      <c r="I301" s="21">
        <v>-1.42883E-2</v>
      </c>
      <c r="J301" s="21">
        <v>291</v>
      </c>
      <c r="K301" s="21">
        <v>0.27398699999999998</v>
      </c>
      <c r="L301">
        <f t="shared" si="48"/>
        <v>17.639876543209876</v>
      </c>
      <c r="M301">
        <f t="shared" si="49"/>
        <v>4.8449332116049382</v>
      </c>
      <c r="N301" s="9"/>
      <c r="O301" s="21">
        <v>1.3653599999999999</v>
      </c>
      <c r="P301" s="21">
        <v>11.6373</v>
      </c>
      <c r="Q301" s="21">
        <v>-1.3494900000000001E-2</v>
      </c>
      <c r="R301" s="21">
        <v>291</v>
      </c>
      <c r="S301" s="21">
        <v>1.3644400000000001</v>
      </c>
      <c r="T301">
        <f t="shared" si="50"/>
        <v>16.660370370370369</v>
      </c>
      <c r="U301">
        <f t="shared" si="51"/>
        <v>22.747403288888886</v>
      </c>
      <c r="X301" s="9"/>
      <c r="Y301" s="21">
        <v>0.27465800000000001</v>
      </c>
      <c r="Z301" s="21">
        <v>17.004200000000001</v>
      </c>
      <c r="AA301" s="21">
        <v>-1.4340200000000001E-2</v>
      </c>
      <c r="AB301" s="21">
        <v>291</v>
      </c>
      <c r="AC301" s="21">
        <v>0.27410899999999999</v>
      </c>
      <c r="AD301">
        <f t="shared" si="52"/>
        <v>17.703950617283951</v>
      </c>
      <c r="AE301">
        <f t="shared" si="53"/>
        <v>4.8625316686419753</v>
      </c>
      <c r="AF301" s="9"/>
      <c r="AG301" s="21">
        <v>1.3653599999999999</v>
      </c>
      <c r="AH301" s="21">
        <v>20.702500000000001</v>
      </c>
      <c r="AI301" s="21">
        <v>-1.35773E-2</v>
      </c>
      <c r="AJ301" s="21">
        <v>291</v>
      </c>
      <c r="AK301" s="21">
        <v>1.3653599999999999</v>
      </c>
      <c r="AL301">
        <f t="shared" si="54"/>
        <v>16.7620987654321</v>
      </c>
      <c r="AM301">
        <f t="shared" si="55"/>
        <v>22.886299170370371</v>
      </c>
      <c r="AP301" s="9"/>
      <c r="AQ301" s="21">
        <v>0.27465800000000001</v>
      </c>
      <c r="AR301" s="21">
        <v>26.116399999999999</v>
      </c>
      <c r="AS301" s="21">
        <v>-1.43585E-2</v>
      </c>
      <c r="AT301" s="21">
        <v>291</v>
      </c>
      <c r="AU301" s="21">
        <v>0.27407799999999999</v>
      </c>
      <c r="AV301">
        <f t="shared" si="56"/>
        <v>17.726543209876542</v>
      </c>
      <c r="AW301">
        <f t="shared" si="57"/>
        <v>4.8687369049382712</v>
      </c>
      <c r="AX301" s="9"/>
      <c r="AY301" s="21">
        <v>1.3653599999999999</v>
      </c>
      <c r="AZ301" s="21">
        <v>29.814800000000002</v>
      </c>
      <c r="BA301" s="21">
        <v>-1.35132E-2</v>
      </c>
      <c r="BB301" s="21">
        <v>291</v>
      </c>
      <c r="BC301" s="21">
        <v>1.3650500000000001</v>
      </c>
      <c r="BD301">
        <f t="shared" si="58"/>
        <v>16.682962962962961</v>
      </c>
      <c r="BE301">
        <f t="shared" si="59"/>
        <v>22.778250311111108</v>
      </c>
    </row>
    <row r="302" spans="6:57" x14ac:dyDescent="0.25">
      <c r="F302" s="9"/>
      <c r="G302" s="21">
        <v>0.269623</v>
      </c>
      <c r="H302" s="21">
        <v>7.9490499999999997</v>
      </c>
      <c r="I302" s="21">
        <v>-1.4294400000000001E-2</v>
      </c>
      <c r="J302" s="21">
        <v>292</v>
      </c>
      <c r="K302" s="21">
        <v>0.26910400000000001</v>
      </c>
      <c r="L302">
        <f t="shared" si="48"/>
        <v>17.647407407407407</v>
      </c>
      <c r="M302">
        <f t="shared" si="49"/>
        <v>4.7581469274074069</v>
      </c>
      <c r="N302" s="9"/>
      <c r="O302" s="21">
        <v>1.37039</v>
      </c>
      <c r="P302" s="21">
        <v>11.647399999999999</v>
      </c>
      <c r="Q302" s="21">
        <v>-1.3473499999999999E-2</v>
      </c>
      <c r="R302" s="21">
        <v>292</v>
      </c>
      <c r="S302" s="21">
        <v>1.3699300000000001</v>
      </c>
      <c r="T302">
        <f t="shared" si="50"/>
        <v>16.633950617283947</v>
      </c>
      <c r="U302">
        <f t="shared" si="51"/>
        <v>22.794999586419749</v>
      </c>
      <c r="X302" s="9"/>
      <c r="Y302" s="21">
        <v>0.269623</v>
      </c>
      <c r="Z302" s="21">
        <v>17.014299999999999</v>
      </c>
      <c r="AA302" s="21">
        <v>-1.4334100000000001E-2</v>
      </c>
      <c r="AB302" s="21">
        <v>292</v>
      </c>
      <c r="AC302" s="21">
        <v>0.268982</v>
      </c>
      <c r="AD302">
        <f t="shared" si="52"/>
        <v>17.69641975308642</v>
      </c>
      <c r="AE302">
        <f t="shared" si="53"/>
        <v>4.7713617830864203</v>
      </c>
      <c r="AF302" s="9"/>
      <c r="AG302" s="21">
        <v>1.37039</v>
      </c>
      <c r="AH302" s="21">
        <v>20.712599999999998</v>
      </c>
      <c r="AI302" s="21">
        <v>-1.35406E-2</v>
      </c>
      <c r="AJ302" s="21">
        <v>292</v>
      </c>
      <c r="AK302" s="21">
        <v>1.3699300000000001</v>
      </c>
      <c r="AL302">
        <f t="shared" si="54"/>
        <v>16.716790123456789</v>
      </c>
      <c r="AM302">
        <f t="shared" si="55"/>
        <v>22.90852201728395</v>
      </c>
      <c r="AP302" s="9"/>
      <c r="AQ302" s="21">
        <v>0.269623</v>
      </c>
      <c r="AR302" s="21">
        <v>26.1265</v>
      </c>
      <c r="AS302" s="21">
        <v>-1.43555E-2</v>
      </c>
      <c r="AT302" s="21">
        <v>292</v>
      </c>
      <c r="AU302" s="21">
        <v>0.268982</v>
      </c>
      <c r="AV302">
        <f t="shared" si="56"/>
        <v>17.722839506172836</v>
      </c>
      <c r="AW302">
        <f t="shared" si="57"/>
        <v>4.7784851561728381</v>
      </c>
      <c r="AX302" s="9"/>
      <c r="AY302" s="21">
        <v>1.37039</v>
      </c>
      <c r="AZ302" s="21">
        <v>29.8248</v>
      </c>
      <c r="BA302" s="21">
        <v>-1.34918E-2</v>
      </c>
      <c r="BB302" s="21">
        <v>292</v>
      </c>
      <c r="BC302" s="21">
        <v>1.3696299999999999</v>
      </c>
      <c r="BD302">
        <f t="shared" si="58"/>
        <v>16.656543209876542</v>
      </c>
      <c r="BE302">
        <f t="shared" si="59"/>
        <v>22.825960249382714</v>
      </c>
    </row>
    <row r="303" spans="6:57" x14ac:dyDescent="0.25">
      <c r="F303" s="9"/>
      <c r="G303" s="21">
        <v>0.26458700000000002</v>
      </c>
      <c r="H303" s="21">
        <v>7.9591200000000004</v>
      </c>
      <c r="I303" s="21">
        <v>-1.4306599999999999E-2</v>
      </c>
      <c r="J303" s="21">
        <v>293</v>
      </c>
      <c r="K303" s="21">
        <v>0.264069</v>
      </c>
      <c r="L303">
        <f t="shared" si="48"/>
        <v>17.662469135802468</v>
      </c>
      <c r="M303">
        <f t="shared" si="49"/>
        <v>4.6732597212345679</v>
      </c>
      <c r="N303" s="9"/>
      <c r="O303" s="21">
        <v>1.3754299999999999</v>
      </c>
      <c r="P303" s="21">
        <v>11.657500000000001</v>
      </c>
      <c r="Q303" s="21">
        <v>-1.3458299999999999E-2</v>
      </c>
      <c r="R303" s="21">
        <v>293</v>
      </c>
      <c r="S303" s="21">
        <v>1.3748199999999999</v>
      </c>
      <c r="T303">
        <f t="shared" si="50"/>
        <v>16.615185185185183</v>
      </c>
      <c r="U303">
        <f t="shared" si="51"/>
        <v>22.853024159259256</v>
      </c>
      <c r="X303" s="9"/>
      <c r="Y303" s="21">
        <v>0.26458700000000002</v>
      </c>
      <c r="Z303" s="21">
        <v>17.0243</v>
      </c>
      <c r="AA303" s="21">
        <v>-1.43158E-2</v>
      </c>
      <c r="AB303" s="21">
        <v>293</v>
      </c>
      <c r="AC303" s="21">
        <v>0.26394699999999999</v>
      </c>
      <c r="AD303">
        <f t="shared" si="52"/>
        <v>17.673827160493826</v>
      </c>
      <c r="AE303">
        <f t="shared" si="53"/>
        <v>4.6762649069135804</v>
      </c>
      <c r="AF303" s="9"/>
      <c r="AG303" s="21">
        <v>1.3754299999999999</v>
      </c>
      <c r="AH303" s="21">
        <v>20.7227</v>
      </c>
      <c r="AI303" s="21">
        <v>-1.3504E-2</v>
      </c>
      <c r="AJ303" s="21">
        <v>293</v>
      </c>
      <c r="AK303" s="21">
        <v>1.3745099999999999</v>
      </c>
      <c r="AL303">
        <f t="shared" si="54"/>
        <v>16.671604938271606</v>
      </c>
      <c r="AM303">
        <f t="shared" si="55"/>
        <v>22.930625580246915</v>
      </c>
      <c r="AP303" s="9"/>
      <c r="AQ303" s="21">
        <v>0.26458700000000002</v>
      </c>
      <c r="AR303" s="21">
        <v>26.136600000000001</v>
      </c>
      <c r="AS303" s="21">
        <v>-1.43585E-2</v>
      </c>
      <c r="AT303" s="21">
        <v>293</v>
      </c>
      <c r="AU303" s="21">
        <v>0.264069</v>
      </c>
      <c r="AV303">
        <f t="shared" si="56"/>
        <v>17.726543209876542</v>
      </c>
      <c r="AW303">
        <f t="shared" si="57"/>
        <v>4.6902128882716054</v>
      </c>
      <c r="AX303" s="9"/>
      <c r="AY303" s="21">
        <v>1.3754299999999999</v>
      </c>
      <c r="AZ303" s="21">
        <v>29.834900000000001</v>
      </c>
      <c r="BA303" s="21">
        <v>-1.34705E-2</v>
      </c>
      <c r="BB303" s="21">
        <v>293</v>
      </c>
      <c r="BC303" s="21">
        <v>1.3742099999999999</v>
      </c>
      <c r="BD303">
        <f t="shared" si="58"/>
        <v>16.630246913580244</v>
      </c>
      <c r="BE303">
        <f t="shared" si="59"/>
        <v>22.873740512345673</v>
      </c>
    </row>
    <row r="304" spans="6:57" x14ac:dyDescent="0.25">
      <c r="F304" s="9"/>
      <c r="G304" s="21">
        <v>0.259552</v>
      </c>
      <c r="H304" s="21">
        <v>7.9691999999999998</v>
      </c>
      <c r="I304" s="21">
        <v>-1.43219E-2</v>
      </c>
      <c r="J304" s="21">
        <v>294</v>
      </c>
      <c r="K304" s="21">
        <v>0.258911</v>
      </c>
      <c r="L304">
        <f t="shared" si="48"/>
        <v>17.68135802469136</v>
      </c>
      <c r="M304">
        <f t="shared" si="49"/>
        <v>4.5892318380246921</v>
      </c>
      <c r="N304" s="9"/>
      <c r="O304" s="21">
        <v>1.38046</v>
      </c>
      <c r="P304" s="21">
        <v>11.6675</v>
      </c>
      <c r="Q304" s="21">
        <v>-1.34308E-2</v>
      </c>
      <c r="R304" s="21">
        <v>294</v>
      </c>
      <c r="S304" s="21">
        <v>1.3793899999999999</v>
      </c>
      <c r="T304">
        <f t="shared" si="50"/>
        <v>16.581234567901234</v>
      </c>
      <c r="U304">
        <f t="shared" si="51"/>
        <v>22.889731071604938</v>
      </c>
      <c r="X304" s="9"/>
      <c r="Y304" s="21">
        <v>0.259552</v>
      </c>
      <c r="Z304" s="21">
        <v>17.034400000000002</v>
      </c>
      <c r="AA304" s="21">
        <v>-1.4306599999999999E-2</v>
      </c>
      <c r="AB304" s="21">
        <v>294</v>
      </c>
      <c r="AC304" s="21">
        <v>0.25912499999999999</v>
      </c>
      <c r="AD304">
        <f t="shared" si="52"/>
        <v>17.662469135802468</v>
      </c>
      <c r="AE304">
        <f t="shared" si="53"/>
        <v>4.5843291891358025</v>
      </c>
      <c r="AF304" s="9"/>
      <c r="AG304" s="21">
        <v>1.38046</v>
      </c>
      <c r="AH304" s="21">
        <v>20.732700000000001</v>
      </c>
      <c r="AI304" s="21">
        <v>-1.34766E-2</v>
      </c>
      <c r="AJ304" s="21">
        <v>294</v>
      </c>
      <c r="AK304" s="21">
        <v>1.3803099999999999</v>
      </c>
      <c r="AL304">
        <f t="shared" si="54"/>
        <v>16.637777777777774</v>
      </c>
      <c r="AM304">
        <f t="shared" si="55"/>
        <v>22.967786711111106</v>
      </c>
      <c r="AP304" s="9"/>
      <c r="AQ304" s="21">
        <v>0.259552</v>
      </c>
      <c r="AR304" s="21">
        <v>26.146599999999999</v>
      </c>
      <c r="AS304" s="21">
        <v>-1.43646E-2</v>
      </c>
      <c r="AT304" s="21">
        <v>294</v>
      </c>
      <c r="AU304" s="21">
        <v>0.25903300000000001</v>
      </c>
      <c r="AV304">
        <f t="shared" si="56"/>
        <v>17.734074074074073</v>
      </c>
      <c r="AW304">
        <f t="shared" si="57"/>
        <v>4.602914394074074</v>
      </c>
      <c r="AX304" s="9"/>
      <c r="AY304" s="21">
        <v>1.38046</v>
      </c>
      <c r="AZ304" s="21">
        <v>29.844999999999999</v>
      </c>
      <c r="BA304" s="21">
        <v>-1.3439899999999999E-2</v>
      </c>
      <c r="BB304" s="21">
        <v>294</v>
      </c>
      <c r="BC304" s="21">
        <v>1.38</v>
      </c>
      <c r="BD304">
        <f t="shared" si="58"/>
        <v>16.592469135802467</v>
      </c>
      <c r="BE304">
        <f t="shared" si="59"/>
        <v>22.905239943209875</v>
      </c>
    </row>
    <row r="305" spans="6:57" x14ac:dyDescent="0.25">
      <c r="F305" s="9"/>
      <c r="G305" s="21">
        <v>0.25451699999999999</v>
      </c>
      <c r="H305" s="21">
        <v>7.9792699999999996</v>
      </c>
      <c r="I305" s="21">
        <v>-1.43188E-2</v>
      </c>
      <c r="J305" s="21">
        <v>295</v>
      </c>
      <c r="K305" s="21">
        <v>0.25393700000000002</v>
      </c>
      <c r="L305">
        <f t="shared" si="48"/>
        <v>17.677530864197529</v>
      </c>
      <c r="M305">
        <f t="shared" si="49"/>
        <v>4.4992321229629626</v>
      </c>
      <c r="N305" s="9"/>
      <c r="O305" s="21">
        <v>1.3855</v>
      </c>
      <c r="P305" s="21">
        <v>11.6776</v>
      </c>
      <c r="Q305" s="21">
        <v>-1.33972E-2</v>
      </c>
      <c r="R305" s="21">
        <v>295</v>
      </c>
      <c r="S305" s="21">
        <v>1.38489</v>
      </c>
      <c r="T305">
        <f t="shared" si="50"/>
        <v>16.539753086419751</v>
      </c>
      <c r="U305">
        <f t="shared" si="51"/>
        <v>22.915827901234564</v>
      </c>
      <c r="X305" s="9"/>
      <c r="Y305" s="21">
        <v>0.25451699999999999</v>
      </c>
      <c r="Z305" s="21">
        <v>17.044499999999999</v>
      </c>
      <c r="AA305" s="21">
        <v>-1.43219E-2</v>
      </c>
      <c r="AB305" s="21">
        <v>295</v>
      </c>
      <c r="AC305" s="21">
        <v>0.25402799999999998</v>
      </c>
      <c r="AD305">
        <f t="shared" si="52"/>
        <v>17.68135802469136</v>
      </c>
      <c r="AE305">
        <f t="shared" si="53"/>
        <v>4.5002062003703704</v>
      </c>
      <c r="AF305" s="9"/>
      <c r="AG305" s="21">
        <v>1.3855</v>
      </c>
      <c r="AH305" s="21">
        <v>20.742799999999999</v>
      </c>
      <c r="AI305" s="21">
        <v>-1.3458299999999999E-2</v>
      </c>
      <c r="AJ305" s="21">
        <v>295</v>
      </c>
      <c r="AK305" s="21">
        <v>1.38489</v>
      </c>
      <c r="AL305">
        <f t="shared" si="54"/>
        <v>16.615185185185183</v>
      </c>
      <c r="AM305">
        <f t="shared" si="55"/>
        <v>23.020339074074069</v>
      </c>
      <c r="AP305" s="9"/>
      <c r="AQ305" s="21">
        <v>0.25451699999999999</v>
      </c>
      <c r="AR305" s="21">
        <v>26.156700000000001</v>
      </c>
      <c r="AS305" s="21">
        <v>-1.43768E-2</v>
      </c>
      <c r="AT305" s="21">
        <v>295</v>
      </c>
      <c r="AU305" s="21">
        <v>0.25384499999999999</v>
      </c>
      <c r="AV305">
        <f t="shared" si="56"/>
        <v>17.749135802469137</v>
      </c>
      <c r="AW305">
        <f t="shared" si="57"/>
        <v>4.5174567970370374</v>
      </c>
      <c r="AX305" s="9"/>
      <c r="AY305" s="21">
        <v>1.3855</v>
      </c>
      <c r="AZ305" s="21">
        <v>29.855</v>
      </c>
      <c r="BA305" s="21">
        <v>-1.34155E-2</v>
      </c>
      <c r="BB305" s="21">
        <v>295</v>
      </c>
      <c r="BC305" s="21">
        <v>1.3851899999999999</v>
      </c>
      <c r="BD305">
        <f t="shared" si="58"/>
        <v>16.562345679012346</v>
      </c>
      <c r="BE305">
        <f t="shared" si="59"/>
        <v>22.947129938271605</v>
      </c>
    </row>
    <row r="306" spans="6:57" x14ac:dyDescent="0.25">
      <c r="F306" s="9"/>
      <c r="G306" s="21">
        <v>0.24948100000000001</v>
      </c>
      <c r="H306" s="21">
        <v>7.9893400000000003</v>
      </c>
      <c r="I306" s="21">
        <v>-1.4306599999999999E-2</v>
      </c>
      <c r="J306" s="21">
        <v>296</v>
      </c>
      <c r="K306" s="21">
        <v>0.24893199999999999</v>
      </c>
      <c r="L306">
        <f t="shared" si="48"/>
        <v>17.662469135802468</v>
      </c>
      <c r="M306">
        <f t="shared" si="49"/>
        <v>4.4064504624691354</v>
      </c>
      <c r="N306" s="9"/>
      <c r="O306" s="21">
        <v>1.39053</v>
      </c>
      <c r="P306" s="21">
        <v>11.6877</v>
      </c>
      <c r="Q306" s="21">
        <v>-1.33606E-2</v>
      </c>
      <c r="R306" s="21">
        <v>296</v>
      </c>
      <c r="S306" s="21">
        <v>1.3897699999999999</v>
      </c>
      <c r="T306">
        <f t="shared" si="50"/>
        <v>16.494567901234568</v>
      </c>
      <c r="U306">
        <f t="shared" si="51"/>
        <v>22.936191503703704</v>
      </c>
      <c r="X306" s="9"/>
      <c r="Y306" s="21">
        <v>0.24948100000000001</v>
      </c>
      <c r="Z306" s="21">
        <v>17.054600000000001</v>
      </c>
      <c r="AA306" s="21">
        <v>-1.4331099999999999E-2</v>
      </c>
      <c r="AB306" s="21">
        <v>296</v>
      </c>
      <c r="AC306" s="21">
        <v>0.24893199999999999</v>
      </c>
      <c r="AD306">
        <f t="shared" si="52"/>
        <v>17.692716049382714</v>
      </c>
      <c r="AE306">
        <f t="shared" si="53"/>
        <v>4.4139964927160493</v>
      </c>
      <c r="AF306" s="9"/>
      <c r="AG306" s="21">
        <v>1.39053</v>
      </c>
      <c r="AH306" s="21">
        <v>20.7529</v>
      </c>
      <c r="AI306" s="21">
        <v>-1.3421600000000001E-2</v>
      </c>
      <c r="AJ306" s="21">
        <v>296</v>
      </c>
      <c r="AK306" s="21">
        <v>1.38947</v>
      </c>
      <c r="AL306">
        <f t="shared" si="54"/>
        <v>16.569876543209876</v>
      </c>
      <c r="AM306">
        <f t="shared" si="55"/>
        <v>23.04091042962963</v>
      </c>
      <c r="AP306" s="9"/>
      <c r="AQ306" s="21">
        <v>0.24948100000000001</v>
      </c>
      <c r="AR306" s="21">
        <v>26.166799999999999</v>
      </c>
      <c r="AS306" s="21">
        <v>-1.4382900000000001E-2</v>
      </c>
      <c r="AT306" s="21">
        <v>296</v>
      </c>
      <c r="AU306" s="21">
        <v>0.24887100000000001</v>
      </c>
      <c r="AV306">
        <f t="shared" si="56"/>
        <v>17.756666666666668</v>
      </c>
      <c r="AW306">
        <f t="shared" si="57"/>
        <v>4.4299509566666675</v>
      </c>
      <c r="AX306" s="9"/>
      <c r="AY306" s="21">
        <v>1.39053</v>
      </c>
      <c r="AZ306" s="21">
        <v>29.865100000000002</v>
      </c>
      <c r="BA306" s="21">
        <v>-1.33911E-2</v>
      </c>
      <c r="BB306" s="21">
        <v>296</v>
      </c>
      <c r="BC306" s="21">
        <v>1.38947</v>
      </c>
      <c r="BD306">
        <f t="shared" si="58"/>
        <v>16.53222222222222</v>
      </c>
      <c r="BE306">
        <f t="shared" si="59"/>
        <v>22.988550966666665</v>
      </c>
    </row>
    <row r="307" spans="6:57" x14ac:dyDescent="0.25">
      <c r="F307" s="9"/>
      <c r="G307" s="21">
        <v>0.244446</v>
      </c>
      <c r="H307" s="21">
        <v>7.9994100000000001</v>
      </c>
      <c r="I307" s="21">
        <v>-1.4291399999999999E-2</v>
      </c>
      <c r="J307" s="21">
        <v>297</v>
      </c>
      <c r="K307" s="21">
        <v>0.24380499999999999</v>
      </c>
      <c r="L307">
        <f t="shared" si="48"/>
        <v>17.643703703703704</v>
      </c>
      <c r="M307">
        <f t="shared" si="49"/>
        <v>4.3129327955555556</v>
      </c>
      <c r="N307" s="9"/>
      <c r="O307" s="21">
        <v>1.39557</v>
      </c>
      <c r="P307" s="21">
        <v>11.697699999999999</v>
      </c>
      <c r="Q307" s="21">
        <v>-1.3333100000000001E-2</v>
      </c>
      <c r="R307" s="21">
        <v>297</v>
      </c>
      <c r="S307" s="21">
        <v>1.3946499999999999</v>
      </c>
      <c r="T307">
        <f t="shared" si="50"/>
        <v>16.460617283950615</v>
      </c>
      <c r="U307">
        <f t="shared" si="51"/>
        <v>22.971943662962961</v>
      </c>
      <c r="X307" s="9"/>
      <c r="Y307" s="21">
        <v>0.244446</v>
      </c>
      <c r="Z307" s="21">
        <v>17.064599999999999</v>
      </c>
      <c r="AA307" s="21">
        <v>-1.4331099999999999E-2</v>
      </c>
      <c r="AB307" s="21">
        <v>297</v>
      </c>
      <c r="AC307" s="21">
        <v>0.243866</v>
      </c>
      <c r="AD307">
        <f t="shared" si="52"/>
        <v>17.692716049382714</v>
      </c>
      <c r="AE307">
        <f t="shared" si="53"/>
        <v>4.3249136674074071</v>
      </c>
      <c r="AF307" s="9"/>
      <c r="AG307" s="21">
        <v>1.39557</v>
      </c>
      <c r="AH307" s="21">
        <v>20.763000000000002</v>
      </c>
      <c r="AI307" s="21">
        <v>-1.33881E-2</v>
      </c>
      <c r="AJ307" s="21">
        <v>297</v>
      </c>
      <c r="AK307" s="21">
        <v>1.3946499999999999</v>
      </c>
      <c r="AL307">
        <f t="shared" si="54"/>
        <v>16.528518518518517</v>
      </c>
      <c r="AM307">
        <f t="shared" si="55"/>
        <v>23.066704588888886</v>
      </c>
      <c r="AP307" s="9"/>
      <c r="AQ307" s="21">
        <v>0.244446</v>
      </c>
      <c r="AR307" s="21">
        <v>26.1768</v>
      </c>
      <c r="AS307" s="21">
        <v>-1.4382900000000001E-2</v>
      </c>
      <c r="AT307" s="21">
        <v>297</v>
      </c>
      <c r="AU307" s="21">
        <v>0.243896</v>
      </c>
      <c r="AV307">
        <f t="shared" si="56"/>
        <v>17.756666666666668</v>
      </c>
      <c r="AW307">
        <f t="shared" si="57"/>
        <v>4.3405461399999998</v>
      </c>
      <c r="AX307" s="9"/>
      <c r="AY307" s="21">
        <v>1.39557</v>
      </c>
      <c r="AZ307" s="21">
        <v>29.8752</v>
      </c>
      <c r="BA307" s="21">
        <v>-1.33575E-2</v>
      </c>
      <c r="BB307" s="21">
        <v>297</v>
      </c>
      <c r="BC307" s="21">
        <v>1.3946499999999999</v>
      </c>
      <c r="BD307">
        <f t="shared" si="58"/>
        <v>16.49074074074074</v>
      </c>
      <c r="BE307">
        <f t="shared" si="59"/>
        <v>23.013983055555556</v>
      </c>
    </row>
    <row r="308" spans="6:57" x14ac:dyDescent="0.25">
      <c r="F308" s="9"/>
      <c r="G308" s="21">
        <v>0.23941000000000001</v>
      </c>
      <c r="H308" s="21">
        <v>8.0094799999999999</v>
      </c>
      <c r="I308" s="21">
        <v>-1.4279200000000001E-2</v>
      </c>
      <c r="J308" s="21">
        <v>298</v>
      </c>
      <c r="K308" s="21">
        <v>0.238708</v>
      </c>
      <c r="L308">
        <f t="shared" si="48"/>
        <v>17.628641975308639</v>
      </c>
      <c r="M308">
        <f t="shared" si="49"/>
        <v>4.2204731753086415</v>
      </c>
      <c r="N308" s="9"/>
      <c r="O308" s="21">
        <v>1.4006000000000001</v>
      </c>
      <c r="P308" s="21">
        <v>11.707800000000001</v>
      </c>
      <c r="Q308" s="21">
        <v>-1.33087E-2</v>
      </c>
      <c r="R308" s="21">
        <v>298</v>
      </c>
      <c r="S308" s="21">
        <v>1.39954</v>
      </c>
      <c r="T308">
        <f t="shared" si="50"/>
        <v>16.430493827160493</v>
      </c>
      <c r="U308">
        <f t="shared" si="51"/>
        <v>23.012549654320988</v>
      </c>
      <c r="X308" s="9"/>
      <c r="Y308" s="21">
        <v>0.23941000000000001</v>
      </c>
      <c r="Z308" s="21">
        <v>17.0747</v>
      </c>
      <c r="AA308" s="21">
        <v>-1.4328E-2</v>
      </c>
      <c r="AB308" s="21">
        <v>298</v>
      </c>
      <c r="AC308" s="21">
        <v>0.238678</v>
      </c>
      <c r="AD308">
        <f t="shared" si="52"/>
        <v>17.68888888888889</v>
      </c>
      <c r="AE308">
        <f t="shared" si="53"/>
        <v>4.2348968888888896</v>
      </c>
      <c r="AF308" s="9"/>
      <c r="AG308" s="21">
        <v>1.4006000000000001</v>
      </c>
      <c r="AH308" s="21">
        <v>20.773</v>
      </c>
      <c r="AI308" s="21">
        <v>-1.3351399999999999E-2</v>
      </c>
      <c r="AJ308" s="21">
        <v>298</v>
      </c>
      <c r="AK308" s="21">
        <v>1.40015</v>
      </c>
      <c r="AL308">
        <f t="shared" si="54"/>
        <v>16.483209876543206</v>
      </c>
      <c r="AM308">
        <f t="shared" si="55"/>
        <v>23.086383753086416</v>
      </c>
      <c r="AP308" s="9"/>
      <c r="AQ308" s="21">
        <v>0.23941000000000001</v>
      </c>
      <c r="AR308" s="21">
        <v>26.186900000000001</v>
      </c>
      <c r="AS308" s="21">
        <v>-1.4382900000000001E-2</v>
      </c>
      <c r="AT308" s="21">
        <v>298</v>
      </c>
      <c r="AU308" s="21">
        <v>0.23886099999999999</v>
      </c>
      <c r="AV308">
        <f t="shared" si="56"/>
        <v>17.756666666666668</v>
      </c>
      <c r="AW308">
        <f t="shared" si="57"/>
        <v>4.2511235666666671</v>
      </c>
      <c r="AX308" s="9"/>
      <c r="AY308" s="21">
        <v>1.4006000000000001</v>
      </c>
      <c r="AZ308" s="21">
        <v>29.885300000000001</v>
      </c>
      <c r="BA308" s="21">
        <v>-1.3330099999999999E-2</v>
      </c>
      <c r="BB308" s="21">
        <v>298</v>
      </c>
      <c r="BC308" s="21">
        <v>1.39954</v>
      </c>
      <c r="BD308">
        <f t="shared" si="58"/>
        <v>16.456913580246912</v>
      </c>
      <c r="BE308">
        <f t="shared" si="59"/>
        <v>23.049553160493826</v>
      </c>
    </row>
    <row r="309" spans="6:57" x14ac:dyDescent="0.25">
      <c r="F309" s="9"/>
      <c r="G309" s="21">
        <v>0.234375</v>
      </c>
      <c r="H309" s="21">
        <v>8.0195500000000006</v>
      </c>
      <c r="I309" s="21">
        <v>-1.42822E-2</v>
      </c>
      <c r="J309" s="21">
        <v>299</v>
      </c>
      <c r="K309" s="21">
        <v>0.233734</v>
      </c>
      <c r="L309">
        <f t="shared" si="48"/>
        <v>17.632345679012342</v>
      </c>
      <c r="M309">
        <f t="shared" si="49"/>
        <v>4.1325810185185174</v>
      </c>
      <c r="N309" s="9"/>
      <c r="O309" s="21">
        <v>1.40564</v>
      </c>
      <c r="P309" s="21">
        <v>11.7179</v>
      </c>
      <c r="Q309" s="21">
        <v>-1.32935E-2</v>
      </c>
      <c r="R309" s="21">
        <v>299</v>
      </c>
      <c r="S309" s="21">
        <v>1.40472</v>
      </c>
      <c r="T309">
        <f t="shared" si="50"/>
        <v>16.411728395061726</v>
      </c>
      <c r="U309">
        <f t="shared" si="51"/>
        <v>23.068981901234565</v>
      </c>
      <c r="X309" s="9"/>
      <c r="Y309" s="21">
        <v>0.234375</v>
      </c>
      <c r="Z309" s="21">
        <v>17.084800000000001</v>
      </c>
      <c r="AA309" s="21">
        <v>-1.43372E-2</v>
      </c>
      <c r="AB309" s="21">
        <v>299</v>
      </c>
      <c r="AC309" s="21">
        <v>0.23388700000000001</v>
      </c>
      <c r="AD309">
        <f t="shared" si="52"/>
        <v>17.700246913580244</v>
      </c>
      <c r="AE309">
        <f t="shared" si="53"/>
        <v>4.1484953703703695</v>
      </c>
      <c r="AF309" s="9"/>
      <c r="AG309" s="21">
        <v>1.40564</v>
      </c>
      <c r="AH309" s="21">
        <v>20.783100000000001</v>
      </c>
      <c r="AI309" s="21">
        <v>-1.3330099999999999E-2</v>
      </c>
      <c r="AJ309" s="21">
        <v>299</v>
      </c>
      <c r="AK309" s="21">
        <v>1.40533</v>
      </c>
      <c r="AL309">
        <f t="shared" si="54"/>
        <v>16.456913580246912</v>
      </c>
      <c r="AM309">
        <f t="shared" si="55"/>
        <v>23.132496004938268</v>
      </c>
      <c r="AP309" s="9"/>
      <c r="AQ309" s="21">
        <v>0.234375</v>
      </c>
      <c r="AR309" s="21">
        <v>26.196999999999999</v>
      </c>
      <c r="AS309" s="21">
        <v>-1.43768E-2</v>
      </c>
      <c r="AT309" s="21">
        <v>299</v>
      </c>
      <c r="AU309" s="21">
        <v>0.23385600000000001</v>
      </c>
      <c r="AV309">
        <f t="shared" si="56"/>
        <v>17.749135802469137</v>
      </c>
      <c r="AW309">
        <f t="shared" si="57"/>
        <v>4.159953703703704</v>
      </c>
      <c r="AX309" s="9"/>
      <c r="AY309" s="21">
        <v>1.40564</v>
      </c>
      <c r="AZ309" s="21">
        <v>29.895299999999999</v>
      </c>
      <c r="BA309" s="21">
        <v>-1.33118E-2</v>
      </c>
      <c r="BB309" s="21">
        <v>299</v>
      </c>
      <c r="BC309" s="21">
        <v>1.40472</v>
      </c>
      <c r="BD309">
        <f t="shared" si="58"/>
        <v>16.434320987654321</v>
      </c>
      <c r="BE309">
        <f t="shared" si="59"/>
        <v>23.10073895308642</v>
      </c>
    </row>
    <row r="310" spans="6:57" x14ac:dyDescent="0.25">
      <c r="F310" s="9"/>
      <c r="G310" s="21">
        <v>0.22933999999999999</v>
      </c>
      <c r="H310" s="21">
        <v>8.0296199999999995</v>
      </c>
      <c r="I310" s="21">
        <v>-1.42822E-2</v>
      </c>
      <c r="J310" s="21">
        <v>300</v>
      </c>
      <c r="K310" s="21">
        <v>0.228851</v>
      </c>
      <c r="L310">
        <f t="shared" si="48"/>
        <v>17.632345679012342</v>
      </c>
      <c r="M310">
        <f t="shared" si="49"/>
        <v>4.0438021580246906</v>
      </c>
      <c r="N310" s="9"/>
      <c r="O310" s="21">
        <v>1.4106799999999999</v>
      </c>
      <c r="P310" s="21">
        <v>11.728</v>
      </c>
      <c r="Q310" s="21">
        <v>-1.3262899999999999E-2</v>
      </c>
      <c r="R310" s="21">
        <v>300</v>
      </c>
      <c r="S310" s="21">
        <v>1.41022</v>
      </c>
      <c r="T310">
        <f t="shared" si="50"/>
        <v>16.373950617283949</v>
      </c>
      <c r="U310">
        <f t="shared" si="51"/>
        <v>23.09840465679012</v>
      </c>
      <c r="X310" s="9"/>
      <c r="Y310" s="21">
        <v>0.22933999999999999</v>
      </c>
      <c r="Z310" s="21">
        <v>17.094799999999999</v>
      </c>
      <c r="AA310" s="21">
        <v>-1.43372E-2</v>
      </c>
      <c r="AB310" s="21">
        <v>300</v>
      </c>
      <c r="AC310" s="21">
        <v>0.22869900000000001</v>
      </c>
      <c r="AD310">
        <f t="shared" si="52"/>
        <v>17.700246913580244</v>
      </c>
      <c r="AE310">
        <f t="shared" si="53"/>
        <v>4.0593746271604934</v>
      </c>
      <c r="AF310" s="9"/>
      <c r="AG310" s="21">
        <v>1.4106799999999999</v>
      </c>
      <c r="AH310" s="21">
        <v>20.793199999999999</v>
      </c>
      <c r="AI310" s="21">
        <v>-1.3302599999999999E-2</v>
      </c>
      <c r="AJ310" s="21">
        <v>300</v>
      </c>
      <c r="AK310" s="21">
        <v>1.41022</v>
      </c>
      <c r="AL310">
        <f t="shared" si="54"/>
        <v>16.422962962962963</v>
      </c>
      <c r="AM310">
        <f t="shared" si="55"/>
        <v>23.16754539259259</v>
      </c>
      <c r="AP310" s="9"/>
      <c r="AQ310" s="21">
        <v>0.22933999999999999</v>
      </c>
      <c r="AR310" s="21">
        <v>26.207100000000001</v>
      </c>
      <c r="AS310" s="21">
        <v>-1.4379899999999999E-2</v>
      </c>
      <c r="AT310" s="21">
        <v>300</v>
      </c>
      <c r="AU310" s="21">
        <v>0.22878999999999999</v>
      </c>
      <c r="AV310">
        <f t="shared" si="56"/>
        <v>17.752962962962961</v>
      </c>
      <c r="AW310">
        <f t="shared" si="57"/>
        <v>4.0714645259259257</v>
      </c>
      <c r="AX310" s="9"/>
      <c r="AY310" s="21">
        <v>1.4106799999999999</v>
      </c>
      <c r="AZ310" s="21">
        <v>29.9054</v>
      </c>
      <c r="BA310" s="21">
        <v>-1.3290400000000001E-2</v>
      </c>
      <c r="BB310" s="21">
        <v>300</v>
      </c>
      <c r="BC310" s="21">
        <v>1.41052</v>
      </c>
      <c r="BD310">
        <f t="shared" si="58"/>
        <v>16.407901234567902</v>
      </c>
      <c r="BE310">
        <f t="shared" si="59"/>
        <v>23.146298113580247</v>
      </c>
    </row>
    <row r="311" spans="6:57" x14ac:dyDescent="0.25">
      <c r="F311" s="9"/>
      <c r="G311" s="21">
        <v>0.224304</v>
      </c>
      <c r="H311" s="21">
        <v>8.0396900000000002</v>
      </c>
      <c r="I311" s="21">
        <v>-1.42883E-2</v>
      </c>
      <c r="J311" s="21">
        <v>301</v>
      </c>
      <c r="K311" s="21">
        <v>0.223663</v>
      </c>
      <c r="L311">
        <f t="shared" si="48"/>
        <v>17.639876543209876</v>
      </c>
      <c r="M311">
        <f t="shared" si="49"/>
        <v>3.9566948681481482</v>
      </c>
      <c r="N311" s="9"/>
      <c r="O311" s="21">
        <v>1.41571</v>
      </c>
      <c r="P311" s="21">
        <v>11.738</v>
      </c>
      <c r="Q311" s="21">
        <v>-1.3235500000000001E-2</v>
      </c>
      <c r="R311" s="21">
        <v>301</v>
      </c>
      <c r="S311" s="21">
        <v>1.41479</v>
      </c>
      <c r="T311">
        <f t="shared" si="50"/>
        <v>16.340123456790124</v>
      </c>
      <c r="U311">
        <f t="shared" si="51"/>
        <v>23.132876179012346</v>
      </c>
      <c r="X311" s="9"/>
      <c r="Y311" s="21">
        <v>0.224304</v>
      </c>
      <c r="Z311" s="21">
        <v>17.104900000000001</v>
      </c>
      <c r="AA311" s="21">
        <v>-1.4346299999999999E-2</v>
      </c>
      <c r="AB311" s="21">
        <v>301</v>
      </c>
      <c r="AC311" s="21">
        <v>0.22381599999999999</v>
      </c>
      <c r="AD311">
        <f t="shared" si="52"/>
        <v>17.711481481481481</v>
      </c>
      <c r="AE311">
        <f t="shared" si="53"/>
        <v>3.9727561422222224</v>
      </c>
      <c r="AF311" s="9"/>
      <c r="AG311" s="21">
        <v>1.41571</v>
      </c>
      <c r="AH311" s="21">
        <v>20.8032</v>
      </c>
      <c r="AI311" s="21">
        <v>-1.3281299999999999E-2</v>
      </c>
      <c r="AJ311" s="21">
        <v>301</v>
      </c>
      <c r="AK311" s="21">
        <v>1.4151</v>
      </c>
      <c r="AL311">
        <f t="shared" si="54"/>
        <v>16.396666666666665</v>
      </c>
      <c r="AM311">
        <f t="shared" si="55"/>
        <v>23.212924966666666</v>
      </c>
      <c r="AP311" s="9"/>
      <c r="AQ311" s="21">
        <v>0.224304</v>
      </c>
      <c r="AR311" s="21">
        <v>26.217099999999999</v>
      </c>
      <c r="AS311" s="21">
        <v>-1.4379899999999999E-2</v>
      </c>
      <c r="AT311" s="21">
        <v>301</v>
      </c>
      <c r="AU311" s="21">
        <v>0.223694</v>
      </c>
      <c r="AV311">
        <f t="shared" si="56"/>
        <v>17.752962962962961</v>
      </c>
      <c r="AW311">
        <f t="shared" si="57"/>
        <v>3.982060604444444</v>
      </c>
      <c r="AX311" s="9"/>
      <c r="AY311" s="21">
        <v>1.41571</v>
      </c>
      <c r="AZ311" s="21">
        <v>29.915500000000002</v>
      </c>
      <c r="BA311" s="21">
        <v>-1.32721E-2</v>
      </c>
      <c r="BB311" s="21">
        <v>301</v>
      </c>
      <c r="BC311" s="21">
        <v>1.4151</v>
      </c>
      <c r="BD311">
        <f t="shared" si="58"/>
        <v>16.385308641975307</v>
      </c>
      <c r="BE311">
        <f t="shared" si="59"/>
        <v>23.196845297530864</v>
      </c>
    </row>
    <row r="312" spans="6:57" x14ac:dyDescent="0.25">
      <c r="F312" s="9"/>
      <c r="G312" s="21">
        <v>0.21926899999999999</v>
      </c>
      <c r="H312" s="21">
        <v>8.0497599999999991</v>
      </c>
      <c r="I312" s="21">
        <v>-1.4297499999999999E-2</v>
      </c>
      <c r="J312" s="21">
        <v>302</v>
      </c>
      <c r="K312" s="21">
        <v>0.218719</v>
      </c>
      <c r="L312">
        <f t="shared" si="48"/>
        <v>17.651234567901231</v>
      </c>
      <c r="M312">
        <f t="shared" si="49"/>
        <v>3.8703685524691349</v>
      </c>
      <c r="N312" s="9"/>
      <c r="O312" s="21">
        <v>1.42075</v>
      </c>
      <c r="P312" s="21">
        <v>11.748100000000001</v>
      </c>
      <c r="Q312" s="21">
        <v>-1.3207999999999999E-2</v>
      </c>
      <c r="R312" s="21">
        <v>302</v>
      </c>
      <c r="S312" s="21">
        <v>1.4202900000000001</v>
      </c>
      <c r="T312">
        <f t="shared" si="50"/>
        <v>16.306172839506171</v>
      </c>
      <c r="U312">
        <f t="shared" si="51"/>
        <v>23.166995061728393</v>
      </c>
      <c r="X312" s="9"/>
      <c r="Y312" s="21">
        <v>0.21926899999999999</v>
      </c>
      <c r="Z312" s="21">
        <v>17.114999999999998</v>
      </c>
      <c r="AA312" s="21">
        <v>-1.43646E-2</v>
      </c>
      <c r="AB312" s="21">
        <v>302</v>
      </c>
      <c r="AC312" s="21">
        <v>0.21868899999999999</v>
      </c>
      <c r="AD312">
        <f t="shared" si="52"/>
        <v>17.734074074074073</v>
      </c>
      <c r="AE312">
        <f t="shared" si="53"/>
        <v>3.8885326881481479</v>
      </c>
      <c r="AF312" s="9"/>
      <c r="AG312" s="21">
        <v>1.42075</v>
      </c>
      <c r="AH312" s="21">
        <v>20.813300000000002</v>
      </c>
      <c r="AI312" s="21">
        <v>-1.3269E-2</v>
      </c>
      <c r="AJ312" s="21">
        <v>302</v>
      </c>
      <c r="AK312" s="21">
        <v>1.41998</v>
      </c>
      <c r="AL312">
        <f t="shared" si="54"/>
        <v>16.38148148148148</v>
      </c>
      <c r="AM312">
        <f t="shared" si="55"/>
        <v>23.273989814814811</v>
      </c>
      <c r="AP312" s="9"/>
      <c r="AQ312" s="21">
        <v>0.21926899999999999</v>
      </c>
      <c r="AR312" s="21">
        <v>26.2272</v>
      </c>
      <c r="AS312" s="21">
        <v>-1.4382900000000001E-2</v>
      </c>
      <c r="AT312" s="21">
        <v>302</v>
      </c>
      <c r="AU312" s="21">
        <v>0.21868899999999999</v>
      </c>
      <c r="AV312">
        <f t="shared" si="56"/>
        <v>17.756666666666668</v>
      </c>
      <c r="AW312">
        <f t="shared" si="57"/>
        <v>3.8934865433333332</v>
      </c>
      <c r="AX312" s="9"/>
      <c r="AY312" s="21">
        <v>1.42075</v>
      </c>
      <c r="AZ312" s="21">
        <v>29.9255</v>
      </c>
      <c r="BA312" s="21">
        <v>-1.3247699999999999E-2</v>
      </c>
      <c r="BB312" s="21">
        <v>302</v>
      </c>
      <c r="BC312" s="21">
        <v>1.4202900000000001</v>
      </c>
      <c r="BD312">
        <f t="shared" si="58"/>
        <v>16.355185185185185</v>
      </c>
      <c r="BE312">
        <f t="shared" si="59"/>
        <v>23.23662935185185</v>
      </c>
    </row>
    <row r="313" spans="6:57" x14ac:dyDescent="0.25">
      <c r="F313" s="9"/>
      <c r="G313" s="21">
        <v>0.21423300000000001</v>
      </c>
      <c r="H313" s="21">
        <v>8.0598299999999998</v>
      </c>
      <c r="I313" s="21">
        <v>-1.4285300000000001E-2</v>
      </c>
      <c r="J313" s="21">
        <v>303</v>
      </c>
      <c r="K313" s="21">
        <v>0.21365400000000001</v>
      </c>
      <c r="L313">
        <f t="shared" si="48"/>
        <v>17.636172839506173</v>
      </c>
      <c r="M313">
        <f t="shared" si="49"/>
        <v>3.7782502159259259</v>
      </c>
      <c r="N313" s="9"/>
      <c r="O313" s="21">
        <v>1.42578</v>
      </c>
      <c r="P313" s="21">
        <v>11.7582</v>
      </c>
      <c r="Q313" s="21">
        <v>-1.31775E-2</v>
      </c>
      <c r="R313" s="21">
        <v>303</v>
      </c>
      <c r="S313" s="21">
        <v>1.4254800000000001</v>
      </c>
      <c r="T313">
        <f t="shared" si="50"/>
        <v>16.268518518518519</v>
      </c>
      <c r="U313">
        <f t="shared" si="51"/>
        <v>23.195328333333336</v>
      </c>
      <c r="X313" s="9"/>
      <c r="Y313" s="21">
        <v>0.21423300000000001</v>
      </c>
      <c r="Z313" s="21">
        <v>17.125</v>
      </c>
      <c r="AA313" s="21">
        <v>-1.4379899999999999E-2</v>
      </c>
      <c r="AB313" s="21">
        <v>303</v>
      </c>
      <c r="AC313" s="21">
        <v>0.213531</v>
      </c>
      <c r="AD313">
        <f t="shared" si="52"/>
        <v>17.752962962962961</v>
      </c>
      <c r="AE313">
        <f t="shared" si="53"/>
        <v>3.8032705144444443</v>
      </c>
      <c r="AF313" s="9"/>
      <c r="AG313" s="21">
        <v>1.42578</v>
      </c>
      <c r="AH313" s="21">
        <v>20.823399999999999</v>
      </c>
      <c r="AI313" s="21">
        <v>-1.3241599999999999E-2</v>
      </c>
      <c r="AJ313" s="21">
        <v>303</v>
      </c>
      <c r="AK313" s="21">
        <v>1.42517</v>
      </c>
      <c r="AL313">
        <f t="shared" si="54"/>
        <v>16.347654320987651</v>
      </c>
      <c r="AM313">
        <f t="shared" si="55"/>
        <v>23.308158577777775</v>
      </c>
      <c r="AP313" s="9"/>
      <c r="AQ313" s="21">
        <v>0.21423300000000001</v>
      </c>
      <c r="AR313" s="21">
        <v>26.237300000000001</v>
      </c>
      <c r="AS313" s="21">
        <v>-1.43707E-2</v>
      </c>
      <c r="AT313" s="21">
        <v>303</v>
      </c>
      <c r="AU313" s="21">
        <v>0.21374499999999999</v>
      </c>
      <c r="AV313">
        <f t="shared" si="56"/>
        <v>17.741604938271603</v>
      </c>
      <c r="AW313">
        <f t="shared" si="57"/>
        <v>3.8008372507407406</v>
      </c>
      <c r="AX313" s="9"/>
      <c r="AY313" s="21">
        <v>1.42578</v>
      </c>
      <c r="AZ313" s="21">
        <v>29.935600000000001</v>
      </c>
      <c r="BA313" s="21">
        <v>-1.3207999999999999E-2</v>
      </c>
      <c r="BB313" s="21">
        <v>303</v>
      </c>
      <c r="BC313" s="21">
        <v>1.42517</v>
      </c>
      <c r="BD313">
        <f t="shared" si="58"/>
        <v>16.306172839506171</v>
      </c>
      <c r="BE313">
        <f t="shared" si="59"/>
        <v>23.24901511111111</v>
      </c>
    </row>
    <row r="314" spans="6:57" x14ac:dyDescent="0.25">
      <c r="F314" s="9"/>
      <c r="G314" s="21">
        <v>0.209198</v>
      </c>
      <c r="H314" s="21">
        <v>8.0699100000000001</v>
      </c>
      <c r="I314" s="21">
        <v>-1.4285300000000001E-2</v>
      </c>
      <c r="J314" s="21">
        <v>304</v>
      </c>
      <c r="K314" s="21">
        <v>0.20871000000000001</v>
      </c>
      <c r="L314">
        <f t="shared" si="48"/>
        <v>17.636172839506173</v>
      </c>
      <c r="M314">
        <f t="shared" si="49"/>
        <v>3.6894520856790125</v>
      </c>
      <c r="N314" s="9"/>
      <c r="O314" s="21">
        <v>1.43082</v>
      </c>
      <c r="P314" s="21">
        <v>11.7682</v>
      </c>
      <c r="Q314" s="21">
        <v>-1.3153099999999999E-2</v>
      </c>
      <c r="R314" s="21">
        <v>304</v>
      </c>
      <c r="S314" s="21">
        <v>1.43005</v>
      </c>
      <c r="T314">
        <f t="shared" si="50"/>
        <v>16.238395061728394</v>
      </c>
      <c r="U314">
        <f t="shared" si="51"/>
        <v>23.234220422222219</v>
      </c>
      <c r="X314" s="9"/>
      <c r="Y314" s="21">
        <v>0.209198</v>
      </c>
      <c r="Z314" s="21">
        <v>17.135100000000001</v>
      </c>
      <c r="AA314" s="21">
        <v>-1.4389000000000001E-2</v>
      </c>
      <c r="AB314" s="21">
        <v>304</v>
      </c>
      <c r="AC314" s="21">
        <v>0.208679</v>
      </c>
      <c r="AD314">
        <f t="shared" si="52"/>
        <v>17.764197530864198</v>
      </c>
      <c r="AE314">
        <f t="shared" si="53"/>
        <v>3.7162345950617284</v>
      </c>
      <c r="AF314" s="9"/>
      <c r="AG314" s="21">
        <v>1.43082</v>
      </c>
      <c r="AH314" s="21">
        <v>20.833500000000001</v>
      </c>
      <c r="AI314" s="21">
        <v>-1.32172E-2</v>
      </c>
      <c r="AJ314" s="21">
        <v>304</v>
      </c>
      <c r="AK314" s="21">
        <v>1.43005</v>
      </c>
      <c r="AL314">
        <f t="shared" si="54"/>
        <v>16.317530864197529</v>
      </c>
      <c r="AM314">
        <f t="shared" si="55"/>
        <v>23.347449511111108</v>
      </c>
      <c r="AP314" s="9"/>
      <c r="AQ314" s="21">
        <v>0.209198</v>
      </c>
      <c r="AR314" s="21">
        <v>26.247299999999999</v>
      </c>
      <c r="AS314" s="21">
        <v>-1.4382900000000001E-2</v>
      </c>
      <c r="AT314" s="21">
        <v>304</v>
      </c>
      <c r="AU314" s="21">
        <v>0.20871000000000001</v>
      </c>
      <c r="AV314">
        <f t="shared" si="56"/>
        <v>17.756666666666668</v>
      </c>
      <c r="AW314">
        <f t="shared" si="57"/>
        <v>3.7146591533333333</v>
      </c>
      <c r="AX314" s="9"/>
      <c r="AY314" s="21">
        <v>1.43082</v>
      </c>
      <c r="AZ314" s="21">
        <v>29.945699999999999</v>
      </c>
      <c r="BA314" s="21">
        <v>-1.3168300000000001E-2</v>
      </c>
      <c r="BB314" s="21">
        <v>304</v>
      </c>
      <c r="BC314" s="21">
        <v>1.4297500000000001</v>
      </c>
      <c r="BD314">
        <f t="shared" si="58"/>
        <v>16.257160493827158</v>
      </c>
      <c r="BE314">
        <f t="shared" si="59"/>
        <v>23.261070377777774</v>
      </c>
    </row>
    <row r="315" spans="6:57" x14ac:dyDescent="0.25">
      <c r="F315" s="9"/>
      <c r="G315" s="21">
        <v>0.20416300000000001</v>
      </c>
      <c r="H315" s="21">
        <v>8.0799800000000008</v>
      </c>
      <c r="I315" s="21">
        <v>-1.4285300000000001E-2</v>
      </c>
      <c r="J315" s="21">
        <v>305</v>
      </c>
      <c r="K315" s="21">
        <v>0.20364399999999999</v>
      </c>
      <c r="L315">
        <f t="shared" si="48"/>
        <v>17.636172839506173</v>
      </c>
      <c r="M315">
        <f t="shared" si="49"/>
        <v>3.6006539554320991</v>
      </c>
      <c r="N315" s="9"/>
      <c r="O315" s="21">
        <v>1.4358500000000001</v>
      </c>
      <c r="P315" s="21">
        <v>11.7783</v>
      </c>
      <c r="Q315" s="21">
        <v>-1.3119499999999999E-2</v>
      </c>
      <c r="R315" s="21">
        <v>305</v>
      </c>
      <c r="S315" s="21">
        <v>1.4352400000000001</v>
      </c>
      <c r="T315">
        <f t="shared" si="50"/>
        <v>16.19691358024691</v>
      </c>
      <c r="U315">
        <f t="shared" si="51"/>
        <v>23.256338364197529</v>
      </c>
      <c r="X315" s="9"/>
      <c r="Y315" s="21">
        <v>0.20416300000000001</v>
      </c>
      <c r="Z315" s="21">
        <v>17.145199999999999</v>
      </c>
      <c r="AA315" s="21">
        <v>-1.4382900000000001E-2</v>
      </c>
      <c r="AB315" s="21">
        <v>305</v>
      </c>
      <c r="AC315" s="21">
        <v>0.20364399999999999</v>
      </c>
      <c r="AD315">
        <f t="shared" si="52"/>
        <v>17.756666666666668</v>
      </c>
      <c r="AE315">
        <f t="shared" si="53"/>
        <v>3.625254336666667</v>
      </c>
      <c r="AF315" s="9"/>
      <c r="AG315" s="21">
        <v>1.4358500000000001</v>
      </c>
      <c r="AH315" s="21">
        <v>20.843499999999999</v>
      </c>
      <c r="AI315" s="21">
        <v>-1.31836E-2</v>
      </c>
      <c r="AJ315" s="21">
        <v>305</v>
      </c>
      <c r="AK315" s="21">
        <v>1.4355500000000001</v>
      </c>
      <c r="AL315">
        <f t="shared" si="54"/>
        <v>16.276049382716046</v>
      </c>
      <c r="AM315">
        <f t="shared" si="55"/>
        <v>23.369965506172836</v>
      </c>
      <c r="AP315" s="9"/>
      <c r="AQ315" s="21">
        <v>0.20416300000000001</v>
      </c>
      <c r="AR315" s="21">
        <v>26.257400000000001</v>
      </c>
      <c r="AS315" s="21">
        <v>-1.4382900000000001E-2</v>
      </c>
      <c r="AT315" s="21">
        <v>305</v>
      </c>
      <c r="AU315" s="21">
        <v>0.203705</v>
      </c>
      <c r="AV315">
        <f t="shared" si="56"/>
        <v>17.756666666666668</v>
      </c>
      <c r="AW315">
        <f t="shared" si="57"/>
        <v>3.625254336666667</v>
      </c>
      <c r="AX315" s="9"/>
      <c r="AY315" s="21">
        <v>1.4358500000000001</v>
      </c>
      <c r="AZ315" s="21">
        <v>29.9557</v>
      </c>
      <c r="BA315" s="21">
        <v>-1.31287E-2</v>
      </c>
      <c r="BB315" s="21">
        <v>305</v>
      </c>
      <c r="BC315" s="21">
        <v>1.4355500000000001</v>
      </c>
      <c r="BD315">
        <f t="shared" si="58"/>
        <v>16.208271604938268</v>
      </c>
      <c r="BE315">
        <f t="shared" si="59"/>
        <v>23.272646783950613</v>
      </c>
    </row>
    <row r="316" spans="6:57" x14ac:dyDescent="0.25">
      <c r="F316" s="9"/>
      <c r="G316" s="21">
        <v>0.199127</v>
      </c>
      <c r="H316" s="21">
        <v>8.0900499999999997</v>
      </c>
      <c r="I316" s="21">
        <v>-1.4285300000000001E-2</v>
      </c>
      <c r="J316" s="21">
        <v>306</v>
      </c>
      <c r="K316" s="21">
        <v>0.19876099999999999</v>
      </c>
      <c r="L316">
        <f t="shared" si="48"/>
        <v>17.636172839506173</v>
      </c>
      <c r="M316">
        <f t="shared" si="49"/>
        <v>3.5118381890123458</v>
      </c>
      <c r="N316" s="9"/>
      <c r="O316" s="21">
        <v>1.44089</v>
      </c>
      <c r="P316" s="21">
        <v>11.788399999999999</v>
      </c>
      <c r="Q316" s="21">
        <v>-1.30829E-2</v>
      </c>
      <c r="R316" s="21">
        <v>306</v>
      </c>
      <c r="S316" s="21">
        <v>1.4398200000000001</v>
      </c>
      <c r="T316">
        <f t="shared" si="50"/>
        <v>16.151728395061728</v>
      </c>
      <c r="U316">
        <f t="shared" si="51"/>
        <v>23.272863927160493</v>
      </c>
      <c r="X316" s="9"/>
      <c r="Y316" s="21">
        <v>0.199127</v>
      </c>
      <c r="Z316" s="21">
        <v>17.1553</v>
      </c>
      <c r="AA316" s="21">
        <v>-1.4379899999999999E-2</v>
      </c>
      <c r="AB316" s="21">
        <v>306</v>
      </c>
      <c r="AC316" s="21">
        <v>0.19860800000000001</v>
      </c>
      <c r="AD316">
        <f t="shared" si="52"/>
        <v>17.752962962962961</v>
      </c>
      <c r="AE316">
        <f t="shared" si="53"/>
        <v>3.5350942559259253</v>
      </c>
      <c r="AF316" s="9"/>
      <c r="AG316" s="21">
        <v>1.44089</v>
      </c>
      <c r="AH316" s="21">
        <v>20.8536</v>
      </c>
      <c r="AI316" s="21">
        <v>-1.31409E-2</v>
      </c>
      <c r="AJ316" s="21">
        <v>306</v>
      </c>
      <c r="AK316" s="21">
        <v>1.4401200000000001</v>
      </c>
      <c r="AL316">
        <f t="shared" si="54"/>
        <v>16.223333333333333</v>
      </c>
      <c r="AM316">
        <f t="shared" si="55"/>
        <v>23.376038766666667</v>
      </c>
      <c r="AP316" s="9"/>
      <c r="AQ316" s="21">
        <v>0.199127</v>
      </c>
      <c r="AR316" s="21">
        <v>26.267499999999998</v>
      </c>
      <c r="AS316" s="21">
        <v>-1.4385999999999999E-2</v>
      </c>
      <c r="AT316" s="21">
        <v>306</v>
      </c>
      <c r="AU316" s="21">
        <v>0.198578</v>
      </c>
      <c r="AV316">
        <f t="shared" si="56"/>
        <v>17.760493827160492</v>
      </c>
      <c r="AW316">
        <f t="shared" si="57"/>
        <v>3.5365938543209872</v>
      </c>
      <c r="AX316" s="9"/>
      <c r="AY316" s="21">
        <v>1.44089</v>
      </c>
      <c r="AZ316" s="21">
        <v>29.965800000000002</v>
      </c>
      <c r="BA316" s="21">
        <v>-1.31042E-2</v>
      </c>
      <c r="BB316" s="21">
        <v>306</v>
      </c>
      <c r="BC316" s="21">
        <v>1.4401200000000001</v>
      </c>
      <c r="BD316">
        <f t="shared" si="58"/>
        <v>16.178024691358022</v>
      </c>
      <c r="BE316">
        <f t="shared" si="59"/>
        <v>23.31075399753086</v>
      </c>
    </row>
    <row r="317" spans="6:57" x14ac:dyDescent="0.25">
      <c r="F317" s="9"/>
      <c r="G317" s="21">
        <v>0.19409199999999999</v>
      </c>
      <c r="H317" s="21">
        <v>8.1001200000000004</v>
      </c>
      <c r="I317" s="21">
        <v>-1.4294400000000001E-2</v>
      </c>
      <c r="J317" s="21">
        <v>307</v>
      </c>
      <c r="K317" s="21">
        <v>0.19348099999999999</v>
      </c>
      <c r="L317">
        <f t="shared" si="48"/>
        <v>17.647407407407407</v>
      </c>
      <c r="M317">
        <f t="shared" si="49"/>
        <v>3.4252205985185182</v>
      </c>
      <c r="N317" s="9"/>
      <c r="O317" s="21">
        <v>1.4459200000000001</v>
      </c>
      <c r="P317" s="21">
        <v>11.798500000000001</v>
      </c>
      <c r="Q317" s="21">
        <v>-1.30463E-2</v>
      </c>
      <c r="R317" s="21">
        <v>307</v>
      </c>
      <c r="S317" s="21">
        <v>1.4453100000000001</v>
      </c>
      <c r="T317">
        <f t="shared" si="50"/>
        <v>16.106543209876545</v>
      </c>
      <c r="U317">
        <f t="shared" si="51"/>
        <v>23.288772958024694</v>
      </c>
      <c r="X317" s="9"/>
      <c r="Y317" s="21">
        <v>0.19409199999999999</v>
      </c>
      <c r="Z317" s="21">
        <v>17.165299999999998</v>
      </c>
      <c r="AA317" s="21">
        <v>-1.43616E-2</v>
      </c>
      <c r="AB317" s="21">
        <v>307</v>
      </c>
      <c r="AC317" s="21">
        <v>0.19354199999999999</v>
      </c>
      <c r="AD317">
        <f t="shared" si="52"/>
        <v>17.73037037037037</v>
      </c>
      <c r="AE317">
        <f t="shared" si="53"/>
        <v>3.4413230459259254</v>
      </c>
      <c r="AF317" s="9"/>
      <c r="AG317" s="21">
        <v>1.4459200000000001</v>
      </c>
      <c r="AH317" s="21">
        <v>20.863700000000001</v>
      </c>
      <c r="AI317" s="21">
        <v>-1.3091999999999999E-2</v>
      </c>
      <c r="AJ317" s="21">
        <v>307</v>
      </c>
      <c r="AK317" s="21">
        <v>1.4456199999999999</v>
      </c>
      <c r="AL317">
        <f t="shared" si="54"/>
        <v>16.162962962962961</v>
      </c>
      <c r="AM317">
        <f t="shared" si="55"/>
        <v>23.370351407407405</v>
      </c>
      <c r="AP317" s="9"/>
      <c r="AQ317" s="21">
        <v>0.19409199999999999</v>
      </c>
      <c r="AR317" s="21">
        <v>26.2776</v>
      </c>
      <c r="AS317" s="21">
        <v>-1.4395099999999999E-2</v>
      </c>
      <c r="AT317" s="21">
        <v>307</v>
      </c>
      <c r="AU317" s="21">
        <v>0.19351199999999999</v>
      </c>
      <c r="AV317">
        <f t="shared" si="56"/>
        <v>17.771728395061729</v>
      </c>
      <c r="AW317">
        <f t="shared" si="57"/>
        <v>3.4493503076543206</v>
      </c>
      <c r="AX317" s="9"/>
      <c r="AY317" s="21">
        <v>1.4459200000000001</v>
      </c>
      <c r="AZ317" s="21">
        <v>29.975899999999999</v>
      </c>
      <c r="BA317" s="21">
        <v>-1.3079800000000001E-2</v>
      </c>
      <c r="BB317" s="21">
        <v>307</v>
      </c>
      <c r="BC317" s="21">
        <v>1.4453100000000001</v>
      </c>
      <c r="BD317">
        <f t="shared" si="58"/>
        <v>16.147901234567904</v>
      </c>
      <c r="BE317">
        <f t="shared" si="59"/>
        <v>23.348573353086426</v>
      </c>
    </row>
    <row r="318" spans="6:57" x14ac:dyDescent="0.25">
      <c r="F318" s="9"/>
      <c r="G318" s="21">
        <v>0.189056</v>
      </c>
      <c r="H318" s="21">
        <v>8.1101899999999993</v>
      </c>
      <c r="I318" s="21">
        <v>-1.4297499999999999E-2</v>
      </c>
      <c r="J318" s="21">
        <v>308</v>
      </c>
      <c r="K318" s="21">
        <v>0.18859899999999999</v>
      </c>
      <c r="L318">
        <f t="shared" si="48"/>
        <v>17.651234567901231</v>
      </c>
      <c r="M318">
        <f t="shared" si="49"/>
        <v>3.337071802469135</v>
      </c>
      <c r="N318" s="9"/>
      <c r="O318" s="21">
        <v>1.45096</v>
      </c>
      <c r="P318" s="21">
        <v>11.8085</v>
      </c>
      <c r="Q318" s="21">
        <v>-1.3003499999999999E-2</v>
      </c>
      <c r="R318" s="21">
        <v>308</v>
      </c>
      <c r="S318" s="21">
        <v>1.4504999999999999</v>
      </c>
      <c r="T318">
        <f t="shared" si="50"/>
        <v>16.0537037037037</v>
      </c>
      <c r="U318">
        <f t="shared" si="51"/>
        <v>23.293281925925921</v>
      </c>
      <c r="X318" s="9"/>
      <c r="Y318" s="21">
        <v>0.189056</v>
      </c>
      <c r="Z318" s="21">
        <v>17.1754</v>
      </c>
      <c r="AA318" s="21">
        <v>-1.43524E-2</v>
      </c>
      <c r="AB318" s="21">
        <v>308</v>
      </c>
      <c r="AC318" s="21">
        <v>0.18850700000000001</v>
      </c>
      <c r="AD318">
        <f t="shared" si="52"/>
        <v>17.719012345679008</v>
      </c>
      <c r="AE318">
        <f t="shared" si="53"/>
        <v>3.3498855980246907</v>
      </c>
      <c r="AF318" s="9"/>
      <c r="AG318" s="21">
        <v>1.45096</v>
      </c>
      <c r="AH318" s="21">
        <v>20.873699999999999</v>
      </c>
      <c r="AI318" s="21">
        <v>-1.30524E-2</v>
      </c>
      <c r="AJ318" s="21">
        <v>308</v>
      </c>
      <c r="AK318" s="21">
        <v>1.4504999999999999</v>
      </c>
      <c r="AL318">
        <f t="shared" si="54"/>
        <v>16.114074074074072</v>
      </c>
      <c r="AM318">
        <f t="shared" si="55"/>
        <v>23.380876918518517</v>
      </c>
      <c r="AP318" s="9"/>
      <c r="AQ318" s="21">
        <v>0.189056</v>
      </c>
      <c r="AR318" s="21">
        <v>26.287600000000001</v>
      </c>
      <c r="AS318" s="21">
        <v>-1.44073E-2</v>
      </c>
      <c r="AT318" s="21">
        <v>308</v>
      </c>
      <c r="AU318" s="21">
        <v>0.18850700000000001</v>
      </c>
      <c r="AV318">
        <f t="shared" si="56"/>
        <v>17.78679012345679</v>
      </c>
      <c r="AW318">
        <f t="shared" si="57"/>
        <v>3.3626993935802467</v>
      </c>
      <c r="AX318" s="9"/>
      <c r="AY318" s="21">
        <v>1.45096</v>
      </c>
      <c r="AZ318" s="21">
        <v>29.986000000000001</v>
      </c>
      <c r="BA318" s="21">
        <v>-1.30554E-2</v>
      </c>
      <c r="BB318" s="21">
        <v>308</v>
      </c>
      <c r="BC318" s="21">
        <v>1.4504999999999999</v>
      </c>
      <c r="BD318">
        <f t="shared" si="58"/>
        <v>16.117777777777775</v>
      </c>
      <c r="BE318">
        <f t="shared" si="59"/>
        <v>23.38625084444444</v>
      </c>
    </row>
    <row r="319" spans="6:57" x14ac:dyDescent="0.25">
      <c r="F319" s="9"/>
      <c r="G319" s="21">
        <v>0.18402099999999999</v>
      </c>
      <c r="H319" s="21">
        <v>8.12026</v>
      </c>
      <c r="I319" s="21">
        <v>-1.43036E-2</v>
      </c>
      <c r="J319" s="21">
        <v>309</v>
      </c>
      <c r="K319" s="21">
        <v>0.18341099999999999</v>
      </c>
      <c r="L319">
        <f t="shared" si="48"/>
        <v>17.658765432098765</v>
      </c>
      <c r="M319">
        <f t="shared" si="49"/>
        <v>3.2495836735802466</v>
      </c>
      <c r="N319" s="9"/>
      <c r="O319" s="21">
        <v>1.4559899999999999</v>
      </c>
      <c r="P319" s="21">
        <v>11.8186</v>
      </c>
      <c r="Q319" s="21">
        <v>-1.29639E-2</v>
      </c>
      <c r="R319" s="21">
        <v>309</v>
      </c>
      <c r="S319" s="21">
        <v>1.4556899999999999</v>
      </c>
      <c r="T319">
        <f t="shared" si="50"/>
        <v>16.004814814814814</v>
      </c>
      <c r="U319">
        <f t="shared" si="51"/>
        <v>23.30285032222222</v>
      </c>
      <c r="X319" s="9"/>
      <c r="Y319" s="21">
        <v>0.18402099999999999</v>
      </c>
      <c r="Z319" s="21">
        <v>17.185500000000001</v>
      </c>
      <c r="AA319" s="21">
        <v>-1.43585E-2</v>
      </c>
      <c r="AB319" s="21">
        <v>309</v>
      </c>
      <c r="AC319" s="21">
        <v>0.18341099999999999</v>
      </c>
      <c r="AD319">
        <f t="shared" si="52"/>
        <v>17.726543209876542</v>
      </c>
      <c r="AE319">
        <f t="shared" si="53"/>
        <v>3.2620562080246911</v>
      </c>
      <c r="AF319" s="9"/>
      <c r="AG319" s="21">
        <v>1.4559899999999999</v>
      </c>
      <c r="AH319" s="21">
        <v>20.883800000000001</v>
      </c>
      <c r="AI319" s="21">
        <v>-1.30127E-2</v>
      </c>
      <c r="AJ319" s="21">
        <v>309</v>
      </c>
      <c r="AK319" s="21">
        <v>1.4553799999999999</v>
      </c>
      <c r="AL319">
        <f t="shared" si="54"/>
        <v>16.065061728395062</v>
      </c>
      <c r="AM319">
        <f t="shared" si="55"/>
        <v>23.390569225925923</v>
      </c>
      <c r="AP319" s="9"/>
      <c r="AQ319" s="21">
        <v>0.18402099999999999</v>
      </c>
      <c r="AR319" s="21">
        <v>26.297699999999999</v>
      </c>
      <c r="AS319" s="21">
        <v>-1.44165E-2</v>
      </c>
      <c r="AT319" s="21">
        <v>309</v>
      </c>
      <c r="AU319" s="21">
        <v>0.18328900000000001</v>
      </c>
      <c r="AV319">
        <f t="shared" si="56"/>
        <v>17.798148148148147</v>
      </c>
      <c r="AW319">
        <f t="shared" si="57"/>
        <v>3.2752330203703699</v>
      </c>
      <c r="AX319" s="9"/>
      <c r="AY319" s="21">
        <v>1.4559899999999999</v>
      </c>
      <c r="AZ319" s="21">
        <v>29.995999999999999</v>
      </c>
      <c r="BA319" s="21">
        <v>-1.3024900000000001E-2</v>
      </c>
      <c r="BB319" s="21">
        <v>309</v>
      </c>
      <c r="BC319" s="21">
        <v>1.4556899999999999</v>
      </c>
      <c r="BD319">
        <f t="shared" si="58"/>
        <v>16.080123456790126</v>
      </c>
      <c r="BE319">
        <f t="shared" si="59"/>
        <v>23.412498951851855</v>
      </c>
    </row>
    <row r="320" spans="6:57" x14ac:dyDescent="0.25">
      <c r="F320" s="9"/>
      <c r="G320" s="21">
        <v>0.17898600000000001</v>
      </c>
      <c r="H320" s="21">
        <v>8.1303300000000007</v>
      </c>
      <c r="I320" s="21">
        <v>-1.4306599999999999E-2</v>
      </c>
      <c r="J320" s="21">
        <v>310</v>
      </c>
      <c r="K320" s="21">
        <v>0.17846699999999999</v>
      </c>
      <c r="L320">
        <f t="shared" si="48"/>
        <v>17.662469135802468</v>
      </c>
      <c r="M320">
        <f t="shared" si="49"/>
        <v>3.1613347007407406</v>
      </c>
      <c r="N320" s="9"/>
      <c r="O320" s="21">
        <v>1.4610300000000001</v>
      </c>
      <c r="P320" s="21">
        <v>11.8287</v>
      </c>
      <c r="Q320" s="21">
        <v>-1.2914999999999999E-2</v>
      </c>
      <c r="R320" s="21">
        <v>310</v>
      </c>
      <c r="S320" s="21">
        <v>1.46088</v>
      </c>
      <c r="T320">
        <f t="shared" si="50"/>
        <v>15.944444444444441</v>
      </c>
      <c r="U320">
        <f t="shared" si="51"/>
        <v>23.295311666666663</v>
      </c>
      <c r="X320" s="9"/>
      <c r="Y320" s="21">
        <v>0.17898600000000001</v>
      </c>
      <c r="Z320" s="21">
        <v>17.195499999999999</v>
      </c>
      <c r="AA320" s="21">
        <v>-1.43585E-2</v>
      </c>
      <c r="AB320" s="21">
        <v>310</v>
      </c>
      <c r="AC320" s="21">
        <v>0.17837500000000001</v>
      </c>
      <c r="AD320">
        <f t="shared" si="52"/>
        <v>17.726543209876542</v>
      </c>
      <c r="AE320">
        <f t="shared" si="53"/>
        <v>3.1728030629629629</v>
      </c>
      <c r="AF320" s="9"/>
      <c r="AG320" s="21">
        <v>1.4610300000000001</v>
      </c>
      <c r="AH320" s="21">
        <v>20.893899999999999</v>
      </c>
      <c r="AI320" s="21">
        <v>-1.2970000000000001E-2</v>
      </c>
      <c r="AJ320" s="21">
        <v>310</v>
      </c>
      <c r="AK320" s="21">
        <v>1.46027</v>
      </c>
      <c r="AL320">
        <f t="shared" si="54"/>
        <v>16.012345679012348</v>
      </c>
      <c r="AM320">
        <f t="shared" si="55"/>
        <v>23.394517407407413</v>
      </c>
      <c r="AP320" s="9"/>
      <c r="AQ320" s="21">
        <v>0.17898600000000001</v>
      </c>
      <c r="AR320" s="21">
        <v>26.3078</v>
      </c>
      <c r="AS320" s="21">
        <v>-1.44104E-2</v>
      </c>
      <c r="AT320" s="21">
        <v>310</v>
      </c>
      <c r="AU320" s="21">
        <v>0.17840600000000001</v>
      </c>
      <c r="AV320">
        <f t="shared" si="56"/>
        <v>17.790617283950617</v>
      </c>
      <c r="AW320">
        <f t="shared" si="57"/>
        <v>3.1842714251851851</v>
      </c>
      <c r="AX320" s="9"/>
      <c r="AY320" s="21">
        <v>1.4610300000000001</v>
      </c>
      <c r="AZ320" s="21">
        <v>30.0061</v>
      </c>
      <c r="BA320" s="21">
        <v>-1.2973E-2</v>
      </c>
      <c r="BB320" s="21">
        <v>310</v>
      </c>
      <c r="BC320" s="21">
        <v>1.46027</v>
      </c>
      <c r="BD320">
        <f t="shared" si="58"/>
        <v>16.016049382716048</v>
      </c>
      <c r="BE320">
        <f t="shared" si="59"/>
        <v>23.399928629629628</v>
      </c>
    </row>
    <row r="321" spans="6:57" x14ac:dyDescent="0.25">
      <c r="F321" s="9"/>
      <c r="G321" s="21">
        <v>0.17394999999999999</v>
      </c>
      <c r="H321" s="21">
        <v>8.1403999999999996</v>
      </c>
      <c r="I321" s="21">
        <v>-1.43036E-2</v>
      </c>
      <c r="J321" s="21">
        <v>311</v>
      </c>
      <c r="K321" s="21">
        <v>0.17361499999999999</v>
      </c>
      <c r="L321">
        <f t="shared" si="48"/>
        <v>17.658765432098765</v>
      </c>
      <c r="M321">
        <f t="shared" si="49"/>
        <v>3.0717422469135798</v>
      </c>
      <c r="N321" s="9"/>
      <c r="O321" s="21">
        <v>1.4660599999999999</v>
      </c>
      <c r="P321" s="21">
        <v>11.838699999999999</v>
      </c>
      <c r="Q321" s="21">
        <v>-1.2854000000000001E-2</v>
      </c>
      <c r="R321" s="21">
        <v>311</v>
      </c>
      <c r="S321" s="21">
        <v>1.4654499999999999</v>
      </c>
      <c r="T321">
        <f t="shared" si="50"/>
        <v>15.869135802469136</v>
      </c>
      <c r="U321">
        <f t="shared" si="51"/>
        <v>23.265105234567901</v>
      </c>
      <c r="X321" s="9"/>
      <c r="Y321" s="21">
        <v>0.17394999999999999</v>
      </c>
      <c r="Z321" s="21">
        <v>17.2056</v>
      </c>
      <c r="AA321" s="21">
        <v>-1.43555E-2</v>
      </c>
      <c r="AB321" s="21">
        <v>311</v>
      </c>
      <c r="AC321" s="21">
        <v>0.173431</v>
      </c>
      <c r="AD321">
        <f t="shared" si="52"/>
        <v>17.722839506172836</v>
      </c>
      <c r="AE321">
        <f t="shared" si="53"/>
        <v>3.0828879320987648</v>
      </c>
      <c r="AF321" s="9"/>
      <c r="AG321" s="21">
        <v>1.4660599999999999</v>
      </c>
      <c r="AH321" s="21">
        <v>20.904</v>
      </c>
      <c r="AI321" s="21">
        <v>-1.29272E-2</v>
      </c>
      <c r="AJ321" s="21">
        <v>311</v>
      </c>
      <c r="AK321" s="21">
        <v>1.46515</v>
      </c>
      <c r="AL321">
        <f t="shared" si="54"/>
        <v>15.959506172839506</v>
      </c>
      <c r="AM321">
        <f t="shared" si="55"/>
        <v>23.397593619753085</v>
      </c>
      <c r="AP321" s="9"/>
      <c r="AQ321" s="21">
        <v>0.17394999999999999</v>
      </c>
      <c r="AR321" s="21">
        <v>26.317799999999998</v>
      </c>
      <c r="AS321" s="21">
        <v>-1.4419599999999999E-2</v>
      </c>
      <c r="AT321" s="21">
        <v>311</v>
      </c>
      <c r="AU321" s="21">
        <v>0.173431</v>
      </c>
      <c r="AV321">
        <f t="shared" si="56"/>
        <v>17.801975308641975</v>
      </c>
      <c r="AW321">
        <f t="shared" si="57"/>
        <v>3.0966536049382714</v>
      </c>
      <c r="AX321" s="9"/>
      <c r="AY321" s="21">
        <v>1.4660599999999999</v>
      </c>
      <c r="AZ321" s="21">
        <v>30.016200000000001</v>
      </c>
      <c r="BA321" s="21">
        <v>-1.29395E-2</v>
      </c>
      <c r="BB321" s="21">
        <v>311</v>
      </c>
      <c r="BC321" s="21">
        <v>1.46576</v>
      </c>
      <c r="BD321">
        <f t="shared" si="58"/>
        <v>15.974691358024689</v>
      </c>
      <c r="BE321">
        <f t="shared" si="59"/>
        <v>23.419856012345676</v>
      </c>
    </row>
    <row r="322" spans="6:57" x14ac:dyDescent="0.25">
      <c r="F322" s="9"/>
      <c r="G322" s="21">
        <v>0.16891500000000001</v>
      </c>
      <c r="H322" s="21">
        <v>8.1504700000000003</v>
      </c>
      <c r="I322" s="21">
        <v>-1.4306599999999999E-2</v>
      </c>
      <c r="J322" s="21">
        <v>312</v>
      </c>
      <c r="K322" s="21">
        <v>0.16839599999999999</v>
      </c>
      <c r="L322">
        <f t="shared" si="48"/>
        <v>17.662469135802468</v>
      </c>
      <c r="M322">
        <f t="shared" si="49"/>
        <v>2.983455974074074</v>
      </c>
      <c r="N322" s="9"/>
      <c r="O322" s="21">
        <v>1.4711000000000001</v>
      </c>
      <c r="P322" s="21">
        <v>11.848800000000001</v>
      </c>
      <c r="Q322" s="21">
        <v>-1.2793000000000001E-2</v>
      </c>
      <c r="R322" s="21">
        <v>312</v>
      </c>
      <c r="S322" s="21">
        <v>1.47095</v>
      </c>
      <c r="T322">
        <f t="shared" si="50"/>
        <v>15.793827160493827</v>
      </c>
      <c r="U322">
        <f t="shared" si="51"/>
        <v>23.23429913580247</v>
      </c>
      <c r="X322" s="9"/>
      <c r="Y322" s="21">
        <v>0.16891500000000001</v>
      </c>
      <c r="Z322" s="21">
        <v>17.215699999999998</v>
      </c>
      <c r="AA322" s="21">
        <v>-1.43555E-2</v>
      </c>
      <c r="AB322" s="21">
        <v>312</v>
      </c>
      <c r="AC322" s="21">
        <v>0.16836499999999999</v>
      </c>
      <c r="AD322">
        <f t="shared" si="52"/>
        <v>17.722839506172836</v>
      </c>
      <c r="AE322">
        <f t="shared" si="53"/>
        <v>2.9936534351851849</v>
      </c>
      <c r="AF322" s="9"/>
      <c r="AG322" s="21">
        <v>1.4711000000000001</v>
      </c>
      <c r="AH322" s="21">
        <v>20.914000000000001</v>
      </c>
      <c r="AI322" s="21">
        <v>-1.28784E-2</v>
      </c>
      <c r="AJ322" s="21">
        <v>312</v>
      </c>
      <c r="AK322" s="21">
        <v>1.47034</v>
      </c>
      <c r="AL322">
        <f t="shared" si="54"/>
        <v>15.899259259259258</v>
      </c>
      <c r="AM322">
        <f t="shared" si="55"/>
        <v>23.389400296296294</v>
      </c>
      <c r="AP322" s="9"/>
      <c r="AQ322" s="21">
        <v>0.16891500000000001</v>
      </c>
      <c r="AR322" s="21">
        <v>26.3279</v>
      </c>
      <c r="AS322" s="21">
        <v>-1.4419599999999999E-2</v>
      </c>
      <c r="AT322" s="21">
        <v>312</v>
      </c>
      <c r="AU322" s="21">
        <v>0.16833500000000001</v>
      </c>
      <c r="AV322">
        <f t="shared" si="56"/>
        <v>17.801975308641975</v>
      </c>
      <c r="AW322">
        <f t="shared" si="57"/>
        <v>3.0070206592592594</v>
      </c>
      <c r="AX322" s="9"/>
      <c r="AY322" s="21">
        <v>1.4711000000000001</v>
      </c>
      <c r="AZ322" s="21">
        <v>30.026199999999999</v>
      </c>
      <c r="BA322" s="21">
        <v>-1.2899799999999999E-2</v>
      </c>
      <c r="BB322" s="21">
        <v>312</v>
      </c>
      <c r="BC322" s="21">
        <v>1.4706399999999999</v>
      </c>
      <c r="BD322">
        <f t="shared" si="58"/>
        <v>15.925679012345679</v>
      </c>
      <c r="BE322">
        <f t="shared" si="59"/>
        <v>23.42826639506173</v>
      </c>
    </row>
    <row r="323" spans="6:57" x14ac:dyDescent="0.25">
      <c r="F323" s="9"/>
      <c r="G323" s="21">
        <v>0.163879</v>
      </c>
      <c r="H323" s="21">
        <v>8.1605399999999992</v>
      </c>
      <c r="I323" s="21">
        <v>-1.43188E-2</v>
      </c>
      <c r="J323" s="21">
        <v>313</v>
      </c>
      <c r="K323" s="21">
        <v>0.16336100000000001</v>
      </c>
      <c r="L323">
        <f t="shared" si="48"/>
        <v>17.677530864197529</v>
      </c>
      <c r="M323">
        <f t="shared" si="49"/>
        <v>2.8969760804938267</v>
      </c>
      <c r="N323" s="9"/>
      <c r="O323" s="21">
        <v>1.47614</v>
      </c>
      <c r="P323" s="21">
        <v>11.8589</v>
      </c>
      <c r="Q323" s="21">
        <v>-1.2737999999999999E-2</v>
      </c>
      <c r="R323" s="21">
        <v>313</v>
      </c>
      <c r="S323" s="21">
        <v>1.47583</v>
      </c>
      <c r="T323">
        <f t="shared" si="50"/>
        <v>15.725925925925925</v>
      </c>
      <c r="U323">
        <f t="shared" si="51"/>
        <v>23.213668296296294</v>
      </c>
      <c r="X323" s="9"/>
      <c r="Y323" s="21">
        <v>0.163879</v>
      </c>
      <c r="Z323" s="21">
        <v>17.2258</v>
      </c>
      <c r="AA323" s="21">
        <v>-1.43524E-2</v>
      </c>
      <c r="AB323" s="21">
        <v>313</v>
      </c>
      <c r="AC323" s="21">
        <v>0.163269</v>
      </c>
      <c r="AD323">
        <f t="shared" si="52"/>
        <v>17.719012345679008</v>
      </c>
      <c r="AE323">
        <f t="shared" si="53"/>
        <v>2.9037740241975301</v>
      </c>
      <c r="AF323" s="9"/>
      <c r="AG323" s="21">
        <v>1.47614</v>
      </c>
      <c r="AH323" s="21">
        <v>20.924099999999999</v>
      </c>
      <c r="AI323" s="21">
        <v>-1.2820399999999999E-2</v>
      </c>
      <c r="AJ323" s="21">
        <v>313</v>
      </c>
      <c r="AK323" s="21">
        <v>1.4755199999999999</v>
      </c>
      <c r="AL323">
        <f t="shared" si="54"/>
        <v>15.827654320987653</v>
      </c>
      <c r="AM323">
        <f t="shared" si="55"/>
        <v>23.363833649382716</v>
      </c>
      <c r="AP323" s="9"/>
      <c r="AQ323" s="21">
        <v>0.163879</v>
      </c>
      <c r="AR323" s="21">
        <v>26.338000000000001</v>
      </c>
      <c r="AS323" s="21">
        <v>-1.4413499999999999E-2</v>
      </c>
      <c r="AT323" s="21">
        <v>313</v>
      </c>
      <c r="AU323" s="21">
        <v>0.16339100000000001</v>
      </c>
      <c r="AV323">
        <f t="shared" si="56"/>
        <v>17.794444444444444</v>
      </c>
      <c r="AW323">
        <f t="shared" si="57"/>
        <v>2.9161357611111112</v>
      </c>
      <c r="AX323" s="9"/>
      <c r="AY323" s="21">
        <v>1.47614</v>
      </c>
      <c r="AZ323" s="21">
        <v>30.036300000000001</v>
      </c>
      <c r="BA323" s="21">
        <v>-1.2854000000000001E-2</v>
      </c>
      <c r="BB323" s="21">
        <v>313</v>
      </c>
      <c r="BC323" s="21">
        <v>1.4755199999999999</v>
      </c>
      <c r="BD323">
        <f t="shared" si="58"/>
        <v>15.869135802469136</v>
      </c>
      <c r="BE323">
        <f t="shared" si="59"/>
        <v>23.425066123456791</v>
      </c>
    </row>
    <row r="324" spans="6:57" x14ac:dyDescent="0.25">
      <c r="F324" s="9"/>
      <c r="G324" s="21">
        <v>0.15884400000000001</v>
      </c>
      <c r="H324" s="21">
        <v>8.1706199999999995</v>
      </c>
      <c r="I324" s="21">
        <v>-1.4331099999999999E-2</v>
      </c>
      <c r="J324" s="21">
        <v>314</v>
      </c>
      <c r="K324" s="21">
        <v>0.15829499999999999</v>
      </c>
      <c r="L324">
        <f t="shared" si="48"/>
        <v>17.692716049382714</v>
      </c>
      <c r="M324">
        <f t="shared" si="49"/>
        <v>2.8103817881481481</v>
      </c>
      <c r="N324" s="9"/>
      <c r="O324" s="21">
        <v>1.4811700000000001</v>
      </c>
      <c r="P324" s="21">
        <v>11.869</v>
      </c>
      <c r="Q324" s="21">
        <v>-1.26923E-2</v>
      </c>
      <c r="R324" s="21">
        <v>314</v>
      </c>
      <c r="S324" s="21">
        <v>1.48071</v>
      </c>
      <c r="T324">
        <f t="shared" si="50"/>
        <v>15.669506172839506</v>
      </c>
      <c r="U324">
        <f t="shared" si="51"/>
        <v>23.209202458024695</v>
      </c>
      <c r="X324" s="9"/>
      <c r="Y324" s="21">
        <v>0.15884400000000001</v>
      </c>
      <c r="Z324" s="21">
        <v>17.235800000000001</v>
      </c>
      <c r="AA324" s="21">
        <v>-1.43616E-2</v>
      </c>
      <c r="AB324" s="21">
        <v>314</v>
      </c>
      <c r="AC324" s="21">
        <v>0.15832499999999999</v>
      </c>
      <c r="AD324">
        <f t="shared" si="52"/>
        <v>17.73037037037037</v>
      </c>
      <c r="AE324">
        <f t="shared" si="53"/>
        <v>2.816362951111111</v>
      </c>
      <c r="AF324" s="9"/>
      <c r="AG324" s="21">
        <v>1.4811700000000001</v>
      </c>
      <c r="AH324" s="21">
        <v>20.934200000000001</v>
      </c>
      <c r="AI324" s="21">
        <v>-1.27686E-2</v>
      </c>
      <c r="AJ324" s="21">
        <v>314</v>
      </c>
      <c r="AK324" s="21">
        <v>1.48041</v>
      </c>
      <c r="AL324">
        <f t="shared" si="54"/>
        <v>15.763703703703703</v>
      </c>
      <c r="AM324">
        <f t="shared" si="55"/>
        <v>23.348725014814814</v>
      </c>
      <c r="AP324" s="9"/>
      <c r="AQ324" s="21">
        <v>0.15884400000000001</v>
      </c>
      <c r="AR324" s="21">
        <v>26.348099999999999</v>
      </c>
      <c r="AS324" s="21">
        <v>-1.44104E-2</v>
      </c>
      <c r="AT324" s="21">
        <v>314</v>
      </c>
      <c r="AU324" s="21">
        <v>0.15826399999999999</v>
      </c>
      <c r="AV324">
        <f t="shared" si="56"/>
        <v>17.790617283950617</v>
      </c>
      <c r="AW324">
        <f t="shared" si="57"/>
        <v>2.8259328118518519</v>
      </c>
      <c r="AX324" s="9"/>
      <c r="AY324" s="21">
        <v>1.4811700000000001</v>
      </c>
      <c r="AZ324" s="21">
        <v>30.046399999999998</v>
      </c>
      <c r="BA324" s="21">
        <v>-1.2799100000000001E-2</v>
      </c>
      <c r="BB324" s="21">
        <v>314</v>
      </c>
      <c r="BC324" s="21">
        <v>1.48071</v>
      </c>
      <c r="BD324">
        <f t="shared" si="58"/>
        <v>15.801358024691359</v>
      </c>
      <c r="BE324">
        <f t="shared" si="59"/>
        <v>23.404497465432101</v>
      </c>
    </row>
    <row r="325" spans="6:57" x14ac:dyDescent="0.25">
      <c r="F325" s="9"/>
      <c r="G325" s="21">
        <v>0.153809</v>
      </c>
      <c r="H325" s="21">
        <v>8.1806900000000002</v>
      </c>
      <c r="I325" s="21">
        <v>-1.4340200000000001E-2</v>
      </c>
      <c r="J325" s="21">
        <v>315</v>
      </c>
      <c r="K325" s="21">
        <v>0.15329000000000001</v>
      </c>
      <c r="L325">
        <f t="shared" si="48"/>
        <v>17.703950617283951</v>
      </c>
      <c r="M325">
        <f t="shared" si="49"/>
        <v>2.7230269404938272</v>
      </c>
      <c r="N325" s="9"/>
      <c r="O325" s="21">
        <v>1.48621</v>
      </c>
      <c r="P325" s="21">
        <v>11.879</v>
      </c>
      <c r="Q325" s="21">
        <v>-1.2649499999999999E-2</v>
      </c>
      <c r="R325" s="21">
        <v>315</v>
      </c>
      <c r="S325" s="21">
        <v>1.4859</v>
      </c>
      <c r="T325">
        <f t="shared" si="50"/>
        <v>15.616666666666664</v>
      </c>
      <c r="U325">
        <f t="shared" si="51"/>
        <v>23.209646166666662</v>
      </c>
      <c r="X325" s="9"/>
      <c r="Y325" s="21">
        <v>0.153809</v>
      </c>
      <c r="Z325" s="21">
        <v>17.245899999999999</v>
      </c>
      <c r="AA325" s="21">
        <v>-1.43707E-2</v>
      </c>
      <c r="AB325" s="21">
        <v>315</v>
      </c>
      <c r="AC325" s="21">
        <v>0.15329000000000001</v>
      </c>
      <c r="AD325">
        <f t="shared" si="52"/>
        <v>17.741604938271603</v>
      </c>
      <c r="AE325">
        <f t="shared" si="53"/>
        <v>2.7288185139506171</v>
      </c>
      <c r="AF325" s="9"/>
      <c r="AG325" s="21">
        <v>1.48621</v>
      </c>
      <c r="AH325" s="21">
        <v>20.944199999999999</v>
      </c>
      <c r="AI325" s="21">
        <v>-1.2722799999999999E-2</v>
      </c>
      <c r="AJ325" s="21">
        <v>315</v>
      </c>
      <c r="AK325" s="21">
        <v>1.4856</v>
      </c>
      <c r="AL325">
        <f t="shared" si="54"/>
        <v>15.707160493827157</v>
      </c>
      <c r="AM325">
        <f t="shared" si="55"/>
        <v>23.344138997530859</v>
      </c>
      <c r="AP325" s="9"/>
      <c r="AQ325" s="21">
        <v>0.153809</v>
      </c>
      <c r="AR325" s="21">
        <v>26.3581</v>
      </c>
      <c r="AS325" s="21">
        <v>-1.44104E-2</v>
      </c>
      <c r="AT325" s="21">
        <v>315</v>
      </c>
      <c r="AU325" s="21">
        <v>0.15325900000000001</v>
      </c>
      <c r="AV325">
        <f t="shared" si="56"/>
        <v>17.790617283950617</v>
      </c>
      <c r="AW325">
        <f t="shared" si="57"/>
        <v>2.7363570538271604</v>
      </c>
      <c r="AX325" s="9"/>
      <c r="AY325" s="21">
        <v>1.48621</v>
      </c>
      <c r="AZ325" s="21">
        <v>30.0565</v>
      </c>
      <c r="BA325" s="21">
        <v>-1.2737999999999999E-2</v>
      </c>
      <c r="BB325" s="21">
        <v>315</v>
      </c>
      <c r="BC325" s="21">
        <v>1.4856</v>
      </c>
      <c r="BD325">
        <f t="shared" si="58"/>
        <v>15.725925925925925</v>
      </c>
      <c r="BE325">
        <f t="shared" si="59"/>
        <v>23.372028370370369</v>
      </c>
    </row>
    <row r="326" spans="6:57" x14ac:dyDescent="0.25">
      <c r="F326" s="9"/>
      <c r="G326" s="21">
        <v>0.14877299999999999</v>
      </c>
      <c r="H326" s="21">
        <v>8.1907599999999992</v>
      </c>
      <c r="I326" s="21">
        <v>-1.4346299999999999E-2</v>
      </c>
      <c r="J326" s="21">
        <v>316</v>
      </c>
      <c r="K326" s="21">
        <v>0.148285</v>
      </c>
      <c r="L326">
        <f t="shared" si="48"/>
        <v>17.711481481481481</v>
      </c>
      <c r="M326">
        <f t="shared" si="49"/>
        <v>2.634990234444444</v>
      </c>
      <c r="N326" s="9"/>
      <c r="O326" s="21">
        <v>1.4912399999999999</v>
      </c>
      <c r="P326" s="21">
        <v>11.889099999999999</v>
      </c>
      <c r="Q326" s="21">
        <v>-1.26038E-2</v>
      </c>
      <c r="R326" s="21">
        <v>316</v>
      </c>
      <c r="S326" s="21">
        <v>1.49048</v>
      </c>
      <c r="T326">
        <f t="shared" si="50"/>
        <v>15.560246913580245</v>
      </c>
      <c r="U326">
        <f t="shared" si="51"/>
        <v>23.204062607407405</v>
      </c>
      <c r="X326" s="9"/>
      <c r="Y326" s="21">
        <v>0.14877299999999999</v>
      </c>
      <c r="Z326" s="21">
        <v>17.256</v>
      </c>
      <c r="AA326" s="21">
        <v>-1.4382900000000001E-2</v>
      </c>
      <c r="AB326" s="21">
        <v>316</v>
      </c>
      <c r="AC326" s="21">
        <v>0.14819299999999999</v>
      </c>
      <c r="AD326">
        <f t="shared" si="52"/>
        <v>17.756666666666668</v>
      </c>
      <c r="AE326">
        <f t="shared" si="53"/>
        <v>2.6417125700000001</v>
      </c>
      <c r="AF326" s="9"/>
      <c r="AG326" s="21">
        <v>1.4912399999999999</v>
      </c>
      <c r="AH326" s="21">
        <v>20.9543</v>
      </c>
      <c r="AI326" s="21">
        <v>-1.26587E-2</v>
      </c>
      <c r="AJ326" s="21">
        <v>316</v>
      </c>
      <c r="AK326" s="21">
        <v>1.49048</v>
      </c>
      <c r="AL326">
        <f t="shared" si="54"/>
        <v>15.628024691358023</v>
      </c>
      <c r="AM326">
        <f t="shared" si="55"/>
        <v>23.305135540740736</v>
      </c>
      <c r="AP326" s="9"/>
      <c r="AQ326" s="21">
        <v>0.14877299999999999</v>
      </c>
      <c r="AR326" s="21">
        <v>26.368200000000002</v>
      </c>
      <c r="AS326" s="21">
        <v>-1.44257E-2</v>
      </c>
      <c r="AT326" s="21">
        <v>316</v>
      </c>
      <c r="AU326" s="21">
        <v>0.14819299999999999</v>
      </c>
      <c r="AV326">
        <f t="shared" si="56"/>
        <v>17.809506172839505</v>
      </c>
      <c r="AW326">
        <f t="shared" si="57"/>
        <v>2.6495736618518517</v>
      </c>
      <c r="AX326" s="9"/>
      <c r="AY326" s="21">
        <v>1.4912399999999999</v>
      </c>
      <c r="AZ326" s="21">
        <v>30.066500000000001</v>
      </c>
      <c r="BA326" s="21">
        <v>-1.26923E-2</v>
      </c>
      <c r="BB326" s="21">
        <v>316</v>
      </c>
      <c r="BC326" s="21">
        <v>1.49109</v>
      </c>
      <c r="BD326">
        <f t="shared" si="58"/>
        <v>15.669506172839506</v>
      </c>
      <c r="BE326">
        <f t="shared" si="59"/>
        <v>23.366994385185183</v>
      </c>
    </row>
    <row r="327" spans="6:57" x14ac:dyDescent="0.25">
      <c r="F327" s="9"/>
      <c r="G327" s="21">
        <v>0.143738</v>
      </c>
      <c r="H327" s="21">
        <v>8.2008299999999998</v>
      </c>
      <c r="I327" s="21">
        <v>-1.43524E-2</v>
      </c>
      <c r="J327" s="21">
        <v>317</v>
      </c>
      <c r="K327" s="21">
        <v>0.14321900000000001</v>
      </c>
      <c r="L327">
        <f t="shared" si="48"/>
        <v>17.719012345679008</v>
      </c>
      <c r="M327">
        <f t="shared" si="49"/>
        <v>2.5468953965432095</v>
      </c>
      <c r="N327" s="9"/>
      <c r="O327" s="21">
        <v>1.4962800000000001</v>
      </c>
      <c r="P327" s="21">
        <v>11.8992</v>
      </c>
      <c r="Q327" s="21">
        <v>-1.25427E-2</v>
      </c>
      <c r="R327" s="21">
        <v>317</v>
      </c>
      <c r="S327" s="21">
        <v>1.49597</v>
      </c>
      <c r="T327">
        <f t="shared" si="50"/>
        <v>15.484814814814815</v>
      </c>
      <c r="U327">
        <f t="shared" si="51"/>
        <v>23.169618711111113</v>
      </c>
      <c r="X327" s="9"/>
      <c r="Y327" s="21">
        <v>0.143738</v>
      </c>
      <c r="Z327" s="21">
        <v>17.265999999999998</v>
      </c>
      <c r="AA327" s="21">
        <v>-1.4382900000000001E-2</v>
      </c>
      <c r="AB327" s="21">
        <v>317</v>
      </c>
      <c r="AC327" s="21">
        <v>0.14321900000000001</v>
      </c>
      <c r="AD327">
        <f t="shared" si="52"/>
        <v>17.756666666666668</v>
      </c>
      <c r="AE327">
        <f t="shared" si="53"/>
        <v>2.5523077533333334</v>
      </c>
      <c r="AF327" s="9"/>
      <c r="AG327" s="21">
        <v>1.4962800000000001</v>
      </c>
      <c r="AH327" s="21">
        <v>20.964400000000001</v>
      </c>
      <c r="AI327" s="21">
        <v>-1.26038E-2</v>
      </c>
      <c r="AJ327" s="21">
        <v>317</v>
      </c>
      <c r="AK327" s="21">
        <v>1.49597</v>
      </c>
      <c r="AL327">
        <f t="shared" si="54"/>
        <v>15.560246913580245</v>
      </c>
      <c r="AM327">
        <f t="shared" si="55"/>
        <v>23.28248625185185</v>
      </c>
      <c r="AP327" s="9"/>
      <c r="AQ327" s="21">
        <v>0.143738</v>
      </c>
      <c r="AR327" s="21">
        <v>26.378299999999999</v>
      </c>
      <c r="AS327" s="21">
        <v>-1.44318E-2</v>
      </c>
      <c r="AT327" s="21">
        <v>317</v>
      </c>
      <c r="AU327" s="21">
        <v>0.14318800000000001</v>
      </c>
      <c r="AV327">
        <f t="shared" si="56"/>
        <v>17.817037037037036</v>
      </c>
      <c r="AW327">
        <f t="shared" si="57"/>
        <v>2.5609852696296294</v>
      </c>
      <c r="AX327" s="9"/>
      <c r="AY327" s="21">
        <v>1.4962800000000001</v>
      </c>
      <c r="AZ327" s="21">
        <v>30.076599999999999</v>
      </c>
      <c r="BA327" s="21">
        <v>-1.2643400000000001E-2</v>
      </c>
      <c r="BB327" s="21">
        <v>317</v>
      </c>
      <c r="BC327" s="21">
        <v>1.4956700000000001</v>
      </c>
      <c r="BD327">
        <f t="shared" si="58"/>
        <v>15.609135802469137</v>
      </c>
      <c r="BE327">
        <f t="shared" si="59"/>
        <v>23.355637718518519</v>
      </c>
    </row>
    <row r="328" spans="6:57" x14ac:dyDescent="0.25">
      <c r="F328" s="9"/>
      <c r="G328" s="21">
        <v>0.13870199999999999</v>
      </c>
      <c r="H328" s="21">
        <v>8.2109000000000005</v>
      </c>
      <c r="I328" s="21">
        <v>-1.43585E-2</v>
      </c>
      <c r="J328" s="21">
        <v>318</v>
      </c>
      <c r="K328" s="21">
        <v>0.13824500000000001</v>
      </c>
      <c r="L328">
        <f t="shared" si="48"/>
        <v>17.726543209876542</v>
      </c>
      <c r="M328">
        <f t="shared" si="49"/>
        <v>2.458706996296296</v>
      </c>
      <c r="N328" s="9"/>
      <c r="O328" s="21">
        <v>1.5013099999999999</v>
      </c>
      <c r="P328" s="21">
        <v>11.9092</v>
      </c>
      <c r="Q328" s="21">
        <v>-1.2478599999999999E-2</v>
      </c>
      <c r="R328" s="21">
        <v>318</v>
      </c>
      <c r="S328" s="21">
        <v>1.50085</v>
      </c>
      <c r="T328">
        <f t="shared" si="50"/>
        <v>15.405679012345677</v>
      </c>
      <c r="U328">
        <f t="shared" si="51"/>
        <v>23.128699958024686</v>
      </c>
      <c r="X328" s="9"/>
      <c r="Y328" s="21">
        <v>0.13870199999999999</v>
      </c>
      <c r="Z328" s="21">
        <v>17.2761</v>
      </c>
      <c r="AA328" s="21">
        <v>-1.4395099999999999E-2</v>
      </c>
      <c r="AB328" s="21">
        <v>318</v>
      </c>
      <c r="AC328" s="21">
        <v>0.138153</v>
      </c>
      <c r="AD328">
        <f t="shared" si="52"/>
        <v>17.771728395061729</v>
      </c>
      <c r="AE328">
        <f t="shared" si="53"/>
        <v>2.4649742718518519</v>
      </c>
      <c r="AF328" s="9"/>
      <c r="AG328" s="21">
        <v>1.5013099999999999</v>
      </c>
      <c r="AH328" s="21">
        <v>20.974399999999999</v>
      </c>
      <c r="AI328" s="21">
        <v>-1.25519E-2</v>
      </c>
      <c r="AJ328" s="21">
        <v>318</v>
      </c>
      <c r="AK328" s="21">
        <v>1.50116</v>
      </c>
      <c r="AL328">
        <f t="shared" si="54"/>
        <v>15.496172839506173</v>
      </c>
      <c r="AM328">
        <f t="shared" si="55"/>
        <v>23.26455924567901</v>
      </c>
      <c r="AP328" s="9"/>
      <c r="AQ328" s="21">
        <v>0.13870199999999999</v>
      </c>
      <c r="AR328" s="21">
        <v>26.388300000000001</v>
      </c>
      <c r="AS328" s="21">
        <v>-1.44409E-2</v>
      </c>
      <c r="AT328" s="21">
        <v>318</v>
      </c>
      <c r="AU328" s="21">
        <v>0.138153</v>
      </c>
      <c r="AV328">
        <f t="shared" si="56"/>
        <v>17.828271604938269</v>
      </c>
      <c r="AW328">
        <f t="shared" si="57"/>
        <v>2.4728169281481476</v>
      </c>
      <c r="AX328" s="9"/>
      <c r="AY328" s="21">
        <v>1.5013099999999999</v>
      </c>
      <c r="AZ328" s="21">
        <v>30.0867</v>
      </c>
      <c r="BA328" s="21">
        <v>-1.2582400000000001E-2</v>
      </c>
      <c r="BB328" s="21">
        <v>318</v>
      </c>
      <c r="BC328" s="21">
        <v>1.5005500000000001</v>
      </c>
      <c r="BD328">
        <f t="shared" si="58"/>
        <v>15.533827160493827</v>
      </c>
      <c r="BE328">
        <f t="shared" si="59"/>
        <v>23.321090054320987</v>
      </c>
    </row>
    <row r="329" spans="6:57" x14ac:dyDescent="0.25">
      <c r="F329" s="9"/>
      <c r="G329" s="21">
        <v>0.13366700000000001</v>
      </c>
      <c r="H329" s="21">
        <v>8.2209699999999994</v>
      </c>
      <c r="I329" s="21">
        <v>-1.43646E-2</v>
      </c>
      <c r="J329" s="21">
        <v>319</v>
      </c>
      <c r="K329" s="21">
        <v>0.13308700000000001</v>
      </c>
      <c r="L329">
        <f t="shared" si="48"/>
        <v>17.734074074074073</v>
      </c>
      <c r="M329">
        <f t="shared" si="49"/>
        <v>2.3704604792592594</v>
      </c>
      <c r="N329" s="9"/>
      <c r="O329" s="21">
        <v>1.5063500000000001</v>
      </c>
      <c r="P329" s="21">
        <v>11.9193</v>
      </c>
      <c r="Q329" s="21">
        <v>-1.2411500000000001E-2</v>
      </c>
      <c r="R329" s="21">
        <v>319</v>
      </c>
      <c r="S329" s="21">
        <v>1.50543</v>
      </c>
      <c r="T329">
        <f t="shared" si="50"/>
        <v>15.322839506172839</v>
      </c>
      <c r="U329">
        <f t="shared" si="51"/>
        <v>23.081559290123458</v>
      </c>
      <c r="X329" s="9"/>
      <c r="Y329" s="21">
        <v>0.13366700000000001</v>
      </c>
      <c r="Z329" s="21">
        <v>17.286200000000001</v>
      </c>
      <c r="AA329" s="21">
        <v>-1.44104E-2</v>
      </c>
      <c r="AB329" s="21">
        <v>319</v>
      </c>
      <c r="AC329" s="21">
        <v>0.13320899999999999</v>
      </c>
      <c r="AD329">
        <f t="shared" si="52"/>
        <v>17.790617283950617</v>
      </c>
      <c r="AE329">
        <f t="shared" si="53"/>
        <v>2.3780184404938272</v>
      </c>
      <c r="AF329" s="9"/>
      <c r="AG329" s="21">
        <v>1.5063500000000001</v>
      </c>
      <c r="AH329" s="21">
        <v>20.984500000000001</v>
      </c>
      <c r="AI329" s="21">
        <v>-1.24878E-2</v>
      </c>
      <c r="AJ329" s="21">
        <v>319</v>
      </c>
      <c r="AK329" s="21">
        <v>1.5057400000000001</v>
      </c>
      <c r="AL329">
        <f t="shared" si="54"/>
        <v>15.417037037037037</v>
      </c>
      <c r="AM329">
        <f t="shared" si="55"/>
        <v>23.223453740740741</v>
      </c>
      <c r="AP329" s="9"/>
      <c r="AQ329" s="21">
        <v>0.13366700000000001</v>
      </c>
      <c r="AR329" s="21">
        <v>26.398399999999999</v>
      </c>
      <c r="AS329" s="21">
        <v>-1.4447E-2</v>
      </c>
      <c r="AT329" s="21">
        <v>319</v>
      </c>
      <c r="AU329" s="21">
        <v>0.13317899999999999</v>
      </c>
      <c r="AV329">
        <f t="shared" si="56"/>
        <v>17.8358024691358</v>
      </c>
      <c r="AW329">
        <f t="shared" si="57"/>
        <v>2.3840582086419753</v>
      </c>
      <c r="AX329" s="9"/>
      <c r="AY329" s="21">
        <v>1.5063500000000001</v>
      </c>
      <c r="AZ329" s="21">
        <v>30.096699999999998</v>
      </c>
      <c r="BA329" s="21">
        <v>-1.25183E-2</v>
      </c>
      <c r="BB329" s="21">
        <v>319</v>
      </c>
      <c r="BC329" s="21">
        <v>1.50604</v>
      </c>
      <c r="BD329">
        <f t="shared" si="58"/>
        <v>15.454691358024689</v>
      </c>
      <c r="BE329">
        <f t="shared" si="59"/>
        <v>23.280174327160491</v>
      </c>
    </row>
    <row r="330" spans="6:57" x14ac:dyDescent="0.25">
      <c r="F330" s="9"/>
      <c r="G330" s="21">
        <v>0.128632</v>
      </c>
      <c r="H330" s="21">
        <v>8.2310400000000001</v>
      </c>
      <c r="I330" s="21">
        <v>-1.4367700000000001E-2</v>
      </c>
      <c r="J330" s="21">
        <v>320</v>
      </c>
      <c r="K330" s="21">
        <v>0.128052</v>
      </c>
      <c r="L330">
        <f t="shared" si="48"/>
        <v>17.7379012345679</v>
      </c>
      <c r="M330">
        <f t="shared" si="49"/>
        <v>2.2816617116049382</v>
      </c>
      <c r="N330" s="9"/>
      <c r="O330" s="21">
        <v>1.5113799999999999</v>
      </c>
      <c r="P330" s="21">
        <v>11.929399999999999</v>
      </c>
      <c r="Q330" s="21">
        <v>-1.23474E-2</v>
      </c>
      <c r="R330" s="21">
        <v>320</v>
      </c>
      <c r="S330" s="21">
        <v>1.5106200000000001</v>
      </c>
      <c r="T330">
        <f t="shared" si="50"/>
        <v>15.243703703703702</v>
      </c>
      <c r="U330">
        <f t="shared" si="51"/>
        <v>23.039028903703699</v>
      </c>
      <c r="X330" s="9"/>
      <c r="Y330" s="21">
        <v>0.128632</v>
      </c>
      <c r="Z330" s="21">
        <v>17.296299999999999</v>
      </c>
      <c r="AA330" s="21">
        <v>-1.4413499999999999E-2</v>
      </c>
      <c r="AB330" s="21">
        <v>320</v>
      </c>
      <c r="AC330" s="21">
        <v>0.128052</v>
      </c>
      <c r="AD330">
        <f t="shared" si="52"/>
        <v>17.794444444444444</v>
      </c>
      <c r="AE330">
        <f t="shared" si="53"/>
        <v>2.2889349777777777</v>
      </c>
      <c r="AF330" s="9"/>
      <c r="AG330" s="21">
        <v>1.5113799999999999</v>
      </c>
      <c r="AH330" s="21">
        <v>20.994599999999998</v>
      </c>
      <c r="AI330" s="21">
        <v>-1.24298E-2</v>
      </c>
      <c r="AJ330" s="21">
        <v>320</v>
      </c>
      <c r="AK330" s="21">
        <v>1.5106200000000001</v>
      </c>
      <c r="AL330">
        <f t="shared" si="54"/>
        <v>15.34543209876543</v>
      </c>
      <c r="AM330">
        <f t="shared" si="55"/>
        <v>23.192779165432096</v>
      </c>
      <c r="AP330" s="9"/>
      <c r="AQ330" s="21">
        <v>0.128632</v>
      </c>
      <c r="AR330" s="21">
        <v>26.4085</v>
      </c>
      <c r="AS330" s="21">
        <v>-1.44531E-2</v>
      </c>
      <c r="AT330" s="21">
        <v>320</v>
      </c>
      <c r="AU330" s="21">
        <v>0.12799099999999999</v>
      </c>
      <c r="AV330">
        <f t="shared" si="56"/>
        <v>17.843333333333334</v>
      </c>
      <c r="AW330">
        <f t="shared" si="57"/>
        <v>2.2952236533333332</v>
      </c>
      <c r="AX330" s="9"/>
      <c r="AY330" s="21">
        <v>1.5113799999999999</v>
      </c>
      <c r="AZ330" s="21">
        <v>30.1068</v>
      </c>
      <c r="BA330" s="21">
        <v>-1.24481E-2</v>
      </c>
      <c r="BB330" s="21">
        <v>320</v>
      </c>
      <c r="BC330" s="21">
        <v>1.5112300000000001</v>
      </c>
      <c r="BD330">
        <f t="shared" si="58"/>
        <v>15.368024691358023</v>
      </c>
      <c r="BE330">
        <f t="shared" si="59"/>
        <v>23.226925158024688</v>
      </c>
    </row>
    <row r="331" spans="6:57" x14ac:dyDescent="0.25">
      <c r="F331" s="9"/>
      <c r="G331" s="21">
        <v>0.123596</v>
      </c>
      <c r="H331" s="21">
        <v>8.2411100000000008</v>
      </c>
      <c r="I331" s="21">
        <v>-1.43768E-2</v>
      </c>
      <c r="J331" s="21">
        <v>321</v>
      </c>
      <c r="K331" s="21">
        <v>0.12295499999999999</v>
      </c>
      <c r="L331">
        <f t="shared" si="48"/>
        <v>17.749135802469137</v>
      </c>
      <c r="M331">
        <f t="shared" si="49"/>
        <v>2.1937221886419755</v>
      </c>
      <c r="N331" s="9"/>
      <c r="O331" s="21">
        <v>1.5164200000000001</v>
      </c>
      <c r="P331" s="21">
        <v>11.939399999999999</v>
      </c>
      <c r="Q331" s="21">
        <v>-1.22925E-2</v>
      </c>
      <c r="R331" s="21">
        <v>321</v>
      </c>
      <c r="S331" s="21">
        <v>1.5155000000000001</v>
      </c>
      <c r="T331">
        <f t="shared" si="50"/>
        <v>15.175925925925924</v>
      </c>
      <c r="U331">
        <f t="shared" si="51"/>
        <v>23.013077592592591</v>
      </c>
      <c r="X331" s="9"/>
      <c r="Y331" s="21">
        <v>0.123596</v>
      </c>
      <c r="Z331" s="21">
        <v>17.3063</v>
      </c>
      <c r="AA331" s="21">
        <v>-1.43982E-2</v>
      </c>
      <c r="AB331" s="21">
        <v>321</v>
      </c>
      <c r="AC331" s="21">
        <v>0.123016</v>
      </c>
      <c r="AD331">
        <f t="shared" si="52"/>
        <v>17.775555555555556</v>
      </c>
      <c r="AE331">
        <f t="shared" si="53"/>
        <v>2.1969875644444445</v>
      </c>
      <c r="AF331" s="9"/>
      <c r="AG331" s="21">
        <v>1.5164200000000001</v>
      </c>
      <c r="AH331" s="21">
        <v>21.0047</v>
      </c>
      <c r="AI331" s="21">
        <v>-1.2371800000000001E-2</v>
      </c>
      <c r="AJ331" s="21">
        <v>321</v>
      </c>
      <c r="AK331" s="21">
        <v>1.5158100000000001</v>
      </c>
      <c r="AL331">
        <f t="shared" si="54"/>
        <v>15.273827160493827</v>
      </c>
      <c r="AM331">
        <f t="shared" si="55"/>
        <v>23.161536982716051</v>
      </c>
      <c r="AP331" s="9"/>
      <c r="AQ331" s="21">
        <v>0.123596</v>
      </c>
      <c r="AR331" s="21">
        <v>26.418500000000002</v>
      </c>
      <c r="AS331" s="21">
        <v>-1.44653E-2</v>
      </c>
      <c r="AT331" s="21">
        <v>321</v>
      </c>
      <c r="AU331" s="21">
        <v>0.123016</v>
      </c>
      <c r="AV331">
        <f t="shared" si="56"/>
        <v>17.858395061728395</v>
      </c>
      <c r="AW331">
        <f t="shared" si="57"/>
        <v>2.2072261960493824</v>
      </c>
      <c r="AX331" s="9"/>
      <c r="AY331" s="21">
        <v>1.5164200000000001</v>
      </c>
      <c r="AZ331" s="21">
        <v>30.116900000000001</v>
      </c>
      <c r="BA331" s="21">
        <v>-1.2377900000000001E-2</v>
      </c>
      <c r="BB331" s="21">
        <v>321</v>
      </c>
      <c r="BC331" s="21">
        <v>1.5155000000000001</v>
      </c>
      <c r="BD331">
        <f t="shared" si="58"/>
        <v>15.281358024691359</v>
      </c>
      <c r="BE331">
        <f t="shared" si="59"/>
        <v>23.172956935802471</v>
      </c>
    </row>
    <row r="332" spans="6:57" x14ac:dyDescent="0.25">
      <c r="F332" s="9"/>
      <c r="G332" s="21">
        <v>0.118561</v>
      </c>
      <c r="H332" s="21">
        <v>8.2511799999999997</v>
      </c>
      <c r="I332" s="21">
        <v>-1.4382900000000001E-2</v>
      </c>
      <c r="J332" s="21">
        <v>322</v>
      </c>
      <c r="K332" s="21">
        <v>0.117981</v>
      </c>
      <c r="L332">
        <f t="shared" ref="L332:L376" si="60">-I332/$F$2*1000</f>
        <v>17.756666666666668</v>
      </c>
      <c r="M332">
        <f t="shared" ref="M332:M376" si="61">L332*G332</f>
        <v>2.1052481566666668</v>
      </c>
      <c r="N332" s="9"/>
      <c r="O332" s="21">
        <v>1.52145</v>
      </c>
      <c r="P332" s="21">
        <v>11.9495</v>
      </c>
      <c r="Q332" s="21">
        <v>-1.22253E-2</v>
      </c>
      <c r="R332" s="21">
        <v>322</v>
      </c>
      <c r="S332" s="21">
        <v>1.5213000000000001</v>
      </c>
      <c r="T332">
        <f t="shared" ref="T332:T376" si="62">-Q332/$F$2*1000</f>
        <v>15.092962962962961</v>
      </c>
      <c r="U332">
        <f t="shared" ref="U332:U376" si="63">T332*O332</f>
        <v>22.963188499999998</v>
      </c>
      <c r="X332" s="9"/>
      <c r="Y332" s="21">
        <v>0.118561</v>
      </c>
      <c r="Z332" s="21">
        <v>17.316400000000002</v>
      </c>
      <c r="AA332" s="21">
        <v>-1.4379899999999999E-2</v>
      </c>
      <c r="AB332" s="21">
        <v>322</v>
      </c>
      <c r="AC332" s="21">
        <v>0.118073</v>
      </c>
      <c r="AD332">
        <f t="shared" ref="AD332:AD376" si="64">-AA332/$F$2*1000</f>
        <v>17.752962962962961</v>
      </c>
      <c r="AE332">
        <f t="shared" ref="AE332:AE376" si="65">AD332*Y332</f>
        <v>2.1048090418518517</v>
      </c>
      <c r="AF332" s="9"/>
      <c r="AG332" s="21">
        <v>1.52145</v>
      </c>
      <c r="AH332" s="21">
        <v>21.014700000000001</v>
      </c>
      <c r="AI332" s="21">
        <v>-1.22986E-2</v>
      </c>
      <c r="AJ332" s="21">
        <v>322</v>
      </c>
      <c r="AK332" s="21">
        <v>1.5213000000000001</v>
      </c>
      <c r="AL332">
        <f t="shared" ref="AL332:AL376" si="66">-AI332/$F$2*1000</f>
        <v>15.183456790123456</v>
      </c>
      <c r="AM332">
        <f t="shared" ref="AM332:AM376" si="67">AL332*AG332</f>
        <v>23.100870333333333</v>
      </c>
      <c r="AP332" s="9"/>
      <c r="AQ332" s="21">
        <v>0.118561</v>
      </c>
      <c r="AR332" s="21">
        <v>26.428599999999999</v>
      </c>
      <c r="AS332" s="21">
        <v>-1.44592E-2</v>
      </c>
      <c r="AT332" s="21">
        <v>322</v>
      </c>
      <c r="AU332" s="21">
        <v>0.11804199999999999</v>
      </c>
      <c r="AV332">
        <f t="shared" ref="AV332:AV376" si="68">-AS332/$F$2*1000</f>
        <v>17.850864197530864</v>
      </c>
      <c r="AW332">
        <f t="shared" ref="AW332:AW376" si="69">AV332*AQ332</f>
        <v>2.1164163101234568</v>
      </c>
      <c r="AX332" s="9"/>
      <c r="AY332" s="21">
        <v>1.52145</v>
      </c>
      <c r="AZ332" s="21">
        <v>30.126999999999999</v>
      </c>
      <c r="BA332" s="21">
        <v>-1.23077E-2</v>
      </c>
      <c r="BB332" s="21">
        <v>322</v>
      </c>
      <c r="BC332" s="21">
        <v>1.5203899999999999</v>
      </c>
      <c r="BD332">
        <f t="shared" ref="BD332:BD376" si="70">-BA332/$F$2*1000</f>
        <v>15.19469135802469</v>
      </c>
      <c r="BE332">
        <f t="shared" ref="BE332:BE376" si="71">BD332*AY332</f>
        <v>23.117963166666662</v>
      </c>
    </row>
    <row r="333" spans="6:57" x14ac:dyDescent="0.25">
      <c r="F333" s="9"/>
      <c r="G333" s="21">
        <v>0.113525</v>
      </c>
      <c r="H333" s="21">
        <v>8.2612500000000004</v>
      </c>
      <c r="I333" s="21">
        <v>-1.4382900000000001E-2</v>
      </c>
      <c r="J333" s="21">
        <v>323</v>
      </c>
      <c r="K333" s="21">
        <v>0.112946</v>
      </c>
      <c r="L333">
        <f t="shared" si="60"/>
        <v>17.756666666666668</v>
      </c>
      <c r="M333">
        <f t="shared" si="61"/>
        <v>2.0158255833333336</v>
      </c>
      <c r="N333" s="9"/>
      <c r="O333" s="21">
        <v>1.5264899999999999</v>
      </c>
      <c r="P333" s="21">
        <v>11.9596</v>
      </c>
      <c r="Q333" s="21">
        <v>-1.2152100000000001E-2</v>
      </c>
      <c r="R333" s="21">
        <v>323</v>
      </c>
      <c r="S333" s="21">
        <v>1.5252699999999999</v>
      </c>
      <c r="T333">
        <f t="shared" si="62"/>
        <v>15.002592592592592</v>
      </c>
      <c r="U333">
        <f t="shared" si="63"/>
        <v>22.901307566666663</v>
      </c>
      <c r="X333" s="9"/>
      <c r="Y333" s="21">
        <v>0.113525</v>
      </c>
      <c r="Z333" s="21">
        <v>17.326499999999999</v>
      </c>
      <c r="AA333" s="21">
        <v>-1.4379899999999999E-2</v>
      </c>
      <c r="AB333" s="21">
        <v>323</v>
      </c>
      <c r="AC333" s="21">
        <v>0.113037</v>
      </c>
      <c r="AD333">
        <f t="shared" si="64"/>
        <v>17.752962962962961</v>
      </c>
      <c r="AE333">
        <f t="shared" si="65"/>
        <v>2.01540512037037</v>
      </c>
      <c r="AF333" s="9"/>
      <c r="AG333" s="21">
        <v>1.5264899999999999</v>
      </c>
      <c r="AH333" s="21">
        <v>21.024799999999999</v>
      </c>
      <c r="AI333" s="21">
        <v>-1.22223E-2</v>
      </c>
      <c r="AJ333" s="21">
        <v>323</v>
      </c>
      <c r="AK333" s="21">
        <v>1.5258799999999999</v>
      </c>
      <c r="AL333">
        <f t="shared" si="66"/>
        <v>15.08925925925926</v>
      </c>
      <c r="AM333">
        <f t="shared" si="67"/>
        <v>23.033603366666664</v>
      </c>
      <c r="AP333" s="9"/>
      <c r="AQ333" s="21">
        <v>0.113525</v>
      </c>
      <c r="AR333" s="21">
        <v>26.438700000000001</v>
      </c>
      <c r="AS333" s="21">
        <v>-1.44531E-2</v>
      </c>
      <c r="AT333" s="21">
        <v>323</v>
      </c>
      <c r="AU333" s="21">
        <v>0.113007</v>
      </c>
      <c r="AV333">
        <f t="shared" si="68"/>
        <v>17.843333333333334</v>
      </c>
      <c r="AW333">
        <f t="shared" si="69"/>
        <v>2.0256644166666669</v>
      </c>
      <c r="AX333" s="9"/>
      <c r="AY333" s="21">
        <v>1.5264899999999999</v>
      </c>
      <c r="AZ333" s="21">
        <v>30.137</v>
      </c>
      <c r="BA333" s="21">
        <v>-1.22284E-2</v>
      </c>
      <c r="BB333" s="21">
        <v>323</v>
      </c>
      <c r="BC333" s="21">
        <v>1.5258799999999999</v>
      </c>
      <c r="BD333">
        <f t="shared" si="70"/>
        <v>15.096790123456788</v>
      </c>
      <c r="BE333">
        <f t="shared" si="71"/>
        <v>23.045099155555551</v>
      </c>
    </row>
    <row r="334" spans="6:57" x14ac:dyDescent="0.25">
      <c r="F334" s="9"/>
      <c r="G334" s="21">
        <v>0.10849</v>
      </c>
      <c r="H334" s="21">
        <v>8.2713300000000007</v>
      </c>
      <c r="I334" s="21">
        <v>-1.4385999999999999E-2</v>
      </c>
      <c r="J334" s="21">
        <v>324</v>
      </c>
      <c r="K334" s="21">
        <v>0.10791000000000001</v>
      </c>
      <c r="L334">
        <f t="shared" si="60"/>
        <v>17.760493827160492</v>
      </c>
      <c r="M334">
        <f t="shared" si="61"/>
        <v>1.9268359753086417</v>
      </c>
      <c r="N334" s="9"/>
      <c r="O334" s="21">
        <v>1.53152</v>
      </c>
      <c r="P334" s="21">
        <v>11.9697</v>
      </c>
      <c r="Q334" s="21">
        <v>-1.20667E-2</v>
      </c>
      <c r="R334" s="21">
        <v>324</v>
      </c>
      <c r="S334" s="21">
        <v>1.5310699999999999</v>
      </c>
      <c r="T334">
        <f t="shared" si="62"/>
        <v>14.89716049382716</v>
      </c>
      <c r="U334">
        <f t="shared" si="63"/>
        <v>22.815299239506171</v>
      </c>
      <c r="X334" s="9"/>
      <c r="Y334" s="21">
        <v>0.10849</v>
      </c>
      <c r="Z334" s="21">
        <v>17.336500000000001</v>
      </c>
      <c r="AA334" s="21">
        <v>-1.4379899999999999E-2</v>
      </c>
      <c r="AB334" s="21">
        <v>324</v>
      </c>
      <c r="AC334" s="21">
        <v>0.107971</v>
      </c>
      <c r="AD334">
        <f t="shared" si="64"/>
        <v>17.752962962962961</v>
      </c>
      <c r="AE334">
        <f t="shared" si="65"/>
        <v>1.9260189518518518</v>
      </c>
      <c r="AF334" s="9"/>
      <c r="AG334" s="21">
        <v>1.53152</v>
      </c>
      <c r="AH334" s="21">
        <v>21.0349</v>
      </c>
      <c r="AI334" s="21">
        <v>-1.21429E-2</v>
      </c>
      <c r="AJ334" s="21">
        <v>324</v>
      </c>
      <c r="AK334" s="21">
        <v>1.5307599999999999</v>
      </c>
      <c r="AL334">
        <f t="shared" si="66"/>
        <v>14.991234567901234</v>
      </c>
      <c r="AM334">
        <f t="shared" si="67"/>
        <v>22.959375565432097</v>
      </c>
      <c r="AP334" s="9"/>
      <c r="AQ334" s="21">
        <v>0.10849</v>
      </c>
      <c r="AR334" s="21">
        <v>26.448799999999999</v>
      </c>
      <c r="AS334" s="21">
        <v>-1.44592E-2</v>
      </c>
      <c r="AT334" s="21">
        <v>324</v>
      </c>
      <c r="AU334" s="21">
        <v>0.107971</v>
      </c>
      <c r="AV334">
        <f t="shared" si="68"/>
        <v>17.850864197530864</v>
      </c>
      <c r="AW334">
        <f t="shared" si="69"/>
        <v>1.9366402567901235</v>
      </c>
      <c r="AX334" s="9"/>
      <c r="AY334" s="21">
        <v>1.53152</v>
      </c>
      <c r="AZ334" s="21">
        <v>30.147099999999998</v>
      </c>
      <c r="BA334" s="21">
        <v>-1.2149E-2</v>
      </c>
      <c r="BB334" s="21">
        <v>324</v>
      </c>
      <c r="BC334" s="21">
        <v>1.5310699999999999</v>
      </c>
      <c r="BD334">
        <f t="shared" si="70"/>
        <v>14.998765432098764</v>
      </c>
      <c r="BE334">
        <f t="shared" si="71"/>
        <v>22.970909234567898</v>
      </c>
    </row>
    <row r="335" spans="6:57" x14ac:dyDescent="0.25">
      <c r="F335" s="9"/>
      <c r="G335" s="21">
        <v>0.10345500000000001</v>
      </c>
      <c r="H335" s="21">
        <v>8.2813999999999997</v>
      </c>
      <c r="I335" s="21">
        <v>-1.4385999999999999E-2</v>
      </c>
      <c r="J335" s="21">
        <v>325</v>
      </c>
      <c r="K335" s="21">
        <v>0.102844</v>
      </c>
      <c r="L335">
        <f t="shared" si="60"/>
        <v>17.760493827160492</v>
      </c>
      <c r="M335">
        <f t="shared" si="61"/>
        <v>1.8374118888888888</v>
      </c>
      <c r="N335" s="9"/>
      <c r="O335" s="21">
        <v>1.5365599999999999</v>
      </c>
      <c r="P335" s="21">
        <v>11.979699999999999</v>
      </c>
      <c r="Q335" s="21">
        <v>-1.1969E-2</v>
      </c>
      <c r="R335" s="21">
        <v>325</v>
      </c>
      <c r="S335" s="21">
        <v>1.5362499999999999</v>
      </c>
      <c r="T335">
        <f t="shared" si="62"/>
        <v>14.776543209876543</v>
      </c>
      <c r="U335">
        <f t="shared" si="63"/>
        <v>22.705045234567901</v>
      </c>
      <c r="X335" s="9"/>
      <c r="Y335" s="21">
        <v>0.10345500000000001</v>
      </c>
      <c r="Z335" s="21">
        <v>17.346599999999999</v>
      </c>
      <c r="AA335" s="21">
        <v>-1.4382900000000001E-2</v>
      </c>
      <c r="AB335" s="21">
        <v>325</v>
      </c>
      <c r="AC335" s="21">
        <v>0.102936</v>
      </c>
      <c r="AD335">
        <f t="shared" si="64"/>
        <v>17.756666666666668</v>
      </c>
      <c r="AE335">
        <f t="shared" si="65"/>
        <v>1.8370159500000003</v>
      </c>
      <c r="AF335" s="9"/>
      <c r="AG335" s="21">
        <v>1.5365599999999999</v>
      </c>
      <c r="AH335" s="21">
        <v>21.044899999999998</v>
      </c>
      <c r="AI335" s="21">
        <v>-1.20605E-2</v>
      </c>
      <c r="AJ335" s="21">
        <v>325</v>
      </c>
      <c r="AK335" s="21">
        <v>1.5362499999999999</v>
      </c>
      <c r="AL335">
        <f t="shared" si="66"/>
        <v>14.889506172839505</v>
      </c>
      <c r="AM335">
        <f t="shared" si="67"/>
        <v>22.878619604938269</v>
      </c>
      <c r="AP335" s="9"/>
      <c r="AQ335" s="21">
        <v>0.10345500000000001</v>
      </c>
      <c r="AR335" s="21">
        <v>26.4588</v>
      </c>
      <c r="AS335" s="21">
        <v>-1.44653E-2</v>
      </c>
      <c r="AT335" s="21">
        <v>325</v>
      </c>
      <c r="AU335" s="21">
        <v>0.102905</v>
      </c>
      <c r="AV335">
        <f t="shared" si="68"/>
        <v>17.858395061728395</v>
      </c>
      <c r="AW335">
        <f t="shared" si="69"/>
        <v>1.8475402611111111</v>
      </c>
      <c r="AX335" s="9"/>
      <c r="AY335" s="21">
        <v>1.5365599999999999</v>
      </c>
      <c r="AZ335" s="21">
        <v>30.1572</v>
      </c>
      <c r="BA335" s="21">
        <v>-1.2075799999999999E-2</v>
      </c>
      <c r="BB335" s="21">
        <v>325</v>
      </c>
      <c r="BC335" s="21">
        <v>1.5362499999999999</v>
      </c>
      <c r="BD335">
        <f t="shared" si="70"/>
        <v>14.908395061728394</v>
      </c>
      <c r="BE335">
        <f t="shared" si="71"/>
        <v>22.907643516049379</v>
      </c>
    </row>
    <row r="336" spans="6:57" x14ac:dyDescent="0.25">
      <c r="F336" s="9"/>
      <c r="G336" s="21">
        <v>9.8419199999999998E-2</v>
      </c>
      <c r="H336" s="21">
        <v>8.2914700000000003</v>
      </c>
      <c r="I336" s="21">
        <v>-1.4389000000000001E-2</v>
      </c>
      <c r="J336" s="21">
        <v>326</v>
      </c>
      <c r="K336" s="21">
        <v>9.7869899999999996E-2</v>
      </c>
      <c r="L336">
        <f t="shared" si="60"/>
        <v>17.764197530864198</v>
      </c>
      <c r="M336">
        <f t="shared" si="61"/>
        <v>1.7483381096296298</v>
      </c>
      <c r="N336" s="9"/>
      <c r="O336" s="21">
        <v>1.5416000000000001</v>
      </c>
      <c r="P336" s="21">
        <v>11.989800000000001</v>
      </c>
      <c r="Q336" s="21">
        <v>-1.1892700000000001E-2</v>
      </c>
      <c r="R336" s="21">
        <v>326</v>
      </c>
      <c r="S336" s="21">
        <v>1.54053</v>
      </c>
      <c r="T336">
        <f t="shared" si="62"/>
        <v>14.682345679012347</v>
      </c>
      <c r="U336">
        <f t="shared" si="63"/>
        <v>22.634304098765433</v>
      </c>
      <c r="X336" s="9"/>
      <c r="Y336" s="21">
        <v>9.8419199999999998E-2</v>
      </c>
      <c r="Z336" s="21">
        <v>17.3567</v>
      </c>
      <c r="AA336" s="21">
        <v>-1.43768E-2</v>
      </c>
      <c r="AB336" s="21">
        <v>326</v>
      </c>
      <c r="AC336" s="21">
        <v>9.7930900000000001E-2</v>
      </c>
      <c r="AD336">
        <f t="shared" si="64"/>
        <v>17.749135802469137</v>
      </c>
      <c r="AE336">
        <f t="shared" si="65"/>
        <v>1.7468557463703704</v>
      </c>
      <c r="AF336" s="9"/>
      <c r="AG336" s="21">
        <v>1.5416000000000001</v>
      </c>
      <c r="AH336" s="21">
        <v>21.055</v>
      </c>
      <c r="AI336" s="21">
        <v>-1.19781E-2</v>
      </c>
      <c r="AJ336" s="21">
        <v>326</v>
      </c>
      <c r="AK336" s="21">
        <v>1.54114</v>
      </c>
      <c r="AL336">
        <f t="shared" si="66"/>
        <v>14.787777777777777</v>
      </c>
      <c r="AM336">
        <f t="shared" si="67"/>
        <v>22.79683822222222</v>
      </c>
      <c r="AP336" s="9"/>
      <c r="AQ336" s="21">
        <v>9.8419199999999998E-2</v>
      </c>
      <c r="AR336" s="21">
        <v>26.468900000000001</v>
      </c>
      <c r="AS336" s="21">
        <v>-1.4468399999999999E-2</v>
      </c>
      <c r="AT336" s="21">
        <v>326</v>
      </c>
      <c r="AU336" s="21">
        <v>9.7839400000000007E-2</v>
      </c>
      <c r="AV336">
        <f t="shared" si="68"/>
        <v>17.862222222222222</v>
      </c>
      <c r="AW336">
        <f t="shared" si="69"/>
        <v>1.7579856213333334</v>
      </c>
      <c r="AX336" s="9"/>
      <c r="AY336" s="21">
        <v>1.5416000000000001</v>
      </c>
      <c r="AZ336" s="21">
        <v>30.167200000000001</v>
      </c>
      <c r="BA336" s="21">
        <v>-1.1987299999999999E-2</v>
      </c>
      <c r="BB336" s="21">
        <v>326</v>
      </c>
      <c r="BC336" s="21">
        <v>1.54114</v>
      </c>
      <c r="BD336">
        <f t="shared" si="70"/>
        <v>14.799135802469134</v>
      </c>
      <c r="BE336">
        <f t="shared" si="71"/>
        <v>22.81434775308642</v>
      </c>
    </row>
    <row r="337" spans="6:57" x14ac:dyDescent="0.25">
      <c r="F337" s="9"/>
      <c r="G337" s="21">
        <v>9.3383800000000003E-2</v>
      </c>
      <c r="H337" s="21">
        <v>8.3015399999999993</v>
      </c>
      <c r="I337" s="21">
        <v>-1.4382900000000001E-2</v>
      </c>
      <c r="J337" s="21">
        <v>327</v>
      </c>
      <c r="K337" s="21">
        <v>9.2803999999999998E-2</v>
      </c>
      <c r="L337">
        <f t="shared" si="60"/>
        <v>17.756666666666668</v>
      </c>
      <c r="M337">
        <f t="shared" si="61"/>
        <v>1.6581850086666667</v>
      </c>
      <c r="N337" s="9"/>
      <c r="O337" s="21">
        <v>1.5466299999999999</v>
      </c>
      <c r="P337" s="21">
        <v>11.9999</v>
      </c>
      <c r="Q337" s="21">
        <v>-1.18073E-2</v>
      </c>
      <c r="R337" s="21">
        <v>327</v>
      </c>
      <c r="S337" s="21">
        <v>1.5460199999999999</v>
      </c>
      <c r="T337">
        <f t="shared" si="62"/>
        <v>14.576913580246911</v>
      </c>
      <c r="U337">
        <f t="shared" si="63"/>
        <v>22.545091850617279</v>
      </c>
      <c r="X337" s="9"/>
      <c r="Y337" s="21">
        <v>9.3383800000000003E-2</v>
      </c>
      <c r="Z337" s="21">
        <v>17.366800000000001</v>
      </c>
      <c r="AA337" s="21">
        <v>-1.4379899999999999E-2</v>
      </c>
      <c r="AB337" s="21">
        <v>327</v>
      </c>
      <c r="AC337" s="21">
        <v>9.28345E-2</v>
      </c>
      <c r="AD337">
        <f t="shared" si="64"/>
        <v>17.752962962962961</v>
      </c>
      <c r="AE337">
        <f t="shared" si="65"/>
        <v>1.6578391427407406</v>
      </c>
      <c r="AF337" s="9"/>
      <c r="AG337" s="21">
        <v>1.5466299999999999</v>
      </c>
      <c r="AH337" s="21">
        <v>21.065100000000001</v>
      </c>
      <c r="AI337" s="21">
        <v>-1.1892700000000001E-2</v>
      </c>
      <c r="AJ337" s="21">
        <v>327</v>
      </c>
      <c r="AK337" s="21">
        <v>1.54633</v>
      </c>
      <c r="AL337">
        <f t="shared" si="66"/>
        <v>14.682345679012347</v>
      </c>
      <c r="AM337">
        <f t="shared" si="67"/>
        <v>22.708156297530866</v>
      </c>
      <c r="AP337" s="9"/>
      <c r="AQ337" s="21">
        <v>9.3383800000000003E-2</v>
      </c>
      <c r="AR337" s="21">
        <v>26.478999999999999</v>
      </c>
      <c r="AS337" s="21">
        <v>-1.44531E-2</v>
      </c>
      <c r="AT337" s="21">
        <v>327</v>
      </c>
      <c r="AU337" s="21">
        <v>9.2956499999999997E-2</v>
      </c>
      <c r="AV337">
        <f t="shared" si="68"/>
        <v>17.843333333333334</v>
      </c>
      <c r="AW337">
        <f t="shared" si="69"/>
        <v>1.6662782713333335</v>
      </c>
      <c r="AX337" s="9"/>
      <c r="AY337" s="21">
        <v>1.5466299999999999</v>
      </c>
      <c r="AZ337" s="21">
        <v>30.177299999999999</v>
      </c>
      <c r="BA337" s="21">
        <v>-1.18835E-2</v>
      </c>
      <c r="BB337" s="21">
        <v>327</v>
      </c>
      <c r="BC337" s="21">
        <v>1.54633</v>
      </c>
      <c r="BD337">
        <f t="shared" si="70"/>
        <v>14.670987654320987</v>
      </c>
      <c r="BE337">
        <f t="shared" si="71"/>
        <v>22.690589635802468</v>
      </c>
    </row>
    <row r="338" spans="6:57" x14ac:dyDescent="0.25">
      <c r="F338" s="9"/>
      <c r="G338" s="21">
        <v>8.8348399999999994E-2</v>
      </c>
      <c r="H338" s="21">
        <v>8.3116099999999999</v>
      </c>
      <c r="I338" s="21">
        <v>-1.43768E-2</v>
      </c>
      <c r="J338" s="21">
        <v>328</v>
      </c>
      <c r="K338" s="21">
        <v>8.7890599999999999E-2</v>
      </c>
      <c r="L338">
        <f t="shared" si="60"/>
        <v>17.749135802469137</v>
      </c>
      <c r="M338">
        <f t="shared" si="61"/>
        <v>1.5681077495308642</v>
      </c>
      <c r="N338" s="9"/>
      <c r="O338" s="21">
        <v>1.5516700000000001</v>
      </c>
      <c r="P338" s="21">
        <v>12.0099</v>
      </c>
      <c r="Q338" s="21">
        <v>-1.1721799999999999E-2</v>
      </c>
      <c r="R338" s="21">
        <v>328</v>
      </c>
      <c r="S338" s="21">
        <v>1.5515099999999999</v>
      </c>
      <c r="T338">
        <f t="shared" si="62"/>
        <v>14.471358024691357</v>
      </c>
      <c r="U338">
        <f t="shared" si="63"/>
        <v>22.45477210617284</v>
      </c>
      <c r="X338" s="9"/>
      <c r="Y338" s="21">
        <v>8.8348399999999994E-2</v>
      </c>
      <c r="Z338" s="21">
        <v>17.376799999999999</v>
      </c>
      <c r="AA338" s="21">
        <v>-1.44073E-2</v>
      </c>
      <c r="AB338" s="21">
        <v>328</v>
      </c>
      <c r="AC338" s="21">
        <v>8.7829599999999994E-2</v>
      </c>
      <c r="AD338">
        <f t="shared" si="64"/>
        <v>17.78679012345679</v>
      </c>
      <c r="AE338">
        <f t="shared" si="65"/>
        <v>1.5714344485432097</v>
      </c>
      <c r="AF338" s="9"/>
      <c r="AG338" s="21">
        <v>1.5516700000000001</v>
      </c>
      <c r="AH338" s="21">
        <v>21.075199999999999</v>
      </c>
      <c r="AI338" s="21">
        <v>-1.1804200000000001E-2</v>
      </c>
      <c r="AJ338" s="21">
        <v>328</v>
      </c>
      <c r="AK338" s="21">
        <v>1.5515099999999999</v>
      </c>
      <c r="AL338">
        <f t="shared" si="66"/>
        <v>14.573086419753087</v>
      </c>
      <c r="AM338">
        <f t="shared" si="67"/>
        <v>22.612621004938276</v>
      </c>
      <c r="AP338" s="9"/>
      <c r="AQ338" s="21">
        <v>8.8348399999999994E-2</v>
      </c>
      <c r="AR338" s="21">
        <v>26.489000000000001</v>
      </c>
      <c r="AS338" s="21">
        <v>-1.44379E-2</v>
      </c>
      <c r="AT338" s="21">
        <v>328</v>
      </c>
      <c r="AU338" s="21">
        <v>8.7829599999999994E-2</v>
      </c>
      <c r="AV338">
        <f t="shared" si="68"/>
        <v>17.824567901234566</v>
      </c>
      <c r="AW338">
        <f t="shared" si="69"/>
        <v>1.5747720547654318</v>
      </c>
      <c r="AX338" s="9"/>
      <c r="AY338" s="21">
        <v>1.5516700000000001</v>
      </c>
      <c r="AZ338" s="21">
        <v>30.1874</v>
      </c>
      <c r="BA338" s="21">
        <v>-1.17889E-2</v>
      </c>
      <c r="BB338" s="21">
        <v>328</v>
      </c>
      <c r="BC338" s="21">
        <v>1.5506</v>
      </c>
      <c r="BD338">
        <f t="shared" si="70"/>
        <v>14.554197530864196</v>
      </c>
      <c r="BE338">
        <f t="shared" si="71"/>
        <v>22.583311682716047</v>
      </c>
    </row>
    <row r="339" spans="6:57" x14ac:dyDescent="0.25">
      <c r="F339" s="9"/>
      <c r="G339" s="21">
        <v>8.3312999999999998E-2</v>
      </c>
      <c r="H339" s="21">
        <v>8.3216800000000006</v>
      </c>
      <c r="I339" s="21">
        <v>-1.43646E-2</v>
      </c>
      <c r="J339" s="21">
        <v>329</v>
      </c>
      <c r="K339" s="21">
        <v>8.2763699999999996E-2</v>
      </c>
      <c r="L339">
        <f t="shared" si="60"/>
        <v>17.734074074074073</v>
      </c>
      <c r="M339">
        <f t="shared" si="61"/>
        <v>1.4774789133333333</v>
      </c>
      <c r="N339" s="9"/>
      <c r="O339" s="21">
        <v>1.5567</v>
      </c>
      <c r="P339" s="21">
        <v>12.02</v>
      </c>
      <c r="Q339" s="21">
        <v>-1.1627200000000001E-2</v>
      </c>
      <c r="R339" s="21">
        <v>329</v>
      </c>
      <c r="S339" s="21">
        <v>1.55579</v>
      </c>
      <c r="T339">
        <f t="shared" si="62"/>
        <v>14.354567901234569</v>
      </c>
      <c r="U339">
        <f t="shared" si="63"/>
        <v>22.345755851851852</v>
      </c>
      <c r="X339" s="9"/>
      <c r="Y339" s="21">
        <v>8.3312999999999998E-2</v>
      </c>
      <c r="Z339" s="21">
        <v>17.386900000000001</v>
      </c>
      <c r="AA339" s="21">
        <v>-1.44073E-2</v>
      </c>
      <c r="AB339" s="21">
        <v>329</v>
      </c>
      <c r="AC339" s="21">
        <v>8.2763699999999996E-2</v>
      </c>
      <c r="AD339">
        <f t="shared" si="64"/>
        <v>17.78679012345679</v>
      </c>
      <c r="AE339">
        <f t="shared" si="65"/>
        <v>1.4818708455555554</v>
      </c>
      <c r="AF339" s="9"/>
      <c r="AG339" s="21">
        <v>1.5567</v>
      </c>
      <c r="AH339" s="21">
        <v>21.0852</v>
      </c>
      <c r="AI339" s="21">
        <v>-1.17188E-2</v>
      </c>
      <c r="AJ339" s="21">
        <v>329</v>
      </c>
      <c r="AK339" s="21">
        <v>1.5564</v>
      </c>
      <c r="AL339">
        <f t="shared" si="66"/>
        <v>14.467654320987654</v>
      </c>
      <c r="AM339">
        <f t="shared" si="67"/>
        <v>22.521797481481482</v>
      </c>
      <c r="AP339" s="9"/>
      <c r="AQ339" s="21">
        <v>8.3312999999999998E-2</v>
      </c>
      <c r="AR339" s="21">
        <v>26.499099999999999</v>
      </c>
      <c r="AS339" s="21">
        <v>-1.44257E-2</v>
      </c>
      <c r="AT339" s="21">
        <v>329</v>
      </c>
      <c r="AU339" s="21">
        <v>8.2885700000000007E-2</v>
      </c>
      <c r="AV339">
        <f t="shared" si="68"/>
        <v>17.809506172839505</v>
      </c>
      <c r="AW339">
        <f t="shared" si="69"/>
        <v>1.4837633877777776</v>
      </c>
      <c r="AX339" s="9"/>
      <c r="AY339" s="21">
        <v>1.5567</v>
      </c>
      <c r="AZ339" s="21">
        <v>30.197500000000002</v>
      </c>
      <c r="BA339" s="21">
        <v>-1.16913E-2</v>
      </c>
      <c r="BB339" s="21">
        <v>329</v>
      </c>
      <c r="BC339" s="21">
        <v>1.55609</v>
      </c>
      <c r="BD339">
        <f t="shared" si="70"/>
        <v>14.433703703703703</v>
      </c>
      <c r="BE339">
        <f t="shared" si="71"/>
        <v>22.468946555555554</v>
      </c>
    </row>
    <row r="340" spans="6:57" x14ac:dyDescent="0.25">
      <c r="F340" s="9"/>
      <c r="G340" s="21">
        <v>7.8277600000000003E-2</v>
      </c>
      <c r="H340" s="21">
        <v>8.3317499999999995</v>
      </c>
      <c r="I340" s="21">
        <v>-1.43555E-2</v>
      </c>
      <c r="J340" s="21">
        <v>330</v>
      </c>
      <c r="K340" s="21">
        <v>7.7789300000000006E-2</v>
      </c>
      <c r="L340">
        <f t="shared" si="60"/>
        <v>17.722839506172836</v>
      </c>
      <c r="M340">
        <f t="shared" si="61"/>
        <v>1.3873013417283948</v>
      </c>
      <c r="N340" s="9"/>
      <c r="O340" s="21">
        <v>1.5617399999999999</v>
      </c>
      <c r="P340" s="21">
        <v>12.030099999999999</v>
      </c>
      <c r="Q340" s="21">
        <v>-1.15234E-2</v>
      </c>
      <c r="R340" s="21">
        <v>330</v>
      </c>
      <c r="S340" s="21">
        <v>1.56097</v>
      </c>
      <c r="T340">
        <f t="shared" si="62"/>
        <v>14.226419753086418</v>
      </c>
      <c r="U340">
        <f t="shared" si="63"/>
        <v>22.217968785185182</v>
      </c>
      <c r="X340" s="9"/>
      <c r="Y340" s="21">
        <v>7.8277600000000003E-2</v>
      </c>
      <c r="Z340" s="21">
        <v>17.396999999999998</v>
      </c>
      <c r="AA340" s="21">
        <v>-1.44104E-2</v>
      </c>
      <c r="AB340" s="21">
        <v>330</v>
      </c>
      <c r="AC340" s="21">
        <v>7.7850299999999997E-2</v>
      </c>
      <c r="AD340">
        <f t="shared" si="64"/>
        <v>17.790617283950617</v>
      </c>
      <c r="AE340">
        <f t="shared" si="65"/>
        <v>1.3926068235061728</v>
      </c>
      <c r="AF340" s="9"/>
      <c r="AG340" s="21">
        <v>1.5617399999999999</v>
      </c>
      <c r="AH340" s="21">
        <v>21.095300000000002</v>
      </c>
      <c r="AI340" s="21">
        <v>-1.1615E-2</v>
      </c>
      <c r="AJ340" s="21">
        <v>330</v>
      </c>
      <c r="AK340" s="21">
        <v>1.56128</v>
      </c>
      <c r="AL340">
        <f t="shared" si="66"/>
        <v>14.339506172839505</v>
      </c>
      <c r="AM340">
        <f t="shared" si="67"/>
        <v>22.394580370370367</v>
      </c>
      <c r="AP340" s="9"/>
      <c r="AQ340" s="21">
        <v>7.8277600000000003E-2</v>
      </c>
      <c r="AR340" s="21">
        <v>26.5092</v>
      </c>
      <c r="AS340" s="21">
        <v>-1.4422600000000001E-2</v>
      </c>
      <c r="AT340" s="21">
        <v>330</v>
      </c>
      <c r="AU340" s="21">
        <v>7.7789300000000006E-2</v>
      </c>
      <c r="AV340">
        <f t="shared" si="68"/>
        <v>17.805679012345678</v>
      </c>
      <c r="AW340">
        <f t="shared" si="69"/>
        <v>1.39378581945679</v>
      </c>
      <c r="AX340" s="9"/>
      <c r="AY340" s="21">
        <v>1.5617399999999999</v>
      </c>
      <c r="AZ340" s="21">
        <v>30.2075</v>
      </c>
      <c r="BA340" s="21">
        <v>-1.15967E-2</v>
      </c>
      <c r="BB340" s="21">
        <v>330</v>
      </c>
      <c r="BC340" s="21">
        <v>1.56097</v>
      </c>
      <c r="BD340">
        <f t="shared" si="70"/>
        <v>14.316913580246911</v>
      </c>
      <c r="BE340">
        <f t="shared" si="71"/>
        <v>22.359296614814809</v>
      </c>
    </row>
    <row r="341" spans="6:57" x14ac:dyDescent="0.25">
      <c r="F341" s="9"/>
      <c r="G341" s="21">
        <v>7.3242199999999993E-2</v>
      </c>
      <c r="H341" s="21">
        <v>8.3418200000000002</v>
      </c>
      <c r="I341" s="21">
        <v>-1.43555E-2</v>
      </c>
      <c r="J341" s="21">
        <v>331</v>
      </c>
      <c r="K341" s="21">
        <v>7.2692900000000005E-2</v>
      </c>
      <c r="L341">
        <f t="shared" si="60"/>
        <v>17.722839506172836</v>
      </c>
      <c r="M341">
        <f t="shared" si="61"/>
        <v>1.2980597556790119</v>
      </c>
      <c r="N341" s="9"/>
      <c r="O341" s="21">
        <v>1.56677</v>
      </c>
      <c r="P341" s="21">
        <v>12.0402</v>
      </c>
      <c r="Q341" s="21">
        <v>-1.1410500000000001E-2</v>
      </c>
      <c r="R341" s="21">
        <v>331</v>
      </c>
      <c r="S341" s="21">
        <v>1.56586</v>
      </c>
      <c r="T341">
        <f t="shared" si="62"/>
        <v>14.087037037037037</v>
      </c>
      <c r="U341">
        <f t="shared" si="63"/>
        <v>22.07114701851852</v>
      </c>
      <c r="X341" s="9"/>
      <c r="Y341" s="21">
        <v>7.3242199999999993E-2</v>
      </c>
      <c r="Z341" s="21">
        <v>17.407</v>
      </c>
      <c r="AA341" s="21">
        <v>-1.44104E-2</v>
      </c>
      <c r="AB341" s="21">
        <v>331</v>
      </c>
      <c r="AC341" s="21">
        <v>7.2631799999999996E-2</v>
      </c>
      <c r="AD341">
        <f t="shared" si="64"/>
        <v>17.790617283950617</v>
      </c>
      <c r="AE341">
        <f t="shared" si="65"/>
        <v>1.3030239492345677</v>
      </c>
      <c r="AF341" s="9"/>
      <c r="AG341" s="21">
        <v>1.56677</v>
      </c>
      <c r="AH341" s="21">
        <v>21.105399999999999</v>
      </c>
      <c r="AI341" s="21">
        <v>-1.1502099999999999E-2</v>
      </c>
      <c r="AJ341" s="21">
        <v>331</v>
      </c>
      <c r="AK341" s="21">
        <v>1.56586</v>
      </c>
      <c r="AL341">
        <f t="shared" si="66"/>
        <v>14.200123456790122</v>
      </c>
      <c r="AM341">
        <f t="shared" si="67"/>
        <v>22.248327428395058</v>
      </c>
      <c r="AP341" s="9"/>
      <c r="AQ341" s="21">
        <v>7.3242199999999993E-2</v>
      </c>
      <c r="AR341" s="21">
        <v>26.519300000000001</v>
      </c>
      <c r="AS341" s="21">
        <v>-1.44257E-2</v>
      </c>
      <c r="AT341" s="21">
        <v>331</v>
      </c>
      <c r="AU341" s="21">
        <v>7.2662400000000002E-2</v>
      </c>
      <c r="AV341">
        <f t="shared" si="68"/>
        <v>17.809506172839505</v>
      </c>
      <c r="AW341">
        <f t="shared" si="69"/>
        <v>1.3044074130123455</v>
      </c>
      <c r="AX341" s="9"/>
      <c r="AY341" s="21">
        <v>1.56677</v>
      </c>
      <c r="AZ341" s="21">
        <v>30.217600000000001</v>
      </c>
      <c r="BA341" s="21">
        <v>-1.14929E-2</v>
      </c>
      <c r="BB341" s="21">
        <v>331</v>
      </c>
      <c r="BC341" s="21">
        <v>1.56647</v>
      </c>
      <c r="BD341">
        <f t="shared" si="70"/>
        <v>14.188765432098766</v>
      </c>
      <c r="BE341">
        <f t="shared" si="71"/>
        <v>22.230532016049384</v>
      </c>
    </row>
    <row r="342" spans="6:57" x14ac:dyDescent="0.25">
      <c r="F342" s="9"/>
      <c r="G342" s="21">
        <v>6.8206799999999998E-2</v>
      </c>
      <c r="H342" s="21">
        <v>8.3518899999999991</v>
      </c>
      <c r="I342" s="21">
        <v>-1.43555E-2</v>
      </c>
      <c r="J342" s="21">
        <v>332</v>
      </c>
      <c r="K342" s="21">
        <v>6.7657499999999995E-2</v>
      </c>
      <c r="L342">
        <f t="shared" si="60"/>
        <v>17.722839506172836</v>
      </c>
      <c r="M342">
        <f t="shared" si="61"/>
        <v>1.2088181696296294</v>
      </c>
      <c r="N342" s="9"/>
      <c r="O342" s="21">
        <v>1.5718099999999999</v>
      </c>
      <c r="P342" s="21">
        <v>12.0502</v>
      </c>
      <c r="Q342" s="21">
        <v>-1.13037E-2</v>
      </c>
      <c r="R342" s="21">
        <v>332</v>
      </c>
      <c r="S342" s="21">
        <v>1.57104</v>
      </c>
      <c r="T342">
        <f t="shared" si="62"/>
        <v>13.955185185185183</v>
      </c>
      <c r="U342">
        <f t="shared" si="63"/>
        <v>21.934899625925922</v>
      </c>
      <c r="X342" s="9"/>
      <c r="Y342" s="21">
        <v>6.8206799999999998E-2</v>
      </c>
      <c r="Z342" s="21">
        <v>17.417100000000001</v>
      </c>
      <c r="AA342" s="21">
        <v>-1.44104E-2</v>
      </c>
      <c r="AB342" s="21">
        <v>332</v>
      </c>
      <c r="AC342" s="21">
        <v>6.7718500000000001E-2</v>
      </c>
      <c r="AD342">
        <f t="shared" si="64"/>
        <v>17.790617283950617</v>
      </c>
      <c r="AE342">
        <f t="shared" si="65"/>
        <v>1.2134410749629629</v>
      </c>
      <c r="AF342" s="9"/>
      <c r="AG342" s="21">
        <v>1.5718099999999999</v>
      </c>
      <c r="AH342" s="21">
        <v>21.115400000000001</v>
      </c>
      <c r="AI342" s="21">
        <v>-1.13831E-2</v>
      </c>
      <c r="AJ342" s="21">
        <v>332</v>
      </c>
      <c r="AK342" s="21">
        <v>1.57104</v>
      </c>
      <c r="AL342">
        <f t="shared" si="66"/>
        <v>14.053209876543209</v>
      </c>
      <c r="AM342">
        <f t="shared" si="67"/>
        <v>22.088975816049381</v>
      </c>
      <c r="AP342" s="9"/>
      <c r="AQ342" s="21">
        <v>6.8206799999999998E-2</v>
      </c>
      <c r="AR342" s="21">
        <v>26.529299999999999</v>
      </c>
      <c r="AS342" s="21">
        <v>-1.44073E-2</v>
      </c>
      <c r="AT342" s="21">
        <v>332</v>
      </c>
      <c r="AU342" s="21">
        <v>6.7565899999999998E-2</v>
      </c>
      <c r="AV342">
        <f t="shared" si="68"/>
        <v>17.78679012345679</v>
      </c>
      <c r="AW342">
        <f t="shared" si="69"/>
        <v>1.2131800365925924</v>
      </c>
      <c r="AX342" s="9"/>
      <c r="AY342" s="21">
        <v>1.5718099999999999</v>
      </c>
      <c r="AZ342" s="21">
        <v>30.227699999999999</v>
      </c>
      <c r="BA342" s="21">
        <v>-1.13892E-2</v>
      </c>
      <c r="BB342" s="21">
        <v>332</v>
      </c>
      <c r="BC342" s="21">
        <v>1.57104</v>
      </c>
      <c r="BD342">
        <f t="shared" si="70"/>
        <v>14.060740740740741</v>
      </c>
      <c r="BE342">
        <f t="shared" si="71"/>
        <v>22.100812903703702</v>
      </c>
    </row>
    <row r="343" spans="6:57" x14ac:dyDescent="0.25">
      <c r="F343" s="9"/>
      <c r="G343" s="21">
        <v>6.3171400000000003E-2</v>
      </c>
      <c r="H343" s="21">
        <v>8.3619599999999998</v>
      </c>
      <c r="I343" s="21">
        <v>-1.4367700000000001E-2</v>
      </c>
      <c r="J343" s="21">
        <v>333</v>
      </c>
      <c r="K343" s="21">
        <v>6.2591599999999997E-2</v>
      </c>
      <c r="L343">
        <f t="shared" si="60"/>
        <v>17.7379012345679</v>
      </c>
      <c r="M343">
        <f t="shared" si="61"/>
        <v>1.1205280540493827</v>
      </c>
      <c r="N343" s="9"/>
      <c r="O343" s="21">
        <v>1.57684</v>
      </c>
      <c r="P343" s="21">
        <v>12.0603</v>
      </c>
      <c r="Q343" s="21">
        <v>-1.11938E-2</v>
      </c>
      <c r="R343" s="21">
        <v>333</v>
      </c>
      <c r="S343" s="21">
        <v>1.57623</v>
      </c>
      <c r="T343">
        <f t="shared" si="62"/>
        <v>13.819506172839505</v>
      </c>
      <c r="U343">
        <f t="shared" si="63"/>
        <v>21.791150113580244</v>
      </c>
      <c r="X343" s="9"/>
      <c r="Y343" s="21">
        <v>6.3171400000000003E-2</v>
      </c>
      <c r="Z343" s="21">
        <v>17.427199999999999</v>
      </c>
      <c r="AA343" s="21">
        <v>-1.4422600000000001E-2</v>
      </c>
      <c r="AB343" s="21">
        <v>333</v>
      </c>
      <c r="AC343" s="21">
        <v>6.2591599999999997E-2</v>
      </c>
      <c r="AD343">
        <f t="shared" si="64"/>
        <v>17.805679012345678</v>
      </c>
      <c r="AE343">
        <f t="shared" si="65"/>
        <v>1.1248096711604938</v>
      </c>
      <c r="AF343" s="9"/>
      <c r="AG343" s="21">
        <v>1.57684</v>
      </c>
      <c r="AH343" s="21">
        <v>21.125499999999999</v>
      </c>
      <c r="AI343" s="21">
        <v>-1.1273200000000001E-2</v>
      </c>
      <c r="AJ343" s="21">
        <v>333</v>
      </c>
      <c r="AK343" s="21">
        <v>1.57623</v>
      </c>
      <c r="AL343">
        <f t="shared" si="66"/>
        <v>13.917530864197531</v>
      </c>
      <c r="AM343">
        <f t="shared" si="67"/>
        <v>21.945719367901233</v>
      </c>
      <c r="AP343" s="9"/>
      <c r="AQ343" s="21">
        <v>6.3171400000000003E-2</v>
      </c>
      <c r="AR343" s="21">
        <v>26.539400000000001</v>
      </c>
      <c r="AS343" s="21">
        <v>-1.44043E-2</v>
      </c>
      <c r="AT343" s="21">
        <v>333</v>
      </c>
      <c r="AU343" s="21">
        <v>6.2683100000000005E-2</v>
      </c>
      <c r="AV343">
        <f t="shared" si="68"/>
        <v>17.783086419753086</v>
      </c>
      <c r="AW343">
        <f t="shared" si="69"/>
        <v>1.1233824654567901</v>
      </c>
      <c r="AX343" s="9"/>
      <c r="AY343" s="21">
        <v>1.57684</v>
      </c>
      <c r="AZ343" s="21">
        <v>30.2377</v>
      </c>
      <c r="BA343" s="21">
        <v>-1.12823E-2</v>
      </c>
      <c r="BB343" s="21">
        <v>333</v>
      </c>
      <c r="BC343" s="21">
        <v>1.57623</v>
      </c>
      <c r="BD343">
        <f t="shared" si="70"/>
        <v>13.928765432098766</v>
      </c>
      <c r="BE343">
        <f t="shared" si="71"/>
        <v>21.963434483950618</v>
      </c>
    </row>
    <row r="344" spans="6:57" x14ac:dyDescent="0.25">
      <c r="F344" s="9"/>
      <c r="G344" s="21">
        <v>5.8136E-2</v>
      </c>
      <c r="H344" s="21">
        <v>8.3720400000000001</v>
      </c>
      <c r="I344" s="21">
        <v>-1.43768E-2</v>
      </c>
      <c r="J344" s="21">
        <v>334</v>
      </c>
      <c r="K344" s="21">
        <v>5.7464599999999998E-2</v>
      </c>
      <c r="L344">
        <f t="shared" si="60"/>
        <v>17.749135802469137</v>
      </c>
      <c r="M344">
        <f t="shared" si="61"/>
        <v>1.0318637590123458</v>
      </c>
      <c r="N344" s="9"/>
      <c r="O344" s="21">
        <v>1.58188</v>
      </c>
      <c r="P344" s="21">
        <v>12.070399999999999</v>
      </c>
      <c r="Q344" s="21">
        <v>-1.1074799999999999E-2</v>
      </c>
      <c r="R344" s="21">
        <v>334</v>
      </c>
      <c r="S344" s="21">
        <v>1.5811200000000001</v>
      </c>
      <c r="T344">
        <f t="shared" si="62"/>
        <v>13.67259259259259</v>
      </c>
      <c r="U344">
        <f t="shared" si="63"/>
        <v>21.628400770370366</v>
      </c>
      <c r="X344" s="9"/>
      <c r="Y344" s="21">
        <v>5.8136E-2</v>
      </c>
      <c r="Z344" s="21">
        <v>17.437200000000001</v>
      </c>
      <c r="AA344" s="21">
        <v>-1.4428699999999999E-2</v>
      </c>
      <c r="AB344" s="21">
        <v>334</v>
      </c>
      <c r="AC344" s="21">
        <v>5.76172E-2</v>
      </c>
      <c r="AD344">
        <f t="shared" si="64"/>
        <v>17.813209876543205</v>
      </c>
      <c r="AE344">
        <f t="shared" si="65"/>
        <v>1.0355887693827157</v>
      </c>
      <c r="AF344" s="9"/>
      <c r="AG344" s="21">
        <v>1.58188</v>
      </c>
      <c r="AH344" s="21">
        <v>21.1356</v>
      </c>
      <c r="AI344" s="21">
        <v>-1.1148099999999999E-2</v>
      </c>
      <c r="AJ344" s="21">
        <v>334</v>
      </c>
      <c r="AK344" s="21">
        <v>1.58142</v>
      </c>
      <c r="AL344">
        <f t="shared" si="66"/>
        <v>13.763086419753085</v>
      </c>
      <c r="AM344">
        <f t="shared" si="67"/>
        <v>21.771551145679009</v>
      </c>
      <c r="AP344" s="9"/>
      <c r="AQ344" s="21">
        <v>5.8136E-2</v>
      </c>
      <c r="AR344" s="21">
        <v>26.549499999999998</v>
      </c>
      <c r="AS344" s="21">
        <v>-1.44043E-2</v>
      </c>
      <c r="AT344" s="21">
        <v>334</v>
      </c>
      <c r="AU344" s="21">
        <v>5.76172E-2</v>
      </c>
      <c r="AV344">
        <f t="shared" si="68"/>
        <v>17.783086419753086</v>
      </c>
      <c r="AW344">
        <f t="shared" si="69"/>
        <v>1.0338375120987655</v>
      </c>
      <c r="AX344" s="9"/>
      <c r="AY344" s="21">
        <v>1.58188</v>
      </c>
      <c r="AZ344" s="21">
        <v>30.247800000000002</v>
      </c>
      <c r="BA344" s="21">
        <v>-1.1157200000000001E-2</v>
      </c>
      <c r="BB344" s="21">
        <v>334</v>
      </c>
      <c r="BC344" s="21">
        <v>1.58081</v>
      </c>
      <c r="BD344">
        <f t="shared" si="70"/>
        <v>13.77432098765432</v>
      </c>
      <c r="BE344">
        <f t="shared" si="71"/>
        <v>21.789322883950614</v>
      </c>
    </row>
    <row r="345" spans="6:57" x14ac:dyDescent="0.25">
      <c r="F345" s="9"/>
      <c r="G345" s="21">
        <v>5.3100599999999998E-2</v>
      </c>
      <c r="H345" s="21">
        <v>8.3821100000000008</v>
      </c>
      <c r="I345" s="21">
        <v>-1.4379899999999999E-2</v>
      </c>
      <c r="J345" s="21">
        <v>335</v>
      </c>
      <c r="K345" s="21">
        <v>5.2642799999999997E-2</v>
      </c>
      <c r="L345">
        <f t="shared" si="60"/>
        <v>17.752962962962961</v>
      </c>
      <c r="M345">
        <f t="shared" si="61"/>
        <v>0.94269298511111099</v>
      </c>
      <c r="N345" s="9"/>
      <c r="O345" s="21">
        <v>1.58691</v>
      </c>
      <c r="P345" s="21">
        <v>12.080399999999999</v>
      </c>
      <c r="Q345" s="21">
        <v>-1.09467E-2</v>
      </c>
      <c r="R345" s="21">
        <v>335</v>
      </c>
      <c r="S345" s="21">
        <v>1.5863</v>
      </c>
      <c r="T345">
        <f t="shared" si="62"/>
        <v>13.514444444444443</v>
      </c>
      <c r="U345">
        <f t="shared" si="63"/>
        <v>21.44620703333333</v>
      </c>
      <c r="X345" s="9"/>
      <c r="Y345" s="21">
        <v>5.3100599999999998E-2</v>
      </c>
      <c r="Z345" s="21">
        <v>17.447299999999998</v>
      </c>
      <c r="AA345" s="21">
        <v>-1.44318E-2</v>
      </c>
      <c r="AB345" s="21">
        <v>335</v>
      </c>
      <c r="AC345" s="21">
        <v>5.2612300000000001E-2</v>
      </c>
      <c r="AD345">
        <f t="shared" si="64"/>
        <v>17.817037037037036</v>
      </c>
      <c r="AE345">
        <f t="shared" si="65"/>
        <v>0.94609535688888879</v>
      </c>
      <c r="AF345" s="9"/>
      <c r="AG345" s="21">
        <v>1.58691</v>
      </c>
      <c r="AH345" s="21">
        <v>21.145700000000001</v>
      </c>
      <c r="AI345" s="21">
        <v>-1.10291E-2</v>
      </c>
      <c r="AJ345" s="21">
        <v>335</v>
      </c>
      <c r="AK345" s="21">
        <v>1.5860000000000001</v>
      </c>
      <c r="AL345">
        <f t="shared" si="66"/>
        <v>13.616172839506172</v>
      </c>
      <c r="AM345">
        <f t="shared" si="67"/>
        <v>21.607640840740739</v>
      </c>
      <c r="AP345" s="9"/>
      <c r="AQ345" s="21">
        <v>5.3100599999999998E-2</v>
      </c>
      <c r="AR345" s="21">
        <v>26.5595</v>
      </c>
      <c r="AS345" s="21">
        <v>-1.44073E-2</v>
      </c>
      <c r="AT345" s="21">
        <v>335</v>
      </c>
      <c r="AU345" s="21">
        <v>5.2642799999999997E-2</v>
      </c>
      <c r="AV345">
        <f t="shared" si="68"/>
        <v>17.78679012345679</v>
      </c>
      <c r="AW345">
        <f t="shared" si="69"/>
        <v>0.94448922762962961</v>
      </c>
      <c r="AX345" s="9"/>
      <c r="AY345" s="21">
        <v>1.58691</v>
      </c>
      <c r="AZ345" s="21">
        <v>30.257899999999999</v>
      </c>
      <c r="BA345" s="21">
        <v>-1.1025999999999999E-2</v>
      </c>
      <c r="BB345" s="21">
        <v>335</v>
      </c>
      <c r="BC345" s="21">
        <v>1.5860000000000001</v>
      </c>
      <c r="BD345">
        <f t="shared" si="70"/>
        <v>13.612345679012344</v>
      </c>
      <c r="BE345">
        <f t="shared" si="71"/>
        <v>21.601567481481482</v>
      </c>
    </row>
    <row r="346" spans="6:57" x14ac:dyDescent="0.25">
      <c r="F346" s="9"/>
      <c r="G346" s="21">
        <v>4.8065200000000002E-2</v>
      </c>
      <c r="H346" s="21">
        <v>8.3921799999999998</v>
      </c>
      <c r="I346" s="21">
        <v>-1.4382900000000001E-2</v>
      </c>
      <c r="J346" s="21">
        <v>336</v>
      </c>
      <c r="K346" s="21">
        <v>4.7921800000000001E-2</v>
      </c>
      <c r="L346">
        <f t="shared" si="60"/>
        <v>17.756666666666668</v>
      </c>
      <c r="M346">
        <f t="shared" si="61"/>
        <v>0.85347773466666677</v>
      </c>
      <c r="N346" s="9"/>
      <c r="O346" s="21">
        <v>1.59195</v>
      </c>
      <c r="P346" s="21">
        <v>12.0905</v>
      </c>
      <c r="Q346" s="21">
        <v>-1.08124E-2</v>
      </c>
      <c r="R346" s="21">
        <v>336</v>
      </c>
      <c r="S346" s="21">
        <v>1.5908800000000001</v>
      </c>
      <c r="T346">
        <f t="shared" si="62"/>
        <v>13.348641975308642</v>
      </c>
      <c r="U346">
        <f t="shared" si="63"/>
        <v>21.250370592592592</v>
      </c>
      <c r="X346" s="9"/>
      <c r="Y346" s="21">
        <v>4.8065200000000002E-2</v>
      </c>
      <c r="Z346" s="21">
        <v>17.4574</v>
      </c>
      <c r="AA346" s="21">
        <v>-1.4419599999999999E-2</v>
      </c>
      <c r="AB346" s="21">
        <v>336</v>
      </c>
      <c r="AC346" s="21">
        <v>4.7952300000000003E-2</v>
      </c>
      <c r="AD346">
        <f t="shared" si="64"/>
        <v>17.801975308641975</v>
      </c>
      <c r="AE346">
        <f t="shared" si="65"/>
        <v>0.85565550360493825</v>
      </c>
      <c r="AF346" s="9"/>
      <c r="AG346" s="21">
        <v>1.59195</v>
      </c>
      <c r="AH346" s="21">
        <v>21.1557</v>
      </c>
      <c r="AI346" s="21">
        <v>-1.0891700000000001E-2</v>
      </c>
      <c r="AJ346" s="21">
        <v>336</v>
      </c>
      <c r="AK346" s="21">
        <v>1.5911900000000001</v>
      </c>
      <c r="AL346">
        <f t="shared" si="66"/>
        <v>13.446543209876543</v>
      </c>
      <c r="AM346">
        <f t="shared" si="67"/>
        <v>21.406224462962964</v>
      </c>
      <c r="AP346" s="9"/>
      <c r="AQ346" s="21">
        <v>4.8065200000000002E-2</v>
      </c>
      <c r="AR346" s="21">
        <v>26.569600000000001</v>
      </c>
      <c r="AS346" s="21">
        <v>-1.44165E-2</v>
      </c>
      <c r="AT346" s="21">
        <v>336</v>
      </c>
      <c r="AU346" s="21">
        <v>4.79645E-2</v>
      </c>
      <c r="AV346">
        <f t="shared" si="68"/>
        <v>17.798148148148147</v>
      </c>
      <c r="AW346">
        <f t="shared" si="69"/>
        <v>0.85547155037037037</v>
      </c>
      <c r="AX346" s="9"/>
      <c r="AY346" s="21">
        <v>1.59195</v>
      </c>
      <c r="AZ346" s="21">
        <v>30.267900000000001</v>
      </c>
      <c r="BA346" s="21">
        <v>-1.0897799999999999E-2</v>
      </c>
      <c r="BB346" s="21">
        <v>336</v>
      </c>
      <c r="BC346" s="21">
        <v>1.5911900000000001</v>
      </c>
      <c r="BD346">
        <f t="shared" si="70"/>
        <v>13.454074074074072</v>
      </c>
      <c r="BE346">
        <f t="shared" si="71"/>
        <v>21.418213222222217</v>
      </c>
    </row>
    <row r="347" spans="6:57" x14ac:dyDescent="0.25">
      <c r="F347" s="9"/>
      <c r="G347" s="21">
        <v>4.30298E-2</v>
      </c>
      <c r="H347" s="21">
        <v>8.4022500000000004</v>
      </c>
      <c r="I347" s="21">
        <v>-1.4395099999999999E-2</v>
      </c>
      <c r="J347" s="21">
        <v>337</v>
      </c>
      <c r="K347" s="21">
        <v>4.2956500000000002E-2</v>
      </c>
      <c r="L347">
        <f t="shared" si="60"/>
        <v>17.771728395061729</v>
      </c>
      <c r="M347">
        <f t="shared" si="61"/>
        <v>0.76471391849382719</v>
      </c>
      <c r="N347" s="9"/>
      <c r="O347" s="21">
        <v>1.5969800000000001</v>
      </c>
      <c r="P347" s="21">
        <v>12.1006</v>
      </c>
      <c r="Q347" s="21">
        <v>-1.0665900000000001E-2</v>
      </c>
      <c r="R347" s="21">
        <v>337</v>
      </c>
      <c r="S347" s="21">
        <v>1.5960700000000001</v>
      </c>
      <c r="T347">
        <f t="shared" si="62"/>
        <v>13.167777777777779</v>
      </c>
      <c r="U347">
        <f t="shared" si="63"/>
        <v>21.02867775555556</v>
      </c>
      <c r="X347" s="9"/>
      <c r="Y347" s="21">
        <v>4.30298E-2</v>
      </c>
      <c r="Z347" s="21">
        <v>17.467500000000001</v>
      </c>
      <c r="AA347" s="21">
        <v>-1.44104E-2</v>
      </c>
      <c r="AB347" s="21">
        <v>337</v>
      </c>
      <c r="AC347" s="21">
        <v>4.2971799999999997E-2</v>
      </c>
      <c r="AD347">
        <f t="shared" si="64"/>
        <v>17.790617283950617</v>
      </c>
      <c r="AE347">
        <f t="shared" si="65"/>
        <v>0.76552670360493824</v>
      </c>
      <c r="AF347" s="9"/>
      <c r="AG347" s="21">
        <v>1.5969800000000001</v>
      </c>
      <c r="AH347" s="21">
        <v>21.165800000000001</v>
      </c>
      <c r="AI347" s="21">
        <v>-1.07635E-2</v>
      </c>
      <c r="AJ347" s="21">
        <v>337</v>
      </c>
      <c r="AK347" s="21">
        <v>1.5963700000000001</v>
      </c>
      <c r="AL347">
        <f t="shared" si="66"/>
        <v>13.288271604938272</v>
      </c>
      <c r="AM347">
        <f t="shared" si="67"/>
        <v>21.221103987654324</v>
      </c>
      <c r="AP347" s="9"/>
      <c r="AQ347" s="21">
        <v>4.30298E-2</v>
      </c>
      <c r="AR347" s="21">
        <v>26.579699999999999</v>
      </c>
      <c r="AS347" s="21">
        <v>-1.4428699999999999E-2</v>
      </c>
      <c r="AT347" s="21">
        <v>337</v>
      </c>
      <c r="AU347" s="21">
        <v>4.30298E-2</v>
      </c>
      <c r="AV347">
        <f t="shared" si="68"/>
        <v>17.813209876543205</v>
      </c>
      <c r="AW347">
        <f t="shared" si="69"/>
        <v>0.76649885834567877</v>
      </c>
      <c r="AX347" s="9"/>
      <c r="AY347" s="21">
        <v>1.5969800000000001</v>
      </c>
      <c r="AZ347" s="21">
        <v>30.277999999999999</v>
      </c>
      <c r="BA347" s="21">
        <v>-1.0760499999999999E-2</v>
      </c>
      <c r="BB347" s="21">
        <v>337</v>
      </c>
      <c r="BC347" s="21">
        <v>1.5963700000000001</v>
      </c>
      <c r="BD347">
        <f t="shared" si="70"/>
        <v>13.284567901234567</v>
      </c>
      <c r="BE347">
        <f t="shared" si="71"/>
        <v>21.215189246913578</v>
      </c>
    </row>
    <row r="348" spans="6:57" x14ac:dyDescent="0.25">
      <c r="F348" s="9"/>
      <c r="G348" s="21">
        <v>3.7994399999999998E-2</v>
      </c>
      <c r="H348" s="21">
        <v>8.4123199999999994</v>
      </c>
      <c r="I348" s="21">
        <v>-1.44104E-2</v>
      </c>
      <c r="J348" s="21">
        <v>338</v>
      </c>
      <c r="K348" s="21">
        <v>3.7954700000000001E-2</v>
      </c>
      <c r="L348">
        <f t="shared" si="60"/>
        <v>17.790617283950617</v>
      </c>
      <c r="M348">
        <f t="shared" si="61"/>
        <v>0.6759438293333333</v>
      </c>
      <c r="N348" s="9"/>
      <c r="O348" s="21">
        <v>1.60202</v>
      </c>
      <c r="P348" s="21">
        <v>12.1107</v>
      </c>
      <c r="Q348" s="21">
        <v>-1.05072E-2</v>
      </c>
      <c r="R348" s="21">
        <v>338</v>
      </c>
      <c r="S348" s="21">
        <v>1.6015600000000001</v>
      </c>
      <c r="T348">
        <f t="shared" si="62"/>
        <v>12.97185185185185</v>
      </c>
      <c r="U348">
        <f t="shared" si="63"/>
        <v>20.781166103703701</v>
      </c>
      <c r="X348" s="9"/>
      <c r="Y348" s="21">
        <v>3.7994399999999998E-2</v>
      </c>
      <c r="Z348" s="21">
        <v>17.477499999999999</v>
      </c>
      <c r="AA348" s="21">
        <v>-1.4401199999999999E-2</v>
      </c>
      <c r="AB348" s="21">
        <v>338</v>
      </c>
      <c r="AC348" s="21">
        <v>3.7875399999999997E-2</v>
      </c>
      <c r="AD348">
        <f t="shared" si="64"/>
        <v>17.779259259259259</v>
      </c>
      <c r="AE348">
        <f t="shared" si="65"/>
        <v>0.67551228799999996</v>
      </c>
      <c r="AF348" s="9"/>
      <c r="AG348" s="21">
        <v>1.60202</v>
      </c>
      <c r="AH348" s="21">
        <v>21.175899999999999</v>
      </c>
      <c r="AI348" s="21">
        <v>-1.0617100000000001E-2</v>
      </c>
      <c r="AJ348" s="21">
        <v>338</v>
      </c>
      <c r="AK348" s="21">
        <v>1.6012599999999999</v>
      </c>
      <c r="AL348">
        <f t="shared" si="66"/>
        <v>13.10753086419753</v>
      </c>
      <c r="AM348">
        <f t="shared" si="67"/>
        <v>20.998526595061726</v>
      </c>
      <c r="AP348" s="9"/>
      <c r="AQ348" s="21">
        <v>3.7994399999999998E-2</v>
      </c>
      <c r="AR348" s="21">
        <v>26.5898</v>
      </c>
      <c r="AS348" s="21">
        <v>-1.44409E-2</v>
      </c>
      <c r="AT348" s="21">
        <v>338</v>
      </c>
      <c r="AU348" s="21">
        <v>3.7789900000000001E-2</v>
      </c>
      <c r="AV348">
        <f t="shared" si="68"/>
        <v>17.828271604938269</v>
      </c>
      <c r="AW348">
        <f t="shared" si="69"/>
        <v>0.67737448266666656</v>
      </c>
      <c r="AX348" s="9"/>
      <c r="AY348" s="21">
        <v>1.60202</v>
      </c>
      <c r="AZ348" s="21">
        <v>30.2881</v>
      </c>
      <c r="BA348" s="21">
        <v>-1.06049E-2</v>
      </c>
      <c r="BB348" s="21">
        <v>338</v>
      </c>
      <c r="BC348" s="21">
        <v>1.6009500000000001</v>
      </c>
      <c r="BD348">
        <f t="shared" si="70"/>
        <v>13.092469135802469</v>
      </c>
      <c r="BE348">
        <f t="shared" si="71"/>
        <v>20.974397404938273</v>
      </c>
    </row>
    <row r="349" spans="6:57" x14ac:dyDescent="0.25">
      <c r="F349" s="9"/>
      <c r="G349" s="21">
        <v>3.2959000000000002E-2</v>
      </c>
      <c r="H349" s="21">
        <v>8.42239</v>
      </c>
      <c r="I349" s="21">
        <v>-1.44165E-2</v>
      </c>
      <c r="J349" s="21">
        <v>339</v>
      </c>
      <c r="K349" s="21">
        <v>3.2846100000000003E-2</v>
      </c>
      <c r="L349">
        <f t="shared" si="60"/>
        <v>17.798148148148147</v>
      </c>
      <c r="M349">
        <f t="shared" si="61"/>
        <v>0.58660916481481484</v>
      </c>
      <c r="N349" s="9"/>
      <c r="O349" s="21">
        <v>1.6070599999999999</v>
      </c>
      <c r="P349" s="21">
        <v>12.120699999999999</v>
      </c>
      <c r="Q349" s="21">
        <v>-1.03546E-2</v>
      </c>
      <c r="R349" s="21">
        <v>339</v>
      </c>
      <c r="S349" s="21">
        <v>1.6067499999999999</v>
      </c>
      <c r="T349">
        <f t="shared" si="62"/>
        <v>12.783456790123456</v>
      </c>
      <c r="U349">
        <f t="shared" si="63"/>
        <v>20.543782069135801</v>
      </c>
      <c r="X349" s="9"/>
      <c r="Y349" s="21">
        <v>3.2959000000000002E-2</v>
      </c>
      <c r="Z349" s="21">
        <v>17.4876</v>
      </c>
      <c r="AA349" s="21">
        <v>-1.44043E-2</v>
      </c>
      <c r="AB349" s="21">
        <v>339</v>
      </c>
      <c r="AC349" s="21">
        <v>3.2867399999999998E-2</v>
      </c>
      <c r="AD349">
        <f t="shared" si="64"/>
        <v>17.783086419753086</v>
      </c>
      <c r="AE349">
        <f t="shared" si="65"/>
        <v>0.58611274530864199</v>
      </c>
      <c r="AF349" s="9"/>
      <c r="AG349" s="21">
        <v>1.6070599999999999</v>
      </c>
      <c r="AH349" s="21">
        <v>21.1859</v>
      </c>
      <c r="AI349" s="21">
        <v>-1.0461399999999999E-2</v>
      </c>
      <c r="AJ349" s="21">
        <v>339</v>
      </c>
      <c r="AK349" s="21">
        <v>1.6067499999999999</v>
      </c>
      <c r="AL349">
        <f t="shared" si="66"/>
        <v>12.915308641975306</v>
      </c>
      <c r="AM349">
        <f t="shared" si="67"/>
        <v>20.755675906172836</v>
      </c>
      <c r="AP349" s="9"/>
      <c r="AQ349" s="21">
        <v>3.2959000000000002E-2</v>
      </c>
      <c r="AR349" s="21">
        <v>26.599799999999998</v>
      </c>
      <c r="AS349" s="21">
        <v>-1.44501E-2</v>
      </c>
      <c r="AT349" s="21">
        <v>339</v>
      </c>
      <c r="AU349" s="21">
        <v>3.2867399999999998E-2</v>
      </c>
      <c r="AV349">
        <f t="shared" si="68"/>
        <v>17.839629629629631</v>
      </c>
      <c r="AW349">
        <f t="shared" si="69"/>
        <v>0.58797635296296302</v>
      </c>
      <c r="AX349" s="9"/>
      <c r="AY349" s="21">
        <v>1.6070599999999999</v>
      </c>
      <c r="AZ349" s="21">
        <v>30.298200000000001</v>
      </c>
      <c r="BA349" s="21">
        <v>-1.0446199999999999E-2</v>
      </c>
      <c r="BB349" s="21">
        <v>339</v>
      </c>
      <c r="BC349" s="21">
        <v>1.6064499999999999</v>
      </c>
      <c r="BD349">
        <f t="shared" si="70"/>
        <v>12.896543209876542</v>
      </c>
      <c r="BE349">
        <f t="shared" si="71"/>
        <v>20.725518730864195</v>
      </c>
    </row>
    <row r="350" spans="6:57" x14ac:dyDescent="0.25">
      <c r="F350" s="9"/>
      <c r="G350" s="21">
        <v>2.79236E-2</v>
      </c>
      <c r="H350" s="21">
        <v>8.4324600000000007</v>
      </c>
      <c r="I350" s="21">
        <v>-1.44318E-2</v>
      </c>
      <c r="J350" s="21">
        <v>340</v>
      </c>
      <c r="K350" s="21">
        <v>2.7807599999999998E-2</v>
      </c>
      <c r="L350">
        <f t="shared" si="60"/>
        <v>17.817037037037036</v>
      </c>
      <c r="M350">
        <f t="shared" si="61"/>
        <v>0.49751581540740736</v>
      </c>
      <c r="N350" s="9"/>
      <c r="O350" s="21">
        <v>1.61209</v>
      </c>
      <c r="P350" s="21">
        <v>12.130800000000001</v>
      </c>
      <c r="Q350" s="21">
        <v>-1.02051E-2</v>
      </c>
      <c r="R350" s="21">
        <v>340</v>
      </c>
      <c r="S350" s="21">
        <v>1.6113299999999999</v>
      </c>
      <c r="T350">
        <f t="shared" si="62"/>
        <v>12.598888888888888</v>
      </c>
      <c r="U350">
        <f t="shared" si="63"/>
        <v>20.310542788888888</v>
      </c>
      <c r="X350" s="9"/>
      <c r="Y350" s="21">
        <v>2.79236E-2</v>
      </c>
      <c r="Z350" s="21">
        <v>17.497699999999998</v>
      </c>
      <c r="AA350" s="21">
        <v>-1.44073E-2</v>
      </c>
      <c r="AB350" s="21">
        <v>340</v>
      </c>
      <c r="AC350" s="21">
        <v>2.7816799999999999E-2</v>
      </c>
      <c r="AD350">
        <f t="shared" si="64"/>
        <v>17.78679012345679</v>
      </c>
      <c r="AE350">
        <f t="shared" si="65"/>
        <v>0.496671212691358</v>
      </c>
      <c r="AF350" s="9"/>
      <c r="AG350" s="21">
        <v>1.61209</v>
      </c>
      <c r="AH350" s="21">
        <v>21.196000000000002</v>
      </c>
      <c r="AI350" s="21">
        <v>-1.03027E-2</v>
      </c>
      <c r="AJ350" s="21">
        <v>340</v>
      </c>
      <c r="AK350" s="21">
        <v>1.6110199999999999</v>
      </c>
      <c r="AL350">
        <f t="shared" si="66"/>
        <v>12.719382716049381</v>
      </c>
      <c r="AM350">
        <f t="shared" si="67"/>
        <v>20.504789682716048</v>
      </c>
      <c r="AP350" s="9"/>
      <c r="AQ350" s="21">
        <v>2.79236E-2</v>
      </c>
      <c r="AR350" s="21">
        <v>26.6099</v>
      </c>
      <c r="AS350" s="21">
        <v>-1.44592E-2</v>
      </c>
      <c r="AT350" s="21">
        <v>340</v>
      </c>
      <c r="AU350" s="21">
        <v>2.78137E-2</v>
      </c>
      <c r="AV350">
        <f t="shared" si="68"/>
        <v>17.850864197530864</v>
      </c>
      <c r="AW350">
        <f t="shared" si="69"/>
        <v>0.49846039150617283</v>
      </c>
      <c r="AX350" s="9"/>
      <c r="AY350" s="21">
        <v>1.61209</v>
      </c>
      <c r="AZ350" s="21">
        <v>30.308199999999999</v>
      </c>
      <c r="BA350" s="21">
        <v>-1.0278300000000001E-2</v>
      </c>
      <c r="BB350" s="21">
        <v>340</v>
      </c>
      <c r="BC350" s="21">
        <v>1.6116299999999999</v>
      </c>
      <c r="BD350">
        <f t="shared" si="70"/>
        <v>12.689259259259259</v>
      </c>
      <c r="BE350">
        <f t="shared" si="71"/>
        <v>20.456227959259259</v>
      </c>
    </row>
    <row r="351" spans="6:57" x14ac:dyDescent="0.25">
      <c r="F351" s="9"/>
      <c r="G351" s="21">
        <v>2.2888200000000001E-2</v>
      </c>
      <c r="H351" s="21">
        <v>8.4425299999999996</v>
      </c>
      <c r="I351" s="21">
        <v>-1.4428699999999999E-2</v>
      </c>
      <c r="J351" s="21">
        <v>341</v>
      </c>
      <c r="K351" s="21">
        <v>2.2683700000000001E-2</v>
      </c>
      <c r="L351">
        <f t="shared" si="60"/>
        <v>17.813209876543205</v>
      </c>
      <c r="M351">
        <f t="shared" si="61"/>
        <v>0.40771231029629618</v>
      </c>
      <c r="N351" s="9"/>
      <c r="O351" s="21">
        <v>1.61713</v>
      </c>
      <c r="P351" s="21">
        <v>12.1409</v>
      </c>
      <c r="Q351" s="21">
        <v>-1.0031099999999999E-2</v>
      </c>
      <c r="R351" s="21">
        <v>341</v>
      </c>
      <c r="S351" s="21">
        <v>1.6168199999999999</v>
      </c>
      <c r="T351">
        <f t="shared" si="62"/>
        <v>12.384074074074071</v>
      </c>
      <c r="U351">
        <f t="shared" si="63"/>
        <v>20.026657707407402</v>
      </c>
      <c r="X351" s="9"/>
      <c r="Y351" s="21">
        <v>2.2888200000000001E-2</v>
      </c>
      <c r="Z351" s="21">
        <v>17.5077</v>
      </c>
      <c r="AA351" s="21">
        <v>-1.44073E-2</v>
      </c>
      <c r="AB351" s="21">
        <v>341</v>
      </c>
      <c r="AC351" s="21">
        <v>2.2717299999999999E-2</v>
      </c>
      <c r="AD351">
        <f t="shared" si="64"/>
        <v>17.78679012345679</v>
      </c>
      <c r="AE351">
        <f t="shared" si="65"/>
        <v>0.40710760970370369</v>
      </c>
      <c r="AF351" s="9"/>
      <c r="AG351" s="21">
        <v>1.61713</v>
      </c>
      <c r="AH351" s="21">
        <v>21.206099999999999</v>
      </c>
      <c r="AI351" s="21">
        <v>-1.01288E-2</v>
      </c>
      <c r="AJ351" s="21">
        <v>341</v>
      </c>
      <c r="AK351" s="21">
        <v>1.6168199999999999</v>
      </c>
      <c r="AL351">
        <f t="shared" si="66"/>
        <v>12.504691358024692</v>
      </c>
      <c r="AM351">
        <f t="shared" si="67"/>
        <v>20.22171153580247</v>
      </c>
      <c r="AP351" s="9"/>
      <c r="AQ351" s="21">
        <v>2.2888200000000001E-2</v>
      </c>
      <c r="AR351" s="21">
        <v>26.62</v>
      </c>
      <c r="AS351" s="21">
        <v>-1.44653E-2</v>
      </c>
      <c r="AT351" s="21">
        <v>341</v>
      </c>
      <c r="AU351" s="21">
        <v>2.2665399999999999E-2</v>
      </c>
      <c r="AV351">
        <f t="shared" si="68"/>
        <v>17.858395061728395</v>
      </c>
      <c r="AW351">
        <f t="shared" si="69"/>
        <v>0.40874651785185184</v>
      </c>
      <c r="AX351" s="9"/>
      <c r="AY351" s="21">
        <v>1.61713</v>
      </c>
      <c r="AZ351" s="21">
        <v>30.318300000000001</v>
      </c>
      <c r="BA351" s="21">
        <v>-1.0098299999999999E-2</v>
      </c>
      <c r="BB351" s="21">
        <v>341</v>
      </c>
      <c r="BC351" s="21">
        <v>1.61713</v>
      </c>
      <c r="BD351">
        <f t="shared" si="70"/>
        <v>12.467037037037036</v>
      </c>
      <c r="BE351">
        <f t="shared" si="71"/>
        <v>20.1608196037037</v>
      </c>
    </row>
    <row r="352" spans="6:57" x14ac:dyDescent="0.25">
      <c r="F352" s="9"/>
      <c r="G352" s="21">
        <v>1.7852799999999999E-2</v>
      </c>
      <c r="H352" s="21">
        <v>8.4526000000000003</v>
      </c>
      <c r="I352" s="21">
        <v>-1.44318E-2</v>
      </c>
      <c r="J352" s="21">
        <v>342</v>
      </c>
      <c r="K352" s="21">
        <v>1.7758199999999998E-2</v>
      </c>
      <c r="L352">
        <f t="shared" si="60"/>
        <v>17.817037037037036</v>
      </c>
      <c r="M352">
        <f t="shared" si="61"/>
        <v>0.31808399881481475</v>
      </c>
      <c r="N352" s="9"/>
      <c r="O352" s="21">
        <v>1.62216</v>
      </c>
      <c r="P352" s="21">
        <v>12.1509</v>
      </c>
      <c r="Q352" s="21">
        <v>-9.8480200000000007E-3</v>
      </c>
      <c r="R352" s="21">
        <v>342</v>
      </c>
      <c r="S352" s="21">
        <v>1.6216999999999999</v>
      </c>
      <c r="T352">
        <f t="shared" si="62"/>
        <v>12.158049382716049</v>
      </c>
      <c r="U352">
        <f t="shared" si="63"/>
        <v>19.722301386666668</v>
      </c>
      <c r="X352" s="9"/>
      <c r="Y352" s="21">
        <v>1.7852799999999999E-2</v>
      </c>
      <c r="Z352" s="21">
        <v>17.517800000000001</v>
      </c>
      <c r="AA352" s="21">
        <v>-1.4419599999999999E-2</v>
      </c>
      <c r="AB352" s="21">
        <v>342</v>
      </c>
      <c r="AC352" s="21">
        <v>1.7651400000000001E-2</v>
      </c>
      <c r="AD352">
        <f t="shared" si="64"/>
        <v>17.801975308641975</v>
      </c>
      <c r="AE352">
        <f t="shared" si="65"/>
        <v>0.31781510479012343</v>
      </c>
      <c r="AF352" s="9"/>
      <c r="AG352" s="21">
        <v>1.62216</v>
      </c>
      <c r="AH352" s="21">
        <v>21.216200000000001</v>
      </c>
      <c r="AI352" s="21">
        <v>-9.9334699999999998E-3</v>
      </c>
      <c r="AJ352" s="21">
        <v>342</v>
      </c>
      <c r="AK352" s="21">
        <v>1.62201</v>
      </c>
      <c r="AL352">
        <f t="shared" si="66"/>
        <v>12.263543209876541</v>
      </c>
      <c r="AM352">
        <f t="shared" si="67"/>
        <v>19.893429253333331</v>
      </c>
      <c r="AP352" s="9"/>
      <c r="AQ352" s="21">
        <v>1.7852799999999999E-2</v>
      </c>
      <c r="AR352" s="21">
        <v>26.63</v>
      </c>
      <c r="AS352" s="21">
        <v>-1.44745E-2</v>
      </c>
      <c r="AT352" s="21">
        <v>342</v>
      </c>
      <c r="AU352" s="21">
        <v>1.7694100000000001E-2</v>
      </c>
      <c r="AV352">
        <f t="shared" si="68"/>
        <v>17.869753086419752</v>
      </c>
      <c r="AW352">
        <f t="shared" si="69"/>
        <v>0.31902512790123455</v>
      </c>
      <c r="AX352" s="9"/>
      <c r="AY352" s="21">
        <v>1.62216</v>
      </c>
      <c r="AZ352" s="21">
        <v>30.328399999999998</v>
      </c>
      <c r="BA352" s="21">
        <v>-9.9182100000000002E-3</v>
      </c>
      <c r="BB352" s="21">
        <v>342</v>
      </c>
      <c r="BC352" s="21">
        <v>1.62201</v>
      </c>
      <c r="BD352">
        <f t="shared" si="70"/>
        <v>12.244703703703705</v>
      </c>
      <c r="BE352">
        <f t="shared" si="71"/>
        <v>19.862868560000003</v>
      </c>
    </row>
    <row r="353" spans="6:57" x14ac:dyDescent="0.25">
      <c r="F353" s="9"/>
      <c r="G353" s="21">
        <v>1.28174E-2</v>
      </c>
      <c r="H353" s="21">
        <v>8.4626699999999992</v>
      </c>
      <c r="I353" s="21">
        <v>-1.44318E-2</v>
      </c>
      <c r="J353" s="21">
        <v>343</v>
      </c>
      <c r="K353" s="21">
        <v>1.2735E-2</v>
      </c>
      <c r="L353">
        <f t="shared" si="60"/>
        <v>17.817037037037036</v>
      </c>
      <c r="M353">
        <f t="shared" si="61"/>
        <v>0.2283680905185185</v>
      </c>
      <c r="N353" s="9"/>
      <c r="O353" s="21">
        <v>1.6272</v>
      </c>
      <c r="P353" s="21">
        <v>12.161</v>
      </c>
      <c r="Q353" s="21">
        <v>-9.6404999999999998E-3</v>
      </c>
      <c r="R353" s="21">
        <v>343</v>
      </c>
      <c r="S353" s="21">
        <v>1.62659</v>
      </c>
      <c r="T353">
        <f t="shared" si="62"/>
        <v>11.90185185185185</v>
      </c>
      <c r="U353">
        <f t="shared" si="63"/>
        <v>19.36669333333333</v>
      </c>
      <c r="X353" s="9"/>
      <c r="Y353" s="21">
        <v>1.28174E-2</v>
      </c>
      <c r="Z353" s="21">
        <v>17.527899999999999</v>
      </c>
      <c r="AA353" s="21">
        <v>-1.44257E-2</v>
      </c>
      <c r="AB353" s="21">
        <v>343</v>
      </c>
      <c r="AC353" s="21">
        <v>1.2689199999999999E-2</v>
      </c>
      <c r="AD353">
        <f t="shared" si="64"/>
        <v>17.809506172839505</v>
      </c>
      <c r="AE353">
        <f t="shared" si="65"/>
        <v>0.22827156441975308</v>
      </c>
      <c r="AF353" s="9"/>
      <c r="AG353" s="21">
        <v>1.6272</v>
      </c>
      <c r="AH353" s="21">
        <v>21.226199999999999</v>
      </c>
      <c r="AI353" s="21">
        <v>-9.7320600000000007E-3</v>
      </c>
      <c r="AJ353" s="21">
        <v>343</v>
      </c>
      <c r="AK353" s="21">
        <v>1.6268899999999999</v>
      </c>
      <c r="AL353">
        <f t="shared" si="66"/>
        <v>12.014888888888889</v>
      </c>
      <c r="AM353">
        <f t="shared" si="67"/>
        <v>19.550627200000001</v>
      </c>
      <c r="AP353" s="9"/>
      <c r="AQ353" s="21">
        <v>1.28174E-2</v>
      </c>
      <c r="AR353" s="21">
        <v>26.6401</v>
      </c>
      <c r="AS353" s="21">
        <v>-1.44653E-2</v>
      </c>
      <c r="AT353" s="21">
        <v>343</v>
      </c>
      <c r="AU353" s="21">
        <v>1.27014E-2</v>
      </c>
      <c r="AV353">
        <f t="shared" si="68"/>
        <v>17.858395061728395</v>
      </c>
      <c r="AW353">
        <f t="shared" si="69"/>
        <v>0.22889819286419752</v>
      </c>
      <c r="AX353" s="9"/>
      <c r="AY353" s="21">
        <v>1.6272</v>
      </c>
      <c r="AZ353" s="21">
        <v>30.3384</v>
      </c>
      <c r="BA353" s="21">
        <v>-9.70764E-3</v>
      </c>
      <c r="BB353" s="21">
        <v>343</v>
      </c>
      <c r="BC353" s="21">
        <v>1.62659</v>
      </c>
      <c r="BD353">
        <f t="shared" si="70"/>
        <v>11.98474074074074</v>
      </c>
      <c r="BE353">
        <f t="shared" si="71"/>
        <v>19.501570133333331</v>
      </c>
    </row>
    <row r="354" spans="6:57" x14ac:dyDescent="0.25">
      <c r="F354" s="9"/>
      <c r="G354" s="21">
        <v>7.78198E-3</v>
      </c>
      <c r="H354" s="21">
        <v>8.4727499999999996</v>
      </c>
      <c r="I354" s="21">
        <v>-1.4428699999999999E-2</v>
      </c>
      <c r="J354" s="21">
        <v>344</v>
      </c>
      <c r="K354" s="21">
        <v>7.5347900000000004E-3</v>
      </c>
      <c r="L354">
        <f t="shared" si="60"/>
        <v>17.813209876543205</v>
      </c>
      <c r="M354">
        <f t="shared" si="61"/>
        <v>0.1386220429950617</v>
      </c>
      <c r="N354" s="9"/>
      <c r="O354" s="21">
        <v>1.6322300000000001</v>
      </c>
      <c r="P354" s="21">
        <v>12.171099999999999</v>
      </c>
      <c r="Q354" s="21">
        <v>-9.4116200000000007E-3</v>
      </c>
      <c r="R354" s="21">
        <v>344</v>
      </c>
      <c r="S354" s="21">
        <v>1.6317699999999999</v>
      </c>
      <c r="T354">
        <f t="shared" si="62"/>
        <v>11.619283950617284</v>
      </c>
      <c r="U354">
        <f t="shared" si="63"/>
        <v>18.965343842716049</v>
      </c>
      <c r="X354" s="9"/>
      <c r="Y354" s="21">
        <v>7.78198E-3</v>
      </c>
      <c r="Z354" s="21">
        <v>17.538</v>
      </c>
      <c r="AA354" s="21">
        <v>-1.44379E-2</v>
      </c>
      <c r="AB354" s="21">
        <v>344</v>
      </c>
      <c r="AC354" s="21">
        <v>7.5866700000000002E-3</v>
      </c>
      <c r="AD354">
        <f t="shared" si="64"/>
        <v>17.824567901234566</v>
      </c>
      <c r="AE354">
        <f t="shared" si="65"/>
        <v>0.13871043091604937</v>
      </c>
      <c r="AF354" s="9"/>
      <c r="AG354" s="21">
        <v>1.6322300000000001</v>
      </c>
      <c r="AH354" s="21">
        <v>21.2363</v>
      </c>
      <c r="AI354" s="21">
        <v>-9.5092800000000002E-3</v>
      </c>
      <c r="AJ354" s="21">
        <v>344</v>
      </c>
      <c r="AK354" s="21">
        <v>1.6311599999999999</v>
      </c>
      <c r="AL354">
        <f t="shared" si="66"/>
        <v>11.739851851851853</v>
      </c>
      <c r="AM354">
        <f t="shared" si="67"/>
        <v>19.162138388148151</v>
      </c>
      <c r="AP354" s="9"/>
      <c r="AQ354" s="21">
        <v>7.78198E-3</v>
      </c>
      <c r="AR354" s="21">
        <v>26.650200000000002</v>
      </c>
      <c r="AS354" s="21">
        <v>-1.4447E-2</v>
      </c>
      <c r="AT354" s="21">
        <v>344</v>
      </c>
      <c r="AU354" s="21">
        <v>7.5744599999999999E-3</v>
      </c>
      <c r="AV354">
        <f t="shared" si="68"/>
        <v>17.8358024691358</v>
      </c>
      <c r="AW354">
        <f t="shared" si="69"/>
        <v>0.13879785809876541</v>
      </c>
      <c r="AX354" s="9"/>
      <c r="AY354" s="21">
        <v>1.6322300000000001</v>
      </c>
      <c r="AZ354" s="21">
        <v>30.348500000000001</v>
      </c>
      <c r="BA354" s="21">
        <v>-9.4909699999999996E-3</v>
      </c>
      <c r="BB354" s="21">
        <v>344</v>
      </c>
      <c r="BC354" s="21">
        <v>1.6317699999999999</v>
      </c>
      <c r="BD354">
        <f t="shared" si="70"/>
        <v>11.717246913580246</v>
      </c>
      <c r="BE354">
        <f t="shared" si="71"/>
        <v>19.125241929753084</v>
      </c>
    </row>
    <row r="355" spans="6:57" x14ac:dyDescent="0.25">
      <c r="F355" s="9"/>
      <c r="G355" s="21">
        <v>2.7465800000000002E-3</v>
      </c>
      <c r="H355" s="21">
        <v>8.4828200000000002</v>
      </c>
      <c r="I355" s="21">
        <v>-1.44379E-2</v>
      </c>
      <c r="J355" s="21">
        <v>345</v>
      </c>
      <c r="K355" s="21">
        <v>2.6061999999999999E-3</v>
      </c>
      <c r="L355">
        <f t="shared" si="60"/>
        <v>17.824567901234566</v>
      </c>
      <c r="M355">
        <f t="shared" si="61"/>
        <v>4.8956601706172838E-2</v>
      </c>
      <c r="N355" s="9"/>
      <c r="O355" s="21">
        <v>1.63727</v>
      </c>
      <c r="P355" s="21">
        <v>12.1812</v>
      </c>
      <c r="Q355" s="21">
        <v>-9.18274E-3</v>
      </c>
      <c r="R355" s="21">
        <v>345</v>
      </c>
      <c r="S355" s="21">
        <v>1.63727</v>
      </c>
      <c r="T355">
        <f t="shared" si="62"/>
        <v>11.336716049382716</v>
      </c>
      <c r="U355">
        <f t="shared" si="63"/>
        <v>18.561265086172838</v>
      </c>
      <c r="X355" s="9"/>
      <c r="Y355" s="21">
        <v>2.7465800000000002E-3</v>
      </c>
      <c r="Z355" s="21">
        <v>17.547999999999998</v>
      </c>
      <c r="AA355" s="21">
        <v>-1.44409E-2</v>
      </c>
      <c r="AB355" s="21">
        <v>345</v>
      </c>
      <c r="AC355" s="21">
        <v>2.6306200000000002E-3</v>
      </c>
      <c r="AD355">
        <f t="shared" si="64"/>
        <v>17.828271604938269</v>
      </c>
      <c r="AE355">
        <f t="shared" si="65"/>
        <v>4.8966774224691353E-2</v>
      </c>
      <c r="AF355" s="9"/>
      <c r="AG355" s="21">
        <v>1.63727</v>
      </c>
      <c r="AH355" s="21">
        <v>21.246400000000001</v>
      </c>
      <c r="AI355" s="21">
        <v>-9.2773400000000002E-3</v>
      </c>
      <c r="AJ355" s="21">
        <v>345</v>
      </c>
      <c r="AK355" s="21">
        <v>1.63605</v>
      </c>
      <c r="AL355">
        <f t="shared" si="66"/>
        <v>11.453506172839505</v>
      </c>
      <c r="AM355">
        <f t="shared" si="67"/>
        <v>18.752482051604936</v>
      </c>
      <c r="AP355" s="9"/>
      <c r="AQ355" s="21">
        <v>2.7465800000000002E-3</v>
      </c>
      <c r="AR355" s="21">
        <v>26.660299999999999</v>
      </c>
      <c r="AS355" s="21">
        <v>-1.44379E-2</v>
      </c>
      <c r="AT355" s="21">
        <v>345</v>
      </c>
      <c r="AU355" s="21">
        <v>2.5878899999999998E-3</v>
      </c>
      <c r="AV355">
        <f t="shared" si="68"/>
        <v>17.824567901234566</v>
      </c>
      <c r="AW355">
        <f t="shared" si="69"/>
        <v>4.8956601706172838E-2</v>
      </c>
      <c r="AX355" s="9"/>
      <c r="AY355" s="21">
        <v>1.63727</v>
      </c>
      <c r="AZ355" s="21">
        <v>30.358599999999999</v>
      </c>
      <c r="BA355" s="21">
        <v>-9.2590299999999997E-3</v>
      </c>
      <c r="BB355" s="21">
        <v>345</v>
      </c>
      <c r="BC355" s="21">
        <v>1.63666</v>
      </c>
      <c r="BD355">
        <f t="shared" si="70"/>
        <v>11.4309012345679</v>
      </c>
      <c r="BE355">
        <f t="shared" si="71"/>
        <v>18.715471664320987</v>
      </c>
    </row>
    <row r="356" spans="6:57" x14ac:dyDescent="0.25">
      <c r="F356" s="9"/>
      <c r="G356" s="21">
        <v>-2.28882E-3</v>
      </c>
      <c r="H356" s="21">
        <v>8.4928899999999992</v>
      </c>
      <c r="I356" s="21">
        <v>-1.44409E-2</v>
      </c>
      <c r="J356" s="21">
        <v>346</v>
      </c>
      <c r="K356" s="21">
        <v>-2.58179E-3</v>
      </c>
      <c r="L356">
        <f t="shared" si="60"/>
        <v>17.828271604938269</v>
      </c>
      <c r="M356">
        <f t="shared" si="61"/>
        <v>-4.0805704614814808E-2</v>
      </c>
      <c r="N356" s="9"/>
      <c r="O356" s="21">
        <v>1.6423000000000001</v>
      </c>
      <c r="P356" s="21">
        <v>12.1912</v>
      </c>
      <c r="Q356" s="21">
        <v>-8.9233400000000001E-3</v>
      </c>
      <c r="R356" s="21">
        <v>346</v>
      </c>
      <c r="S356" s="21">
        <v>1.64154</v>
      </c>
      <c r="T356">
        <f t="shared" si="62"/>
        <v>11.016469135802469</v>
      </c>
      <c r="U356">
        <f t="shared" si="63"/>
        <v>18.092347261728396</v>
      </c>
      <c r="X356" s="9"/>
      <c r="Y356" s="21">
        <v>-2.28882E-3</v>
      </c>
      <c r="Z356" s="21">
        <v>17.5581</v>
      </c>
      <c r="AA356" s="21">
        <v>-1.44257E-2</v>
      </c>
      <c r="AB356" s="21">
        <v>346</v>
      </c>
      <c r="AC356" s="21">
        <v>-2.5421100000000002E-3</v>
      </c>
      <c r="AD356">
        <f t="shared" si="64"/>
        <v>17.809506172839505</v>
      </c>
      <c r="AE356">
        <f t="shared" si="65"/>
        <v>-4.0762753918518517E-2</v>
      </c>
      <c r="AF356" s="9"/>
      <c r="AG356" s="21">
        <v>1.6423000000000001</v>
      </c>
      <c r="AH356" s="21">
        <v>21.256399999999999</v>
      </c>
      <c r="AI356" s="21">
        <v>-9.0209999999999995E-3</v>
      </c>
      <c r="AJ356" s="21">
        <v>346</v>
      </c>
      <c r="AK356" s="21">
        <v>1.64215</v>
      </c>
      <c r="AL356">
        <f t="shared" si="66"/>
        <v>11.137037037037036</v>
      </c>
      <c r="AM356">
        <f t="shared" si="67"/>
        <v>18.290355925925926</v>
      </c>
      <c r="AP356" s="9"/>
      <c r="AQ356" s="21">
        <v>-2.28882E-3</v>
      </c>
      <c r="AR356" s="21">
        <v>26.670300000000001</v>
      </c>
      <c r="AS356" s="21">
        <v>-1.4444E-2</v>
      </c>
      <c r="AT356" s="21">
        <v>346</v>
      </c>
      <c r="AU356" s="21">
        <v>-2.5726299999999998E-3</v>
      </c>
      <c r="AV356">
        <f t="shared" si="68"/>
        <v>17.832098765432097</v>
      </c>
      <c r="AW356">
        <f t="shared" si="69"/>
        <v>-4.0814464296296295E-2</v>
      </c>
      <c r="AX356" s="9"/>
      <c r="AY356" s="21">
        <v>1.6423000000000001</v>
      </c>
      <c r="AZ356" s="21">
        <v>30.3687</v>
      </c>
      <c r="BA356" s="21">
        <v>-9.0087899999999992E-3</v>
      </c>
      <c r="BB356" s="21">
        <v>346</v>
      </c>
      <c r="BC356" s="21">
        <v>1.64124</v>
      </c>
      <c r="BD356">
        <f t="shared" si="70"/>
        <v>11.121962962962963</v>
      </c>
      <c r="BE356">
        <f t="shared" si="71"/>
        <v>18.265599774074076</v>
      </c>
    </row>
    <row r="357" spans="6:57" x14ac:dyDescent="0.25">
      <c r="F357" s="9"/>
      <c r="G357" s="21">
        <v>-7.3242200000000002E-3</v>
      </c>
      <c r="H357" s="21">
        <v>8.5029599999999999</v>
      </c>
      <c r="I357" s="21">
        <v>-1.4422600000000001E-2</v>
      </c>
      <c r="J357" s="21">
        <v>347</v>
      </c>
      <c r="K357" s="21">
        <v>-7.4890099999999999E-3</v>
      </c>
      <c r="L357">
        <f t="shared" si="60"/>
        <v>17.805679012345678</v>
      </c>
      <c r="M357">
        <f t="shared" si="61"/>
        <v>-0.13041271033580246</v>
      </c>
      <c r="N357" s="9"/>
      <c r="O357" s="21">
        <v>1.64734</v>
      </c>
      <c r="P357" s="21">
        <v>12.2013</v>
      </c>
      <c r="Q357" s="21">
        <v>-8.65784E-3</v>
      </c>
      <c r="R357" s="21">
        <v>347</v>
      </c>
      <c r="S357" s="21">
        <v>1.64642</v>
      </c>
      <c r="T357">
        <f t="shared" si="62"/>
        <v>10.688691358024689</v>
      </c>
      <c r="U357">
        <f t="shared" si="63"/>
        <v>17.60790882172839</v>
      </c>
      <c r="X357" s="9"/>
      <c r="Y357" s="21">
        <v>-7.3242200000000002E-3</v>
      </c>
      <c r="Z357" s="21">
        <v>17.568200000000001</v>
      </c>
      <c r="AA357" s="21">
        <v>-1.4419599999999999E-2</v>
      </c>
      <c r="AB357" s="21">
        <v>347</v>
      </c>
      <c r="AC357" s="21">
        <v>-7.5012200000000003E-3</v>
      </c>
      <c r="AD357">
        <f t="shared" si="64"/>
        <v>17.801975308641975</v>
      </c>
      <c r="AE357">
        <f t="shared" si="65"/>
        <v>-0.13038558359506172</v>
      </c>
      <c r="AF357" s="9"/>
      <c r="AG357" s="21">
        <v>1.64734</v>
      </c>
      <c r="AH357" s="21">
        <v>21.266500000000001</v>
      </c>
      <c r="AI357" s="21">
        <v>-8.7554899999999995E-3</v>
      </c>
      <c r="AJ357" s="21">
        <v>347</v>
      </c>
      <c r="AK357" s="21">
        <v>1.64673</v>
      </c>
      <c r="AL357">
        <f t="shared" si="66"/>
        <v>10.809246913580246</v>
      </c>
      <c r="AM357">
        <f t="shared" si="67"/>
        <v>17.806504810617284</v>
      </c>
      <c r="AP357" s="9"/>
      <c r="AQ357" s="21">
        <v>-7.3242200000000002E-3</v>
      </c>
      <c r="AR357" s="21">
        <v>26.680399999999999</v>
      </c>
      <c r="AS357" s="21">
        <v>-1.44653E-2</v>
      </c>
      <c r="AT357" s="21">
        <v>347</v>
      </c>
      <c r="AU357" s="21">
        <v>-7.5622600000000003E-3</v>
      </c>
      <c r="AV357">
        <f t="shared" si="68"/>
        <v>17.858395061728395</v>
      </c>
      <c r="AW357">
        <f t="shared" si="69"/>
        <v>-0.13079881427901235</v>
      </c>
      <c r="AX357" s="9"/>
      <c r="AY357" s="21">
        <v>1.64734</v>
      </c>
      <c r="AZ357" s="21">
        <v>30.378699999999998</v>
      </c>
      <c r="BA357" s="21">
        <v>-8.7432900000000008E-3</v>
      </c>
      <c r="BB357" s="21">
        <v>347</v>
      </c>
      <c r="BC357" s="21">
        <v>1.64673</v>
      </c>
      <c r="BD357">
        <f t="shared" si="70"/>
        <v>10.794185185185187</v>
      </c>
      <c r="BE357">
        <f t="shared" si="71"/>
        <v>17.781693022962966</v>
      </c>
    </row>
    <row r="358" spans="6:57" x14ac:dyDescent="0.25">
      <c r="F358" s="9"/>
      <c r="G358" s="21">
        <v>-1.23596E-2</v>
      </c>
      <c r="H358" s="21">
        <v>8.5130300000000005</v>
      </c>
      <c r="I358" s="21">
        <v>-1.4401199999999999E-2</v>
      </c>
      <c r="J358" s="21">
        <v>348</v>
      </c>
      <c r="K358" s="21">
        <v>-1.26617E-2</v>
      </c>
      <c r="L358">
        <f t="shared" si="60"/>
        <v>17.779259259259259</v>
      </c>
      <c r="M358">
        <f t="shared" si="61"/>
        <v>-0.21974453274074074</v>
      </c>
      <c r="N358" s="9"/>
      <c r="O358" s="21">
        <v>1.6523699999999999</v>
      </c>
      <c r="P358" s="21">
        <v>12.211399999999999</v>
      </c>
      <c r="Q358" s="21">
        <v>-8.3740199999999994E-3</v>
      </c>
      <c r="R358" s="21">
        <v>348</v>
      </c>
      <c r="S358" s="21">
        <v>1.6519200000000001</v>
      </c>
      <c r="T358">
        <f t="shared" si="62"/>
        <v>10.338296296296296</v>
      </c>
      <c r="U358">
        <f t="shared" si="63"/>
        <v>17.082690651111108</v>
      </c>
      <c r="X358" s="9"/>
      <c r="Y358" s="21">
        <v>-1.23596E-2</v>
      </c>
      <c r="Z358" s="21">
        <v>17.578199999999999</v>
      </c>
      <c r="AA358" s="21">
        <v>-1.44165E-2</v>
      </c>
      <c r="AB358" s="21">
        <v>348</v>
      </c>
      <c r="AC358" s="21">
        <v>-1.25519E-2</v>
      </c>
      <c r="AD358">
        <f t="shared" si="64"/>
        <v>17.798148148148147</v>
      </c>
      <c r="AE358">
        <f t="shared" si="65"/>
        <v>-0.21997799185185185</v>
      </c>
      <c r="AF358" s="9"/>
      <c r="AG358" s="21">
        <v>1.6523699999999999</v>
      </c>
      <c r="AH358" s="21">
        <v>21.276599999999998</v>
      </c>
      <c r="AI358" s="21">
        <v>-8.4594700000000002E-3</v>
      </c>
      <c r="AJ358" s="21">
        <v>348</v>
      </c>
      <c r="AK358" s="21">
        <v>1.65222</v>
      </c>
      <c r="AL358">
        <f t="shared" si="66"/>
        <v>10.44379012345679</v>
      </c>
      <c r="AM358">
        <f t="shared" si="67"/>
        <v>17.257005486296293</v>
      </c>
      <c r="AP358" s="9"/>
      <c r="AQ358" s="21">
        <v>-1.23596E-2</v>
      </c>
      <c r="AR358" s="21">
        <v>26.6905</v>
      </c>
      <c r="AS358" s="21">
        <v>-1.4468399999999999E-2</v>
      </c>
      <c r="AT358" s="21">
        <v>348</v>
      </c>
      <c r="AU358" s="21">
        <v>-1.2554900000000001E-2</v>
      </c>
      <c r="AV358">
        <f t="shared" si="68"/>
        <v>17.862222222222222</v>
      </c>
      <c r="AW358">
        <f t="shared" si="69"/>
        <v>-0.22076992177777777</v>
      </c>
      <c r="AX358" s="9"/>
      <c r="AY358" s="21">
        <v>1.6523699999999999</v>
      </c>
      <c r="AZ358" s="21">
        <v>30.3888</v>
      </c>
      <c r="BA358" s="21">
        <v>-8.4594700000000002E-3</v>
      </c>
      <c r="BB358" s="21">
        <v>348</v>
      </c>
      <c r="BC358" s="21">
        <v>1.6519200000000001</v>
      </c>
      <c r="BD358">
        <f t="shared" si="70"/>
        <v>10.44379012345679</v>
      </c>
      <c r="BE358">
        <f t="shared" si="71"/>
        <v>17.257005486296293</v>
      </c>
    </row>
    <row r="359" spans="6:57" x14ac:dyDescent="0.25">
      <c r="F359" s="9"/>
      <c r="G359" s="21">
        <v>-1.7395000000000001E-2</v>
      </c>
      <c r="H359" s="21">
        <v>8.5230999999999995</v>
      </c>
      <c r="I359" s="21">
        <v>-1.4395099999999999E-2</v>
      </c>
      <c r="J359" s="21">
        <v>349</v>
      </c>
      <c r="K359" s="21">
        <v>-1.7651400000000001E-2</v>
      </c>
      <c r="L359">
        <f t="shared" si="60"/>
        <v>17.771728395061729</v>
      </c>
      <c r="M359">
        <f t="shared" si="61"/>
        <v>-0.30913921543209877</v>
      </c>
      <c r="N359" s="9"/>
      <c r="O359" s="21">
        <v>1.65741</v>
      </c>
      <c r="P359" s="21">
        <v>12.221399999999999</v>
      </c>
      <c r="Q359" s="21">
        <v>-8.0688500000000007E-3</v>
      </c>
      <c r="R359" s="21">
        <v>349</v>
      </c>
      <c r="S359" s="21">
        <v>1.6568000000000001</v>
      </c>
      <c r="T359">
        <f t="shared" si="62"/>
        <v>9.9615432098765435</v>
      </c>
      <c r="U359">
        <f t="shared" si="63"/>
        <v>16.510361331481484</v>
      </c>
      <c r="X359" s="9"/>
      <c r="Y359" s="21">
        <v>-1.7395000000000001E-2</v>
      </c>
      <c r="Z359" s="21">
        <v>17.5883</v>
      </c>
      <c r="AA359" s="21">
        <v>-1.4413499999999999E-2</v>
      </c>
      <c r="AB359" s="21">
        <v>349</v>
      </c>
      <c r="AC359" s="21">
        <v>-1.7666600000000001E-2</v>
      </c>
      <c r="AD359">
        <f t="shared" si="64"/>
        <v>17.794444444444444</v>
      </c>
      <c r="AE359">
        <f t="shared" si="65"/>
        <v>-0.3095343611111111</v>
      </c>
      <c r="AF359" s="9"/>
      <c r="AG359" s="21">
        <v>1.65741</v>
      </c>
      <c r="AH359" s="21">
        <v>21.2867</v>
      </c>
      <c r="AI359" s="21">
        <v>-8.1390400000000002E-3</v>
      </c>
      <c r="AJ359" s="21">
        <v>349</v>
      </c>
      <c r="AK359" s="21">
        <v>1.65649</v>
      </c>
      <c r="AL359">
        <f t="shared" si="66"/>
        <v>10.048197530864197</v>
      </c>
      <c r="AM359">
        <f t="shared" si="67"/>
        <v>16.653983069629628</v>
      </c>
      <c r="AP359" s="9"/>
      <c r="AQ359" s="21">
        <v>-1.7395000000000001E-2</v>
      </c>
      <c r="AR359" s="21">
        <v>26.700500000000002</v>
      </c>
      <c r="AS359" s="21">
        <v>-1.44653E-2</v>
      </c>
      <c r="AT359" s="21">
        <v>349</v>
      </c>
      <c r="AU359" s="21">
        <v>-1.76849E-2</v>
      </c>
      <c r="AV359">
        <f t="shared" si="68"/>
        <v>17.858395061728395</v>
      </c>
      <c r="AW359">
        <f t="shared" si="69"/>
        <v>-0.31064678209876545</v>
      </c>
      <c r="AX359" s="9"/>
      <c r="AY359" s="21">
        <v>1.65741</v>
      </c>
      <c r="AZ359" s="21">
        <v>30.398900000000001</v>
      </c>
      <c r="BA359" s="21">
        <v>-8.1512500000000005E-3</v>
      </c>
      <c r="BB359" s="21">
        <v>349</v>
      </c>
      <c r="BC359" s="21">
        <v>1.65588</v>
      </c>
      <c r="BD359">
        <f t="shared" si="70"/>
        <v>10.063271604938272</v>
      </c>
      <c r="BE359">
        <f t="shared" si="71"/>
        <v>16.678966990740744</v>
      </c>
    </row>
    <row r="360" spans="6:57" x14ac:dyDescent="0.25">
      <c r="F360" s="9"/>
      <c r="G360" s="21">
        <v>-2.24304E-2</v>
      </c>
      <c r="H360" s="21">
        <v>8.5331700000000001</v>
      </c>
      <c r="I360" s="21">
        <v>-1.4413499999999999E-2</v>
      </c>
      <c r="J360" s="21">
        <v>350</v>
      </c>
      <c r="K360" s="21">
        <v>-2.27295E-2</v>
      </c>
      <c r="L360">
        <f t="shared" si="60"/>
        <v>17.794444444444444</v>
      </c>
      <c r="M360">
        <f t="shared" si="61"/>
        <v>-0.39913650666666667</v>
      </c>
      <c r="N360" s="9"/>
      <c r="O360" s="21">
        <v>1.66245</v>
      </c>
      <c r="P360" s="21">
        <v>12.2315</v>
      </c>
      <c r="Q360" s="21">
        <v>-7.7270500000000001E-3</v>
      </c>
      <c r="R360" s="21">
        <v>350</v>
      </c>
      <c r="S360" s="21">
        <v>1.6619900000000001</v>
      </c>
      <c r="T360">
        <f t="shared" si="62"/>
        <v>9.539567901234566</v>
      </c>
      <c r="U360">
        <f t="shared" si="63"/>
        <v>15.859054657407404</v>
      </c>
      <c r="X360" s="9"/>
      <c r="Y360" s="21">
        <v>-2.24304E-2</v>
      </c>
      <c r="Z360" s="21">
        <v>17.598400000000002</v>
      </c>
      <c r="AA360" s="21">
        <v>-1.44043E-2</v>
      </c>
      <c r="AB360" s="21">
        <v>350</v>
      </c>
      <c r="AC360" s="21">
        <v>-2.2814899999999999E-2</v>
      </c>
      <c r="AD360">
        <f t="shared" si="64"/>
        <v>17.783086419753086</v>
      </c>
      <c r="AE360">
        <f t="shared" si="65"/>
        <v>-0.39888174162962964</v>
      </c>
      <c r="AF360" s="9"/>
      <c r="AG360" s="21">
        <v>1.66245</v>
      </c>
      <c r="AH360" s="21">
        <v>21.296700000000001</v>
      </c>
      <c r="AI360" s="21">
        <v>-7.7941900000000003E-3</v>
      </c>
      <c r="AJ360" s="21">
        <v>350</v>
      </c>
      <c r="AK360" s="21">
        <v>1.6613800000000001</v>
      </c>
      <c r="AL360">
        <f t="shared" si="66"/>
        <v>9.6224567901234561</v>
      </c>
      <c r="AM360">
        <f t="shared" si="67"/>
        <v>15.99685329074074</v>
      </c>
      <c r="AP360" s="9"/>
      <c r="AQ360" s="21">
        <v>-2.24304E-2</v>
      </c>
      <c r="AR360" s="21">
        <v>26.710599999999999</v>
      </c>
      <c r="AS360" s="21">
        <v>-1.4462300000000001E-2</v>
      </c>
      <c r="AT360" s="21">
        <v>350</v>
      </c>
      <c r="AU360" s="21">
        <v>-2.2695900000000001E-2</v>
      </c>
      <c r="AV360">
        <f t="shared" si="68"/>
        <v>17.854691358024692</v>
      </c>
      <c r="AW360">
        <f t="shared" si="69"/>
        <v>-0.40048786903703704</v>
      </c>
      <c r="AX360" s="9"/>
      <c r="AY360" s="21">
        <v>1.66245</v>
      </c>
      <c r="AZ360" s="21">
        <v>30.408899999999999</v>
      </c>
      <c r="BA360" s="21">
        <v>-7.8186000000000002E-3</v>
      </c>
      <c r="BB360" s="21">
        <v>350</v>
      </c>
      <c r="BC360" s="21">
        <v>1.6619900000000001</v>
      </c>
      <c r="BD360">
        <f t="shared" si="70"/>
        <v>9.6525925925925922</v>
      </c>
      <c r="BE360">
        <f t="shared" si="71"/>
        <v>16.046952555555556</v>
      </c>
    </row>
    <row r="361" spans="6:57" x14ac:dyDescent="0.25">
      <c r="F361" s="9"/>
      <c r="G361" s="21">
        <v>-2.7465799999999999E-2</v>
      </c>
      <c r="H361" s="21">
        <v>8.5432400000000008</v>
      </c>
      <c r="I361" s="21">
        <v>-1.4413499999999999E-2</v>
      </c>
      <c r="J361" s="21">
        <v>351</v>
      </c>
      <c r="K361" s="21">
        <v>-2.7774E-2</v>
      </c>
      <c r="L361">
        <f t="shared" si="60"/>
        <v>17.794444444444444</v>
      </c>
      <c r="M361">
        <f t="shared" si="61"/>
        <v>-0.48873865222222218</v>
      </c>
      <c r="N361" s="9"/>
      <c r="O361" s="21">
        <v>1.6674800000000001</v>
      </c>
      <c r="P361" s="21">
        <v>12.2416</v>
      </c>
      <c r="Q361" s="21">
        <v>-7.3547400000000002E-3</v>
      </c>
      <c r="R361" s="21">
        <v>351</v>
      </c>
      <c r="S361" s="21">
        <v>1.66656</v>
      </c>
      <c r="T361">
        <f t="shared" si="62"/>
        <v>9.0799259259259255</v>
      </c>
      <c r="U361">
        <f t="shared" si="63"/>
        <v>15.140594882962963</v>
      </c>
      <c r="X361" s="9"/>
      <c r="Y361" s="21">
        <v>-2.7465799999999999E-2</v>
      </c>
      <c r="Z361" s="21">
        <v>17.608499999999999</v>
      </c>
      <c r="AA361" s="21">
        <v>-1.44043E-2</v>
      </c>
      <c r="AB361" s="21">
        <v>351</v>
      </c>
      <c r="AC361" s="21">
        <v>-2.7777099999999999E-2</v>
      </c>
      <c r="AD361">
        <f t="shared" si="64"/>
        <v>17.783086419753086</v>
      </c>
      <c r="AE361">
        <f t="shared" si="65"/>
        <v>-0.48842669498765429</v>
      </c>
      <c r="AF361" s="9"/>
      <c r="AG361" s="21">
        <v>1.6674800000000001</v>
      </c>
      <c r="AH361" s="21">
        <v>21.306799999999999</v>
      </c>
      <c r="AI361" s="21">
        <v>-7.43408E-3</v>
      </c>
      <c r="AJ361" s="21">
        <v>351</v>
      </c>
      <c r="AK361" s="21">
        <v>1.66656</v>
      </c>
      <c r="AL361">
        <f t="shared" si="66"/>
        <v>9.1778765432098766</v>
      </c>
      <c r="AM361">
        <f t="shared" si="67"/>
        <v>15.303925578271606</v>
      </c>
      <c r="AP361" s="9"/>
      <c r="AQ361" s="21">
        <v>-2.7465799999999999E-2</v>
      </c>
      <c r="AR361" s="21">
        <v>26.720700000000001</v>
      </c>
      <c r="AS361" s="21">
        <v>-1.4462300000000001E-2</v>
      </c>
      <c r="AT361" s="21">
        <v>351</v>
      </c>
      <c r="AU361" s="21">
        <v>-2.7752700000000002E-2</v>
      </c>
      <c r="AV361">
        <f t="shared" si="68"/>
        <v>17.854691358024692</v>
      </c>
      <c r="AW361">
        <f t="shared" si="69"/>
        <v>-0.49039338190123455</v>
      </c>
      <c r="AX361" s="9"/>
      <c r="AY361" s="21">
        <v>1.6674800000000001</v>
      </c>
      <c r="AZ361" s="21">
        <v>30.419</v>
      </c>
      <c r="BA361" s="21">
        <v>-7.4523899999999997E-3</v>
      </c>
      <c r="BB361" s="21">
        <v>351</v>
      </c>
      <c r="BC361" s="21">
        <v>1.6668700000000001</v>
      </c>
      <c r="BD361">
        <f t="shared" si="70"/>
        <v>9.2004814814814821</v>
      </c>
      <c r="BE361">
        <f t="shared" si="71"/>
        <v>15.341618860740743</v>
      </c>
    </row>
    <row r="362" spans="6:57" x14ac:dyDescent="0.25">
      <c r="F362" s="9"/>
      <c r="G362" s="21">
        <v>-3.2501200000000001E-2</v>
      </c>
      <c r="H362" s="21">
        <v>8.5533099999999997</v>
      </c>
      <c r="I362" s="21">
        <v>-1.4419599999999999E-2</v>
      </c>
      <c r="J362" s="21">
        <v>352</v>
      </c>
      <c r="K362" s="21">
        <v>-3.2846100000000003E-2</v>
      </c>
      <c r="L362">
        <f t="shared" si="60"/>
        <v>17.801975308641975</v>
      </c>
      <c r="M362">
        <f t="shared" si="61"/>
        <v>-0.57858555990123461</v>
      </c>
      <c r="N362" s="9"/>
      <c r="O362" s="21">
        <v>1.67252</v>
      </c>
      <c r="P362" s="21">
        <v>12.2517</v>
      </c>
      <c r="Q362" s="21">
        <v>-6.9549599999999996E-3</v>
      </c>
      <c r="R362" s="21">
        <v>352</v>
      </c>
      <c r="S362" s="21">
        <v>1.6717500000000001</v>
      </c>
      <c r="T362">
        <f t="shared" si="62"/>
        <v>8.5863703703703695</v>
      </c>
      <c r="U362">
        <f t="shared" si="63"/>
        <v>14.360876171851851</v>
      </c>
      <c r="X362" s="9"/>
      <c r="Y362" s="21">
        <v>-3.2501200000000001E-2</v>
      </c>
      <c r="Z362" s="21">
        <v>17.618500000000001</v>
      </c>
      <c r="AA362" s="21">
        <v>-1.4419599999999999E-2</v>
      </c>
      <c r="AB362" s="21">
        <v>352</v>
      </c>
      <c r="AC362" s="21">
        <v>-3.2791099999999997E-2</v>
      </c>
      <c r="AD362">
        <f t="shared" si="64"/>
        <v>17.801975308641975</v>
      </c>
      <c r="AE362">
        <f t="shared" si="65"/>
        <v>-0.57858555990123461</v>
      </c>
      <c r="AF362" s="9"/>
      <c r="AG362" s="21">
        <v>1.67252</v>
      </c>
      <c r="AH362" s="21">
        <v>21.3169</v>
      </c>
      <c r="AI362" s="21">
        <v>-7.0373500000000004E-3</v>
      </c>
      <c r="AJ362" s="21">
        <v>352</v>
      </c>
      <c r="AK362" s="21">
        <v>1.6720600000000001</v>
      </c>
      <c r="AL362">
        <f t="shared" si="66"/>
        <v>8.6880864197530858</v>
      </c>
      <c r="AM362">
        <f t="shared" si="67"/>
        <v>14.53099829876543</v>
      </c>
      <c r="AP362" s="9"/>
      <c r="AQ362" s="21">
        <v>-3.2501200000000001E-2</v>
      </c>
      <c r="AR362" s="21">
        <v>26.730699999999999</v>
      </c>
      <c r="AS362" s="21">
        <v>-1.4468399999999999E-2</v>
      </c>
      <c r="AT362" s="21">
        <v>352</v>
      </c>
      <c r="AU362" s="21">
        <v>-3.2809400000000002E-2</v>
      </c>
      <c r="AV362">
        <f t="shared" si="68"/>
        <v>17.862222222222222</v>
      </c>
      <c r="AW362">
        <f t="shared" si="69"/>
        <v>-0.58054365688888887</v>
      </c>
      <c r="AX362" s="9"/>
      <c r="AY362" s="21">
        <v>1.67252</v>
      </c>
      <c r="AZ362" s="21">
        <v>30.429099999999998</v>
      </c>
      <c r="BA362" s="21">
        <v>-7.05261E-3</v>
      </c>
      <c r="BB362" s="21">
        <v>352</v>
      </c>
      <c r="BC362" s="21">
        <v>1.6717500000000001</v>
      </c>
      <c r="BD362">
        <f t="shared" si="70"/>
        <v>8.7069259259259244</v>
      </c>
      <c r="BE362">
        <f t="shared" si="71"/>
        <v>14.562507749629628</v>
      </c>
    </row>
    <row r="363" spans="6:57" x14ac:dyDescent="0.25">
      <c r="F363" s="9"/>
      <c r="G363" s="21">
        <v>-3.7536600000000003E-2</v>
      </c>
      <c r="H363" s="21">
        <v>8.5633800000000004</v>
      </c>
      <c r="I363" s="21">
        <v>-1.4428699999999999E-2</v>
      </c>
      <c r="J363" s="21">
        <v>353</v>
      </c>
      <c r="K363" s="21">
        <v>-3.79028E-2</v>
      </c>
      <c r="L363">
        <f t="shared" si="60"/>
        <v>17.813209876543205</v>
      </c>
      <c r="M363">
        <f t="shared" si="61"/>
        <v>-0.66864733385185171</v>
      </c>
      <c r="N363" s="9"/>
      <c r="O363" s="21">
        <v>1.6775500000000001</v>
      </c>
      <c r="P363" s="21">
        <v>12.261699999999999</v>
      </c>
      <c r="Q363" s="21">
        <v>-6.50024E-3</v>
      </c>
      <c r="R363" s="21">
        <v>353</v>
      </c>
      <c r="S363" s="21">
        <v>1.6772499999999999</v>
      </c>
      <c r="T363">
        <f t="shared" si="62"/>
        <v>8.0249876543209879</v>
      </c>
      <c r="U363">
        <f t="shared" si="63"/>
        <v>13.462318039506174</v>
      </c>
      <c r="X363" s="9"/>
      <c r="Y363" s="21">
        <v>-3.7536600000000003E-2</v>
      </c>
      <c r="Z363" s="21">
        <v>17.628599999999999</v>
      </c>
      <c r="AA363" s="21">
        <v>-1.4428699999999999E-2</v>
      </c>
      <c r="AB363" s="21">
        <v>353</v>
      </c>
      <c r="AC363" s="21">
        <v>-3.7829599999999998E-2</v>
      </c>
      <c r="AD363">
        <f t="shared" si="64"/>
        <v>17.813209876543205</v>
      </c>
      <c r="AE363">
        <f t="shared" si="65"/>
        <v>-0.66864733385185171</v>
      </c>
      <c r="AF363" s="9"/>
      <c r="AG363" s="21">
        <v>1.6775500000000001</v>
      </c>
      <c r="AH363" s="21">
        <v>21.326899999999998</v>
      </c>
      <c r="AI363" s="21">
        <v>-6.6070599999999997E-3</v>
      </c>
      <c r="AJ363" s="21">
        <v>353</v>
      </c>
      <c r="AK363" s="21">
        <v>1.6769400000000001</v>
      </c>
      <c r="AL363">
        <f t="shared" si="66"/>
        <v>8.1568641975308633</v>
      </c>
      <c r="AM363">
        <f t="shared" si="67"/>
        <v>13.6835475345679</v>
      </c>
      <c r="AP363" s="9"/>
      <c r="AQ363" s="21">
        <v>-3.7536600000000003E-2</v>
      </c>
      <c r="AR363" s="21">
        <v>26.7408</v>
      </c>
      <c r="AS363" s="21">
        <v>-1.44531E-2</v>
      </c>
      <c r="AT363" s="21">
        <v>353</v>
      </c>
      <c r="AU363" s="21">
        <v>-3.7774700000000001E-2</v>
      </c>
      <c r="AV363">
        <f t="shared" si="68"/>
        <v>17.843333333333334</v>
      </c>
      <c r="AW363">
        <f t="shared" si="69"/>
        <v>-0.66977806600000012</v>
      </c>
      <c r="AX363" s="9"/>
      <c r="AY363" s="21">
        <v>1.6775500000000001</v>
      </c>
      <c r="AZ363" s="21">
        <v>30.4392</v>
      </c>
      <c r="BA363" s="21">
        <v>-6.6192600000000001E-3</v>
      </c>
      <c r="BB363" s="21">
        <v>353</v>
      </c>
      <c r="BC363" s="21">
        <v>1.6763300000000001</v>
      </c>
      <c r="BD363">
        <f t="shared" si="70"/>
        <v>8.171925925925926</v>
      </c>
      <c r="BE363">
        <f t="shared" si="71"/>
        <v>13.708814337037039</v>
      </c>
    </row>
    <row r="364" spans="6:57" x14ac:dyDescent="0.25">
      <c r="F364" s="9"/>
      <c r="G364" s="21">
        <v>-4.2571999999999999E-2</v>
      </c>
      <c r="H364" s="21">
        <v>8.5734600000000007</v>
      </c>
      <c r="I364" s="21">
        <v>-1.44318E-2</v>
      </c>
      <c r="J364" s="21">
        <v>354</v>
      </c>
      <c r="K364" s="21">
        <v>-4.2889400000000001E-2</v>
      </c>
      <c r="L364">
        <f t="shared" si="60"/>
        <v>17.817037037037036</v>
      </c>
      <c r="M364">
        <f t="shared" si="61"/>
        <v>-0.75850690074074067</v>
      </c>
      <c r="N364" s="9"/>
      <c r="O364" s="21">
        <v>1.68259</v>
      </c>
      <c r="P364" s="21">
        <v>12.271800000000001</v>
      </c>
      <c r="Q364" s="21">
        <v>-6.00586E-3</v>
      </c>
      <c r="R364" s="21">
        <v>354</v>
      </c>
      <c r="S364" s="21">
        <v>1.6824300000000001</v>
      </c>
      <c r="T364">
        <f t="shared" si="62"/>
        <v>7.4146419753086414</v>
      </c>
      <c r="U364">
        <f t="shared" si="63"/>
        <v>12.475802441234567</v>
      </c>
      <c r="X364" s="9"/>
      <c r="Y364" s="21">
        <v>-4.2571999999999999E-2</v>
      </c>
      <c r="Z364" s="21">
        <v>17.6387</v>
      </c>
      <c r="AA364" s="21">
        <v>-1.44409E-2</v>
      </c>
      <c r="AB364" s="21">
        <v>354</v>
      </c>
      <c r="AC364" s="21">
        <v>-4.2846700000000001E-2</v>
      </c>
      <c r="AD364">
        <f t="shared" si="64"/>
        <v>17.828271604938269</v>
      </c>
      <c r="AE364">
        <f t="shared" si="65"/>
        <v>-0.75898517876543192</v>
      </c>
      <c r="AF364" s="9"/>
      <c r="AG364" s="21">
        <v>1.68259</v>
      </c>
      <c r="AH364" s="21">
        <v>21.337</v>
      </c>
      <c r="AI364" s="21">
        <v>-6.1004600000000003E-3</v>
      </c>
      <c r="AJ364" s="21">
        <v>354</v>
      </c>
      <c r="AK364" s="21">
        <v>1.6821299999999999</v>
      </c>
      <c r="AL364">
        <f t="shared" si="66"/>
        <v>7.531432098765432</v>
      </c>
      <c r="AM364">
        <f t="shared" si="67"/>
        <v>12.672312335061729</v>
      </c>
      <c r="AP364" s="9"/>
      <c r="AQ364" s="21">
        <v>-4.2571999999999999E-2</v>
      </c>
      <c r="AR364" s="21">
        <v>26.750900000000001</v>
      </c>
      <c r="AS364" s="21">
        <v>-1.44379E-2</v>
      </c>
      <c r="AT364" s="21">
        <v>354</v>
      </c>
      <c r="AU364" s="21">
        <v>-4.2974900000000003E-2</v>
      </c>
      <c r="AV364">
        <f t="shared" si="68"/>
        <v>17.824567901234566</v>
      </c>
      <c r="AW364">
        <f t="shared" si="69"/>
        <v>-0.75882750469135796</v>
      </c>
      <c r="AX364" s="9"/>
      <c r="AY364" s="21">
        <v>1.68259</v>
      </c>
      <c r="AZ364" s="21">
        <v>30.449200000000001</v>
      </c>
      <c r="BA364" s="21">
        <v>-6.1370799999999996E-3</v>
      </c>
      <c r="BB364" s="21">
        <v>354</v>
      </c>
      <c r="BC364" s="21">
        <v>1.6830400000000001</v>
      </c>
      <c r="BD364">
        <f t="shared" si="70"/>
        <v>7.5766419753086414</v>
      </c>
      <c r="BE364">
        <f t="shared" si="71"/>
        <v>12.748382021234567</v>
      </c>
    </row>
    <row r="365" spans="6:57" x14ac:dyDescent="0.25">
      <c r="F365" s="9"/>
      <c r="G365" s="21">
        <v>-4.7607400000000001E-2</v>
      </c>
      <c r="H365" s="21">
        <v>8.5835299999999997</v>
      </c>
      <c r="I365" s="21">
        <v>-1.44318E-2</v>
      </c>
      <c r="J365" s="21">
        <v>355</v>
      </c>
      <c r="K365" s="21">
        <v>-4.7943100000000002E-2</v>
      </c>
      <c r="L365">
        <f t="shared" si="60"/>
        <v>17.817037037037036</v>
      </c>
      <c r="M365">
        <f t="shared" si="61"/>
        <v>-0.84822280903703695</v>
      </c>
      <c r="N365" s="9"/>
      <c r="O365" s="21">
        <v>1.6876199999999999</v>
      </c>
      <c r="P365" s="21">
        <v>12.2819</v>
      </c>
      <c r="Q365" s="21">
        <v>-5.4657000000000004E-3</v>
      </c>
      <c r="R365" s="21">
        <v>355</v>
      </c>
      <c r="S365" s="21">
        <v>1.6870099999999999</v>
      </c>
      <c r="T365">
        <f t="shared" si="62"/>
        <v>6.7477777777777783</v>
      </c>
      <c r="U365">
        <f t="shared" si="63"/>
        <v>11.387684733333334</v>
      </c>
      <c r="X365" s="9"/>
      <c r="Y365" s="21">
        <v>-4.7607400000000001E-2</v>
      </c>
      <c r="Z365" s="21">
        <v>17.648700000000002</v>
      </c>
      <c r="AA365" s="21">
        <v>-1.4444E-2</v>
      </c>
      <c r="AB365" s="21">
        <v>355</v>
      </c>
      <c r="AC365" s="21">
        <v>-4.7961400000000001E-2</v>
      </c>
      <c r="AD365">
        <f t="shared" si="64"/>
        <v>17.832098765432097</v>
      </c>
      <c r="AE365">
        <f t="shared" si="65"/>
        <v>-0.84893985876543199</v>
      </c>
      <c r="AF365" s="9"/>
      <c r="AG365" s="21">
        <v>1.6876199999999999</v>
      </c>
      <c r="AH365" s="21">
        <v>21.347100000000001</v>
      </c>
      <c r="AI365" s="21">
        <v>-5.5541999999999996E-3</v>
      </c>
      <c r="AJ365" s="21">
        <v>355</v>
      </c>
      <c r="AK365" s="21">
        <v>1.6867099999999999</v>
      </c>
      <c r="AL365">
        <f t="shared" si="66"/>
        <v>6.8570370370370366</v>
      </c>
      <c r="AM365">
        <f t="shared" si="67"/>
        <v>11.572072844444444</v>
      </c>
      <c r="AP365" s="9"/>
      <c r="AQ365" s="21">
        <v>-4.7607400000000001E-2</v>
      </c>
      <c r="AR365" s="21">
        <v>26.760999999999999</v>
      </c>
      <c r="AS365" s="21">
        <v>-1.44318E-2</v>
      </c>
      <c r="AT365" s="21">
        <v>355</v>
      </c>
      <c r="AU365" s="21">
        <v>-4.79797E-2</v>
      </c>
      <c r="AV365">
        <f t="shared" si="68"/>
        <v>17.817037037037036</v>
      </c>
      <c r="AW365">
        <f t="shared" si="69"/>
        <v>-0.84822280903703695</v>
      </c>
      <c r="AX365" s="9"/>
      <c r="AY365" s="21">
        <v>1.6876199999999999</v>
      </c>
      <c r="AZ365" s="21">
        <v>30.459299999999999</v>
      </c>
      <c r="BA365" s="21">
        <v>-5.6030300000000002E-3</v>
      </c>
      <c r="BB365" s="21">
        <v>355</v>
      </c>
      <c r="BC365" s="21">
        <v>1.6876199999999999</v>
      </c>
      <c r="BD365">
        <f t="shared" si="70"/>
        <v>6.9173209876543202</v>
      </c>
      <c r="BE365">
        <f t="shared" si="71"/>
        <v>11.673809245185183</v>
      </c>
    </row>
    <row r="366" spans="6:57" x14ac:dyDescent="0.25">
      <c r="F366" s="9"/>
      <c r="G366" s="21">
        <v>-5.2642799999999997E-2</v>
      </c>
      <c r="H366" s="21">
        <v>8.5936000000000003</v>
      </c>
      <c r="I366" s="21">
        <v>-1.44257E-2</v>
      </c>
      <c r="J366" s="21">
        <v>356</v>
      </c>
      <c r="K366" s="21">
        <v>-5.3070100000000002E-2</v>
      </c>
      <c r="L366">
        <f t="shared" si="60"/>
        <v>17.809506172839505</v>
      </c>
      <c r="M366">
        <f t="shared" si="61"/>
        <v>-0.93754227155555547</v>
      </c>
      <c r="N366" s="9"/>
      <c r="O366" s="21">
        <v>1.6926600000000001</v>
      </c>
      <c r="P366" s="21">
        <v>12.2919</v>
      </c>
      <c r="Q366" s="21">
        <v>-4.8495500000000002E-3</v>
      </c>
      <c r="R366" s="21">
        <v>356</v>
      </c>
      <c r="S366" s="21">
        <v>1.6921999999999999</v>
      </c>
      <c r="T366">
        <f t="shared" si="62"/>
        <v>5.9870987654320986</v>
      </c>
      <c r="U366">
        <f t="shared" si="63"/>
        <v>10.134122596296296</v>
      </c>
      <c r="X366" s="9"/>
      <c r="Y366" s="21">
        <v>-5.2642799999999997E-2</v>
      </c>
      <c r="Z366" s="21">
        <v>17.658799999999999</v>
      </c>
      <c r="AA366" s="21">
        <v>-1.44409E-2</v>
      </c>
      <c r="AB366" s="21">
        <v>356</v>
      </c>
      <c r="AC366" s="21">
        <v>-5.3039599999999999E-2</v>
      </c>
      <c r="AD366">
        <f t="shared" si="64"/>
        <v>17.828271604938269</v>
      </c>
      <c r="AE366">
        <f t="shared" si="65"/>
        <v>-0.93853013644444427</v>
      </c>
      <c r="AF366" s="9"/>
      <c r="AG366" s="21">
        <v>1.6926600000000001</v>
      </c>
      <c r="AH366" s="21">
        <v>21.357099999999999</v>
      </c>
      <c r="AI366" s="21">
        <v>-4.93195E-3</v>
      </c>
      <c r="AJ366" s="21">
        <v>356</v>
      </c>
      <c r="AK366" s="21">
        <v>1.6918899999999999</v>
      </c>
      <c r="AL366">
        <f t="shared" si="66"/>
        <v>6.0888271604938273</v>
      </c>
      <c r="AM366">
        <f t="shared" si="67"/>
        <v>10.306314181481483</v>
      </c>
      <c r="AP366" s="9"/>
      <c r="AQ366" s="21">
        <v>-5.2642799999999997E-2</v>
      </c>
      <c r="AR366" s="21">
        <v>26.771000000000001</v>
      </c>
      <c r="AS366" s="21">
        <v>-1.4428699999999999E-2</v>
      </c>
      <c r="AT366" s="21">
        <v>356</v>
      </c>
      <c r="AU366" s="21">
        <v>-5.3161600000000003E-2</v>
      </c>
      <c r="AV366">
        <f t="shared" si="68"/>
        <v>17.813209876543205</v>
      </c>
      <c r="AW366">
        <f t="shared" si="69"/>
        <v>-0.93773724488888854</v>
      </c>
      <c r="AX366" s="9"/>
      <c r="AY366" s="21">
        <v>1.6926600000000001</v>
      </c>
      <c r="AZ366" s="21">
        <v>30.4694</v>
      </c>
      <c r="BA366" s="21">
        <v>-4.9771099999999999E-3</v>
      </c>
      <c r="BB366" s="21">
        <v>356</v>
      </c>
      <c r="BC366" s="21">
        <v>1.6915899999999999</v>
      </c>
      <c r="BD366">
        <f t="shared" si="70"/>
        <v>6.1445802469135797</v>
      </c>
      <c r="BE366">
        <f t="shared" si="71"/>
        <v>10.400685200740741</v>
      </c>
    </row>
    <row r="367" spans="6:57" x14ac:dyDescent="0.25">
      <c r="F367" s="9"/>
      <c r="G367" s="21">
        <v>-5.7678199999999999E-2</v>
      </c>
      <c r="H367" s="21">
        <v>8.6036699999999993</v>
      </c>
      <c r="I367" s="21">
        <v>-1.44318E-2</v>
      </c>
      <c r="J367" s="21">
        <v>357</v>
      </c>
      <c r="K367" s="21">
        <v>-5.8196999999999999E-2</v>
      </c>
      <c r="L367">
        <f t="shared" si="60"/>
        <v>17.817037037037036</v>
      </c>
      <c r="M367">
        <f t="shared" si="61"/>
        <v>-1.0276546256296295</v>
      </c>
      <c r="N367" s="9"/>
      <c r="O367" s="21">
        <v>1.6976899999999999</v>
      </c>
      <c r="P367" s="21">
        <v>12.302</v>
      </c>
      <c r="Q367" s="21">
        <v>-4.1625999999999998E-3</v>
      </c>
      <c r="R367" s="21">
        <v>357</v>
      </c>
      <c r="S367" s="21">
        <v>1.6970799999999999</v>
      </c>
      <c r="T367">
        <f t="shared" si="62"/>
        <v>5.1390123456790118</v>
      </c>
      <c r="U367">
        <f t="shared" si="63"/>
        <v>8.7244498691358014</v>
      </c>
      <c r="X367" s="9"/>
      <c r="Y367" s="21">
        <v>-5.7678199999999999E-2</v>
      </c>
      <c r="Z367" s="21">
        <v>17.668900000000001</v>
      </c>
      <c r="AA367" s="21">
        <v>-1.4444E-2</v>
      </c>
      <c r="AB367" s="21">
        <v>357</v>
      </c>
      <c r="AC367" s="21">
        <v>-5.8196999999999999E-2</v>
      </c>
      <c r="AD367">
        <f t="shared" si="64"/>
        <v>17.832098765432097</v>
      </c>
      <c r="AE367">
        <f t="shared" si="65"/>
        <v>-1.0285233590123455</v>
      </c>
      <c r="AF367" s="9"/>
      <c r="AG367" s="21">
        <v>1.6976899999999999</v>
      </c>
      <c r="AH367" s="21">
        <v>21.3672</v>
      </c>
      <c r="AI367" s="21">
        <v>-4.2294300000000002E-3</v>
      </c>
      <c r="AJ367" s="21">
        <v>357</v>
      </c>
      <c r="AK367" s="21">
        <v>1.6970799999999999</v>
      </c>
      <c r="AL367">
        <f t="shared" si="66"/>
        <v>5.2215185185185184</v>
      </c>
      <c r="AM367">
        <f t="shared" si="67"/>
        <v>8.8645197737037034</v>
      </c>
      <c r="AP367" s="9"/>
      <c r="AQ367" s="21">
        <v>-5.7678199999999999E-2</v>
      </c>
      <c r="AR367" s="21">
        <v>26.781099999999999</v>
      </c>
      <c r="AS367" s="21">
        <v>-1.44379E-2</v>
      </c>
      <c r="AT367" s="21">
        <v>357</v>
      </c>
      <c r="AU367" s="21">
        <v>-5.8166500000000003E-2</v>
      </c>
      <c r="AV367">
        <f t="shared" si="68"/>
        <v>17.824567901234566</v>
      </c>
      <c r="AW367">
        <f t="shared" si="69"/>
        <v>-1.0280889923209875</v>
      </c>
      <c r="AX367" s="9"/>
      <c r="AY367" s="21">
        <v>1.6976899999999999</v>
      </c>
      <c r="AZ367" s="21">
        <v>30.479399999999998</v>
      </c>
      <c r="BA367" s="21">
        <v>-4.2672700000000001E-3</v>
      </c>
      <c r="BB367" s="21">
        <v>357</v>
      </c>
      <c r="BC367" s="21">
        <v>1.69678</v>
      </c>
      <c r="BD367">
        <f t="shared" si="70"/>
        <v>5.2682345679012341</v>
      </c>
      <c r="BE367">
        <f t="shared" si="71"/>
        <v>8.9438291435802455</v>
      </c>
    </row>
    <row r="368" spans="6:57" x14ac:dyDescent="0.25">
      <c r="F368" s="9"/>
      <c r="G368" s="21">
        <v>-6.2713599999999994E-2</v>
      </c>
      <c r="H368" s="21">
        <v>8.61374</v>
      </c>
      <c r="I368" s="21">
        <v>-1.4428699999999999E-2</v>
      </c>
      <c r="J368" s="21">
        <v>358</v>
      </c>
      <c r="K368" s="21">
        <v>-6.3201900000000005E-2</v>
      </c>
      <c r="L368">
        <f t="shared" si="60"/>
        <v>17.813209876543205</v>
      </c>
      <c r="M368">
        <f t="shared" si="61"/>
        <v>-1.1171305189135798</v>
      </c>
      <c r="N368" s="9"/>
      <c r="O368" s="21">
        <v>1.7027300000000001</v>
      </c>
      <c r="P368" s="21">
        <v>12.312099999999999</v>
      </c>
      <c r="Q368" s="21">
        <v>-3.3606E-3</v>
      </c>
      <c r="R368" s="21">
        <v>358</v>
      </c>
      <c r="S368" s="21">
        <v>1.7028799999999999</v>
      </c>
      <c r="T368">
        <f t="shared" si="62"/>
        <v>4.1488888888888882</v>
      </c>
      <c r="U368">
        <f t="shared" si="63"/>
        <v>7.0644375777777766</v>
      </c>
      <c r="X368" s="9"/>
      <c r="Y368" s="21">
        <v>-6.2713599999999994E-2</v>
      </c>
      <c r="Z368" s="21">
        <v>17.678999999999998</v>
      </c>
      <c r="AA368" s="21">
        <v>-1.44379E-2</v>
      </c>
      <c r="AB368" s="21">
        <v>358</v>
      </c>
      <c r="AC368" s="21">
        <v>-6.3110399999999997E-2</v>
      </c>
      <c r="AD368">
        <f t="shared" si="64"/>
        <v>17.824567901234566</v>
      </c>
      <c r="AE368">
        <f t="shared" si="65"/>
        <v>-1.117842821530864</v>
      </c>
      <c r="AF368" s="9"/>
      <c r="AG368" s="21">
        <v>1.7027300000000001</v>
      </c>
      <c r="AH368" s="21">
        <v>21.377300000000002</v>
      </c>
      <c r="AI368" s="21">
        <v>-3.42896E-3</v>
      </c>
      <c r="AJ368" s="21">
        <v>358</v>
      </c>
      <c r="AK368" s="21">
        <v>1.70258</v>
      </c>
      <c r="AL368">
        <f t="shared" si="66"/>
        <v>4.2332839506172837</v>
      </c>
      <c r="AM368">
        <f t="shared" si="67"/>
        <v>7.2081395812345681</v>
      </c>
      <c r="AP368" s="9"/>
      <c r="AQ368" s="21">
        <v>-6.2713599999999994E-2</v>
      </c>
      <c r="AR368" s="21">
        <v>26.7912</v>
      </c>
      <c r="AS368" s="21">
        <v>-1.44531E-2</v>
      </c>
      <c r="AT368" s="21">
        <v>358</v>
      </c>
      <c r="AU368" s="21">
        <v>-6.3354499999999994E-2</v>
      </c>
      <c r="AV368">
        <f t="shared" si="68"/>
        <v>17.843333333333334</v>
      </c>
      <c r="AW368">
        <f t="shared" si="69"/>
        <v>-1.1190196693333332</v>
      </c>
      <c r="AX368" s="9"/>
      <c r="AY368" s="21">
        <v>1.7027300000000001</v>
      </c>
      <c r="AZ368" s="21">
        <v>30.4895</v>
      </c>
      <c r="BA368" s="21">
        <v>-3.4423800000000001E-3</v>
      </c>
      <c r="BB368" s="21">
        <v>358</v>
      </c>
      <c r="BC368" s="21">
        <v>1.7022699999999999</v>
      </c>
      <c r="BD368">
        <f t="shared" si="70"/>
        <v>4.2498518518518518</v>
      </c>
      <c r="BE368">
        <f t="shared" si="71"/>
        <v>7.2363502437037042</v>
      </c>
    </row>
    <row r="369" spans="6:57" x14ac:dyDescent="0.25">
      <c r="F369" s="9"/>
      <c r="G369" s="21">
        <v>-6.7749000000000004E-2</v>
      </c>
      <c r="H369" s="21">
        <v>8.6238100000000006</v>
      </c>
      <c r="I369" s="21">
        <v>-1.44257E-2</v>
      </c>
      <c r="J369" s="21">
        <v>359</v>
      </c>
      <c r="K369" s="21">
        <v>-6.8267800000000003E-2</v>
      </c>
      <c r="L369">
        <f t="shared" si="60"/>
        <v>17.809506172839505</v>
      </c>
      <c r="M369">
        <f t="shared" si="61"/>
        <v>-1.2065762337037036</v>
      </c>
      <c r="N369" s="9"/>
      <c r="O369" s="21">
        <v>1.7077599999999999</v>
      </c>
      <c r="P369" s="21">
        <v>12.322100000000001</v>
      </c>
      <c r="Q369" s="21">
        <v>-2.3974600000000001E-3</v>
      </c>
      <c r="R369" s="21">
        <v>359</v>
      </c>
      <c r="S369" s="21">
        <v>1.70685</v>
      </c>
      <c r="T369">
        <f t="shared" si="62"/>
        <v>2.9598271604938269</v>
      </c>
      <c r="U369">
        <f t="shared" si="63"/>
        <v>5.0546744316049379</v>
      </c>
      <c r="X369" s="9"/>
      <c r="Y369" s="21">
        <v>-6.7749000000000004E-2</v>
      </c>
      <c r="Z369" s="21">
        <v>17.689</v>
      </c>
      <c r="AA369" s="21">
        <v>-1.4434799999999999E-2</v>
      </c>
      <c r="AB369" s="21">
        <v>359</v>
      </c>
      <c r="AC369" s="21">
        <v>-6.8145800000000006E-2</v>
      </c>
      <c r="AD369">
        <f t="shared" si="64"/>
        <v>17.820740740740739</v>
      </c>
      <c r="AE369">
        <f t="shared" si="65"/>
        <v>-1.2073373644444443</v>
      </c>
      <c r="AF369" s="9"/>
      <c r="AG369" s="21">
        <v>1.7077599999999999</v>
      </c>
      <c r="AH369" s="21">
        <v>21.3874</v>
      </c>
      <c r="AI369" s="21">
        <v>-2.4526999999999999E-3</v>
      </c>
      <c r="AJ369" s="21">
        <v>359</v>
      </c>
      <c r="AK369" s="21">
        <v>1.7071499999999999</v>
      </c>
      <c r="AL369">
        <f t="shared" si="66"/>
        <v>3.0280246913580244</v>
      </c>
      <c r="AM369">
        <f t="shared" si="67"/>
        <v>5.1711394469135801</v>
      </c>
      <c r="AP369" s="9"/>
      <c r="AQ369" s="21">
        <v>-6.7749000000000004E-2</v>
      </c>
      <c r="AR369" s="21">
        <v>26.801200000000001</v>
      </c>
      <c r="AS369" s="21">
        <v>-1.4468399999999999E-2</v>
      </c>
      <c r="AT369" s="21">
        <v>359</v>
      </c>
      <c r="AU369" s="21">
        <v>-6.8237300000000001E-2</v>
      </c>
      <c r="AV369">
        <f t="shared" si="68"/>
        <v>17.862222222222222</v>
      </c>
      <c r="AW369">
        <f t="shared" si="69"/>
        <v>-1.2101476933333333</v>
      </c>
      <c r="AX369" s="9"/>
      <c r="AY369" s="21">
        <v>1.7077599999999999</v>
      </c>
      <c r="AZ369" s="21">
        <v>30.499600000000001</v>
      </c>
      <c r="BA369" s="21">
        <v>-2.4533100000000002E-3</v>
      </c>
      <c r="BB369" s="21">
        <v>359</v>
      </c>
      <c r="BC369" s="21">
        <v>1.70685</v>
      </c>
      <c r="BD369">
        <f t="shared" si="70"/>
        <v>3.028777777777778</v>
      </c>
      <c r="BE369">
        <f t="shared" si="71"/>
        <v>5.1724255377777784</v>
      </c>
    </row>
    <row r="370" spans="6:57" x14ac:dyDescent="0.25">
      <c r="F370" s="9"/>
      <c r="G370" s="21">
        <v>-7.2784399999999999E-2</v>
      </c>
      <c r="H370" s="21">
        <v>8.6338799999999996</v>
      </c>
      <c r="I370" s="21">
        <v>-1.4422600000000001E-2</v>
      </c>
      <c r="J370" s="21">
        <v>360</v>
      </c>
      <c r="K370" s="21">
        <v>-7.3333700000000002E-2</v>
      </c>
      <c r="L370">
        <f t="shared" si="60"/>
        <v>17.805679012345678</v>
      </c>
      <c r="M370">
        <f t="shared" si="61"/>
        <v>-1.2959756635061728</v>
      </c>
      <c r="N370" s="9"/>
      <c r="O370" s="21">
        <v>1.7128000000000001</v>
      </c>
      <c r="P370" s="21">
        <v>12.3322</v>
      </c>
      <c r="Q370" s="21">
        <v>-1.24084E-3</v>
      </c>
      <c r="R370" s="21">
        <v>360</v>
      </c>
      <c r="S370" s="21">
        <v>1.71173</v>
      </c>
      <c r="T370">
        <f t="shared" si="62"/>
        <v>1.5319012345679011</v>
      </c>
      <c r="U370">
        <f t="shared" si="63"/>
        <v>2.6238404345679012</v>
      </c>
      <c r="X370" s="9"/>
      <c r="Y370" s="21">
        <v>-7.2784399999999999E-2</v>
      </c>
      <c r="Z370" s="21">
        <v>17.699100000000001</v>
      </c>
      <c r="AA370" s="21">
        <v>-1.4434799999999999E-2</v>
      </c>
      <c r="AB370" s="21">
        <v>360</v>
      </c>
      <c r="AC370" s="21">
        <v>-7.3211700000000005E-2</v>
      </c>
      <c r="AD370">
        <f t="shared" si="64"/>
        <v>17.820740740740739</v>
      </c>
      <c r="AE370">
        <f t="shared" si="65"/>
        <v>-1.2970719223703702</v>
      </c>
      <c r="AF370" s="9"/>
      <c r="AG370" s="21">
        <v>1.7128000000000001</v>
      </c>
      <c r="AH370" s="21">
        <v>21.397400000000001</v>
      </c>
      <c r="AI370" s="21">
        <v>-1.2881500000000001E-3</v>
      </c>
      <c r="AJ370" s="21">
        <v>360</v>
      </c>
      <c r="AK370" s="21">
        <v>1.71234</v>
      </c>
      <c r="AL370">
        <f t="shared" si="66"/>
        <v>1.5903086419753085</v>
      </c>
      <c r="AM370">
        <f t="shared" si="67"/>
        <v>2.7238806419753088</v>
      </c>
      <c r="AP370" s="9"/>
      <c r="AQ370" s="21">
        <v>-7.2784399999999999E-2</v>
      </c>
      <c r="AR370" s="21">
        <v>26.811299999999999</v>
      </c>
      <c r="AS370" s="21">
        <v>-1.4477500000000001E-2</v>
      </c>
      <c r="AT370" s="21">
        <v>360</v>
      </c>
      <c r="AU370" s="21">
        <v>-7.3272699999999996E-2</v>
      </c>
      <c r="AV370">
        <f t="shared" si="68"/>
        <v>17.873456790123456</v>
      </c>
      <c r="AW370">
        <f t="shared" si="69"/>
        <v>-1.3009088283950616</v>
      </c>
      <c r="AX370" s="9"/>
      <c r="AY370" s="21">
        <v>1.7128000000000001</v>
      </c>
      <c r="AZ370" s="21">
        <v>30.509699999999999</v>
      </c>
      <c r="BA370" s="21">
        <v>-1.2429800000000001E-3</v>
      </c>
      <c r="BB370" s="21">
        <v>360</v>
      </c>
      <c r="BC370" s="21">
        <v>1.71204</v>
      </c>
      <c r="BD370">
        <f t="shared" si="70"/>
        <v>1.5345432098765432</v>
      </c>
      <c r="BE370">
        <f t="shared" si="71"/>
        <v>2.6283656098765436</v>
      </c>
    </row>
    <row r="371" spans="6:57" x14ac:dyDescent="0.25">
      <c r="F371" s="9"/>
      <c r="G371" s="21">
        <v>-7.7819799999999995E-2</v>
      </c>
      <c r="H371" s="21">
        <v>8.6439500000000002</v>
      </c>
      <c r="I371" s="21">
        <v>-1.44165E-2</v>
      </c>
      <c r="J371" s="21">
        <v>361</v>
      </c>
      <c r="K371" s="21">
        <v>-7.8277600000000003E-2</v>
      </c>
      <c r="L371">
        <f t="shared" si="60"/>
        <v>17.798148148148147</v>
      </c>
      <c r="M371">
        <f t="shared" si="61"/>
        <v>-1.385048329259259</v>
      </c>
      <c r="N371" s="9"/>
      <c r="O371" s="21">
        <v>1.71783</v>
      </c>
      <c r="P371" s="21">
        <v>12.3423</v>
      </c>
      <c r="Q371" s="21">
        <v>1.5048199999999999E-4</v>
      </c>
      <c r="R371" s="21">
        <v>361</v>
      </c>
      <c r="S371" s="21">
        <v>1.71692</v>
      </c>
      <c r="T371">
        <f t="shared" si="62"/>
        <v>-0.18578024691358022</v>
      </c>
      <c r="U371">
        <f t="shared" si="63"/>
        <v>-0.31913888155555553</v>
      </c>
      <c r="X371" s="9"/>
      <c r="Y371" s="21">
        <v>-7.7819799999999995E-2</v>
      </c>
      <c r="Z371" s="21">
        <v>17.709199999999999</v>
      </c>
      <c r="AA371" s="21">
        <v>-1.44318E-2</v>
      </c>
      <c r="AB371" s="21">
        <v>361</v>
      </c>
      <c r="AC371" s="21">
        <v>-7.8277600000000003E-2</v>
      </c>
      <c r="AD371">
        <f t="shared" si="64"/>
        <v>17.817037037037036</v>
      </c>
      <c r="AE371">
        <f t="shared" si="65"/>
        <v>-1.3865182588148146</v>
      </c>
      <c r="AF371" s="9"/>
      <c r="AG371" s="21">
        <v>1.71783</v>
      </c>
      <c r="AH371" s="21">
        <v>21.407499999999999</v>
      </c>
      <c r="AI371" s="21">
        <v>1.06537E-4</v>
      </c>
      <c r="AJ371" s="21">
        <v>361</v>
      </c>
      <c r="AK371" s="21">
        <v>1.71692</v>
      </c>
      <c r="AL371">
        <f t="shared" si="66"/>
        <v>-0.13152716049382715</v>
      </c>
      <c r="AM371">
        <f t="shared" si="67"/>
        <v>-0.22594130211111108</v>
      </c>
      <c r="AP371" s="9"/>
      <c r="AQ371" s="21">
        <v>-7.7819799999999995E-2</v>
      </c>
      <c r="AR371" s="21">
        <v>26.821400000000001</v>
      </c>
      <c r="AS371" s="21">
        <v>-1.4489699999999999E-2</v>
      </c>
      <c r="AT371" s="21">
        <v>361</v>
      </c>
      <c r="AU371" s="21">
        <v>-7.8277600000000003E-2</v>
      </c>
      <c r="AV371">
        <f t="shared" si="68"/>
        <v>17.888518518518516</v>
      </c>
      <c r="AW371">
        <f t="shared" si="69"/>
        <v>-1.3920809334074071</v>
      </c>
      <c r="AX371" s="9"/>
      <c r="AY371" s="21">
        <v>1.71783</v>
      </c>
      <c r="AZ371" s="21">
        <v>30.5197</v>
      </c>
      <c r="BA371" s="21">
        <v>2.40936E-4</v>
      </c>
      <c r="BB371" s="21">
        <v>361</v>
      </c>
      <c r="BC371" s="21">
        <v>1.71753</v>
      </c>
      <c r="BD371">
        <f t="shared" si="70"/>
        <v>-0.2974518518518518</v>
      </c>
      <c r="BE371">
        <f t="shared" si="71"/>
        <v>-0.51097171466666658</v>
      </c>
    </row>
    <row r="372" spans="6:57" x14ac:dyDescent="0.25">
      <c r="F372" s="9"/>
      <c r="G372" s="21">
        <v>-8.2855200000000004E-2</v>
      </c>
      <c r="H372" s="21">
        <v>8.6540199999999992</v>
      </c>
      <c r="I372" s="21">
        <v>-1.4419599999999999E-2</v>
      </c>
      <c r="J372" s="21">
        <v>362</v>
      </c>
      <c r="K372" s="21">
        <v>-8.3282499999999995E-2</v>
      </c>
      <c r="L372">
        <f t="shared" si="60"/>
        <v>17.801975308641975</v>
      </c>
      <c r="M372">
        <f t="shared" si="61"/>
        <v>-1.4749862245925927</v>
      </c>
      <c r="N372" s="9"/>
      <c r="O372" s="21">
        <v>1.7228699999999999</v>
      </c>
      <c r="P372" s="21">
        <v>12.352399999999999</v>
      </c>
      <c r="Q372" s="21">
        <v>1.81946E-3</v>
      </c>
      <c r="R372" s="21">
        <v>362</v>
      </c>
      <c r="S372" s="21">
        <v>1.72272</v>
      </c>
      <c r="T372">
        <f t="shared" si="62"/>
        <v>-2.2462469135802463</v>
      </c>
      <c r="U372">
        <f t="shared" si="63"/>
        <v>-3.8699914199999985</v>
      </c>
      <c r="X372" s="9"/>
      <c r="Y372" s="21">
        <v>-8.2855200000000004E-2</v>
      </c>
      <c r="Z372" s="21">
        <v>17.719200000000001</v>
      </c>
      <c r="AA372" s="21">
        <v>-1.4422600000000001E-2</v>
      </c>
      <c r="AB372" s="21">
        <v>362</v>
      </c>
      <c r="AC372" s="21">
        <v>-8.3374000000000004E-2</v>
      </c>
      <c r="AD372">
        <f t="shared" si="64"/>
        <v>17.805679012345678</v>
      </c>
      <c r="AE372">
        <f t="shared" si="65"/>
        <v>-1.4752930957037036</v>
      </c>
      <c r="AF372" s="9"/>
      <c r="AG372" s="21">
        <v>1.7228699999999999</v>
      </c>
      <c r="AH372" s="21">
        <v>21.4176</v>
      </c>
      <c r="AI372" s="21">
        <v>1.76636E-3</v>
      </c>
      <c r="AJ372" s="21">
        <v>362</v>
      </c>
      <c r="AK372" s="21">
        <v>1.72272</v>
      </c>
      <c r="AL372">
        <f t="shared" si="66"/>
        <v>-2.1806913580246912</v>
      </c>
      <c r="AM372">
        <f t="shared" si="67"/>
        <v>-3.7570477199999996</v>
      </c>
      <c r="AP372" s="9"/>
      <c r="AQ372" s="21">
        <v>-8.2855200000000004E-2</v>
      </c>
      <c r="AR372" s="21">
        <v>26.831499999999998</v>
      </c>
      <c r="AS372" s="21">
        <v>-1.4501999999999999E-2</v>
      </c>
      <c r="AT372" s="21">
        <v>362</v>
      </c>
      <c r="AU372" s="21">
        <v>-8.3404500000000006E-2</v>
      </c>
      <c r="AV372">
        <f t="shared" si="68"/>
        <v>17.903703703703702</v>
      </c>
      <c r="AW372">
        <f t="shared" si="69"/>
        <v>-1.483414951111111</v>
      </c>
      <c r="AX372" s="9"/>
      <c r="AY372" s="21">
        <v>1.7228699999999999</v>
      </c>
      <c r="AZ372" s="21">
        <v>30.529800000000002</v>
      </c>
      <c r="BA372" s="21">
        <v>1.9915800000000002E-3</v>
      </c>
      <c r="BB372" s="21">
        <v>362</v>
      </c>
      <c r="BC372" s="21">
        <v>1.7218</v>
      </c>
      <c r="BD372">
        <f t="shared" si="70"/>
        <v>-2.4587407407407409</v>
      </c>
      <c r="BE372">
        <f t="shared" si="71"/>
        <v>-4.2360906600000003</v>
      </c>
    </row>
    <row r="373" spans="6:57" x14ac:dyDescent="0.25">
      <c r="F373" s="9"/>
      <c r="G373" s="21">
        <v>-8.7890599999999999E-2</v>
      </c>
      <c r="H373" s="21">
        <v>8.6640899999999998</v>
      </c>
      <c r="I373" s="21">
        <v>-1.44257E-2</v>
      </c>
      <c r="J373" s="21">
        <v>363</v>
      </c>
      <c r="K373" s="21">
        <v>-8.8348399999999994E-2</v>
      </c>
      <c r="L373">
        <f t="shared" si="60"/>
        <v>17.809506172839505</v>
      </c>
      <c r="M373">
        <f t="shared" si="61"/>
        <v>-1.5652881832345678</v>
      </c>
      <c r="N373" s="9"/>
      <c r="O373" s="21">
        <v>1.7279100000000001</v>
      </c>
      <c r="P373" s="21">
        <v>12.362399999999999</v>
      </c>
      <c r="Q373" s="21">
        <v>3.7380999999999998E-3</v>
      </c>
      <c r="R373" s="21">
        <v>363</v>
      </c>
      <c r="S373" s="21">
        <v>1.72699</v>
      </c>
      <c r="T373">
        <f t="shared" si="62"/>
        <v>-4.6149382716049381</v>
      </c>
      <c r="U373">
        <f t="shared" si="63"/>
        <v>-7.9741979888888892</v>
      </c>
      <c r="X373" s="9"/>
      <c r="Y373" s="21">
        <v>-8.7890599999999999E-2</v>
      </c>
      <c r="Z373" s="21">
        <v>17.729299999999999</v>
      </c>
      <c r="AA373" s="21">
        <v>-1.44165E-2</v>
      </c>
      <c r="AB373" s="21">
        <v>363</v>
      </c>
      <c r="AC373" s="21">
        <v>-8.8378899999999996E-2</v>
      </c>
      <c r="AD373">
        <f t="shared" si="64"/>
        <v>17.798148148148147</v>
      </c>
      <c r="AE373">
        <f t="shared" si="65"/>
        <v>-1.5642899196296296</v>
      </c>
      <c r="AF373" s="9"/>
      <c r="AG373" s="21">
        <v>1.7279100000000001</v>
      </c>
      <c r="AH373" s="21">
        <v>21.427600000000002</v>
      </c>
      <c r="AI373" s="21">
        <v>3.68805E-3</v>
      </c>
      <c r="AJ373" s="21">
        <v>363</v>
      </c>
      <c r="AK373" s="21">
        <v>1.7276</v>
      </c>
      <c r="AL373">
        <f t="shared" si="66"/>
        <v>-4.5531481481481482</v>
      </c>
      <c r="AM373">
        <f t="shared" si="67"/>
        <v>-7.8674302166666665</v>
      </c>
      <c r="AP373" s="9"/>
      <c r="AQ373" s="21">
        <v>-8.7890599999999999E-2</v>
      </c>
      <c r="AR373" s="21">
        <v>26.8415</v>
      </c>
      <c r="AS373" s="21">
        <v>-1.4505000000000001E-2</v>
      </c>
      <c r="AT373" s="21">
        <v>363</v>
      </c>
      <c r="AU373" s="21">
        <v>-8.8409399999999999E-2</v>
      </c>
      <c r="AV373">
        <f t="shared" si="68"/>
        <v>17.907407407407408</v>
      </c>
      <c r="AW373">
        <f t="shared" si="69"/>
        <v>-1.5738927814814816</v>
      </c>
      <c r="AX373" s="9"/>
      <c r="AY373" s="21">
        <v>1.7279100000000001</v>
      </c>
      <c r="AZ373" s="21">
        <v>30.539899999999999</v>
      </c>
      <c r="BA373" s="21">
        <v>4.0225199999999999E-3</v>
      </c>
      <c r="BB373" s="21">
        <v>363</v>
      </c>
      <c r="BC373" s="21">
        <v>1.72729</v>
      </c>
      <c r="BD373">
        <f t="shared" si="70"/>
        <v>-4.966074074074073</v>
      </c>
      <c r="BE373">
        <f t="shared" si="71"/>
        <v>-8.5809290533333318</v>
      </c>
    </row>
    <row r="374" spans="6:57" x14ac:dyDescent="0.25">
      <c r="F374" s="9"/>
      <c r="G374" s="21">
        <v>-9.2925999999999995E-2</v>
      </c>
      <c r="H374" s="21">
        <v>8.6741700000000002</v>
      </c>
      <c r="I374" s="21">
        <v>-1.44409E-2</v>
      </c>
      <c r="J374" s="21">
        <v>364</v>
      </c>
      <c r="K374" s="21">
        <v>-9.3444799999999995E-2</v>
      </c>
      <c r="L374">
        <f t="shared" si="60"/>
        <v>17.828271604938269</v>
      </c>
      <c r="M374">
        <f t="shared" si="61"/>
        <v>-1.6567099671604935</v>
      </c>
      <c r="N374" s="9"/>
      <c r="O374" s="21">
        <v>1.7329399999999999</v>
      </c>
      <c r="P374" s="21">
        <v>12.3725</v>
      </c>
      <c r="Q374" s="21">
        <v>5.9021000000000004E-3</v>
      </c>
      <c r="R374" s="21">
        <v>364</v>
      </c>
      <c r="S374" s="21">
        <v>1.73248</v>
      </c>
      <c r="T374">
        <f t="shared" si="62"/>
        <v>-7.2865432098765437</v>
      </c>
      <c r="U374">
        <f t="shared" si="63"/>
        <v>-12.627142190123458</v>
      </c>
      <c r="X374" s="9"/>
      <c r="Y374" s="21">
        <v>-9.2925999999999995E-2</v>
      </c>
      <c r="Z374" s="21">
        <v>17.7394</v>
      </c>
      <c r="AA374" s="21">
        <v>-1.4428699999999999E-2</v>
      </c>
      <c r="AB374" s="21">
        <v>364</v>
      </c>
      <c r="AC374" s="21">
        <v>-9.3414300000000006E-2</v>
      </c>
      <c r="AD374">
        <f t="shared" si="64"/>
        <v>17.813209876543205</v>
      </c>
      <c r="AE374">
        <f t="shared" si="65"/>
        <v>-1.6553103409876537</v>
      </c>
      <c r="AF374" s="9"/>
      <c r="AG374" s="21">
        <v>1.7329399999999999</v>
      </c>
      <c r="AH374" s="21">
        <v>21.4377</v>
      </c>
      <c r="AI374" s="21">
        <v>5.8929400000000002E-3</v>
      </c>
      <c r="AJ374" s="21">
        <v>364</v>
      </c>
      <c r="AK374" s="21">
        <v>1.73248</v>
      </c>
      <c r="AL374">
        <f t="shared" si="66"/>
        <v>-7.2752345679012338</v>
      </c>
      <c r="AM374">
        <f t="shared" si="67"/>
        <v>-12.607544992098763</v>
      </c>
      <c r="AP374" s="9"/>
      <c r="AQ374" s="21">
        <v>-9.2925999999999995E-2</v>
      </c>
      <c r="AR374" s="21">
        <v>26.851600000000001</v>
      </c>
      <c r="AS374" s="21">
        <v>-1.4508099999999999E-2</v>
      </c>
      <c r="AT374" s="21">
        <v>364</v>
      </c>
      <c r="AU374" s="21">
        <v>-9.3414300000000006E-2</v>
      </c>
      <c r="AV374">
        <f t="shared" si="68"/>
        <v>17.911234567901232</v>
      </c>
      <c r="AW374">
        <f t="shared" si="69"/>
        <v>-1.6644193834567897</v>
      </c>
      <c r="AX374" s="9"/>
      <c r="AY374" s="21">
        <v>1.7329399999999999</v>
      </c>
      <c r="AZ374" s="21">
        <v>30.549900000000001</v>
      </c>
      <c r="BA374" s="21">
        <v>6.32629E-3</v>
      </c>
      <c r="BB374" s="21">
        <v>364</v>
      </c>
      <c r="BC374" s="21">
        <v>1.7321800000000001</v>
      </c>
      <c r="BD374">
        <f t="shared" si="70"/>
        <v>-7.8102345679012339</v>
      </c>
      <c r="BE374">
        <f t="shared" si="71"/>
        <v>-13.534667892098764</v>
      </c>
    </row>
    <row r="375" spans="6:57" x14ac:dyDescent="0.25">
      <c r="F375" s="9"/>
      <c r="G375" s="21">
        <v>-9.7961400000000004E-2</v>
      </c>
      <c r="H375" s="21">
        <v>8.6842400000000008</v>
      </c>
      <c r="I375" s="21">
        <v>-1.4444E-2</v>
      </c>
      <c r="J375" s="21">
        <v>365</v>
      </c>
      <c r="K375" s="21">
        <v>-9.8480200000000004E-2</v>
      </c>
      <c r="L375">
        <f t="shared" si="60"/>
        <v>17.832098765432097</v>
      </c>
      <c r="M375">
        <f t="shared" si="61"/>
        <v>-1.7468573599999999</v>
      </c>
      <c r="N375" s="9"/>
      <c r="O375" s="21">
        <v>1.7379800000000001</v>
      </c>
      <c r="P375" s="21">
        <v>12.3826</v>
      </c>
      <c r="Q375" s="21">
        <v>8.2611100000000003E-3</v>
      </c>
      <c r="R375" s="21">
        <v>365</v>
      </c>
      <c r="S375" s="21">
        <v>1.73706</v>
      </c>
      <c r="T375">
        <f t="shared" si="62"/>
        <v>-10.198901234567902</v>
      </c>
      <c r="U375">
        <f t="shared" si="63"/>
        <v>-17.725486367654323</v>
      </c>
      <c r="X375" s="9"/>
      <c r="Y375" s="21">
        <v>-9.7961400000000004E-2</v>
      </c>
      <c r="Z375" s="21">
        <v>17.749400000000001</v>
      </c>
      <c r="AA375" s="21">
        <v>-1.4434799999999999E-2</v>
      </c>
      <c r="AB375" s="21">
        <v>365</v>
      </c>
      <c r="AC375" s="21">
        <v>-9.8388699999999996E-2</v>
      </c>
      <c r="AD375">
        <f t="shared" si="64"/>
        <v>17.820740740740739</v>
      </c>
      <c r="AE375">
        <f t="shared" si="65"/>
        <v>-1.7457447119999998</v>
      </c>
      <c r="AF375" s="9"/>
      <c r="AG375" s="21">
        <v>1.7379800000000001</v>
      </c>
      <c r="AH375" s="21">
        <v>21.447800000000001</v>
      </c>
      <c r="AI375" s="21">
        <v>8.2641599999999996E-3</v>
      </c>
      <c r="AJ375" s="21">
        <v>365</v>
      </c>
      <c r="AK375" s="21">
        <v>1.7373700000000001</v>
      </c>
      <c r="AL375">
        <f t="shared" si="66"/>
        <v>-10.202666666666666</v>
      </c>
      <c r="AM375">
        <f t="shared" si="67"/>
        <v>-17.732030613333333</v>
      </c>
      <c r="AP375" s="9"/>
      <c r="AQ375" s="21">
        <v>-9.7961400000000004E-2</v>
      </c>
      <c r="AR375" s="21">
        <v>26.861699999999999</v>
      </c>
      <c r="AS375" s="21">
        <v>-1.4501999999999999E-2</v>
      </c>
      <c r="AT375" s="21">
        <v>365</v>
      </c>
      <c r="AU375" s="21">
        <v>-9.8419199999999998E-2</v>
      </c>
      <c r="AV375">
        <f t="shared" si="68"/>
        <v>17.903703703703702</v>
      </c>
      <c r="AW375">
        <f t="shared" si="69"/>
        <v>-1.7538718799999999</v>
      </c>
      <c r="AX375" s="9"/>
      <c r="AY375" s="21">
        <v>1.7379800000000001</v>
      </c>
      <c r="AZ375" s="21">
        <v>30.56</v>
      </c>
      <c r="BA375" s="21">
        <v>8.8806200000000005E-3</v>
      </c>
      <c r="BB375" s="21">
        <v>365</v>
      </c>
      <c r="BC375" s="21">
        <v>1.73767</v>
      </c>
      <c r="BD375">
        <f t="shared" si="70"/>
        <v>-10.963728395061729</v>
      </c>
      <c r="BE375">
        <f t="shared" si="71"/>
        <v>-19.054740676049384</v>
      </c>
    </row>
    <row r="376" spans="6:57" x14ac:dyDescent="0.25">
      <c r="F376" s="9"/>
      <c r="G376" s="21">
        <v>-0.10299700000000001</v>
      </c>
      <c r="H376" s="21">
        <v>8.6943099999999998</v>
      </c>
      <c r="I376" s="21">
        <v>-1.4434799999999999E-2</v>
      </c>
      <c r="J376" s="21">
        <v>366</v>
      </c>
      <c r="K376" s="21">
        <v>-0.10348499999999999</v>
      </c>
      <c r="L376">
        <f t="shared" si="60"/>
        <v>17.820740740740739</v>
      </c>
      <c r="M376">
        <f t="shared" si="61"/>
        <v>-1.8354828340740739</v>
      </c>
      <c r="N376" s="9"/>
      <c r="O376" s="21">
        <v>1.7430099999999999</v>
      </c>
      <c r="P376" s="21">
        <v>12.3926</v>
      </c>
      <c r="Q376" s="21">
        <v>1.0791E-2</v>
      </c>
      <c r="R376" s="21">
        <v>366</v>
      </c>
      <c r="S376" s="21">
        <v>1.7422500000000001</v>
      </c>
      <c r="T376">
        <f t="shared" si="62"/>
        <v>-13.322222222222221</v>
      </c>
      <c r="U376">
        <f t="shared" si="63"/>
        <v>-23.220766555555553</v>
      </c>
      <c r="X376" s="9"/>
      <c r="Y376" s="21">
        <v>-0.10299700000000001</v>
      </c>
      <c r="Z376" s="21">
        <v>17.759499999999999</v>
      </c>
      <c r="AA376" s="21">
        <v>-1.4444E-2</v>
      </c>
      <c r="AB376" s="21">
        <v>366</v>
      </c>
      <c r="AC376" s="21">
        <v>-0.10363799999999999</v>
      </c>
      <c r="AD376">
        <f t="shared" si="64"/>
        <v>17.832098765432097</v>
      </c>
      <c r="AE376">
        <f t="shared" si="65"/>
        <v>-1.8366526765432099</v>
      </c>
      <c r="AF376" s="9"/>
      <c r="AG376" s="21">
        <v>1.7430099999999999</v>
      </c>
      <c r="AH376" s="21">
        <v>21.457899999999999</v>
      </c>
      <c r="AI376" s="21">
        <v>1.08673E-2</v>
      </c>
      <c r="AJ376" s="21">
        <v>366</v>
      </c>
      <c r="AK376" s="21">
        <v>1.74255</v>
      </c>
      <c r="AL376">
        <f t="shared" si="66"/>
        <v>-13.416419753086419</v>
      </c>
      <c r="AM376">
        <f t="shared" si="67"/>
        <v>-23.384953793827158</v>
      </c>
      <c r="AP376" s="9"/>
      <c r="AQ376" s="21">
        <v>-0.10299700000000001</v>
      </c>
      <c r="AR376" s="21">
        <v>26.871700000000001</v>
      </c>
      <c r="AS376" s="21">
        <v>-1.44989E-2</v>
      </c>
      <c r="AT376" s="21">
        <v>366</v>
      </c>
      <c r="AU376" s="21">
        <v>-0.10348499999999999</v>
      </c>
      <c r="AV376">
        <f t="shared" si="68"/>
        <v>17.899876543209874</v>
      </c>
      <c r="AW376">
        <f t="shared" si="69"/>
        <v>-1.8436335843209875</v>
      </c>
      <c r="AX376" s="9"/>
      <c r="AY376" s="21">
        <v>1.7430099999999999</v>
      </c>
      <c r="AZ376" s="21">
        <v>30.5701</v>
      </c>
      <c r="BA376" s="21">
        <v>1.1639399999999999E-2</v>
      </c>
      <c r="BB376" s="21">
        <v>366</v>
      </c>
      <c r="BC376" s="21">
        <v>1.7422500000000001</v>
      </c>
      <c r="BD376">
        <f t="shared" si="70"/>
        <v>-14.369629629629628</v>
      </c>
      <c r="BE376">
        <f t="shared" si="71"/>
        <v>-25.046408140740738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2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24A6D-FF01-4255-AB55-CA0EE9415887}">
  <dimension ref="A1:FH38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17574.542999986013</v>
      </c>
      <c r="H2" s="2"/>
      <c r="I2" s="6" t="s">
        <v>12</v>
      </c>
      <c r="J2" s="2"/>
      <c r="K2" s="7" t="s">
        <v>13</v>
      </c>
      <c r="L2" s="3">
        <f>L4*I6*L9/100*100</f>
        <v>12.247588331481481</v>
      </c>
      <c r="M2" s="8" t="s">
        <v>14</v>
      </c>
      <c r="N2" s="9"/>
      <c r="O2" s="2">
        <f>ABS(S7-S6)/ABS(T7-T6)*1000</f>
        <v>1334.8392387096064</v>
      </c>
      <c r="P2" s="2"/>
      <c r="Q2" s="6" t="s">
        <v>15</v>
      </c>
      <c r="R2" s="2"/>
      <c r="S2" s="7" t="s">
        <v>13</v>
      </c>
      <c r="T2" s="3">
        <f>T4*Q6*T9/100*100</f>
        <v>12.233601177777777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1.72363</v>
      </c>
      <c r="J3" s="2"/>
      <c r="K3" s="10">
        <f>INDEX(L11:L1056,MATCH(I3,K11:K1056,0))</f>
        <v>-5.2030617283950607E-2</v>
      </c>
      <c r="L3" s="26" t="s">
        <v>16</v>
      </c>
      <c r="M3" s="11">
        <f>M9</f>
        <v>12.247588331481481</v>
      </c>
      <c r="N3" s="9"/>
      <c r="O3" s="2" t="s">
        <v>44</v>
      </c>
      <c r="P3" s="2"/>
      <c r="Q3" s="2">
        <f>INDEX(S11:S1056,MATCH(0,T11:T1056,-1))</f>
        <v>1.7218</v>
      </c>
      <c r="R3" s="2"/>
      <c r="S3" s="10">
        <f>INDEX(T11:T1056,MATCH(Q3,S11:S1056,0))</f>
        <v>0.12056333333333333</v>
      </c>
      <c r="T3" s="26" t="s">
        <v>16</v>
      </c>
      <c r="U3" s="11">
        <f>U9</f>
        <v>12.233601177777777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6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6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6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6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37.413430331115649</v>
      </c>
      <c r="H4" s="2"/>
      <c r="I4" s="2">
        <f>INDEX(K11:K1000,1+MATCH(0,L11:L856,1))</f>
        <v>1.71875</v>
      </c>
      <c r="J4" s="2"/>
      <c r="K4" s="10">
        <f>INDEX(L11:L1056,MATCH(I4,K11:K1056,0))</f>
        <v>7.8403827160493808E-2</v>
      </c>
      <c r="L4" s="25">
        <f>M3/(I6*L9)</f>
        <v>0.41671152322301885</v>
      </c>
      <c r="M4" s="8" t="s">
        <v>17</v>
      </c>
      <c r="N4" s="9"/>
      <c r="O4" s="2">
        <f>ABS(Q3-Q4)/ABS(S3-S4)*1000</f>
        <v>47.404863646482461</v>
      </c>
      <c r="P4" s="2"/>
      <c r="Q4" s="2">
        <f>INDEX(S11:S856,1+MATCH(0,T11:T856,-1))</f>
        <v>1.7279100000000001</v>
      </c>
      <c r="R4" s="2"/>
      <c r="S4" s="10">
        <f>INDEX(T11:T856,MATCH(Q4,S11:S856,0))</f>
        <v>-8.3263950617283936E-3</v>
      </c>
      <c r="T4" s="25">
        <f>U3/(Q6*T9)</f>
        <v>0.42088131146803348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11.668259259259258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11.78506172839506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1.7216833561251619</v>
      </c>
      <c r="J6" s="25"/>
      <c r="K6" s="2">
        <f>INDEX(K11:K1056,MATCH(L6,L11:L1056,0))</f>
        <v>2.1697999999999999E-3</v>
      </c>
      <c r="L6" s="10">
        <f>INDEX(L11:L1056,MATCH(0,K11:K1056,-1))</f>
        <v>17.070987654320987</v>
      </c>
      <c r="M6" s="8" t="s">
        <v>22</v>
      </c>
      <c r="N6" s="9"/>
      <c r="O6" s="2"/>
      <c r="P6" s="2"/>
      <c r="Q6" s="27">
        <f>(Q3-Q4)/(S3-S4)*(-S4)+Q4</f>
        <v>1.7275152883774321</v>
      </c>
      <c r="R6" s="27"/>
      <c r="S6" s="2">
        <f>INDEX(S11:S1056,MATCH(T6,T11:T1056,0))</f>
        <v>-4.4586199999999999E-3</v>
      </c>
      <c r="T6" s="10">
        <f>INDEX(T11:T1056,MATCH(0,S11:S1056,1))</f>
        <v>16.822345679012344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6.7260700000000007E-2</v>
      </c>
      <c r="L7" s="10">
        <f>INDEX(L11:L856,1+MATCH(0,K11:K856,-1))</f>
        <v>17.067283950617281</v>
      </c>
      <c r="M7" s="12">
        <f>INDEX(K11:K1056,MATCH(M9,M11:M1056,0))</f>
        <v>1.0488900000000001</v>
      </c>
      <c r="N7" s="9"/>
      <c r="O7" s="2"/>
      <c r="P7" s="2"/>
      <c r="Q7" s="2"/>
      <c r="R7" s="2"/>
      <c r="S7" s="2">
        <f>INDEX(S11:S1056,MATCH(T7,T11:T1056,0))</f>
        <v>6.5002400000000002E-4</v>
      </c>
      <c r="T7" s="10">
        <f>INDEX(T11:T1056,1+MATCH(0,S11:S1056,1))</f>
        <v>16.826172839506171</v>
      </c>
      <c r="U7" s="12">
        <f>INDEX(S11:S1056,MATCH(U9,U11:U1056,0))</f>
        <v>1.03729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0.11420332987312515</v>
      </c>
      <c r="J9" s="2"/>
      <c r="K9" s="2"/>
      <c r="L9" s="3">
        <f>(L6-L7)/(K6-K7)*(-K7)+L7</f>
        <v>17.071111116990828</v>
      </c>
      <c r="M9" s="15">
        <f>MAX(M11:M1056)</f>
        <v>12.247588331481481</v>
      </c>
      <c r="N9" s="9"/>
      <c r="O9" s="2"/>
      <c r="P9" s="2"/>
      <c r="Q9" s="2"/>
      <c r="R9" s="2"/>
      <c r="S9" s="2"/>
      <c r="T9" s="3">
        <f>(T6-T7)/(S6-S7)*(-S7)+T7</f>
        <v>16.825685871501971</v>
      </c>
      <c r="U9" s="15">
        <f>MAX(U11:U1056)</f>
        <v>12.233601177777777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-0.38751161820123453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-0.38597431540617277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1.7216833561251619</v>
      </c>
      <c r="B11" s="18">
        <f>IFERROR(L9,0)</f>
        <v>17.071111116990828</v>
      </c>
      <c r="C11" s="19">
        <f>IFERROR(L4,0)</f>
        <v>0.41671152322301885</v>
      </c>
      <c r="D11" s="20">
        <f>IFERROR(L2,0)</f>
        <v>12.247588331481481</v>
      </c>
      <c r="E11" s="20">
        <f>IFERROR(I9,0)</f>
        <v>0.11420332987312515</v>
      </c>
      <c r="F11" s="9"/>
      <c r="G11" s="21">
        <v>1.7948900000000001</v>
      </c>
      <c r="H11" s="21">
        <v>5.0913899999999996</v>
      </c>
      <c r="I11" s="21">
        <v>1.60187E-3</v>
      </c>
      <c r="J11" s="21">
        <v>1</v>
      </c>
      <c r="K11" s="21">
        <v>1.79443</v>
      </c>
      <c r="L11">
        <f>-I11/$F$2*1000</f>
        <v>-1.977617283950617</v>
      </c>
      <c r="M11">
        <f>L11*G11</f>
        <v>-3.549605486790123</v>
      </c>
      <c r="N11" s="9"/>
      <c r="O11" s="21">
        <v>-9.49097E-2</v>
      </c>
      <c r="P11" s="21">
        <v>8.9105799999999995</v>
      </c>
      <c r="Q11" s="21">
        <v>-1.3424699999999999E-2</v>
      </c>
      <c r="R11" s="21">
        <v>1</v>
      </c>
      <c r="S11" s="21">
        <v>-9.5336900000000002E-2</v>
      </c>
      <c r="T11">
        <f>-Q11/$F$2*1000</f>
        <v>16.5737037037037</v>
      </c>
      <c r="U11">
        <f>T11*O11</f>
        <v>-1.5730052464074071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1.7275152883774321</v>
      </c>
      <c r="B12" s="18">
        <f>IFERROR(T9,0)</f>
        <v>16.825685871501971</v>
      </c>
      <c r="C12" s="19">
        <f>IFERROR(T4,0)</f>
        <v>0.42088131146803348</v>
      </c>
      <c r="D12" s="20">
        <f>IFERROR(T2,0)</f>
        <v>12.233601177777777</v>
      </c>
      <c r="E12" s="20"/>
      <c r="F12" s="9"/>
      <c r="G12" s="21">
        <v>1.78986</v>
      </c>
      <c r="H12" s="21">
        <v>5.1014600000000003</v>
      </c>
      <c r="I12" s="21">
        <v>1.4804099999999999E-3</v>
      </c>
      <c r="J12" s="21">
        <v>2</v>
      </c>
      <c r="K12" s="21">
        <v>1.78955</v>
      </c>
      <c r="L12">
        <f t="shared" ref="L12:L75" si="0">-I12/$F$2*1000</f>
        <v>-1.8276666666666666</v>
      </c>
      <c r="M12">
        <f t="shared" ref="M12:M75" si="1">L12*G12</f>
        <v>-3.2712674599999998</v>
      </c>
      <c r="N12" s="9"/>
      <c r="O12" s="21">
        <v>-8.9874300000000004E-2</v>
      </c>
      <c r="P12" s="21">
        <v>8.9206500000000002</v>
      </c>
      <c r="Q12" s="21">
        <v>-1.3458299999999999E-2</v>
      </c>
      <c r="R12" s="21">
        <v>2</v>
      </c>
      <c r="S12" s="21">
        <v>-9.0301500000000007E-2</v>
      </c>
      <c r="T12">
        <f t="shared" ref="T12:T75" si="2">-Q12/$F$2*1000</f>
        <v>16.615185185185183</v>
      </c>
      <c r="U12">
        <f t="shared" ref="U12:U75" si="3">T12*O12</f>
        <v>-1.4932781378888889</v>
      </c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>
        <v>1.7848200000000001</v>
      </c>
      <c r="H13" s="21">
        <v>5.1115300000000001</v>
      </c>
      <c r="I13" s="21">
        <v>1.3613900000000001E-3</v>
      </c>
      <c r="J13" s="21">
        <v>3</v>
      </c>
      <c r="K13" s="21">
        <v>1.78406</v>
      </c>
      <c r="L13">
        <f t="shared" si="0"/>
        <v>-1.6807283950617284</v>
      </c>
      <c r="M13">
        <f t="shared" si="1"/>
        <v>-2.9997976540740741</v>
      </c>
      <c r="N13" s="9"/>
      <c r="O13" s="21">
        <v>-8.4838899999999995E-2</v>
      </c>
      <c r="P13" s="21">
        <v>8.9307200000000009</v>
      </c>
      <c r="Q13" s="21">
        <v>-1.34857E-2</v>
      </c>
      <c r="R13" s="21">
        <v>3</v>
      </c>
      <c r="S13" s="21">
        <v>-8.5266099999999997E-2</v>
      </c>
      <c r="T13">
        <f t="shared" si="2"/>
        <v>16.649012345679012</v>
      </c>
      <c r="U13">
        <f t="shared" si="3"/>
        <v>-1.4124838934938271</v>
      </c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>
        <v>1.77979</v>
      </c>
      <c r="H14" s="21">
        <v>5.1216100000000004</v>
      </c>
      <c r="I14" s="21">
        <v>1.2426799999999999E-3</v>
      </c>
      <c r="J14" s="21">
        <v>4</v>
      </c>
      <c r="K14" s="21">
        <v>1.77948</v>
      </c>
      <c r="L14">
        <f t="shared" si="0"/>
        <v>-1.5341728395061727</v>
      </c>
      <c r="M14">
        <f t="shared" si="1"/>
        <v>-2.7305054780246909</v>
      </c>
      <c r="N14" s="9"/>
      <c r="O14" s="21">
        <v>-7.9803499999999999E-2</v>
      </c>
      <c r="P14" s="21">
        <v>8.9407899999999998</v>
      </c>
      <c r="Q14" s="21">
        <v>-1.35193E-2</v>
      </c>
      <c r="R14" s="21">
        <v>4</v>
      </c>
      <c r="S14" s="21">
        <v>-8.0230700000000002E-2</v>
      </c>
      <c r="T14">
        <f t="shared" si="2"/>
        <v>16.690493827160495</v>
      </c>
      <c r="U14">
        <f t="shared" si="3"/>
        <v>-1.3319598241358026</v>
      </c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>
        <v>1.77475</v>
      </c>
      <c r="H15" s="21">
        <v>5.1316800000000002</v>
      </c>
      <c r="I15" s="21">
        <v>1.1279300000000001E-3</v>
      </c>
      <c r="J15" s="21">
        <v>5</v>
      </c>
      <c r="K15" s="21">
        <v>1.77399</v>
      </c>
      <c r="L15">
        <f t="shared" si="0"/>
        <v>-1.3925061728395061</v>
      </c>
      <c r="M15">
        <f t="shared" si="1"/>
        <v>-2.4713503302469135</v>
      </c>
      <c r="N15" s="9"/>
      <c r="O15" s="21">
        <v>-7.4768100000000004E-2</v>
      </c>
      <c r="P15" s="21">
        <v>8.9508600000000005</v>
      </c>
      <c r="Q15" s="21">
        <v>-1.35345E-2</v>
      </c>
      <c r="R15" s="21">
        <v>5</v>
      </c>
      <c r="S15" s="21">
        <v>-7.5164800000000004E-2</v>
      </c>
      <c r="T15">
        <f t="shared" si="2"/>
        <v>16.709259259259255</v>
      </c>
      <c r="U15">
        <f t="shared" si="3"/>
        <v>-1.2493195672222219</v>
      </c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>
        <v>1.7697099999999999</v>
      </c>
      <c r="H16" s="21">
        <v>5.14175</v>
      </c>
      <c r="I16" s="21">
        <v>1.0171500000000001E-3</v>
      </c>
      <c r="J16" s="21">
        <v>6</v>
      </c>
      <c r="K16" s="21">
        <v>1.7690999999999999</v>
      </c>
      <c r="L16">
        <f t="shared" si="0"/>
        <v>-1.2557407407407408</v>
      </c>
      <c r="M16">
        <f t="shared" si="1"/>
        <v>-2.2222969462962965</v>
      </c>
      <c r="N16" s="9"/>
      <c r="O16" s="21">
        <v>-6.9732699999999995E-2</v>
      </c>
      <c r="P16" s="21">
        <v>8.9609400000000008</v>
      </c>
      <c r="Q16" s="21">
        <v>-1.3543700000000001E-2</v>
      </c>
      <c r="R16" s="21">
        <v>6</v>
      </c>
      <c r="S16" s="21">
        <v>-7.01904E-2</v>
      </c>
      <c r="T16">
        <f t="shared" si="2"/>
        <v>16.720617283950617</v>
      </c>
      <c r="U16">
        <f t="shared" si="3"/>
        <v>-1.1659737888765431</v>
      </c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5.1518199999999998</v>
      </c>
      <c r="I17" s="21">
        <v>9.0606699999999998E-4</v>
      </c>
      <c r="J17" s="21">
        <v>7</v>
      </c>
      <c r="K17" s="21">
        <v>1.7639199999999999</v>
      </c>
      <c r="L17">
        <f t="shared" si="0"/>
        <v>-1.1186012345679013</v>
      </c>
      <c r="M17">
        <f t="shared" si="1"/>
        <v>-1.973973226617284</v>
      </c>
      <c r="N17" s="9"/>
      <c r="O17" s="21">
        <v>-6.4697299999999999E-2</v>
      </c>
      <c r="P17" s="21">
        <v>8.9710099999999997</v>
      </c>
      <c r="Q17" s="21">
        <v>-1.3546799999999999E-2</v>
      </c>
      <c r="R17" s="21">
        <v>7</v>
      </c>
      <c r="S17" s="21">
        <v>-6.5093999999999999E-2</v>
      </c>
      <c r="T17">
        <f t="shared" si="2"/>
        <v>16.72444444444444</v>
      </c>
      <c r="U17">
        <f t="shared" si="3"/>
        <v>-1.0820263995555552</v>
      </c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5.1618899999999996</v>
      </c>
      <c r="I18" s="21">
        <v>7.9437300000000002E-4</v>
      </c>
      <c r="J18" s="21">
        <v>8</v>
      </c>
      <c r="K18" s="21">
        <v>1.7590300000000001</v>
      </c>
      <c r="L18">
        <f t="shared" si="0"/>
        <v>-0.98070740740740747</v>
      </c>
      <c r="M18">
        <f t="shared" si="1"/>
        <v>-1.7256919823703705</v>
      </c>
      <c r="N18" s="9"/>
      <c r="O18" s="21">
        <v>-5.9661899999999997E-2</v>
      </c>
      <c r="P18" s="21">
        <v>8.9810800000000004</v>
      </c>
      <c r="Q18" s="21">
        <v>-1.3559E-2</v>
      </c>
      <c r="R18" s="21">
        <v>8</v>
      </c>
      <c r="S18" s="21">
        <v>-6.0089099999999999E-2</v>
      </c>
      <c r="T18">
        <f t="shared" si="2"/>
        <v>16.739506172839505</v>
      </c>
      <c r="U18">
        <f t="shared" si="3"/>
        <v>-0.99871074333333321</v>
      </c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5.1719600000000003</v>
      </c>
      <c r="I19" s="21">
        <v>6.8512E-4</v>
      </c>
      <c r="J19" s="21">
        <v>9</v>
      </c>
      <c r="K19" s="21">
        <v>1.7541500000000001</v>
      </c>
      <c r="L19">
        <f t="shared" si="0"/>
        <v>-0.845827160493827</v>
      </c>
      <c r="M19">
        <f t="shared" si="1"/>
        <v>-1.4840967940740737</v>
      </c>
      <c r="N19" s="9"/>
      <c r="O19" s="21">
        <v>-5.4626500000000001E-2</v>
      </c>
      <c r="P19" s="21">
        <v>8.9911499999999993</v>
      </c>
      <c r="Q19" s="21">
        <v>-1.35742E-2</v>
      </c>
      <c r="R19" s="21">
        <v>9</v>
      </c>
      <c r="S19" s="21">
        <v>-5.50842E-2</v>
      </c>
      <c r="T19">
        <f t="shared" si="2"/>
        <v>16.758271604938273</v>
      </c>
      <c r="U19">
        <f t="shared" si="3"/>
        <v>-0.91544572382716061</v>
      </c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5.1820300000000001</v>
      </c>
      <c r="I20" s="21">
        <v>5.7617200000000001E-4</v>
      </c>
      <c r="J20" s="21">
        <v>10</v>
      </c>
      <c r="K20" s="21">
        <v>1.7486600000000001</v>
      </c>
      <c r="L20">
        <f t="shared" si="0"/>
        <v>-0.71132345679012343</v>
      </c>
      <c r="M20">
        <f t="shared" si="1"/>
        <v>-1.2445101802962963</v>
      </c>
      <c r="N20" s="9"/>
      <c r="O20" s="21">
        <v>-4.9591099999999999E-2</v>
      </c>
      <c r="P20" s="21">
        <v>9.00122</v>
      </c>
      <c r="Q20" s="21">
        <v>-1.3583400000000001E-2</v>
      </c>
      <c r="R20" s="21">
        <v>10</v>
      </c>
      <c r="S20" s="21">
        <v>-5.00793E-2</v>
      </c>
      <c r="T20">
        <f t="shared" si="2"/>
        <v>16.76962962962963</v>
      </c>
      <c r="U20">
        <f t="shared" si="3"/>
        <v>-0.83162437992592597</v>
      </c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5.1920999999999999</v>
      </c>
      <c r="I21" s="21">
        <v>4.7015400000000003E-4</v>
      </c>
      <c r="J21" s="21">
        <v>11</v>
      </c>
      <c r="K21" s="21">
        <v>1.74438</v>
      </c>
      <c r="L21">
        <f t="shared" si="0"/>
        <v>-0.58043703703703697</v>
      </c>
      <c r="M21">
        <f t="shared" si="1"/>
        <v>-1.0125956285925926</v>
      </c>
      <c r="N21" s="9"/>
      <c r="O21" s="21">
        <v>-4.4555699999999997E-2</v>
      </c>
      <c r="P21" s="21">
        <v>9.0112900000000007</v>
      </c>
      <c r="Q21" s="21">
        <v>-1.3598600000000001E-2</v>
      </c>
      <c r="R21" s="21">
        <v>11</v>
      </c>
      <c r="S21" s="21">
        <v>-4.4863899999999998E-2</v>
      </c>
      <c r="T21">
        <f t="shared" si="2"/>
        <v>16.788395061728394</v>
      </c>
      <c r="U21">
        <f t="shared" si="3"/>
        <v>-0.74801869385185171</v>
      </c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5.2021699999999997</v>
      </c>
      <c r="I22" s="21">
        <v>3.6169400000000002E-4</v>
      </c>
      <c r="J22" s="21">
        <v>12</v>
      </c>
      <c r="K22" s="21">
        <v>1.7392000000000001</v>
      </c>
      <c r="L22">
        <f t="shared" si="0"/>
        <v>-0.44653580246913582</v>
      </c>
      <c r="M22">
        <f t="shared" si="1"/>
        <v>-0.77674902839506177</v>
      </c>
      <c r="N22" s="9"/>
      <c r="O22" s="21">
        <v>-3.9520300000000001E-2</v>
      </c>
      <c r="P22" s="21">
        <v>9.0213599999999996</v>
      </c>
      <c r="Q22" s="21">
        <v>-1.3598600000000001E-2</v>
      </c>
      <c r="R22" s="21">
        <v>12</v>
      </c>
      <c r="S22" s="21">
        <v>-3.9807099999999998E-2</v>
      </c>
      <c r="T22">
        <f t="shared" si="2"/>
        <v>16.788395061728394</v>
      </c>
      <c r="U22">
        <f t="shared" si="3"/>
        <v>-0.66348240935802472</v>
      </c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5.2122400000000004</v>
      </c>
      <c r="I23" s="21">
        <v>2.54059E-4</v>
      </c>
      <c r="J23" s="21">
        <v>13</v>
      </c>
      <c r="K23" s="21">
        <v>1.7340100000000001</v>
      </c>
      <c r="L23">
        <f t="shared" si="0"/>
        <v>-0.31365308641975309</v>
      </c>
      <c r="M23">
        <f t="shared" si="1"/>
        <v>-0.54402186880246917</v>
      </c>
      <c r="N23" s="9"/>
      <c r="O23" s="21">
        <v>-3.4484899999999999E-2</v>
      </c>
      <c r="P23" s="21">
        <v>9.0314300000000003</v>
      </c>
      <c r="Q23" s="21">
        <v>-1.3598600000000001E-2</v>
      </c>
      <c r="R23" s="21">
        <v>13</v>
      </c>
      <c r="S23" s="21">
        <v>-3.46985E-2</v>
      </c>
      <c r="T23">
        <f t="shared" si="2"/>
        <v>16.788395061728394</v>
      </c>
      <c r="U23">
        <f t="shared" si="3"/>
        <v>-0.5789461248641975</v>
      </c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5.2223199999999999</v>
      </c>
      <c r="I24" s="21">
        <v>1.47095E-4</v>
      </c>
      <c r="J24" s="21">
        <v>14</v>
      </c>
      <c r="K24" s="21">
        <v>1.72882</v>
      </c>
      <c r="L24">
        <f t="shared" si="0"/>
        <v>-0.18159876543209874</v>
      </c>
      <c r="M24">
        <f t="shared" si="1"/>
        <v>-0.31406235290123452</v>
      </c>
      <c r="N24" s="9"/>
      <c r="O24" s="21">
        <v>-2.94495E-2</v>
      </c>
      <c r="P24" s="21">
        <v>9.0414999999999992</v>
      </c>
      <c r="Q24" s="21">
        <v>-1.35925E-2</v>
      </c>
      <c r="R24" s="21">
        <v>14</v>
      </c>
      <c r="S24" s="21">
        <v>-2.9705800000000001E-2</v>
      </c>
      <c r="T24">
        <f t="shared" si="2"/>
        <v>16.780864197530864</v>
      </c>
      <c r="U24">
        <f t="shared" si="3"/>
        <v>-0.49418806018518519</v>
      </c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5.2323899999999997</v>
      </c>
      <c r="I25" s="24">
        <v>4.2144799999999997E-5</v>
      </c>
      <c r="J25" s="21">
        <v>15</v>
      </c>
      <c r="K25" s="21">
        <v>1.72363</v>
      </c>
      <c r="L25">
        <f t="shared" si="0"/>
        <v>-5.2030617283950607E-2</v>
      </c>
      <c r="M25">
        <f t="shared" si="1"/>
        <v>-8.9721596444444426E-2</v>
      </c>
      <c r="N25" s="9"/>
      <c r="O25" s="21">
        <v>-2.4414100000000001E-2</v>
      </c>
      <c r="P25" s="21">
        <v>9.0515699999999999</v>
      </c>
      <c r="Q25" s="21">
        <v>-1.35864E-2</v>
      </c>
      <c r="R25" s="21">
        <v>15</v>
      </c>
      <c r="S25" s="21">
        <v>-2.4676500000000001E-2</v>
      </c>
      <c r="T25">
        <f t="shared" si="2"/>
        <v>16.77333333333333</v>
      </c>
      <c r="U25">
        <f t="shared" si="3"/>
        <v>-0.40950583733333329</v>
      </c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5.2424600000000003</v>
      </c>
      <c r="I26" s="24">
        <v>-6.3507099999999994E-5</v>
      </c>
      <c r="J26" s="21">
        <v>16</v>
      </c>
      <c r="K26" s="21">
        <v>1.71875</v>
      </c>
      <c r="L26">
        <f t="shared" si="0"/>
        <v>7.8403827160493808E-2</v>
      </c>
      <c r="M26">
        <f t="shared" si="1"/>
        <v>0.13480440426666662</v>
      </c>
      <c r="N26" s="9"/>
      <c r="O26" s="21">
        <v>-1.9378699999999999E-2</v>
      </c>
      <c r="P26" s="21">
        <v>9.0616500000000002</v>
      </c>
      <c r="Q26" s="21">
        <v>-1.3595599999999999E-2</v>
      </c>
      <c r="R26" s="21">
        <v>16</v>
      </c>
      <c r="S26" s="21">
        <v>-1.9635E-2</v>
      </c>
      <c r="T26">
        <f t="shared" si="2"/>
        <v>16.784691358024691</v>
      </c>
      <c r="U26">
        <f t="shared" si="3"/>
        <v>-0.32526549841975305</v>
      </c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5.2525300000000001</v>
      </c>
      <c r="I27" s="21">
        <v>-1.6595499999999999E-4</v>
      </c>
      <c r="J27" s="21">
        <v>17</v>
      </c>
      <c r="K27" s="21">
        <v>1.71326</v>
      </c>
      <c r="L27">
        <f t="shared" si="0"/>
        <v>0.20488271604938268</v>
      </c>
      <c r="M27">
        <f t="shared" si="1"/>
        <v>0.35123453777777774</v>
      </c>
      <c r="N27" s="9"/>
      <c r="O27" s="21">
        <v>-1.43433E-2</v>
      </c>
      <c r="P27" s="21">
        <v>9.0717199999999991</v>
      </c>
      <c r="Q27" s="21">
        <v>-1.3598600000000001E-2</v>
      </c>
      <c r="R27" s="21">
        <v>17</v>
      </c>
      <c r="S27" s="21">
        <v>-1.45538E-2</v>
      </c>
      <c r="T27">
        <f t="shared" si="2"/>
        <v>16.788395061728394</v>
      </c>
      <c r="U27">
        <f t="shared" si="3"/>
        <v>-0.24080098688888887</v>
      </c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5.2625999999999999</v>
      </c>
      <c r="I28" s="21">
        <v>-2.6864599999999999E-4</v>
      </c>
      <c r="J28" s="21">
        <v>18</v>
      </c>
      <c r="K28" s="21">
        <v>1.7083699999999999</v>
      </c>
      <c r="L28">
        <f t="shared" si="0"/>
        <v>0.33166172839506169</v>
      </c>
      <c r="M28">
        <f t="shared" si="1"/>
        <v>0.56690607572839502</v>
      </c>
      <c r="N28" s="9"/>
      <c r="O28" s="21">
        <v>-9.3078599999999994E-3</v>
      </c>
      <c r="P28" s="21">
        <v>9.0817899999999998</v>
      </c>
      <c r="Q28" s="21">
        <v>-1.36139E-2</v>
      </c>
      <c r="R28" s="21">
        <v>18</v>
      </c>
      <c r="S28" s="21">
        <v>-9.4879200000000004E-3</v>
      </c>
      <c r="T28">
        <f t="shared" si="2"/>
        <v>16.807283950617283</v>
      </c>
      <c r="U28">
        <f t="shared" si="3"/>
        <v>-0.15643984599259256</v>
      </c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5.2726699999999997</v>
      </c>
      <c r="I29" s="21">
        <v>-3.6968999999999999E-4</v>
      </c>
      <c r="J29" s="21">
        <v>19</v>
      </c>
      <c r="K29" s="21">
        <v>1.7034899999999999</v>
      </c>
      <c r="L29">
        <f t="shared" si="0"/>
        <v>0.45640740740740737</v>
      </c>
      <c r="M29">
        <f t="shared" si="1"/>
        <v>0.77783232407407399</v>
      </c>
      <c r="N29" s="9"/>
      <c r="O29" s="21">
        <v>-4.2724599999999996E-3</v>
      </c>
      <c r="P29" s="21">
        <v>9.0918600000000005</v>
      </c>
      <c r="Q29" s="21">
        <v>-1.36261E-2</v>
      </c>
      <c r="R29" s="21">
        <v>19</v>
      </c>
      <c r="S29" s="21">
        <v>-4.4586199999999999E-3</v>
      </c>
      <c r="T29">
        <f t="shared" si="2"/>
        <v>16.822345679012344</v>
      </c>
      <c r="U29">
        <f t="shared" si="3"/>
        <v>-7.1872799019753075E-2</v>
      </c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5.2827400000000004</v>
      </c>
      <c r="I30" s="21">
        <v>-4.7134400000000001E-4</v>
      </c>
      <c r="J30" s="21">
        <v>20</v>
      </c>
      <c r="K30" s="21">
        <v>1.6982999999999999</v>
      </c>
      <c r="L30">
        <f t="shared" si="0"/>
        <v>0.58190617283950619</v>
      </c>
      <c r="M30">
        <f t="shared" si="1"/>
        <v>0.98878660701234566</v>
      </c>
      <c r="N30" s="9"/>
      <c r="O30" s="21">
        <v>7.6293900000000002E-4</v>
      </c>
      <c r="P30" s="21">
        <v>9.1019299999999994</v>
      </c>
      <c r="Q30" s="21">
        <v>-1.3629199999999999E-2</v>
      </c>
      <c r="R30" s="21">
        <v>20</v>
      </c>
      <c r="S30" s="21">
        <v>6.5002400000000002E-4</v>
      </c>
      <c r="T30">
        <f t="shared" si="2"/>
        <v>16.826172839506171</v>
      </c>
      <c r="U30">
        <f t="shared" si="3"/>
        <v>1.2837343479999999E-2</v>
      </c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5.2928100000000002</v>
      </c>
      <c r="I31" s="21">
        <v>-5.6823699999999997E-4</v>
      </c>
      <c r="J31" s="21">
        <v>21</v>
      </c>
      <c r="K31" s="21">
        <v>1.69373</v>
      </c>
      <c r="L31">
        <f t="shared" si="0"/>
        <v>0.70152716049382702</v>
      </c>
      <c r="M31">
        <f t="shared" si="1"/>
        <v>1.1885132847654318</v>
      </c>
      <c r="N31" s="9"/>
      <c r="O31" s="21">
        <v>5.7983399999999999E-3</v>
      </c>
      <c r="P31" s="21">
        <v>9.1120000000000001</v>
      </c>
      <c r="Q31" s="21">
        <v>-1.3638300000000001E-2</v>
      </c>
      <c r="R31" s="21">
        <v>21</v>
      </c>
      <c r="S31" s="21">
        <v>5.6213399999999998E-3</v>
      </c>
      <c r="T31">
        <f t="shared" si="2"/>
        <v>16.837407407407408</v>
      </c>
      <c r="U31">
        <f t="shared" si="3"/>
        <v>9.762901286666667E-2</v>
      </c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5.30288</v>
      </c>
      <c r="I32" s="21">
        <v>-6.6833500000000004E-4</v>
      </c>
      <c r="J32" s="21">
        <v>22</v>
      </c>
      <c r="K32" s="21">
        <v>1.6888399999999999</v>
      </c>
      <c r="L32">
        <f t="shared" si="0"/>
        <v>0.82510493827160492</v>
      </c>
      <c r="M32">
        <f t="shared" si="1"/>
        <v>1.3937260064814814</v>
      </c>
      <c r="N32" s="9"/>
      <c r="O32" s="21">
        <v>1.08337E-2</v>
      </c>
      <c r="P32" s="21">
        <v>9.1220700000000008</v>
      </c>
      <c r="Q32" s="21">
        <v>-1.3632200000000001E-2</v>
      </c>
      <c r="R32" s="21">
        <v>22</v>
      </c>
      <c r="S32" s="21">
        <v>1.06873E-2</v>
      </c>
      <c r="T32">
        <f t="shared" si="2"/>
        <v>16.829876543209878</v>
      </c>
      <c r="U32">
        <f t="shared" si="3"/>
        <v>0.18232983350617285</v>
      </c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5.3129499999999998</v>
      </c>
      <c r="I33" s="21">
        <v>-7.6538099999999998E-4</v>
      </c>
      <c r="J33" s="21">
        <v>23</v>
      </c>
      <c r="K33" s="21">
        <v>1.6836500000000001</v>
      </c>
      <c r="L33">
        <f t="shared" si="0"/>
        <v>0.94491481481481476</v>
      </c>
      <c r="M33">
        <f t="shared" si="1"/>
        <v>1.5913404887777778</v>
      </c>
      <c r="N33" s="9"/>
      <c r="O33" s="21">
        <v>1.5869100000000001E-2</v>
      </c>
      <c r="P33" s="21">
        <v>9.1321399999999997</v>
      </c>
      <c r="Q33" s="21">
        <v>-1.3629199999999999E-2</v>
      </c>
      <c r="R33" s="21">
        <v>23</v>
      </c>
      <c r="S33" s="21">
        <v>1.5737899999999999E-2</v>
      </c>
      <c r="T33">
        <f t="shared" si="2"/>
        <v>16.826172839506171</v>
      </c>
      <c r="U33">
        <f t="shared" si="3"/>
        <v>0.26701621940740738</v>
      </c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5.3230300000000002</v>
      </c>
      <c r="I34" s="21">
        <v>-8.6517300000000001E-4</v>
      </c>
      <c r="J34" s="21">
        <v>24</v>
      </c>
      <c r="K34" s="21">
        <v>1.6787700000000001</v>
      </c>
      <c r="L34">
        <f t="shared" si="0"/>
        <v>1.0681148148148147</v>
      </c>
      <c r="M34">
        <f t="shared" si="1"/>
        <v>1.7934502232592591</v>
      </c>
      <c r="N34" s="9"/>
      <c r="O34" s="21">
        <v>2.0904499999999999E-2</v>
      </c>
      <c r="P34" s="21">
        <v>9.1422100000000004</v>
      </c>
      <c r="Q34" s="21">
        <v>-1.3629199999999999E-2</v>
      </c>
      <c r="R34" s="21">
        <v>24</v>
      </c>
      <c r="S34" s="21">
        <v>2.0794699999999999E-2</v>
      </c>
      <c r="T34">
        <f t="shared" si="2"/>
        <v>16.826172839506171</v>
      </c>
      <c r="U34">
        <f t="shared" si="3"/>
        <v>0.35174273012345675</v>
      </c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5.3331</v>
      </c>
      <c r="I35" s="21">
        <v>-9.6160899999999999E-4</v>
      </c>
      <c r="J35" s="21">
        <v>25</v>
      </c>
      <c r="K35" s="21">
        <v>1.6735800000000001</v>
      </c>
      <c r="L35">
        <f t="shared" si="0"/>
        <v>1.1871716049382715</v>
      </c>
      <c r="M35">
        <f t="shared" si="1"/>
        <v>1.9873727535308638</v>
      </c>
      <c r="N35" s="9"/>
      <c r="O35" s="21">
        <v>2.5939899999999998E-2</v>
      </c>
      <c r="P35" s="21">
        <v>9.1522799999999993</v>
      </c>
      <c r="Q35" s="21">
        <v>-1.36353E-2</v>
      </c>
      <c r="R35" s="21">
        <v>25</v>
      </c>
      <c r="S35" s="21">
        <v>2.5845300000000002E-2</v>
      </c>
      <c r="T35">
        <f t="shared" si="2"/>
        <v>16.833703703703701</v>
      </c>
      <c r="U35">
        <f t="shared" si="3"/>
        <v>0.43666459070370361</v>
      </c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5.3431699999999998</v>
      </c>
      <c r="I36" s="21">
        <v>-1.05682E-3</v>
      </c>
      <c r="J36" s="21">
        <v>26</v>
      </c>
      <c r="K36" s="21">
        <v>1.6680900000000001</v>
      </c>
      <c r="L36">
        <f t="shared" si="0"/>
        <v>1.3047160493827159</v>
      </c>
      <c r="M36">
        <f t="shared" si="1"/>
        <v>2.1775841335802468</v>
      </c>
      <c r="N36" s="9"/>
      <c r="O36" s="21">
        <v>3.0975300000000001E-2</v>
      </c>
      <c r="P36" s="21">
        <v>9.1623599999999996</v>
      </c>
      <c r="Q36" s="21">
        <v>-1.3650499999999999E-2</v>
      </c>
      <c r="R36" s="21">
        <v>26</v>
      </c>
      <c r="S36" s="21">
        <v>3.0896E-2</v>
      </c>
      <c r="T36">
        <f t="shared" si="2"/>
        <v>16.852469135802469</v>
      </c>
      <c r="U36">
        <f t="shared" si="3"/>
        <v>0.5220102872222222</v>
      </c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5.3532400000000004</v>
      </c>
      <c r="I37" s="21">
        <v>-1.15021E-3</v>
      </c>
      <c r="J37" s="21">
        <v>27</v>
      </c>
      <c r="K37" s="21">
        <v>1.6629</v>
      </c>
      <c r="L37">
        <f t="shared" si="0"/>
        <v>1.4200123456790124</v>
      </c>
      <c r="M37">
        <f t="shared" si="1"/>
        <v>2.362857942839506</v>
      </c>
      <c r="N37" s="9"/>
      <c r="O37" s="21">
        <v>3.60107E-2</v>
      </c>
      <c r="P37" s="21">
        <v>9.1724300000000003</v>
      </c>
      <c r="Q37" s="21">
        <v>-1.36688E-2</v>
      </c>
      <c r="R37" s="21">
        <v>27</v>
      </c>
      <c r="S37" s="21">
        <v>3.5922200000000001E-2</v>
      </c>
      <c r="T37">
        <f t="shared" si="2"/>
        <v>16.87506172839506</v>
      </c>
      <c r="U37">
        <f t="shared" si="3"/>
        <v>0.60768278538271603</v>
      </c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5.3633100000000002</v>
      </c>
      <c r="I38" s="21">
        <v>-1.24512E-3</v>
      </c>
      <c r="J38" s="21">
        <v>28</v>
      </c>
      <c r="K38" s="21">
        <v>1.6583300000000001</v>
      </c>
      <c r="L38">
        <f t="shared" si="0"/>
        <v>1.537185185185185</v>
      </c>
      <c r="M38">
        <f t="shared" si="1"/>
        <v>2.550097991111111</v>
      </c>
      <c r="N38" s="9"/>
      <c r="O38" s="21">
        <v>4.1046100000000002E-2</v>
      </c>
      <c r="P38" s="21">
        <v>9.1824999999999992</v>
      </c>
      <c r="Q38" s="21">
        <v>-1.3684099999999999E-2</v>
      </c>
      <c r="R38" s="21">
        <v>28</v>
      </c>
      <c r="S38" s="21">
        <v>4.1000399999999999E-2</v>
      </c>
      <c r="T38">
        <f t="shared" si="2"/>
        <v>16.893950617283949</v>
      </c>
      <c r="U38">
        <f t="shared" si="3"/>
        <v>0.69343078643209877</v>
      </c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5.37338</v>
      </c>
      <c r="I39" s="21">
        <v>-1.33789E-3</v>
      </c>
      <c r="J39" s="21">
        <v>29</v>
      </c>
      <c r="K39" s="21">
        <v>1.65344</v>
      </c>
      <c r="L39">
        <f t="shared" si="0"/>
        <v>1.6517160493827159</v>
      </c>
      <c r="M39">
        <f t="shared" si="1"/>
        <v>2.7317731740740738</v>
      </c>
      <c r="N39" s="9"/>
      <c r="O39" s="21">
        <v>4.6081499999999997E-2</v>
      </c>
      <c r="P39" s="21">
        <v>9.1925699999999999</v>
      </c>
      <c r="Q39" s="21">
        <v>-1.36902E-2</v>
      </c>
      <c r="R39" s="21">
        <v>29</v>
      </c>
      <c r="S39" s="21">
        <v>4.6017500000000003E-2</v>
      </c>
      <c r="T39">
        <f t="shared" si="2"/>
        <v>16.901481481481479</v>
      </c>
      <c r="U39">
        <f t="shared" si="3"/>
        <v>0.7788456188888887</v>
      </c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5.3834499999999998</v>
      </c>
      <c r="I40" s="21">
        <v>-1.4321900000000001E-3</v>
      </c>
      <c r="J40" s="21">
        <v>30</v>
      </c>
      <c r="K40" s="21">
        <v>1.64795</v>
      </c>
      <c r="L40">
        <f t="shared" si="0"/>
        <v>1.7681358024691358</v>
      </c>
      <c r="M40">
        <f t="shared" si="1"/>
        <v>2.9154083992592592</v>
      </c>
      <c r="N40" s="9"/>
      <c r="O40" s="21">
        <v>5.11169E-2</v>
      </c>
      <c r="P40" s="21">
        <v>9.2026400000000006</v>
      </c>
      <c r="Q40" s="21">
        <v>-1.3693200000000001E-2</v>
      </c>
      <c r="R40" s="21">
        <v>30</v>
      </c>
      <c r="S40" s="21">
        <v>5.0628699999999999E-2</v>
      </c>
      <c r="T40">
        <f t="shared" si="2"/>
        <v>16.905185185185186</v>
      </c>
      <c r="U40">
        <f t="shared" si="3"/>
        <v>0.86414066059259265</v>
      </c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5.3935199999999996</v>
      </c>
      <c r="I41" s="21">
        <v>-1.5231299999999999E-3</v>
      </c>
      <c r="J41" s="21">
        <v>31</v>
      </c>
      <c r="K41" s="21">
        <v>1.64368</v>
      </c>
      <c r="L41">
        <f t="shared" si="0"/>
        <v>1.8804074074074073</v>
      </c>
      <c r="M41">
        <f t="shared" si="1"/>
        <v>3.0910701085185184</v>
      </c>
      <c r="N41" s="9"/>
      <c r="O41" s="21">
        <v>5.6152300000000002E-2</v>
      </c>
      <c r="P41" s="21">
        <v>9.2127099999999995</v>
      </c>
      <c r="Q41" s="21">
        <v>-1.36902E-2</v>
      </c>
      <c r="R41" s="21">
        <v>31</v>
      </c>
      <c r="S41" s="21">
        <v>5.5694599999999997E-2</v>
      </c>
      <c r="T41">
        <f t="shared" si="2"/>
        <v>16.901481481481479</v>
      </c>
      <c r="U41">
        <f t="shared" si="3"/>
        <v>0.94905705859259248</v>
      </c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5.4035900000000003</v>
      </c>
      <c r="I42" s="21">
        <v>-1.61652E-3</v>
      </c>
      <c r="J42" s="21">
        <v>32</v>
      </c>
      <c r="K42" s="21">
        <v>1.63788</v>
      </c>
      <c r="L42">
        <f t="shared" si="0"/>
        <v>1.9957037037037035</v>
      </c>
      <c r="M42">
        <f t="shared" si="1"/>
        <v>3.2705392725925924</v>
      </c>
      <c r="N42" s="9"/>
      <c r="O42" s="21">
        <v>6.1187699999999998E-2</v>
      </c>
      <c r="P42" s="21">
        <v>9.2227800000000002</v>
      </c>
      <c r="Q42" s="21">
        <v>-1.3681E-2</v>
      </c>
      <c r="R42" s="21">
        <v>32</v>
      </c>
      <c r="S42" s="21">
        <v>6.0729999999999999E-2</v>
      </c>
      <c r="T42">
        <f t="shared" si="2"/>
        <v>16.890123456790121</v>
      </c>
      <c r="U42">
        <f t="shared" si="3"/>
        <v>1.0334678070370369</v>
      </c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5.4136600000000001</v>
      </c>
      <c r="I43" s="21">
        <v>-1.70685E-3</v>
      </c>
      <c r="J43" s="21">
        <v>33</v>
      </c>
      <c r="K43" s="21">
        <v>1.6333</v>
      </c>
      <c r="L43">
        <f t="shared" si="0"/>
        <v>2.1072222222222221</v>
      </c>
      <c r="M43">
        <f t="shared" si="1"/>
        <v>3.442695377777778</v>
      </c>
      <c r="N43" s="9"/>
      <c r="O43" s="21">
        <v>6.6223099999999993E-2</v>
      </c>
      <c r="P43" s="21">
        <v>9.2328499999999991</v>
      </c>
      <c r="Q43" s="21">
        <v>-1.3677999999999999E-2</v>
      </c>
      <c r="R43" s="21">
        <v>33</v>
      </c>
      <c r="S43" s="21">
        <v>6.5734899999999999E-2</v>
      </c>
      <c r="T43">
        <f t="shared" si="2"/>
        <v>16.886419753086418</v>
      </c>
      <c r="U43">
        <f t="shared" si="3"/>
        <v>1.118271063950617</v>
      </c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5.4237399999999996</v>
      </c>
      <c r="I44" s="21">
        <v>-1.79688E-3</v>
      </c>
      <c r="J44" s="21">
        <v>34</v>
      </c>
      <c r="K44" s="21">
        <v>1.62842</v>
      </c>
      <c r="L44">
        <f t="shared" si="0"/>
        <v>2.2183703703703701</v>
      </c>
      <c r="M44">
        <f t="shared" si="1"/>
        <v>3.6131041896296292</v>
      </c>
      <c r="N44" s="9"/>
      <c r="O44" s="21">
        <v>7.1258500000000002E-2</v>
      </c>
      <c r="P44" s="21">
        <v>9.2429199999999998</v>
      </c>
      <c r="Q44" s="21">
        <v>-1.3677999999999999E-2</v>
      </c>
      <c r="R44" s="21">
        <v>34</v>
      </c>
      <c r="S44" s="21">
        <v>7.0800799999999997E-2</v>
      </c>
      <c r="T44">
        <f t="shared" si="2"/>
        <v>16.886419753086418</v>
      </c>
      <c r="U44">
        <f t="shared" si="3"/>
        <v>1.2033009419753087</v>
      </c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5.4338100000000003</v>
      </c>
      <c r="I45" s="21">
        <v>-1.8878199999999999E-3</v>
      </c>
      <c r="J45" s="21">
        <v>35</v>
      </c>
      <c r="K45" s="21">
        <v>1.62354</v>
      </c>
      <c r="L45">
        <f t="shared" si="0"/>
        <v>2.3306419753086418</v>
      </c>
      <c r="M45">
        <f t="shared" si="1"/>
        <v>3.7842400688888889</v>
      </c>
      <c r="N45" s="9"/>
      <c r="O45" s="21">
        <v>7.6293899999999998E-2</v>
      </c>
      <c r="P45" s="21">
        <v>9.2529900000000005</v>
      </c>
      <c r="Q45" s="21">
        <v>-1.3671900000000001E-2</v>
      </c>
      <c r="R45" s="21">
        <v>35</v>
      </c>
      <c r="S45" s="21">
        <v>7.5805700000000004E-2</v>
      </c>
      <c r="T45">
        <f t="shared" si="2"/>
        <v>16.878888888888888</v>
      </c>
      <c r="U45">
        <f t="shared" si="3"/>
        <v>1.287756261</v>
      </c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5.4438800000000001</v>
      </c>
      <c r="I46" s="21">
        <v>-1.9784500000000001E-3</v>
      </c>
      <c r="J46" s="21">
        <v>36</v>
      </c>
      <c r="K46" s="21">
        <v>1.61774</v>
      </c>
      <c r="L46">
        <f t="shared" si="0"/>
        <v>2.442530864197531</v>
      </c>
      <c r="M46">
        <f t="shared" si="1"/>
        <v>3.9536025833333333</v>
      </c>
      <c r="N46" s="9"/>
      <c r="O46" s="21">
        <v>8.1329299999999993E-2</v>
      </c>
      <c r="P46" s="21">
        <v>9.2630700000000008</v>
      </c>
      <c r="Q46" s="21">
        <v>-1.3665800000000001E-2</v>
      </c>
      <c r="R46" s="21">
        <v>36</v>
      </c>
      <c r="S46" s="21">
        <v>8.0902100000000005E-2</v>
      </c>
      <c r="T46">
        <f t="shared" si="2"/>
        <v>16.871358024691357</v>
      </c>
      <c r="U46">
        <f t="shared" si="3"/>
        <v>1.3721357381975308</v>
      </c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5.4539499999999999</v>
      </c>
      <c r="I47" s="21">
        <v>-2.0684800000000001E-3</v>
      </c>
      <c r="J47" s="21">
        <v>37</v>
      </c>
      <c r="K47" s="21">
        <v>1.6137699999999999</v>
      </c>
      <c r="L47">
        <f t="shared" si="0"/>
        <v>2.553679012345679</v>
      </c>
      <c r="M47">
        <f t="shared" si="1"/>
        <v>4.1206675279012348</v>
      </c>
      <c r="N47" s="9"/>
      <c r="O47" s="21">
        <v>8.6364700000000003E-2</v>
      </c>
      <c r="P47" s="21">
        <v>9.2731399999999997</v>
      </c>
      <c r="Q47" s="21">
        <v>-1.36566E-2</v>
      </c>
      <c r="R47" s="21">
        <v>37</v>
      </c>
      <c r="S47" s="21">
        <v>8.5876499999999995E-2</v>
      </c>
      <c r="T47">
        <f t="shared" si="2"/>
        <v>16.86</v>
      </c>
      <c r="U47">
        <f t="shared" si="3"/>
        <v>1.4561088419999999</v>
      </c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5.4640199999999997</v>
      </c>
      <c r="I48" s="21">
        <v>-2.1588100000000002E-3</v>
      </c>
      <c r="J48" s="21">
        <v>38</v>
      </c>
      <c r="K48" s="21">
        <v>1.6079699999999999</v>
      </c>
      <c r="L48">
        <f t="shared" si="0"/>
        <v>2.6651975308641975</v>
      </c>
      <c r="M48">
        <f t="shared" si="1"/>
        <v>4.2871834441975309</v>
      </c>
      <c r="N48" s="9"/>
      <c r="O48" s="21">
        <v>9.1400099999999998E-2</v>
      </c>
      <c r="P48" s="21">
        <v>9.2832100000000004</v>
      </c>
      <c r="Q48" s="21">
        <v>-1.36536E-2</v>
      </c>
      <c r="R48" s="21">
        <v>38</v>
      </c>
      <c r="S48" s="21">
        <v>9.0911900000000004E-2</v>
      </c>
      <c r="T48">
        <f t="shared" si="2"/>
        <v>16.856296296296296</v>
      </c>
      <c r="U48">
        <f t="shared" si="3"/>
        <v>1.5406671671111112</v>
      </c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5.4740900000000003</v>
      </c>
      <c r="I49" s="21">
        <v>-2.2485399999999998E-3</v>
      </c>
      <c r="J49" s="21">
        <v>39</v>
      </c>
      <c r="K49" s="21">
        <v>1.6030899999999999</v>
      </c>
      <c r="L49">
        <f t="shared" si="0"/>
        <v>2.7759753086419749</v>
      </c>
      <c r="M49">
        <f t="shared" si="1"/>
        <v>4.4514152061728387</v>
      </c>
      <c r="N49" s="9"/>
      <c r="O49" s="21">
        <v>9.6435499999999993E-2</v>
      </c>
      <c r="P49" s="21">
        <v>9.2932799999999993</v>
      </c>
      <c r="Q49" s="21">
        <v>-1.3650499999999999E-2</v>
      </c>
      <c r="R49" s="21">
        <v>39</v>
      </c>
      <c r="S49" s="21">
        <v>9.5977800000000002E-2</v>
      </c>
      <c r="T49">
        <f t="shared" si="2"/>
        <v>16.852469135802469</v>
      </c>
      <c r="U49">
        <f t="shared" si="3"/>
        <v>1.625176287345679</v>
      </c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5.4841600000000001</v>
      </c>
      <c r="I50" s="21">
        <v>-2.3373399999999998E-3</v>
      </c>
      <c r="J50" s="21">
        <v>40</v>
      </c>
      <c r="K50" s="21">
        <v>1.5982099999999999</v>
      </c>
      <c r="L50">
        <f t="shared" si="0"/>
        <v>2.8856049382716042</v>
      </c>
      <c r="M50">
        <f t="shared" si="1"/>
        <v>4.6126683498765422</v>
      </c>
      <c r="N50" s="9"/>
      <c r="O50" s="21">
        <v>0.10147100000000001</v>
      </c>
      <c r="P50" s="21">
        <v>9.30335</v>
      </c>
      <c r="Q50" s="21">
        <v>-1.36597E-2</v>
      </c>
      <c r="R50" s="21">
        <v>40</v>
      </c>
      <c r="S50" s="21">
        <v>0.100983</v>
      </c>
      <c r="T50">
        <f t="shared" si="2"/>
        <v>16.863827160493827</v>
      </c>
      <c r="U50">
        <f t="shared" si="3"/>
        <v>1.7111894058024693</v>
      </c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5.4942299999999999</v>
      </c>
      <c r="I51" s="21">
        <v>-2.4240099999999999E-3</v>
      </c>
      <c r="J51" s="21">
        <v>41</v>
      </c>
      <c r="K51" s="21">
        <v>1.5930200000000001</v>
      </c>
      <c r="L51">
        <f t="shared" si="0"/>
        <v>2.9926049382716049</v>
      </c>
      <c r="M51">
        <f t="shared" si="1"/>
        <v>4.768656117037037</v>
      </c>
      <c r="N51" s="9"/>
      <c r="O51" s="21">
        <v>0.106506</v>
      </c>
      <c r="P51" s="21">
        <v>9.3134200000000007</v>
      </c>
      <c r="Q51" s="21">
        <v>-1.36597E-2</v>
      </c>
      <c r="R51" s="21">
        <v>41</v>
      </c>
      <c r="S51" s="21">
        <v>0.106018</v>
      </c>
      <c r="T51">
        <f t="shared" si="2"/>
        <v>16.863827160493827</v>
      </c>
      <c r="U51">
        <f t="shared" si="3"/>
        <v>1.7960987755555555</v>
      </c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5.5042999999999997</v>
      </c>
      <c r="I52" s="21">
        <v>-2.5094599999999998E-3</v>
      </c>
      <c r="J52" s="21">
        <v>42</v>
      </c>
      <c r="K52" s="21">
        <v>1.58752</v>
      </c>
      <c r="L52">
        <f t="shared" si="0"/>
        <v>3.0980987654320984</v>
      </c>
      <c r="M52">
        <f t="shared" si="1"/>
        <v>4.9211440029629623</v>
      </c>
      <c r="N52" s="9"/>
      <c r="O52" s="21">
        <v>0.111542</v>
      </c>
      <c r="P52" s="21">
        <v>9.3234899999999996</v>
      </c>
      <c r="Q52" s="21">
        <v>-1.36688E-2</v>
      </c>
      <c r="R52" s="21">
        <v>42</v>
      </c>
      <c r="S52" s="21">
        <v>0.111023</v>
      </c>
      <c r="T52">
        <f t="shared" si="2"/>
        <v>16.87506172839506</v>
      </c>
      <c r="U52">
        <f t="shared" si="3"/>
        <v>1.882278135308642</v>
      </c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5.5143700000000004</v>
      </c>
      <c r="I53" s="21">
        <v>-2.5976599999999999E-3</v>
      </c>
      <c r="J53" s="21">
        <v>43</v>
      </c>
      <c r="K53" s="21">
        <v>1.58264</v>
      </c>
      <c r="L53">
        <f t="shared" si="0"/>
        <v>3.2069876543209874</v>
      </c>
      <c r="M53">
        <f t="shared" si="1"/>
        <v>5.0779442518518509</v>
      </c>
      <c r="N53" s="9"/>
      <c r="O53" s="21">
        <v>0.116577</v>
      </c>
      <c r="P53" s="21">
        <v>9.3335600000000003</v>
      </c>
      <c r="Q53" s="21">
        <v>-1.36597E-2</v>
      </c>
      <c r="R53" s="21">
        <v>43</v>
      </c>
      <c r="S53" s="21">
        <v>0.116119</v>
      </c>
      <c r="T53">
        <f t="shared" si="2"/>
        <v>16.863827160493827</v>
      </c>
      <c r="U53">
        <f t="shared" si="3"/>
        <v>1.9659343788888888</v>
      </c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5.5244499999999999</v>
      </c>
      <c r="I54" s="21">
        <v>-2.6831099999999998E-3</v>
      </c>
      <c r="J54" s="21">
        <v>44</v>
      </c>
      <c r="K54" s="21">
        <v>1.5777600000000001</v>
      </c>
      <c r="L54">
        <f t="shared" si="0"/>
        <v>3.3124814814814809</v>
      </c>
      <c r="M54">
        <f t="shared" si="1"/>
        <v>5.2283213959259252</v>
      </c>
      <c r="N54" s="9"/>
      <c r="O54" s="21">
        <v>0.121613</v>
      </c>
      <c r="P54" s="21">
        <v>9.3436299999999992</v>
      </c>
      <c r="Q54" s="21">
        <v>-1.36536E-2</v>
      </c>
      <c r="R54" s="21">
        <v>44</v>
      </c>
      <c r="S54" s="21">
        <v>0.121155</v>
      </c>
      <c r="T54">
        <f t="shared" si="2"/>
        <v>16.856296296296296</v>
      </c>
      <c r="U54">
        <f t="shared" si="3"/>
        <v>2.0499447614814814</v>
      </c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5.5345199999999997</v>
      </c>
      <c r="I55" s="21">
        <v>-2.76794E-3</v>
      </c>
      <c r="J55" s="21">
        <v>45</v>
      </c>
      <c r="K55" s="21">
        <v>1.5728800000000001</v>
      </c>
      <c r="L55">
        <f t="shared" si="0"/>
        <v>3.4172098765432097</v>
      </c>
      <c r="M55">
        <f t="shared" si="1"/>
        <v>5.3763988150617275</v>
      </c>
      <c r="N55" s="9"/>
      <c r="O55" s="21">
        <v>0.12664800000000001</v>
      </c>
      <c r="P55" s="21">
        <v>9.3536999999999999</v>
      </c>
      <c r="Q55" s="21">
        <v>-1.3650499999999999E-2</v>
      </c>
      <c r="R55" s="21">
        <v>45</v>
      </c>
      <c r="S55" s="21">
        <v>0.12612899999999999</v>
      </c>
      <c r="T55">
        <f t="shared" si="2"/>
        <v>16.852469135802469</v>
      </c>
      <c r="U55">
        <f t="shared" si="3"/>
        <v>2.1343315111111112</v>
      </c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5.5445900000000004</v>
      </c>
      <c r="I56" s="21">
        <v>-2.85309E-3</v>
      </c>
      <c r="J56" s="21">
        <v>46</v>
      </c>
      <c r="K56" s="21">
        <v>1.5683</v>
      </c>
      <c r="L56">
        <f t="shared" si="0"/>
        <v>3.5223333333333331</v>
      </c>
      <c r="M56">
        <f t="shared" si="1"/>
        <v>5.5240753666666667</v>
      </c>
      <c r="N56" s="9"/>
      <c r="O56" s="21">
        <v>0.13168299999999999</v>
      </c>
      <c r="P56" s="21">
        <v>9.3637800000000002</v>
      </c>
      <c r="Q56" s="21">
        <v>-1.36475E-2</v>
      </c>
      <c r="R56" s="21">
        <v>46</v>
      </c>
      <c r="S56" s="21">
        <v>0.13119500000000001</v>
      </c>
      <c r="T56">
        <f t="shared" si="2"/>
        <v>16.848765432098766</v>
      </c>
      <c r="U56">
        <f t="shared" si="3"/>
        <v>2.2186959783950617</v>
      </c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5.5546600000000002</v>
      </c>
      <c r="I57" s="21">
        <v>-2.9364E-3</v>
      </c>
      <c r="J57" s="21">
        <v>47</v>
      </c>
      <c r="K57" s="21">
        <v>1.5625</v>
      </c>
      <c r="L57">
        <f t="shared" si="0"/>
        <v>3.6251851851851851</v>
      </c>
      <c r="M57">
        <f t="shared" si="1"/>
        <v>5.6671069925925925</v>
      </c>
      <c r="N57" s="9"/>
      <c r="O57" s="21">
        <v>0.13671900000000001</v>
      </c>
      <c r="P57" s="21">
        <v>9.3738499999999991</v>
      </c>
      <c r="Q57" s="21">
        <v>-1.36475E-2</v>
      </c>
      <c r="R57" s="21">
        <v>47</v>
      </c>
      <c r="S57" s="21">
        <v>0.13619999999999999</v>
      </c>
      <c r="T57">
        <f t="shared" si="2"/>
        <v>16.848765432098766</v>
      </c>
      <c r="U57">
        <f t="shared" si="3"/>
        <v>2.3035463611111111</v>
      </c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5.56473</v>
      </c>
      <c r="I58" s="21">
        <v>-3.0203199999999999E-3</v>
      </c>
      <c r="J58" s="21">
        <v>48</v>
      </c>
      <c r="K58" s="21">
        <v>1.55731</v>
      </c>
      <c r="L58">
        <f t="shared" si="0"/>
        <v>3.7287901234567902</v>
      </c>
      <c r="M58">
        <f t="shared" si="1"/>
        <v>5.8103126340740738</v>
      </c>
      <c r="N58" s="9"/>
      <c r="O58" s="21">
        <v>0.14175399999999999</v>
      </c>
      <c r="P58" s="21">
        <v>9.3839199999999998</v>
      </c>
      <c r="Q58" s="21">
        <v>-1.36414E-2</v>
      </c>
      <c r="R58" s="21">
        <v>48</v>
      </c>
      <c r="S58" s="21">
        <v>0.141296</v>
      </c>
      <c r="T58">
        <f t="shared" si="2"/>
        <v>16.841234567901232</v>
      </c>
      <c r="U58">
        <f t="shared" si="3"/>
        <v>2.3873123649382713</v>
      </c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5.5747999999999998</v>
      </c>
      <c r="I59" s="21">
        <v>-3.1027199999999998E-3</v>
      </c>
      <c r="J59" s="21">
        <v>49</v>
      </c>
      <c r="K59" s="21">
        <v>1.5527299999999999</v>
      </c>
      <c r="L59">
        <f t="shared" si="0"/>
        <v>3.830518518518518</v>
      </c>
      <c r="M59">
        <f t="shared" si="1"/>
        <v>5.9495230577777773</v>
      </c>
      <c r="N59" s="9"/>
      <c r="O59" s="21">
        <v>0.14679</v>
      </c>
      <c r="P59" s="21">
        <v>9.3939900000000005</v>
      </c>
      <c r="Q59" s="21">
        <v>-1.36353E-2</v>
      </c>
      <c r="R59" s="21">
        <v>49</v>
      </c>
      <c r="S59" s="21">
        <v>0.14633199999999999</v>
      </c>
      <c r="T59">
        <f t="shared" si="2"/>
        <v>16.833703703703701</v>
      </c>
      <c r="U59">
        <f t="shared" si="3"/>
        <v>2.4710193666666664</v>
      </c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5.5848699999999996</v>
      </c>
      <c r="I60" s="21">
        <v>-3.18542E-3</v>
      </c>
      <c r="J60" s="21">
        <v>50</v>
      </c>
      <c r="K60" s="21">
        <v>1.5478499999999999</v>
      </c>
      <c r="L60">
        <f t="shared" si="0"/>
        <v>3.9326172839506168</v>
      </c>
      <c r="M60">
        <f t="shared" si="1"/>
        <v>6.0883207743209873</v>
      </c>
      <c r="N60" s="9"/>
      <c r="O60" s="21">
        <v>0.15182499999999999</v>
      </c>
      <c r="P60" s="21">
        <v>9.4040599999999994</v>
      </c>
      <c r="Q60" s="21">
        <v>-1.36414E-2</v>
      </c>
      <c r="R60" s="21">
        <v>50</v>
      </c>
      <c r="S60" s="21">
        <v>0.151337</v>
      </c>
      <c r="T60">
        <f t="shared" si="2"/>
        <v>16.841234567901232</v>
      </c>
      <c r="U60">
        <f t="shared" si="3"/>
        <v>2.5569204382716042</v>
      </c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5.5949400000000002</v>
      </c>
      <c r="I61" s="21">
        <v>-3.2678199999999998E-3</v>
      </c>
      <c r="J61" s="21">
        <v>51</v>
      </c>
      <c r="K61" s="21">
        <v>1.5426599999999999</v>
      </c>
      <c r="L61">
        <f t="shared" si="0"/>
        <v>4.0343456790123451</v>
      </c>
      <c r="M61">
        <f t="shared" si="1"/>
        <v>6.2254795041975299</v>
      </c>
      <c r="N61" s="9"/>
      <c r="O61" s="21">
        <v>0.15686</v>
      </c>
      <c r="P61" s="21">
        <v>9.4141300000000001</v>
      </c>
      <c r="Q61" s="21">
        <v>-1.3650499999999999E-2</v>
      </c>
      <c r="R61" s="21">
        <v>51</v>
      </c>
      <c r="S61" s="21">
        <v>0.15637200000000001</v>
      </c>
      <c r="T61">
        <f t="shared" si="2"/>
        <v>16.852469135802469</v>
      </c>
      <c r="U61">
        <f t="shared" si="3"/>
        <v>2.6434783086419751</v>
      </c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5.60501</v>
      </c>
      <c r="I62" s="21">
        <v>-3.35083E-3</v>
      </c>
      <c r="J62" s="21">
        <v>52</v>
      </c>
      <c r="K62" s="21">
        <v>1.5371699999999999</v>
      </c>
      <c r="L62">
        <f t="shared" si="0"/>
        <v>4.1368271604938265</v>
      </c>
      <c r="M62">
        <f t="shared" si="1"/>
        <v>6.3628124872839491</v>
      </c>
      <c r="N62" s="9"/>
      <c r="O62" s="21">
        <v>0.16189600000000001</v>
      </c>
      <c r="P62" s="21">
        <v>9.4242000000000008</v>
      </c>
      <c r="Q62" s="21">
        <v>-1.36566E-2</v>
      </c>
      <c r="R62" s="21">
        <v>52</v>
      </c>
      <c r="S62" s="21">
        <v>0.16140699999999999</v>
      </c>
      <c r="T62">
        <f t="shared" si="2"/>
        <v>16.86</v>
      </c>
      <c r="U62">
        <f t="shared" si="3"/>
        <v>2.7295665600000003</v>
      </c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5.6150799999999998</v>
      </c>
      <c r="I63" s="21">
        <v>-3.4329199999999999E-3</v>
      </c>
      <c r="J63" s="21">
        <v>53</v>
      </c>
      <c r="K63" s="21">
        <v>1.5335099999999999</v>
      </c>
      <c r="L63">
        <f t="shared" si="0"/>
        <v>4.2381728395061717</v>
      </c>
      <c r="M63">
        <f t="shared" si="1"/>
        <v>6.4973308716049365</v>
      </c>
      <c r="N63" s="9"/>
      <c r="O63" s="21">
        <v>0.166931</v>
      </c>
      <c r="P63" s="21">
        <v>9.4342699999999997</v>
      </c>
      <c r="Q63" s="21">
        <v>-1.36475E-2</v>
      </c>
      <c r="R63" s="21">
        <v>53</v>
      </c>
      <c r="S63" s="21">
        <v>0.166351</v>
      </c>
      <c r="T63">
        <f t="shared" si="2"/>
        <v>16.848765432098766</v>
      </c>
      <c r="U63">
        <f t="shared" si="3"/>
        <v>2.8125812623456792</v>
      </c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5.6251600000000002</v>
      </c>
      <c r="I64" s="21">
        <v>-3.5147099999999999E-3</v>
      </c>
      <c r="J64" s="21">
        <v>54</v>
      </c>
      <c r="K64" s="21">
        <v>1.5274000000000001</v>
      </c>
      <c r="L64">
        <f t="shared" si="0"/>
        <v>4.3391481481481478</v>
      </c>
      <c r="M64">
        <f t="shared" si="1"/>
        <v>6.6303051533333326</v>
      </c>
      <c r="N64" s="9"/>
      <c r="O64" s="21">
        <v>0.17196700000000001</v>
      </c>
      <c r="P64" s="21">
        <v>9.4443400000000004</v>
      </c>
      <c r="Q64" s="21">
        <v>-1.36414E-2</v>
      </c>
      <c r="R64" s="21">
        <v>54</v>
      </c>
      <c r="S64" s="21">
        <v>0.17147799999999999</v>
      </c>
      <c r="T64">
        <f t="shared" si="2"/>
        <v>16.841234567901232</v>
      </c>
      <c r="U64">
        <f t="shared" si="3"/>
        <v>2.8961365849382714</v>
      </c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5.63523</v>
      </c>
      <c r="I65" s="21">
        <v>-3.5967999999999998E-3</v>
      </c>
      <c r="J65" s="21">
        <v>55</v>
      </c>
      <c r="K65" s="21">
        <v>1.5219100000000001</v>
      </c>
      <c r="L65">
        <f t="shared" si="0"/>
        <v>4.440493827160493</v>
      </c>
      <c r="M65">
        <f t="shared" si="1"/>
        <v>6.7627832888888877</v>
      </c>
      <c r="N65" s="9"/>
      <c r="O65" s="21">
        <v>0.17700199999999999</v>
      </c>
      <c r="P65" s="21">
        <v>9.4544099999999993</v>
      </c>
      <c r="Q65" s="21">
        <v>-1.3623E-2</v>
      </c>
      <c r="R65" s="21">
        <v>55</v>
      </c>
      <c r="S65" s="21">
        <v>0.176453</v>
      </c>
      <c r="T65">
        <f t="shared" si="2"/>
        <v>16.818518518518516</v>
      </c>
      <c r="U65">
        <f t="shared" si="3"/>
        <v>2.9769114148148144</v>
      </c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5.6452999999999998</v>
      </c>
      <c r="I66" s="21">
        <v>-3.6776700000000001E-3</v>
      </c>
      <c r="J66" s="21">
        <v>56</v>
      </c>
      <c r="K66" s="21">
        <v>1.5173300000000001</v>
      </c>
      <c r="L66">
        <f t="shared" si="0"/>
        <v>4.5403333333333329</v>
      </c>
      <c r="M66">
        <f t="shared" si="1"/>
        <v>6.89195358</v>
      </c>
      <c r="N66" s="9"/>
      <c r="O66" s="21">
        <v>0.182037</v>
      </c>
      <c r="P66" s="21">
        <v>9.4644899999999996</v>
      </c>
      <c r="Q66" s="21">
        <v>-1.3616899999999999E-2</v>
      </c>
      <c r="R66" s="21">
        <v>56</v>
      </c>
      <c r="S66" s="21">
        <v>0.18157999999999999</v>
      </c>
      <c r="T66">
        <f t="shared" si="2"/>
        <v>16.810987654320986</v>
      </c>
      <c r="U66">
        <f t="shared" si="3"/>
        <v>3.0602217596296293</v>
      </c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5.6553699999999996</v>
      </c>
      <c r="I67" s="21">
        <v>-3.7576300000000001E-3</v>
      </c>
      <c r="J67" s="21">
        <v>57</v>
      </c>
      <c r="K67" s="21">
        <v>1.5124500000000001</v>
      </c>
      <c r="L67">
        <f t="shared" si="0"/>
        <v>4.6390493827160491</v>
      </c>
      <c r="M67">
        <f t="shared" si="1"/>
        <v>7.0184642016049379</v>
      </c>
      <c r="N67" s="9"/>
      <c r="O67" s="21">
        <v>0.18707299999999999</v>
      </c>
      <c r="P67" s="21">
        <v>9.4745600000000003</v>
      </c>
      <c r="Q67" s="21">
        <v>-1.3610799999999999E-2</v>
      </c>
      <c r="R67" s="21">
        <v>57</v>
      </c>
      <c r="S67" s="21">
        <v>0.186554</v>
      </c>
      <c r="T67">
        <f t="shared" si="2"/>
        <v>16.803456790123455</v>
      </c>
      <c r="U67">
        <f t="shared" si="3"/>
        <v>3.1434730720987649</v>
      </c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5.6654400000000003</v>
      </c>
      <c r="I68" s="21">
        <v>-3.8378900000000001E-3</v>
      </c>
      <c r="J68" s="21">
        <v>58</v>
      </c>
      <c r="K68" s="21">
        <v>1.50726</v>
      </c>
      <c r="L68">
        <f t="shared" si="0"/>
        <v>4.7381358024691353</v>
      </c>
      <c r="M68">
        <f t="shared" si="1"/>
        <v>7.144492832469135</v>
      </c>
      <c r="N68" s="9"/>
      <c r="O68" s="21">
        <v>0.192108</v>
      </c>
      <c r="P68" s="21">
        <v>9.4846299999999992</v>
      </c>
      <c r="Q68" s="21">
        <v>-1.3616899999999999E-2</v>
      </c>
      <c r="R68" s="21">
        <v>58</v>
      </c>
      <c r="S68" s="21">
        <v>0.19162000000000001</v>
      </c>
      <c r="T68">
        <f t="shared" si="2"/>
        <v>16.810987654320986</v>
      </c>
      <c r="U68">
        <f t="shared" si="3"/>
        <v>3.2295252162962957</v>
      </c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5.6755100000000001</v>
      </c>
      <c r="I69" s="21">
        <v>-3.9187600000000003E-3</v>
      </c>
      <c r="J69" s="21">
        <v>59</v>
      </c>
      <c r="K69" s="21">
        <v>1.5020800000000001</v>
      </c>
      <c r="L69">
        <f t="shared" si="0"/>
        <v>4.8379753086419752</v>
      </c>
      <c r="M69">
        <f t="shared" si="1"/>
        <v>7.2707028128395059</v>
      </c>
      <c r="N69" s="9"/>
      <c r="O69" s="21">
        <v>0.19714400000000001</v>
      </c>
      <c r="P69" s="21">
        <v>9.4946999999999999</v>
      </c>
      <c r="Q69" s="21">
        <v>-1.36261E-2</v>
      </c>
      <c r="R69" s="21">
        <v>59</v>
      </c>
      <c r="S69" s="21">
        <v>0.196686</v>
      </c>
      <c r="T69">
        <f t="shared" si="2"/>
        <v>16.822345679012344</v>
      </c>
      <c r="U69">
        <f t="shared" si="3"/>
        <v>3.3164245165432096</v>
      </c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5.6855799999999999</v>
      </c>
      <c r="I70" s="21">
        <v>-3.9968900000000003E-3</v>
      </c>
      <c r="J70" s="21">
        <v>60</v>
      </c>
      <c r="K70" s="21">
        <v>1.49719</v>
      </c>
      <c r="L70">
        <f t="shared" si="0"/>
        <v>4.9344320987654324</v>
      </c>
      <c r="M70">
        <f t="shared" si="1"/>
        <v>7.3907923975308645</v>
      </c>
      <c r="N70" s="9"/>
      <c r="O70" s="21">
        <v>0.202179</v>
      </c>
      <c r="P70" s="21">
        <v>9.5047700000000006</v>
      </c>
      <c r="Q70" s="21">
        <v>-1.362E-2</v>
      </c>
      <c r="R70" s="21">
        <v>60</v>
      </c>
      <c r="S70" s="21">
        <v>0.20166000000000001</v>
      </c>
      <c r="T70">
        <f t="shared" si="2"/>
        <v>16.814814814814813</v>
      </c>
      <c r="U70">
        <f t="shared" si="3"/>
        <v>3.3996024444444441</v>
      </c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5.6956499999999997</v>
      </c>
      <c r="I71" s="21">
        <v>-4.07654E-3</v>
      </c>
      <c r="J71" s="21">
        <v>61</v>
      </c>
      <c r="K71" s="21">
        <v>1.49231</v>
      </c>
      <c r="L71">
        <f t="shared" si="0"/>
        <v>5.0327654320987651</v>
      </c>
      <c r="M71">
        <f t="shared" si="1"/>
        <v>7.5127612540740731</v>
      </c>
      <c r="N71" s="9"/>
      <c r="O71" s="21">
        <v>0.20721400000000001</v>
      </c>
      <c r="P71" s="21">
        <v>9.5148399999999995</v>
      </c>
      <c r="Q71" s="21">
        <v>-1.3598600000000001E-2</v>
      </c>
      <c r="R71" s="21">
        <v>61</v>
      </c>
      <c r="S71" s="21">
        <v>0.20672599999999999</v>
      </c>
      <c r="T71">
        <f t="shared" si="2"/>
        <v>16.788395061728394</v>
      </c>
      <c r="U71">
        <f t="shared" si="3"/>
        <v>3.4787904943209877</v>
      </c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5.7057200000000003</v>
      </c>
      <c r="I72" s="21">
        <v>-4.1531399999999996E-3</v>
      </c>
      <c r="J72" s="21">
        <v>62</v>
      </c>
      <c r="K72" s="21">
        <v>1.48743</v>
      </c>
      <c r="L72">
        <f t="shared" si="0"/>
        <v>5.1273333333333326</v>
      </c>
      <c r="M72">
        <f t="shared" si="1"/>
        <v>7.6280876199999987</v>
      </c>
      <c r="N72" s="9"/>
      <c r="O72" s="21">
        <v>0.21224999999999999</v>
      </c>
      <c r="P72" s="21">
        <v>9.5249100000000002</v>
      </c>
      <c r="Q72" s="21">
        <v>-1.35803E-2</v>
      </c>
      <c r="R72" s="21">
        <v>62</v>
      </c>
      <c r="S72" s="21">
        <v>0.21179200000000001</v>
      </c>
      <c r="T72">
        <f t="shared" si="2"/>
        <v>16.765802469135803</v>
      </c>
      <c r="U72">
        <f t="shared" si="3"/>
        <v>3.558541574074074</v>
      </c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5.7157900000000001</v>
      </c>
      <c r="I73" s="21">
        <v>-4.2312599999999997E-3</v>
      </c>
      <c r="J73" s="21">
        <v>63</v>
      </c>
      <c r="K73" s="21">
        <v>1.48254</v>
      </c>
      <c r="L73">
        <f t="shared" si="0"/>
        <v>5.2237777777777765</v>
      </c>
      <c r="M73">
        <f t="shared" si="1"/>
        <v>7.7452953111111089</v>
      </c>
      <c r="N73" s="9"/>
      <c r="O73" s="21">
        <v>0.21728500000000001</v>
      </c>
      <c r="P73" s="21">
        <v>9.5349799999999991</v>
      </c>
      <c r="Q73" s="21">
        <v>-1.35651E-2</v>
      </c>
      <c r="R73" s="21">
        <v>63</v>
      </c>
      <c r="S73" s="21">
        <v>0.21673600000000001</v>
      </c>
      <c r="T73">
        <f t="shared" si="2"/>
        <v>16.747037037037035</v>
      </c>
      <c r="U73">
        <f t="shared" si="3"/>
        <v>3.6388799425925922</v>
      </c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5.7258699999999996</v>
      </c>
      <c r="I74" s="21">
        <v>-4.3103000000000004E-3</v>
      </c>
      <c r="J74" s="21">
        <v>64</v>
      </c>
      <c r="K74" s="21">
        <v>1.47705</v>
      </c>
      <c r="L74">
        <f t="shared" si="0"/>
        <v>5.3213580246913583</v>
      </c>
      <c r="M74">
        <f t="shared" si="1"/>
        <v>7.863157898765432</v>
      </c>
      <c r="N74" s="9"/>
      <c r="O74" s="21">
        <v>0.22232099999999999</v>
      </c>
      <c r="P74" s="21">
        <v>9.5450499999999998</v>
      </c>
      <c r="Q74" s="21">
        <v>-1.35681E-2</v>
      </c>
      <c r="R74" s="21">
        <v>64</v>
      </c>
      <c r="S74" s="21">
        <v>0.22174099999999999</v>
      </c>
      <c r="T74">
        <f t="shared" si="2"/>
        <v>16.750740740740738</v>
      </c>
      <c r="U74">
        <f t="shared" si="3"/>
        <v>3.7240414322222217</v>
      </c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5.7359400000000003</v>
      </c>
      <c r="I75" s="21">
        <v>-4.3890400000000003E-3</v>
      </c>
      <c r="J75" s="21">
        <v>65</v>
      </c>
      <c r="K75" s="21">
        <v>1.47217</v>
      </c>
      <c r="L75">
        <f t="shared" si="0"/>
        <v>5.4185679012345682</v>
      </c>
      <c r="M75">
        <f t="shared" si="1"/>
        <v>7.9795456483950629</v>
      </c>
      <c r="N75" s="9"/>
      <c r="O75" s="21">
        <v>0.227356</v>
      </c>
      <c r="P75" s="21">
        <v>9.5551200000000005</v>
      </c>
      <c r="Q75" s="21">
        <v>-1.35681E-2</v>
      </c>
      <c r="R75" s="21">
        <v>65</v>
      </c>
      <c r="S75" s="21">
        <v>0.22683700000000001</v>
      </c>
      <c r="T75">
        <f t="shared" si="2"/>
        <v>16.750740740740738</v>
      </c>
      <c r="U75">
        <f t="shared" si="3"/>
        <v>3.8083814118518515</v>
      </c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5.7460100000000001</v>
      </c>
      <c r="I76" s="21">
        <v>-4.4677700000000002E-3</v>
      </c>
      <c r="J76" s="21">
        <v>66</v>
      </c>
      <c r="K76" s="21">
        <v>1.46698</v>
      </c>
      <c r="L76">
        <f t="shared" ref="L76:L139" si="4">-I76/$F$2*1000</f>
        <v>5.5157654320987657</v>
      </c>
      <c r="M76">
        <f t="shared" ref="M76:M139" si="5">L76*G76</f>
        <v>8.0948821904938271</v>
      </c>
      <c r="N76" s="9"/>
      <c r="O76" s="21">
        <v>0.23239099999999999</v>
      </c>
      <c r="P76" s="21">
        <v>9.5652000000000008</v>
      </c>
      <c r="Q76" s="21">
        <v>-1.35712E-2</v>
      </c>
      <c r="R76" s="21">
        <v>66</v>
      </c>
      <c r="S76" s="21">
        <v>0.231873</v>
      </c>
      <c r="T76">
        <f t="shared" ref="T76:T139" si="6">-Q76/$F$2*1000</f>
        <v>16.754567901234566</v>
      </c>
      <c r="U76">
        <f t="shared" ref="U76:U139" si="7">T76*O76</f>
        <v>3.8936107891358018</v>
      </c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5.7560799999999999</v>
      </c>
      <c r="I77" s="21">
        <v>-4.54376E-3</v>
      </c>
      <c r="J77" s="21">
        <v>67</v>
      </c>
      <c r="K77" s="21">
        <v>1.46149</v>
      </c>
      <c r="L77">
        <f t="shared" si="4"/>
        <v>5.6095802469135805</v>
      </c>
      <c r="M77">
        <f t="shared" si="5"/>
        <v>8.2042915901234572</v>
      </c>
      <c r="N77" s="9"/>
      <c r="O77" s="21">
        <v>0.237427</v>
      </c>
      <c r="P77" s="21">
        <v>9.5752699999999997</v>
      </c>
      <c r="Q77" s="21">
        <v>-1.35712E-2</v>
      </c>
      <c r="R77" s="21">
        <v>67</v>
      </c>
      <c r="S77" s="21">
        <v>0.236877</v>
      </c>
      <c r="T77">
        <f t="shared" si="6"/>
        <v>16.754567901234566</v>
      </c>
      <c r="U77">
        <f t="shared" si="7"/>
        <v>3.9779867930864192</v>
      </c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5.7661499999999997</v>
      </c>
      <c r="I78" s="21">
        <v>-4.6166999999999996E-3</v>
      </c>
      <c r="J78" s="21">
        <v>68</v>
      </c>
      <c r="K78" s="21">
        <v>1.4569099999999999</v>
      </c>
      <c r="L78">
        <f t="shared" si="4"/>
        <v>5.6996296296296292</v>
      </c>
      <c r="M78">
        <f t="shared" si="5"/>
        <v>8.307324177777776</v>
      </c>
      <c r="N78" s="9"/>
      <c r="O78" s="21">
        <v>0.24246200000000001</v>
      </c>
      <c r="P78" s="21">
        <v>9.5853400000000004</v>
      </c>
      <c r="Q78" s="21">
        <v>-1.35712E-2</v>
      </c>
      <c r="R78" s="21">
        <v>68</v>
      </c>
      <c r="S78" s="21">
        <v>0.24197399999999999</v>
      </c>
      <c r="T78">
        <f t="shared" si="6"/>
        <v>16.754567901234566</v>
      </c>
      <c r="U78">
        <f t="shared" si="7"/>
        <v>4.0623460424691356</v>
      </c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5.7762200000000004</v>
      </c>
      <c r="I79" s="21">
        <v>-4.6920800000000004E-3</v>
      </c>
      <c r="J79" s="21">
        <v>69</v>
      </c>
      <c r="K79" s="21">
        <v>1.4520299999999999</v>
      </c>
      <c r="L79">
        <f t="shared" si="4"/>
        <v>5.7926913580246913</v>
      </c>
      <c r="M79">
        <f t="shared" si="5"/>
        <v>8.413768343703703</v>
      </c>
      <c r="N79" s="9"/>
      <c r="O79" s="21">
        <v>0.247498</v>
      </c>
      <c r="P79" s="21">
        <v>9.5954099999999993</v>
      </c>
      <c r="Q79" s="21">
        <v>-1.35742E-2</v>
      </c>
      <c r="R79" s="21">
        <v>69</v>
      </c>
      <c r="S79" s="21">
        <v>0.246979</v>
      </c>
      <c r="T79">
        <f t="shared" si="6"/>
        <v>16.758271604938273</v>
      </c>
      <c r="U79">
        <f t="shared" si="7"/>
        <v>4.1476387056790127</v>
      </c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5.7862900000000002</v>
      </c>
      <c r="I80" s="21">
        <v>-4.7662399999999997E-3</v>
      </c>
      <c r="J80" s="21">
        <v>70</v>
      </c>
      <c r="K80" s="21">
        <v>1.4474499999999999</v>
      </c>
      <c r="L80">
        <f t="shared" si="4"/>
        <v>5.8842469135802462</v>
      </c>
      <c r="M80">
        <f t="shared" si="5"/>
        <v>8.5171531950617272</v>
      </c>
      <c r="N80" s="9"/>
      <c r="O80" s="21">
        <v>0.25253300000000001</v>
      </c>
      <c r="P80" s="21">
        <v>9.60548</v>
      </c>
      <c r="Q80" s="21">
        <v>-1.35742E-2</v>
      </c>
      <c r="R80" s="21">
        <v>70</v>
      </c>
      <c r="S80" s="21">
        <v>0.25198399999999999</v>
      </c>
      <c r="T80">
        <f t="shared" si="6"/>
        <v>16.758271604938273</v>
      </c>
      <c r="U80">
        <f t="shared" si="7"/>
        <v>4.2320166032098765</v>
      </c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5.79636</v>
      </c>
      <c r="I81" s="21">
        <v>-4.8394800000000002E-3</v>
      </c>
      <c r="J81" s="21">
        <v>71</v>
      </c>
      <c r="K81" s="21">
        <v>1.4419599999999999</v>
      </c>
      <c r="L81">
        <f t="shared" si="4"/>
        <v>5.9746666666666659</v>
      </c>
      <c r="M81">
        <f t="shared" si="5"/>
        <v>8.6179189466666646</v>
      </c>
      <c r="N81" s="9"/>
      <c r="O81" s="21">
        <v>0.25756800000000002</v>
      </c>
      <c r="P81" s="21">
        <v>9.6155500000000007</v>
      </c>
      <c r="Q81" s="21">
        <v>-1.35803E-2</v>
      </c>
      <c r="R81" s="21">
        <v>71</v>
      </c>
      <c r="S81" s="21">
        <v>0.25695800000000002</v>
      </c>
      <c r="T81">
        <f t="shared" si="6"/>
        <v>16.765802469135803</v>
      </c>
      <c r="U81">
        <f t="shared" si="7"/>
        <v>4.318334210370371</v>
      </c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5.8064299999999998</v>
      </c>
      <c r="I82" s="21">
        <v>-4.9148600000000001E-3</v>
      </c>
      <c r="J82" s="21">
        <v>72</v>
      </c>
      <c r="K82" s="21">
        <v>1.4364600000000001</v>
      </c>
      <c r="L82">
        <f t="shared" si="4"/>
        <v>6.067728395061728</v>
      </c>
      <c r="M82">
        <f t="shared" si="5"/>
        <v>8.7216314404938267</v>
      </c>
      <c r="N82" s="9"/>
      <c r="O82" s="21">
        <v>0.262604</v>
      </c>
      <c r="P82" s="21">
        <v>9.6256199999999996</v>
      </c>
      <c r="Q82" s="21">
        <v>-1.3589499999999999E-2</v>
      </c>
      <c r="R82" s="21">
        <v>72</v>
      </c>
      <c r="S82" s="21">
        <v>0.26205400000000001</v>
      </c>
      <c r="T82">
        <f t="shared" si="6"/>
        <v>16.777160493827161</v>
      </c>
      <c r="U82">
        <f t="shared" si="7"/>
        <v>4.4057494543209881</v>
      </c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5.8164999999999996</v>
      </c>
      <c r="I83" s="21">
        <v>-4.9905399999999999E-3</v>
      </c>
      <c r="J83" s="21">
        <v>73</v>
      </c>
      <c r="K83" s="21">
        <v>1.43188</v>
      </c>
      <c r="L83">
        <f t="shared" si="4"/>
        <v>6.1611604938271602</v>
      </c>
      <c r="M83">
        <f t="shared" si="5"/>
        <v>8.8248766217283947</v>
      </c>
      <c r="N83" s="9"/>
      <c r="O83" s="21">
        <v>0.26763900000000002</v>
      </c>
      <c r="P83" s="21">
        <v>9.6356900000000003</v>
      </c>
      <c r="Q83" s="21">
        <v>-1.35925E-2</v>
      </c>
      <c r="R83" s="21">
        <v>73</v>
      </c>
      <c r="S83" s="21">
        <v>0.26708999999999999</v>
      </c>
      <c r="T83">
        <f t="shared" si="6"/>
        <v>16.780864197530864</v>
      </c>
      <c r="U83">
        <f t="shared" si="7"/>
        <v>4.4912137129629635</v>
      </c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5.8265799999999999</v>
      </c>
      <c r="I84" s="21">
        <v>-5.0598099999999997E-3</v>
      </c>
      <c r="J84" s="21">
        <v>74</v>
      </c>
      <c r="K84" s="21">
        <v>1.4267000000000001</v>
      </c>
      <c r="L84">
        <f t="shared" si="4"/>
        <v>6.2466790123456777</v>
      </c>
      <c r="M84">
        <f t="shared" si="5"/>
        <v>8.9159474211111096</v>
      </c>
      <c r="N84" s="9"/>
      <c r="O84" s="21">
        <v>0.272675</v>
      </c>
      <c r="P84" s="21">
        <v>9.6457599999999992</v>
      </c>
      <c r="Q84" s="21">
        <v>-1.35925E-2</v>
      </c>
      <c r="R84" s="21">
        <v>74</v>
      </c>
      <c r="S84" s="21">
        <v>0.27209499999999998</v>
      </c>
      <c r="T84">
        <f t="shared" si="6"/>
        <v>16.780864197530864</v>
      </c>
      <c r="U84">
        <f t="shared" si="7"/>
        <v>4.5757221450617287</v>
      </c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5.8366499999999997</v>
      </c>
      <c r="I85" s="21">
        <v>-5.1269499999999999E-3</v>
      </c>
      <c r="J85" s="21">
        <v>75</v>
      </c>
      <c r="K85" s="21">
        <v>1.4221200000000001</v>
      </c>
      <c r="L85">
        <f t="shared" si="4"/>
        <v>6.3295679012345669</v>
      </c>
      <c r="M85">
        <f t="shared" si="5"/>
        <v>9.0023545388888877</v>
      </c>
      <c r="N85" s="9"/>
      <c r="O85" s="21">
        <v>0.27771000000000001</v>
      </c>
      <c r="P85" s="21">
        <v>9.6558299999999999</v>
      </c>
      <c r="Q85" s="21">
        <v>-1.35925E-2</v>
      </c>
      <c r="R85" s="21">
        <v>75</v>
      </c>
      <c r="S85" s="21">
        <v>0.277252</v>
      </c>
      <c r="T85">
        <f t="shared" si="6"/>
        <v>16.780864197530864</v>
      </c>
      <c r="U85">
        <f t="shared" si="7"/>
        <v>4.6602137962962962</v>
      </c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5.8467200000000004</v>
      </c>
      <c r="I86" s="21">
        <v>-5.2002000000000003E-3</v>
      </c>
      <c r="J86" s="21">
        <v>76</v>
      </c>
      <c r="K86" s="21">
        <v>1.4166300000000001</v>
      </c>
      <c r="L86">
        <f t="shared" si="4"/>
        <v>6.42</v>
      </c>
      <c r="M86">
        <f t="shared" si="5"/>
        <v>9.0986808000000003</v>
      </c>
      <c r="N86" s="9"/>
      <c r="O86" s="21">
        <v>0.28274500000000002</v>
      </c>
      <c r="P86" s="21">
        <v>9.6659100000000002</v>
      </c>
      <c r="Q86" s="21">
        <v>-1.3589499999999999E-2</v>
      </c>
      <c r="R86" s="21">
        <v>76</v>
      </c>
      <c r="S86" s="21">
        <v>0.282196</v>
      </c>
      <c r="T86">
        <f t="shared" si="6"/>
        <v>16.777160493827161</v>
      </c>
      <c r="U86">
        <f t="shared" si="7"/>
        <v>4.7436582438271611</v>
      </c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5.8567900000000002</v>
      </c>
      <c r="I87" s="21">
        <v>-5.2703899999999998E-3</v>
      </c>
      <c r="J87" s="21">
        <v>77</v>
      </c>
      <c r="K87" s="21">
        <v>1.41144</v>
      </c>
      <c r="L87">
        <f t="shared" si="4"/>
        <v>6.5066543209876535</v>
      </c>
      <c r="M87">
        <f t="shared" si="5"/>
        <v>9.1886972320987628</v>
      </c>
      <c r="N87" s="9"/>
      <c r="O87" s="21">
        <v>0.28778100000000001</v>
      </c>
      <c r="P87" s="21">
        <v>9.6759799999999991</v>
      </c>
      <c r="Q87" s="21">
        <v>-1.3583400000000001E-2</v>
      </c>
      <c r="R87" s="21">
        <v>77</v>
      </c>
      <c r="S87" s="21">
        <v>0.28729199999999999</v>
      </c>
      <c r="T87">
        <f t="shared" si="6"/>
        <v>16.76962962962963</v>
      </c>
      <c r="U87">
        <f t="shared" si="7"/>
        <v>4.8259807844444449</v>
      </c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5.86686</v>
      </c>
      <c r="I88" s="21">
        <v>-5.3405800000000002E-3</v>
      </c>
      <c r="J88" s="21">
        <v>78</v>
      </c>
      <c r="K88" s="21">
        <v>1.40686</v>
      </c>
      <c r="L88">
        <f t="shared" si="4"/>
        <v>6.5933086419753089</v>
      </c>
      <c r="M88">
        <f t="shared" si="5"/>
        <v>9.277906121728396</v>
      </c>
      <c r="N88" s="9"/>
      <c r="O88" s="21">
        <v>0.29281600000000002</v>
      </c>
      <c r="P88" s="21">
        <v>9.6860499999999998</v>
      </c>
      <c r="Q88" s="21">
        <v>-1.35803E-2</v>
      </c>
      <c r="R88" s="21">
        <v>78</v>
      </c>
      <c r="S88" s="21">
        <v>0.292236</v>
      </c>
      <c r="T88">
        <f t="shared" si="6"/>
        <v>16.765802469135803</v>
      </c>
      <c r="U88">
        <f t="shared" si="7"/>
        <v>4.9092952158024694</v>
      </c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5.8769299999999998</v>
      </c>
      <c r="I89" s="21">
        <v>-5.4107699999999996E-3</v>
      </c>
      <c r="J89" s="21">
        <v>79</v>
      </c>
      <c r="K89" s="21">
        <v>1.40137</v>
      </c>
      <c r="L89">
        <f t="shared" si="4"/>
        <v>6.6799629629629624</v>
      </c>
      <c r="M89">
        <f t="shared" si="5"/>
        <v>9.3661764692592584</v>
      </c>
      <c r="N89" s="9"/>
      <c r="O89" s="21">
        <v>0.29785200000000001</v>
      </c>
      <c r="P89" s="21">
        <v>9.6961200000000005</v>
      </c>
      <c r="Q89" s="21">
        <v>-1.35742E-2</v>
      </c>
      <c r="R89" s="21">
        <v>79</v>
      </c>
      <c r="S89" s="21">
        <v>0.29730200000000001</v>
      </c>
      <c r="T89">
        <f t="shared" si="6"/>
        <v>16.758271604938273</v>
      </c>
      <c r="U89">
        <f t="shared" si="7"/>
        <v>4.9914847140740743</v>
      </c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5.8869999999999996</v>
      </c>
      <c r="I90" s="21">
        <v>-5.4779099999999999E-3</v>
      </c>
      <c r="J90" s="21">
        <v>80</v>
      </c>
      <c r="K90" s="21">
        <v>1.3964799999999999</v>
      </c>
      <c r="L90">
        <f t="shared" si="4"/>
        <v>6.7628518518518517</v>
      </c>
      <c r="M90">
        <f t="shared" si="5"/>
        <v>9.4483126937037039</v>
      </c>
      <c r="N90" s="9"/>
      <c r="O90" s="21">
        <v>0.30288700000000002</v>
      </c>
      <c r="P90" s="21">
        <v>9.7061899999999994</v>
      </c>
      <c r="Q90" s="21">
        <v>-1.35651E-2</v>
      </c>
      <c r="R90" s="21">
        <v>80</v>
      </c>
      <c r="S90" s="21">
        <v>0.302338</v>
      </c>
      <c r="T90">
        <f t="shared" si="6"/>
        <v>16.747037037037035</v>
      </c>
      <c r="U90">
        <f t="shared" si="7"/>
        <v>5.0724598070370366</v>
      </c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5.8970700000000003</v>
      </c>
      <c r="I91" s="21">
        <v>-5.5450400000000002E-3</v>
      </c>
      <c r="J91" s="21">
        <v>81</v>
      </c>
      <c r="K91" s="21">
        <v>1.3909899999999999</v>
      </c>
      <c r="L91">
        <f t="shared" si="4"/>
        <v>6.8457283950617276</v>
      </c>
      <c r="M91">
        <f t="shared" si="5"/>
        <v>9.5296646696296285</v>
      </c>
      <c r="N91" s="9"/>
      <c r="O91" s="21">
        <v>0.30792199999999997</v>
      </c>
      <c r="P91" s="21">
        <v>9.7162600000000001</v>
      </c>
      <c r="Q91" s="21">
        <v>-1.3555899999999999E-2</v>
      </c>
      <c r="R91" s="21">
        <v>81</v>
      </c>
      <c r="S91" s="21">
        <v>0.30737300000000001</v>
      </c>
      <c r="T91">
        <f t="shared" si="6"/>
        <v>16.735679012345678</v>
      </c>
      <c r="U91">
        <f t="shared" si="7"/>
        <v>5.1532837528395055</v>
      </c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5.9071400000000001</v>
      </c>
      <c r="I92" s="21">
        <v>-5.6152299999999997E-3</v>
      </c>
      <c r="J92" s="21">
        <v>82</v>
      </c>
      <c r="K92" s="21">
        <v>1.38611</v>
      </c>
      <c r="L92">
        <f t="shared" si="4"/>
        <v>6.9323827160493821</v>
      </c>
      <c r="M92">
        <f t="shared" si="5"/>
        <v>9.6153534748148139</v>
      </c>
      <c r="N92" s="9"/>
      <c r="O92" s="21">
        <v>0.31295800000000001</v>
      </c>
      <c r="P92" s="21">
        <v>9.7263300000000008</v>
      </c>
      <c r="Q92" s="21">
        <v>-1.3543700000000001E-2</v>
      </c>
      <c r="R92" s="21">
        <v>82</v>
      </c>
      <c r="S92" s="21">
        <v>0.31240800000000002</v>
      </c>
      <c r="T92">
        <f t="shared" si="6"/>
        <v>16.720617283950617</v>
      </c>
      <c r="U92">
        <f t="shared" si="7"/>
        <v>5.2328509439506172</v>
      </c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5.9172099999999999</v>
      </c>
      <c r="I93" s="21">
        <v>-5.68237E-3</v>
      </c>
      <c r="J93" s="21">
        <v>83</v>
      </c>
      <c r="K93" s="21">
        <v>1.38184</v>
      </c>
      <c r="L93">
        <f t="shared" si="4"/>
        <v>7.0152716049382713</v>
      </c>
      <c r="M93">
        <f t="shared" si="5"/>
        <v>9.6950352053086419</v>
      </c>
      <c r="N93" s="9"/>
      <c r="O93" s="21">
        <v>0.31799300000000003</v>
      </c>
      <c r="P93" s="21">
        <v>9.7363999999999997</v>
      </c>
      <c r="Q93" s="21">
        <v>-1.35345E-2</v>
      </c>
      <c r="R93" s="21">
        <v>83</v>
      </c>
      <c r="S93" s="21">
        <v>0.317413</v>
      </c>
      <c r="T93">
        <f t="shared" si="6"/>
        <v>16.709259259259255</v>
      </c>
      <c r="U93">
        <f t="shared" si="7"/>
        <v>5.3134274796296284</v>
      </c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5.9272900000000002</v>
      </c>
      <c r="I94" s="21">
        <v>-5.7495100000000002E-3</v>
      </c>
      <c r="J94" s="21">
        <v>84</v>
      </c>
      <c r="K94" s="21">
        <v>1.3760399999999999</v>
      </c>
      <c r="L94">
        <f t="shared" si="4"/>
        <v>7.0981604938271605</v>
      </c>
      <c r="M94">
        <f t="shared" si="5"/>
        <v>9.7738120919753086</v>
      </c>
      <c r="N94" s="9"/>
      <c r="O94" s="21">
        <v>0.32302900000000001</v>
      </c>
      <c r="P94" s="21">
        <v>9.7464700000000004</v>
      </c>
      <c r="Q94" s="21">
        <v>-1.3522299999999999E-2</v>
      </c>
      <c r="R94" s="21">
        <v>84</v>
      </c>
      <c r="S94" s="21">
        <v>0.32244899999999999</v>
      </c>
      <c r="T94">
        <f t="shared" si="6"/>
        <v>16.694197530864194</v>
      </c>
      <c r="U94">
        <f t="shared" si="7"/>
        <v>5.39270993419753</v>
      </c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5.93736</v>
      </c>
      <c r="I95" s="21">
        <v>-5.8166499999999996E-3</v>
      </c>
      <c r="J95" s="21">
        <v>85</v>
      </c>
      <c r="K95" s="21">
        <v>1.3717699999999999</v>
      </c>
      <c r="L95">
        <f t="shared" si="4"/>
        <v>7.181049382716048</v>
      </c>
      <c r="M95">
        <f t="shared" si="5"/>
        <v>9.8518252691358015</v>
      </c>
      <c r="N95" s="9"/>
      <c r="O95" s="21">
        <v>0.32806400000000002</v>
      </c>
      <c r="P95" s="21">
        <v>9.7565399999999993</v>
      </c>
      <c r="Q95" s="21">
        <v>-1.35193E-2</v>
      </c>
      <c r="R95" s="21">
        <v>85</v>
      </c>
      <c r="S95" s="21">
        <v>0.327515</v>
      </c>
      <c r="T95">
        <f t="shared" si="6"/>
        <v>16.690493827160495</v>
      </c>
      <c r="U95">
        <f t="shared" si="7"/>
        <v>5.4755501669135809</v>
      </c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5.9474299999999998</v>
      </c>
      <c r="I96" s="21">
        <v>-5.88684E-3</v>
      </c>
      <c r="J96" s="21">
        <v>86</v>
      </c>
      <c r="K96" s="21">
        <v>1.3662700000000001</v>
      </c>
      <c r="L96">
        <f t="shared" si="4"/>
        <v>7.2677037037037033</v>
      </c>
      <c r="M96">
        <f t="shared" si="5"/>
        <v>9.9340788385185181</v>
      </c>
      <c r="N96" s="9"/>
      <c r="O96" s="21">
        <v>0.33309899999999998</v>
      </c>
      <c r="P96" s="21">
        <v>9.7666199999999996</v>
      </c>
      <c r="Q96" s="21">
        <v>-1.35193E-2</v>
      </c>
      <c r="R96" s="21">
        <v>86</v>
      </c>
      <c r="S96" s="21">
        <v>0.33251999999999998</v>
      </c>
      <c r="T96">
        <f t="shared" si="6"/>
        <v>16.690493827160495</v>
      </c>
      <c r="U96">
        <f t="shared" si="7"/>
        <v>5.5595868033333335</v>
      </c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5.9574999999999996</v>
      </c>
      <c r="I97" s="21">
        <v>-5.9539800000000002E-3</v>
      </c>
      <c r="J97" s="21">
        <v>87</v>
      </c>
      <c r="K97" s="21">
        <v>1.3610800000000001</v>
      </c>
      <c r="L97">
        <f t="shared" si="4"/>
        <v>7.3505925925925926</v>
      </c>
      <c r="M97">
        <f t="shared" si="5"/>
        <v>10.010404522222222</v>
      </c>
      <c r="N97" s="9"/>
      <c r="O97" s="21">
        <v>0.33813500000000002</v>
      </c>
      <c r="P97" s="21">
        <v>9.7766900000000003</v>
      </c>
      <c r="Q97" s="21">
        <v>-1.3516200000000001E-2</v>
      </c>
      <c r="R97" s="21">
        <v>87</v>
      </c>
      <c r="S97" s="21">
        <v>0.33758500000000002</v>
      </c>
      <c r="T97">
        <f t="shared" si="6"/>
        <v>16.686666666666664</v>
      </c>
      <c r="U97">
        <f t="shared" si="7"/>
        <v>5.6423460333333324</v>
      </c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5.9675700000000003</v>
      </c>
      <c r="I98" s="21">
        <v>-6.0211199999999996E-3</v>
      </c>
      <c r="J98" s="21">
        <v>88</v>
      </c>
      <c r="K98" s="21">
        <v>1.3565100000000001</v>
      </c>
      <c r="L98">
        <f t="shared" si="4"/>
        <v>7.43348148148148</v>
      </c>
      <c r="M98">
        <f t="shared" si="5"/>
        <v>10.085822008888888</v>
      </c>
      <c r="N98" s="9"/>
      <c r="O98" s="21">
        <v>0.34316999999999998</v>
      </c>
      <c r="P98" s="21">
        <v>9.7867599999999992</v>
      </c>
      <c r="Q98" s="21">
        <v>-1.3507099999999999E-2</v>
      </c>
      <c r="R98" s="21">
        <v>88</v>
      </c>
      <c r="S98" s="21">
        <v>0.34255999999999998</v>
      </c>
      <c r="T98">
        <f t="shared" si="6"/>
        <v>16.67543209876543</v>
      </c>
      <c r="U98">
        <f t="shared" si="7"/>
        <v>5.722508033333332</v>
      </c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5.9776400000000001</v>
      </c>
      <c r="I99" s="21">
        <v>-6.09131E-3</v>
      </c>
      <c r="J99" s="21">
        <v>89</v>
      </c>
      <c r="K99" s="21">
        <v>1.3513200000000001</v>
      </c>
      <c r="L99">
        <f t="shared" si="4"/>
        <v>7.5201358024691354</v>
      </c>
      <c r="M99">
        <f t="shared" si="5"/>
        <v>10.165569175061728</v>
      </c>
      <c r="N99" s="9"/>
      <c r="O99" s="21">
        <v>0.34820600000000002</v>
      </c>
      <c r="P99" s="21">
        <v>9.7968299999999999</v>
      </c>
      <c r="Q99" s="21">
        <v>-1.34918E-2</v>
      </c>
      <c r="R99" s="21">
        <v>89</v>
      </c>
      <c r="S99" s="21">
        <v>0.34762599999999999</v>
      </c>
      <c r="T99">
        <f t="shared" si="6"/>
        <v>16.656543209876542</v>
      </c>
      <c r="U99">
        <f t="shared" si="7"/>
        <v>5.7999082849382715</v>
      </c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5.9877099999999999</v>
      </c>
      <c r="I100" s="21">
        <v>-6.1554000000000001E-3</v>
      </c>
      <c r="J100" s="21">
        <v>90</v>
      </c>
      <c r="K100" s="21">
        <v>1.3458300000000001</v>
      </c>
      <c r="L100">
        <f t="shared" si="4"/>
        <v>7.5992592592592585</v>
      </c>
      <c r="M100">
        <f t="shared" si="5"/>
        <v>10.234226414814815</v>
      </c>
      <c r="N100" s="9"/>
      <c r="O100" s="21">
        <v>0.35324100000000003</v>
      </c>
      <c r="P100" s="21">
        <v>9.8069000000000006</v>
      </c>
      <c r="Q100" s="21">
        <v>-1.34796E-2</v>
      </c>
      <c r="R100" s="21">
        <v>90</v>
      </c>
      <c r="S100" s="21">
        <v>0.35269200000000001</v>
      </c>
      <c r="T100">
        <f t="shared" si="6"/>
        <v>16.641481481481478</v>
      </c>
      <c r="U100">
        <f t="shared" si="7"/>
        <v>5.8784535599999987</v>
      </c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5.9977799999999997</v>
      </c>
      <c r="I101" s="21">
        <v>-6.2225300000000004E-3</v>
      </c>
      <c r="J101" s="21">
        <v>91</v>
      </c>
      <c r="K101" s="21">
        <v>1.34094</v>
      </c>
      <c r="L101">
        <f t="shared" si="4"/>
        <v>7.6821358024691362</v>
      </c>
      <c r="M101">
        <f t="shared" si="5"/>
        <v>10.307198427530864</v>
      </c>
      <c r="N101" s="9"/>
      <c r="O101" s="21">
        <v>0.35827599999999998</v>
      </c>
      <c r="P101" s="21">
        <v>9.8169699999999995</v>
      </c>
      <c r="Q101" s="21">
        <v>-1.34705E-2</v>
      </c>
      <c r="R101" s="21">
        <v>91</v>
      </c>
      <c r="S101" s="21">
        <v>0.35772700000000002</v>
      </c>
      <c r="T101">
        <f t="shared" si="6"/>
        <v>16.630246913580244</v>
      </c>
      <c r="U101">
        <f t="shared" si="7"/>
        <v>5.9582183432098752</v>
      </c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6.0078500000000004</v>
      </c>
      <c r="I102" s="21">
        <v>-6.2835699999999996E-3</v>
      </c>
      <c r="J102" s="21">
        <v>92</v>
      </c>
      <c r="K102" s="21">
        <v>1.33575</v>
      </c>
      <c r="L102">
        <f t="shared" si="4"/>
        <v>7.7574938271604923</v>
      </c>
      <c r="M102">
        <f t="shared" si="5"/>
        <v>10.369209273950615</v>
      </c>
      <c r="N102" s="9"/>
      <c r="O102" s="21">
        <v>0.36331200000000002</v>
      </c>
      <c r="P102" s="21">
        <v>9.8270400000000002</v>
      </c>
      <c r="Q102" s="21">
        <v>-1.34552E-2</v>
      </c>
      <c r="R102" s="21">
        <v>92</v>
      </c>
      <c r="S102" s="21">
        <v>0.362732</v>
      </c>
      <c r="T102">
        <f t="shared" si="6"/>
        <v>16.611358024691356</v>
      </c>
      <c r="U102">
        <f t="shared" si="7"/>
        <v>6.0351057066666662</v>
      </c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6.0179200000000002</v>
      </c>
      <c r="I103" s="21">
        <v>-6.3445999999999997E-3</v>
      </c>
      <c r="J103" s="21">
        <v>93</v>
      </c>
      <c r="K103" s="21">
        <v>1.33148</v>
      </c>
      <c r="L103">
        <f t="shared" si="4"/>
        <v>7.8328395061728395</v>
      </c>
      <c r="M103">
        <f t="shared" si="5"/>
        <v>10.430444071604938</v>
      </c>
      <c r="N103" s="9"/>
      <c r="O103" s="21">
        <v>0.36834699999999998</v>
      </c>
      <c r="P103" s="21">
        <v>9.8371099999999991</v>
      </c>
      <c r="Q103" s="21">
        <v>-1.3439899999999999E-2</v>
      </c>
      <c r="R103" s="21">
        <v>93</v>
      </c>
      <c r="S103" s="21">
        <v>0.36785899999999999</v>
      </c>
      <c r="T103">
        <f t="shared" si="6"/>
        <v>16.592469135802467</v>
      </c>
      <c r="U103">
        <f t="shared" si="7"/>
        <v>6.111786228765431</v>
      </c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6.0279999999999996</v>
      </c>
      <c r="I104" s="21">
        <v>-6.4086899999999999E-3</v>
      </c>
      <c r="J104" s="21">
        <v>94</v>
      </c>
      <c r="K104" s="21">
        <v>1.32629</v>
      </c>
      <c r="L104">
        <f t="shared" si="4"/>
        <v>7.9119629629629626</v>
      </c>
      <c r="M104">
        <f t="shared" si="5"/>
        <v>10.496010066666667</v>
      </c>
      <c r="N104" s="9"/>
      <c r="O104" s="21">
        <v>0.37338300000000002</v>
      </c>
      <c r="P104" s="21">
        <v>9.8471799999999998</v>
      </c>
      <c r="Q104" s="21">
        <v>-1.34308E-2</v>
      </c>
      <c r="R104" s="21">
        <v>94</v>
      </c>
      <c r="S104" s="21">
        <v>0.37283300000000003</v>
      </c>
      <c r="T104">
        <f t="shared" si="6"/>
        <v>16.581234567901234</v>
      </c>
      <c r="U104">
        <f t="shared" si="7"/>
        <v>6.1911511066666671</v>
      </c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6.0380700000000003</v>
      </c>
      <c r="I105" s="21">
        <v>-6.4758300000000001E-3</v>
      </c>
      <c r="J105" s="21">
        <v>95</v>
      </c>
      <c r="K105" s="21">
        <v>1.3208</v>
      </c>
      <c r="L105">
        <f t="shared" si="4"/>
        <v>7.9948518518518519</v>
      </c>
      <c r="M105">
        <f t="shared" si="5"/>
        <v>10.565676413333334</v>
      </c>
      <c r="N105" s="9"/>
      <c r="O105" s="21">
        <v>0.37841799999999998</v>
      </c>
      <c r="P105" s="21">
        <v>9.8572500000000005</v>
      </c>
      <c r="Q105" s="21">
        <v>-1.3418599999999999E-2</v>
      </c>
      <c r="R105" s="21">
        <v>95</v>
      </c>
      <c r="S105" s="21">
        <v>0.37786900000000001</v>
      </c>
      <c r="T105">
        <f t="shared" si="6"/>
        <v>16.566172839506169</v>
      </c>
      <c r="U105">
        <f t="shared" si="7"/>
        <v>6.2689379935802449</v>
      </c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6.0481400000000001</v>
      </c>
      <c r="I106" s="21">
        <v>-6.5429700000000004E-3</v>
      </c>
      <c r="J106" s="21">
        <v>96</v>
      </c>
      <c r="K106" s="21">
        <v>1.31592</v>
      </c>
      <c r="L106">
        <f t="shared" si="4"/>
        <v>8.077740740740742</v>
      </c>
      <c r="M106">
        <f t="shared" si="5"/>
        <v>10.63458801740741</v>
      </c>
      <c r="N106" s="9"/>
      <c r="O106" s="21">
        <v>0.38345299999999999</v>
      </c>
      <c r="P106" s="21">
        <v>9.8673300000000008</v>
      </c>
      <c r="Q106" s="21">
        <v>-1.3412500000000001E-2</v>
      </c>
      <c r="R106" s="21">
        <v>96</v>
      </c>
      <c r="S106" s="21">
        <v>0.38284299999999999</v>
      </c>
      <c r="T106">
        <f t="shared" si="6"/>
        <v>16.558641975308642</v>
      </c>
      <c r="U106">
        <f t="shared" si="7"/>
        <v>6.349460941358025</v>
      </c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6.0582099999999999</v>
      </c>
      <c r="I107" s="21">
        <v>-6.6070599999999997E-3</v>
      </c>
      <c r="J107" s="21">
        <v>97</v>
      </c>
      <c r="K107" s="21">
        <v>1.31104</v>
      </c>
      <c r="L107">
        <f t="shared" si="4"/>
        <v>8.1568641975308633</v>
      </c>
      <c r="M107">
        <f t="shared" si="5"/>
        <v>10.697645826419752</v>
      </c>
      <c r="N107" s="9"/>
      <c r="O107" s="21">
        <v>0.38848899999999997</v>
      </c>
      <c r="P107" s="21">
        <v>9.8773999999999997</v>
      </c>
      <c r="Q107" s="21">
        <v>-1.34033E-2</v>
      </c>
      <c r="R107" s="21">
        <v>97</v>
      </c>
      <c r="S107" s="21">
        <v>0.38796999999999998</v>
      </c>
      <c r="T107">
        <f t="shared" si="6"/>
        <v>16.547283950617281</v>
      </c>
      <c r="U107">
        <f t="shared" si="7"/>
        <v>6.4284377946913569</v>
      </c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6.0682799999999997</v>
      </c>
      <c r="I108" s="21">
        <v>-6.6711399999999999E-3</v>
      </c>
      <c r="J108" s="21">
        <v>98</v>
      </c>
      <c r="K108" s="21">
        <v>1.3055399999999999</v>
      </c>
      <c r="L108">
        <f t="shared" si="4"/>
        <v>8.235975308641974</v>
      </c>
      <c r="M108">
        <f t="shared" si="5"/>
        <v>10.759972301728393</v>
      </c>
      <c r="N108" s="9"/>
      <c r="O108" s="21">
        <v>0.39352399999999998</v>
      </c>
      <c r="P108" s="21">
        <v>9.8874700000000004</v>
      </c>
      <c r="Q108" s="21">
        <v>-1.33972E-2</v>
      </c>
      <c r="R108" s="21">
        <v>98</v>
      </c>
      <c r="S108" s="21">
        <v>0.39297500000000002</v>
      </c>
      <c r="T108">
        <f t="shared" si="6"/>
        <v>16.539753086419751</v>
      </c>
      <c r="U108">
        <f t="shared" si="7"/>
        <v>6.5087897935802461</v>
      </c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6.0783500000000004</v>
      </c>
      <c r="I109" s="21">
        <v>-6.7321799999999999E-3</v>
      </c>
      <c r="J109" s="21">
        <v>99</v>
      </c>
      <c r="K109" s="21">
        <v>1.3009599999999999</v>
      </c>
      <c r="L109">
        <f t="shared" si="4"/>
        <v>8.3113333333333319</v>
      </c>
      <c r="M109">
        <f t="shared" si="5"/>
        <v>10.816535426666665</v>
      </c>
      <c r="N109" s="9"/>
      <c r="O109" s="21">
        <v>0.39856000000000003</v>
      </c>
      <c r="P109" s="21">
        <v>9.8975399999999993</v>
      </c>
      <c r="Q109" s="21">
        <v>-1.33759E-2</v>
      </c>
      <c r="R109" s="21">
        <v>99</v>
      </c>
      <c r="S109" s="21">
        <v>0.39800999999999997</v>
      </c>
      <c r="T109">
        <f t="shared" si="6"/>
        <v>16.513456790123456</v>
      </c>
      <c r="U109">
        <f t="shared" si="7"/>
        <v>6.5816033382716048</v>
      </c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6.0884200000000002</v>
      </c>
      <c r="I110" s="21">
        <v>-6.7962600000000001E-3</v>
      </c>
      <c r="J110" s="21">
        <v>100</v>
      </c>
      <c r="K110" s="21">
        <v>1.2957799999999999</v>
      </c>
      <c r="L110">
        <f t="shared" si="4"/>
        <v>8.3904444444444426</v>
      </c>
      <c r="M110">
        <f t="shared" si="5"/>
        <v>10.877288273333331</v>
      </c>
      <c r="N110" s="9"/>
      <c r="O110" s="21">
        <v>0.40359499999999998</v>
      </c>
      <c r="P110" s="21">
        <v>9.90761</v>
      </c>
      <c r="Q110" s="21">
        <v>-1.33636E-2</v>
      </c>
      <c r="R110" s="21">
        <v>100</v>
      </c>
      <c r="S110" s="21">
        <v>0.40307599999999999</v>
      </c>
      <c r="T110">
        <f t="shared" si="6"/>
        <v>16.498271604938271</v>
      </c>
      <c r="U110">
        <f t="shared" si="7"/>
        <v>6.6586199283950611</v>
      </c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6.09849</v>
      </c>
      <c r="I111" s="21">
        <v>-6.8573000000000002E-3</v>
      </c>
      <c r="J111" s="21">
        <v>101</v>
      </c>
      <c r="K111" s="21">
        <v>1.2902800000000001</v>
      </c>
      <c r="L111">
        <f t="shared" si="4"/>
        <v>8.4658024691358023</v>
      </c>
      <c r="M111">
        <f t="shared" si="5"/>
        <v>10.932314018518518</v>
      </c>
      <c r="N111" s="9"/>
      <c r="O111" s="21">
        <v>0.40862999999999999</v>
      </c>
      <c r="P111" s="21">
        <v>9.9176800000000007</v>
      </c>
      <c r="Q111" s="21">
        <v>-1.33484E-2</v>
      </c>
      <c r="R111" s="21">
        <v>101</v>
      </c>
      <c r="S111" s="21">
        <v>0.40801999999999999</v>
      </c>
      <c r="T111">
        <f t="shared" si="6"/>
        <v>16.479506172839503</v>
      </c>
      <c r="U111">
        <f t="shared" si="7"/>
        <v>6.7340206074074063</v>
      </c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6.1085599999999998</v>
      </c>
      <c r="I112" s="21">
        <v>-6.9183300000000003E-3</v>
      </c>
      <c r="J112" s="21">
        <v>102</v>
      </c>
      <c r="K112" s="21">
        <v>1.2863199999999999</v>
      </c>
      <c r="L112">
        <f t="shared" si="4"/>
        <v>8.5411481481481477</v>
      </c>
      <c r="M112">
        <f t="shared" si="5"/>
        <v>10.986649685925924</v>
      </c>
      <c r="N112" s="9"/>
      <c r="O112" s="21">
        <v>0.41366599999999998</v>
      </c>
      <c r="P112" s="21">
        <v>9.9277499999999996</v>
      </c>
      <c r="Q112" s="21">
        <v>-1.3339200000000001E-2</v>
      </c>
      <c r="R112" s="21">
        <v>102</v>
      </c>
      <c r="S112" s="21">
        <v>0.41311599999999998</v>
      </c>
      <c r="T112">
        <f t="shared" si="6"/>
        <v>16.468148148148149</v>
      </c>
      <c r="U112">
        <f t="shared" si="7"/>
        <v>6.8123129718518518</v>
      </c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6.1186299999999996</v>
      </c>
      <c r="I113" s="21">
        <v>-6.9793700000000004E-3</v>
      </c>
      <c r="J113" s="21">
        <v>103</v>
      </c>
      <c r="K113" s="21">
        <v>1.2805200000000001</v>
      </c>
      <c r="L113">
        <f t="shared" si="4"/>
        <v>8.6165061728395056</v>
      </c>
      <c r="M113">
        <f t="shared" si="5"/>
        <v>11.040157029135802</v>
      </c>
      <c r="N113" s="9"/>
      <c r="O113" s="21">
        <v>0.41870099999999999</v>
      </c>
      <c r="P113" s="21">
        <v>9.9378200000000003</v>
      </c>
      <c r="Q113" s="21">
        <v>-1.33148E-2</v>
      </c>
      <c r="R113" s="21">
        <v>103</v>
      </c>
      <c r="S113" s="21">
        <v>0.41805999999999999</v>
      </c>
      <c r="T113">
        <f t="shared" si="6"/>
        <v>16.438024691358024</v>
      </c>
      <c r="U113">
        <f t="shared" si="7"/>
        <v>6.8826173762962961</v>
      </c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6.1287099999999999</v>
      </c>
      <c r="I114" s="21">
        <v>-7.0373500000000004E-3</v>
      </c>
      <c r="J114" s="21">
        <v>104</v>
      </c>
      <c r="K114" s="21">
        <v>1.27502</v>
      </c>
      <c r="L114">
        <f t="shared" si="4"/>
        <v>8.6880864197530858</v>
      </c>
      <c r="M114">
        <f t="shared" si="5"/>
        <v>11.088170293209878</v>
      </c>
      <c r="N114" s="9"/>
      <c r="O114" s="21">
        <v>0.42373699999999997</v>
      </c>
      <c r="P114" s="21">
        <v>9.9478899999999992</v>
      </c>
      <c r="Q114" s="21">
        <v>-1.32874E-2</v>
      </c>
      <c r="R114" s="21">
        <v>104</v>
      </c>
      <c r="S114" s="21">
        <v>0.42315700000000001</v>
      </c>
      <c r="T114">
        <f t="shared" si="6"/>
        <v>16.404197530864195</v>
      </c>
      <c r="U114">
        <f t="shared" si="7"/>
        <v>6.9510654491358013</v>
      </c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6.1387799999999997</v>
      </c>
      <c r="I115" s="21">
        <v>-7.1014399999999997E-3</v>
      </c>
      <c r="J115" s="21">
        <v>105</v>
      </c>
      <c r="K115" s="21">
        <v>1.2704500000000001</v>
      </c>
      <c r="L115">
        <f t="shared" si="4"/>
        <v>8.7672098765432089</v>
      </c>
      <c r="M115">
        <f t="shared" si="5"/>
        <v>11.144964867160493</v>
      </c>
      <c r="N115" s="9"/>
      <c r="O115" s="21">
        <v>0.42877199999999999</v>
      </c>
      <c r="P115" s="21">
        <v>9.9579599999999999</v>
      </c>
      <c r="Q115" s="21">
        <v>-1.3281299999999999E-2</v>
      </c>
      <c r="R115" s="21">
        <v>105</v>
      </c>
      <c r="S115" s="21">
        <v>0.42819200000000002</v>
      </c>
      <c r="T115">
        <f t="shared" si="6"/>
        <v>16.396666666666665</v>
      </c>
      <c r="U115">
        <f t="shared" si="7"/>
        <v>7.0304315599999994</v>
      </c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6.1488500000000004</v>
      </c>
      <c r="I116" s="21">
        <v>-7.1624799999999997E-3</v>
      </c>
      <c r="J116" s="21">
        <v>106</v>
      </c>
      <c r="K116" s="21">
        <v>1.2652600000000001</v>
      </c>
      <c r="L116">
        <f t="shared" si="4"/>
        <v>8.8425679012345668</v>
      </c>
      <c r="M116">
        <f t="shared" si="5"/>
        <v>11.196194199506172</v>
      </c>
      <c r="N116" s="9"/>
      <c r="O116" s="21">
        <v>0.433807</v>
      </c>
      <c r="P116" s="21">
        <v>9.9680400000000002</v>
      </c>
      <c r="Q116" s="21">
        <v>-1.32721E-2</v>
      </c>
      <c r="R116" s="21">
        <v>106</v>
      </c>
      <c r="S116" s="21">
        <v>0.43331900000000001</v>
      </c>
      <c r="T116">
        <f t="shared" si="6"/>
        <v>16.385308641975307</v>
      </c>
      <c r="U116">
        <f t="shared" si="7"/>
        <v>7.1080615860493817</v>
      </c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6.1589200000000002</v>
      </c>
      <c r="I117" s="21">
        <v>-7.2204599999999997E-3</v>
      </c>
      <c r="J117" s="21">
        <v>107</v>
      </c>
      <c r="K117" s="21">
        <v>1.26129</v>
      </c>
      <c r="L117">
        <f t="shared" si="4"/>
        <v>8.914148148148147</v>
      </c>
      <c r="M117">
        <f t="shared" si="5"/>
        <v>11.241988795555553</v>
      </c>
      <c r="N117" s="9"/>
      <c r="O117" s="21">
        <v>0.43884299999999998</v>
      </c>
      <c r="P117" s="21">
        <v>9.9781099999999991</v>
      </c>
      <c r="Q117" s="21">
        <v>-1.3269E-2</v>
      </c>
      <c r="R117" s="21">
        <v>107</v>
      </c>
      <c r="S117" s="21">
        <v>0.43832399999999999</v>
      </c>
      <c r="T117">
        <f t="shared" si="6"/>
        <v>16.38148148148148</v>
      </c>
      <c r="U117">
        <f t="shared" si="7"/>
        <v>7.1888984777777765</v>
      </c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6.16899</v>
      </c>
      <c r="I118" s="21">
        <v>-7.2784399999999997E-3</v>
      </c>
      <c r="J118" s="21">
        <v>108</v>
      </c>
      <c r="K118" s="21">
        <v>1.25549</v>
      </c>
      <c r="L118">
        <f t="shared" si="4"/>
        <v>8.985728395061729</v>
      </c>
      <c r="M118">
        <f t="shared" si="5"/>
        <v>11.286973437037037</v>
      </c>
      <c r="N118" s="9"/>
      <c r="O118" s="21">
        <v>0.44387799999999999</v>
      </c>
      <c r="P118" s="21">
        <v>9.9881799999999998</v>
      </c>
      <c r="Q118" s="21">
        <v>-1.32599E-2</v>
      </c>
      <c r="R118" s="21">
        <v>108</v>
      </c>
      <c r="S118" s="21">
        <v>0.443359</v>
      </c>
      <c r="T118">
        <f t="shared" si="6"/>
        <v>16.370246913580246</v>
      </c>
      <c r="U118">
        <f t="shared" si="7"/>
        <v>7.2663924595061724</v>
      </c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6.1790599999999998</v>
      </c>
      <c r="I119" s="21">
        <v>-7.3333699999999996E-3</v>
      </c>
      <c r="J119" s="21">
        <v>109</v>
      </c>
      <c r="K119" s="21">
        <v>1.25031</v>
      </c>
      <c r="L119">
        <f t="shared" si="4"/>
        <v>9.0535432098765423</v>
      </c>
      <c r="M119">
        <f t="shared" si="5"/>
        <v>11.326616303580245</v>
      </c>
      <c r="N119" s="9"/>
      <c r="O119" s="21">
        <v>0.44891399999999998</v>
      </c>
      <c r="P119" s="21">
        <v>9.9982500000000005</v>
      </c>
      <c r="Q119" s="21">
        <v>-1.3241599999999999E-2</v>
      </c>
      <c r="R119" s="21">
        <v>109</v>
      </c>
      <c r="S119" s="21">
        <v>0.44833400000000001</v>
      </c>
      <c r="T119">
        <f t="shared" si="6"/>
        <v>16.347654320987651</v>
      </c>
      <c r="U119">
        <f t="shared" si="7"/>
        <v>7.3386908918518499</v>
      </c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6.1891299999999996</v>
      </c>
      <c r="I120" s="21">
        <v>-7.3883100000000004E-3</v>
      </c>
      <c r="J120" s="21">
        <v>110</v>
      </c>
      <c r="K120" s="21">
        <v>1.24512</v>
      </c>
      <c r="L120">
        <f t="shared" si="4"/>
        <v>9.1213703703703697</v>
      </c>
      <c r="M120">
        <f t="shared" si="5"/>
        <v>11.365501122592592</v>
      </c>
      <c r="N120" s="9"/>
      <c r="O120" s="21">
        <v>0.45394899999999999</v>
      </c>
      <c r="P120" s="21">
        <v>10.0083</v>
      </c>
      <c r="Q120" s="21">
        <v>-1.32202E-2</v>
      </c>
      <c r="R120" s="21">
        <v>110</v>
      </c>
      <c r="S120" s="21">
        <v>0.45336900000000002</v>
      </c>
      <c r="T120">
        <f t="shared" si="6"/>
        <v>16.321234567901232</v>
      </c>
      <c r="U120">
        <f t="shared" si="7"/>
        <v>7.4090081108641961</v>
      </c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6.1992000000000003</v>
      </c>
      <c r="I121" s="21">
        <v>-7.4462900000000004E-3</v>
      </c>
      <c r="J121" s="21">
        <v>111</v>
      </c>
      <c r="K121" s="21">
        <v>1.2396199999999999</v>
      </c>
      <c r="L121">
        <f t="shared" si="4"/>
        <v>9.1929506172839499</v>
      </c>
      <c r="M121">
        <f t="shared" si="5"/>
        <v>11.408451716049383</v>
      </c>
      <c r="N121" s="9"/>
      <c r="O121" s="21">
        <v>0.458984</v>
      </c>
      <c r="P121" s="21">
        <v>10.0184</v>
      </c>
      <c r="Q121" s="21">
        <v>-1.3205E-2</v>
      </c>
      <c r="R121" s="21">
        <v>111</v>
      </c>
      <c r="S121" s="21">
        <v>0.45846599999999998</v>
      </c>
      <c r="T121">
        <f t="shared" si="6"/>
        <v>16.302469135802468</v>
      </c>
      <c r="U121">
        <f t="shared" si="7"/>
        <v>7.4825724938271598</v>
      </c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6.2092700000000001</v>
      </c>
      <c r="I122" s="21">
        <v>-7.5103799999999997E-3</v>
      </c>
      <c r="J122" s="21">
        <v>112</v>
      </c>
      <c r="K122" s="21">
        <v>1.2353499999999999</v>
      </c>
      <c r="L122">
        <f t="shared" si="4"/>
        <v>9.272074074074073</v>
      </c>
      <c r="M122">
        <f t="shared" si="5"/>
        <v>11.459912672592591</v>
      </c>
      <c r="N122" s="9"/>
      <c r="O122" s="21">
        <v>0.46401999999999999</v>
      </c>
      <c r="P122" s="21">
        <v>10.028499999999999</v>
      </c>
      <c r="Q122" s="21">
        <v>-1.31897E-2</v>
      </c>
      <c r="R122" s="21">
        <v>112</v>
      </c>
      <c r="S122" s="21">
        <v>0.46344000000000002</v>
      </c>
      <c r="T122">
        <f t="shared" si="6"/>
        <v>16.28358024691358</v>
      </c>
      <c r="U122">
        <f t="shared" si="7"/>
        <v>7.5559069061728392</v>
      </c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6.2193399999999999</v>
      </c>
      <c r="I123" s="21">
        <v>-7.5683599999999997E-3</v>
      </c>
      <c r="J123" s="21">
        <v>113</v>
      </c>
      <c r="K123" s="21">
        <v>1.22986</v>
      </c>
      <c r="L123">
        <f t="shared" si="4"/>
        <v>9.3436543209876533</v>
      </c>
      <c r="M123">
        <f t="shared" si="5"/>
        <v>11.501384413333334</v>
      </c>
      <c r="N123" s="9"/>
      <c r="O123" s="21">
        <v>0.469055</v>
      </c>
      <c r="P123" s="21">
        <v>10.038500000000001</v>
      </c>
      <c r="Q123" s="21">
        <v>-1.31805E-2</v>
      </c>
      <c r="R123" s="21">
        <v>113</v>
      </c>
      <c r="S123" s="21">
        <v>0.46853600000000001</v>
      </c>
      <c r="T123">
        <f t="shared" si="6"/>
        <v>16.272222222222219</v>
      </c>
      <c r="U123">
        <f t="shared" si="7"/>
        <v>7.6325671944444426</v>
      </c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6.2294200000000002</v>
      </c>
      <c r="I124" s="21">
        <v>-7.6293899999999998E-3</v>
      </c>
      <c r="J124" s="21">
        <v>114</v>
      </c>
      <c r="K124" s="21">
        <v>1.22498</v>
      </c>
      <c r="L124">
        <f t="shared" si="4"/>
        <v>9.4189999999999987</v>
      </c>
      <c r="M124">
        <f t="shared" si="5"/>
        <v>11.546657909999997</v>
      </c>
      <c r="N124" s="9"/>
      <c r="O124" s="21">
        <v>0.47409099999999998</v>
      </c>
      <c r="P124" s="21">
        <v>10.0486</v>
      </c>
      <c r="Q124" s="21">
        <v>-1.31714E-2</v>
      </c>
      <c r="R124" s="21">
        <v>114</v>
      </c>
      <c r="S124" s="21">
        <v>0.47351100000000002</v>
      </c>
      <c r="T124">
        <f t="shared" si="6"/>
        <v>16.260987654320989</v>
      </c>
      <c r="U124">
        <f t="shared" si="7"/>
        <v>7.709187898024692</v>
      </c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6.23949</v>
      </c>
      <c r="I125" s="21">
        <v>-7.6904299999999998E-3</v>
      </c>
      <c r="J125" s="21">
        <v>115</v>
      </c>
      <c r="K125" s="21">
        <v>1.2200899999999999</v>
      </c>
      <c r="L125">
        <f t="shared" si="4"/>
        <v>9.4943580246913584</v>
      </c>
      <c r="M125">
        <f t="shared" si="5"/>
        <v>11.591281938024693</v>
      </c>
      <c r="N125" s="9"/>
      <c r="O125" s="21">
        <v>0.479126</v>
      </c>
      <c r="P125" s="21">
        <v>10.0587</v>
      </c>
      <c r="Q125" s="21">
        <v>-1.31561E-2</v>
      </c>
      <c r="R125" s="21">
        <v>115</v>
      </c>
      <c r="S125" s="21">
        <v>0.478516</v>
      </c>
      <c r="T125">
        <f t="shared" si="6"/>
        <v>16.2420987654321</v>
      </c>
      <c r="U125">
        <f t="shared" si="7"/>
        <v>7.7820118130864202</v>
      </c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6.2495599999999998</v>
      </c>
      <c r="I126" s="21">
        <v>-7.7453599999999997E-3</v>
      </c>
      <c r="J126" s="21">
        <v>116</v>
      </c>
      <c r="K126" s="21">
        <v>1.2149000000000001</v>
      </c>
      <c r="L126">
        <f t="shared" si="4"/>
        <v>9.5621728395061716</v>
      </c>
      <c r="M126">
        <f t="shared" si="5"/>
        <v>11.625880981728393</v>
      </c>
      <c r="N126" s="9"/>
      <c r="O126" s="21">
        <v>0.48416100000000001</v>
      </c>
      <c r="P126" s="21">
        <v>10.0687</v>
      </c>
      <c r="Q126" s="21">
        <v>-1.31378E-2</v>
      </c>
      <c r="R126" s="21">
        <v>116</v>
      </c>
      <c r="S126" s="21">
        <v>0.48355100000000001</v>
      </c>
      <c r="T126">
        <f t="shared" si="6"/>
        <v>16.219506172839505</v>
      </c>
      <c r="U126">
        <f t="shared" si="7"/>
        <v>7.8528523281481482</v>
      </c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6.2596299999999996</v>
      </c>
      <c r="I127" s="21">
        <v>-7.8033399999999998E-3</v>
      </c>
      <c r="J127" s="21">
        <v>117</v>
      </c>
      <c r="K127" s="21">
        <v>1.2097199999999999</v>
      </c>
      <c r="L127">
        <f t="shared" si="4"/>
        <v>9.6337530864197518</v>
      </c>
      <c r="M127">
        <f t="shared" si="5"/>
        <v>11.664355561975308</v>
      </c>
      <c r="N127" s="9"/>
      <c r="O127" s="21">
        <v>0.48919699999999999</v>
      </c>
      <c r="P127" s="21">
        <v>10.078799999999999</v>
      </c>
      <c r="Q127" s="21">
        <v>-1.31226E-2</v>
      </c>
      <c r="R127" s="21">
        <v>117</v>
      </c>
      <c r="S127" s="21">
        <v>0.488647</v>
      </c>
      <c r="T127">
        <f t="shared" si="6"/>
        <v>16.200740740740741</v>
      </c>
      <c r="U127">
        <f t="shared" si="7"/>
        <v>7.9253537681481481</v>
      </c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6.2697000000000003</v>
      </c>
      <c r="I128" s="21">
        <v>-7.8582800000000005E-3</v>
      </c>
      <c r="J128" s="21">
        <v>118</v>
      </c>
      <c r="K128" s="21">
        <v>1.2051400000000001</v>
      </c>
      <c r="L128">
        <f t="shared" si="4"/>
        <v>9.7015802469135792</v>
      </c>
      <c r="M128">
        <f t="shared" si="5"/>
        <v>11.697680382716049</v>
      </c>
      <c r="N128" s="9"/>
      <c r="O128" s="21">
        <v>0.494232</v>
      </c>
      <c r="P128" s="21">
        <v>10.088900000000001</v>
      </c>
      <c r="Q128" s="21">
        <v>-1.31012E-2</v>
      </c>
      <c r="R128" s="21">
        <v>118</v>
      </c>
      <c r="S128" s="21">
        <v>0.49365199999999998</v>
      </c>
      <c r="T128">
        <f t="shared" si="6"/>
        <v>16.174320987654323</v>
      </c>
      <c r="U128">
        <f t="shared" si="7"/>
        <v>7.9938670103703711</v>
      </c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6.2797700000000001</v>
      </c>
      <c r="I129" s="21">
        <v>-7.9132100000000004E-3</v>
      </c>
      <c r="J129" s="21">
        <v>119</v>
      </c>
      <c r="K129" s="21">
        <v>1.2002600000000001</v>
      </c>
      <c r="L129">
        <f t="shared" si="4"/>
        <v>9.769395061728396</v>
      </c>
      <c r="M129">
        <f t="shared" si="5"/>
        <v>11.730210344567903</v>
      </c>
      <c r="N129" s="9"/>
      <c r="O129" s="21">
        <v>0.49926799999999999</v>
      </c>
      <c r="P129" s="21">
        <v>10.099</v>
      </c>
      <c r="Q129" s="21">
        <v>-1.3089E-2</v>
      </c>
      <c r="R129" s="21">
        <v>119</v>
      </c>
      <c r="S129" s="21">
        <v>0.49862699999999999</v>
      </c>
      <c r="T129">
        <f t="shared" si="6"/>
        <v>16.159259259259258</v>
      </c>
      <c r="U129">
        <f t="shared" si="7"/>
        <v>8.0678010518518519</v>
      </c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6.2898399999999999</v>
      </c>
      <c r="I130" s="21">
        <v>-7.9681400000000003E-3</v>
      </c>
      <c r="J130" s="21">
        <v>120</v>
      </c>
      <c r="K130" s="21">
        <v>1.1950700000000001</v>
      </c>
      <c r="L130">
        <f t="shared" si="4"/>
        <v>9.8372098765432092</v>
      </c>
      <c r="M130">
        <f t="shared" si="5"/>
        <v>11.762155105185185</v>
      </c>
      <c r="N130" s="9"/>
      <c r="O130" s="21">
        <v>0.50430299999999995</v>
      </c>
      <c r="P130" s="21">
        <v>10.109</v>
      </c>
      <c r="Q130" s="21">
        <v>-1.3073700000000001E-2</v>
      </c>
      <c r="R130" s="21">
        <v>120</v>
      </c>
      <c r="S130" s="21">
        <v>0.50369299999999995</v>
      </c>
      <c r="T130">
        <f t="shared" si="6"/>
        <v>16.14037037037037</v>
      </c>
      <c r="U130">
        <f t="shared" si="7"/>
        <v>8.139637198888888</v>
      </c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6.2999099999999997</v>
      </c>
      <c r="I131" s="21">
        <v>-8.0230700000000002E-3</v>
      </c>
      <c r="J131" s="21">
        <v>121</v>
      </c>
      <c r="K131" s="21">
        <v>1.18927</v>
      </c>
      <c r="L131">
        <f t="shared" si="4"/>
        <v>9.9050246913580242</v>
      </c>
      <c r="M131">
        <f t="shared" si="5"/>
        <v>11.793318598518518</v>
      </c>
      <c r="N131" s="9"/>
      <c r="O131" s="21">
        <v>0.50933799999999996</v>
      </c>
      <c r="P131" s="21">
        <v>10.1191</v>
      </c>
      <c r="Q131" s="21">
        <v>-1.30554E-2</v>
      </c>
      <c r="R131" s="21">
        <v>121</v>
      </c>
      <c r="S131" s="21">
        <v>0.50882000000000005</v>
      </c>
      <c r="T131">
        <f t="shared" si="6"/>
        <v>16.117777777777775</v>
      </c>
      <c r="U131">
        <f t="shared" si="7"/>
        <v>8.209396697777775</v>
      </c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6.3099800000000004</v>
      </c>
      <c r="I132" s="21">
        <v>-8.0810499999999993E-3</v>
      </c>
      <c r="J132" s="21">
        <v>122</v>
      </c>
      <c r="K132" s="21">
        <v>1.18469</v>
      </c>
      <c r="L132">
        <f t="shared" si="4"/>
        <v>9.9766049382716027</v>
      </c>
      <c r="M132">
        <f t="shared" si="5"/>
        <v>11.828362580864196</v>
      </c>
      <c r="N132" s="9"/>
      <c r="O132" s="21">
        <v>0.514374</v>
      </c>
      <c r="P132" s="21">
        <v>10.129200000000001</v>
      </c>
      <c r="Q132" s="21">
        <v>-1.30341E-2</v>
      </c>
      <c r="R132" s="21">
        <v>122</v>
      </c>
      <c r="S132" s="21">
        <v>0.513733</v>
      </c>
      <c r="T132">
        <f t="shared" si="6"/>
        <v>16.09148148148148</v>
      </c>
      <c r="U132">
        <f t="shared" si="7"/>
        <v>8.2770396955555547</v>
      </c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6.3200500000000002</v>
      </c>
      <c r="I133" s="21">
        <v>-8.13293E-3</v>
      </c>
      <c r="J133" s="21">
        <v>123</v>
      </c>
      <c r="K133" s="21">
        <v>1.1795</v>
      </c>
      <c r="L133">
        <f t="shared" si="4"/>
        <v>10.040654320987654</v>
      </c>
      <c r="M133">
        <f t="shared" si="5"/>
        <v>11.853695271728395</v>
      </c>
      <c r="N133" s="9"/>
      <c r="O133" s="21">
        <v>0.51940900000000001</v>
      </c>
      <c r="P133" s="21">
        <v>10.139200000000001</v>
      </c>
      <c r="Q133" s="21">
        <v>-1.3003499999999999E-2</v>
      </c>
      <c r="R133" s="21">
        <v>123</v>
      </c>
      <c r="S133" s="21">
        <v>0.51882899999999998</v>
      </c>
      <c r="T133">
        <f t="shared" si="6"/>
        <v>16.0537037037037</v>
      </c>
      <c r="U133">
        <f t="shared" si="7"/>
        <v>8.3384381870370348</v>
      </c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6.3301299999999996</v>
      </c>
      <c r="I134" s="21">
        <v>-8.1878699999999999E-3</v>
      </c>
      <c r="J134" s="21">
        <v>124</v>
      </c>
      <c r="K134" s="21">
        <v>1.17401</v>
      </c>
      <c r="L134">
        <f t="shared" si="4"/>
        <v>10.10848148148148</v>
      </c>
      <c r="M134">
        <f t="shared" si="5"/>
        <v>11.88292432074074</v>
      </c>
      <c r="N134" s="9"/>
      <c r="O134" s="21">
        <v>0.52444500000000005</v>
      </c>
      <c r="P134" s="21">
        <v>10.1493</v>
      </c>
      <c r="Q134" s="21">
        <v>-1.2988299999999999E-2</v>
      </c>
      <c r="R134" s="21">
        <v>124</v>
      </c>
      <c r="S134" s="21">
        <v>0.52380400000000005</v>
      </c>
      <c r="T134">
        <f t="shared" si="6"/>
        <v>16.034938271604936</v>
      </c>
      <c r="U134">
        <f t="shared" si="7"/>
        <v>8.4094432018518521</v>
      </c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6.3402000000000003</v>
      </c>
      <c r="I135" s="21">
        <v>-8.2397500000000005E-3</v>
      </c>
      <c r="J135" s="21">
        <v>125</v>
      </c>
      <c r="K135" s="21">
        <v>1.16974</v>
      </c>
      <c r="L135">
        <f t="shared" si="4"/>
        <v>10.17253086419753</v>
      </c>
      <c r="M135">
        <f t="shared" si="5"/>
        <v>11.90694737654321</v>
      </c>
      <c r="N135" s="9"/>
      <c r="O135" s="21">
        <v>0.52947999999999995</v>
      </c>
      <c r="P135" s="21">
        <v>10.1594</v>
      </c>
      <c r="Q135" s="21">
        <v>-1.2970000000000001E-2</v>
      </c>
      <c r="R135" s="21">
        <v>125</v>
      </c>
      <c r="S135" s="21">
        <v>0.52883899999999995</v>
      </c>
      <c r="T135">
        <f t="shared" si="6"/>
        <v>16.012345679012348</v>
      </c>
      <c r="U135">
        <f t="shared" si="7"/>
        <v>8.478216790123458</v>
      </c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6.3502700000000001</v>
      </c>
      <c r="I136" s="21">
        <v>-8.2916299999999995E-3</v>
      </c>
      <c r="J136" s="21">
        <v>126</v>
      </c>
      <c r="K136" s="21">
        <v>1.16486</v>
      </c>
      <c r="L136">
        <f t="shared" si="4"/>
        <v>10.236580246913578</v>
      </c>
      <c r="M136">
        <f t="shared" si="5"/>
        <v>11.930427180370367</v>
      </c>
      <c r="N136" s="9"/>
      <c r="O136" s="21">
        <v>0.53451499999999996</v>
      </c>
      <c r="P136" s="21">
        <v>10.169499999999999</v>
      </c>
      <c r="Q136" s="21">
        <v>-1.29547E-2</v>
      </c>
      <c r="R136" s="21">
        <v>126</v>
      </c>
      <c r="S136" s="21">
        <v>0.53393599999999997</v>
      </c>
      <c r="T136">
        <f t="shared" si="6"/>
        <v>15.993456790123457</v>
      </c>
      <c r="U136">
        <f t="shared" si="7"/>
        <v>8.5487425561728383</v>
      </c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6.3603399999999999</v>
      </c>
      <c r="I137" s="21">
        <v>-8.3465599999999994E-3</v>
      </c>
      <c r="J137" s="21">
        <v>127</v>
      </c>
      <c r="K137" s="21">
        <v>1.1593599999999999</v>
      </c>
      <c r="L137">
        <f t="shared" si="4"/>
        <v>10.304395061728394</v>
      </c>
      <c r="M137">
        <f t="shared" si="5"/>
        <v>11.957529161481482</v>
      </c>
      <c r="N137" s="9"/>
      <c r="O137" s="21">
        <v>0.539551</v>
      </c>
      <c r="P137" s="21">
        <v>10.179500000000001</v>
      </c>
      <c r="Q137" s="21">
        <v>-1.29303E-2</v>
      </c>
      <c r="R137" s="21">
        <v>127</v>
      </c>
      <c r="S137" s="21">
        <v>0.53897099999999998</v>
      </c>
      <c r="T137">
        <f t="shared" si="6"/>
        <v>15.963333333333333</v>
      </c>
      <c r="U137">
        <f t="shared" si="7"/>
        <v>8.6130324633333331</v>
      </c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6.3704099999999997</v>
      </c>
      <c r="I138" s="21">
        <v>-8.4014899999999993E-3</v>
      </c>
      <c r="J138" s="21">
        <v>128</v>
      </c>
      <c r="K138" s="21">
        <v>1.15479</v>
      </c>
      <c r="L138">
        <f t="shared" si="4"/>
        <v>10.372209876543208</v>
      </c>
      <c r="M138">
        <f t="shared" si="5"/>
        <v>11.984051291358021</v>
      </c>
      <c r="N138" s="9"/>
      <c r="O138" s="21">
        <v>0.54458600000000001</v>
      </c>
      <c r="P138" s="21">
        <v>10.1896</v>
      </c>
      <c r="Q138" s="21">
        <v>-1.2902800000000001E-2</v>
      </c>
      <c r="R138" s="21">
        <v>128</v>
      </c>
      <c r="S138" s="21">
        <v>0.54400599999999999</v>
      </c>
      <c r="T138">
        <f t="shared" si="6"/>
        <v>15.929382716049382</v>
      </c>
      <c r="U138">
        <f t="shared" si="7"/>
        <v>8.674918815802469</v>
      </c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6.3804800000000004</v>
      </c>
      <c r="I139" s="21">
        <v>-8.4564199999999992E-3</v>
      </c>
      <c r="J139" s="21">
        <v>129</v>
      </c>
      <c r="K139" s="21">
        <v>1.1496</v>
      </c>
      <c r="L139">
        <f t="shared" si="4"/>
        <v>10.440024691358024</v>
      </c>
      <c r="M139">
        <f t="shared" si="5"/>
        <v>12.009786803950618</v>
      </c>
      <c r="N139" s="9"/>
      <c r="O139" s="21">
        <v>0.54962200000000005</v>
      </c>
      <c r="P139" s="21">
        <v>10.1997</v>
      </c>
      <c r="Q139" s="21">
        <v>-1.2881500000000001E-2</v>
      </c>
      <c r="R139" s="21">
        <v>129</v>
      </c>
      <c r="S139" s="21">
        <v>0.54904200000000003</v>
      </c>
      <c r="T139">
        <f t="shared" si="6"/>
        <v>15.903086419753087</v>
      </c>
      <c r="U139">
        <f t="shared" si="7"/>
        <v>8.7406861641975322</v>
      </c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6.3905500000000002</v>
      </c>
      <c r="I140" s="21">
        <v>-8.5082999999999999E-3</v>
      </c>
      <c r="J140" s="21">
        <v>130</v>
      </c>
      <c r="K140" s="21">
        <v>1.1447099999999999</v>
      </c>
      <c r="L140">
        <f t="shared" ref="L140:L203" si="8">-I140/$F$2*1000</f>
        <v>10.504074074074074</v>
      </c>
      <c r="M140">
        <f t="shared" ref="M140:M203" si="9">L140*G140</f>
        <v>12.030526118518518</v>
      </c>
      <c r="N140" s="9"/>
      <c r="O140" s="21">
        <v>0.55465699999999996</v>
      </c>
      <c r="P140" s="21">
        <v>10.2097</v>
      </c>
      <c r="Q140" s="21">
        <v>-1.2860099999999999E-2</v>
      </c>
      <c r="R140" s="21">
        <v>130</v>
      </c>
      <c r="S140" s="21">
        <v>0.55410800000000004</v>
      </c>
      <c r="T140">
        <f t="shared" ref="T140:T203" si="10">-Q140/$F$2*1000</f>
        <v>15.876666666666663</v>
      </c>
      <c r="U140">
        <f t="shared" ref="U140:U203" si="11">T140*O140</f>
        <v>8.8061043033333313</v>
      </c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6.40062</v>
      </c>
      <c r="I141" s="21">
        <v>-8.5601800000000006E-3</v>
      </c>
      <c r="J141" s="21">
        <v>131</v>
      </c>
      <c r="K141" s="21">
        <v>1.1395299999999999</v>
      </c>
      <c r="L141">
        <f t="shared" si="8"/>
        <v>10.568123456790124</v>
      </c>
      <c r="M141">
        <f t="shared" si="9"/>
        <v>12.05072549654321</v>
      </c>
      <c r="N141" s="9"/>
      <c r="O141" s="21">
        <v>0.55969199999999997</v>
      </c>
      <c r="P141" s="21">
        <v>10.219799999999999</v>
      </c>
      <c r="Q141" s="21">
        <v>-1.28357E-2</v>
      </c>
      <c r="R141" s="21">
        <v>131</v>
      </c>
      <c r="S141" s="21">
        <v>0.55914299999999995</v>
      </c>
      <c r="T141">
        <f t="shared" si="10"/>
        <v>15.846543209876542</v>
      </c>
      <c r="U141">
        <f t="shared" si="11"/>
        <v>8.869183462222221</v>
      </c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6.4106899999999998</v>
      </c>
      <c r="I142" s="21">
        <v>-8.6120599999999995E-3</v>
      </c>
      <c r="J142" s="21">
        <v>132</v>
      </c>
      <c r="K142" s="21">
        <v>1.1346400000000001</v>
      </c>
      <c r="L142">
        <f t="shared" si="8"/>
        <v>10.632172839506172</v>
      </c>
      <c r="M142">
        <f t="shared" si="9"/>
        <v>12.070174216049383</v>
      </c>
      <c r="N142" s="9"/>
      <c r="O142" s="21">
        <v>0.56472800000000001</v>
      </c>
      <c r="P142" s="21">
        <v>10.229900000000001</v>
      </c>
      <c r="Q142" s="21">
        <v>-1.28174E-2</v>
      </c>
      <c r="R142" s="21">
        <v>132</v>
      </c>
      <c r="S142" s="21">
        <v>0.56414799999999998</v>
      </c>
      <c r="T142">
        <f t="shared" si="10"/>
        <v>15.82395061728395</v>
      </c>
      <c r="U142">
        <f t="shared" si="11"/>
        <v>8.9362279841975312</v>
      </c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6.4207599999999996</v>
      </c>
      <c r="I143" s="21">
        <v>-8.6669899999999994E-3</v>
      </c>
      <c r="J143" s="21">
        <v>133</v>
      </c>
      <c r="K143" s="21">
        <v>1.1294599999999999</v>
      </c>
      <c r="L143">
        <f t="shared" si="8"/>
        <v>10.699987654320985</v>
      </c>
      <c r="M143">
        <f t="shared" si="9"/>
        <v>12.093340046666663</v>
      </c>
      <c r="N143" s="9"/>
      <c r="O143" s="21">
        <v>0.56976300000000002</v>
      </c>
      <c r="P143" s="21">
        <v>10.24</v>
      </c>
      <c r="Q143" s="21">
        <v>-1.2793000000000001E-2</v>
      </c>
      <c r="R143" s="21">
        <v>133</v>
      </c>
      <c r="S143" s="21">
        <v>0.56918299999999999</v>
      </c>
      <c r="T143">
        <f t="shared" si="10"/>
        <v>15.793827160493827</v>
      </c>
      <c r="U143">
        <f t="shared" si="11"/>
        <v>8.998738344444444</v>
      </c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6.4308399999999999</v>
      </c>
      <c r="I144" s="21">
        <v>-8.7188700000000001E-3</v>
      </c>
      <c r="J144" s="21">
        <v>134</v>
      </c>
      <c r="K144" s="21">
        <v>1.1245700000000001</v>
      </c>
      <c r="L144">
        <f t="shared" si="8"/>
        <v>10.764037037037037</v>
      </c>
      <c r="M144">
        <f t="shared" si="9"/>
        <v>12.111479193333334</v>
      </c>
      <c r="N144" s="9"/>
      <c r="O144" s="21">
        <v>0.57479899999999995</v>
      </c>
      <c r="P144" s="21">
        <v>10.25</v>
      </c>
      <c r="Q144" s="21">
        <v>-1.2765500000000001E-2</v>
      </c>
      <c r="R144" s="21">
        <v>134</v>
      </c>
      <c r="S144" s="21">
        <v>0.57421900000000003</v>
      </c>
      <c r="T144">
        <f t="shared" si="10"/>
        <v>15.759876543209876</v>
      </c>
      <c r="U144">
        <f t="shared" si="11"/>
        <v>9.0587612771604924</v>
      </c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6.4409099999999997</v>
      </c>
      <c r="I145" s="21">
        <v>-8.7707500000000008E-3</v>
      </c>
      <c r="J145" s="21">
        <v>135</v>
      </c>
      <c r="K145" s="21">
        <v>1.11877</v>
      </c>
      <c r="L145">
        <f t="shared" si="8"/>
        <v>10.828086419753086</v>
      </c>
      <c r="M145">
        <f t="shared" si="9"/>
        <v>12.129081003086419</v>
      </c>
      <c r="N145" s="9"/>
      <c r="O145" s="21">
        <v>0.57983399999999996</v>
      </c>
      <c r="P145" s="21">
        <v>10.2601</v>
      </c>
      <c r="Q145" s="21">
        <v>-1.2737999999999999E-2</v>
      </c>
      <c r="R145" s="21">
        <v>135</v>
      </c>
      <c r="S145" s="21">
        <v>0.57928500000000005</v>
      </c>
      <c r="T145">
        <f t="shared" si="10"/>
        <v>15.725925925925925</v>
      </c>
      <c r="U145">
        <f t="shared" si="11"/>
        <v>9.1184265333333325</v>
      </c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6.4509800000000004</v>
      </c>
      <c r="I146" s="21">
        <v>-8.8165299999999995E-3</v>
      </c>
      <c r="J146" s="21">
        <v>136</v>
      </c>
      <c r="K146" s="21">
        <v>1.1142000000000001</v>
      </c>
      <c r="L146">
        <f t="shared" si="8"/>
        <v>10.884604938271604</v>
      </c>
      <c r="M146">
        <f t="shared" si="9"/>
        <v>12.137531812716048</v>
      </c>
      <c r="N146" s="9"/>
      <c r="O146" s="21">
        <v>0.58486899999999997</v>
      </c>
      <c r="P146" s="21">
        <v>10.270200000000001</v>
      </c>
      <c r="Q146" s="21">
        <v>-1.27136E-2</v>
      </c>
      <c r="R146" s="21">
        <v>136</v>
      </c>
      <c r="S146" s="21">
        <v>0.58425899999999997</v>
      </c>
      <c r="T146">
        <f t="shared" si="10"/>
        <v>15.695802469135801</v>
      </c>
      <c r="U146">
        <f t="shared" si="11"/>
        <v>9.179988294320987</v>
      </c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6.4610500000000002</v>
      </c>
      <c r="I147" s="21">
        <v>-8.8623E-3</v>
      </c>
      <c r="J147" s="21">
        <v>137</v>
      </c>
      <c r="K147" s="21">
        <v>1.10931</v>
      </c>
      <c r="L147">
        <f t="shared" si="8"/>
        <v>10.941111111111109</v>
      </c>
      <c r="M147">
        <f t="shared" si="9"/>
        <v>12.14550862222222</v>
      </c>
      <c r="N147" s="9"/>
      <c r="O147" s="21">
        <v>0.58990500000000001</v>
      </c>
      <c r="P147" s="21">
        <v>10.280200000000001</v>
      </c>
      <c r="Q147" s="21">
        <v>-1.26862E-2</v>
      </c>
      <c r="R147" s="21">
        <v>137</v>
      </c>
      <c r="S147" s="21">
        <v>0.58932499999999999</v>
      </c>
      <c r="T147">
        <f t="shared" si="10"/>
        <v>15.661975308641974</v>
      </c>
      <c r="U147">
        <f t="shared" si="11"/>
        <v>9.2390775444444433</v>
      </c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6.47112</v>
      </c>
      <c r="I148" s="21">
        <v>-8.9080800000000005E-3</v>
      </c>
      <c r="J148" s="21">
        <v>138</v>
      </c>
      <c r="K148" s="21">
        <v>1.1047400000000001</v>
      </c>
      <c r="L148">
        <f t="shared" si="8"/>
        <v>10.99762962962963</v>
      </c>
      <c r="M148">
        <f t="shared" si="9"/>
        <v>12.152820645925926</v>
      </c>
      <c r="N148" s="9"/>
      <c r="O148" s="21">
        <v>0.59494000000000002</v>
      </c>
      <c r="P148" s="21">
        <v>10.2903</v>
      </c>
      <c r="Q148" s="21">
        <v>-1.26617E-2</v>
      </c>
      <c r="R148" s="21">
        <v>138</v>
      </c>
      <c r="S148" s="21">
        <v>0.594391</v>
      </c>
      <c r="T148">
        <f t="shared" si="10"/>
        <v>15.631728395061728</v>
      </c>
      <c r="U148">
        <f t="shared" si="11"/>
        <v>9.2999404913580257</v>
      </c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6.4811899999999998</v>
      </c>
      <c r="I149" s="21">
        <v>-8.9538599999999993E-3</v>
      </c>
      <c r="J149" s="21">
        <v>139</v>
      </c>
      <c r="K149" s="21">
        <v>1.09894</v>
      </c>
      <c r="L149">
        <f t="shared" si="8"/>
        <v>11.054148148148146</v>
      </c>
      <c r="M149">
        <f t="shared" si="9"/>
        <v>12.159673504444442</v>
      </c>
      <c r="N149" s="9"/>
      <c r="O149" s="21">
        <v>0.59997599999999995</v>
      </c>
      <c r="P149" s="21">
        <v>10.3004</v>
      </c>
      <c r="Q149" s="21">
        <v>-1.2634299999999999E-2</v>
      </c>
      <c r="R149" s="21">
        <v>139</v>
      </c>
      <c r="S149" s="21">
        <v>0.59936500000000004</v>
      </c>
      <c r="T149">
        <f t="shared" si="10"/>
        <v>15.5979012345679</v>
      </c>
      <c r="U149">
        <f t="shared" si="11"/>
        <v>9.3583663911111099</v>
      </c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6.4912599999999996</v>
      </c>
      <c r="I150" s="21">
        <v>-9.0026900000000007E-3</v>
      </c>
      <c r="J150" s="21">
        <v>140</v>
      </c>
      <c r="K150" s="21">
        <v>1.09436</v>
      </c>
      <c r="L150">
        <f t="shared" si="8"/>
        <v>11.114432098765432</v>
      </c>
      <c r="M150">
        <f t="shared" si="9"/>
        <v>12.169969715185186</v>
      </c>
      <c r="N150" s="9"/>
      <c r="O150" s="21">
        <v>0.60501099999999997</v>
      </c>
      <c r="P150" s="21">
        <v>10.3104</v>
      </c>
      <c r="Q150" s="21">
        <v>-1.26099E-2</v>
      </c>
      <c r="R150" s="21">
        <v>140</v>
      </c>
      <c r="S150" s="21">
        <v>0.60440099999999997</v>
      </c>
      <c r="T150">
        <f t="shared" si="10"/>
        <v>15.567777777777778</v>
      </c>
      <c r="U150">
        <f t="shared" si="11"/>
        <v>9.4186768011111113</v>
      </c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6.5013300000000003</v>
      </c>
      <c r="I151" s="21">
        <v>-9.0545699999999996E-3</v>
      </c>
      <c r="J151" s="21">
        <v>141</v>
      </c>
      <c r="K151" s="21">
        <v>1.08856</v>
      </c>
      <c r="L151">
        <f t="shared" si="8"/>
        <v>11.17848148148148</v>
      </c>
      <c r="M151">
        <f t="shared" si="9"/>
        <v>12.183874105925923</v>
      </c>
      <c r="N151" s="9"/>
      <c r="O151" s="21">
        <v>0.61004599999999998</v>
      </c>
      <c r="P151" s="21">
        <v>10.320499999999999</v>
      </c>
      <c r="Q151" s="21">
        <v>-1.25854E-2</v>
      </c>
      <c r="R151" s="21">
        <v>141</v>
      </c>
      <c r="S151" s="21">
        <v>0.60949699999999996</v>
      </c>
      <c r="T151">
        <f t="shared" si="10"/>
        <v>15.53753086419753</v>
      </c>
      <c r="U151">
        <f t="shared" si="11"/>
        <v>9.478608553580246</v>
      </c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6.5114000000000001</v>
      </c>
      <c r="I152" s="21">
        <v>-9.1064500000000003E-3</v>
      </c>
      <c r="J152" s="21">
        <v>142</v>
      </c>
      <c r="K152" s="21">
        <v>1.08429</v>
      </c>
      <c r="L152">
        <f t="shared" si="8"/>
        <v>11.24253086419753</v>
      </c>
      <c r="M152">
        <f t="shared" si="9"/>
        <v>12.197021734567899</v>
      </c>
      <c r="N152" s="9"/>
      <c r="O152" s="21">
        <v>0.61508200000000002</v>
      </c>
      <c r="P152" s="21">
        <v>10.3306</v>
      </c>
      <c r="Q152" s="21">
        <v>-1.2560999999999999E-2</v>
      </c>
      <c r="R152" s="21">
        <v>142</v>
      </c>
      <c r="S152" s="21">
        <v>0.61447099999999999</v>
      </c>
      <c r="T152">
        <f t="shared" si="10"/>
        <v>15.507407407407406</v>
      </c>
      <c r="U152">
        <f t="shared" si="11"/>
        <v>9.5383271629629629</v>
      </c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6.5214699999999999</v>
      </c>
      <c r="I153" s="21">
        <v>-9.1583299999999992E-3</v>
      </c>
      <c r="J153" s="21">
        <v>143</v>
      </c>
      <c r="K153" s="21">
        <v>1.0790999999999999</v>
      </c>
      <c r="L153">
        <f t="shared" si="8"/>
        <v>11.306580246913578</v>
      </c>
      <c r="M153">
        <f t="shared" si="9"/>
        <v>12.209523745432097</v>
      </c>
      <c r="N153" s="9"/>
      <c r="O153" s="21">
        <v>0.62011700000000003</v>
      </c>
      <c r="P153" s="21">
        <v>10.3407</v>
      </c>
      <c r="Q153" s="21">
        <v>-1.25366E-2</v>
      </c>
      <c r="R153" s="21">
        <v>143</v>
      </c>
      <c r="S153" s="21">
        <v>0.61950700000000003</v>
      </c>
      <c r="T153">
        <f t="shared" si="10"/>
        <v>15.477283950617283</v>
      </c>
      <c r="U153">
        <f t="shared" si="11"/>
        <v>9.5977268916049372</v>
      </c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6.5315500000000002</v>
      </c>
      <c r="I154" s="21">
        <v>-9.2071500000000008E-3</v>
      </c>
      <c r="J154" s="21">
        <v>144</v>
      </c>
      <c r="K154" s="21">
        <v>1.07422</v>
      </c>
      <c r="L154">
        <f t="shared" si="8"/>
        <v>11.366851851851852</v>
      </c>
      <c r="M154">
        <f t="shared" si="9"/>
        <v>12.217433375925925</v>
      </c>
      <c r="N154" s="9"/>
      <c r="O154" s="21">
        <v>0.62515299999999996</v>
      </c>
      <c r="P154" s="21">
        <v>10.3507</v>
      </c>
      <c r="Q154" s="21">
        <v>-1.25092E-2</v>
      </c>
      <c r="R154" s="21">
        <v>144</v>
      </c>
      <c r="S154" s="21">
        <v>0.62457300000000004</v>
      </c>
      <c r="T154">
        <f t="shared" si="10"/>
        <v>15.443456790123456</v>
      </c>
      <c r="U154">
        <f t="shared" si="11"/>
        <v>9.6545233427160486</v>
      </c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6.54162</v>
      </c>
      <c r="I155" s="21">
        <v>-9.2590299999999997E-3</v>
      </c>
      <c r="J155" s="21">
        <v>145</v>
      </c>
      <c r="K155" s="21">
        <v>1.0690299999999999</v>
      </c>
      <c r="L155">
        <f t="shared" si="8"/>
        <v>11.4309012345679</v>
      </c>
      <c r="M155">
        <f t="shared" si="9"/>
        <v>12.228663831728394</v>
      </c>
      <c r="N155" s="9"/>
      <c r="O155" s="21">
        <v>0.63018799999999997</v>
      </c>
      <c r="P155" s="21">
        <v>10.360799999999999</v>
      </c>
      <c r="Q155" s="21">
        <v>-1.24695E-2</v>
      </c>
      <c r="R155" s="21">
        <v>145</v>
      </c>
      <c r="S155" s="21">
        <v>0.62960799999999995</v>
      </c>
      <c r="T155">
        <f t="shared" si="10"/>
        <v>15.394444444444444</v>
      </c>
      <c r="U155">
        <f t="shared" si="11"/>
        <v>9.7013941555555547</v>
      </c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6.5516899999999998</v>
      </c>
      <c r="I156" s="21">
        <v>-9.3078599999999994E-3</v>
      </c>
      <c r="J156" s="21">
        <v>146</v>
      </c>
      <c r="K156" s="21">
        <v>1.0641499999999999</v>
      </c>
      <c r="L156">
        <f t="shared" si="8"/>
        <v>11.491185185185184</v>
      </c>
      <c r="M156">
        <f t="shared" si="9"/>
        <v>12.235354337777776</v>
      </c>
      <c r="N156" s="9"/>
      <c r="O156" s="21">
        <v>0.63522299999999998</v>
      </c>
      <c r="P156" s="21">
        <v>10.370900000000001</v>
      </c>
      <c r="Q156" s="21">
        <v>-1.2439E-2</v>
      </c>
      <c r="R156" s="21">
        <v>146</v>
      </c>
      <c r="S156" s="21">
        <v>0.63467399999999996</v>
      </c>
      <c r="T156">
        <f t="shared" si="10"/>
        <v>15.35679012345679</v>
      </c>
      <c r="U156">
        <f t="shared" si="11"/>
        <v>9.7549862925925925</v>
      </c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6.5617599999999996</v>
      </c>
      <c r="I157" s="21">
        <v>-9.3566900000000008E-3</v>
      </c>
      <c r="J157" s="21">
        <v>147</v>
      </c>
      <c r="K157" s="21">
        <v>1.0589599999999999</v>
      </c>
      <c r="L157">
        <f t="shared" si="8"/>
        <v>11.551469135802471</v>
      </c>
      <c r="M157">
        <f t="shared" si="9"/>
        <v>12.241322872592594</v>
      </c>
      <c r="N157" s="9"/>
      <c r="O157" s="21">
        <v>0.64025900000000002</v>
      </c>
      <c r="P157" s="21">
        <v>10.3809</v>
      </c>
      <c r="Q157" s="21">
        <v>-1.2411500000000001E-2</v>
      </c>
      <c r="R157" s="21">
        <v>147</v>
      </c>
      <c r="S157" s="21">
        <v>0.63973999999999998</v>
      </c>
      <c r="T157">
        <f t="shared" si="10"/>
        <v>15.322839506172839</v>
      </c>
      <c r="U157">
        <f t="shared" si="11"/>
        <v>9.8105858993827155</v>
      </c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6.5718300000000003</v>
      </c>
      <c r="I158" s="21">
        <v>-9.4024699999999996E-3</v>
      </c>
      <c r="J158" s="21">
        <v>148</v>
      </c>
      <c r="K158" s="21">
        <v>1.0534699999999999</v>
      </c>
      <c r="L158">
        <f t="shared" si="8"/>
        <v>11.607987654320986</v>
      </c>
      <c r="M158">
        <f t="shared" si="9"/>
        <v>12.242828499135801</v>
      </c>
      <c r="N158" s="9"/>
      <c r="O158" s="21">
        <v>0.64529400000000003</v>
      </c>
      <c r="P158" s="21">
        <v>10.391</v>
      </c>
      <c r="Q158" s="21">
        <v>-1.23871E-2</v>
      </c>
      <c r="R158" s="21">
        <v>148</v>
      </c>
      <c r="S158" s="21">
        <v>0.64480599999999999</v>
      </c>
      <c r="T158">
        <f t="shared" si="10"/>
        <v>15.292716049382715</v>
      </c>
      <c r="U158">
        <f t="shared" si="11"/>
        <v>9.8682979103703712</v>
      </c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6.5819000000000001</v>
      </c>
      <c r="I159" s="21">
        <v>-9.4512899999999993E-3</v>
      </c>
      <c r="J159" s="21">
        <v>149</v>
      </c>
      <c r="K159" s="21">
        <v>1.0488900000000001</v>
      </c>
      <c r="L159">
        <f t="shared" si="8"/>
        <v>11.668259259259258</v>
      </c>
      <c r="M159">
        <f t="shared" si="9"/>
        <v>12.247588331481481</v>
      </c>
      <c r="N159" s="9"/>
      <c r="O159" s="21">
        <v>0.65032999999999996</v>
      </c>
      <c r="P159" s="21">
        <v>10.4011</v>
      </c>
      <c r="Q159" s="21">
        <v>-1.23596E-2</v>
      </c>
      <c r="R159" s="21">
        <v>149</v>
      </c>
      <c r="S159" s="21">
        <v>0.64975000000000005</v>
      </c>
      <c r="T159">
        <f t="shared" si="10"/>
        <v>15.258765432098766</v>
      </c>
      <c r="U159">
        <f t="shared" si="11"/>
        <v>9.9232329234567906</v>
      </c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6.5919699999999999</v>
      </c>
      <c r="I160" s="21">
        <v>-9.4909699999999996E-3</v>
      </c>
      <c r="J160" s="21">
        <v>150</v>
      </c>
      <c r="K160" s="21">
        <v>1.0430900000000001</v>
      </c>
      <c r="L160">
        <f t="shared" si="8"/>
        <v>11.717246913580246</v>
      </c>
      <c r="M160">
        <f t="shared" si="9"/>
        <v>12.240070470864197</v>
      </c>
      <c r="N160" s="9"/>
      <c r="O160" s="21">
        <v>0.65536499999999998</v>
      </c>
      <c r="P160" s="21">
        <v>10.411199999999999</v>
      </c>
      <c r="Q160" s="21">
        <v>-1.23322E-2</v>
      </c>
      <c r="R160" s="21">
        <v>150</v>
      </c>
      <c r="S160" s="21">
        <v>0.65478499999999995</v>
      </c>
      <c r="T160">
        <f t="shared" si="10"/>
        <v>15.224938271604938</v>
      </c>
      <c r="U160">
        <f t="shared" si="11"/>
        <v>9.9778916703703686</v>
      </c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6.6020399999999997</v>
      </c>
      <c r="I161" s="21">
        <v>-9.5367400000000001E-3</v>
      </c>
      <c r="J161" s="21">
        <v>151</v>
      </c>
      <c r="K161" s="21">
        <v>1.0382100000000001</v>
      </c>
      <c r="L161">
        <f t="shared" si="8"/>
        <v>11.773753086419752</v>
      </c>
      <c r="M161">
        <f t="shared" si="9"/>
        <v>12.239758233580245</v>
      </c>
      <c r="N161" s="9"/>
      <c r="O161" s="21">
        <v>0.66039999999999999</v>
      </c>
      <c r="P161" s="21">
        <v>10.421200000000001</v>
      </c>
      <c r="Q161" s="21">
        <v>-1.23047E-2</v>
      </c>
      <c r="R161" s="21">
        <v>151</v>
      </c>
      <c r="S161" s="21">
        <v>0.65985099999999997</v>
      </c>
      <c r="T161">
        <f t="shared" si="10"/>
        <v>15.190987654320987</v>
      </c>
      <c r="U161">
        <f t="shared" si="11"/>
        <v>10.03212824691358</v>
      </c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6.6121100000000004</v>
      </c>
      <c r="I162" s="21">
        <v>-9.5825200000000006E-3</v>
      </c>
      <c r="J162" s="21">
        <v>152</v>
      </c>
      <c r="K162" s="21">
        <v>1.03363</v>
      </c>
      <c r="L162">
        <f t="shared" si="8"/>
        <v>11.830271604938272</v>
      </c>
      <c r="M162">
        <f t="shared" si="9"/>
        <v>12.239007488888889</v>
      </c>
      <c r="N162" s="9"/>
      <c r="O162" s="21">
        <v>0.66543600000000003</v>
      </c>
      <c r="P162" s="21">
        <v>10.4313</v>
      </c>
      <c r="Q162" s="21">
        <v>-1.2274200000000001E-2</v>
      </c>
      <c r="R162" s="21">
        <v>152</v>
      </c>
      <c r="S162" s="21">
        <v>0.66488599999999998</v>
      </c>
      <c r="T162">
        <f t="shared" si="10"/>
        <v>15.153333333333332</v>
      </c>
      <c r="U162">
        <f t="shared" si="11"/>
        <v>10.08357352</v>
      </c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6.6221800000000002</v>
      </c>
      <c r="I163" s="21">
        <v>-9.6313500000000003E-3</v>
      </c>
      <c r="J163" s="21">
        <v>153</v>
      </c>
      <c r="K163" s="21">
        <v>1.02844</v>
      </c>
      <c r="L163">
        <f t="shared" si="8"/>
        <v>11.890555555555554</v>
      </c>
      <c r="M163">
        <f t="shared" si="9"/>
        <v>12.241445849999998</v>
      </c>
      <c r="N163" s="9"/>
      <c r="O163" s="21">
        <v>0.67047100000000004</v>
      </c>
      <c r="P163" s="21">
        <v>10.4414</v>
      </c>
      <c r="Q163" s="21">
        <v>-1.22498E-2</v>
      </c>
      <c r="R163" s="21">
        <v>153</v>
      </c>
      <c r="S163" s="21">
        <v>0.66989100000000001</v>
      </c>
      <c r="T163">
        <f t="shared" si="10"/>
        <v>15.123209876543209</v>
      </c>
      <c r="U163">
        <f t="shared" si="11"/>
        <v>10.139673649135803</v>
      </c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6.6322599999999996</v>
      </c>
      <c r="I164" s="21">
        <v>-9.6771200000000009E-3</v>
      </c>
      <c r="J164" s="21">
        <v>154</v>
      </c>
      <c r="K164" s="21">
        <v>1.02356</v>
      </c>
      <c r="L164">
        <f t="shared" si="8"/>
        <v>11.947061728395061</v>
      </c>
      <c r="M164">
        <f t="shared" si="9"/>
        <v>12.239525799506174</v>
      </c>
      <c r="N164" s="9"/>
      <c r="O164" s="21">
        <v>0.67550699999999997</v>
      </c>
      <c r="P164" s="21">
        <v>10.4514</v>
      </c>
      <c r="Q164" s="21">
        <v>-1.22253E-2</v>
      </c>
      <c r="R164" s="21">
        <v>154</v>
      </c>
      <c r="S164" s="21">
        <v>0.67489600000000005</v>
      </c>
      <c r="T164">
        <f t="shared" si="10"/>
        <v>15.092962962962961</v>
      </c>
      <c r="U164">
        <f t="shared" si="11"/>
        <v>10.19540213222222</v>
      </c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6.6423300000000003</v>
      </c>
      <c r="I165" s="21">
        <v>-9.7259500000000006E-3</v>
      </c>
      <c r="J165" s="21">
        <v>155</v>
      </c>
      <c r="K165" s="21">
        <v>1.01868</v>
      </c>
      <c r="L165">
        <f t="shared" si="8"/>
        <v>12.007345679012346</v>
      </c>
      <c r="M165">
        <f t="shared" si="9"/>
        <v>12.240768479012345</v>
      </c>
      <c r="N165" s="9"/>
      <c r="O165" s="21">
        <v>0.68054199999999998</v>
      </c>
      <c r="P165" s="21">
        <v>10.461499999999999</v>
      </c>
      <c r="Q165" s="21">
        <v>-1.2197899999999999E-2</v>
      </c>
      <c r="R165" s="21">
        <v>155</v>
      </c>
      <c r="S165" s="21">
        <v>0.67993199999999998</v>
      </c>
      <c r="T165">
        <f t="shared" si="10"/>
        <v>15.059135802469134</v>
      </c>
      <c r="U165">
        <f t="shared" si="11"/>
        <v>10.24837439728395</v>
      </c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6.6524000000000001</v>
      </c>
      <c r="I166" s="21">
        <v>-9.7686800000000001E-3</v>
      </c>
      <c r="J166" s="21">
        <v>156</v>
      </c>
      <c r="K166" s="21">
        <v>1.01349</v>
      </c>
      <c r="L166">
        <f t="shared" si="8"/>
        <v>12.060098765432098</v>
      </c>
      <c r="M166">
        <f t="shared" si="9"/>
        <v>12.233764187654319</v>
      </c>
      <c r="N166" s="9"/>
      <c r="O166" s="21">
        <v>0.68557699999999999</v>
      </c>
      <c r="P166" s="21">
        <v>10.4716</v>
      </c>
      <c r="Q166" s="21">
        <v>-1.21674E-2</v>
      </c>
      <c r="R166" s="21">
        <v>156</v>
      </c>
      <c r="S166" s="21">
        <v>0.68505899999999997</v>
      </c>
      <c r="T166">
        <f t="shared" si="10"/>
        <v>15.021481481481482</v>
      </c>
      <c r="U166">
        <f t="shared" si="11"/>
        <v>10.298382209629629</v>
      </c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6.6624699999999999</v>
      </c>
      <c r="I167" s="21">
        <v>-9.8113999999999996E-3</v>
      </c>
      <c r="J167" s="21">
        <v>157</v>
      </c>
      <c r="K167" s="21">
        <v>1.008</v>
      </c>
      <c r="L167">
        <f t="shared" si="8"/>
        <v>12.112839506172838</v>
      </c>
      <c r="M167">
        <f t="shared" si="9"/>
        <v>12.226336812345679</v>
      </c>
      <c r="N167" s="9"/>
      <c r="O167" s="21">
        <v>0.69061300000000003</v>
      </c>
      <c r="P167" s="21">
        <v>10.4817</v>
      </c>
      <c r="Q167" s="21">
        <v>-1.21368E-2</v>
      </c>
      <c r="R167" s="21">
        <v>157</v>
      </c>
      <c r="S167" s="21">
        <v>0.69003300000000001</v>
      </c>
      <c r="T167">
        <f t="shared" si="10"/>
        <v>14.983703703703702</v>
      </c>
      <c r="U167">
        <f t="shared" si="11"/>
        <v>10.347940565925924</v>
      </c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6.6725399999999997</v>
      </c>
      <c r="I168" s="21">
        <v>-9.8571800000000001E-3</v>
      </c>
      <c r="J168" s="21">
        <v>158</v>
      </c>
      <c r="K168" s="21">
        <v>1.00281</v>
      </c>
      <c r="L168">
        <f t="shared" si="8"/>
        <v>12.169358024691357</v>
      </c>
      <c r="M168">
        <f t="shared" si="9"/>
        <v>12.22205134493827</v>
      </c>
      <c r="N168" s="9"/>
      <c r="O168" s="21">
        <v>0.69564800000000004</v>
      </c>
      <c r="P168" s="21">
        <v>10.4917</v>
      </c>
      <c r="Q168" s="21">
        <v>-1.21063E-2</v>
      </c>
      <c r="R168" s="21">
        <v>158</v>
      </c>
      <c r="S168" s="21">
        <v>0.69509900000000002</v>
      </c>
      <c r="T168">
        <f t="shared" si="10"/>
        <v>14.946049382716049</v>
      </c>
      <c r="U168">
        <f t="shared" si="11"/>
        <v>10.397189360987655</v>
      </c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6.6826100000000004</v>
      </c>
      <c r="I169" s="21">
        <v>-9.8998999999999997E-3</v>
      </c>
      <c r="J169" s="21">
        <v>159</v>
      </c>
      <c r="K169" s="21">
        <v>0.99822999999999995</v>
      </c>
      <c r="L169">
        <f t="shared" si="8"/>
        <v>12.222098765432097</v>
      </c>
      <c r="M169">
        <f t="shared" si="9"/>
        <v>12.213518852098764</v>
      </c>
      <c r="N169" s="9"/>
      <c r="O169" s="21">
        <v>0.70068399999999997</v>
      </c>
      <c r="P169" s="21">
        <v>10.501799999999999</v>
      </c>
      <c r="Q169" s="21">
        <v>-1.20789E-2</v>
      </c>
      <c r="R169" s="21">
        <v>159</v>
      </c>
      <c r="S169" s="21">
        <v>0.70010399999999995</v>
      </c>
      <c r="T169">
        <f t="shared" si="10"/>
        <v>14.912222222222221</v>
      </c>
      <c r="U169">
        <f t="shared" si="11"/>
        <v>10.448755515555554</v>
      </c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6.6926800000000002</v>
      </c>
      <c r="I170" s="21">
        <v>-9.9426299999999992E-3</v>
      </c>
      <c r="J170" s="21">
        <v>160</v>
      </c>
      <c r="K170" s="21">
        <v>0.99365199999999998</v>
      </c>
      <c r="L170">
        <f t="shared" si="8"/>
        <v>12.274851851851849</v>
      </c>
      <c r="M170">
        <f t="shared" si="9"/>
        <v>12.204431026777776</v>
      </c>
      <c r="N170" s="9"/>
      <c r="O170" s="21">
        <v>0.70571899999999999</v>
      </c>
      <c r="P170" s="21">
        <v>10.511900000000001</v>
      </c>
      <c r="Q170" s="21">
        <v>-1.20483E-2</v>
      </c>
      <c r="R170" s="21">
        <v>160</v>
      </c>
      <c r="S170" s="21">
        <v>0.70516999999999996</v>
      </c>
      <c r="T170">
        <f t="shared" si="10"/>
        <v>14.874444444444444</v>
      </c>
      <c r="U170">
        <f t="shared" si="11"/>
        <v>10.497178058888888</v>
      </c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6.70275</v>
      </c>
      <c r="I171" s="21">
        <v>-9.9853500000000005E-3</v>
      </c>
      <c r="J171" s="21">
        <v>161</v>
      </c>
      <c r="K171" s="21">
        <v>0.98815900000000001</v>
      </c>
      <c r="L171">
        <f t="shared" si="8"/>
        <v>12.327592592592593</v>
      </c>
      <c r="M171">
        <f t="shared" si="9"/>
        <v>12.194787437592593</v>
      </c>
      <c r="N171" s="9"/>
      <c r="O171" s="21">
        <v>0.710754</v>
      </c>
      <c r="P171" s="21">
        <v>10.5219</v>
      </c>
      <c r="Q171" s="21">
        <v>-1.20178E-2</v>
      </c>
      <c r="R171" s="21">
        <v>161</v>
      </c>
      <c r="S171" s="21">
        <v>0.71020499999999998</v>
      </c>
      <c r="T171">
        <f t="shared" si="10"/>
        <v>14.836790123456788</v>
      </c>
      <c r="U171">
        <f t="shared" si="11"/>
        <v>10.545307927407407</v>
      </c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6.7128199999999998</v>
      </c>
      <c r="I172" s="21">
        <v>-1.0024999999999999E-2</v>
      </c>
      <c r="J172" s="21">
        <v>162</v>
      </c>
      <c r="K172" s="21">
        <v>0.98327600000000004</v>
      </c>
      <c r="L172">
        <f t="shared" si="8"/>
        <v>12.376543209876541</v>
      </c>
      <c r="M172">
        <f t="shared" si="9"/>
        <v>12.180894814814812</v>
      </c>
      <c r="N172" s="9"/>
      <c r="O172" s="21">
        <v>0.71579000000000004</v>
      </c>
      <c r="P172" s="21">
        <v>10.532</v>
      </c>
      <c r="Q172" s="21">
        <v>-1.19843E-2</v>
      </c>
      <c r="R172" s="21">
        <v>162</v>
      </c>
      <c r="S172" s="21">
        <v>0.71527099999999999</v>
      </c>
      <c r="T172">
        <f t="shared" si="10"/>
        <v>14.795432098765431</v>
      </c>
      <c r="U172">
        <f t="shared" si="11"/>
        <v>10.590422341975309</v>
      </c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6.7228899999999996</v>
      </c>
      <c r="I173" s="21">
        <v>-1.0064699999999999E-2</v>
      </c>
      <c r="J173" s="21">
        <v>163</v>
      </c>
      <c r="K173" s="21">
        <v>0.97839399999999999</v>
      </c>
      <c r="L173">
        <f t="shared" si="8"/>
        <v>12.425555555555555</v>
      </c>
      <c r="M173">
        <f t="shared" si="9"/>
        <v>12.166557275555554</v>
      </c>
      <c r="N173" s="9"/>
      <c r="O173" s="21">
        <v>0.72082500000000005</v>
      </c>
      <c r="P173" s="21">
        <v>10.5421</v>
      </c>
      <c r="Q173" s="21">
        <v>-1.19507E-2</v>
      </c>
      <c r="R173" s="21">
        <v>163</v>
      </c>
      <c r="S173" s="21">
        <v>0.720306</v>
      </c>
      <c r="T173">
        <f t="shared" si="10"/>
        <v>14.75395061728395</v>
      </c>
      <c r="U173">
        <f t="shared" si="11"/>
        <v>10.635016453703704</v>
      </c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6.7329699999999999</v>
      </c>
      <c r="I174" s="21">
        <v>-1.0104399999999999E-2</v>
      </c>
      <c r="J174" s="21">
        <v>164</v>
      </c>
      <c r="K174" s="21">
        <v>0.97289999999999999</v>
      </c>
      <c r="L174">
        <f t="shared" si="8"/>
        <v>12.474567901234566</v>
      </c>
      <c r="M174">
        <f t="shared" si="9"/>
        <v>12.151738558518517</v>
      </c>
      <c r="N174" s="9"/>
      <c r="O174" s="21">
        <v>0.72586099999999998</v>
      </c>
      <c r="P174" s="21">
        <v>10.552199999999999</v>
      </c>
      <c r="Q174" s="21">
        <v>-1.19171E-2</v>
      </c>
      <c r="R174" s="21">
        <v>164</v>
      </c>
      <c r="S174" s="21">
        <v>0.72534200000000004</v>
      </c>
      <c r="T174">
        <f t="shared" si="10"/>
        <v>14.712469135802468</v>
      </c>
      <c r="U174">
        <f t="shared" si="11"/>
        <v>10.679207559382716</v>
      </c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6.7430399999999997</v>
      </c>
      <c r="I175" s="21">
        <v>-1.0147099999999999E-2</v>
      </c>
      <c r="J175" s="21">
        <v>165</v>
      </c>
      <c r="K175" s="21">
        <v>0.96832300000000004</v>
      </c>
      <c r="L175">
        <f t="shared" si="8"/>
        <v>12.527283950617283</v>
      </c>
      <c r="M175">
        <f t="shared" si="9"/>
        <v>12.140015494567901</v>
      </c>
      <c r="N175" s="9"/>
      <c r="O175" s="21">
        <v>0.73089599999999999</v>
      </c>
      <c r="P175" s="21">
        <v>10.562200000000001</v>
      </c>
      <c r="Q175" s="21">
        <v>-1.1886600000000001E-2</v>
      </c>
      <c r="R175" s="21">
        <v>165</v>
      </c>
      <c r="S175" s="21">
        <v>0.73034699999999997</v>
      </c>
      <c r="T175">
        <f t="shared" si="10"/>
        <v>14.674814814814814</v>
      </c>
      <c r="U175">
        <f t="shared" si="11"/>
        <v>10.725763448888888</v>
      </c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6.7531100000000004</v>
      </c>
      <c r="I176" s="21">
        <v>-1.0186799999999999E-2</v>
      </c>
      <c r="J176" s="21">
        <v>166</v>
      </c>
      <c r="K176" s="21">
        <v>0.96343999999999996</v>
      </c>
      <c r="L176">
        <f t="shared" si="8"/>
        <v>12.576296296296295</v>
      </c>
      <c r="M176">
        <f t="shared" si="9"/>
        <v>12.124178444444443</v>
      </c>
      <c r="N176" s="9"/>
      <c r="O176" s="21">
        <v>0.735931</v>
      </c>
      <c r="P176" s="21">
        <v>10.5723</v>
      </c>
      <c r="Q176" s="21">
        <v>-1.18561E-2</v>
      </c>
      <c r="R176" s="21">
        <v>166</v>
      </c>
      <c r="S176" s="21">
        <v>0.73538199999999998</v>
      </c>
      <c r="T176">
        <f t="shared" si="10"/>
        <v>14.63716049382716</v>
      </c>
      <c r="U176">
        <f t="shared" si="11"/>
        <v>10.771940159382716</v>
      </c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6.7631800000000002</v>
      </c>
      <c r="I177" s="21">
        <v>-1.0229500000000001E-2</v>
      </c>
      <c r="J177" s="21">
        <v>167</v>
      </c>
      <c r="K177" s="21">
        <v>0.95794699999999999</v>
      </c>
      <c r="L177">
        <f t="shared" si="8"/>
        <v>12.629012345679012</v>
      </c>
      <c r="M177">
        <f t="shared" si="9"/>
        <v>12.111412274691357</v>
      </c>
      <c r="N177" s="9"/>
      <c r="O177" s="21">
        <v>0.74096700000000004</v>
      </c>
      <c r="P177" s="21">
        <v>10.5824</v>
      </c>
      <c r="Q177" s="21">
        <v>-1.18225E-2</v>
      </c>
      <c r="R177" s="21">
        <v>167</v>
      </c>
      <c r="S177" s="21">
        <v>0.74041699999999999</v>
      </c>
      <c r="T177">
        <f t="shared" si="10"/>
        <v>14.595679012345677</v>
      </c>
      <c r="U177">
        <f t="shared" si="11"/>
        <v>10.814916490740741</v>
      </c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6.77325</v>
      </c>
      <c r="I178" s="21">
        <v>-1.0275299999999999E-2</v>
      </c>
      <c r="J178" s="21">
        <v>168</v>
      </c>
      <c r="K178" s="21">
        <v>0.95336900000000002</v>
      </c>
      <c r="L178">
        <f t="shared" si="8"/>
        <v>12.685555555555554</v>
      </c>
      <c r="M178">
        <f t="shared" si="9"/>
        <v>12.101753603333332</v>
      </c>
      <c r="N178" s="9"/>
      <c r="O178" s="21">
        <v>0.74600200000000005</v>
      </c>
      <c r="P178" s="21">
        <v>10.5924</v>
      </c>
      <c r="Q178" s="21">
        <v>-1.1792E-2</v>
      </c>
      <c r="R178" s="21">
        <v>168</v>
      </c>
      <c r="S178" s="21">
        <v>0.74545300000000003</v>
      </c>
      <c r="T178">
        <f t="shared" si="10"/>
        <v>14.558024691358025</v>
      </c>
      <c r="U178">
        <f t="shared" si="11"/>
        <v>10.860315535802471</v>
      </c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6.7833199999999998</v>
      </c>
      <c r="I179" s="21">
        <v>-1.0318000000000001E-2</v>
      </c>
      <c r="J179" s="21">
        <v>169</v>
      </c>
      <c r="K179" s="21">
        <v>0.94818100000000005</v>
      </c>
      <c r="L179">
        <f t="shared" si="8"/>
        <v>12.738271604938271</v>
      </c>
      <c r="M179">
        <f t="shared" si="9"/>
        <v>12.087906409876544</v>
      </c>
      <c r="N179" s="9"/>
      <c r="O179" s="21">
        <v>0.75103799999999998</v>
      </c>
      <c r="P179" s="21">
        <v>10.602499999999999</v>
      </c>
      <c r="Q179" s="21">
        <v>-1.17584E-2</v>
      </c>
      <c r="R179" s="21">
        <v>169</v>
      </c>
      <c r="S179" s="21">
        <v>0.75045799999999996</v>
      </c>
      <c r="T179">
        <f t="shared" si="10"/>
        <v>14.516543209876543</v>
      </c>
      <c r="U179">
        <f t="shared" si="11"/>
        <v>10.902475579259258</v>
      </c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6.7933899999999996</v>
      </c>
      <c r="I180" s="21">
        <v>-1.0357699999999999E-2</v>
      </c>
      <c r="J180" s="21">
        <v>170</v>
      </c>
      <c r="K180" s="21">
        <v>0.94268799999999997</v>
      </c>
      <c r="L180">
        <f t="shared" si="8"/>
        <v>12.787283950617283</v>
      </c>
      <c r="M180">
        <f t="shared" si="9"/>
        <v>12.070032406543209</v>
      </c>
      <c r="N180" s="9"/>
      <c r="O180" s="21">
        <v>0.756073</v>
      </c>
      <c r="P180" s="21">
        <v>10.6126</v>
      </c>
      <c r="Q180" s="21">
        <v>-1.17188E-2</v>
      </c>
      <c r="R180" s="21">
        <v>170</v>
      </c>
      <c r="S180" s="21">
        <v>0.75592000000000004</v>
      </c>
      <c r="T180">
        <f t="shared" si="10"/>
        <v>14.467654320987654</v>
      </c>
      <c r="U180">
        <f t="shared" si="11"/>
        <v>10.938602805432099</v>
      </c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6.8034600000000003</v>
      </c>
      <c r="I181" s="21">
        <v>-1.03973E-2</v>
      </c>
      <c r="J181" s="21">
        <v>171</v>
      </c>
      <c r="K181" s="21">
        <v>0.9375</v>
      </c>
      <c r="L181">
        <f t="shared" si="8"/>
        <v>12.836172839506172</v>
      </c>
      <c r="M181">
        <f t="shared" si="9"/>
        <v>12.051536102345677</v>
      </c>
      <c r="N181" s="9"/>
      <c r="O181" s="21">
        <v>0.76110800000000001</v>
      </c>
      <c r="P181" s="21">
        <v>10.6227</v>
      </c>
      <c r="Q181" s="21">
        <v>-1.16913E-2</v>
      </c>
      <c r="R181" s="21">
        <v>171</v>
      </c>
      <c r="S181" s="21">
        <v>0.76080300000000001</v>
      </c>
      <c r="T181">
        <f t="shared" si="10"/>
        <v>14.433703703703703</v>
      </c>
      <c r="U181">
        <f t="shared" si="11"/>
        <v>10.985607358518518</v>
      </c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6.8135300000000001</v>
      </c>
      <c r="I182" s="21">
        <v>-1.04431E-2</v>
      </c>
      <c r="J182" s="21">
        <v>172</v>
      </c>
      <c r="K182" s="21">
        <v>0.93292200000000003</v>
      </c>
      <c r="L182">
        <f t="shared" si="8"/>
        <v>12.892716049382715</v>
      </c>
      <c r="M182">
        <f t="shared" si="9"/>
        <v>12.039708170123456</v>
      </c>
      <c r="N182" s="9"/>
      <c r="O182" s="21">
        <v>0.76614400000000005</v>
      </c>
      <c r="P182" s="21">
        <v>10.6327</v>
      </c>
      <c r="Q182" s="21">
        <v>-1.1660800000000001E-2</v>
      </c>
      <c r="R182" s="21">
        <v>172</v>
      </c>
      <c r="S182" s="21">
        <v>0.76507599999999998</v>
      </c>
      <c r="T182">
        <f t="shared" si="10"/>
        <v>14.396049382716049</v>
      </c>
      <c r="U182">
        <f t="shared" si="11"/>
        <v>11.029446858271605</v>
      </c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6.8235999999999999</v>
      </c>
      <c r="I183" s="21">
        <v>-1.0488900000000001E-2</v>
      </c>
      <c r="J183" s="21">
        <v>173</v>
      </c>
      <c r="K183" s="21">
        <v>0.92834499999999998</v>
      </c>
      <c r="L183">
        <f t="shared" si="8"/>
        <v>12.949259259259259</v>
      </c>
      <c r="M183">
        <f t="shared" si="9"/>
        <v>12.027297898518519</v>
      </c>
      <c r="N183" s="9"/>
      <c r="O183" s="21">
        <v>0.77117899999999995</v>
      </c>
      <c r="P183" s="21">
        <v>10.642799999999999</v>
      </c>
      <c r="Q183" s="21">
        <v>-1.1633299999999999E-2</v>
      </c>
      <c r="R183" s="21">
        <v>173</v>
      </c>
      <c r="S183" s="21">
        <v>0.77056899999999995</v>
      </c>
      <c r="T183">
        <f t="shared" si="10"/>
        <v>14.362098765432096</v>
      </c>
      <c r="U183">
        <f t="shared" si="11"/>
        <v>11.075748963827158</v>
      </c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6.8336800000000002</v>
      </c>
      <c r="I184" s="21">
        <v>-1.0528600000000001E-2</v>
      </c>
      <c r="J184" s="21">
        <v>174</v>
      </c>
      <c r="K184" s="21">
        <v>0.92254599999999998</v>
      </c>
      <c r="L184">
        <f t="shared" si="8"/>
        <v>12.998271604938271</v>
      </c>
      <c r="M184">
        <f t="shared" si="9"/>
        <v>12.007374365679011</v>
      </c>
      <c r="N184" s="9"/>
      <c r="O184" s="21">
        <v>0.77621499999999999</v>
      </c>
      <c r="P184" s="21">
        <v>10.652900000000001</v>
      </c>
      <c r="Q184" s="21">
        <v>-1.16028E-2</v>
      </c>
      <c r="R184" s="21">
        <v>174</v>
      </c>
      <c r="S184" s="21">
        <v>0.77575700000000003</v>
      </c>
      <c r="T184">
        <f t="shared" si="10"/>
        <v>14.324444444444444</v>
      </c>
      <c r="U184">
        <f t="shared" si="11"/>
        <v>11.118848644444444</v>
      </c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6.84375</v>
      </c>
      <c r="I185" s="21">
        <v>-1.05743E-2</v>
      </c>
      <c r="J185" s="21">
        <v>175</v>
      </c>
      <c r="K185" s="21">
        <v>0.91796900000000003</v>
      </c>
      <c r="L185">
        <f t="shared" si="8"/>
        <v>13.054691358024691</v>
      </c>
      <c r="M185">
        <f t="shared" si="9"/>
        <v>11.99376270074074</v>
      </c>
      <c r="N185" s="9"/>
      <c r="O185" s="21">
        <v>0.78125</v>
      </c>
      <c r="P185" s="21">
        <v>10.6629</v>
      </c>
      <c r="Q185" s="21">
        <v>-1.15692E-2</v>
      </c>
      <c r="R185" s="21">
        <v>175</v>
      </c>
      <c r="S185" s="21">
        <v>0.78002899999999997</v>
      </c>
      <c r="T185">
        <f t="shared" si="10"/>
        <v>14.282962962962962</v>
      </c>
      <c r="U185">
        <f t="shared" si="11"/>
        <v>11.158564814814815</v>
      </c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6.8538199999999998</v>
      </c>
      <c r="I186" s="21">
        <v>-1.0611000000000001E-2</v>
      </c>
      <c r="J186" s="21">
        <v>176</v>
      </c>
      <c r="K186" s="21">
        <v>0.91278099999999995</v>
      </c>
      <c r="L186">
        <f t="shared" si="8"/>
        <v>13.100000000000001</v>
      </c>
      <c r="M186">
        <f t="shared" si="9"/>
        <v>11.9694176</v>
      </c>
      <c r="N186" s="9"/>
      <c r="O186" s="21">
        <v>0.78628500000000001</v>
      </c>
      <c r="P186" s="21">
        <v>10.673</v>
      </c>
      <c r="Q186" s="21">
        <v>-1.15356E-2</v>
      </c>
      <c r="R186" s="21">
        <v>176</v>
      </c>
      <c r="S186" s="21">
        <v>0.78521700000000005</v>
      </c>
      <c r="T186">
        <f t="shared" si="10"/>
        <v>14.241481481481481</v>
      </c>
      <c r="U186">
        <f t="shared" si="11"/>
        <v>11.197863266666666</v>
      </c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6.8638899999999996</v>
      </c>
      <c r="I187" s="21">
        <v>-1.06506E-2</v>
      </c>
      <c r="J187" s="21">
        <v>177</v>
      </c>
      <c r="K187" s="21">
        <v>0.90759299999999998</v>
      </c>
      <c r="L187">
        <f t="shared" si="8"/>
        <v>13.148888888888887</v>
      </c>
      <c r="M187">
        <f t="shared" si="9"/>
        <v>11.947882526666666</v>
      </c>
      <c r="N187" s="9"/>
      <c r="O187" s="21">
        <v>0.79132100000000005</v>
      </c>
      <c r="P187" s="21">
        <v>10.6831</v>
      </c>
      <c r="Q187" s="21">
        <v>-1.1502099999999999E-2</v>
      </c>
      <c r="R187" s="21">
        <v>177</v>
      </c>
      <c r="S187" s="21">
        <v>0.79040500000000002</v>
      </c>
      <c r="T187">
        <f t="shared" si="10"/>
        <v>14.200123456790122</v>
      </c>
      <c r="U187">
        <f t="shared" si="11"/>
        <v>11.236855893950617</v>
      </c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6.8739600000000003</v>
      </c>
      <c r="I188" s="21">
        <v>-1.06903E-2</v>
      </c>
      <c r="J188" s="21">
        <v>178</v>
      </c>
      <c r="K188" s="21">
        <v>0.90332000000000001</v>
      </c>
      <c r="L188">
        <f t="shared" si="8"/>
        <v>13.197901234567899</v>
      </c>
      <c r="M188">
        <f t="shared" si="9"/>
        <v>11.925953503086419</v>
      </c>
      <c r="N188" s="9"/>
      <c r="O188" s="21">
        <v>0.79635599999999995</v>
      </c>
      <c r="P188" s="21">
        <v>10.693099999999999</v>
      </c>
      <c r="Q188" s="21">
        <v>-1.14655E-2</v>
      </c>
      <c r="R188" s="21">
        <v>178</v>
      </c>
      <c r="S188" s="21">
        <v>0.79559299999999999</v>
      </c>
      <c r="T188">
        <f t="shared" si="10"/>
        <v>14.154938271604937</v>
      </c>
      <c r="U188">
        <f t="shared" si="11"/>
        <v>11.272370022222221</v>
      </c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6.8840300000000001</v>
      </c>
      <c r="I189" s="21">
        <v>-1.0726899999999999E-2</v>
      </c>
      <c r="J189" s="21">
        <v>179</v>
      </c>
      <c r="K189" s="21">
        <v>0.89782700000000004</v>
      </c>
      <c r="L189">
        <f t="shared" si="8"/>
        <v>13.243086419753084</v>
      </c>
      <c r="M189">
        <f t="shared" si="9"/>
        <v>11.900105025925923</v>
      </c>
      <c r="N189" s="9"/>
      <c r="O189" s="21">
        <v>0.80139199999999999</v>
      </c>
      <c r="P189" s="21">
        <v>10.703200000000001</v>
      </c>
      <c r="Q189" s="21">
        <v>-1.14258E-2</v>
      </c>
      <c r="R189" s="21">
        <v>179</v>
      </c>
      <c r="S189" s="21">
        <v>0.80047599999999997</v>
      </c>
      <c r="T189">
        <f t="shared" si="10"/>
        <v>14.105925925925925</v>
      </c>
      <c r="U189">
        <f t="shared" si="11"/>
        <v>11.304376189629629</v>
      </c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6.8940999999999999</v>
      </c>
      <c r="I190" s="21">
        <v>-1.0766599999999999E-2</v>
      </c>
      <c r="J190" s="21">
        <v>180</v>
      </c>
      <c r="K190" s="21">
        <v>0.89294399999999996</v>
      </c>
      <c r="L190">
        <f t="shared" si="8"/>
        <v>13.292098765432097</v>
      </c>
      <c r="M190">
        <f t="shared" si="9"/>
        <v>11.877221312345677</v>
      </c>
      <c r="N190" s="9"/>
      <c r="O190" s="21">
        <v>0.806427</v>
      </c>
      <c r="P190" s="21">
        <v>10.7133</v>
      </c>
      <c r="Q190" s="21">
        <v>-1.13892E-2</v>
      </c>
      <c r="R190" s="21">
        <v>180</v>
      </c>
      <c r="S190" s="21">
        <v>0.80566400000000005</v>
      </c>
      <c r="T190">
        <f t="shared" si="10"/>
        <v>14.060740740740741</v>
      </c>
      <c r="U190">
        <f t="shared" si="11"/>
        <v>11.338960973333334</v>
      </c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6.9041699999999997</v>
      </c>
      <c r="I191" s="21">
        <v>-1.08063E-2</v>
      </c>
      <c r="J191" s="21">
        <v>181</v>
      </c>
      <c r="K191" s="21">
        <v>0.88775599999999999</v>
      </c>
      <c r="L191">
        <f t="shared" si="8"/>
        <v>13.341111111111109</v>
      </c>
      <c r="M191">
        <f t="shared" si="9"/>
        <v>11.853830703333331</v>
      </c>
      <c r="N191" s="9"/>
      <c r="O191" s="21">
        <v>0.81146200000000002</v>
      </c>
      <c r="P191" s="21">
        <v>10.7234</v>
      </c>
      <c r="Q191" s="21">
        <v>-1.13525E-2</v>
      </c>
      <c r="R191" s="21">
        <v>181</v>
      </c>
      <c r="S191" s="21">
        <v>0.81054700000000002</v>
      </c>
      <c r="T191">
        <f t="shared" si="10"/>
        <v>14.015432098765432</v>
      </c>
      <c r="U191">
        <f t="shared" si="11"/>
        <v>11.372990561728395</v>
      </c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6.9142400000000004</v>
      </c>
      <c r="I192" s="21">
        <v>-1.08521E-2</v>
      </c>
      <c r="J192" s="21">
        <v>182</v>
      </c>
      <c r="K192" s="21">
        <v>0.88226300000000002</v>
      </c>
      <c r="L192">
        <f t="shared" si="8"/>
        <v>13.397654320987654</v>
      </c>
      <c r="M192">
        <f t="shared" si="9"/>
        <v>11.836613230123456</v>
      </c>
      <c r="N192" s="9"/>
      <c r="O192" s="21">
        <v>0.81649799999999995</v>
      </c>
      <c r="P192" s="21">
        <v>10.7334</v>
      </c>
      <c r="Q192" s="21">
        <v>-1.1318999999999999E-2</v>
      </c>
      <c r="R192" s="21">
        <v>182</v>
      </c>
      <c r="S192" s="21">
        <v>0.81573499999999999</v>
      </c>
      <c r="T192">
        <f t="shared" si="10"/>
        <v>13.974074074074073</v>
      </c>
      <c r="U192">
        <f t="shared" si="11"/>
        <v>11.409803533333331</v>
      </c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6.9243100000000002</v>
      </c>
      <c r="I193" s="21">
        <v>-1.0891700000000001E-2</v>
      </c>
      <c r="J193" s="21">
        <v>183</v>
      </c>
      <c r="K193" s="21">
        <v>0.87738000000000005</v>
      </c>
      <c r="L193">
        <f t="shared" si="8"/>
        <v>13.446543209876543</v>
      </c>
      <c r="M193">
        <f t="shared" si="9"/>
        <v>11.812088989629629</v>
      </c>
      <c r="N193" s="9"/>
      <c r="O193" s="21">
        <v>0.82153299999999996</v>
      </c>
      <c r="P193" s="21">
        <v>10.743499999999999</v>
      </c>
      <c r="Q193" s="21">
        <v>-1.12823E-2</v>
      </c>
      <c r="R193" s="21">
        <v>183</v>
      </c>
      <c r="S193" s="21">
        <v>0.82122799999999996</v>
      </c>
      <c r="T193">
        <f t="shared" si="10"/>
        <v>13.928765432098766</v>
      </c>
      <c r="U193">
        <f t="shared" si="11"/>
        <v>11.442940451728395</v>
      </c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6.9343899999999996</v>
      </c>
      <c r="I194" s="21">
        <v>-1.09344E-2</v>
      </c>
      <c r="J194" s="21">
        <v>184</v>
      </c>
      <c r="K194" s="21">
        <v>0.872803</v>
      </c>
      <c r="L194">
        <f t="shared" si="8"/>
        <v>13.49925925925926</v>
      </c>
      <c r="M194">
        <f t="shared" si="9"/>
        <v>11.790428527407407</v>
      </c>
      <c r="N194" s="9"/>
      <c r="O194" s="21">
        <v>0.826569</v>
      </c>
      <c r="P194" s="21">
        <v>10.7536</v>
      </c>
      <c r="Q194" s="21">
        <v>-1.1245700000000001E-2</v>
      </c>
      <c r="R194" s="21">
        <v>184</v>
      </c>
      <c r="S194" s="21">
        <v>0.82611100000000004</v>
      </c>
      <c r="T194">
        <f t="shared" si="10"/>
        <v>13.883580246913581</v>
      </c>
      <c r="U194">
        <f t="shared" si="11"/>
        <v>11.475737041111111</v>
      </c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6.9444600000000003</v>
      </c>
      <c r="I195" s="21">
        <v>-1.0971099999999999E-2</v>
      </c>
      <c r="J195" s="21">
        <v>185</v>
      </c>
      <c r="K195" s="21">
        <v>0.86731000000000003</v>
      </c>
      <c r="L195">
        <f t="shared" si="8"/>
        <v>13.544567901234567</v>
      </c>
      <c r="M195">
        <f t="shared" si="9"/>
        <v>11.761804784938271</v>
      </c>
      <c r="N195" s="9"/>
      <c r="O195" s="21">
        <v>0.83160400000000001</v>
      </c>
      <c r="P195" s="21">
        <v>10.7636</v>
      </c>
      <c r="Q195" s="21">
        <v>-1.12122E-2</v>
      </c>
      <c r="R195" s="21">
        <v>185</v>
      </c>
      <c r="S195" s="21">
        <v>0.83007799999999998</v>
      </c>
      <c r="T195">
        <f t="shared" si="10"/>
        <v>13.842222222222221</v>
      </c>
      <c r="U195">
        <f t="shared" si="11"/>
        <v>11.511247368888888</v>
      </c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6.9545300000000001</v>
      </c>
      <c r="I196" s="21">
        <v>-1.10077E-2</v>
      </c>
      <c r="J196" s="21">
        <v>186</v>
      </c>
      <c r="K196" s="21">
        <v>0.86273200000000005</v>
      </c>
      <c r="L196">
        <f t="shared" si="8"/>
        <v>13.589753086419753</v>
      </c>
      <c r="M196">
        <f t="shared" si="9"/>
        <v>11.732604609135803</v>
      </c>
      <c r="N196" s="9"/>
      <c r="O196" s="21">
        <v>0.83663900000000002</v>
      </c>
      <c r="P196" s="21">
        <v>10.7737</v>
      </c>
      <c r="Q196" s="21">
        <v>-1.11755E-2</v>
      </c>
      <c r="R196" s="21">
        <v>186</v>
      </c>
      <c r="S196" s="21">
        <v>0.83618199999999998</v>
      </c>
      <c r="T196">
        <f t="shared" si="10"/>
        <v>13.796913580246912</v>
      </c>
      <c r="U196">
        <f t="shared" si="11"/>
        <v>11.543035980864197</v>
      </c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6.9645999999999999</v>
      </c>
      <c r="I197" s="21">
        <v>-1.10443E-2</v>
      </c>
      <c r="J197" s="21">
        <v>187</v>
      </c>
      <c r="K197" s="21">
        <v>0.85754399999999997</v>
      </c>
      <c r="L197">
        <f t="shared" si="8"/>
        <v>13.634938271604938</v>
      </c>
      <c r="M197">
        <f t="shared" si="9"/>
        <v>11.702962963086419</v>
      </c>
      <c r="N197" s="9"/>
      <c r="O197" s="21">
        <v>0.84167499999999995</v>
      </c>
      <c r="P197" s="21">
        <v>10.783799999999999</v>
      </c>
      <c r="Q197" s="21">
        <v>-1.11389E-2</v>
      </c>
      <c r="R197" s="21">
        <v>187</v>
      </c>
      <c r="S197" s="21">
        <v>0.84106400000000003</v>
      </c>
      <c r="T197">
        <f t="shared" si="10"/>
        <v>13.751728395061727</v>
      </c>
      <c r="U197">
        <f t="shared" si="11"/>
        <v>11.574485996913578</v>
      </c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6.9746699999999997</v>
      </c>
      <c r="I198" s="21">
        <v>-1.10779E-2</v>
      </c>
      <c r="J198" s="21">
        <v>188</v>
      </c>
      <c r="K198" s="21">
        <v>0.852966</v>
      </c>
      <c r="L198">
        <f t="shared" si="8"/>
        <v>13.676419753086419</v>
      </c>
      <c r="M198">
        <f t="shared" si="9"/>
        <v>11.669692359135801</v>
      </c>
      <c r="N198" s="9"/>
      <c r="O198" s="21">
        <v>0.84670999999999996</v>
      </c>
      <c r="P198" s="21">
        <v>10.793900000000001</v>
      </c>
      <c r="Q198" s="21">
        <v>-1.11053E-2</v>
      </c>
      <c r="R198" s="21">
        <v>188</v>
      </c>
      <c r="S198" s="21">
        <v>0.845947</v>
      </c>
      <c r="T198">
        <f t="shared" si="10"/>
        <v>13.710246913580248</v>
      </c>
      <c r="U198">
        <f t="shared" si="11"/>
        <v>11.608603164197531</v>
      </c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6.9847400000000004</v>
      </c>
      <c r="I199" s="21">
        <v>-1.11176E-2</v>
      </c>
      <c r="J199" s="21">
        <v>189</v>
      </c>
      <c r="K199" s="21">
        <v>0.84747300000000003</v>
      </c>
      <c r="L199">
        <f t="shared" si="8"/>
        <v>13.725432098765431</v>
      </c>
      <c r="M199">
        <f t="shared" si="9"/>
        <v>11.642405621728393</v>
      </c>
      <c r="N199" s="9"/>
      <c r="O199" s="21">
        <v>0.851746</v>
      </c>
      <c r="P199" s="21">
        <v>10.803900000000001</v>
      </c>
      <c r="Q199" s="21">
        <v>-1.1068700000000001E-2</v>
      </c>
      <c r="R199" s="21">
        <v>189</v>
      </c>
      <c r="S199" s="21">
        <v>0.85143999999999997</v>
      </c>
      <c r="T199">
        <f t="shared" si="10"/>
        <v>13.665061728395063</v>
      </c>
      <c r="U199">
        <f t="shared" si="11"/>
        <v>11.639161666913582</v>
      </c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6.9948100000000002</v>
      </c>
      <c r="I200" s="21">
        <v>-1.11542E-2</v>
      </c>
      <c r="J200" s="21">
        <v>190</v>
      </c>
      <c r="K200" s="21">
        <v>0.84228499999999995</v>
      </c>
      <c r="L200">
        <f t="shared" si="8"/>
        <v>13.770617283950616</v>
      </c>
      <c r="M200">
        <f t="shared" si="9"/>
        <v>11.611398264444443</v>
      </c>
      <c r="N200" s="9"/>
      <c r="O200" s="21">
        <v>0.85678100000000001</v>
      </c>
      <c r="P200" s="21">
        <v>10.814</v>
      </c>
      <c r="Q200" s="21">
        <v>-1.10321E-2</v>
      </c>
      <c r="R200" s="21">
        <v>190</v>
      </c>
      <c r="S200" s="21">
        <v>0.85601799999999995</v>
      </c>
      <c r="T200">
        <f t="shared" si="10"/>
        <v>13.619876543209877</v>
      </c>
      <c r="U200">
        <f t="shared" si="11"/>
        <v>11.669251444567902</v>
      </c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7.00488</v>
      </c>
      <c r="I201" s="21">
        <v>-1.11877E-2</v>
      </c>
      <c r="J201" s="21">
        <v>191</v>
      </c>
      <c r="K201" s="21">
        <v>0.83679199999999998</v>
      </c>
      <c r="L201">
        <f t="shared" si="8"/>
        <v>13.811975308641975</v>
      </c>
      <c r="M201">
        <f t="shared" si="9"/>
        <v>11.576714284567901</v>
      </c>
      <c r="N201" s="9"/>
      <c r="O201" s="21">
        <v>0.86181600000000003</v>
      </c>
      <c r="P201" s="21">
        <v>10.8241</v>
      </c>
      <c r="Q201" s="21">
        <v>-1.0992399999999999E-2</v>
      </c>
      <c r="R201" s="21">
        <v>191</v>
      </c>
      <c r="S201" s="21">
        <v>0.86059600000000003</v>
      </c>
      <c r="T201">
        <f t="shared" si="10"/>
        <v>13.570864197530863</v>
      </c>
      <c r="U201">
        <f t="shared" si="11"/>
        <v>11.695587899259259</v>
      </c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7.0149499999999998</v>
      </c>
      <c r="I202" s="21">
        <v>-1.1224400000000001E-2</v>
      </c>
      <c r="J202" s="21">
        <v>192</v>
      </c>
      <c r="K202" s="21">
        <v>0.83221400000000001</v>
      </c>
      <c r="L202">
        <f t="shared" si="8"/>
        <v>13.857283950617285</v>
      </c>
      <c r="M202">
        <f t="shared" si="9"/>
        <v>11.54491897777778</v>
      </c>
      <c r="N202" s="9"/>
      <c r="O202" s="21">
        <v>0.86685199999999996</v>
      </c>
      <c r="P202" s="21">
        <v>10.834099999999999</v>
      </c>
      <c r="Q202" s="21">
        <v>-1.0958900000000001E-2</v>
      </c>
      <c r="R202" s="21">
        <v>192</v>
      </c>
      <c r="S202" s="21">
        <v>0.866089</v>
      </c>
      <c r="T202">
        <f t="shared" si="10"/>
        <v>13.529506172839508</v>
      </c>
      <c r="U202">
        <f t="shared" si="11"/>
        <v>11.728079484938272</v>
      </c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7.0250199999999996</v>
      </c>
      <c r="I203" s="21">
        <v>-1.1264E-2</v>
      </c>
      <c r="J203" s="21">
        <v>193</v>
      </c>
      <c r="K203" s="21">
        <v>0.82672100000000004</v>
      </c>
      <c r="L203">
        <f t="shared" si="8"/>
        <v>13.906172839506171</v>
      </c>
      <c r="M203">
        <f t="shared" si="9"/>
        <v>11.515618291358024</v>
      </c>
      <c r="N203" s="9"/>
      <c r="O203" s="21">
        <v>0.87188699999999997</v>
      </c>
      <c r="P203" s="21">
        <v>10.844200000000001</v>
      </c>
      <c r="Q203" s="21">
        <v>-1.0925300000000001E-2</v>
      </c>
      <c r="R203" s="21">
        <v>193</v>
      </c>
      <c r="S203" s="21">
        <v>0.87097199999999997</v>
      </c>
      <c r="T203">
        <f t="shared" si="10"/>
        <v>13.488024691358024</v>
      </c>
      <c r="U203">
        <f t="shared" si="11"/>
        <v>11.760033384074074</v>
      </c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7.0350999999999999</v>
      </c>
      <c r="I204" s="21">
        <v>-1.13037E-2</v>
      </c>
      <c r="J204" s="21">
        <v>194</v>
      </c>
      <c r="K204" s="21">
        <v>0.82244899999999999</v>
      </c>
      <c r="L204">
        <f t="shared" ref="L204:L267" si="12">-I204/$F$2*1000</f>
        <v>13.955185185185183</v>
      </c>
      <c r="M204">
        <f t="shared" ref="M204:M267" si="13">L204*G204</f>
        <v>11.485940763333332</v>
      </c>
      <c r="N204" s="9"/>
      <c r="O204" s="21">
        <v>0.87692300000000001</v>
      </c>
      <c r="P204" s="21">
        <v>10.8543</v>
      </c>
      <c r="Q204" s="21">
        <v>-1.08856E-2</v>
      </c>
      <c r="R204" s="21">
        <v>194</v>
      </c>
      <c r="S204" s="21">
        <v>0.87616000000000005</v>
      </c>
      <c r="T204">
        <f t="shared" ref="T204:T267" si="14">-Q204/$F$2*1000</f>
        <v>13.439012345679012</v>
      </c>
      <c r="U204">
        <f t="shared" ref="U204:U267" si="15">T204*O204</f>
        <v>11.784979023209877</v>
      </c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7.0451699999999997</v>
      </c>
      <c r="I205" s="21">
        <v>-1.13434E-2</v>
      </c>
      <c r="J205" s="21">
        <v>195</v>
      </c>
      <c r="K205" s="21">
        <v>0.81726100000000002</v>
      </c>
      <c r="L205">
        <f t="shared" si="12"/>
        <v>14.004197530864197</v>
      </c>
      <c r="M205">
        <f t="shared" si="13"/>
        <v>11.455769680987654</v>
      </c>
      <c r="N205" s="9"/>
      <c r="O205" s="21">
        <v>0.88195800000000002</v>
      </c>
      <c r="P205" s="21">
        <v>10.8644</v>
      </c>
      <c r="Q205" s="21">
        <v>-1.08459E-2</v>
      </c>
      <c r="R205" s="21">
        <v>195</v>
      </c>
      <c r="S205" s="21">
        <v>0.88134800000000002</v>
      </c>
      <c r="T205">
        <f t="shared" si="14"/>
        <v>13.389999999999999</v>
      </c>
      <c r="U205">
        <f t="shared" si="15"/>
        <v>11.80941762</v>
      </c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7.0552400000000004</v>
      </c>
      <c r="I206" s="21">
        <v>-1.13831E-2</v>
      </c>
      <c r="J206" s="21">
        <v>196</v>
      </c>
      <c r="K206" s="21">
        <v>0.81207300000000004</v>
      </c>
      <c r="L206">
        <f t="shared" si="12"/>
        <v>14.053209876543209</v>
      </c>
      <c r="M206">
        <f t="shared" si="13"/>
        <v>11.42509099111111</v>
      </c>
      <c r="N206" s="9"/>
      <c r="O206" s="21">
        <v>0.88699300000000003</v>
      </c>
      <c r="P206" s="21">
        <v>10.8744</v>
      </c>
      <c r="Q206" s="21">
        <v>-1.08063E-2</v>
      </c>
      <c r="R206" s="21">
        <v>196</v>
      </c>
      <c r="S206" s="21">
        <v>0.88592499999999996</v>
      </c>
      <c r="T206">
        <f t="shared" si="14"/>
        <v>13.341111111111109</v>
      </c>
      <c r="U206">
        <f t="shared" si="15"/>
        <v>11.833472167777776</v>
      </c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7.0653100000000002</v>
      </c>
      <c r="I207" s="21">
        <v>-1.1416600000000001E-2</v>
      </c>
      <c r="J207" s="21">
        <v>197</v>
      </c>
      <c r="K207" s="21">
        <v>0.80688499999999996</v>
      </c>
      <c r="L207">
        <f t="shared" si="12"/>
        <v>14.094567901234569</v>
      </c>
      <c r="M207">
        <f t="shared" si="13"/>
        <v>11.387748419506174</v>
      </c>
      <c r="N207" s="9"/>
      <c r="O207" s="21">
        <v>0.89202899999999996</v>
      </c>
      <c r="P207" s="21">
        <v>10.884499999999999</v>
      </c>
      <c r="Q207" s="21">
        <v>-1.07635E-2</v>
      </c>
      <c r="R207" s="21">
        <v>197</v>
      </c>
      <c r="S207" s="21">
        <v>0.89111300000000004</v>
      </c>
      <c r="T207">
        <f t="shared" si="14"/>
        <v>13.288271604938272</v>
      </c>
      <c r="U207">
        <f t="shared" si="15"/>
        <v>11.853523631481481</v>
      </c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7.07538</v>
      </c>
      <c r="I208" s="21">
        <v>-1.14441E-2</v>
      </c>
      <c r="J208" s="21">
        <v>198</v>
      </c>
      <c r="K208" s="21">
        <v>0.80200199999999999</v>
      </c>
      <c r="L208">
        <f t="shared" si="12"/>
        <v>14.128518518518518</v>
      </c>
      <c r="M208">
        <f t="shared" si="13"/>
        <v>11.344027703333333</v>
      </c>
      <c r="N208" s="9"/>
      <c r="O208" s="21">
        <v>0.89706399999999997</v>
      </c>
      <c r="P208" s="21">
        <v>10.894600000000001</v>
      </c>
      <c r="Q208" s="21">
        <v>-1.0720800000000001E-2</v>
      </c>
      <c r="R208" s="21">
        <v>198</v>
      </c>
      <c r="S208" s="21">
        <v>0.89569100000000001</v>
      </c>
      <c r="T208">
        <f t="shared" si="14"/>
        <v>13.235555555555557</v>
      </c>
      <c r="U208">
        <f t="shared" si="15"/>
        <v>11.87314040888889</v>
      </c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7.0854499999999998</v>
      </c>
      <c r="I209" s="21">
        <v>-1.14777E-2</v>
      </c>
      <c r="J209" s="21">
        <v>199</v>
      </c>
      <c r="K209" s="21">
        <v>0.79742400000000002</v>
      </c>
      <c r="L209">
        <f t="shared" si="12"/>
        <v>14.17</v>
      </c>
      <c r="M209">
        <f t="shared" si="13"/>
        <v>11.30598794</v>
      </c>
      <c r="N209" s="9"/>
      <c r="O209" s="21">
        <v>0.90210000000000001</v>
      </c>
      <c r="P209" s="21">
        <v>10.9046</v>
      </c>
      <c r="Q209" s="21">
        <v>-1.06812E-2</v>
      </c>
      <c r="R209" s="21">
        <v>199</v>
      </c>
      <c r="S209" s="21">
        <v>0.90148899999999998</v>
      </c>
      <c r="T209">
        <f t="shared" si="14"/>
        <v>13.186666666666666</v>
      </c>
      <c r="U209">
        <f t="shared" si="15"/>
        <v>11.895691999999999</v>
      </c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7.0955199999999996</v>
      </c>
      <c r="I210" s="21">
        <v>-1.1511199999999999E-2</v>
      </c>
      <c r="J210" s="21">
        <v>200</v>
      </c>
      <c r="K210" s="21">
        <v>0.79162600000000005</v>
      </c>
      <c r="L210">
        <f t="shared" si="12"/>
        <v>14.211358024691357</v>
      </c>
      <c r="M210">
        <f t="shared" si="13"/>
        <v>11.267432575802468</v>
      </c>
      <c r="N210" s="9"/>
      <c r="O210" s="21">
        <v>0.90713500000000002</v>
      </c>
      <c r="P210" s="21">
        <v>10.9147</v>
      </c>
      <c r="Q210" s="21">
        <v>-1.0644499999999999E-2</v>
      </c>
      <c r="R210" s="21">
        <v>200</v>
      </c>
      <c r="S210" s="21">
        <v>0.90637199999999996</v>
      </c>
      <c r="T210">
        <f t="shared" si="14"/>
        <v>13.141358024691357</v>
      </c>
      <c r="U210">
        <f t="shared" si="15"/>
        <v>11.920985811728395</v>
      </c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7.1055900000000003</v>
      </c>
      <c r="I211" s="21">
        <v>-1.1544799999999999E-2</v>
      </c>
      <c r="J211" s="21">
        <v>201</v>
      </c>
      <c r="K211" s="21">
        <v>0.78674299999999997</v>
      </c>
      <c r="L211">
        <f t="shared" si="12"/>
        <v>14.252839506172839</v>
      </c>
      <c r="M211">
        <f t="shared" si="13"/>
        <v>11.22854374419753</v>
      </c>
      <c r="N211" s="9"/>
      <c r="O211" s="21">
        <v>0.91217000000000004</v>
      </c>
      <c r="P211" s="21">
        <v>10.924799999999999</v>
      </c>
      <c r="Q211" s="21">
        <v>-1.06049E-2</v>
      </c>
      <c r="R211" s="21">
        <v>201</v>
      </c>
      <c r="S211" s="21">
        <v>0.91186500000000004</v>
      </c>
      <c r="T211">
        <f t="shared" si="14"/>
        <v>13.092469135802469</v>
      </c>
      <c r="U211">
        <f t="shared" si="15"/>
        <v>11.942557571604938</v>
      </c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7.1156600000000001</v>
      </c>
      <c r="I212" s="21">
        <v>-1.15814E-2</v>
      </c>
      <c r="J212" s="21">
        <v>202</v>
      </c>
      <c r="K212" s="21">
        <v>0.78247100000000003</v>
      </c>
      <c r="L212">
        <f t="shared" si="12"/>
        <v>14.298024691358025</v>
      </c>
      <c r="M212">
        <f t="shared" si="13"/>
        <v>11.19215057580247</v>
      </c>
      <c r="N212" s="9"/>
      <c r="O212" s="21">
        <v>0.91720599999999997</v>
      </c>
      <c r="P212" s="21">
        <v>10.934900000000001</v>
      </c>
      <c r="Q212" s="21">
        <v>-1.05682E-2</v>
      </c>
      <c r="R212" s="21">
        <v>202</v>
      </c>
      <c r="S212" s="21">
        <v>0.91613800000000001</v>
      </c>
      <c r="T212">
        <f t="shared" si="14"/>
        <v>13.04716049382716</v>
      </c>
      <c r="U212">
        <f t="shared" si="15"/>
        <v>11.966933887901234</v>
      </c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7.1257299999999999</v>
      </c>
      <c r="I213" s="21">
        <v>-1.16119E-2</v>
      </c>
      <c r="J213" s="21">
        <v>203</v>
      </c>
      <c r="K213" s="21">
        <v>0.77697799999999995</v>
      </c>
      <c r="L213">
        <f t="shared" si="12"/>
        <v>14.335679012345677</v>
      </c>
      <c r="M213">
        <f t="shared" si="13"/>
        <v>11.149430995061726</v>
      </c>
      <c r="N213" s="9"/>
      <c r="O213" s="21">
        <v>0.92224099999999998</v>
      </c>
      <c r="P213" s="21">
        <v>10.944900000000001</v>
      </c>
      <c r="Q213" s="21">
        <v>-1.0528600000000001E-2</v>
      </c>
      <c r="R213" s="21">
        <v>203</v>
      </c>
      <c r="S213" s="21">
        <v>0.92132599999999998</v>
      </c>
      <c r="T213">
        <f t="shared" si="14"/>
        <v>12.998271604938271</v>
      </c>
      <c r="U213">
        <f t="shared" si="15"/>
        <v>11.987539003209875</v>
      </c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7.1358100000000002</v>
      </c>
      <c r="I214" s="21">
        <v>-1.16455E-2</v>
      </c>
      <c r="J214" s="21">
        <v>204</v>
      </c>
      <c r="K214" s="21">
        <v>0.77178999999999998</v>
      </c>
      <c r="L214">
        <f t="shared" si="12"/>
        <v>14.37716049382716</v>
      </c>
      <c r="M214">
        <f t="shared" si="13"/>
        <v>11.109303799382715</v>
      </c>
      <c r="N214" s="9"/>
      <c r="O214" s="21">
        <v>0.92727700000000002</v>
      </c>
      <c r="P214" s="21">
        <v>10.955</v>
      </c>
      <c r="Q214" s="21">
        <v>-1.0488900000000001E-2</v>
      </c>
      <c r="R214" s="21">
        <v>204</v>
      </c>
      <c r="S214" s="21">
        <v>0.92651399999999995</v>
      </c>
      <c r="T214">
        <f t="shared" si="14"/>
        <v>12.949259259259259</v>
      </c>
      <c r="U214">
        <f t="shared" si="15"/>
        <v>12.007550278148148</v>
      </c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7.14588</v>
      </c>
      <c r="I215" s="21">
        <v>-1.1676000000000001E-2</v>
      </c>
      <c r="J215" s="21">
        <v>205</v>
      </c>
      <c r="K215" s="21">
        <v>0.76660200000000001</v>
      </c>
      <c r="L215">
        <f t="shared" si="12"/>
        <v>14.414814814814815</v>
      </c>
      <c r="M215">
        <f t="shared" si="13"/>
        <v>11.065820888888888</v>
      </c>
      <c r="N215" s="9"/>
      <c r="O215" s="21">
        <v>0.93231200000000003</v>
      </c>
      <c r="P215" s="21">
        <v>10.9651</v>
      </c>
      <c r="Q215" s="21">
        <v>-1.0449200000000001E-2</v>
      </c>
      <c r="R215" s="21">
        <v>205</v>
      </c>
      <c r="S215" s="21">
        <v>0.931396</v>
      </c>
      <c r="T215">
        <f t="shared" si="14"/>
        <v>12.900246913580247</v>
      </c>
      <c r="U215">
        <f t="shared" si="15"/>
        <v>12.027055000493828</v>
      </c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7.1559499999999998</v>
      </c>
      <c r="I216" s="21">
        <v>-1.1709600000000001E-2</v>
      </c>
      <c r="J216" s="21">
        <v>206</v>
      </c>
      <c r="K216" s="21">
        <v>0.76171900000000003</v>
      </c>
      <c r="L216">
        <f t="shared" si="12"/>
        <v>14.456296296296296</v>
      </c>
      <c r="M216">
        <f t="shared" si="13"/>
        <v>11.02486306962963</v>
      </c>
      <c r="N216" s="9"/>
      <c r="O216" s="21">
        <v>0.93734700000000004</v>
      </c>
      <c r="P216" s="21">
        <v>10.975099999999999</v>
      </c>
      <c r="Q216" s="21">
        <v>-1.04095E-2</v>
      </c>
      <c r="R216" s="21">
        <v>206</v>
      </c>
      <c r="S216" s="21">
        <v>0.93658399999999997</v>
      </c>
      <c r="T216">
        <f t="shared" si="14"/>
        <v>12.851234567901233</v>
      </c>
      <c r="U216">
        <f t="shared" si="15"/>
        <v>12.046066168518518</v>
      </c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7.1660199999999996</v>
      </c>
      <c r="I217" s="21">
        <v>-1.17371E-2</v>
      </c>
      <c r="J217" s="21">
        <v>207</v>
      </c>
      <c r="K217" s="21">
        <v>0.75683599999999995</v>
      </c>
      <c r="L217">
        <f t="shared" si="12"/>
        <v>14.490246913580247</v>
      </c>
      <c r="M217">
        <f t="shared" si="13"/>
        <v>10.977796571481482</v>
      </c>
      <c r="N217" s="9"/>
      <c r="O217" s="21">
        <v>0.94238299999999997</v>
      </c>
      <c r="P217" s="21">
        <v>10.985200000000001</v>
      </c>
      <c r="Q217" s="21">
        <v>-1.0366800000000001E-2</v>
      </c>
      <c r="R217" s="21">
        <v>207</v>
      </c>
      <c r="S217" s="21">
        <v>0.94177200000000005</v>
      </c>
      <c r="T217">
        <f t="shared" si="14"/>
        <v>12.798518518518518</v>
      </c>
      <c r="U217">
        <f t="shared" si="15"/>
        <v>12.061106277037037</v>
      </c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7.1760900000000003</v>
      </c>
      <c r="I218" s="21">
        <v>-1.1761499999999999E-2</v>
      </c>
      <c r="J218" s="21">
        <v>208</v>
      </c>
      <c r="K218" s="21">
        <v>0.75225799999999998</v>
      </c>
      <c r="L218">
        <f t="shared" si="12"/>
        <v>14.520370370370369</v>
      </c>
      <c r="M218">
        <f t="shared" si="13"/>
        <v>10.927493487037035</v>
      </c>
      <c r="N218" s="9"/>
      <c r="O218" s="21">
        <v>0.94741799999999998</v>
      </c>
      <c r="P218" s="21">
        <v>10.9953</v>
      </c>
      <c r="Q218" s="21">
        <v>-1.0324099999999999E-2</v>
      </c>
      <c r="R218" s="21">
        <v>208</v>
      </c>
      <c r="S218" s="21">
        <v>0.94635000000000002</v>
      </c>
      <c r="T218">
        <f t="shared" si="14"/>
        <v>12.7458024691358</v>
      </c>
      <c r="U218">
        <f t="shared" si="15"/>
        <v>12.075602683703702</v>
      </c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7.1861600000000001</v>
      </c>
      <c r="I219" s="21">
        <v>-1.17889E-2</v>
      </c>
      <c r="J219" s="21">
        <v>209</v>
      </c>
      <c r="K219" s="21">
        <v>0.74688699999999997</v>
      </c>
      <c r="L219">
        <f t="shared" si="12"/>
        <v>14.554197530864196</v>
      </c>
      <c r="M219">
        <f t="shared" si="13"/>
        <v>10.879670171851849</v>
      </c>
      <c r="N219" s="9"/>
      <c r="O219" s="21">
        <v>0.95245400000000002</v>
      </c>
      <c r="P219" s="21">
        <v>11.0053</v>
      </c>
      <c r="Q219" s="21">
        <v>-1.02814E-2</v>
      </c>
      <c r="R219" s="21">
        <v>209</v>
      </c>
      <c r="S219" s="21">
        <v>0.95153799999999999</v>
      </c>
      <c r="T219">
        <f t="shared" si="14"/>
        <v>12.693086419753087</v>
      </c>
      <c r="U219">
        <f t="shared" si="15"/>
        <v>12.089580932839507</v>
      </c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7.1962299999999999</v>
      </c>
      <c r="I220" s="21">
        <v>-1.18225E-2</v>
      </c>
      <c r="J220" s="21">
        <v>210</v>
      </c>
      <c r="K220" s="21">
        <v>0.74194300000000002</v>
      </c>
      <c r="L220">
        <f t="shared" si="12"/>
        <v>14.595679012345677</v>
      </c>
      <c r="M220">
        <f t="shared" si="13"/>
        <v>10.837189496913577</v>
      </c>
      <c r="N220" s="9"/>
      <c r="O220" s="21">
        <v>0.95748900000000003</v>
      </c>
      <c r="P220" s="21">
        <v>11.0154</v>
      </c>
      <c r="Q220" s="21">
        <v>-1.02386E-2</v>
      </c>
      <c r="R220" s="21">
        <v>210</v>
      </c>
      <c r="S220" s="21">
        <v>0.95642099999999997</v>
      </c>
      <c r="T220">
        <f t="shared" si="14"/>
        <v>12.640246913580247</v>
      </c>
      <c r="U220">
        <f t="shared" si="15"/>
        <v>12.102897377037038</v>
      </c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7.2062999999999997</v>
      </c>
      <c r="I221" s="21">
        <v>-1.1853000000000001E-2</v>
      </c>
      <c r="J221" s="21">
        <v>211</v>
      </c>
      <c r="K221" s="21">
        <v>0.73693799999999998</v>
      </c>
      <c r="L221">
        <f t="shared" si="12"/>
        <v>14.633333333333333</v>
      </c>
      <c r="M221">
        <f t="shared" si="13"/>
        <v>10.791454099999999</v>
      </c>
      <c r="N221" s="9"/>
      <c r="O221" s="21">
        <v>0.96252400000000005</v>
      </c>
      <c r="P221" s="21">
        <v>11.025499999999999</v>
      </c>
      <c r="Q221" s="21">
        <v>-1.0195900000000001E-2</v>
      </c>
      <c r="R221" s="21">
        <v>211</v>
      </c>
      <c r="S221" s="21">
        <v>0.96191400000000005</v>
      </c>
      <c r="T221">
        <f t="shared" si="14"/>
        <v>12.587530864197531</v>
      </c>
      <c r="U221">
        <f t="shared" si="15"/>
        <v>12.115800557530864</v>
      </c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7.2163700000000004</v>
      </c>
      <c r="I222" s="21">
        <v>-1.18835E-2</v>
      </c>
      <c r="J222" s="21">
        <v>212</v>
      </c>
      <c r="K222" s="21">
        <v>0.731873</v>
      </c>
      <c r="L222">
        <f t="shared" si="12"/>
        <v>14.670987654320987</v>
      </c>
      <c r="M222">
        <f t="shared" si="13"/>
        <v>10.745354119753086</v>
      </c>
      <c r="N222" s="9"/>
      <c r="O222" s="21">
        <v>0.96755999999999998</v>
      </c>
      <c r="P222" s="21">
        <v>11.035600000000001</v>
      </c>
      <c r="Q222" s="21">
        <v>-1.0153199999999999E-2</v>
      </c>
      <c r="R222" s="21">
        <v>212</v>
      </c>
      <c r="S222" s="21">
        <v>0.96679700000000002</v>
      </c>
      <c r="T222">
        <f t="shared" si="14"/>
        <v>12.534814814814814</v>
      </c>
      <c r="U222">
        <f t="shared" si="15"/>
        <v>12.12818542222222</v>
      </c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7.2264400000000002</v>
      </c>
      <c r="I223" s="21">
        <v>-1.19141E-2</v>
      </c>
      <c r="J223" s="21">
        <v>213</v>
      </c>
      <c r="K223" s="21">
        <v>0.72680699999999998</v>
      </c>
      <c r="L223">
        <f t="shared" si="12"/>
        <v>14.708765432098765</v>
      </c>
      <c r="M223">
        <f t="shared" si="13"/>
        <v>10.698950052592592</v>
      </c>
      <c r="N223" s="9"/>
      <c r="O223" s="21">
        <v>0.97259499999999999</v>
      </c>
      <c r="P223" s="21">
        <v>11.0456</v>
      </c>
      <c r="Q223" s="21">
        <v>-1.0113499999999999E-2</v>
      </c>
      <c r="R223" s="21">
        <v>213</v>
      </c>
      <c r="S223" s="21">
        <v>0.97198499999999999</v>
      </c>
      <c r="T223">
        <f t="shared" si="14"/>
        <v>12.4858024691358</v>
      </c>
      <c r="U223">
        <f t="shared" si="15"/>
        <v>12.143629052469134</v>
      </c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7.2365199999999996</v>
      </c>
      <c r="I224" s="21">
        <v>-1.19446E-2</v>
      </c>
      <c r="J224" s="21">
        <v>214</v>
      </c>
      <c r="K224" s="21">
        <v>0.72174099999999997</v>
      </c>
      <c r="L224">
        <f t="shared" si="12"/>
        <v>14.746419753086418</v>
      </c>
      <c r="M224">
        <f t="shared" si="13"/>
        <v>10.652091055061726</v>
      </c>
      <c r="N224" s="9"/>
      <c r="O224" s="21">
        <v>0.97763100000000003</v>
      </c>
      <c r="P224" s="21">
        <v>11.0557</v>
      </c>
      <c r="Q224" s="21">
        <v>-1.0067700000000001E-2</v>
      </c>
      <c r="R224" s="21">
        <v>214</v>
      </c>
      <c r="S224" s="21">
        <v>0.97686799999999996</v>
      </c>
      <c r="T224">
        <f t="shared" si="14"/>
        <v>12.429259259259259</v>
      </c>
      <c r="U224">
        <f t="shared" si="15"/>
        <v>12.151229158888889</v>
      </c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7.2465900000000003</v>
      </c>
      <c r="I225" s="21">
        <v>-1.1975100000000001E-2</v>
      </c>
      <c r="J225" s="21">
        <v>215</v>
      </c>
      <c r="K225" s="21">
        <v>0.71679700000000002</v>
      </c>
      <c r="L225">
        <f t="shared" si="12"/>
        <v>14.784074074074075</v>
      </c>
      <c r="M225">
        <f t="shared" si="13"/>
        <v>10.604852878518519</v>
      </c>
      <c r="N225" s="9"/>
      <c r="O225" s="21">
        <v>0.98266600000000004</v>
      </c>
      <c r="P225" s="21">
        <v>11.065799999999999</v>
      </c>
      <c r="Q225" s="21">
        <v>-1.0031099999999999E-2</v>
      </c>
      <c r="R225" s="21">
        <v>215</v>
      </c>
      <c r="S225" s="21">
        <v>0.98175000000000001</v>
      </c>
      <c r="T225">
        <f t="shared" si="14"/>
        <v>12.384074074074071</v>
      </c>
      <c r="U225">
        <f t="shared" si="15"/>
        <v>12.169408534074073</v>
      </c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7.2566600000000001</v>
      </c>
      <c r="I226" s="21">
        <v>-1.20117E-2</v>
      </c>
      <c r="J226" s="21">
        <v>216</v>
      </c>
      <c r="K226" s="21">
        <v>0.71167000000000002</v>
      </c>
      <c r="L226">
        <f t="shared" si="12"/>
        <v>14.82925925925926</v>
      </c>
      <c r="M226">
        <f t="shared" si="13"/>
        <v>10.562584785185186</v>
      </c>
      <c r="N226" s="9"/>
      <c r="O226" s="21">
        <v>0.98770100000000005</v>
      </c>
      <c r="P226" s="21">
        <v>11.075799999999999</v>
      </c>
      <c r="Q226" s="21">
        <v>-9.9883999999999997E-3</v>
      </c>
      <c r="R226" s="21">
        <v>216</v>
      </c>
      <c r="S226" s="21">
        <v>0.98693799999999998</v>
      </c>
      <c r="T226">
        <f t="shared" si="14"/>
        <v>12.331358024691356</v>
      </c>
      <c r="U226">
        <f t="shared" si="15"/>
        <v>12.179694652345677</v>
      </c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7.2667299999999999</v>
      </c>
      <c r="I227" s="21">
        <v>-1.20483E-2</v>
      </c>
      <c r="J227" s="21">
        <v>217</v>
      </c>
      <c r="K227" s="21">
        <v>0.70669599999999999</v>
      </c>
      <c r="L227">
        <f t="shared" si="12"/>
        <v>14.874444444444444</v>
      </c>
      <c r="M227">
        <f t="shared" si="13"/>
        <v>10.519876461111112</v>
      </c>
      <c r="N227" s="9"/>
      <c r="O227" s="21">
        <v>0.99273699999999998</v>
      </c>
      <c r="P227" s="21">
        <v>11.085900000000001</v>
      </c>
      <c r="Q227" s="21">
        <v>-9.9426299999999992E-3</v>
      </c>
      <c r="R227" s="21">
        <v>217</v>
      </c>
      <c r="S227" s="21">
        <v>0.99182099999999995</v>
      </c>
      <c r="T227">
        <f t="shared" si="14"/>
        <v>12.274851851851849</v>
      </c>
      <c r="U227">
        <f t="shared" si="15"/>
        <v>12.18569960285185</v>
      </c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7.2767999999999997</v>
      </c>
      <c r="I228" s="21">
        <v>-1.2088E-2</v>
      </c>
      <c r="J228" s="21">
        <v>218</v>
      </c>
      <c r="K228" s="21">
        <v>0.70169099999999995</v>
      </c>
      <c r="L228">
        <f t="shared" si="12"/>
        <v>14.923456790123456</v>
      </c>
      <c r="M228">
        <f t="shared" si="13"/>
        <v>10.479385669135802</v>
      </c>
      <c r="N228" s="9"/>
      <c r="O228" s="21">
        <v>0.99777199999999999</v>
      </c>
      <c r="P228" s="21">
        <v>11.096</v>
      </c>
      <c r="Q228" s="21">
        <v>-9.9029500000000006E-3</v>
      </c>
      <c r="R228" s="21">
        <v>218</v>
      </c>
      <c r="S228" s="21">
        <v>0.99670400000000003</v>
      </c>
      <c r="T228">
        <f t="shared" si="14"/>
        <v>12.225864197530864</v>
      </c>
      <c r="U228">
        <f t="shared" si="15"/>
        <v>12.198624972098765</v>
      </c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7.2868700000000004</v>
      </c>
      <c r="I229" s="21">
        <v>-1.21216E-2</v>
      </c>
      <c r="J229" s="21">
        <v>219</v>
      </c>
      <c r="K229" s="21">
        <v>0.69653299999999996</v>
      </c>
      <c r="L229">
        <f t="shared" si="12"/>
        <v>14.964938271604938</v>
      </c>
      <c r="M229">
        <f t="shared" si="13"/>
        <v>10.4331658745679</v>
      </c>
      <c r="N229" s="9"/>
      <c r="O229" s="21">
        <v>1.00281</v>
      </c>
      <c r="P229" s="21">
        <v>11.1061</v>
      </c>
      <c r="Q229" s="21">
        <v>-9.8602299999999993E-3</v>
      </c>
      <c r="R229" s="21">
        <v>219</v>
      </c>
      <c r="S229" s="21">
        <v>1.0018899999999999</v>
      </c>
      <c r="T229">
        <f t="shared" si="14"/>
        <v>12.173123456790123</v>
      </c>
      <c r="U229">
        <f t="shared" si="15"/>
        <v>12.207329933703702</v>
      </c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7.2969400000000002</v>
      </c>
      <c r="I230" s="21">
        <v>-1.2158199999999999E-2</v>
      </c>
      <c r="J230" s="21">
        <v>220</v>
      </c>
      <c r="K230" s="21">
        <v>0.69155900000000003</v>
      </c>
      <c r="L230">
        <f t="shared" si="12"/>
        <v>15.010123456790122</v>
      </c>
      <c r="M230">
        <f t="shared" si="13"/>
        <v>10.389091839259258</v>
      </c>
      <c r="N230" s="9"/>
      <c r="O230" s="21">
        <v>1.0078400000000001</v>
      </c>
      <c r="P230" s="21">
        <v>11.116099999999999</v>
      </c>
      <c r="Q230" s="21">
        <v>-9.8205600000000007E-3</v>
      </c>
      <c r="R230" s="21">
        <v>220</v>
      </c>
      <c r="S230" s="21">
        <v>1.00708</v>
      </c>
      <c r="T230">
        <f t="shared" si="14"/>
        <v>12.124148148148148</v>
      </c>
      <c r="U230">
        <f t="shared" si="15"/>
        <v>12.219201469629629</v>
      </c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7.30701</v>
      </c>
      <c r="I231" s="21">
        <v>-1.21887E-2</v>
      </c>
      <c r="J231" s="21">
        <v>221</v>
      </c>
      <c r="K231" s="21">
        <v>0.68643200000000004</v>
      </c>
      <c r="L231">
        <f t="shared" si="12"/>
        <v>15.047777777777776</v>
      </c>
      <c r="M231">
        <f t="shared" si="13"/>
        <v>10.339373254444444</v>
      </c>
      <c r="N231" s="9"/>
      <c r="O231" s="21">
        <v>1.01288</v>
      </c>
      <c r="P231" s="21">
        <v>11.126200000000001</v>
      </c>
      <c r="Q231" s="21">
        <v>-9.7747800000000003E-3</v>
      </c>
      <c r="R231" s="21">
        <v>221</v>
      </c>
      <c r="S231" s="21">
        <v>1.01166</v>
      </c>
      <c r="T231">
        <f t="shared" si="14"/>
        <v>12.06762962962963</v>
      </c>
      <c r="U231">
        <f t="shared" si="15"/>
        <v>12.223060699259261</v>
      </c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7.3170799999999998</v>
      </c>
      <c r="I232" s="21">
        <v>-1.22162E-2</v>
      </c>
      <c r="J232" s="21">
        <v>222</v>
      </c>
      <c r="K232" s="21">
        <v>0.68148799999999998</v>
      </c>
      <c r="L232">
        <f t="shared" si="12"/>
        <v>15.081728395061727</v>
      </c>
      <c r="M232">
        <f t="shared" si="13"/>
        <v>10.286764322962963</v>
      </c>
      <c r="N232" s="9"/>
      <c r="O232" s="21">
        <v>1.0179100000000001</v>
      </c>
      <c r="P232" s="21">
        <v>11.1363</v>
      </c>
      <c r="Q232" s="21">
        <v>-9.7289999999999998E-3</v>
      </c>
      <c r="R232" s="21">
        <v>222</v>
      </c>
      <c r="S232" s="21">
        <v>1.01685</v>
      </c>
      <c r="T232">
        <f t="shared" si="14"/>
        <v>12.011111111111109</v>
      </c>
      <c r="U232">
        <f t="shared" si="15"/>
        <v>12.226230111111111</v>
      </c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7.3271499999999996</v>
      </c>
      <c r="I233" s="21">
        <v>-1.2246699999999999E-2</v>
      </c>
      <c r="J233" s="21">
        <v>223</v>
      </c>
      <c r="K233" s="21">
        <v>0.67651399999999995</v>
      </c>
      <c r="L233">
        <f t="shared" si="12"/>
        <v>15.11938271604938</v>
      </c>
      <c r="M233">
        <f t="shared" si="13"/>
        <v>10.236305919012343</v>
      </c>
      <c r="N233" s="9"/>
      <c r="O233" s="21">
        <v>1.02295</v>
      </c>
      <c r="P233" s="21">
        <v>11.1463</v>
      </c>
      <c r="Q233" s="21">
        <v>-9.68018E-3</v>
      </c>
      <c r="R233" s="21">
        <v>223</v>
      </c>
      <c r="S233" s="21">
        <v>1.02203</v>
      </c>
      <c r="T233">
        <f t="shared" si="14"/>
        <v>11.950839506172839</v>
      </c>
      <c r="U233">
        <f t="shared" si="15"/>
        <v>12.225111272839506</v>
      </c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7.3372299999999999</v>
      </c>
      <c r="I234" s="21">
        <v>-1.2274200000000001E-2</v>
      </c>
      <c r="J234" s="21">
        <v>224</v>
      </c>
      <c r="K234" s="21">
        <v>0.67138699999999996</v>
      </c>
      <c r="L234">
        <f t="shared" si="12"/>
        <v>15.153333333333332</v>
      </c>
      <c r="M234">
        <f t="shared" si="13"/>
        <v>10.182994539999999</v>
      </c>
      <c r="N234" s="9"/>
      <c r="O234" s="21">
        <v>1.0279799999999999</v>
      </c>
      <c r="P234" s="21">
        <v>11.1564</v>
      </c>
      <c r="Q234" s="21">
        <v>-9.6343999999999996E-3</v>
      </c>
      <c r="R234" s="21">
        <v>224</v>
      </c>
      <c r="S234" s="21">
        <v>1.02722</v>
      </c>
      <c r="T234">
        <f t="shared" si="14"/>
        <v>11.89432098765432</v>
      </c>
      <c r="U234">
        <f t="shared" si="15"/>
        <v>12.227124088888885</v>
      </c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7.3472999999999997</v>
      </c>
      <c r="I235" s="21">
        <v>-1.2301599999999999E-2</v>
      </c>
      <c r="J235" s="21">
        <v>225</v>
      </c>
      <c r="K235" s="21">
        <v>0.66644300000000001</v>
      </c>
      <c r="L235">
        <f t="shared" si="12"/>
        <v>15.187160493827157</v>
      </c>
      <c r="M235">
        <f t="shared" si="13"/>
        <v>10.12925893728395</v>
      </c>
      <c r="N235" s="9"/>
      <c r="O235" s="21">
        <v>1.03302</v>
      </c>
      <c r="P235" s="21">
        <v>11.166499999999999</v>
      </c>
      <c r="Q235" s="21">
        <v>-9.5916700000000001E-3</v>
      </c>
      <c r="R235" s="21">
        <v>225</v>
      </c>
      <c r="S235" s="21">
        <v>1.0321</v>
      </c>
      <c r="T235">
        <f t="shared" si="14"/>
        <v>11.841567901234567</v>
      </c>
      <c r="U235">
        <f t="shared" si="15"/>
        <v>12.232576473333333</v>
      </c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7.3573700000000004</v>
      </c>
      <c r="I236" s="21">
        <v>-1.2329100000000001E-2</v>
      </c>
      <c r="J236" s="21">
        <v>226</v>
      </c>
      <c r="K236" s="21">
        <v>0.66131600000000001</v>
      </c>
      <c r="L236">
        <f t="shared" si="12"/>
        <v>15.22111111111111</v>
      </c>
      <c r="M236">
        <f t="shared" si="13"/>
        <v>10.075249193333333</v>
      </c>
      <c r="N236" s="9"/>
      <c r="O236" s="21">
        <v>1.03806</v>
      </c>
      <c r="P236" s="21">
        <v>11.176600000000001</v>
      </c>
      <c r="Q236" s="21">
        <v>-9.5458999999999995E-3</v>
      </c>
      <c r="R236" s="21">
        <v>226</v>
      </c>
      <c r="S236" s="21">
        <v>1.03729</v>
      </c>
      <c r="T236">
        <f t="shared" si="14"/>
        <v>11.78506172839506</v>
      </c>
      <c r="U236">
        <f t="shared" si="15"/>
        <v>12.233601177777777</v>
      </c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7.3674400000000002</v>
      </c>
      <c r="I237" s="21">
        <v>-1.23505E-2</v>
      </c>
      <c r="J237" s="21">
        <v>227</v>
      </c>
      <c r="K237" s="21">
        <v>0.65634199999999998</v>
      </c>
      <c r="L237">
        <f t="shared" si="12"/>
        <v>15.247530864197531</v>
      </c>
      <c r="M237">
        <f t="shared" si="13"/>
        <v>10.01596579691358</v>
      </c>
      <c r="N237" s="9"/>
      <c r="O237" s="21">
        <v>1.0430900000000001</v>
      </c>
      <c r="P237" s="21">
        <v>11.1866</v>
      </c>
      <c r="Q237" s="21">
        <v>-9.4970699999999998E-3</v>
      </c>
      <c r="R237" s="21">
        <v>227</v>
      </c>
      <c r="S237" s="21">
        <v>1.0424800000000001</v>
      </c>
      <c r="T237">
        <f t="shared" si="14"/>
        <v>11.724777777777776</v>
      </c>
      <c r="U237">
        <f t="shared" si="15"/>
        <v>12.229998452222221</v>
      </c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7.37751</v>
      </c>
      <c r="I238" s="21">
        <v>-1.2371800000000001E-2</v>
      </c>
      <c r="J238" s="21">
        <v>228</v>
      </c>
      <c r="K238" s="21">
        <v>0.65127599999999997</v>
      </c>
      <c r="L238">
        <f t="shared" si="12"/>
        <v>15.273827160493827</v>
      </c>
      <c r="M238">
        <f t="shared" si="13"/>
        <v>9.9563206037037038</v>
      </c>
      <c r="N238" s="9"/>
      <c r="O238" s="21">
        <v>1.04813</v>
      </c>
      <c r="P238" s="21">
        <v>11.1967</v>
      </c>
      <c r="Q238" s="21">
        <v>-9.4512899999999993E-3</v>
      </c>
      <c r="R238" s="21">
        <v>228</v>
      </c>
      <c r="S238" s="21">
        <v>1.0470600000000001</v>
      </c>
      <c r="T238">
        <f t="shared" si="14"/>
        <v>11.668259259259258</v>
      </c>
      <c r="U238">
        <f t="shared" si="15"/>
        <v>12.229852577407406</v>
      </c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7.3875799999999998</v>
      </c>
      <c r="I239" s="21">
        <v>-1.23962E-2</v>
      </c>
      <c r="J239" s="21">
        <v>229</v>
      </c>
      <c r="K239" s="21">
        <v>0.64627100000000004</v>
      </c>
      <c r="L239">
        <f t="shared" si="12"/>
        <v>15.303950617283951</v>
      </c>
      <c r="M239">
        <f t="shared" si="13"/>
        <v>9.8989013382716049</v>
      </c>
      <c r="N239" s="9"/>
      <c r="O239" s="21">
        <v>1.0531600000000001</v>
      </c>
      <c r="P239" s="21">
        <v>11.206799999999999</v>
      </c>
      <c r="Q239" s="21">
        <v>-9.4055200000000005E-3</v>
      </c>
      <c r="R239" s="21">
        <v>229</v>
      </c>
      <c r="S239" s="21">
        <v>1.0519400000000001</v>
      </c>
      <c r="T239">
        <f t="shared" si="14"/>
        <v>11.611753086419752</v>
      </c>
      <c r="U239">
        <f t="shared" si="15"/>
        <v>12.229033880493827</v>
      </c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7.3976499999999996</v>
      </c>
      <c r="I240" s="21">
        <v>-1.24298E-2</v>
      </c>
      <c r="J240" s="21">
        <v>230</v>
      </c>
      <c r="K240" s="21">
        <v>0.641235</v>
      </c>
      <c r="L240">
        <f t="shared" si="12"/>
        <v>15.34543209876543</v>
      </c>
      <c r="M240">
        <f t="shared" si="13"/>
        <v>9.8484681395061724</v>
      </c>
      <c r="N240" s="9"/>
      <c r="O240" s="21">
        <v>1.0582</v>
      </c>
      <c r="P240" s="21">
        <v>11.216799999999999</v>
      </c>
      <c r="Q240" s="21">
        <v>-9.3566900000000008E-3</v>
      </c>
      <c r="R240" s="21">
        <v>230</v>
      </c>
      <c r="S240" s="21">
        <v>1.0571299999999999</v>
      </c>
      <c r="T240">
        <f t="shared" si="14"/>
        <v>11.551469135802471</v>
      </c>
      <c r="U240">
        <f t="shared" si="15"/>
        <v>12.223764639506175</v>
      </c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7.4077200000000003</v>
      </c>
      <c r="I241" s="21">
        <v>-1.24542E-2</v>
      </c>
      <c r="J241" s="21">
        <v>231</v>
      </c>
      <c r="K241" s="21">
        <v>0.63616899999999998</v>
      </c>
      <c r="L241">
        <f t="shared" si="12"/>
        <v>15.375555555555556</v>
      </c>
      <c r="M241">
        <f t="shared" si="13"/>
        <v>9.7903696244444447</v>
      </c>
      <c r="N241" s="9"/>
      <c r="O241" s="21">
        <v>1.0632299999999999</v>
      </c>
      <c r="P241" s="21">
        <v>11.226900000000001</v>
      </c>
      <c r="Q241" s="21">
        <v>-9.3078599999999994E-3</v>
      </c>
      <c r="R241" s="21">
        <v>231</v>
      </c>
      <c r="S241" s="21">
        <v>1.0620099999999999</v>
      </c>
      <c r="T241">
        <f t="shared" si="14"/>
        <v>11.491185185185184</v>
      </c>
      <c r="U241">
        <f t="shared" si="15"/>
        <v>12.217772824444442</v>
      </c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7.4177900000000001</v>
      </c>
      <c r="I242" s="21">
        <v>-1.24817E-2</v>
      </c>
      <c r="J242" s="21">
        <v>232</v>
      </c>
      <c r="K242" s="21">
        <v>0.63116499999999998</v>
      </c>
      <c r="L242">
        <f t="shared" si="12"/>
        <v>15.409506172839505</v>
      </c>
      <c r="M242">
        <f t="shared" si="13"/>
        <v>9.7344007824691356</v>
      </c>
      <c r="N242" s="9"/>
      <c r="O242" s="21">
        <v>1.0682700000000001</v>
      </c>
      <c r="P242" s="21">
        <v>11.237</v>
      </c>
      <c r="Q242" s="21">
        <v>-9.2620800000000007E-3</v>
      </c>
      <c r="R242" s="21">
        <v>232</v>
      </c>
      <c r="S242" s="21">
        <v>1.0671999999999999</v>
      </c>
      <c r="T242">
        <f t="shared" si="14"/>
        <v>11.434666666666667</v>
      </c>
      <c r="U242">
        <f t="shared" si="15"/>
        <v>12.215311360000001</v>
      </c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7.4278599999999999</v>
      </c>
      <c r="I243" s="21">
        <v>-1.25092E-2</v>
      </c>
      <c r="J243" s="21">
        <v>233</v>
      </c>
      <c r="K243" s="21">
        <v>0.62612900000000005</v>
      </c>
      <c r="L243">
        <f t="shared" si="12"/>
        <v>15.443456790123456</v>
      </c>
      <c r="M243">
        <f t="shared" si="13"/>
        <v>9.6780746143209857</v>
      </c>
      <c r="N243" s="9"/>
      <c r="O243" s="21">
        <v>1.0732999999999999</v>
      </c>
      <c r="P243" s="21">
        <v>11.2471</v>
      </c>
      <c r="Q243" s="21">
        <v>-9.2132599999999992E-3</v>
      </c>
      <c r="R243" s="21">
        <v>233</v>
      </c>
      <c r="S243" s="21">
        <v>1.0720799999999999</v>
      </c>
      <c r="T243">
        <f t="shared" si="14"/>
        <v>11.374395061728395</v>
      </c>
      <c r="U243">
        <f t="shared" si="15"/>
        <v>12.208138219753085</v>
      </c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7.4379400000000002</v>
      </c>
      <c r="I244" s="21">
        <v>-1.2533600000000001E-2</v>
      </c>
      <c r="J244" s="21">
        <v>234</v>
      </c>
      <c r="K244" s="21">
        <v>0.62106300000000003</v>
      </c>
      <c r="L244">
        <f t="shared" si="12"/>
        <v>15.473580246913581</v>
      </c>
      <c r="M244">
        <f t="shared" si="13"/>
        <v>9.619042845432098</v>
      </c>
      <c r="N244" s="9"/>
      <c r="O244" s="21">
        <v>1.0783400000000001</v>
      </c>
      <c r="P244" s="21">
        <v>11.257099999999999</v>
      </c>
      <c r="Q244" s="21">
        <v>-9.1644299999999995E-3</v>
      </c>
      <c r="R244" s="21">
        <v>234</v>
      </c>
      <c r="S244" s="21">
        <v>1.07819</v>
      </c>
      <c r="T244">
        <f t="shared" si="14"/>
        <v>11.31411111111111</v>
      </c>
      <c r="U244">
        <f t="shared" si="15"/>
        <v>12.200458575555555</v>
      </c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7.44801</v>
      </c>
      <c r="I245" s="21">
        <v>-1.25641E-2</v>
      </c>
      <c r="J245" s="21">
        <v>235</v>
      </c>
      <c r="K245" s="21">
        <v>0.61596700000000004</v>
      </c>
      <c r="L245">
        <f t="shared" si="12"/>
        <v>15.511234567901234</v>
      </c>
      <c r="M245">
        <f t="shared" si="13"/>
        <v>9.5643513244444449</v>
      </c>
      <c r="N245" s="9"/>
      <c r="O245" s="21">
        <v>1.0833699999999999</v>
      </c>
      <c r="P245" s="21">
        <v>11.267200000000001</v>
      </c>
      <c r="Q245" s="21">
        <v>-9.1155999999999997E-3</v>
      </c>
      <c r="R245" s="21">
        <v>235</v>
      </c>
      <c r="S245" s="21">
        <v>1.08246</v>
      </c>
      <c r="T245">
        <f t="shared" si="14"/>
        <v>11.253827160493826</v>
      </c>
      <c r="U245">
        <f t="shared" si="15"/>
        <v>12.192058730864195</v>
      </c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7.4580799999999998</v>
      </c>
      <c r="I246" s="21">
        <v>-1.2594599999999999E-2</v>
      </c>
      <c r="J246" s="21">
        <v>236</v>
      </c>
      <c r="K246" s="21">
        <v>0.61099199999999998</v>
      </c>
      <c r="L246">
        <f t="shared" si="12"/>
        <v>15.548888888888886</v>
      </c>
      <c r="M246">
        <f t="shared" si="13"/>
        <v>9.5092650755555539</v>
      </c>
      <c r="N246" s="9"/>
      <c r="O246" s="21">
        <v>1.0884100000000001</v>
      </c>
      <c r="P246" s="21">
        <v>11.2773</v>
      </c>
      <c r="Q246" s="21">
        <v>-9.06677E-3</v>
      </c>
      <c r="R246" s="21">
        <v>236</v>
      </c>
      <c r="S246" s="21">
        <v>1.08765</v>
      </c>
      <c r="T246">
        <f t="shared" si="14"/>
        <v>11.193543209876541</v>
      </c>
      <c r="U246">
        <f t="shared" si="15"/>
        <v>12.183164365061726</v>
      </c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7.4681499999999996</v>
      </c>
      <c r="I247" s="21">
        <v>-1.2628199999999999E-2</v>
      </c>
      <c r="J247" s="21">
        <v>237</v>
      </c>
      <c r="K247" s="21">
        <v>0.60595699999999997</v>
      </c>
      <c r="L247">
        <f t="shared" si="12"/>
        <v>15.590370370370369</v>
      </c>
      <c r="M247">
        <f t="shared" si="13"/>
        <v>9.4561364733333324</v>
      </c>
      <c r="N247" s="9"/>
      <c r="O247" s="21">
        <v>1.09344</v>
      </c>
      <c r="P247" s="21">
        <v>11.2873</v>
      </c>
      <c r="Q247" s="21">
        <v>-9.0179400000000003E-3</v>
      </c>
      <c r="R247" s="21">
        <v>237</v>
      </c>
      <c r="S247" s="21">
        <v>1.09344</v>
      </c>
      <c r="T247">
        <f t="shared" si="14"/>
        <v>11.13325925925926</v>
      </c>
      <c r="U247">
        <f t="shared" si="15"/>
        <v>12.173551004444445</v>
      </c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7.4782200000000003</v>
      </c>
      <c r="I248" s="21">
        <v>-1.2655599999999999E-2</v>
      </c>
      <c r="J248" s="21">
        <v>238</v>
      </c>
      <c r="K248" s="21">
        <v>0.60101300000000002</v>
      </c>
      <c r="L248">
        <f t="shared" si="12"/>
        <v>15.624197530864196</v>
      </c>
      <c r="M248">
        <f t="shared" si="13"/>
        <v>9.3979704390123437</v>
      </c>
      <c r="N248" s="9"/>
      <c r="O248" s="21">
        <v>1.0984799999999999</v>
      </c>
      <c r="P248" s="21">
        <v>11.2974</v>
      </c>
      <c r="Q248" s="21">
        <v>-8.9691200000000006E-3</v>
      </c>
      <c r="R248" s="21">
        <v>238</v>
      </c>
      <c r="S248" s="21">
        <v>1.09772</v>
      </c>
      <c r="T248">
        <f t="shared" si="14"/>
        <v>11.072987654320988</v>
      </c>
      <c r="U248">
        <f t="shared" si="15"/>
        <v>12.163455478518518</v>
      </c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7.4882900000000001</v>
      </c>
      <c r="I249" s="21">
        <v>-1.26801E-2</v>
      </c>
      <c r="J249" s="21">
        <v>239</v>
      </c>
      <c r="K249" s="21">
        <v>0.59585600000000005</v>
      </c>
      <c r="L249">
        <f t="shared" si="12"/>
        <v>15.654444444444444</v>
      </c>
      <c r="M249">
        <f t="shared" si="13"/>
        <v>9.3373438600000007</v>
      </c>
      <c r="N249" s="9"/>
      <c r="O249" s="21">
        <v>1.1035200000000001</v>
      </c>
      <c r="P249" s="21">
        <v>11.307499999999999</v>
      </c>
      <c r="Q249" s="21">
        <v>-8.9233400000000001E-3</v>
      </c>
      <c r="R249" s="21">
        <v>239</v>
      </c>
      <c r="S249" s="21">
        <v>1.10229</v>
      </c>
      <c r="T249">
        <f t="shared" si="14"/>
        <v>11.016469135802469</v>
      </c>
      <c r="U249">
        <f t="shared" si="15"/>
        <v>12.15689402074074</v>
      </c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7.4983599999999999</v>
      </c>
      <c r="I250" s="21">
        <v>-1.2704500000000001E-2</v>
      </c>
      <c r="J250" s="21">
        <v>240</v>
      </c>
      <c r="K250" s="21">
        <v>0.59082000000000001</v>
      </c>
      <c r="L250">
        <f t="shared" si="12"/>
        <v>15.684567901234566</v>
      </c>
      <c r="M250">
        <f t="shared" si="13"/>
        <v>9.2763396783950611</v>
      </c>
      <c r="N250" s="9"/>
      <c r="O250" s="21">
        <v>1.1085499999999999</v>
      </c>
      <c r="P250" s="21">
        <v>11.317500000000001</v>
      </c>
      <c r="Q250" s="21">
        <v>-8.8775599999999996E-3</v>
      </c>
      <c r="R250" s="21">
        <v>240</v>
      </c>
      <c r="S250" s="21">
        <v>1.1077900000000001</v>
      </c>
      <c r="T250">
        <f t="shared" si="14"/>
        <v>10.959950617283949</v>
      </c>
      <c r="U250">
        <f t="shared" si="15"/>
        <v>12.149653256790121</v>
      </c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7.5084299999999997</v>
      </c>
      <c r="I251" s="21">
        <v>-1.27289E-2</v>
      </c>
      <c r="J251" s="21">
        <v>241</v>
      </c>
      <c r="K251" s="21">
        <v>0.58587599999999995</v>
      </c>
      <c r="L251">
        <f t="shared" si="12"/>
        <v>15.714691358024689</v>
      </c>
      <c r="M251">
        <f t="shared" si="13"/>
        <v>9.2150164388888882</v>
      </c>
      <c r="N251" s="9"/>
      <c r="O251" s="21">
        <v>1.1135900000000001</v>
      </c>
      <c r="P251" s="21">
        <v>11.3276</v>
      </c>
      <c r="Q251" s="21">
        <v>-8.8287399999999999E-3</v>
      </c>
      <c r="R251" s="21">
        <v>241</v>
      </c>
      <c r="S251" s="21">
        <v>1.11267</v>
      </c>
      <c r="T251">
        <f t="shared" si="14"/>
        <v>10.899679012345679</v>
      </c>
      <c r="U251">
        <f t="shared" si="15"/>
        <v>12.137773551358025</v>
      </c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7.5185000000000004</v>
      </c>
      <c r="I252" s="21">
        <v>-1.27533E-2</v>
      </c>
      <c r="J252" s="21">
        <v>242</v>
      </c>
      <c r="K252" s="21">
        <v>0.58077999999999996</v>
      </c>
      <c r="L252">
        <f t="shared" si="12"/>
        <v>15.744814814814816</v>
      </c>
      <c r="M252">
        <f t="shared" si="13"/>
        <v>9.1534055407407422</v>
      </c>
      <c r="N252" s="9"/>
      <c r="O252" s="21">
        <v>1.1186199999999999</v>
      </c>
      <c r="P252" s="21">
        <v>11.3377</v>
      </c>
      <c r="Q252" s="21">
        <v>-8.7799100000000001E-3</v>
      </c>
      <c r="R252" s="21">
        <v>242</v>
      </c>
      <c r="S252" s="21">
        <v>1.1172500000000001</v>
      </c>
      <c r="T252">
        <f t="shared" si="14"/>
        <v>10.839395061728395</v>
      </c>
      <c r="U252">
        <f t="shared" si="15"/>
        <v>12.125164103950617</v>
      </c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7.5285700000000002</v>
      </c>
      <c r="I253" s="21">
        <v>-1.2771599999999999E-2</v>
      </c>
      <c r="J253" s="21">
        <v>243</v>
      </c>
      <c r="K253" s="21">
        <v>0.57574499999999995</v>
      </c>
      <c r="L253">
        <f t="shared" si="12"/>
        <v>15.767407407407408</v>
      </c>
      <c r="M253">
        <f t="shared" si="13"/>
        <v>9.0871353066666654</v>
      </c>
      <c r="N253" s="9"/>
      <c r="O253" s="21">
        <v>1.1236600000000001</v>
      </c>
      <c r="P253" s="21">
        <v>11.347799999999999</v>
      </c>
      <c r="Q253" s="21">
        <v>-8.7249800000000002E-3</v>
      </c>
      <c r="R253" s="21">
        <v>243</v>
      </c>
      <c r="S253" s="21">
        <v>1.1224400000000001</v>
      </c>
      <c r="T253">
        <f t="shared" si="14"/>
        <v>10.77158024691358</v>
      </c>
      <c r="U253">
        <f t="shared" si="15"/>
        <v>12.103593860246914</v>
      </c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7.5386499999999996</v>
      </c>
      <c r="I254" s="21">
        <v>-1.2799100000000001E-2</v>
      </c>
      <c r="J254" s="21">
        <v>244</v>
      </c>
      <c r="K254" s="21">
        <v>0.57067900000000005</v>
      </c>
      <c r="L254">
        <f t="shared" si="12"/>
        <v>15.801358024691359</v>
      </c>
      <c r="M254">
        <f t="shared" si="13"/>
        <v>9.0271420245679028</v>
      </c>
      <c r="N254" s="9"/>
      <c r="O254" s="21">
        <v>1.12869</v>
      </c>
      <c r="P254" s="21">
        <v>11.357799999999999</v>
      </c>
      <c r="Q254" s="21">
        <v>-8.6730999999999996E-3</v>
      </c>
      <c r="R254" s="21">
        <v>244</v>
      </c>
      <c r="S254" s="21">
        <v>1.1282300000000001</v>
      </c>
      <c r="T254">
        <f t="shared" si="14"/>
        <v>10.70753086419753</v>
      </c>
      <c r="U254">
        <f t="shared" si="15"/>
        <v>12.08548301111111</v>
      </c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7.5487200000000003</v>
      </c>
      <c r="I255" s="21">
        <v>-1.28235E-2</v>
      </c>
      <c r="J255" s="21">
        <v>245</v>
      </c>
      <c r="K255" s="21">
        <v>0.56567400000000001</v>
      </c>
      <c r="L255">
        <f t="shared" si="12"/>
        <v>15.831481481481481</v>
      </c>
      <c r="M255">
        <f t="shared" si="13"/>
        <v>8.9646397148148154</v>
      </c>
      <c r="N255" s="9"/>
      <c r="O255" s="21">
        <v>1.1337299999999999</v>
      </c>
      <c r="P255" s="21">
        <v>11.367900000000001</v>
      </c>
      <c r="Q255" s="21">
        <v>-8.6212200000000006E-3</v>
      </c>
      <c r="R255" s="21">
        <v>245</v>
      </c>
      <c r="S255" s="21">
        <v>1.1325099999999999</v>
      </c>
      <c r="T255">
        <f t="shared" si="14"/>
        <v>10.643481481481482</v>
      </c>
      <c r="U255">
        <f t="shared" si="15"/>
        <v>12.066834259999998</v>
      </c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7.5587900000000001</v>
      </c>
      <c r="I256" s="21">
        <v>-1.28418E-2</v>
      </c>
      <c r="J256" s="21">
        <v>246</v>
      </c>
      <c r="K256" s="21">
        <v>0.56066899999999997</v>
      </c>
      <c r="L256">
        <f t="shared" si="12"/>
        <v>15.854074074074072</v>
      </c>
      <c r="M256">
        <f t="shared" si="13"/>
        <v>8.8975917437037033</v>
      </c>
      <c r="N256" s="9"/>
      <c r="O256" s="21">
        <v>1.13876</v>
      </c>
      <c r="P256" s="21">
        <v>11.378</v>
      </c>
      <c r="Q256" s="21">
        <v>-8.5693399999999999E-3</v>
      </c>
      <c r="R256" s="21">
        <v>246</v>
      </c>
      <c r="S256" s="21">
        <v>1.1373899999999999</v>
      </c>
      <c r="T256">
        <f t="shared" si="14"/>
        <v>10.579432098765432</v>
      </c>
      <c r="U256">
        <f t="shared" si="15"/>
        <v>12.047434096790123</v>
      </c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7.5688599999999999</v>
      </c>
      <c r="I257" s="21">
        <v>-1.28571E-2</v>
      </c>
      <c r="J257" s="21">
        <v>247</v>
      </c>
      <c r="K257" s="21">
        <v>0.55560299999999996</v>
      </c>
      <c r="L257">
        <f t="shared" si="12"/>
        <v>15.87296296296296</v>
      </c>
      <c r="M257">
        <f t="shared" si="13"/>
        <v>8.8282721596296287</v>
      </c>
      <c r="N257" s="9"/>
      <c r="O257" s="21">
        <v>1.1437999999999999</v>
      </c>
      <c r="P257" s="21">
        <v>11.388</v>
      </c>
      <c r="Q257" s="21">
        <v>-8.5174599999999993E-3</v>
      </c>
      <c r="R257" s="21">
        <v>247</v>
      </c>
      <c r="S257" s="21">
        <v>1.1431899999999999</v>
      </c>
      <c r="T257">
        <f t="shared" si="14"/>
        <v>10.515382716049382</v>
      </c>
      <c r="U257">
        <f t="shared" si="15"/>
        <v>12.027494750617283</v>
      </c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7.5789299999999997</v>
      </c>
      <c r="I258" s="21">
        <v>-1.28723E-2</v>
      </c>
      <c r="J258" s="21">
        <v>248</v>
      </c>
      <c r="K258" s="21">
        <v>0.55062900000000004</v>
      </c>
      <c r="L258">
        <f t="shared" si="12"/>
        <v>15.891728395061728</v>
      </c>
      <c r="M258">
        <f t="shared" si="13"/>
        <v>8.7586784297530862</v>
      </c>
      <c r="N258" s="9"/>
      <c r="O258" s="21">
        <v>1.14883</v>
      </c>
      <c r="P258" s="21">
        <v>11.398099999999999</v>
      </c>
      <c r="Q258" s="21">
        <v>-8.4655800000000003E-3</v>
      </c>
      <c r="R258" s="21">
        <v>248</v>
      </c>
      <c r="S258" s="21">
        <v>1.1480699999999999</v>
      </c>
      <c r="T258">
        <f t="shared" si="14"/>
        <v>10.451333333333332</v>
      </c>
      <c r="U258">
        <f t="shared" si="15"/>
        <v>12.006805273333333</v>
      </c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7.5890000000000004</v>
      </c>
      <c r="I259" s="21">
        <v>-1.2896700000000001E-2</v>
      </c>
      <c r="J259" s="21">
        <v>249</v>
      </c>
      <c r="K259" s="21">
        <v>0.54550200000000004</v>
      </c>
      <c r="L259">
        <f t="shared" si="12"/>
        <v>15.92185185185185</v>
      </c>
      <c r="M259">
        <f t="shared" si="13"/>
        <v>8.6951143585185182</v>
      </c>
      <c r="N259" s="9"/>
      <c r="O259" s="21">
        <v>1.15387</v>
      </c>
      <c r="P259" s="21">
        <v>11.408200000000001</v>
      </c>
      <c r="Q259" s="21">
        <v>-8.4167500000000006E-3</v>
      </c>
      <c r="R259" s="21">
        <v>249</v>
      </c>
      <c r="S259" s="21">
        <v>1.15326</v>
      </c>
      <c r="T259">
        <f t="shared" si="14"/>
        <v>10.39104938271605</v>
      </c>
      <c r="U259">
        <f t="shared" si="15"/>
        <v>11.989920151234568</v>
      </c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7.5990700000000002</v>
      </c>
      <c r="I260" s="21">
        <v>-1.29181E-2</v>
      </c>
      <c r="J260" s="21">
        <v>250</v>
      </c>
      <c r="K260" s="21">
        <v>0.54049700000000001</v>
      </c>
      <c r="L260">
        <f t="shared" si="12"/>
        <v>15.94827160493827</v>
      </c>
      <c r="M260">
        <f t="shared" si="13"/>
        <v>8.6292429551851857</v>
      </c>
      <c r="N260" s="9"/>
      <c r="O260" s="21">
        <v>1.1589100000000001</v>
      </c>
      <c r="P260" s="21">
        <v>11.4183</v>
      </c>
      <c r="Q260" s="21">
        <v>-8.3648699999999999E-3</v>
      </c>
      <c r="R260" s="21">
        <v>250</v>
      </c>
      <c r="S260" s="21">
        <v>1.1581399999999999</v>
      </c>
      <c r="T260">
        <f t="shared" si="14"/>
        <v>10.327</v>
      </c>
      <c r="U260">
        <f t="shared" si="15"/>
        <v>11.968063570000002</v>
      </c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7.60914</v>
      </c>
      <c r="I261" s="21">
        <v>-1.2942499999999999E-2</v>
      </c>
      <c r="J261" s="21">
        <v>251</v>
      </c>
      <c r="K261" s="21">
        <v>0.53549199999999997</v>
      </c>
      <c r="L261">
        <f t="shared" si="12"/>
        <v>15.978395061728392</v>
      </c>
      <c r="M261">
        <f t="shared" si="13"/>
        <v>8.5650748672839487</v>
      </c>
      <c r="N261" s="9"/>
      <c r="O261" s="21">
        <v>1.16394</v>
      </c>
      <c r="P261" s="21">
        <v>11.4283</v>
      </c>
      <c r="Q261" s="21">
        <v>-8.3129899999999993E-3</v>
      </c>
      <c r="R261" s="21">
        <v>251</v>
      </c>
      <c r="S261" s="21">
        <v>1.1630199999999999</v>
      </c>
      <c r="T261">
        <f t="shared" si="14"/>
        <v>10.26295061728395</v>
      </c>
      <c r="U261">
        <f t="shared" si="15"/>
        <v>11.945458741481481</v>
      </c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7.6192099999999998</v>
      </c>
      <c r="I262" s="21">
        <v>-1.29639E-2</v>
      </c>
      <c r="J262" s="21">
        <v>252</v>
      </c>
      <c r="K262" s="21">
        <v>0.53039599999999998</v>
      </c>
      <c r="L262">
        <f t="shared" si="12"/>
        <v>16.004814814814814</v>
      </c>
      <c r="M262">
        <f t="shared" si="13"/>
        <v>8.4986526955555544</v>
      </c>
      <c r="N262" s="9"/>
      <c r="O262" s="21">
        <v>1.1689799999999999</v>
      </c>
      <c r="P262" s="21">
        <v>11.4384</v>
      </c>
      <c r="Q262" s="21">
        <v>-8.2580599999999994E-3</v>
      </c>
      <c r="R262" s="21">
        <v>252</v>
      </c>
      <c r="S262" s="21">
        <v>1.16821</v>
      </c>
      <c r="T262">
        <f t="shared" si="14"/>
        <v>10.195135802469133</v>
      </c>
      <c r="U262">
        <f t="shared" si="15"/>
        <v>11.917909850370366</v>
      </c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7.6292799999999996</v>
      </c>
      <c r="I263" s="21">
        <v>-1.2982199999999999E-2</v>
      </c>
      <c r="J263" s="21">
        <v>253</v>
      </c>
      <c r="K263" s="21">
        <v>0.52536000000000005</v>
      </c>
      <c r="L263">
        <f t="shared" si="12"/>
        <v>16.027407407407406</v>
      </c>
      <c r="M263">
        <f t="shared" si="13"/>
        <v>8.4299354740740746</v>
      </c>
      <c r="N263" s="9"/>
      <c r="O263" s="21">
        <v>1.17401</v>
      </c>
      <c r="P263" s="21">
        <v>11.448499999999999</v>
      </c>
      <c r="Q263" s="21">
        <v>-8.2031299999999994E-3</v>
      </c>
      <c r="R263" s="21">
        <v>253</v>
      </c>
      <c r="S263" s="21">
        <v>1.1731</v>
      </c>
      <c r="T263">
        <f t="shared" si="14"/>
        <v>10.12732098765432</v>
      </c>
      <c r="U263">
        <f t="shared" si="15"/>
        <v>11.889576112716048</v>
      </c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7.6393599999999999</v>
      </c>
      <c r="I264" s="21">
        <v>-1.3003499999999999E-2</v>
      </c>
      <c r="J264" s="21">
        <v>254</v>
      </c>
      <c r="K264" s="21">
        <v>0.52035500000000001</v>
      </c>
      <c r="L264">
        <f t="shared" si="12"/>
        <v>16.0537037037037</v>
      </c>
      <c r="M264">
        <f t="shared" si="13"/>
        <v>8.3629361388888874</v>
      </c>
      <c r="N264" s="9"/>
      <c r="O264" s="21">
        <v>1.1790499999999999</v>
      </c>
      <c r="P264" s="21">
        <v>11.458500000000001</v>
      </c>
      <c r="Q264" s="21">
        <v>-8.1512500000000005E-3</v>
      </c>
      <c r="R264" s="21">
        <v>254</v>
      </c>
      <c r="S264" s="21">
        <v>1.17828</v>
      </c>
      <c r="T264">
        <f t="shared" si="14"/>
        <v>10.063271604938272</v>
      </c>
      <c r="U264">
        <f t="shared" si="15"/>
        <v>11.865100385802469</v>
      </c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7.6494299999999997</v>
      </c>
      <c r="I265" s="21">
        <v>-1.3024900000000001E-2</v>
      </c>
      <c r="J265" s="21">
        <v>255</v>
      </c>
      <c r="K265" s="21">
        <v>0.515289</v>
      </c>
      <c r="L265">
        <f t="shared" si="12"/>
        <v>16.080123456790126</v>
      </c>
      <c r="M265">
        <f t="shared" si="13"/>
        <v>8.2957356913580274</v>
      </c>
      <c r="N265" s="9"/>
      <c r="O265" s="21">
        <v>1.18408</v>
      </c>
      <c r="P265" s="21">
        <v>11.4686</v>
      </c>
      <c r="Q265" s="21">
        <v>-8.0963100000000007E-3</v>
      </c>
      <c r="R265" s="21">
        <v>255</v>
      </c>
      <c r="S265" s="21">
        <v>1.1831700000000001</v>
      </c>
      <c r="T265">
        <f t="shared" si="14"/>
        <v>9.9954444444444448</v>
      </c>
      <c r="U265">
        <f t="shared" si="15"/>
        <v>11.835405857777779</v>
      </c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7.6595000000000004</v>
      </c>
      <c r="I266" s="21">
        <v>-1.30493E-2</v>
      </c>
      <c r="J266" s="21">
        <v>256</v>
      </c>
      <c r="K266" s="21">
        <v>0.51034500000000005</v>
      </c>
      <c r="L266">
        <f t="shared" si="12"/>
        <v>16.110246913580244</v>
      </c>
      <c r="M266">
        <f t="shared" si="13"/>
        <v>8.2301451792592584</v>
      </c>
      <c r="N266" s="9"/>
      <c r="O266" s="21">
        <v>1.18912</v>
      </c>
      <c r="P266" s="21">
        <v>11.4787</v>
      </c>
      <c r="Q266" s="21">
        <v>-8.0413800000000007E-3</v>
      </c>
      <c r="R266" s="21">
        <v>256</v>
      </c>
      <c r="S266" s="21">
        <v>1.18835</v>
      </c>
      <c r="T266">
        <f t="shared" si="14"/>
        <v>9.9276296296296298</v>
      </c>
      <c r="U266">
        <f t="shared" si="15"/>
        <v>11.805142945185185</v>
      </c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7.6695700000000002</v>
      </c>
      <c r="I267" s="21">
        <v>-1.30676E-2</v>
      </c>
      <c r="J267" s="21">
        <v>257</v>
      </c>
      <c r="K267" s="21">
        <v>0.50524899999999995</v>
      </c>
      <c r="L267">
        <f t="shared" si="12"/>
        <v>16.132839506172839</v>
      </c>
      <c r="M267">
        <f t="shared" si="13"/>
        <v>8.1604580745679005</v>
      </c>
      <c r="N267" s="9"/>
      <c r="O267" s="21">
        <v>1.19415</v>
      </c>
      <c r="P267" s="21">
        <v>11.488799999999999</v>
      </c>
      <c r="Q267" s="21">
        <v>-7.9833999999999999E-3</v>
      </c>
      <c r="R267" s="21">
        <v>257</v>
      </c>
      <c r="S267" s="21">
        <v>1.1938500000000001</v>
      </c>
      <c r="T267">
        <f t="shared" si="14"/>
        <v>9.8560493827160478</v>
      </c>
      <c r="U267">
        <f t="shared" si="15"/>
        <v>11.769601370370369</v>
      </c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7.67964</v>
      </c>
      <c r="I268" s="21">
        <v>-1.3085899999999999E-2</v>
      </c>
      <c r="J268" s="21">
        <v>258</v>
      </c>
      <c r="K268" s="21">
        <v>0.50018300000000004</v>
      </c>
      <c r="L268">
        <f t="shared" ref="L268:L331" si="16">-I268/$F$2*1000</f>
        <v>16.155432098765431</v>
      </c>
      <c r="M268">
        <f t="shared" ref="M268:M331" si="17">L268*G268</f>
        <v>8.0905273070370374</v>
      </c>
      <c r="N268" s="9"/>
      <c r="O268" s="21">
        <v>1.19919</v>
      </c>
      <c r="P268" s="21">
        <v>11.498799999999999</v>
      </c>
      <c r="Q268" s="21">
        <v>-7.92847E-3</v>
      </c>
      <c r="R268" s="21">
        <v>258</v>
      </c>
      <c r="S268" s="21">
        <v>1.1987300000000001</v>
      </c>
      <c r="T268">
        <f t="shared" ref="T268:T331" si="18">-Q268/$F$2*1000</f>
        <v>9.7882345679012346</v>
      </c>
      <c r="U268">
        <f t="shared" ref="U268:U331" si="19">T268*O268</f>
        <v>11.737953011481482</v>
      </c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7.6897099999999998</v>
      </c>
      <c r="I269" s="21">
        <v>-1.31042E-2</v>
      </c>
      <c r="J269" s="21">
        <v>259</v>
      </c>
      <c r="K269" s="21">
        <v>0.49517800000000001</v>
      </c>
      <c r="L269">
        <f t="shared" si="16"/>
        <v>16.178024691358022</v>
      </c>
      <c r="M269">
        <f t="shared" si="17"/>
        <v>8.0203851649382703</v>
      </c>
      <c r="N269" s="9"/>
      <c r="O269" s="21">
        <v>1.2042200000000001</v>
      </c>
      <c r="P269" s="21">
        <v>11.508900000000001</v>
      </c>
      <c r="Q269" s="21">
        <v>-7.8735400000000001E-3</v>
      </c>
      <c r="R269" s="21">
        <v>259</v>
      </c>
      <c r="S269" s="21">
        <v>1.2036100000000001</v>
      </c>
      <c r="T269">
        <f t="shared" si="18"/>
        <v>9.7204197530864196</v>
      </c>
      <c r="U269">
        <f t="shared" si="19"/>
        <v>11.705523875061729</v>
      </c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7.6997799999999996</v>
      </c>
      <c r="I270" s="21">
        <v>-1.31165E-2</v>
      </c>
      <c r="J270" s="21">
        <v>260</v>
      </c>
      <c r="K270" s="21">
        <v>0.49020399999999997</v>
      </c>
      <c r="L270">
        <f t="shared" si="16"/>
        <v>16.193209876543211</v>
      </c>
      <c r="M270">
        <f t="shared" si="17"/>
        <v>7.9463805302469144</v>
      </c>
      <c r="N270" s="9"/>
      <c r="O270" s="21">
        <v>1.20926</v>
      </c>
      <c r="P270" s="21">
        <v>11.519</v>
      </c>
      <c r="Q270" s="21">
        <v>-7.8186000000000002E-3</v>
      </c>
      <c r="R270" s="21">
        <v>260</v>
      </c>
      <c r="S270" s="21">
        <v>1.2081900000000001</v>
      </c>
      <c r="T270">
        <f t="shared" si="18"/>
        <v>9.6525925925925922</v>
      </c>
      <c r="U270">
        <f t="shared" si="19"/>
        <v>11.672494118518518</v>
      </c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7.7098500000000003</v>
      </c>
      <c r="I271" s="21">
        <v>-1.31378E-2</v>
      </c>
      <c r="J271" s="21">
        <v>261</v>
      </c>
      <c r="K271" s="21">
        <v>0.48507699999999998</v>
      </c>
      <c r="L271">
        <f t="shared" si="16"/>
        <v>16.219506172839505</v>
      </c>
      <c r="M271">
        <f t="shared" si="17"/>
        <v>7.8776032945679004</v>
      </c>
      <c r="N271" s="9"/>
      <c r="O271" s="21">
        <v>1.2142900000000001</v>
      </c>
      <c r="P271" s="21">
        <v>11.529</v>
      </c>
      <c r="Q271" s="21">
        <v>-7.7636700000000003E-3</v>
      </c>
      <c r="R271" s="21">
        <v>261</v>
      </c>
      <c r="S271" s="21">
        <v>1.2136800000000001</v>
      </c>
      <c r="T271">
        <f t="shared" si="18"/>
        <v>9.5847777777777772</v>
      </c>
      <c r="U271">
        <f t="shared" si="19"/>
        <v>11.638699807777778</v>
      </c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7.7199200000000001</v>
      </c>
      <c r="I272" s="21">
        <v>-1.3153099999999999E-2</v>
      </c>
      <c r="J272" s="21">
        <v>262</v>
      </c>
      <c r="K272" s="21">
        <v>0.48004200000000002</v>
      </c>
      <c r="L272">
        <f t="shared" si="16"/>
        <v>16.238395061728394</v>
      </c>
      <c r="M272">
        <f t="shared" si="17"/>
        <v>7.8050170632098759</v>
      </c>
      <c r="N272" s="9"/>
      <c r="O272" s="21">
        <v>1.21933</v>
      </c>
      <c r="P272" s="21">
        <v>11.539099999999999</v>
      </c>
      <c r="Q272" s="21">
        <v>-7.7087400000000004E-3</v>
      </c>
      <c r="R272" s="21">
        <v>262</v>
      </c>
      <c r="S272" s="21">
        <v>1.2182599999999999</v>
      </c>
      <c r="T272">
        <f t="shared" si="18"/>
        <v>9.516962962962964</v>
      </c>
      <c r="U272">
        <f t="shared" si="19"/>
        <v>11.604318449629631</v>
      </c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7.7299899999999999</v>
      </c>
      <c r="I273" s="21">
        <v>-1.31714E-2</v>
      </c>
      <c r="J273" s="21">
        <v>263</v>
      </c>
      <c r="K273" s="21">
        <v>0.47506700000000002</v>
      </c>
      <c r="L273">
        <f t="shared" si="16"/>
        <v>16.260987654320989</v>
      </c>
      <c r="M273">
        <f t="shared" si="17"/>
        <v>7.7339859041975307</v>
      </c>
      <c r="N273" s="9"/>
      <c r="O273" s="21">
        <v>1.22437</v>
      </c>
      <c r="P273" s="21">
        <v>11.549200000000001</v>
      </c>
      <c r="Q273" s="21">
        <v>-7.6507600000000004E-3</v>
      </c>
      <c r="R273" s="21">
        <v>263</v>
      </c>
      <c r="S273" s="21">
        <v>1.2240599999999999</v>
      </c>
      <c r="T273">
        <f t="shared" si="18"/>
        <v>9.4453827160493837</v>
      </c>
      <c r="U273">
        <f t="shared" si="19"/>
        <v>11.564643236049383</v>
      </c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7.7400700000000002</v>
      </c>
      <c r="I274" s="21">
        <v>-1.31927E-2</v>
      </c>
      <c r="J274" s="21">
        <v>264</v>
      </c>
      <c r="K274" s="21">
        <v>0.470001</v>
      </c>
      <c r="L274">
        <f t="shared" si="16"/>
        <v>16.287283950617283</v>
      </c>
      <c r="M274">
        <f t="shared" si="17"/>
        <v>7.6644863687654325</v>
      </c>
      <c r="N274" s="9"/>
      <c r="O274" s="21">
        <v>1.2294</v>
      </c>
      <c r="P274" s="21">
        <v>11.5593</v>
      </c>
      <c r="Q274" s="21">
        <v>-7.5958299999999996E-3</v>
      </c>
      <c r="R274" s="21">
        <v>264</v>
      </c>
      <c r="S274" s="21">
        <v>1.2283299999999999</v>
      </c>
      <c r="T274">
        <f t="shared" si="18"/>
        <v>9.3775679012345652</v>
      </c>
      <c r="U274">
        <f t="shared" si="19"/>
        <v>11.528781977777776</v>
      </c>
    </row>
    <row r="275" spans="6:101" x14ac:dyDescent="0.25">
      <c r="F275" s="9"/>
      <c r="G275" s="21">
        <v>0.46554600000000002</v>
      </c>
      <c r="H275" s="21">
        <v>7.75014</v>
      </c>
      <c r="I275" s="21">
        <v>-1.3214099999999999E-2</v>
      </c>
      <c r="J275" s="21">
        <v>265</v>
      </c>
      <c r="K275" s="21">
        <v>0.46499600000000002</v>
      </c>
      <c r="L275">
        <f t="shared" si="16"/>
        <v>16.313703703703702</v>
      </c>
      <c r="M275">
        <f t="shared" si="17"/>
        <v>7.5947795044444435</v>
      </c>
      <c r="N275" s="9"/>
      <c r="O275" s="21">
        <v>1.23444</v>
      </c>
      <c r="P275" s="21">
        <v>11.5693</v>
      </c>
      <c r="Q275" s="21">
        <v>-7.5408899999999997E-3</v>
      </c>
      <c r="R275" s="21">
        <v>265</v>
      </c>
      <c r="S275" s="21">
        <v>1.2335199999999999</v>
      </c>
      <c r="T275">
        <f t="shared" si="18"/>
        <v>9.3097407407407395</v>
      </c>
      <c r="U275">
        <f t="shared" si="19"/>
        <v>11.492316359999998</v>
      </c>
    </row>
    <row r="276" spans="6:101" x14ac:dyDescent="0.25">
      <c r="F276" s="9"/>
      <c r="G276" s="21">
        <v>0.46050999999999997</v>
      </c>
      <c r="H276" s="21">
        <v>7.7602099999999998</v>
      </c>
      <c r="I276" s="21">
        <v>-1.32324E-2</v>
      </c>
      <c r="J276" s="21">
        <v>266</v>
      </c>
      <c r="K276" s="21">
        <v>0.45996100000000001</v>
      </c>
      <c r="L276">
        <f t="shared" si="16"/>
        <v>16.336296296296297</v>
      </c>
      <c r="M276">
        <f t="shared" si="17"/>
        <v>7.5230278074074075</v>
      </c>
      <c r="N276" s="9"/>
      <c r="O276" s="21">
        <v>1.2394700000000001</v>
      </c>
      <c r="P276" s="21">
        <v>11.5794</v>
      </c>
      <c r="Q276" s="21">
        <v>-7.4798599999999996E-3</v>
      </c>
      <c r="R276" s="21">
        <v>266</v>
      </c>
      <c r="S276" s="21">
        <v>1.2383999999999999</v>
      </c>
      <c r="T276">
        <f t="shared" si="18"/>
        <v>9.2343950617283941</v>
      </c>
      <c r="U276">
        <f t="shared" si="19"/>
        <v>11.445755647160492</v>
      </c>
    </row>
    <row r="277" spans="6:101" x14ac:dyDescent="0.25">
      <c r="F277" s="9"/>
      <c r="G277" s="21">
        <v>0.45547500000000002</v>
      </c>
      <c r="H277" s="21">
        <v>7.7702799999999996</v>
      </c>
      <c r="I277" s="21">
        <v>-1.3250700000000001E-2</v>
      </c>
      <c r="J277" s="21">
        <v>267</v>
      </c>
      <c r="K277" s="21">
        <v>0.45495600000000003</v>
      </c>
      <c r="L277">
        <f t="shared" si="16"/>
        <v>16.358888888888888</v>
      </c>
      <c r="M277">
        <f t="shared" si="17"/>
        <v>7.4510649166666667</v>
      </c>
      <c r="N277" s="9"/>
      <c r="O277" s="21">
        <v>1.24451</v>
      </c>
      <c r="P277" s="21">
        <v>11.589499999999999</v>
      </c>
      <c r="Q277" s="21">
        <v>-7.4218799999999996E-3</v>
      </c>
      <c r="R277" s="21">
        <v>267</v>
      </c>
      <c r="S277" s="21">
        <v>1.24359</v>
      </c>
      <c r="T277">
        <f t="shared" si="18"/>
        <v>9.1628148148148139</v>
      </c>
      <c r="U277">
        <f t="shared" si="19"/>
        <v>11.403214665185184</v>
      </c>
    </row>
    <row r="278" spans="6:101" x14ac:dyDescent="0.25">
      <c r="F278" s="9"/>
      <c r="G278" s="21">
        <v>0.45043899999999998</v>
      </c>
      <c r="H278" s="21">
        <v>7.7803500000000003</v>
      </c>
      <c r="I278" s="21">
        <v>-1.3269E-2</v>
      </c>
      <c r="J278" s="21">
        <v>268</v>
      </c>
      <c r="K278" s="21">
        <v>0.44985999999999998</v>
      </c>
      <c r="L278">
        <f t="shared" si="16"/>
        <v>16.38148148148148</v>
      </c>
      <c r="M278">
        <f t="shared" si="17"/>
        <v>7.3788581370370361</v>
      </c>
      <c r="N278" s="9"/>
      <c r="O278" s="21">
        <v>1.2495400000000001</v>
      </c>
      <c r="P278" s="21">
        <v>11.599500000000001</v>
      </c>
      <c r="Q278" s="21">
        <v>-7.3608399999999996E-3</v>
      </c>
      <c r="R278" s="21">
        <v>268</v>
      </c>
      <c r="S278" s="21">
        <v>1.24817</v>
      </c>
      <c r="T278">
        <f t="shared" si="18"/>
        <v>9.087456790123456</v>
      </c>
      <c r="U278">
        <f t="shared" si="19"/>
        <v>11.355140757530863</v>
      </c>
    </row>
    <row r="279" spans="6:101" x14ac:dyDescent="0.25">
      <c r="F279" s="9"/>
      <c r="G279" s="21">
        <v>0.44540400000000002</v>
      </c>
      <c r="H279" s="21">
        <v>7.7904200000000001</v>
      </c>
      <c r="I279" s="21">
        <v>-1.3284300000000001E-2</v>
      </c>
      <c r="J279" s="21">
        <v>269</v>
      </c>
      <c r="K279" s="21">
        <v>0.44488499999999997</v>
      </c>
      <c r="L279">
        <f t="shared" si="16"/>
        <v>16.400370370370371</v>
      </c>
      <c r="M279">
        <f t="shared" si="17"/>
        <v>7.3047905644444455</v>
      </c>
      <c r="N279" s="9"/>
      <c r="O279" s="21">
        <v>1.25458</v>
      </c>
      <c r="P279" s="21">
        <v>11.6096</v>
      </c>
      <c r="Q279" s="21">
        <v>-7.3028600000000004E-3</v>
      </c>
      <c r="R279" s="21">
        <v>269</v>
      </c>
      <c r="S279" s="21">
        <v>1.25366</v>
      </c>
      <c r="T279">
        <f t="shared" si="18"/>
        <v>9.0158765432098775</v>
      </c>
      <c r="U279">
        <f t="shared" si="19"/>
        <v>11.311138393580249</v>
      </c>
    </row>
    <row r="280" spans="6:101" x14ac:dyDescent="0.25">
      <c r="F280" s="9"/>
      <c r="G280" s="21">
        <v>0.44036900000000001</v>
      </c>
      <c r="H280" s="21">
        <v>7.8004899999999999</v>
      </c>
      <c r="I280" s="21">
        <v>-1.32935E-2</v>
      </c>
      <c r="J280" s="21">
        <v>270</v>
      </c>
      <c r="K280" s="21">
        <v>0.43975799999999998</v>
      </c>
      <c r="L280">
        <f t="shared" si="16"/>
        <v>16.411728395061726</v>
      </c>
      <c r="M280">
        <f t="shared" si="17"/>
        <v>7.227216421604937</v>
      </c>
      <c r="N280" s="9"/>
      <c r="O280" s="21">
        <v>1.2596099999999999</v>
      </c>
      <c r="P280" s="21">
        <v>11.6197</v>
      </c>
      <c r="Q280" s="21">
        <v>-7.2448699999999996E-3</v>
      </c>
      <c r="R280" s="21">
        <v>270</v>
      </c>
      <c r="S280" s="21">
        <v>1.25885</v>
      </c>
      <c r="T280">
        <f t="shared" si="18"/>
        <v>8.9442839506172831</v>
      </c>
      <c r="U280">
        <f t="shared" si="19"/>
        <v>11.266309507037034</v>
      </c>
    </row>
    <row r="281" spans="6:101" x14ac:dyDescent="0.25">
      <c r="F281" s="9"/>
      <c r="G281" s="21">
        <v>0.43533300000000003</v>
      </c>
      <c r="H281" s="21">
        <v>7.8105599999999997</v>
      </c>
      <c r="I281" s="21">
        <v>-1.33087E-2</v>
      </c>
      <c r="J281" s="21">
        <v>271</v>
      </c>
      <c r="K281" s="21">
        <v>0.43481399999999998</v>
      </c>
      <c r="L281">
        <f t="shared" si="16"/>
        <v>16.430493827160493</v>
      </c>
      <c r="M281">
        <f t="shared" si="17"/>
        <v>7.152736169259259</v>
      </c>
      <c r="N281" s="9"/>
      <c r="O281" s="21">
        <v>1.2646500000000001</v>
      </c>
      <c r="P281" s="21">
        <v>11.629799999999999</v>
      </c>
      <c r="Q281" s="21">
        <v>-7.1838400000000004E-3</v>
      </c>
      <c r="R281" s="21">
        <v>271</v>
      </c>
      <c r="S281" s="21">
        <v>1.26373</v>
      </c>
      <c r="T281">
        <f t="shared" si="18"/>
        <v>8.8689382716049376</v>
      </c>
      <c r="U281">
        <f t="shared" si="19"/>
        <v>11.216102785185186</v>
      </c>
    </row>
    <row r="282" spans="6:101" x14ac:dyDescent="0.25">
      <c r="F282" s="9"/>
      <c r="G282" s="21">
        <v>0.43029800000000001</v>
      </c>
      <c r="H282" s="21">
        <v>7.8206300000000004</v>
      </c>
      <c r="I282" s="21">
        <v>-1.3330099999999999E-2</v>
      </c>
      <c r="J282" s="21">
        <v>272</v>
      </c>
      <c r="K282" s="21">
        <v>0.42974899999999999</v>
      </c>
      <c r="L282">
        <f t="shared" si="16"/>
        <v>16.456913580246912</v>
      </c>
      <c r="M282">
        <f t="shared" si="17"/>
        <v>7.0813769997530862</v>
      </c>
      <c r="N282" s="9"/>
      <c r="O282" s="21">
        <v>1.2696799999999999</v>
      </c>
      <c r="P282" s="21">
        <v>11.639799999999999</v>
      </c>
      <c r="Q282" s="21">
        <v>-7.1258500000000004E-3</v>
      </c>
      <c r="R282" s="21">
        <v>272</v>
      </c>
      <c r="S282" s="21">
        <v>1.26892</v>
      </c>
      <c r="T282">
        <f t="shared" si="18"/>
        <v>8.7973456790123468</v>
      </c>
      <c r="U282">
        <f t="shared" si="19"/>
        <v>11.169813861728395</v>
      </c>
    </row>
    <row r="283" spans="6:101" x14ac:dyDescent="0.25">
      <c r="F283" s="9"/>
      <c r="G283" s="21">
        <v>0.42526199999999997</v>
      </c>
      <c r="H283" s="21">
        <v>7.8307000000000002</v>
      </c>
      <c r="I283" s="21">
        <v>-1.3351399999999999E-2</v>
      </c>
      <c r="J283" s="21">
        <v>273</v>
      </c>
      <c r="K283" s="21">
        <v>0.42468299999999998</v>
      </c>
      <c r="L283">
        <f t="shared" si="16"/>
        <v>16.483209876543206</v>
      </c>
      <c r="M283">
        <f t="shared" si="17"/>
        <v>7.0096827985185168</v>
      </c>
      <c r="N283" s="9"/>
      <c r="O283" s="21">
        <v>1.2747200000000001</v>
      </c>
      <c r="P283" s="21">
        <v>11.649900000000001</v>
      </c>
      <c r="Q283" s="21">
        <v>-7.0648200000000003E-3</v>
      </c>
      <c r="R283" s="21">
        <v>273</v>
      </c>
      <c r="S283" s="21">
        <v>1.2741100000000001</v>
      </c>
      <c r="T283">
        <f t="shared" si="18"/>
        <v>8.7220000000000013</v>
      </c>
      <c r="U283">
        <f t="shared" si="19"/>
        <v>11.118107840000002</v>
      </c>
    </row>
    <row r="284" spans="6:101" x14ac:dyDescent="0.25">
      <c r="F284" s="9"/>
      <c r="G284" s="21">
        <v>0.42022700000000002</v>
      </c>
      <c r="H284" s="21">
        <v>7.8407799999999996</v>
      </c>
      <c r="I284" s="21">
        <v>-1.3369799999999999E-2</v>
      </c>
      <c r="J284" s="21">
        <v>274</v>
      </c>
      <c r="K284" s="21">
        <v>0.41964699999999999</v>
      </c>
      <c r="L284">
        <f t="shared" si="16"/>
        <v>16.505925925925922</v>
      </c>
      <c r="M284">
        <f t="shared" si="17"/>
        <v>6.9362357340740726</v>
      </c>
      <c r="N284" s="9"/>
      <c r="O284" s="21">
        <v>1.2797499999999999</v>
      </c>
      <c r="P284" s="21">
        <v>11.66</v>
      </c>
      <c r="Q284" s="21">
        <v>-7.0037800000000002E-3</v>
      </c>
      <c r="R284" s="21">
        <v>274</v>
      </c>
      <c r="S284" s="21">
        <v>1.2793000000000001</v>
      </c>
      <c r="T284">
        <f t="shared" si="18"/>
        <v>8.6466419753086416</v>
      </c>
      <c r="U284">
        <f t="shared" si="19"/>
        <v>11.065540067901233</v>
      </c>
    </row>
    <row r="285" spans="6:101" x14ac:dyDescent="0.25">
      <c r="F285" s="9"/>
      <c r="G285" s="21">
        <v>0.41519200000000001</v>
      </c>
      <c r="H285" s="21">
        <v>7.8508500000000003</v>
      </c>
      <c r="I285" s="21">
        <v>-1.3382E-2</v>
      </c>
      <c r="J285" s="21">
        <v>275</v>
      </c>
      <c r="K285" s="21">
        <v>0.41461199999999998</v>
      </c>
      <c r="L285">
        <f t="shared" si="16"/>
        <v>16.520987654320987</v>
      </c>
      <c r="M285">
        <f t="shared" si="17"/>
        <v>6.8593819061728389</v>
      </c>
      <c r="N285" s="9"/>
      <c r="O285" s="21">
        <v>1.2847900000000001</v>
      </c>
      <c r="P285" s="21">
        <v>11.67</v>
      </c>
      <c r="Q285" s="21">
        <v>-6.9397E-3</v>
      </c>
      <c r="R285" s="21">
        <v>275</v>
      </c>
      <c r="S285" s="21">
        <v>1.2838700000000001</v>
      </c>
      <c r="T285">
        <f t="shared" si="18"/>
        <v>8.5675308641975292</v>
      </c>
      <c r="U285">
        <f t="shared" si="19"/>
        <v>11.007477979012345</v>
      </c>
    </row>
    <row r="286" spans="6:101" x14ac:dyDescent="0.25">
      <c r="F286" s="9"/>
      <c r="G286" s="21">
        <v>0.41015600000000002</v>
      </c>
      <c r="H286" s="21">
        <v>7.8609200000000001</v>
      </c>
      <c r="I286" s="21">
        <v>-1.33911E-2</v>
      </c>
      <c r="J286" s="21">
        <v>276</v>
      </c>
      <c r="K286" s="21">
        <v>0.409607</v>
      </c>
      <c r="L286">
        <f t="shared" si="16"/>
        <v>16.53222222222222</v>
      </c>
      <c r="M286">
        <f t="shared" si="17"/>
        <v>6.7807901377777773</v>
      </c>
      <c r="N286" s="9"/>
      <c r="O286" s="21">
        <v>1.28983</v>
      </c>
      <c r="P286" s="21">
        <v>11.680099999999999</v>
      </c>
      <c r="Q286" s="21">
        <v>-6.87866E-3</v>
      </c>
      <c r="R286" s="21">
        <v>276</v>
      </c>
      <c r="S286" s="21">
        <v>1.2893699999999999</v>
      </c>
      <c r="T286">
        <f t="shared" si="18"/>
        <v>8.4921728395061713</v>
      </c>
      <c r="U286">
        <f t="shared" si="19"/>
        <v>10.953459293580245</v>
      </c>
    </row>
    <row r="287" spans="6:101" x14ac:dyDescent="0.25">
      <c r="F287" s="9"/>
      <c r="G287" s="21">
        <v>0.40512100000000001</v>
      </c>
      <c r="H287" s="21">
        <v>7.8709899999999999</v>
      </c>
      <c r="I287" s="21">
        <v>-1.33911E-2</v>
      </c>
      <c r="J287" s="21">
        <v>277</v>
      </c>
      <c r="K287" s="21">
        <v>0.40457199999999999</v>
      </c>
      <c r="L287">
        <f t="shared" si="16"/>
        <v>16.53222222222222</v>
      </c>
      <c r="M287">
        <f t="shared" si="17"/>
        <v>6.6975503988888878</v>
      </c>
      <c r="N287" s="9"/>
      <c r="O287" s="21">
        <v>1.2948599999999999</v>
      </c>
      <c r="P287" s="21">
        <v>11.690200000000001</v>
      </c>
      <c r="Q287" s="21">
        <v>-6.8176299999999999E-3</v>
      </c>
      <c r="R287" s="21">
        <v>277</v>
      </c>
      <c r="S287" s="21">
        <v>1.2939499999999999</v>
      </c>
      <c r="T287">
        <f t="shared" si="18"/>
        <v>8.4168271604938258</v>
      </c>
      <c r="U287">
        <f t="shared" si="19"/>
        <v>10.898612817037035</v>
      </c>
    </row>
    <row r="288" spans="6:101" x14ac:dyDescent="0.25">
      <c r="F288" s="9"/>
      <c r="G288" s="21">
        <v>0.40008500000000002</v>
      </c>
      <c r="H288" s="21">
        <v>7.8810599999999997</v>
      </c>
      <c r="I288" s="21">
        <v>-1.34033E-2</v>
      </c>
      <c r="J288" s="21">
        <v>278</v>
      </c>
      <c r="K288" s="21">
        <v>0.39950600000000003</v>
      </c>
      <c r="L288">
        <f t="shared" si="16"/>
        <v>16.547283950617281</v>
      </c>
      <c r="M288">
        <f t="shared" si="17"/>
        <v>6.6203200993827149</v>
      </c>
      <c r="N288" s="9"/>
      <c r="O288" s="21">
        <v>1.2999000000000001</v>
      </c>
      <c r="P288" s="21">
        <v>11.700200000000001</v>
      </c>
      <c r="Q288" s="21">
        <v>-6.7565899999999998E-3</v>
      </c>
      <c r="R288" s="21">
        <v>278</v>
      </c>
      <c r="S288" s="21">
        <v>1.2991299999999999</v>
      </c>
      <c r="T288">
        <f t="shared" si="18"/>
        <v>8.3414691358024697</v>
      </c>
      <c r="U288">
        <f t="shared" si="19"/>
        <v>10.84307572962963</v>
      </c>
    </row>
    <row r="289" spans="6:21" x14ac:dyDescent="0.25">
      <c r="F289" s="9"/>
      <c r="G289" s="21">
        <v>0.39505000000000001</v>
      </c>
      <c r="H289" s="21">
        <v>7.8911300000000004</v>
      </c>
      <c r="I289" s="21">
        <v>-1.3412500000000001E-2</v>
      </c>
      <c r="J289" s="21">
        <v>279</v>
      </c>
      <c r="K289" s="21">
        <v>0.39450099999999999</v>
      </c>
      <c r="L289">
        <f t="shared" si="16"/>
        <v>16.558641975308642</v>
      </c>
      <c r="M289">
        <f t="shared" si="17"/>
        <v>6.5414915123456794</v>
      </c>
      <c r="N289" s="9"/>
      <c r="O289" s="21">
        <v>1.3049299999999999</v>
      </c>
      <c r="P289" s="21">
        <v>11.7103</v>
      </c>
      <c r="Q289" s="21">
        <v>-6.6924999999999997E-3</v>
      </c>
      <c r="R289" s="21">
        <v>279</v>
      </c>
      <c r="S289" s="21">
        <v>1.30402</v>
      </c>
      <c r="T289">
        <f t="shared" si="18"/>
        <v>8.2623456790123448</v>
      </c>
      <c r="U289">
        <f t="shared" si="19"/>
        <v>10.781782746913578</v>
      </c>
    </row>
    <row r="290" spans="6:21" x14ac:dyDescent="0.25">
      <c r="F290" s="9"/>
      <c r="G290" s="21">
        <v>0.390015</v>
      </c>
      <c r="H290" s="21">
        <v>7.9012000000000002</v>
      </c>
      <c r="I290" s="21">
        <v>-1.34308E-2</v>
      </c>
      <c r="J290" s="21">
        <v>280</v>
      </c>
      <c r="K290" s="21">
        <v>0.38949600000000001</v>
      </c>
      <c r="L290">
        <f t="shared" si="16"/>
        <v>16.581234567901234</v>
      </c>
      <c r="M290">
        <f t="shared" si="17"/>
        <v>6.4669301999999993</v>
      </c>
      <c r="N290" s="9"/>
      <c r="O290" s="21">
        <v>1.3099700000000001</v>
      </c>
      <c r="P290" s="21">
        <v>11.7204</v>
      </c>
      <c r="Q290" s="21">
        <v>-6.6284200000000003E-3</v>
      </c>
      <c r="R290" s="21">
        <v>280</v>
      </c>
      <c r="S290" s="21">
        <v>1.30951</v>
      </c>
      <c r="T290">
        <f t="shared" si="18"/>
        <v>8.1832345679012342</v>
      </c>
      <c r="U290">
        <f t="shared" si="19"/>
        <v>10.71979178691358</v>
      </c>
    </row>
    <row r="291" spans="6:21" x14ac:dyDescent="0.25">
      <c r="F291" s="9"/>
      <c r="G291" s="21">
        <v>0.38497900000000002</v>
      </c>
      <c r="H291" s="21">
        <v>7.91127</v>
      </c>
      <c r="I291" s="21">
        <v>-1.3443E-2</v>
      </c>
      <c r="J291" s="21">
        <v>281</v>
      </c>
      <c r="K291" s="21">
        <v>0.38439899999999999</v>
      </c>
      <c r="L291">
        <f t="shared" si="16"/>
        <v>16.596296296296295</v>
      </c>
      <c r="M291">
        <f t="shared" si="17"/>
        <v>6.3892255518518519</v>
      </c>
      <c r="N291" s="9"/>
      <c r="O291" s="21">
        <v>1.3149999999999999</v>
      </c>
      <c r="P291" s="21">
        <v>11.730499999999999</v>
      </c>
      <c r="Q291" s="21">
        <v>-6.5643300000000002E-3</v>
      </c>
      <c r="R291" s="21">
        <v>281</v>
      </c>
      <c r="S291" s="21">
        <v>1.3143899999999999</v>
      </c>
      <c r="T291">
        <f t="shared" si="18"/>
        <v>8.104111111111111</v>
      </c>
      <c r="U291">
        <f t="shared" si="19"/>
        <v>10.656906111111111</v>
      </c>
    </row>
    <row r="292" spans="6:21" x14ac:dyDescent="0.25">
      <c r="F292" s="9"/>
      <c r="G292" s="21">
        <v>0.379944</v>
      </c>
      <c r="H292" s="21">
        <v>7.9213399999999998</v>
      </c>
      <c r="I292" s="21">
        <v>-1.34552E-2</v>
      </c>
      <c r="J292" s="21">
        <v>282</v>
      </c>
      <c r="K292" s="21">
        <v>0.37942500000000001</v>
      </c>
      <c r="L292">
        <f t="shared" si="16"/>
        <v>16.611358024691356</v>
      </c>
      <c r="M292">
        <f t="shared" si="17"/>
        <v>6.3113858133333327</v>
      </c>
      <c r="N292" s="9"/>
      <c r="O292" s="21">
        <v>1.3200400000000001</v>
      </c>
      <c r="P292" s="21">
        <v>11.740500000000001</v>
      </c>
      <c r="Q292" s="21">
        <v>-6.5033000000000001E-3</v>
      </c>
      <c r="R292" s="21">
        <v>282</v>
      </c>
      <c r="S292" s="21">
        <v>1.31989</v>
      </c>
      <c r="T292">
        <f t="shared" si="18"/>
        <v>8.0287654320987656</v>
      </c>
      <c r="U292">
        <f t="shared" si="19"/>
        <v>10.598291520987654</v>
      </c>
    </row>
    <row r="293" spans="6:21" x14ac:dyDescent="0.25">
      <c r="F293" s="9"/>
      <c r="G293" s="21">
        <v>0.37490800000000002</v>
      </c>
      <c r="H293" s="21">
        <v>7.9314099999999996</v>
      </c>
      <c r="I293" s="21">
        <v>-1.3473499999999999E-2</v>
      </c>
      <c r="J293" s="21">
        <v>283</v>
      </c>
      <c r="K293" s="21">
        <v>0.374359</v>
      </c>
      <c r="L293">
        <f t="shared" si="16"/>
        <v>16.633950617283947</v>
      </c>
      <c r="M293">
        <f t="shared" si="17"/>
        <v>6.2362011580246905</v>
      </c>
      <c r="N293" s="9"/>
      <c r="O293" s="21">
        <v>1.32507</v>
      </c>
      <c r="P293" s="21">
        <v>11.7506</v>
      </c>
      <c r="Q293" s="21">
        <v>-6.44226E-3</v>
      </c>
      <c r="R293" s="21">
        <v>283</v>
      </c>
      <c r="S293" s="21">
        <v>1.32446</v>
      </c>
      <c r="T293">
        <f t="shared" si="18"/>
        <v>7.9534074074074077</v>
      </c>
      <c r="U293">
        <f t="shared" si="19"/>
        <v>10.538821553333333</v>
      </c>
    </row>
    <row r="294" spans="6:21" x14ac:dyDescent="0.25">
      <c r="F294" s="9"/>
      <c r="G294" s="21">
        <v>0.36987300000000001</v>
      </c>
      <c r="H294" s="21">
        <v>7.9414899999999999</v>
      </c>
      <c r="I294" s="21">
        <v>-1.34796E-2</v>
      </c>
      <c r="J294" s="21">
        <v>284</v>
      </c>
      <c r="K294" s="21">
        <v>0.369232</v>
      </c>
      <c r="L294">
        <f t="shared" si="16"/>
        <v>16.641481481481478</v>
      </c>
      <c r="M294">
        <f t="shared" si="17"/>
        <v>6.1552346799999986</v>
      </c>
      <c r="N294" s="9"/>
      <c r="O294" s="21">
        <v>1.3301099999999999</v>
      </c>
      <c r="P294" s="21">
        <v>11.7607</v>
      </c>
      <c r="Q294" s="21">
        <v>-6.3751199999999997E-3</v>
      </c>
      <c r="R294" s="21">
        <v>284</v>
      </c>
      <c r="S294" s="21">
        <v>1.32935</v>
      </c>
      <c r="T294">
        <f t="shared" si="18"/>
        <v>7.8705185185185176</v>
      </c>
      <c r="U294">
        <f t="shared" si="19"/>
        <v>10.468655386666665</v>
      </c>
    </row>
    <row r="295" spans="6:21" x14ac:dyDescent="0.25">
      <c r="F295" s="9"/>
      <c r="G295" s="21">
        <v>0.364838</v>
      </c>
      <c r="H295" s="21">
        <v>7.9515599999999997</v>
      </c>
      <c r="I295" s="21">
        <v>-1.34918E-2</v>
      </c>
      <c r="J295" s="21">
        <v>285</v>
      </c>
      <c r="K295" s="21">
        <v>0.364288</v>
      </c>
      <c r="L295">
        <f t="shared" si="16"/>
        <v>16.656543209876542</v>
      </c>
      <c r="M295">
        <f t="shared" si="17"/>
        <v>6.0769399116049376</v>
      </c>
      <c r="N295" s="9"/>
      <c r="O295" s="21">
        <v>1.33514</v>
      </c>
      <c r="P295" s="21">
        <v>11.7707</v>
      </c>
      <c r="Q295" s="21">
        <v>-6.3110400000000004E-3</v>
      </c>
      <c r="R295" s="21">
        <v>285</v>
      </c>
      <c r="S295" s="21">
        <v>1.33423</v>
      </c>
      <c r="T295">
        <f t="shared" si="18"/>
        <v>7.7914074074074078</v>
      </c>
      <c r="U295">
        <f t="shared" si="19"/>
        <v>10.402619685925927</v>
      </c>
    </row>
    <row r="296" spans="6:21" x14ac:dyDescent="0.25">
      <c r="F296" s="9"/>
      <c r="G296" s="21">
        <v>0.35980200000000001</v>
      </c>
      <c r="H296" s="21">
        <v>7.9616300000000004</v>
      </c>
      <c r="I296" s="21">
        <v>-1.3516200000000001E-2</v>
      </c>
      <c r="J296" s="21">
        <v>286</v>
      </c>
      <c r="K296" s="21">
        <v>0.35928300000000002</v>
      </c>
      <c r="L296">
        <f t="shared" si="16"/>
        <v>16.686666666666664</v>
      </c>
      <c r="M296">
        <f t="shared" si="17"/>
        <v>6.003896039999999</v>
      </c>
      <c r="N296" s="9"/>
      <c r="O296" s="21">
        <v>1.3401799999999999</v>
      </c>
      <c r="P296" s="21">
        <v>11.780799999999999</v>
      </c>
      <c r="Q296" s="21">
        <v>-6.2469500000000002E-3</v>
      </c>
      <c r="R296" s="21">
        <v>286</v>
      </c>
      <c r="S296" s="21">
        <v>1.3394200000000001</v>
      </c>
      <c r="T296">
        <f t="shared" si="18"/>
        <v>7.7122839506172838</v>
      </c>
      <c r="U296">
        <f t="shared" si="19"/>
        <v>10.335848704938272</v>
      </c>
    </row>
    <row r="297" spans="6:21" x14ac:dyDescent="0.25">
      <c r="F297" s="9"/>
      <c r="G297" s="21">
        <v>0.354767</v>
      </c>
      <c r="H297" s="21">
        <v>7.9717000000000002</v>
      </c>
      <c r="I297" s="21">
        <v>-1.35315E-2</v>
      </c>
      <c r="J297" s="21">
        <v>287</v>
      </c>
      <c r="K297" s="21">
        <v>0.35424800000000001</v>
      </c>
      <c r="L297">
        <f t="shared" si="16"/>
        <v>16.705555555555552</v>
      </c>
      <c r="M297">
        <f t="shared" si="17"/>
        <v>5.9265798277777764</v>
      </c>
      <c r="N297" s="9"/>
      <c r="O297" s="21">
        <v>1.34521</v>
      </c>
      <c r="P297" s="21">
        <v>11.790900000000001</v>
      </c>
      <c r="Q297" s="21">
        <v>-6.17981E-3</v>
      </c>
      <c r="R297" s="21">
        <v>287</v>
      </c>
      <c r="S297" s="21">
        <v>1.3446</v>
      </c>
      <c r="T297">
        <f t="shared" si="18"/>
        <v>7.6293950617283945</v>
      </c>
      <c r="U297">
        <f t="shared" si="19"/>
        <v>10.263138530987653</v>
      </c>
    </row>
    <row r="298" spans="6:21" x14ac:dyDescent="0.25">
      <c r="F298" s="9"/>
      <c r="G298" s="21">
        <v>0.34973100000000001</v>
      </c>
      <c r="H298" s="21">
        <v>7.98177</v>
      </c>
      <c r="I298" s="21">
        <v>-1.3549800000000001E-2</v>
      </c>
      <c r="J298" s="21">
        <v>288</v>
      </c>
      <c r="K298" s="21">
        <v>0.349213</v>
      </c>
      <c r="L298">
        <f t="shared" si="16"/>
        <v>16.728148148148147</v>
      </c>
      <c r="M298">
        <f t="shared" si="17"/>
        <v>5.8503519800000001</v>
      </c>
      <c r="N298" s="9"/>
      <c r="O298" s="21">
        <v>1.35025</v>
      </c>
      <c r="P298" s="21">
        <v>11.801</v>
      </c>
      <c r="Q298" s="21">
        <v>-6.1126699999999997E-3</v>
      </c>
      <c r="R298" s="21">
        <v>288</v>
      </c>
      <c r="S298" s="21">
        <v>1.3494900000000001</v>
      </c>
      <c r="T298">
        <f t="shared" si="18"/>
        <v>7.5465061728395053</v>
      </c>
      <c r="U298">
        <f t="shared" si="19"/>
        <v>10.189669959876541</v>
      </c>
    </row>
    <row r="299" spans="6:21" x14ac:dyDescent="0.25">
      <c r="F299" s="9"/>
      <c r="G299" s="21">
        <v>0.344696</v>
      </c>
      <c r="H299" s="21">
        <v>7.9918399999999998</v>
      </c>
      <c r="I299" s="21">
        <v>-1.35681E-2</v>
      </c>
      <c r="J299" s="21">
        <v>289</v>
      </c>
      <c r="K299" s="21">
        <v>0.34414699999999998</v>
      </c>
      <c r="L299">
        <f t="shared" si="16"/>
        <v>16.750740740740738</v>
      </c>
      <c r="M299">
        <f t="shared" si="17"/>
        <v>5.7739133303703696</v>
      </c>
      <c r="N299" s="9"/>
      <c r="O299" s="21">
        <v>1.3552900000000001</v>
      </c>
      <c r="P299" s="21">
        <v>11.811</v>
      </c>
      <c r="Q299" s="21">
        <v>-6.0424800000000002E-3</v>
      </c>
      <c r="R299" s="21">
        <v>289</v>
      </c>
      <c r="S299" s="21">
        <v>1.3546800000000001</v>
      </c>
      <c r="T299">
        <f t="shared" si="18"/>
        <v>7.4598518518518517</v>
      </c>
      <c r="U299">
        <f t="shared" si="19"/>
        <v>10.110262616296296</v>
      </c>
    </row>
    <row r="300" spans="6:21" x14ac:dyDescent="0.25">
      <c r="F300" s="9"/>
      <c r="G300" s="21">
        <v>0.33966099999999999</v>
      </c>
      <c r="H300" s="21">
        <v>8.0019100000000005</v>
      </c>
      <c r="I300" s="21">
        <v>-1.35864E-2</v>
      </c>
      <c r="J300" s="21">
        <v>290</v>
      </c>
      <c r="K300" s="21">
        <v>0.33908100000000002</v>
      </c>
      <c r="L300">
        <f t="shared" si="16"/>
        <v>16.77333333333333</v>
      </c>
      <c r="M300">
        <f t="shared" si="17"/>
        <v>5.6972471733333316</v>
      </c>
      <c r="N300" s="9"/>
      <c r="O300" s="21">
        <v>1.36032</v>
      </c>
      <c r="P300" s="21">
        <v>11.821099999999999</v>
      </c>
      <c r="Q300" s="21">
        <v>-5.9783900000000001E-3</v>
      </c>
      <c r="R300" s="21">
        <v>290</v>
      </c>
      <c r="S300" s="21">
        <v>1.3595600000000001</v>
      </c>
      <c r="T300">
        <f t="shared" si="18"/>
        <v>7.3807283950617277</v>
      </c>
      <c r="U300">
        <f t="shared" si="19"/>
        <v>10.040152450370369</v>
      </c>
    </row>
    <row r="301" spans="6:21" x14ac:dyDescent="0.25">
      <c r="F301" s="9"/>
      <c r="G301" s="21">
        <v>0.33462500000000001</v>
      </c>
      <c r="H301" s="21">
        <v>8.0119799999999994</v>
      </c>
      <c r="I301" s="21">
        <v>-1.3598600000000001E-2</v>
      </c>
      <c r="J301" s="21">
        <v>291</v>
      </c>
      <c r="K301" s="21">
        <v>0.33404499999999998</v>
      </c>
      <c r="L301">
        <f t="shared" si="16"/>
        <v>16.788395061728394</v>
      </c>
      <c r="M301">
        <f t="shared" si="17"/>
        <v>5.6178166975308637</v>
      </c>
      <c r="N301" s="9"/>
      <c r="O301" s="21">
        <v>1.3653599999999999</v>
      </c>
      <c r="P301" s="21">
        <v>11.831200000000001</v>
      </c>
      <c r="Q301" s="21">
        <v>-5.9112499999999998E-3</v>
      </c>
      <c r="R301" s="21">
        <v>291</v>
      </c>
      <c r="S301" s="21">
        <v>1.3647499999999999</v>
      </c>
      <c r="T301">
        <f t="shared" si="18"/>
        <v>7.2978395061728385</v>
      </c>
      <c r="U301">
        <f t="shared" si="19"/>
        <v>9.9641781481481466</v>
      </c>
    </row>
    <row r="302" spans="6:21" x14ac:dyDescent="0.25">
      <c r="F302" s="9"/>
      <c r="G302" s="21">
        <v>0.32958999999999999</v>
      </c>
      <c r="H302" s="21">
        <v>8.0220500000000001</v>
      </c>
      <c r="I302" s="21">
        <v>-1.36078E-2</v>
      </c>
      <c r="J302" s="21">
        <v>292</v>
      </c>
      <c r="K302" s="21">
        <v>0.32901000000000002</v>
      </c>
      <c r="L302">
        <f t="shared" si="16"/>
        <v>16.799753086419752</v>
      </c>
      <c r="M302">
        <f t="shared" si="17"/>
        <v>5.5370306197530859</v>
      </c>
      <c r="N302" s="9"/>
      <c r="O302" s="21">
        <v>1.37039</v>
      </c>
      <c r="P302" s="21">
        <v>11.841200000000001</v>
      </c>
      <c r="Q302" s="21">
        <v>-5.8410600000000003E-3</v>
      </c>
      <c r="R302" s="21">
        <v>292</v>
      </c>
      <c r="S302" s="21">
        <v>1.3696299999999999</v>
      </c>
      <c r="T302">
        <f t="shared" si="18"/>
        <v>7.2111851851851849</v>
      </c>
      <c r="U302">
        <f t="shared" si="19"/>
        <v>9.8821360659259252</v>
      </c>
    </row>
    <row r="303" spans="6:21" x14ac:dyDescent="0.25">
      <c r="F303" s="9"/>
      <c r="G303" s="21">
        <v>0.32455400000000001</v>
      </c>
      <c r="H303" s="21">
        <v>8.0321200000000008</v>
      </c>
      <c r="I303" s="21">
        <v>-1.3623E-2</v>
      </c>
      <c r="J303" s="21">
        <v>293</v>
      </c>
      <c r="K303" s="21">
        <v>0.32397500000000001</v>
      </c>
      <c r="L303">
        <f t="shared" si="16"/>
        <v>16.818518518518516</v>
      </c>
      <c r="M303">
        <f t="shared" si="17"/>
        <v>5.4585174592592587</v>
      </c>
      <c r="N303" s="9"/>
      <c r="O303" s="21">
        <v>1.3754299999999999</v>
      </c>
      <c r="P303" s="21">
        <v>11.8513</v>
      </c>
      <c r="Q303" s="21">
        <v>-5.77087E-3</v>
      </c>
      <c r="R303" s="21">
        <v>293</v>
      </c>
      <c r="S303" s="21">
        <v>1.3748199999999999</v>
      </c>
      <c r="T303">
        <f t="shared" si="18"/>
        <v>7.1245308641975296</v>
      </c>
      <c r="U303">
        <f t="shared" si="19"/>
        <v>9.799293486543208</v>
      </c>
    </row>
    <row r="304" spans="6:21" x14ac:dyDescent="0.25">
      <c r="F304" s="9"/>
      <c r="G304" s="21">
        <v>0.319519</v>
      </c>
      <c r="H304" s="21">
        <v>8.0421999999999993</v>
      </c>
      <c r="I304" s="21">
        <v>-1.36414E-2</v>
      </c>
      <c r="J304" s="21">
        <v>294</v>
      </c>
      <c r="K304" s="21">
        <v>0.31900000000000001</v>
      </c>
      <c r="L304">
        <f t="shared" si="16"/>
        <v>16.841234567901232</v>
      </c>
      <c r="M304">
        <f t="shared" si="17"/>
        <v>5.3810944279012336</v>
      </c>
      <c r="N304" s="9"/>
      <c r="O304" s="21">
        <v>1.38046</v>
      </c>
      <c r="P304" s="21">
        <v>11.8614</v>
      </c>
      <c r="Q304" s="21">
        <v>-5.7006799999999996E-3</v>
      </c>
      <c r="R304" s="21">
        <v>294</v>
      </c>
      <c r="S304" s="21">
        <v>1.3803099999999999</v>
      </c>
      <c r="T304">
        <f t="shared" si="18"/>
        <v>7.037876543209876</v>
      </c>
      <c r="U304">
        <f t="shared" si="19"/>
        <v>9.7155070528395058</v>
      </c>
    </row>
    <row r="305" spans="6:21" x14ac:dyDescent="0.25">
      <c r="F305" s="9"/>
      <c r="G305" s="21">
        <v>0.31448399999999999</v>
      </c>
      <c r="H305" s="21">
        <v>8.05227</v>
      </c>
      <c r="I305" s="21">
        <v>-1.36566E-2</v>
      </c>
      <c r="J305" s="21">
        <v>295</v>
      </c>
      <c r="K305" s="21">
        <v>0.31396499999999999</v>
      </c>
      <c r="L305">
        <f t="shared" si="16"/>
        <v>16.86</v>
      </c>
      <c r="M305">
        <f t="shared" si="17"/>
        <v>5.3022002399999995</v>
      </c>
      <c r="N305" s="9"/>
      <c r="O305" s="21">
        <v>1.3855</v>
      </c>
      <c r="P305" s="21">
        <v>11.871499999999999</v>
      </c>
      <c r="Q305" s="21">
        <v>-5.6304900000000001E-3</v>
      </c>
      <c r="R305" s="21">
        <v>295</v>
      </c>
      <c r="S305" s="21">
        <v>1.3851899999999999</v>
      </c>
      <c r="T305">
        <f t="shared" si="18"/>
        <v>6.9512222222222224</v>
      </c>
      <c r="U305">
        <f t="shared" si="19"/>
        <v>9.6309183888888885</v>
      </c>
    </row>
    <row r="306" spans="6:21" x14ac:dyDescent="0.25">
      <c r="F306" s="9"/>
      <c r="G306" s="21">
        <v>0.309448</v>
      </c>
      <c r="H306" s="21">
        <v>8.0623400000000007</v>
      </c>
      <c r="I306" s="21">
        <v>-1.3665800000000001E-2</v>
      </c>
      <c r="J306" s="21">
        <v>296</v>
      </c>
      <c r="K306" s="21">
        <v>0.30889899999999998</v>
      </c>
      <c r="L306">
        <f t="shared" si="16"/>
        <v>16.871358024691357</v>
      </c>
      <c r="M306">
        <f t="shared" si="17"/>
        <v>5.2208079980246911</v>
      </c>
      <c r="N306" s="9"/>
      <c r="O306" s="21">
        <v>1.39053</v>
      </c>
      <c r="P306" s="21">
        <v>11.881500000000001</v>
      </c>
      <c r="Q306" s="21">
        <v>-5.5633499999999999E-3</v>
      </c>
      <c r="R306" s="21">
        <v>296</v>
      </c>
      <c r="S306" s="21">
        <v>1.39008</v>
      </c>
      <c r="T306">
        <f t="shared" si="18"/>
        <v>6.8683333333333332</v>
      </c>
      <c r="U306">
        <f t="shared" si="19"/>
        <v>9.550623550000001</v>
      </c>
    </row>
    <row r="307" spans="6:21" x14ac:dyDescent="0.25">
      <c r="F307" s="9"/>
      <c r="G307" s="21">
        <v>0.30441299999999999</v>
      </c>
      <c r="H307" s="21">
        <v>8.0724099999999996</v>
      </c>
      <c r="I307" s="21">
        <v>-1.3677999999999999E-2</v>
      </c>
      <c r="J307" s="21">
        <v>297</v>
      </c>
      <c r="K307" s="21">
        <v>0.30386400000000002</v>
      </c>
      <c r="L307">
        <f t="shared" si="16"/>
        <v>16.886419753086418</v>
      </c>
      <c r="M307">
        <f t="shared" si="17"/>
        <v>5.1404456962962959</v>
      </c>
      <c r="N307" s="9"/>
      <c r="O307" s="21">
        <v>1.39557</v>
      </c>
      <c r="P307" s="21">
        <v>11.8916</v>
      </c>
      <c r="Q307" s="21">
        <v>-5.4992699999999997E-3</v>
      </c>
      <c r="R307" s="21">
        <v>297</v>
      </c>
      <c r="S307" s="21">
        <v>1.39496</v>
      </c>
      <c r="T307">
        <f t="shared" si="18"/>
        <v>6.7892222222222216</v>
      </c>
      <c r="U307">
        <f t="shared" si="19"/>
        <v>9.474834856666666</v>
      </c>
    </row>
    <row r="308" spans="6:21" x14ac:dyDescent="0.25">
      <c r="F308" s="9"/>
      <c r="G308" s="21">
        <v>0.299377</v>
      </c>
      <c r="H308" s="21">
        <v>8.0824800000000003</v>
      </c>
      <c r="I308" s="21">
        <v>-1.3693200000000001E-2</v>
      </c>
      <c r="J308" s="21">
        <v>298</v>
      </c>
      <c r="K308" s="21">
        <v>0.29882799999999998</v>
      </c>
      <c r="L308">
        <f t="shared" si="16"/>
        <v>16.905185185185186</v>
      </c>
      <c r="M308">
        <f t="shared" si="17"/>
        <v>5.061023625185185</v>
      </c>
      <c r="N308" s="9"/>
      <c r="O308" s="21">
        <v>1.4006000000000001</v>
      </c>
      <c r="P308" s="21">
        <v>11.9017</v>
      </c>
      <c r="Q308" s="21">
        <v>-5.4290800000000002E-3</v>
      </c>
      <c r="R308" s="21">
        <v>298</v>
      </c>
      <c r="S308" s="21">
        <v>1.40045</v>
      </c>
      <c r="T308">
        <f t="shared" si="18"/>
        <v>6.7025679012345671</v>
      </c>
      <c r="U308">
        <f t="shared" si="19"/>
        <v>9.3876166024691354</v>
      </c>
    </row>
    <row r="309" spans="6:21" x14ac:dyDescent="0.25">
      <c r="F309" s="9"/>
      <c r="G309" s="21">
        <v>0.29434199999999999</v>
      </c>
      <c r="H309" s="21">
        <v>8.0925499999999992</v>
      </c>
      <c r="I309" s="21">
        <v>-1.3699299999999999E-2</v>
      </c>
      <c r="J309" s="21">
        <v>299</v>
      </c>
      <c r="K309" s="21">
        <v>0.29376200000000002</v>
      </c>
      <c r="L309">
        <f t="shared" si="16"/>
        <v>16.912716049382716</v>
      </c>
      <c r="M309">
        <f t="shared" si="17"/>
        <v>4.9781226674074075</v>
      </c>
      <c r="N309" s="9"/>
      <c r="O309" s="21">
        <v>1.40564</v>
      </c>
      <c r="P309" s="21">
        <v>11.9117</v>
      </c>
      <c r="Q309" s="21">
        <v>-5.3558299999999998E-3</v>
      </c>
      <c r="R309" s="21">
        <v>299</v>
      </c>
      <c r="S309" s="21">
        <v>1.40503</v>
      </c>
      <c r="T309">
        <f t="shared" si="18"/>
        <v>6.612135802469135</v>
      </c>
      <c r="U309">
        <f t="shared" si="19"/>
        <v>9.2942825693827142</v>
      </c>
    </row>
    <row r="310" spans="6:21" x14ac:dyDescent="0.25">
      <c r="F310" s="9"/>
      <c r="G310" s="21">
        <v>0.28930699999999998</v>
      </c>
      <c r="H310" s="21">
        <v>8.1026199999999999</v>
      </c>
      <c r="I310" s="21">
        <v>-1.3693200000000001E-2</v>
      </c>
      <c r="J310" s="21">
        <v>300</v>
      </c>
      <c r="K310" s="21">
        <v>0.28881800000000002</v>
      </c>
      <c r="L310">
        <f t="shared" si="16"/>
        <v>16.905185185185186</v>
      </c>
      <c r="M310">
        <f t="shared" si="17"/>
        <v>4.8907884103703703</v>
      </c>
      <c r="N310" s="9"/>
      <c r="O310" s="21">
        <v>1.4106799999999999</v>
      </c>
      <c r="P310" s="21">
        <v>11.921799999999999</v>
      </c>
      <c r="Q310" s="21">
        <v>-5.2825900000000002E-3</v>
      </c>
      <c r="R310" s="21">
        <v>300</v>
      </c>
      <c r="S310" s="21">
        <v>1.41052</v>
      </c>
      <c r="T310">
        <f t="shared" si="18"/>
        <v>6.5217160493827162</v>
      </c>
      <c r="U310">
        <f t="shared" si="19"/>
        <v>9.2000543965432104</v>
      </c>
    </row>
    <row r="311" spans="6:21" x14ac:dyDescent="0.25">
      <c r="F311" s="9"/>
      <c r="G311" s="21">
        <v>0.284271</v>
      </c>
      <c r="H311" s="21">
        <v>8.1126900000000006</v>
      </c>
      <c r="I311" s="21">
        <v>-1.3693200000000001E-2</v>
      </c>
      <c r="J311" s="21">
        <v>301</v>
      </c>
      <c r="K311" s="21">
        <v>0.283661</v>
      </c>
      <c r="L311">
        <f t="shared" si="16"/>
        <v>16.905185185185186</v>
      </c>
      <c r="M311">
        <f t="shared" si="17"/>
        <v>4.8056538977777778</v>
      </c>
      <c r="N311" s="9"/>
      <c r="O311" s="21">
        <v>1.41571</v>
      </c>
      <c r="P311" s="21">
        <v>11.931900000000001</v>
      </c>
      <c r="Q311" s="21">
        <v>-5.2123999999999998E-3</v>
      </c>
      <c r="R311" s="21">
        <v>301</v>
      </c>
      <c r="S311" s="21">
        <v>1.41479</v>
      </c>
      <c r="T311">
        <f t="shared" si="18"/>
        <v>6.4350617283950609</v>
      </c>
      <c r="U311">
        <f t="shared" si="19"/>
        <v>9.1101812395061721</v>
      </c>
    </row>
    <row r="312" spans="6:21" x14ac:dyDescent="0.25">
      <c r="F312" s="9"/>
      <c r="G312" s="21">
        <v>0.27923599999999998</v>
      </c>
      <c r="H312" s="21">
        <v>8.1227599999999995</v>
      </c>
      <c r="I312" s="21">
        <v>-1.37024E-2</v>
      </c>
      <c r="J312" s="21">
        <v>302</v>
      </c>
      <c r="K312" s="21">
        <v>0.27871699999999999</v>
      </c>
      <c r="L312">
        <f t="shared" si="16"/>
        <v>16.916543209876544</v>
      </c>
      <c r="M312">
        <f t="shared" si="17"/>
        <v>4.7237078597530866</v>
      </c>
      <c r="N312" s="9"/>
      <c r="O312" s="21">
        <v>1.42075</v>
      </c>
      <c r="P312" s="21">
        <v>11.942</v>
      </c>
      <c r="Q312" s="21">
        <v>-5.1422100000000004E-3</v>
      </c>
      <c r="R312" s="21">
        <v>302</v>
      </c>
      <c r="S312" s="21">
        <v>1.4202900000000001</v>
      </c>
      <c r="T312">
        <f t="shared" si="18"/>
        <v>6.3484074074074073</v>
      </c>
      <c r="U312">
        <f t="shared" si="19"/>
        <v>9.0194998240740745</v>
      </c>
    </row>
    <row r="313" spans="6:21" x14ac:dyDescent="0.25">
      <c r="F313" s="9"/>
      <c r="G313" s="21">
        <v>0.2742</v>
      </c>
      <c r="H313" s="21">
        <v>8.1328300000000002</v>
      </c>
      <c r="I313" s="21">
        <v>-1.37085E-2</v>
      </c>
      <c r="J313" s="21">
        <v>303</v>
      </c>
      <c r="K313" s="21">
        <v>0.27371200000000001</v>
      </c>
      <c r="L313">
        <f t="shared" si="16"/>
        <v>16.924074074074074</v>
      </c>
      <c r="M313">
        <f t="shared" si="17"/>
        <v>4.6405811111111115</v>
      </c>
      <c r="N313" s="9"/>
      <c r="O313" s="21">
        <v>1.42578</v>
      </c>
      <c r="P313" s="21">
        <v>11.952</v>
      </c>
      <c r="Q313" s="21">
        <v>-5.0659199999999998E-3</v>
      </c>
      <c r="R313" s="21">
        <v>303</v>
      </c>
      <c r="S313" s="21">
        <v>1.42517</v>
      </c>
      <c r="T313">
        <f t="shared" si="18"/>
        <v>6.2542222222222215</v>
      </c>
      <c r="U313">
        <f t="shared" si="19"/>
        <v>8.9171449599999999</v>
      </c>
    </row>
    <row r="314" spans="6:21" x14ac:dyDescent="0.25">
      <c r="F314" s="9"/>
      <c r="G314" s="21">
        <v>0.26916499999999999</v>
      </c>
      <c r="H314" s="21">
        <v>8.1429100000000005</v>
      </c>
      <c r="I314" s="21">
        <v>-1.3717699999999999E-2</v>
      </c>
      <c r="J314" s="21">
        <v>304</v>
      </c>
      <c r="K314" s="21">
        <v>0.26861600000000002</v>
      </c>
      <c r="L314">
        <f t="shared" si="16"/>
        <v>16.935432098765432</v>
      </c>
      <c r="M314">
        <f t="shared" si="17"/>
        <v>4.5584255808641974</v>
      </c>
      <c r="N314" s="9"/>
      <c r="O314" s="21">
        <v>1.43082</v>
      </c>
      <c r="P314" s="21">
        <v>11.9621</v>
      </c>
      <c r="Q314" s="21">
        <v>-4.99359E-3</v>
      </c>
      <c r="R314" s="21">
        <v>304</v>
      </c>
      <c r="S314" s="21">
        <v>1.43005</v>
      </c>
      <c r="T314">
        <f t="shared" si="18"/>
        <v>6.1649259259259255</v>
      </c>
      <c r="U314">
        <f t="shared" si="19"/>
        <v>8.8208993133333333</v>
      </c>
    </row>
    <row r="315" spans="6:21" x14ac:dyDescent="0.25">
      <c r="F315" s="9"/>
      <c r="G315" s="21">
        <v>0.26412999999999998</v>
      </c>
      <c r="H315" s="21">
        <v>8.1529799999999994</v>
      </c>
      <c r="I315" s="21">
        <v>-1.3717699999999999E-2</v>
      </c>
      <c r="J315" s="21">
        <v>305</v>
      </c>
      <c r="K315" s="21">
        <v>0.263519</v>
      </c>
      <c r="L315">
        <f t="shared" si="16"/>
        <v>16.935432098765432</v>
      </c>
      <c r="M315">
        <f t="shared" si="17"/>
        <v>4.4731556802469132</v>
      </c>
      <c r="N315" s="9"/>
      <c r="O315" s="21">
        <v>1.4358500000000001</v>
      </c>
      <c r="P315" s="21">
        <v>11.972200000000001</v>
      </c>
      <c r="Q315" s="21">
        <v>-4.9206500000000004E-3</v>
      </c>
      <c r="R315" s="21">
        <v>305</v>
      </c>
      <c r="S315" s="21">
        <v>1.4352400000000001</v>
      </c>
      <c r="T315">
        <f t="shared" si="18"/>
        <v>6.0748765432098759</v>
      </c>
      <c r="U315">
        <f t="shared" si="19"/>
        <v>8.722611484567901</v>
      </c>
    </row>
    <row r="316" spans="6:21" x14ac:dyDescent="0.25">
      <c r="F316" s="9"/>
      <c r="G316" s="21">
        <v>0.25909399999999999</v>
      </c>
      <c r="H316" s="21">
        <v>8.1630500000000001</v>
      </c>
      <c r="I316" s="21">
        <v>-1.3717699999999999E-2</v>
      </c>
      <c r="J316" s="21">
        <v>306</v>
      </c>
      <c r="K316" s="21">
        <v>0.258575</v>
      </c>
      <c r="L316">
        <f t="shared" si="16"/>
        <v>16.935432098765432</v>
      </c>
      <c r="M316">
        <f t="shared" si="17"/>
        <v>4.3878688441975306</v>
      </c>
      <c r="N316" s="9"/>
      <c r="O316" s="21">
        <v>1.44089</v>
      </c>
      <c r="P316" s="21">
        <v>11.982200000000001</v>
      </c>
      <c r="Q316" s="21">
        <v>-4.84711E-3</v>
      </c>
      <c r="R316" s="21">
        <v>306</v>
      </c>
      <c r="S316" s="21">
        <v>1.4401200000000001</v>
      </c>
      <c r="T316">
        <f t="shared" si="18"/>
        <v>5.9840864197530861</v>
      </c>
      <c r="U316">
        <f t="shared" si="19"/>
        <v>8.6224102813580235</v>
      </c>
    </row>
    <row r="317" spans="6:21" x14ac:dyDescent="0.25">
      <c r="F317" s="9"/>
      <c r="G317" s="21">
        <v>0.25405899999999998</v>
      </c>
      <c r="H317" s="21">
        <v>8.1731200000000008</v>
      </c>
      <c r="I317" s="21">
        <v>-1.3720700000000001E-2</v>
      </c>
      <c r="J317" s="21">
        <v>307</v>
      </c>
      <c r="K317" s="21">
        <v>0.25353999999999999</v>
      </c>
      <c r="L317">
        <f t="shared" si="16"/>
        <v>16.939135802469135</v>
      </c>
      <c r="M317">
        <f t="shared" si="17"/>
        <v>4.303539902839506</v>
      </c>
      <c r="N317" s="9"/>
      <c r="O317" s="21">
        <v>1.4459200000000001</v>
      </c>
      <c r="P317" s="21">
        <v>11.9923</v>
      </c>
      <c r="Q317" s="21">
        <v>-4.77203E-3</v>
      </c>
      <c r="R317" s="21">
        <v>307</v>
      </c>
      <c r="S317" s="21">
        <v>1.4453100000000001</v>
      </c>
      <c r="T317">
        <f t="shared" si="18"/>
        <v>5.891395061728395</v>
      </c>
      <c r="U317">
        <f t="shared" si="19"/>
        <v>8.5184859476543213</v>
      </c>
    </row>
    <row r="318" spans="6:21" x14ac:dyDescent="0.25">
      <c r="F318" s="9"/>
      <c r="G318" s="21">
        <v>0.24902299999999999</v>
      </c>
      <c r="H318" s="21">
        <v>8.1831899999999997</v>
      </c>
      <c r="I318" s="21">
        <v>-1.37238E-2</v>
      </c>
      <c r="J318" s="21">
        <v>308</v>
      </c>
      <c r="K318" s="21">
        <v>0.248474</v>
      </c>
      <c r="L318">
        <f t="shared" si="16"/>
        <v>16.942962962962962</v>
      </c>
      <c r="M318">
        <f t="shared" si="17"/>
        <v>4.2191874659259261</v>
      </c>
      <c r="N318" s="9"/>
      <c r="O318" s="21">
        <v>1.45096</v>
      </c>
      <c r="P318" s="21">
        <v>12.0024</v>
      </c>
      <c r="Q318" s="21">
        <v>-4.6984899999999996E-3</v>
      </c>
      <c r="R318" s="21">
        <v>308</v>
      </c>
      <c r="S318" s="21">
        <v>1.4498899999999999</v>
      </c>
      <c r="T318">
        <f t="shared" si="18"/>
        <v>5.8006049382716034</v>
      </c>
      <c r="U318">
        <f t="shared" si="19"/>
        <v>8.4164457412345666</v>
      </c>
    </row>
    <row r="319" spans="6:21" x14ac:dyDescent="0.25">
      <c r="F319" s="9"/>
      <c r="G319" s="21">
        <v>0.24398800000000001</v>
      </c>
      <c r="H319" s="21">
        <v>8.1932600000000004</v>
      </c>
      <c r="I319" s="21">
        <v>-1.3736E-2</v>
      </c>
      <c r="J319" s="21">
        <v>309</v>
      </c>
      <c r="K319" s="21">
        <v>0.24346899999999999</v>
      </c>
      <c r="L319">
        <f t="shared" si="16"/>
        <v>16.958024691358023</v>
      </c>
      <c r="M319">
        <f t="shared" si="17"/>
        <v>4.1375545283950617</v>
      </c>
      <c r="N319" s="9"/>
      <c r="O319" s="21">
        <v>1.4559899999999999</v>
      </c>
      <c r="P319" s="21">
        <v>12.0124</v>
      </c>
      <c r="Q319" s="21">
        <v>-4.62219E-3</v>
      </c>
      <c r="R319" s="21">
        <v>309</v>
      </c>
      <c r="S319" s="21">
        <v>1.4553799999999999</v>
      </c>
      <c r="T319">
        <f t="shared" si="18"/>
        <v>5.7064074074074078</v>
      </c>
      <c r="U319">
        <f t="shared" si="19"/>
        <v>8.3084721211111106</v>
      </c>
    </row>
    <row r="320" spans="6:21" x14ac:dyDescent="0.25">
      <c r="F320" s="9"/>
      <c r="G320" s="21">
        <v>0.238953</v>
      </c>
      <c r="H320" s="21">
        <v>8.2033299999999993</v>
      </c>
      <c r="I320" s="21">
        <v>-1.37421E-2</v>
      </c>
      <c r="J320" s="21">
        <v>310</v>
      </c>
      <c r="K320" s="21">
        <v>0.23846400000000001</v>
      </c>
      <c r="L320">
        <f t="shared" si="16"/>
        <v>16.965555555555554</v>
      </c>
      <c r="M320">
        <f t="shared" si="17"/>
        <v>4.0539703966666663</v>
      </c>
      <c r="N320" s="9"/>
      <c r="O320" s="21">
        <v>1.4610300000000001</v>
      </c>
      <c r="P320" s="21">
        <v>12.022500000000001</v>
      </c>
      <c r="Q320" s="21">
        <v>-4.5452899999999996E-3</v>
      </c>
      <c r="R320" s="21">
        <v>310</v>
      </c>
      <c r="S320" s="21">
        <v>1.46027</v>
      </c>
      <c r="T320">
        <f t="shared" si="18"/>
        <v>5.6114691358024684</v>
      </c>
      <c r="U320">
        <f t="shared" si="19"/>
        <v>8.1985247514814805</v>
      </c>
    </row>
    <row r="321" spans="6:21" x14ac:dyDescent="0.25">
      <c r="F321" s="9"/>
      <c r="G321" s="21">
        <v>0.23391700000000001</v>
      </c>
      <c r="H321" s="21">
        <v>8.2134</v>
      </c>
      <c r="I321" s="21">
        <v>-1.37482E-2</v>
      </c>
      <c r="J321" s="21">
        <v>311</v>
      </c>
      <c r="K321" s="21">
        <v>0.233459</v>
      </c>
      <c r="L321">
        <f t="shared" si="16"/>
        <v>16.973086419753084</v>
      </c>
      <c r="M321">
        <f t="shared" si="17"/>
        <v>3.9702934560493826</v>
      </c>
      <c r="N321" s="9"/>
      <c r="O321" s="21">
        <v>1.4660599999999999</v>
      </c>
      <c r="P321" s="21">
        <v>12.0326</v>
      </c>
      <c r="Q321" s="21">
        <v>-4.4702099999999996E-3</v>
      </c>
      <c r="R321" s="21">
        <v>311</v>
      </c>
      <c r="S321" s="21">
        <v>1.46515</v>
      </c>
      <c r="T321">
        <f t="shared" si="18"/>
        <v>5.5187777777777773</v>
      </c>
      <c r="U321">
        <f t="shared" si="19"/>
        <v>8.0908593488888876</v>
      </c>
    </row>
    <row r="322" spans="6:21" x14ac:dyDescent="0.25">
      <c r="F322" s="9"/>
      <c r="G322" s="21">
        <v>0.228882</v>
      </c>
      <c r="H322" s="21">
        <v>8.2234700000000007</v>
      </c>
      <c r="I322" s="21">
        <v>-1.37451E-2</v>
      </c>
      <c r="J322" s="21">
        <v>312</v>
      </c>
      <c r="K322" s="21">
        <v>0.22833300000000001</v>
      </c>
      <c r="L322">
        <f t="shared" si="16"/>
        <v>16.969259259259257</v>
      </c>
      <c r="M322">
        <f t="shared" si="17"/>
        <v>3.8839579977777774</v>
      </c>
      <c r="N322" s="9"/>
      <c r="O322" s="21">
        <v>1.4711000000000001</v>
      </c>
      <c r="P322" s="21">
        <v>12.0427</v>
      </c>
      <c r="Q322" s="21">
        <v>-4.3997200000000002E-3</v>
      </c>
      <c r="R322" s="21">
        <v>312</v>
      </c>
      <c r="S322" s="21">
        <v>1.47095</v>
      </c>
      <c r="T322">
        <f t="shared" si="18"/>
        <v>5.4317530864197536</v>
      </c>
      <c r="U322">
        <f t="shared" si="19"/>
        <v>7.9906519654321002</v>
      </c>
    </row>
    <row r="323" spans="6:21" x14ac:dyDescent="0.25">
      <c r="F323" s="9"/>
      <c r="G323" s="21">
        <v>0.22384599999999999</v>
      </c>
      <c r="H323" s="21">
        <v>8.2335399999999996</v>
      </c>
      <c r="I323" s="21">
        <v>-1.37421E-2</v>
      </c>
      <c r="J323" s="21">
        <v>313</v>
      </c>
      <c r="K323" s="21">
        <v>0.223358</v>
      </c>
      <c r="L323">
        <f t="shared" si="16"/>
        <v>16.965555555555554</v>
      </c>
      <c r="M323">
        <f t="shared" si="17"/>
        <v>3.7976717488888885</v>
      </c>
      <c r="N323" s="9"/>
      <c r="O323" s="21">
        <v>1.47614</v>
      </c>
      <c r="P323" s="21">
        <v>12.0527</v>
      </c>
      <c r="Q323" s="21">
        <v>-4.3206800000000004E-3</v>
      </c>
      <c r="R323" s="21">
        <v>313</v>
      </c>
      <c r="S323" s="21">
        <v>1.47522</v>
      </c>
      <c r="T323">
        <f t="shared" si="18"/>
        <v>5.3341728395061727</v>
      </c>
      <c r="U323">
        <f t="shared" si="19"/>
        <v>7.8739858953086417</v>
      </c>
    </row>
    <row r="324" spans="6:21" x14ac:dyDescent="0.25">
      <c r="F324" s="9"/>
      <c r="G324" s="21">
        <v>0.21881100000000001</v>
      </c>
      <c r="H324" s="21">
        <v>8.2436199999999999</v>
      </c>
      <c r="I324" s="21">
        <v>-1.3732899999999999E-2</v>
      </c>
      <c r="J324" s="21">
        <v>314</v>
      </c>
      <c r="K324" s="21">
        <v>0.21829200000000001</v>
      </c>
      <c r="L324">
        <f t="shared" si="16"/>
        <v>16.954197530864196</v>
      </c>
      <c r="M324">
        <f t="shared" si="17"/>
        <v>3.7097649159259256</v>
      </c>
      <c r="N324" s="9"/>
      <c r="O324" s="21">
        <v>1.4811700000000001</v>
      </c>
      <c r="P324" s="21">
        <v>12.062799999999999</v>
      </c>
      <c r="Q324" s="21">
        <v>-4.2452999999999996E-3</v>
      </c>
      <c r="R324" s="21">
        <v>314</v>
      </c>
      <c r="S324" s="21">
        <v>1.48071</v>
      </c>
      <c r="T324">
        <f t="shared" si="18"/>
        <v>5.2411111111111106</v>
      </c>
      <c r="U324">
        <f t="shared" si="19"/>
        <v>7.7629765444444443</v>
      </c>
    </row>
    <row r="325" spans="6:21" x14ac:dyDescent="0.25">
      <c r="F325" s="9"/>
      <c r="G325" s="21">
        <v>0.21377599999999999</v>
      </c>
      <c r="H325" s="21">
        <v>8.2536900000000006</v>
      </c>
      <c r="I325" s="21">
        <v>-1.3726800000000001E-2</v>
      </c>
      <c r="J325" s="21">
        <v>315</v>
      </c>
      <c r="K325" s="21">
        <v>0.213287</v>
      </c>
      <c r="L325">
        <f t="shared" si="16"/>
        <v>16.946666666666665</v>
      </c>
      <c r="M325">
        <f t="shared" si="17"/>
        <v>3.6227906133333327</v>
      </c>
      <c r="N325" s="9"/>
      <c r="O325" s="21">
        <v>1.48621</v>
      </c>
      <c r="P325" s="21">
        <v>12.072900000000001</v>
      </c>
      <c r="Q325" s="21">
        <v>-4.1680900000000002E-3</v>
      </c>
      <c r="R325" s="21">
        <v>315</v>
      </c>
      <c r="S325" s="21">
        <v>1.4859</v>
      </c>
      <c r="T325">
        <f t="shared" si="18"/>
        <v>5.1457901234567895</v>
      </c>
      <c r="U325">
        <f t="shared" si="19"/>
        <v>7.6477247393827152</v>
      </c>
    </row>
    <row r="326" spans="6:21" x14ac:dyDescent="0.25">
      <c r="F326" s="9"/>
      <c r="G326" s="21">
        <v>0.20874000000000001</v>
      </c>
      <c r="H326" s="21">
        <v>8.2637599999999996</v>
      </c>
      <c r="I326" s="21">
        <v>-1.3732899999999999E-2</v>
      </c>
      <c r="J326" s="21">
        <v>316</v>
      </c>
      <c r="K326" s="21">
        <v>0.20828199999999999</v>
      </c>
      <c r="L326">
        <f t="shared" si="16"/>
        <v>16.954197530864196</v>
      </c>
      <c r="M326">
        <f t="shared" si="17"/>
        <v>3.5390191925925922</v>
      </c>
      <c r="N326" s="9"/>
      <c r="O326" s="21">
        <v>1.4912399999999999</v>
      </c>
      <c r="P326" s="21">
        <v>12.0829</v>
      </c>
      <c r="Q326" s="21">
        <v>-4.09363E-3</v>
      </c>
      <c r="R326" s="21">
        <v>316</v>
      </c>
      <c r="S326" s="21">
        <v>1.49048</v>
      </c>
      <c r="T326">
        <f t="shared" si="18"/>
        <v>5.0538641975308636</v>
      </c>
      <c r="U326">
        <f t="shared" si="19"/>
        <v>7.5365244459259246</v>
      </c>
    </row>
    <row r="327" spans="6:21" x14ac:dyDescent="0.25">
      <c r="F327" s="9"/>
      <c r="G327" s="21">
        <v>0.203705</v>
      </c>
      <c r="H327" s="21">
        <v>8.2738300000000002</v>
      </c>
      <c r="I327" s="21">
        <v>-1.37451E-2</v>
      </c>
      <c r="J327" s="21">
        <v>317</v>
      </c>
      <c r="K327" s="21">
        <v>0.20321700000000001</v>
      </c>
      <c r="L327">
        <f t="shared" si="16"/>
        <v>16.969259259259257</v>
      </c>
      <c r="M327">
        <f t="shared" si="17"/>
        <v>3.4567229574074068</v>
      </c>
      <c r="N327" s="9"/>
      <c r="O327" s="21">
        <v>1.4962800000000001</v>
      </c>
      <c r="P327" s="21">
        <v>12.093</v>
      </c>
      <c r="Q327" s="21">
        <v>-4.0164199999999997E-3</v>
      </c>
      <c r="R327" s="21">
        <v>317</v>
      </c>
      <c r="S327" s="21">
        <v>1.4956700000000001</v>
      </c>
      <c r="T327">
        <f t="shared" si="18"/>
        <v>4.9585432098765425</v>
      </c>
      <c r="U327">
        <f t="shared" si="19"/>
        <v>7.419369034074073</v>
      </c>
    </row>
    <row r="328" spans="6:21" x14ac:dyDescent="0.25">
      <c r="F328" s="9"/>
      <c r="G328" s="21">
        <v>0.19866900000000001</v>
      </c>
      <c r="H328" s="21">
        <v>8.2838999999999992</v>
      </c>
      <c r="I328" s="21">
        <v>-1.3760400000000001E-2</v>
      </c>
      <c r="J328" s="21">
        <v>318</v>
      </c>
      <c r="K328" s="21">
        <v>0.198212</v>
      </c>
      <c r="L328">
        <f t="shared" si="16"/>
        <v>16.988148148148149</v>
      </c>
      <c r="M328">
        <f t="shared" si="17"/>
        <v>3.3750184044444449</v>
      </c>
      <c r="N328" s="9"/>
      <c r="O328" s="21">
        <v>1.5013099999999999</v>
      </c>
      <c r="P328" s="21">
        <v>12.1031</v>
      </c>
      <c r="Q328" s="21">
        <v>-3.9373799999999999E-3</v>
      </c>
      <c r="R328" s="21">
        <v>318</v>
      </c>
      <c r="S328" s="21">
        <v>1.50116</v>
      </c>
      <c r="T328">
        <f t="shared" si="18"/>
        <v>4.8609629629629625</v>
      </c>
      <c r="U328">
        <f t="shared" si="19"/>
        <v>7.297812305925925</v>
      </c>
    </row>
    <row r="329" spans="6:21" x14ac:dyDescent="0.25">
      <c r="F329" s="9"/>
      <c r="G329" s="21">
        <v>0.193634</v>
      </c>
      <c r="H329" s="21">
        <v>8.2939699999999998</v>
      </c>
      <c r="I329" s="21">
        <v>-1.3772599999999999E-2</v>
      </c>
      <c r="J329" s="21">
        <v>319</v>
      </c>
      <c r="K329" s="21">
        <v>0.19314600000000001</v>
      </c>
      <c r="L329">
        <f t="shared" si="16"/>
        <v>17.00320987654321</v>
      </c>
      <c r="M329">
        <f t="shared" si="17"/>
        <v>3.2923995412345679</v>
      </c>
      <c r="N329" s="9"/>
      <c r="O329" s="21">
        <v>1.5063500000000001</v>
      </c>
      <c r="P329" s="21">
        <v>12.113200000000001</v>
      </c>
      <c r="Q329" s="21">
        <v>-3.8574199999999999E-3</v>
      </c>
      <c r="R329" s="21">
        <v>319</v>
      </c>
      <c r="S329" s="21">
        <v>1.50604</v>
      </c>
      <c r="T329">
        <f t="shared" si="18"/>
        <v>4.7622469135802463</v>
      </c>
      <c r="U329">
        <f t="shared" si="19"/>
        <v>7.1736106382716045</v>
      </c>
    </row>
    <row r="330" spans="6:21" x14ac:dyDescent="0.25">
      <c r="F330" s="9"/>
      <c r="G330" s="21">
        <v>0.18859899999999999</v>
      </c>
      <c r="H330" s="21">
        <v>8.3040400000000005</v>
      </c>
      <c r="I330" s="21">
        <v>-1.37787E-2</v>
      </c>
      <c r="J330" s="21">
        <v>320</v>
      </c>
      <c r="K330" s="21">
        <v>0.18808</v>
      </c>
      <c r="L330">
        <f t="shared" si="16"/>
        <v>17.01074074074074</v>
      </c>
      <c r="M330">
        <f t="shared" si="17"/>
        <v>3.2082086929629625</v>
      </c>
      <c r="N330" s="9"/>
      <c r="O330" s="21">
        <v>1.5113799999999999</v>
      </c>
      <c r="P330" s="21">
        <v>12.123200000000001</v>
      </c>
      <c r="Q330" s="21">
        <v>-3.7811300000000002E-3</v>
      </c>
      <c r="R330" s="21">
        <v>320</v>
      </c>
      <c r="S330" s="21">
        <v>1.5109300000000001</v>
      </c>
      <c r="T330">
        <f t="shared" si="18"/>
        <v>4.6680617283950614</v>
      </c>
      <c r="U330">
        <f t="shared" si="19"/>
        <v>7.0552151350617276</v>
      </c>
    </row>
    <row r="331" spans="6:21" x14ac:dyDescent="0.25">
      <c r="F331" s="9"/>
      <c r="G331" s="21">
        <v>0.183563</v>
      </c>
      <c r="H331" s="21">
        <v>8.3141099999999994</v>
      </c>
      <c r="I331" s="21">
        <v>-1.3781699999999999E-2</v>
      </c>
      <c r="J331" s="21">
        <v>321</v>
      </c>
      <c r="K331" s="21">
        <v>0.18307499999999999</v>
      </c>
      <c r="L331">
        <f t="shared" si="16"/>
        <v>17.014444444444443</v>
      </c>
      <c r="M331">
        <f t="shared" si="17"/>
        <v>3.1232224655555556</v>
      </c>
      <c r="N331" s="9"/>
      <c r="O331" s="21">
        <v>1.5164200000000001</v>
      </c>
      <c r="P331" s="21">
        <v>12.1333</v>
      </c>
      <c r="Q331" s="21">
        <v>-3.7039199999999999E-3</v>
      </c>
      <c r="R331" s="21">
        <v>321</v>
      </c>
      <c r="S331" s="21">
        <v>1.5158100000000001</v>
      </c>
      <c r="T331">
        <f t="shared" si="18"/>
        <v>4.5727407407407403</v>
      </c>
      <c r="U331">
        <f t="shared" si="19"/>
        <v>6.9341955140740739</v>
      </c>
    </row>
    <row r="332" spans="6:21" x14ac:dyDescent="0.25">
      <c r="F332" s="9"/>
      <c r="G332" s="21">
        <v>0.17852799999999999</v>
      </c>
      <c r="H332" s="21">
        <v>8.3241800000000001</v>
      </c>
      <c r="I332" s="21">
        <v>-1.37909E-2</v>
      </c>
      <c r="J332" s="21">
        <v>322</v>
      </c>
      <c r="K332" s="21">
        <v>0.17804</v>
      </c>
      <c r="L332">
        <f t="shared" ref="L332:L388" si="20">-I332/$F$2*1000</f>
        <v>17.025802469135801</v>
      </c>
      <c r="M332">
        <f t="shared" ref="M332:M388" si="21">L332*G332</f>
        <v>3.039582463209876</v>
      </c>
      <c r="N332" s="9"/>
      <c r="O332" s="21">
        <v>1.52145</v>
      </c>
      <c r="P332" s="21">
        <v>12.1434</v>
      </c>
      <c r="Q332" s="21">
        <v>-3.6239599999999999E-3</v>
      </c>
      <c r="R332" s="21">
        <v>322</v>
      </c>
      <c r="S332" s="21">
        <v>1.5206900000000001</v>
      </c>
      <c r="T332">
        <f t="shared" ref="T332:T388" si="22">-Q332/$F$2*1000</f>
        <v>4.4740246913580242</v>
      </c>
      <c r="U332">
        <f t="shared" ref="U332:U388" si="23">T332*O332</f>
        <v>6.8070048666666656</v>
      </c>
    </row>
    <row r="333" spans="6:21" x14ac:dyDescent="0.25">
      <c r="F333" s="9"/>
      <c r="G333" s="21">
        <v>0.17349200000000001</v>
      </c>
      <c r="H333" s="21">
        <v>8.3342500000000008</v>
      </c>
      <c r="I333" s="21">
        <v>-1.38E-2</v>
      </c>
      <c r="J333" s="21">
        <v>323</v>
      </c>
      <c r="K333" s="21">
        <v>0.17294300000000001</v>
      </c>
      <c r="L333">
        <f t="shared" si="20"/>
        <v>17.037037037037035</v>
      </c>
      <c r="M333">
        <f t="shared" si="21"/>
        <v>2.9557896296296291</v>
      </c>
      <c r="N333" s="9"/>
      <c r="O333" s="21">
        <v>1.5264899999999999</v>
      </c>
      <c r="P333" s="21">
        <v>12.1534</v>
      </c>
      <c r="Q333" s="21">
        <v>-3.54492E-3</v>
      </c>
      <c r="R333" s="21">
        <v>323</v>
      </c>
      <c r="S333" s="21">
        <v>1.5267900000000001</v>
      </c>
      <c r="T333">
        <f t="shared" si="22"/>
        <v>4.3764444444444441</v>
      </c>
      <c r="U333">
        <f t="shared" si="23"/>
        <v>6.6805986799999992</v>
      </c>
    </row>
    <row r="334" spans="6:21" x14ac:dyDescent="0.25">
      <c r="F334" s="9"/>
      <c r="G334" s="21">
        <v>0.168457</v>
      </c>
      <c r="H334" s="21">
        <v>8.3443299999999994</v>
      </c>
      <c r="I334" s="21">
        <v>-1.3809200000000001E-2</v>
      </c>
      <c r="J334" s="21">
        <v>324</v>
      </c>
      <c r="K334" s="21">
        <v>0.16799900000000001</v>
      </c>
      <c r="L334">
        <f t="shared" si="20"/>
        <v>17.048395061728392</v>
      </c>
      <c r="M334">
        <f t="shared" si="21"/>
        <v>2.8719214869135796</v>
      </c>
      <c r="N334" s="9"/>
      <c r="O334" s="21">
        <v>1.53152</v>
      </c>
      <c r="P334" s="21">
        <v>12.163500000000001</v>
      </c>
      <c r="Q334" s="21">
        <v>-3.4670999999999999E-3</v>
      </c>
      <c r="R334" s="21">
        <v>324</v>
      </c>
      <c r="S334" s="21">
        <v>1.5313699999999999</v>
      </c>
      <c r="T334">
        <f t="shared" si="22"/>
        <v>4.2803703703703704</v>
      </c>
      <c r="U334">
        <f t="shared" si="23"/>
        <v>6.5554728296296298</v>
      </c>
    </row>
    <row r="335" spans="6:21" x14ac:dyDescent="0.25">
      <c r="F335" s="9"/>
      <c r="G335" s="21">
        <v>0.16342200000000001</v>
      </c>
      <c r="H335" s="21">
        <v>8.3544</v>
      </c>
      <c r="I335" s="21">
        <v>-1.3806199999999999E-2</v>
      </c>
      <c r="J335" s="21">
        <v>325</v>
      </c>
      <c r="K335" s="21">
        <v>0.16293299999999999</v>
      </c>
      <c r="L335">
        <f t="shared" si="20"/>
        <v>17.044691358024689</v>
      </c>
      <c r="M335">
        <f t="shared" si="21"/>
        <v>2.7854775511111112</v>
      </c>
      <c r="N335" s="9"/>
      <c r="O335" s="21">
        <v>1.5365599999999999</v>
      </c>
      <c r="P335" s="21">
        <v>12.1736</v>
      </c>
      <c r="Q335" s="21">
        <v>-3.38806E-3</v>
      </c>
      <c r="R335" s="21">
        <v>325</v>
      </c>
      <c r="S335" s="21">
        <v>1.5356399999999999</v>
      </c>
      <c r="T335">
        <f t="shared" si="22"/>
        <v>4.1827901234567895</v>
      </c>
      <c r="U335">
        <f t="shared" si="23"/>
        <v>6.4271079920987644</v>
      </c>
    </row>
    <row r="336" spans="6:21" x14ac:dyDescent="0.25">
      <c r="F336" s="9"/>
      <c r="G336" s="21">
        <v>0.158386</v>
      </c>
      <c r="H336" s="21">
        <v>8.3644700000000007</v>
      </c>
      <c r="I336" s="21">
        <v>-1.3815300000000001E-2</v>
      </c>
      <c r="J336" s="21">
        <v>326</v>
      </c>
      <c r="K336" s="21">
        <v>0.157806</v>
      </c>
      <c r="L336">
        <f t="shared" si="20"/>
        <v>17.055925925925926</v>
      </c>
      <c r="M336">
        <f t="shared" si="21"/>
        <v>2.7014198837037036</v>
      </c>
      <c r="N336" s="9"/>
      <c r="O336" s="21">
        <v>1.5416000000000001</v>
      </c>
      <c r="P336" s="21">
        <v>12.1837</v>
      </c>
      <c r="Q336" s="21">
        <v>-3.3087199999999998E-3</v>
      </c>
      <c r="R336" s="21">
        <v>326</v>
      </c>
      <c r="S336" s="21">
        <v>1.5408299999999999</v>
      </c>
      <c r="T336">
        <f t="shared" si="22"/>
        <v>4.0848395061728384</v>
      </c>
      <c r="U336">
        <f t="shared" si="23"/>
        <v>6.2971885827160481</v>
      </c>
    </row>
    <row r="337" spans="6:21" x14ac:dyDescent="0.25">
      <c r="F337" s="9"/>
      <c r="G337" s="21">
        <v>0.15335099999999999</v>
      </c>
      <c r="H337" s="21">
        <v>8.3745399999999997</v>
      </c>
      <c r="I337" s="21">
        <v>-1.3809200000000001E-2</v>
      </c>
      <c r="J337" s="21">
        <v>327</v>
      </c>
      <c r="K337" s="21">
        <v>0.152832</v>
      </c>
      <c r="L337">
        <f t="shared" si="20"/>
        <v>17.048395061728392</v>
      </c>
      <c r="M337">
        <f t="shared" si="21"/>
        <v>2.6143884311111103</v>
      </c>
      <c r="N337" s="9"/>
      <c r="O337" s="21">
        <v>1.5466299999999999</v>
      </c>
      <c r="P337" s="21">
        <v>12.1937</v>
      </c>
      <c r="Q337" s="21">
        <v>-3.2287599999999998E-3</v>
      </c>
      <c r="R337" s="21">
        <v>327</v>
      </c>
      <c r="S337" s="21">
        <v>1.5460199999999999</v>
      </c>
      <c r="T337">
        <f t="shared" si="22"/>
        <v>3.9861234567901231</v>
      </c>
      <c r="U337">
        <f t="shared" si="23"/>
        <v>6.1650581219753082</v>
      </c>
    </row>
    <row r="338" spans="6:21" x14ac:dyDescent="0.25">
      <c r="F338" s="9"/>
      <c r="G338" s="21">
        <v>0.148315</v>
      </c>
      <c r="H338" s="21">
        <v>8.3846100000000003</v>
      </c>
      <c r="I338" s="21">
        <v>-1.38123E-2</v>
      </c>
      <c r="J338" s="21">
        <v>328</v>
      </c>
      <c r="K338" s="21">
        <v>0.14782699999999999</v>
      </c>
      <c r="L338">
        <f t="shared" si="20"/>
        <v>17.052222222222223</v>
      </c>
      <c r="M338">
        <f t="shared" si="21"/>
        <v>2.5291003388888891</v>
      </c>
      <c r="N338" s="9"/>
      <c r="O338" s="21">
        <v>1.5516700000000001</v>
      </c>
      <c r="P338" s="21">
        <v>12.203799999999999</v>
      </c>
      <c r="Q338" s="21">
        <v>-3.1475800000000001E-3</v>
      </c>
      <c r="R338" s="21">
        <v>328</v>
      </c>
      <c r="S338" s="21">
        <v>1.55121</v>
      </c>
      <c r="T338">
        <f t="shared" si="22"/>
        <v>3.8859012345679007</v>
      </c>
      <c r="U338">
        <f t="shared" si="23"/>
        <v>6.0296363686419747</v>
      </c>
    </row>
    <row r="339" spans="6:21" x14ac:dyDescent="0.25">
      <c r="F339" s="9"/>
      <c r="G339" s="21">
        <v>0.14327999999999999</v>
      </c>
      <c r="H339" s="21">
        <v>8.3946799999999993</v>
      </c>
      <c r="I339" s="21">
        <v>-1.38123E-2</v>
      </c>
      <c r="J339" s="21">
        <v>329</v>
      </c>
      <c r="K339" s="21">
        <v>0.142761</v>
      </c>
      <c r="L339">
        <f t="shared" si="20"/>
        <v>17.052222222222223</v>
      </c>
      <c r="M339">
        <f t="shared" si="21"/>
        <v>2.4432423999999999</v>
      </c>
      <c r="N339" s="9"/>
      <c r="O339" s="21">
        <v>1.5567</v>
      </c>
      <c r="P339" s="21">
        <v>12.213900000000001</v>
      </c>
      <c r="Q339" s="21">
        <v>-3.0645799999999999E-3</v>
      </c>
      <c r="R339" s="21">
        <v>329</v>
      </c>
      <c r="S339" s="21">
        <v>1.55579</v>
      </c>
      <c r="T339">
        <f t="shared" si="22"/>
        <v>3.7834320987654317</v>
      </c>
      <c r="U339">
        <f t="shared" si="23"/>
        <v>5.8896687481481473</v>
      </c>
    </row>
    <row r="340" spans="6:21" x14ac:dyDescent="0.25">
      <c r="F340" s="9"/>
      <c r="G340" s="21">
        <v>0.13824500000000001</v>
      </c>
      <c r="H340" s="21">
        <v>8.4047499999999999</v>
      </c>
      <c r="I340" s="21">
        <v>-1.3806199999999999E-2</v>
      </c>
      <c r="J340" s="21">
        <v>330</v>
      </c>
      <c r="K340" s="21">
        <v>0.13772599999999999</v>
      </c>
      <c r="L340">
        <f t="shared" si="20"/>
        <v>17.044691358024689</v>
      </c>
      <c r="M340">
        <f t="shared" si="21"/>
        <v>2.3563433567901231</v>
      </c>
      <c r="N340" s="9"/>
      <c r="O340" s="21">
        <v>1.5617399999999999</v>
      </c>
      <c r="P340" s="21">
        <v>12.2239</v>
      </c>
      <c r="Q340" s="21">
        <v>-2.98401E-3</v>
      </c>
      <c r="R340" s="21">
        <v>330</v>
      </c>
      <c r="S340" s="21">
        <v>1.56067</v>
      </c>
      <c r="T340">
        <f t="shared" si="22"/>
        <v>3.6839629629629629</v>
      </c>
      <c r="U340">
        <f t="shared" si="23"/>
        <v>5.7533923177777773</v>
      </c>
    </row>
    <row r="341" spans="6:21" x14ac:dyDescent="0.25">
      <c r="F341" s="9"/>
      <c r="G341" s="21">
        <v>0.13320899999999999</v>
      </c>
      <c r="H341" s="21">
        <v>8.4148200000000006</v>
      </c>
      <c r="I341" s="21">
        <v>-1.3806199999999999E-2</v>
      </c>
      <c r="J341" s="21">
        <v>331</v>
      </c>
      <c r="K341" s="21">
        <v>0.13272100000000001</v>
      </c>
      <c r="L341">
        <f t="shared" si="20"/>
        <v>17.044691358024689</v>
      </c>
      <c r="M341">
        <f t="shared" si="21"/>
        <v>2.2705062911111109</v>
      </c>
      <c r="N341" s="9"/>
      <c r="O341" s="21">
        <v>1.56677</v>
      </c>
      <c r="P341" s="21">
        <v>12.234</v>
      </c>
      <c r="Q341" s="21">
        <v>-2.90253E-3</v>
      </c>
      <c r="R341" s="21">
        <v>331</v>
      </c>
      <c r="S341" s="21">
        <v>1.56677</v>
      </c>
      <c r="T341">
        <f t="shared" si="22"/>
        <v>3.5833703703703699</v>
      </c>
      <c r="U341">
        <f t="shared" si="23"/>
        <v>5.6143171951851842</v>
      </c>
    </row>
    <row r="342" spans="6:21" x14ac:dyDescent="0.25">
      <c r="F342" s="9"/>
      <c r="G342" s="21">
        <v>0.12817400000000001</v>
      </c>
      <c r="H342" s="21">
        <v>8.4248899999999995</v>
      </c>
      <c r="I342" s="21">
        <v>-1.3806199999999999E-2</v>
      </c>
      <c r="J342" s="21">
        <v>332</v>
      </c>
      <c r="K342" s="21">
        <v>0.12768599999999999</v>
      </c>
      <c r="L342">
        <f t="shared" si="20"/>
        <v>17.044691358024689</v>
      </c>
      <c r="M342">
        <f t="shared" si="21"/>
        <v>2.1846862701234566</v>
      </c>
      <c r="N342" s="9"/>
      <c r="O342" s="21">
        <v>1.5718099999999999</v>
      </c>
      <c r="P342" s="21">
        <v>12.2441</v>
      </c>
      <c r="Q342" s="21">
        <v>-2.82227E-3</v>
      </c>
      <c r="R342" s="21">
        <v>332</v>
      </c>
      <c r="S342" s="21">
        <v>1.5716600000000001</v>
      </c>
      <c r="T342">
        <f t="shared" si="22"/>
        <v>3.4842839506172836</v>
      </c>
      <c r="U342">
        <f t="shared" si="23"/>
        <v>5.4766323564197519</v>
      </c>
    </row>
    <row r="343" spans="6:21" x14ac:dyDescent="0.25">
      <c r="F343" s="9"/>
      <c r="G343" s="21">
        <v>0.123138</v>
      </c>
      <c r="H343" s="21">
        <v>8.4349600000000002</v>
      </c>
      <c r="I343" s="21">
        <v>-1.38031E-2</v>
      </c>
      <c r="J343" s="21">
        <v>333</v>
      </c>
      <c r="K343" s="21">
        <v>0.122589</v>
      </c>
      <c r="L343">
        <f t="shared" si="20"/>
        <v>17.040864197530862</v>
      </c>
      <c r="M343">
        <f t="shared" si="21"/>
        <v>2.0983779355555554</v>
      </c>
      <c r="N343" s="9"/>
      <c r="O343" s="21">
        <v>1.57684</v>
      </c>
      <c r="P343" s="21">
        <v>12.254200000000001</v>
      </c>
      <c r="Q343" s="21">
        <v>-2.7410899999999998E-3</v>
      </c>
      <c r="R343" s="21">
        <v>333</v>
      </c>
      <c r="S343" s="21">
        <v>1.57623</v>
      </c>
      <c r="T343">
        <f t="shared" si="22"/>
        <v>3.3840617283950611</v>
      </c>
      <c r="U343">
        <f t="shared" si="23"/>
        <v>5.3361238958024684</v>
      </c>
    </row>
    <row r="344" spans="6:21" x14ac:dyDescent="0.25">
      <c r="F344" s="9"/>
      <c r="G344" s="21">
        <v>0.118103</v>
      </c>
      <c r="H344" s="21">
        <v>8.4450400000000005</v>
      </c>
      <c r="I344" s="21">
        <v>-1.38E-2</v>
      </c>
      <c r="J344" s="21">
        <v>334</v>
      </c>
      <c r="K344" s="21">
        <v>0.11758399999999999</v>
      </c>
      <c r="L344">
        <f t="shared" si="20"/>
        <v>17.037037037037035</v>
      </c>
      <c r="M344">
        <f t="shared" si="21"/>
        <v>2.0121251851851847</v>
      </c>
      <c r="N344" s="9"/>
      <c r="O344" s="21">
        <v>1.58188</v>
      </c>
      <c r="P344" s="21">
        <v>12.264200000000001</v>
      </c>
      <c r="Q344" s="21">
        <v>-2.6599100000000001E-3</v>
      </c>
      <c r="R344" s="21">
        <v>334</v>
      </c>
      <c r="S344" s="21">
        <v>1.5817300000000001</v>
      </c>
      <c r="T344">
        <f t="shared" si="22"/>
        <v>3.2838395061728396</v>
      </c>
      <c r="U344">
        <f t="shared" si="23"/>
        <v>5.1946400380246915</v>
      </c>
    </row>
    <row r="345" spans="6:21" x14ac:dyDescent="0.25">
      <c r="F345" s="9"/>
      <c r="G345" s="21">
        <v>0.113068</v>
      </c>
      <c r="H345" s="21">
        <v>8.4551099999999995</v>
      </c>
      <c r="I345" s="21">
        <v>-1.3797E-2</v>
      </c>
      <c r="J345" s="21">
        <v>335</v>
      </c>
      <c r="K345" s="21">
        <v>0.112549</v>
      </c>
      <c r="L345">
        <f t="shared" si="20"/>
        <v>17.033333333333331</v>
      </c>
      <c r="M345">
        <f t="shared" si="21"/>
        <v>1.9259249333333333</v>
      </c>
      <c r="N345" s="9"/>
      <c r="O345" s="21">
        <v>1.58691</v>
      </c>
      <c r="P345" s="21">
        <v>12.2743</v>
      </c>
      <c r="Q345" s="21">
        <v>-2.5772099999999999E-3</v>
      </c>
      <c r="R345" s="21">
        <v>335</v>
      </c>
      <c r="S345" s="21">
        <v>1.5860000000000001</v>
      </c>
      <c r="T345">
        <f t="shared" si="22"/>
        <v>3.1817407407407408</v>
      </c>
      <c r="U345">
        <f t="shared" si="23"/>
        <v>5.0491361988888892</v>
      </c>
    </row>
    <row r="346" spans="6:21" x14ac:dyDescent="0.25">
      <c r="F346" s="9"/>
      <c r="G346" s="21">
        <v>0.108032</v>
      </c>
      <c r="H346" s="21">
        <v>8.4651800000000001</v>
      </c>
      <c r="I346" s="21">
        <v>-1.3797E-2</v>
      </c>
      <c r="J346" s="21">
        <v>336</v>
      </c>
      <c r="K346" s="21">
        <v>0.107513</v>
      </c>
      <c r="L346">
        <f t="shared" si="20"/>
        <v>17.033333333333331</v>
      </c>
      <c r="M346">
        <f t="shared" si="21"/>
        <v>1.8401450666666666</v>
      </c>
      <c r="N346" s="9"/>
      <c r="O346" s="21">
        <v>1.59195</v>
      </c>
      <c r="P346" s="21">
        <v>12.2844</v>
      </c>
      <c r="Q346" s="21">
        <v>-2.4941999999999998E-3</v>
      </c>
      <c r="R346" s="21">
        <v>336</v>
      </c>
      <c r="S346" s="21">
        <v>1.5911900000000001</v>
      </c>
      <c r="T346">
        <f t="shared" si="22"/>
        <v>3.0792592592592589</v>
      </c>
      <c r="U346">
        <f t="shared" si="23"/>
        <v>4.9020267777777775</v>
      </c>
    </row>
    <row r="347" spans="6:21" x14ac:dyDescent="0.25">
      <c r="F347" s="9"/>
      <c r="G347" s="21">
        <v>0.10299700000000001</v>
      </c>
      <c r="H347" s="21">
        <v>8.4752500000000008</v>
      </c>
      <c r="I347" s="21">
        <v>-1.37939E-2</v>
      </c>
      <c r="J347" s="21">
        <v>337</v>
      </c>
      <c r="K347" s="21">
        <v>0.102509</v>
      </c>
      <c r="L347">
        <f t="shared" si="20"/>
        <v>17.029506172839504</v>
      </c>
      <c r="M347">
        <f t="shared" si="21"/>
        <v>1.7539880472839504</v>
      </c>
      <c r="N347" s="9"/>
      <c r="O347" s="21">
        <v>1.5969800000000001</v>
      </c>
      <c r="P347" s="21">
        <v>12.2944</v>
      </c>
      <c r="Q347" s="21">
        <v>-2.4108900000000002E-3</v>
      </c>
      <c r="R347" s="21">
        <v>337</v>
      </c>
      <c r="S347" s="21">
        <v>1.5966800000000001</v>
      </c>
      <c r="T347">
        <f t="shared" si="22"/>
        <v>2.9764074074074074</v>
      </c>
      <c r="U347">
        <f t="shared" si="23"/>
        <v>4.7532631014814815</v>
      </c>
    </row>
    <row r="348" spans="6:21" x14ac:dyDescent="0.25">
      <c r="F348" s="9"/>
      <c r="G348" s="21">
        <v>9.7961400000000004E-2</v>
      </c>
      <c r="H348" s="21">
        <v>8.4853199999999998</v>
      </c>
      <c r="I348" s="21">
        <v>-1.3797E-2</v>
      </c>
      <c r="J348" s="21">
        <v>338</v>
      </c>
      <c r="K348" s="21">
        <v>9.7442600000000004E-2</v>
      </c>
      <c r="L348">
        <f t="shared" si="20"/>
        <v>17.033333333333331</v>
      </c>
      <c r="M348">
        <f t="shared" si="21"/>
        <v>1.6686091799999998</v>
      </c>
      <c r="N348" s="9"/>
      <c r="O348" s="21">
        <v>1.60202</v>
      </c>
      <c r="P348" s="21">
        <v>12.304500000000001</v>
      </c>
      <c r="Q348" s="21">
        <v>-2.32635E-3</v>
      </c>
      <c r="R348" s="21">
        <v>338</v>
      </c>
      <c r="S348" s="21">
        <v>1.6009500000000001</v>
      </c>
      <c r="T348">
        <f t="shared" si="22"/>
        <v>2.8720370370370372</v>
      </c>
      <c r="U348">
        <f t="shared" si="23"/>
        <v>4.6010607740740745</v>
      </c>
    </row>
    <row r="349" spans="6:21" x14ac:dyDescent="0.25">
      <c r="F349" s="9"/>
      <c r="G349" s="21">
        <v>9.2925999999999995E-2</v>
      </c>
      <c r="H349" s="21">
        <v>8.4953900000000004</v>
      </c>
      <c r="I349" s="21">
        <v>-1.3797E-2</v>
      </c>
      <c r="J349" s="21">
        <v>339</v>
      </c>
      <c r="K349" s="21">
        <v>9.2437699999999998E-2</v>
      </c>
      <c r="L349">
        <f t="shared" si="20"/>
        <v>17.033333333333331</v>
      </c>
      <c r="M349">
        <f t="shared" si="21"/>
        <v>1.5828395333333332</v>
      </c>
      <c r="N349" s="9"/>
      <c r="O349" s="21">
        <v>1.6070599999999999</v>
      </c>
      <c r="P349" s="21">
        <v>12.3146</v>
      </c>
      <c r="Q349" s="21">
        <v>-2.2436499999999998E-3</v>
      </c>
      <c r="R349" s="21">
        <v>339</v>
      </c>
      <c r="S349" s="21">
        <v>1.6064499999999999</v>
      </c>
      <c r="T349">
        <f t="shared" si="22"/>
        <v>2.7699382716049379</v>
      </c>
      <c r="U349">
        <f t="shared" si="23"/>
        <v>4.4514569987654315</v>
      </c>
    </row>
    <row r="350" spans="6:21" x14ac:dyDescent="0.25">
      <c r="F350" s="9"/>
      <c r="G350" s="21">
        <v>8.7890599999999999E-2</v>
      </c>
      <c r="H350" s="21">
        <v>8.5054599999999994</v>
      </c>
      <c r="I350" s="21">
        <v>-1.38031E-2</v>
      </c>
      <c r="J350" s="21">
        <v>340</v>
      </c>
      <c r="K350" s="21">
        <v>8.7402300000000002E-2</v>
      </c>
      <c r="L350">
        <f t="shared" si="20"/>
        <v>17.040864197530862</v>
      </c>
      <c r="M350">
        <f t="shared" si="21"/>
        <v>1.4977317788395059</v>
      </c>
      <c r="N350" s="9"/>
      <c r="O350" s="21">
        <v>1.61209</v>
      </c>
      <c r="P350" s="21">
        <v>12.3246</v>
      </c>
      <c r="Q350" s="21">
        <v>-2.1581999999999999E-3</v>
      </c>
      <c r="R350" s="21">
        <v>340</v>
      </c>
      <c r="S350" s="21">
        <v>1.6116299999999999</v>
      </c>
      <c r="T350">
        <f t="shared" si="22"/>
        <v>2.6644444444444439</v>
      </c>
      <c r="U350">
        <f t="shared" si="23"/>
        <v>4.2953242444444433</v>
      </c>
    </row>
    <row r="351" spans="6:21" x14ac:dyDescent="0.25">
      <c r="F351" s="9"/>
      <c r="G351" s="21">
        <v>8.2855200000000004E-2</v>
      </c>
      <c r="H351" s="21">
        <v>8.51553</v>
      </c>
      <c r="I351" s="21">
        <v>-1.38123E-2</v>
      </c>
      <c r="J351" s="21">
        <v>341</v>
      </c>
      <c r="K351" s="21">
        <v>8.2397499999999999E-2</v>
      </c>
      <c r="L351">
        <f t="shared" si="20"/>
        <v>17.052222222222223</v>
      </c>
      <c r="M351">
        <f t="shared" si="21"/>
        <v>1.4128652826666668</v>
      </c>
      <c r="N351" s="9"/>
      <c r="O351" s="21">
        <v>1.61713</v>
      </c>
      <c r="P351" s="21">
        <v>12.3347</v>
      </c>
      <c r="Q351" s="21">
        <v>-2.0727499999999999E-3</v>
      </c>
      <c r="R351" s="21">
        <v>341</v>
      </c>
      <c r="S351" s="21">
        <v>1.6168199999999999</v>
      </c>
      <c r="T351">
        <f t="shared" si="22"/>
        <v>2.5589506172839505</v>
      </c>
      <c r="U351">
        <f t="shared" si="23"/>
        <v>4.138155811728395</v>
      </c>
    </row>
    <row r="352" spans="6:21" x14ac:dyDescent="0.25">
      <c r="F352" s="9"/>
      <c r="G352" s="21">
        <v>7.7819799999999995E-2</v>
      </c>
      <c r="H352" s="21">
        <v>8.5256000000000007</v>
      </c>
      <c r="I352" s="21">
        <v>-1.38184E-2</v>
      </c>
      <c r="J352" s="21">
        <v>342</v>
      </c>
      <c r="K352" s="21">
        <v>7.7362100000000003E-2</v>
      </c>
      <c r="L352">
        <f t="shared" si="20"/>
        <v>17.05975308641975</v>
      </c>
      <c r="M352">
        <f t="shared" si="21"/>
        <v>1.3275865732345675</v>
      </c>
      <c r="N352" s="9"/>
      <c r="O352" s="21">
        <v>1.62216</v>
      </c>
      <c r="P352" s="21">
        <v>12.344799999999999</v>
      </c>
      <c r="Q352" s="21">
        <v>-1.9848600000000002E-3</v>
      </c>
      <c r="R352" s="21">
        <v>342</v>
      </c>
      <c r="S352" s="21">
        <v>1.6214</v>
      </c>
      <c r="T352">
        <f t="shared" si="22"/>
        <v>2.4504444444444444</v>
      </c>
      <c r="U352">
        <f t="shared" si="23"/>
        <v>3.9750129599999999</v>
      </c>
    </row>
    <row r="353" spans="6:21" x14ac:dyDescent="0.25">
      <c r="F353" s="9"/>
      <c r="G353" s="21">
        <v>7.2784399999999999E-2</v>
      </c>
      <c r="H353" s="21">
        <v>8.5356699999999996</v>
      </c>
      <c r="I353" s="21">
        <v>-1.38245E-2</v>
      </c>
      <c r="J353" s="21">
        <v>343</v>
      </c>
      <c r="K353" s="21">
        <v>7.2265599999999999E-2</v>
      </c>
      <c r="L353">
        <f t="shared" si="20"/>
        <v>17.067283950617281</v>
      </c>
      <c r="M353">
        <f t="shared" si="21"/>
        <v>1.2422320219753085</v>
      </c>
      <c r="N353" s="9"/>
      <c r="O353" s="21">
        <v>1.6272</v>
      </c>
      <c r="P353" s="21">
        <v>12.354900000000001</v>
      </c>
      <c r="Q353" s="21">
        <v>-1.8985E-3</v>
      </c>
      <c r="R353" s="21">
        <v>343</v>
      </c>
      <c r="S353" s="21">
        <v>1.62659</v>
      </c>
      <c r="T353">
        <f t="shared" si="22"/>
        <v>2.3438271604938272</v>
      </c>
      <c r="U353">
        <f t="shared" si="23"/>
        <v>3.8138755555555557</v>
      </c>
    </row>
    <row r="354" spans="6:21" x14ac:dyDescent="0.25">
      <c r="F354" s="9"/>
      <c r="G354" s="21">
        <v>6.7749000000000004E-2</v>
      </c>
      <c r="H354" s="21">
        <v>8.54575</v>
      </c>
      <c r="I354" s="21">
        <v>-1.38245E-2</v>
      </c>
      <c r="J354" s="21">
        <v>344</v>
      </c>
      <c r="K354" s="21">
        <v>6.7260700000000007E-2</v>
      </c>
      <c r="L354">
        <f t="shared" si="20"/>
        <v>17.067283950617281</v>
      </c>
      <c r="M354">
        <f t="shared" si="21"/>
        <v>1.1562914203703702</v>
      </c>
      <c r="N354" s="9"/>
      <c r="O354" s="21">
        <v>1.6322300000000001</v>
      </c>
      <c r="P354" s="21">
        <v>12.3649</v>
      </c>
      <c r="Q354" s="21">
        <v>-1.81061E-3</v>
      </c>
      <c r="R354" s="21">
        <v>344</v>
      </c>
      <c r="S354" s="21">
        <v>1.6317699999999999</v>
      </c>
      <c r="T354">
        <f t="shared" si="22"/>
        <v>2.2353209876543212</v>
      </c>
      <c r="U354">
        <f t="shared" si="23"/>
        <v>3.648557975679013</v>
      </c>
    </row>
    <row r="355" spans="6:21" x14ac:dyDescent="0.25">
      <c r="F355" s="9"/>
      <c r="G355" s="21">
        <v>6.2713599999999994E-2</v>
      </c>
      <c r="H355" s="21">
        <v>8.5558200000000006</v>
      </c>
      <c r="I355" s="21">
        <v>-1.38336E-2</v>
      </c>
      <c r="J355" s="21">
        <v>345</v>
      </c>
      <c r="K355" s="21">
        <v>6.2225299999999997E-2</v>
      </c>
      <c r="L355">
        <f t="shared" si="20"/>
        <v>17.078518518518518</v>
      </c>
      <c r="M355">
        <f t="shared" si="21"/>
        <v>1.0710553789629629</v>
      </c>
      <c r="N355" s="9"/>
      <c r="O355" s="21">
        <v>1.63727</v>
      </c>
      <c r="P355" s="21">
        <v>12.375</v>
      </c>
      <c r="Q355" s="21">
        <v>-1.7236300000000001E-3</v>
      </c>
      <c r="R355" s="21">
        <v>345</v>
      </c>
      <c r="S355" s="21">
        <v>1.63635</v>
      </c>
      <c r="T355">
        <f t="shared" si="22"/>
        <v>2.1279382716049384</v>
      </c>
      <c r="U355">
        <f t="shared" si="23"/>
        <v>3.4840094939506177</v>
      </c>
    </row>
    <row r="356" spans="6:21" x14ac:dyDescent="0.25">
      <c r="F356" s="9"/>
      <c r="G356" s="21">
        <v>5.7678199999999999E-2</v>
      </c>
      <c r="H356" s="21">
        <v>8.5658899999999996</v>
      </c>
      <c r="I356" s="21">
        <v>-1.38306E-2</v>
      </c>
      <c r="J356" s="21">
        <v>346</v>
      </c>
      <c r="K356" s="21">
        <v>5.7128900000000003E-2</v>
      </c>
      <c r="L356">
        <f t="shared" si="20"/>
        <v>17.074814814814815</v>
      </c>
      <c r="M356">
        <f t="shared" si="21"/>
        <v>0.98484458385185181</v>
      </c>
      <c r="N356" s="9"/>
      <c r="O356" s="21">
        <v>1.6423000000000001</v>
      </c>
      <c r="P356" s="21">
        <v>12.3851</v>
      </c>
      <c r="Q356" s="21">
        <v>-1.6357399999999999E-3</v>
      </c>
      <c r="R356" s="21">
        <v>346</v>
      </c>
      <c r="S356" s="21">
        <v>1.64185</v>
      </c>
      <c r="T356">
        <f t="shared" si="22"/>
        <v>2.0194320987654319</v>
      </c>
      <c r="U356">
        <f t="shared" si="23"/>
        <v>3.316513335802469</v>
      </c>
    </row>
    <row r="357" spans="6:21" x14ac:dyDescent="0.25">
      <c r="F357" s="9"/>
      <c r="G357" s="21">
        <v>5.2642799999999997E-2</v>
      </c>
      <c r="H357" s="21">
        <v>8.5759600000000002</v>
      </c>
      <c r="I357" s="21">
        <v>-1.3821399999999999E-2</v>
      </c>
      <c r="J357" s="21">
        <v>347</v>
      </c>
      <c r="K357" s="21">
        <v>5.2154499999999999E-2</v>
      </c>
      <c r="L357">
        <f t="shared" si="20"/>
        <v>17.063456790123453</v>
      </c>
      <c r="M357">
        <f t="shared" si="21"/>
        <v>0.89826814311111092</v>
      </c>
      <c r="N357" s="9"/>
      <c r="O357" s="21">
        <v>1.64734</v>
      </c>
      <c r="P357" s="21">
        <v>12.395099999999999</v>
      </c>
      <c r="Q357" s="21">
        <v>-1.54755E-3</v>
      </c>
      <c r="R357" s="21">
        <v>347</v>
      </c>
      <c r="S357" s="21">
        <v>1.64673</v>
      </c>
      <c r="T357">
        <f t="shared" si="22"/>
        <v>1.9105555555555553</v>
      </c>
      <c r="U357">
        <f t="shared" si="23"/>
        <v>3.1473345888888886</v>
      </c>
    </row>
    <row r="358" spans="6:21" x14ac:dyDescent="0.25">
      <c r="F358" s="9"/>
      <c r="G358" s="21">
        <v>4.7607400000000001E-2</v>
      </c>
      <c r="H358" s="21">
        <v>8.5860299999999992</v>
      </c>
      <c r="I358" s="21">
        <v>-1.38245E-2</v>
      </c>
      <c r="J358" s="21">
        <v>348</v>
      </c>
      <c r="K358" s="21">
        <v>4.7552499999999998E-2</v>
      </c>
      <c r="L358">
        <f t="shared" si="20"/>
        <v>17.067283950617281</v>
      </c>
      <c r="M358">
        <f t="shared" si="21"/>
        <v>0.81252901395061716</v>
      </c>
      <c r="N358" s="9"/>
      <c r="O358" s="21">
        <v>1.6523699999999999</v>
      </c>
      <c r="P358" s="21">
        <v>12.405200000000001</v>
      </c>
      <c r="Q358" s="21">
        <v>-1.4556899999999999E-3</v>
      </c>
      <c r="R358" s="21">
        <v>348</v>
      </c>
      <c r="S358" s="21">
        <v>1.6519200000000001</v>
      </c>
      <c r="T358">
        <f t="shared" si="22"/>
        <v>1.7971481481481479</v>
      </c>
      <c r="U358">
        <f t="shared" si="23"/>
        <v>2.9695536855555549</v>
      </c>
    </row>
    <row r="359" spans="6:21" x14ac:dyDescent="0.25">
      <c r="F359" s="9"/>
      <c r="G359" s="21">
        <v>4.2571999999999999E-2</v>
      </c>
      <c r="H359" s="21">
        <v>8.5960999999999999</v>
      </c>
      <c r="I359" s="21">
        <v>-1.3821399999999999E-2</v>
      </c>
      <c r="J359" s="21">
        <v>349</v>
      </c>
      <c r="K359" s="21">
        <v>4.2556799999999999E-2</v>
      </c>
      <c r="L359">
        <f t="shared" si="20"/>
        <v>17.063456790123453</v>
      </c>
      <c r="M359">
        <f t="shared" si="21"/>
        <v>0.72642548246913563</v>
      </c>
      <c r="N359" s="9"/>
      <c r="O359" s="21">
        <v>1.65741</v>
      </c>
      <c r="P359" s="21">
        <v>12.4153</v>
      </c>
      <c r="Q359" s="21">
        <v>-1.3647500000000001E-3</v>
      </c>
      <c r="R359" s="21">
        <v>349</v>
      </c>
      <c r="S359" s="21">
        <v>1.65649</v>
      </c>
      <c r="T359">
        <f t="shared" si="22"/>
        <v>1.6848765432098765</v>
      </c>
      <c r="U359">
        <f t="shared" si="23"/>
        <v>2.7925312314814814</v>
      </c>
    </row>
    <row r="360" spans="6:21" x14ac:dyDescent="0.25">
      <c r="F360" s="9"/>
      <c r="G360" s="21">
        <v>3.7536600000000003E-2</v>
      </c>
      <c r="H360" s="21">
        <v>8.6061700000000005</v>
      </c>
      <c r="I360" s="21">
        <v>-1.3821399999999999E-2</v>
      </c>
      <c r="J360" s="21">
        <v>350</v>
      </c>
      <c r="K360" s="21">
        <v>3.7475599999999998E-2</v>
      </c>
      <c r="L360">
        <f t="shared" si="20"/>
        <v>17.063456790123453</v>
      </c>
      <c r="M360">
        <f t="shared" si="21"/>
        <v>0.64050415214814804</v>
      </c>
      <c r="N360" s="9"/>
      <c r="O360" s="21">
        <v>1.66245</v>
      </c>
      <c r="P360" s="21">
        <v>12.4254</v>
      </c>
      <c r="Q360" s="21">
        <v>-1.27228E-3</v>
      </c>
      <c r="R360" s="21">
        <v>350</v>
      </c>
      <c r="S360" s="21">
        <v>1.66168</v>
      </c>
      <c r="T360">
        <f t="shared" si="22"/>
        <v>1.5707160493827159</v>
      </c>
      <c r="U360">
        <f t="shared" si="23"/>
        <v>2.6112368962962962</v>
      </c>
    </row>
    <row r="361" spans="6:21" x14ac:dyDescent="0.25">
      <c r="F361" s="9"/>
      <c r="G361" s="21">
        <v>3.2501200000000001E-2</v>
      </c>
      <c r="H361" s="21">
        <v>8.6162399999999995</v>
      </c>
      <c r="I361" s="21">
        <v>-1.38184E-2</v>
      </c>
      <c r="J361" s="21">
        <v>351</v>
      </c>
      <c r="K361" s="21">
        <v>3.2427999999999998E-2</v>
      </c>
      <c r="L361">
        <f t="shared" si="20"/>
        <v>17.05975308641975</v>
      </c>
      <c r="M361">
        <f t="shared" si="21"/>
        <v>0.55446244701234559</v>
      </c>
      <c r="N361" s="9"/>
      <c r="O361" s="21">
        <v>1.6674800000000001</v>
      </c>
      <c r="P361" s="21">
        <v>12.4354</v>
      </c>
      <c r="Q361" s="21">
        <v>-1.1792E-3</v>
      </c>
      <c r="R361" s="21">
        <v>351</v>
      </c>
      <c r="S361" s="21">
        <v>1.66656</v>
      </c>
      <c r="T361">
        <f t="shared" si="22"/>
        <v>1.4558024691358025</v>
      </c>
      <c r="U361">
        <f t="shared" si="23"/>
        <v>2.4275215012345681</v>
      </c>
    </row>
    <row r="362" spans="6:21" x14ac:dyDescent="0.25">
      <c r="F362" s="9"/>
      <c r="G362" s="21">
        <v>2.7465799999999999E-2</v>
      </c>
      <c r="H362" s="21">
        <v>8.6263100000000001</v>
      </c>
      <c r="I362" s="21">
        <v>-1.38245E-2</v>
      </c>
      <c r="J362" s="21">
        <v>352</v>
      </c>
      <c r="K362" s="21">
        <v>2.73773E-2</v>
      </c>
      <c r="L362">
        <f t="shared" si="20"/>
        <v>17.067283950617281</v>
      </c>
      <c r="M362">
        <f t="shared" si="21"/>
        <v>0.46876660753086408</v>
      </c>
      <c r="N362" s="9"/>
      <c r="O362" s="21">
        <v>1.67252</v>
      </c>
      <c r="P362" s="21">
        <v>12.445499999999999</v>
      </c>
      <c r="Q362" s="21">
        <v>-1.0852100000000001E-3</v>
      </c>
      <c r="R362" s="21">
        <v>352</v>
      </c>
      <c r="S362" s="21">
        <v>1.6717500000000001</v>
      </c>
      <c r="T362">
        <f t="shared" si="22"/>
        <v>1.3397654320987655</v>
      </c>
      <c r="U362">
        <f t="shared" si="23"/>
        <v>2.2407844804938275</v>
      </c>
    </row>
    <row r="363" spans="6:21" x14ac:dyDescent="0.25">
      <c r="F363" s="9"/>
      <c r="G363" s="21">
        <v>2.24304E-2</v>
      </c>
      <c r="H363" s="21">
        <v>8.6363800000000008</v>
      </c>
      <c r="I363" s="21">
        <v>-1.38336E-2</v>
      </c>
      <c r="J363" s="21">
        <v>353</v>
      </c>
      <c r="K363" s="21">
        <v>2.23328E-2</v>
      </c>
      <c r="L363">
        <f t="shared" si="20"/>
        <v>17.078518518518518</v>
      </c>
      <c r="M363">
        <f t="shared" si="21"/>
        <v>0.38307800177777773</v>
      </c>
      <c r="N363" s="9"/>
      <c r="O363" s="21">
        <v>1.6775500000000001</v>
      </c>
      <c r="P363" s="21">
        <v>12.4556</v>
      </c>
      <c r="Q363" s="21">
        <v>-9.9182099999999994E-4</v>
      </c>
      <c r="R363" s="21">
        <v>353</v>
      </c>
      <c r="S363" s="21">
        <v>1.6769400000000001</v>
      </c>
      <c r="T363">
        <f t="shared" si="22"/>
        <v>1.2244703703703703</v>
      </c>
      <c r="U363">
        <f t="shared" si="23"/>
        <v>2.054110269814815</v>
      </c>
    </row>
    <row r="364" spans="6:21" x14ac:dyDescent="0.25">
      <c r="F364" s="9"/>
      <c r="G364" s="21">
        <v>1.7395000000000001E-2</v>
      </c>
      <c r="H364" s="21">
        <v>8.6464599999999994</v>
      </c>
      <c r="I364" s="21">
        <v>-1.38306E-2</v>
      </c>
      <c r="J364" s="21">
        <v>354</v>
      </c>
      <c r="K364" s="21">
        <v>1.7285200000000001E-2</v>
      </c>
      <c r="L364">
        <f t="shared" si="20"/>
        <v>17.074814814814815</v>
      </c>
      <c r="M364">
        <f t="shared" si="21"/>
        <v>0.29701640370370369</v>
      </c>
      <c r="N364" s="9"/>
      <c r="O364" s="21">
        <v>1.68259</v>
      </c>
      <c r="P364" s="21">
        <v>12.4656</v>
      </c>
      <c r="Q364" s="21">
        <v>-8.9660599999999999E-4</v>
      </c>
      <c r="R364" s="21">
        <v>354</v>
      </c>
      <c r="S364" s="21">
        <v>1.6818200000000001</v>
      </c>
      <c r="T364">
        <f t="shared" si="22"/>
        <v>1.1069209876543209</v>
      </c>
      <c r="U364">
        <f t="shared" si="23"/>
        <v>1.8624941846172838</v>
      </c>
    </row>
    <row r="365" spans="6:21" x14ac:dyDescent="0.25">
      <c r="F365" s="9"/>
      <c r="G365" s="21">
        <v>1.23596E-2</v>
      </c>
      <c r="H365" s="21">
        <v>8.6565300000000001</v>
      </c>
      <c r="I365" s="21">
        <v>-1.38306E-2</v>
      </c>
      <c r="J365" s="21">
        <v>355</v>
      </c>
      <c r="K365" s="21">
        <v>1.2252799999999999E-2</v>
      </c>
      <c r="L365">
        <f t="shared" si="20"/>
        <v>17.074814814814815</v>
      </c>
      <c r="M365">
        <f t="shared" si="21"/>
        <v>0.21103788118518518</v>
      </c>
      <c r="N365" s="9"/>
      <c r="O365" s="21">
        <v>1.6876199999999999</v>
      </c>
      <c r="P365" s="21">
        <v>12.4757</v>
      </c>
      <c r="Q365" s="21">
        <v>-8.0108600000000001E-4</v>
      </c>
      <c r="R365" s="21">
        <v>355</v>
      </c>
      <c r="S365" s="21">
        <v>1.6863999999999999</v>
      </c>
      <c r="T365">
        <f t="shared" si="22"/>
        <v>0.98899506172839502</v>
      </c>
      <c r="U365">
        <f t="shared" si="23"/>
        <v>1.6690478460740739</v>
      </c>
    </row>
    <row r="366" spans="6:21" x14ac:dyDescent="0.25">
      <c r="F366" s="9"/>
      <c r="G366" s="21">
        <v>7.3242200000000002E-3</v>
      </c>
      <c r="H366" s="21">
        <v>8.6666000000000007</v>
      </c>
      <c r="I366" s="21">
        <v>-1.38306E-2</v>
      </c>
      <c r="J366" s="21">
        <v>356</v>
      </c>
      <c r="K366" s="21">
        <v>7.1685799999999999E-3</v>
      </c>
      <c r="L366">
        <f t="shared" si="20"/>
        <v>17.074814814814815</v>
      </c>
      <c r="M366">
        <f t="shared" si="21"/>
        <v>0.12505970016296297</v>
      </c>
      <c r="N366" s="9"/>
      <c r="O366" s="21">
        <v>1.6926600000000001</v>
      </c>
      <c r="P366" s="21">
        <v>12.485799999999999</v>
      </c>
      <c r="Q366" s="21">
        <v>-7.0282000000000005E-4</v>
      </c>
      <c r="R366" s="21">
        <v>356</v>
      </c>
      <c r="S366" s="21">
        <v>1.6918899999999999</v>
      </c>
      <c r="T366">
        <f t="shared" si="22"/>
        <v>0.86767901234567901</v>
      </c>
      <c r="U366">
        <f t="shared" si="23"/>
        <v>1.4686855570370372</v>
      </c>
    </row>
    <row r="367" spans="6:21" x14ac:dyDescent="0.25">
      <c r="F367" s="9"/>
      <c r="G367" s="21">
        <v>2.28882E-3</v>
      </c>
      <c r="H367" s="21">
        <v>8.6766699999999997</v>
      </c>
      <c r="I367" s="21">
        <v>-1.38275E-2</v>
      </c>
      <c r="J367" s="21">
        <v>357</v>
      </c>
      <c r="K367" s="21">
        <v>2.1697999999999999E-3</v>
      </c>
      <c r="L367">
        <f t="shared" si="20"/>
        <v>17.070987654320987</v>
      </c>
      <c r="M367">
        <f t="shared" si="21"/>
        <v>3.9072417962962964E-2</v>
      </c>
      <c r="N367" s="9"/>
      <c r="O367" s="21">
        <v>1.6976899999999999</v>
      </c>
      <c r="P367" s="21">
        <v>12.495900000000001</v>
      </c>
      <c r="Q367" s="21">
        <v>-6.0546899999999997E-4</v>
      </c>
      <c r="R367" s="21">
        <v>357</v>
      </c>
      <c r="S367" s="21">
        <v>1.6964699999999999</v>
      </c>
      <c r="T367">
        <f t="shared" si="22"/>
        <v>0.74749259259259249</v>
      </c>
      <c r="U367">
        <f t="shared" si="23"/>
        <v>1.2690106995185182</v>
      </c>
    </row>
    <row r="368" spans="6:21" x14ac:dyDescent="0.25">
      <c r="F368" s="9"/>
      <c r="G368" s="21">
        <v>-2.7465800000000002E-3</v>
      </c>
      <c r="H368" s="21">
        <v>8.6867400000000004</v>
      </c>
      <c r="I368" s="21">
        <v>-1.38245E-2</v>
      </c>
      <c r="J368" s="21">
        <v>358</v>
      </c>
      <c r="K368" s="21">
        <v>-2.9174800000000001E-3</v>
      </c>
      <c r="L368">
        <f t="shared" si="20"/>
        <v>17.067283950617281</v>
      </c>
      <c r="M368">
        <f t="shared" si="21"/>
        <v>-4.6876660753086413E-2</v>
      </c>
      <c r="N368" s="9"/>
      <c r="O368" s="21">
        <v>1.7027300000000001</v>
      </c>
      <c r="P368" s="21">
        <v>12.5059</v>
      </c>
      <c r="Q368" s="21">
        <v>-5.0628700000000001E-4</v>
      </c>
      <c r="R368" s="21">
        <v>358</v>
      </c>
      <c r="S368" s="21">
        <v>1.70258</v>
      </c>
      <c r="T368">
        <f t="shared" si="22"/>
        <v>0.62504567901234565</v>
      </c>
      <c r="U368">
        <f t="shared" si="23"/>
        <v>1.0642840290246913</v>
      </c>
    </row>
    <row r="369" spans="6:21" x14ac:dyDescent="0.25">
      <c r="F369" s="9"/>
      <c r="G369" s="21">
        <v>-7.78198E-3</v>
      </c>
      <c r="H369" s="21">
        <v>8.6968099999999993</v>
      </c>
      <c r="I369" s="21">
        <v>-1.38245E-2</v>
      </c>
      <c r="J369" s="21">
        <v>359</v>
      </c>
      <c r="K369" s="21">
        <v>-7.9620400000000001E-3</v>
      </c>
      <c r="L369">
        <f t="shared" si="20"/>
        <v>17.067283950617281</v>
      </c>
      <c r="M369">
        <f t="shared" si="21"/>
        <v>-0.13281726235802466</v>
      </c>
      <c r="N369" s="9"/>
      <c r="O369" s="21">
        <v>1.7077599999999999</v>
      </c>
      <c r="P369" s="21">
        <v>12.516</v>
      </c>
      <c r="Q369" s="21">
        <v>-4.0683000000000001E-4</v>
      </c>
      <c r="R369" s="21">
        <v>359</v>
      </c>
      <c r="S369" s="21">
        <v>1.70685</v>
      </c>
      <c r="T369">
        <f t="shared" si="22"/>
        <v>0.50225925925925929</v>
      </c>
      <c r="U369">
        <f t="shared" si="23"/>
        <v>0.85773827259259261</v>
      </c>
    </row>
    <row r="370" spans="6:21" x14ac:dyDescent="0.25">
      <c r="F370" s="9"/>
      <c r="G370" s="21">
        <v>-1.28174E-2</v>
      </c>
      <c r="H370" s="21">
        <v>8.70688</v>
      </c>
      <c r="I370" s="21">
        <v>-1.3821399999999999E-2</v>
      </c>
      <c r="J370" s="21">
        <v>360</v>
      </c>
      <c r="K370" s="21">
        <v>-1.30432E-2</v>
      </c>
      <c r="L370">
        <f t="shared" si="20"/>
        <v>17.063456790123453</v>
      </c>
      <c r="M370">
        <f t="shared" si="21"/>
        <v>-0.21870915106172834</v>
      </c>
      <c r="N370" s="9"/>
      <c r="O370" s="21">
        <v>1.7128000000000001</v>
      </c>
      <c r="P370" s="21">
        <v>12.5261</v>
      </c>
      <c r="Q370" s="21">
        <v>-3.0545000000000002E-4</v>
      </c>
      <c r="R370" s="21">
        <v>360</v>
      </c>
      <c r="S370" s="21">
        <v>1.71204</v>
      </c>
      <c r="T370">
        <f t="shared" si="22"/>
        <v>0.37709876543209875</v>
      </c>
      <c r="U370">
        <f t="shared" si="23"/>
        <v>0.64589476543209878</v>
      </c>
    </row>
    <row r="371" spans="6:21" x14ac:dyDescent="0.25">
      <c r="F371" s="9"/>
      <c r="G371" s="21">
        <v>-1.7852799999999999E-2</v>
      </c>
      <c r="H371" s="21">
        <v>8.7169500000000006</v>
      </c>
      <c r="I371" s="21">
        <v>-1.38123E-2</v>
      </c>
      <c r="J371" s="21">
        <v>361</v>
      </c>
      <c r="K371" s="21">
        <v>-1.80511E-2</v>
      </c>
      <c r="L371">
        <f t="shared" si="20"/>
        <v>17.052222222222223</v>
      </c>
      <c r="M371">
        <f t="shared" si="21"/>
        <v>-0.30442991288888888</v>
      </c>
      <c r="N371" s="9"/>
      <c r="O371" s="21">
        <v>1.71783</v>
      </c>
      <c r="P371" s="21">
        <v>12.536099999999999</v>
      </c>
      <c r="Q371" s="21">
        <v>-2.0254499999999999E-4</v>
      </c>
      <c r="R371" s="21">
        <v>361</v>
      </c>
      <c r="S371" s="21">
        <v>1.71722</v>
      </c>
      <c r="T371">
        <f t="shared" si="22"/>
        <v>0.25005555555555553</v>
      </c>
      <c r="U371">
        <f t="shared" si="23"/>
        <v>0.42955293499999997</v>
      </c>
    </row>
    <row r="372" spans="6:21" x14ac:dyDescent="0.25">
      <c r="F372" s="9"/>
      <c r="G372" s="21">
        <v>-2.2888200000000001E-2</v>
      </c>
      <c r="H372" s="21">
        <v>8.7270199999999996</v>
      </c>
      <c r="I372" s="21">
        <v>-1.38184E-2</v>
      </c>
      <c r="J372" s="21">
        <v>362</v>
      </c>
      <c r="K372" s="21">
        <v>-2.31232E-2</v>
      </c>
      <c r="L372">
        <f t="shared" si="20"/>
        <v>17.05975308641975</v>
      </c>
      <c r="M372">
        <f t="shared" si="21"/>
        <v>-0.39046704059259252</v>
      </c>
      <c r="N372" s="9"/>
      <c r="O372" s="21">
        <v>1.7228699999999999</v>
      </c>
      <c r="P372" s="21">
        <v>12.546200000000001</v>
      </c>
      <c r="Q372" s="24">
        <v>-9.7656299999999995E-5</v>
      </c>
      <c r="R372" s="21">
        <v>362</v>
      </c>
      <c r="S372" s="21">
        <v>1.7218</v>
      </c>
      <c r="T372">
        <f t="shared" si="22"/>
        <v>0.12056333333333333</v>
      </c>
      <c r="U372">
        <f t="shared" si="23"/>
        <v>0.20771495009999999</v>
      </c>
    </row>
    <row r="373" spans="6:21" x14ac:dyDescent="0.25">
      <c r="F373" s="9"/>
      <c r="G373" s="21">
        <v>-2.79236E-2</v>
      </c>
      <c r="H373" s="21">
        <v>8.7370900000000002</v>
      </c>
      <c r="I373" s="21">
        <v>-1.38275E-2</v>
      </c>
      <c r="J373" s="21">
        <v>363</v>
      </c>
      <c r="K373" s="21">
        <v>-2.8201299999999999E-2</v>
      </c>
      <c r="L373">
        <f t="shared" si="20"/>
        <v>17.070987654320987</v>
      </c>
      <c r="M373">
        <f t="shared" si="21"/>
        <v>-0.47668343086419751</v>
      </c>
      <c r="N373" s="9"/>
      <c r="O373" s="21">
        <v>1.7279100000000001</v>
      </c>
      <c r="P373" s="21">
        <v>12.5563</v>
      </c>
      <c r="Q373" s="24">
        <v>6.7443799999999996E-6</v>
      </c>
      <c r="R373" s="21">
        <v>363</v>
      </c>
      <c r="S373" s="21">
        <v>1.7279100000000001</v>
      </c>
      <c r="T373">
        <f t="shared" si="22"/>
        <v>-8.3263950617283936E-3</v>
      </c>
      <c r="U373">
        <f t="shared" si="23"/>
        <v>-1.4387261291111109E-2</v>
      </c>
    </row>
    <row r="374" spans="6:21" x14ac:dyDescent="0.25">
      <c r="F374" s="9"/>
      <c r="G374" s="21">
        <v>-3.2959000000000002E-2</v>
      </c>
      <c r="H374" s="21">
        <v>8.7471700000000006</v>
      </c>
      <c r="I374" s="21">
        <v>-1.38458E-2</v>
      </c>
      <c r="J374" s="21">
        <v>364</v>
      </c>
      <c r="K374" s="21">
        <v>-3.3196999999999997E-2</v>
      </c>
      <c r="L374">
        <f t="shared" si="20"/>
        <v>17.093580246913579</v>
      </c>
      <c r="M374">
        <f t="shared" si="21"/>
        <v>-0.56338731135802467</v>
      </c>
      <c r="N374" s="9"/>
      <c r="O374" s="21">
        <v>1.7329399999999999</v>
      </c>
      <c r="P374" s="21">
        <v>12.5664</v>
      </c>
      <c r="Q374" s="21">
        <v>1.13312E-4</v>
      </c>
      <c r="R374" s="21">
        <v>364</v>
      </c>
      <c r="S374" s="21">
        <v>1.73248</v>
      </c>
      <c r="T374">
        <f t="shared" si="22"/>
        <v>-0.13989135802469135</v>
      </c>
      <c r="U374">
        <f t="shared" si="23"/>
        <v>-0.24242332997530863</v>
      </c>
    </row>
    <row r="375" spans="6:21" x14ac:dyDescent="0.25">
      <c r="F375" s="9"/>
      <c r="G375" s="21">
        <v>-3.7994399999999998E-2</v>
      </c>
      <c r="H375" s="21">
        <v>8.7572399999999995</v>
      </c>
      <c r="I375" s="21">
        <v>-1.3861099999999999E-2</v>
      </c>
      <c r="J375" s="21">
        <v>365</v>
      </c>
      <c r="K375" s="21">
        <v>-3.8256800000000001E-2</v>
      </c>
      <c r="L375">
        <f t="shared" si="20"/>
        <v>17.112469135802467</v>
      </c>
      <c r="M375">
        <f t="shared" si="21"/>
        <v>-0.65017799733333326</v>
      </c>
      <c r="N375" s="9"/>
      <c r="O375" s="21">
        <v>1.7379800000000001</v>
      </c>
      <c r="P375" s="21">
        <v>12.5764</v>
      </c>
      <c r="Q375" s="21">
        <v>2.1948200000000001E-4</v>
      </c>
      <c r="R375" s="21">
        <v>365</v>
      </c>
      <c r="S375" s="21">
        <v>1.7373700000000001</v>
      </c>
      <c r="T375">
        <f t="shared" si="22"/>
        <v>-0.27096543209876545</v>
      </c>
      <c r="U375">
        <f t="shared" si="23"/>
        <v>-0.47093250167901241</v>
      </c>
    </row>
    <row r="376" spans="6:21" x14ac:dyDescent="0.25">
      <c r="F376" s="9"/>
      <c r="G376" s="21">
        <v>-4.30298E-2</v>
      </c>
      <c r="H376" s="21">
        <v>8.7673100000000002</v>
      </c>
      <c r="I376" s="21">
        <v>-1.38733E-2</v>
      </c>
      <c r="J376" s="21">
        <v>366</v>
      </c>
      <c r="K376" s="21">
        <v>-4.3325799999999998E-2</v>
      </c>
      <c r="L376">
        <f t="shared" si="20"/>
        <v>17.127530864197528</v>
      </c>
      <c r="M376">
        <f t="shared" si="21"/>
        <v>-0.7369942275802468</v>
      </c>
      <c r="N376" s="9"/>
      <c r="O376" s="21">
        <v>1.7430099999999999</v>
      </c>
      <c r="P376" s="21">
        <v>12.586499999999999</v>
      </c>
      <c r="Q376" s="21">
        <v>3.2781999999999999E-4</v>
      </c>
      <c r="R376" s="21">
        <v>366</v>
      </c>
      <c r="S376" s="21">
        <v>1.74255</v>
      </c>
      <c r="T376">
        <f t="shared" si="22"/>
        <v>-0.40471604938271605</v>
      </c>
      <c r="U376">
        <f t="shared" si="23"/>
        <v>-0.70542412123456788</v>
      </c>
    </row>
    <row r="377" spans="6:21" x14ac:dyDescent="0.25">
      <c r="F377" s="9"/>
      <c r="G377" s="21">
        <v>-4.8065200000000002E-2</v>
      </c>
      <c r="H377" s="21">
        <v>8.7773800000000008</v>
      </c>
      <c r="I377" s="21">
        <v>-1.38794E-2</v>
      </c>
      <c r="J377" s="21">
        <v>367</v>
      </c>
      <c r="K377" s="21">
        <v>-4.8373399999999997E-2</v>
      </c>
      <c r="L377">
        <f t="shared" si="20"/>
        <v>17.135061728395058</v>
      </c>
      <c r="M377">
        <f t="shared" si="21"/>
        <v>-0.8236001689876542</v>
      </c>
      <c r="N377" s="9"/>
      <c r="O377" s="21">
        <v>1.7480500000000001</v>
      </c>
      <c r="P377" s="21">
        <v>12.5966</v>
      </c>
      <c r="Q377" s="21">
        <v>4.37775E-4</v>
      </c>
      <c r="R377" s="21">
        <v>367</v>
      </c>
      <c r="S377" s="21">
        <v>1.7471300000000001</v>
      </c>
      <c r="T377">
        <f t="shared" si="22"/>
        <v>-0.54046296296296292</v>
      </c>
      <c r="U377">
        <f t="shared" si="23"/>
        <v>-0.94475628240740739</v>
      </c>
    </row>
    <row r="378" spans="6:21" x14ac:dyDescent="0.25">
      <c r="F378" s="9"/>
      <c r="G378" s="21">
        <v>-5.3100599999999998E-2</v>
      </c>
      <c r="H378" s="21">
        <v>8.7874499999999998</v>
      </c>
      <c r="I378" s="21">
        <v>-1.38855E-2</v>
      </c>
      <c r="J378" s="21">
        <v>368</v>
      </c>
      <c r="K378" s="21">
        <v>-5.35278E-2</v>
      </c>
      <c r="L378">
        <f t="shared" si="20"/>
        <v>17.142592592592592</v>
      </c>
      <c r="M378">
        <f t="shared" si="21"/>
        <v>-0.91028195222222219</v>
      </c>
      <c r="N378" s="9"/>
      <c r="O378" s="21">
        <v>1.75308</v>
      </c>
      <c r="P378" s="21">
        <v>12.6066</v>
      </c>
      <c r="Q378" s="21">
        <v>5.4717999999999998E-4</v>
      </c>
      <c r="R378" s="21">
        <v>368</v>
      </c>
      <c r="S378" s="21">
        <v>1.7523200000000001</v>
      </c>
      <c r="T378">
        <f t="shared" si="22"/>
        <v>-0.67553086419753083</v>
      </c>
      <c r="U378">
        <f t="shared" si="23"/>
        <v>-1.1842596474074074</v>
      </c>
    </row>
    <row r="379" spans="6:21" x14ac:dyDescent="0.25">
      <c r="F379" s="9"/>
      <c r="G379" s="21">
        <v>-5.8136E-2</v>
      </c>
      <c r="H379" s="21">
        <v>8.7975200000000005</v>
      </c>
      <c r="I379" s="21">
        <v>-1.38855E-2</v>
      </c>
      <c r="J379" s="21">
        <v>369</v>
      </c>
      <c r="K379" s="21">
        <v>-5.8593800000000001E-2</v>
      </c>
      <c r="L379">
        <f t="shared" si="20"/>
        <v>17.142592592592592</v>
      </c>
      <c r="M379">
        <f t="shared" si="21"/>
        <v>-0.99660176296296299</v>
      </c>
      <c r="N379" s="9"/>
      <c r="O379" s="21">
        <v>1.7581199999999999</v>
      </c>
      <c r="P379" s="21">
        <v>12.6167</v>
      </c>
      <c r="Q379" s="21">
        <v>6.57349E-4</v>
      </c>
      <c r="R379" s="21">
        <v>369</v>
      </c>
      <c r="S379" s="21">
        <v>1.7578100000000001</v>
      </c>
      <c r="T379">
        <f t="shared" si="22"/>
        <v>-0.81154197530864192</v>
      </c>
      <c r="U379">
        <f t="shared" si="23"/>
        <v>-1.4267881776296294</v>
      </c>
    </row>
    <row r="380" spans="6:21" x14ac:dyDescent="0.25">
      <c r="F380" s="9"/>
      <c r="G380" s="21">
        <v>-6.3171400000000003E-2</v>
      </c>
      <c r="H380" s="21">
        <v>8.8075899999999994</v>
      </c>
      <c r="I380" s="21">
        <v>-1.38855E-2</v>
      </c>
      <c r="J380" s="21">
        <v>370</v>
      </c>
      <c r="K380" s="21">
        <v>-6.3629199999999997E-2</v>
      </c>
      <c r="L380">
        <f t="shared" si="20"/>
        <v>17.142592592592592</v>
      </c>
      <c r="M380">
        <f t="shared" si="21"/>
        <v>-1.0829215737037037</v>
      </c>
      <c r="N380" s="9"/>
      <c r="O380" s="21">
        <v>1.76315</v>
      </c>
      <c r="P380" s="21">
        <v>12.626799999999999</v>
      </c>
      <c r="Q380" s="21">
        <v>7.6934799999999999E-4</v>
      </c>
      <c r="R380" s="21">
        <v>370</v>
      </c>
      <c r="S380" s="21">
        <v>1.7626999999999999</v>
      </c>
      <c r="T380">
        <f t="shared" si="22"/>
        <v>-0.94981234567901229</v>
      </c>
      <c r="U380">
        <f t="shared" si="23"/>
        <v>-1.6746616372839505</v>
      </c>
    </row>
    <row r="381" spans="6:21" x14ac:dyDescent="0.25">
      <c r="F381" s="9"/>
      <c r="G381" s="21">
        <v>-6.8206799999999998E-2</v>
      </c>
      <c r="H381" s="21">
        <v>8.8176600000000001</v>
      </c>
      <c r="I381" s="21">
        <v>-1.38824E-2</v>
      </c>
      <c r="J381" s="21">
        <v>371</v>
      </c>
      <c r="K381" s="21">
        <v>-6.8725599999999998E-2</v>
      </c>
      <c r="L381">
        <f t="shared" si="20"/>
        <v>17.138765432098765</v>
      </c>
      <c r="M381">
        <f t="shared" si="21"/>
        <v>-1.168980346074074</v>
      </c>
      <c r="N381" s="9"/>
      <c r="O381" s="21">
        <v>1.7681899999999999</v>
      </c>
      <c r="P381" s="21">
        <v>12.636900000000001</v>
      </c>
      <c r="Q381" s="21">
        <v>8.8165300000000004E-4</v>
      </c>
      <c r="R381" s="21">
        <v>371</v>
      </c>
      <c r="S381" s="21">
        <v>1.7672699999999999</v>
      </c>
      <c r="T381">
        <f t="shared" si="22"/>
        <v>-1.0884604938271605</v>
      </c>
      <c r="U381">
        <f t="shared" si="23"/>
        <v>-1.9246049605802469</v>
      </c>
    </row>
    <row r="382" spans="6:21" x14ac:dyDescent="0.25">
      <c r="F382" s="9"/>
      <c r="G382" s="21">
        <v>-7.3242199999999993E-2</v>
      </c>
      <c r="H382" s="21">
        <v>8.8277300000000007</v>
      </c>
      <c r="I382" s="21">
        <v>-1.38794E-2</v>
      </c>
      <c r="J382" s="21">
        <v>372</v>
      </c>
      <c r="K382" s="21">
        <v>-7.3700000000000002E-2</v>
      </c>
      <c r="L382">
        <f t="shared" si="20"/>
        <v>17.135061728395058</v>
      </c>
      <c r="M382">
        <f t="shared" si="21"/>
        <v>-1.2550096181234565</v>
      </c>
      <c r="N382" s="9"/>
      <c r="O382" s="21">
        <v>1.77322</v>
      </c>
      <c r="P382" s="21">
        <v>12.6469</v>
      </c>
      <c r="Q382" s="21">
        <v>9.94263E-4</v>
      </c>
      <c r="R382" s="21">
        <v>372</v>
      </c>
      <c r="S382" s="21">
        <v>1.7724599999999999</v>
      </c>
      <c r="T382">
        <f t="shared" si="22"/>
        <v>-1.2274851851851851</v>
      </c>
      <c r="U382">
        <f t="shared" si="23"/>
        <v>-2.1766012800740739</v>
      </c>
    </row>
    <row r="383" spans="6:21" x14ac:dyDescent="0.25">
      <c r="F383" s="9"/>
      <c r="G383" s="21">
        <v>-7.8277600000000003E-2</v>
      </c>
      <c r="H383" s="21">
        <v>8.8377999999999997</v>
      </c>
      <c r="I383" s="21">
        <v>-1.3870199999999999E-2</v>
      </c>
      <c r="J383" s="21">
        <v>373</v>
      </c>
      <c r="K383" s="21">
        <v>-7.87659E-2</v>
      </c>
      <c r="L383">
        <f t="shared" si="20"/>
        <v>17.123703703703701</v>
      </c>
      <c r="M383">
        <f t="shared" si="21"/>
        <v>-1.3404024290370369</v>
      </c>
      <c r="N383" s="9"/>
      <c r="O383" s="21">
        <v>1.77826</v>
      </c>
      <c r="P383" s="21">
        <v>12.657</v>
      </c>
      <c r="Q383" s="21">
        <v>1.1093100000000001E-3</v>
      </c>
      <c r="R383" s="21">
        <v>373</v>
      </c>
      <c r="S383" s="21">
        <v>1.77765</v>
      </c>
      <c r="T383">
        <f t="shared" si="22"/>
        <v>-1.3695185185185186</v>
      </c>
      <c r="U383">
        <f t="shared" si="23"/>
        <v>-2.435360000740741</v>
      </c>
    </row>
    <row r="384" spans="6:21" x14ac:dyDescent="0.25">
      <c r="F384" s="9"/>
      <c r="G384" s="21">
        <v>-8.3312999999999998E-2</v>
      </c>
      <c r="H384" s="21">
        <v>8.84788</v>
      </c>
      <c r="I384" s="21">
        <v>-1.3876299999999999E-2</v>
      </c>
      <c r="J384" s="21">
        <v>374</v>
      </c>
      <c r="K384" s="21">
        <v>-8.3709699999999998E-2</v>
      </c>
      <c r="L384">
        <f t="shared" si="20"/>
        <v>17.131234567901231</v>
      </c>
      <c r="M384">
        <f t="shared" si="21"/>
        <v>-1.4272545455555552</v>
      </c>
      <c r="N384" s="9"/>
      <c r="O384" s="21">
        <v>1.78329</v>
      </c>
      <c r="P384" s="21">
        <v>12.6671</v>
      </c>
      <c r="Q384" s="21">
        <v>1.2255899999999999E-3</v>
      </c>
      <c r="R384" s="21">
        <v>374</v>
      </c>
      <c r="S384" s="21">
        <v>1.7831399999999999</v>
      </c>
      <c r="T384">
        <f t="shared" si="22"/>
        <v>-1.5130740740740738</v>
      </c>
      <c r="U384">
        <f t="shared" si="23"/>
        <v>-2.6982498655555549</v>
      </c>
    </row>
    <row r="385" spans="6:21" x14ac:dyDescent="0.25">
      <c r="F385" s="9"/>
      <c r="G385" s="21">
        <v>-8.8348399999999994E-2</v>
      </c>
      <c r="H385" s="21">
        <v>8.8579500000000007</v>
      </c>
      <c r="I385" s="21">
        <v>-1.38672E-2</v>
      </c>
      <c r="J385" s="21">
        <v>375</v>
      </c>
      <c r="K385" s="21">
        <v>-8.8775599999999996E-2</v>
      </c>
      <c r="L385">
        <f t="shared" si="20"/>
        <v>17.12</v>
      </c>
      <c r="M385">
        <f t="shared" si="21"/>
        <v>-1.5125246079999999</v>
      </c>
      <c r="N385" s="9"/>
      <c r="O385" s="21">
        <v>1.78833</v>
      </c>
      <c r="P385" s="21">
        <v>12.677099999999999</v>
      </c>
      <c r="Q385" s="21">
        <v>1.3446E-3</v>
      </c>
      <c r="R385" s="21">
        <v>375</v>
      </c>
      <c r="S385" s="21">
        <v>1.78772</v>
      </c>
      <c r="T385">
        <f t="shared" si="22"/>
        <v>-1.66</v>
      </c>
      <c r="U385">
        <f t="shared" si="23"/>
        <v>-2.9686277999999997</v>
      </c>
    </row>
    <row r="386" spans="6:21" x14ac:dyDescent="0.25">
      <c r="F386" s="9"/>
      <c r="G386" s="21">
        <v>-9.3383800000000003E-2</v>
      </c>
      <c r="H386" s="21">
        <v>8.8680199999999996</v>
      </c>
      <c r="I386" s="21">
        <v>-1.3858000000000001E-2</v>
      </c>
      <c r="J386" s="21">
        <v>376</v>
      </c>
      <c r="K386" s="21">
        <v>-9.38721E-2</v>
      </c>
      <c r="L386">
        <f t="shared" si="20"/>
        <v>17.10864197530864</v>
      </c>
      <c r="M386">
        <f t="shared" si="21"/>
        <v>-1.5976700004938269</v>
      </c>
      <c r="N386" s="9"/>
      <c r="O386" s="21">
        <v>1.7933699999999999</v>
      </c>
      <c r="P386" s="21">
        <v>12.687200000000001</v>
      </c>
      <c r="Q386" s="21">
        <v>1.4627100000000001E-3</v>
      </c>
      <c r="R386" s="21">
        <v>376</v>
      </c>
      <c r="S386" s="21">
        <v>1.79199</v>
      </c>
      <c r="T386">
        <f t="shared" si="22"/>
        <v>-1.8058148148148148</v>
      </c>
      <c r="U386">
        <f t="shared" si="23"/>
        <v>-3.2384941144444443</v>
      </c>
    </row>
    <row r="387" spans="6:21" x14ac:dyDescent="0.25">
      <c r="F387" s="9"/>
      <c r="G387" s="21">
        <v>-9.8419199999999998E-2</v>
      </c>
      <c r="H387" s="21">
        <v>8.8780900000000003</v>
      </c>
      <c r="I387" s="21">
        <v>-1.3848900000000001E-2</v>
      </c>
      <c r="J387" s="21">
        <v>377</v>
      </c>
      <c r="K387" s="21">
        <v>-9.8907499999999995E-2</v>
      </c>
      <c r="L387">
        <f t="shared" si="20"/>
        <v>17.09740740740741</v>
      </c>
      <c r="M387">
        <f t="shared" si="21"/>
        <v>-1.6827131591111113</v>
      </c>
      <c r="N387" s="9"/>
      <c r="O387" s="21">
        <v>1.7984</v>
      </c>
      <c r="P387" s="21">
        <v>12.6973</v>
      </c>
      <c r="Q387" s="21">
        <v>1.5820299999999999E-3</v>
      </c>
      <c r="R387" s="21">
        <v>377</v>
      </c>
      <c r="S387" s="21">
        <v>1.7981</v>
      </c>
      <c r="T387">
        <f t="shared" si="22"/>
        <v>-1.9531234567901232</v>
      </c>
      <c r="U387">
        <f t="shared" si="23"/>
        <v>-3.5124972246913577</v>
      </c>
    </row>
    <row r="388" spans="6:21" x14ac:dyDescent="0.25">
      <c r="F388" s="9"/>
      <c r="G388" s="21">
        <v>-0.10345500000000001</v>
      </c>
      <c r="H388" s="21">
        <v>8.8881599999999992</v>
      </c>
      <c r="I388" s="21">
        <v>-1.38519E-2</v>
      </c>
      <c r="J388" s="21">
        <v>378</v>
      </c>
      <c r="K388" s="21">
        <v>-0.103851</v>
      </c>
      <c r="L388">
        <f t="shared" si="20"/>
        <v>17.101111111111113</v>
      </c>
      <c r="M388">
        <f t="shared" si="21"/>
        <v>-1.7691954500000002</v>
      </c>
      <c r="N388" s="9"/>
      <c r="O388" s="21">
        <v>1.8034399999999999</v>
      </c>
      <c r="P388" s="21">
        <v>12.7073</v>
      </c>
      <c r="Q388" s="21">
        <v>1.7013499999999999E-3</v>
      </c>
      <c r="R388" s="21">
        <v>378</v>
      </c>
      <c r="S388" s="21">
        <v>1.80328</v>
      </c>
      <c r="T388">
        <f t="shared" si="22"/>
        <v>-2.1004320987654319</v>
      </c>
      <c r="U388">
        <f t="shared" si="23"/>
        <v>-3.7880032641975303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3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L5"/>
  <sheetViews>
    <sheetView tabSelected="1" workbookViewId="0">
      <selection activeCell="G10" sqref="G10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20221201T090000</v>
      </c>
      <c r="B3">
        <f ca="1">INDEX(INDIRECT(A3&amp;"!A11"):INDIRECT(A3&amp;"!A21"),MATCH(E3,INDIRECT(A3&amp;"!D11"):INDIRECT(A3&amp;"!D21"),0))</f>
        <v>1.7361884588906531</v>
      </c>
      <c r="C3">
        <f ca="1">INDEX(INDIRECT(A3&amp;"!B11"):INDIRECT(A3&amp;"!B21"),MATCH(E3,INDIRECT(A3&amp;"!D11"):INDIRECT(A3&amp;"!D21"),0))</f>
        <v>18.528042309737991</v>
      </c>
      <c r="D3">
        <f ca="1">INDEX(INDIRECT(A3&amp;"!C11"):INDIRECT(A3&amp;"!C21"),MATCH(E3,INDIRECT(A3&amp;"!D11"):INDIRECT(A3&amp;"!D21"),0))</f>
        <v>0.76598929923209513</v>
      </c>
      <c r="E3">
        <f ca="1">MAX(INDIRECT(A3 &amp; "!D11"),INDIRECT(A3 &amp; "!D13"),INDIRECT(A3 &amp; "!D15"),INDIRECT(A3 &amp; "!D17"),INDIRECT(A3 &amp; "!D19"),INDIRECT(A3 &amp; "!D21"))</f>
        <v>24.640476465432098</v>
      </c>
      <c r="G3">
        <f ca="1">INDEX(INDIRECT(A3&amp;"!A12"):INDIRECT(A3&amp;"!A22"),MATCH(J3,INDIRECT(A3&amp;"!D12"):INDIRECT(A3&amp;"!D22"),0))</f>
        <v>1.7430846200085479</v>
      </c>
      <c r="H3">
        <f ca="1">INDEX(INDIRECT(A3&amp;"!B12"):INDIRECT(A3&amp;"!B22"),MATCH(J3,INDIRECT(A3&amp;"!D12"):INDIRECT(A3&amp;"!D22"),0))</f>
        <v>18.495501048894436</v>
      </c>
      <c r="I3">
        <f ca="1">INDEX(INDIRECT(A3&amp;"!C12"):INDIRECT(A3&amp;"!C22"),MATCH(J3,INDIRECT(A3&amp;"!D12"):INDIRECT(A3&amp;"!D22"),0))</f>
        <v>0.75924997558003071</v>
      </c>
      <c r="J3">
        <f t="shared" ref="J3" ca="1" si="0">MAX(INDIRECT(A3&amp; "!D12"),INDIRECT(A3 &amp; "!D14"),INDIRECT(A3 &amp; "!D16"),INDIRECT(A3 &amp; "!D18"),INDIRECT(A3 &amp; "!D20"),,INDIRECT(A3 &amp; "!D22"))</f>
        <v>24.477629592592585</v>
      </c>
      <c r="L3">
        <f ca="1">INDEX(INDIRECT(A3&amp;"!E11"):INDIRECT(A3&amp;"!E21"),MATCH(E3,INDIRECT(A3&amp;"!D11"):INDIRECT(A3&amp;"!D21"),0))</f>
        <v>0.66089173668361945</v>
      </c>
    </row>
    <row r="4" spans="1:12" x14ac:dyDescent="0.25">
      <c r="A4" t="str" cm="1">
        <f t="array" aca="1" ref="A4" ca="1">IFERROR(INDEX(MID(sheetnames,FIND("]",sheetnames)+1,255),ROWS($A$2:A4)),"")</f>
        <v>20221202T090000</v>
      </c>
      <c r="B4">
        <f ca="1">INDEX(INDIRECT(A4&amp;"!A11"):INDIRECT(A4&amp;"!A21"),MATCH(E4,INDIRECT(A4&amp;"!D11"):INDIRECT(A4&amp;"!D21"),0))</f>
        <v>1.7086663450111375</v>
      </c>
      <c r="C4">
        <f ca="1">INDEX(INDIRECT(A4&amp;"!B11"):INDIRECT(A4&amp;"!B21"),MATCH(E4,INDIRECT(A4&amp;"!D11"):INDIRECT(A4&amp;"!D21"),0))</f>
        <v>17.833179327597694</v>
      </c>
      <c r="D4">
        <f ca="1">INDEX(INDIRECT(A4&amp;"!C11"):INDIRECT(A4&amp;"!C21"),MATCH(E4,INDIRECT(A4&amp;"!D11"):INDIRECT(A4&amp;"!D21"),0))</f>
        <v>0.7744685476583949</v>
      </c>
      <c r="E4">
        <f t="shared" ref="E4" ca="1" si="1">MAX(INDIRECT(A4&amp; "!D11"),INDIRECT(A4 &amp; "!D13"),INDIRECT(A4 &amp; "!D15"),INDIRECT(A4 &amp; "!D17"),INDIRECT(A4 &amp; "!D19"),INDIRECT(A4 &amp; "!D21"))</f>
        <v>23.598794980246915</v>
      </c>
      <c r="G4">
        <f ca="1">INDEX(INDIRECT(A4&amp;"!A12"):INDIRECT(A4&amp;"!A22"),MATCH(J4,INDIRECT(A4&amp;"!D12"):INDIRECT(A4&amp;"!D22"),0))</f>
        <v>1.7166386162289509</v>
      </c>
      <c r="H4">
        <f ca="1">INDEX(INDIRECT(A4&amp;"!B12"):INDIRECT(A4&amp;"!B22"),MATCH(J4,INDIRECT(A4&amp;"!D12"):INDIRECT(A4&amp;"!D22"),0))</f>
        <v>17.685664609750695</v>
      </c>
      <c r="I4">
        <f ca="1">INDEX(INDIRECT(A4&amp;"!C12"):INDIRECT(A4&amp;"!C22"),MATCH(J4,INDIRECT(A4&amp;"!D12"):INDIRECT(A4&amp;"!D22"),0))</f>
        <v>0.77168470219762131</v>
      </c>
      <c r="J4">
        <f t="shared" ref="J4" ca="1" si="2">MAX(INDIRECT(A4&amp; "!D12"),INDIRECT(A4 &amp; "!D14"),INDIRECT(A4 &amp; "!D16"),INDIRECT(A4 &amp; "!D18"),INDIRECT(A4 &amp; "!D20"),,INDIRECT(A4 &amp; "!D22"))</f>
        <v>23.42826639506173</v>
      </c>
      <c r="L4">
        <f ca="1">INDEX(INDIRECT(A4&amp;"!E11"):INDIRECT(A4&amp;"!E21"),MATCH(E4,INDIRECT(A4&amp;"!D11"):INDIRECT(A4&amp;"!D21"),0))</f>
        <v>0.85259167115203471</v>
      </c>
    </row>
    <row r="5" spans="1:12" x14ac:dyDescent="0.25">
      <c r="A5" t="str" cm="1">
        <f t="array" aca="1" ref="A5" ca="1">IFERROR(INDEX(MID(sheetnames,FIND("]",sheetnames)+1,255),ROWS($A$2:A5)),"")</f>
        <v>20221205T210000</v>
      </c>
      <c r="B5">
        <f ca="1">INDEX(INDIRECT(A5&amp;"!A11"):INDIRECT(A5&amp;"!A21"),MATCH(E5,INDIRECT(A5&amp;"!D11"):INDIRECT(A5&amp;"!D21"),0))</f>
        <v>1.7216833561251619</v>
      </c>
      <c r="C5">
        <f ca="1">INDEX(INDIRECT(A5&amp;"!B11"):INDIRECT(A5&amp;"!B21"),MATCH(E5,INDIRECT(A5&amp;"!D11"):INDIRECT(A5&amp;"!D21"),0))</f>
        <v>17.071111116990828</v>
      </c>
      <c r="D5">
        <f ca="1">INDEX(INDIRECT(A5&amp;"!C11"):INDIRECT(A5&amp;"!C21"),MATCH(E5,INDIRECT(A5&amp;"!D11"):INDIRECT(A5&amp;"!D21"),0))</f>
        <v>0.41671152322301885</v>
      </c>
      <c r="E5">
        <f t="shared" ref="E5" ca="1" si="3">MAX(INDIRECT(A5&amp; "!D11"),INDIRECT(A5 &amp; "!D13"),INDIRECT(A5 &amp; "!D15"),INDIRECT(A5 &amp; "!D17"),INDIRECT(A5 &amp; "!D19"),INDIRECT(A5 &amp; "!D21"))</f>
        <v>12.247588331481481</v>
      </c>
      <c r="G5">
        <f ca="1">INDEX(INDIRECT(A5&amp;"!A12"):INDIRECT(A5&amp;"!A22"),MATCH(J5,INDIRECT(A5&amp;"!D12"):INDIRECT(A5&amp;"!D22"),0))</f>
        <v>1.7275152883774321</v>
      </c>
      <c r="H5">
        <f ca="1">INDEX(INDIRECT(A5&amp;"!B12"):INDIRECT(A5&amp;"!B22"),MATCH(J5,INDIRECT(A5&amp;"!D12"):INDIRECT(A5&amp;"!D22"),0))</f>
        <v>16.825685871501971</v>
      </c>
      <c r="I5">
        <f ca="1">INDEX(INDIRECT(A5&amp;"!C12"):INDIRECT(A5&amp;"!C22"),MATCH(J5,INDIRECT(A5&amp;"!D12"):INDIRECT(A5&amp;"!D22"),0))</f>
        <v>0.42088131146803348</v>
      </c>
      <c r="J5">
        <f t="shared" ref="J5" ca="1" si="4">MAX(INDIRECT(A5&amp; "!D12"),INDIRECT(A5 &amp; "!D14"),INDIRECT(A5 &amp; "!D16"),INDIRECT(A5 &amp; "!D18"),INDIRECT(A5 &amp; "!D20"),,INDIRECT(A5 &amp; "!D22"))</f>
        <v>12.233601177777777</v>
      </c>
      <c r="L5">
        <f ca="1">INDEX(INDIRECT(A5&amp;"!E11"):INDIRECT(A5&amp;"!E21"),MATCH(E5,INDIRECT(A5&amp;"!D11"):INDIRECT(A5&amp;"!D21"),0))</f>
        <v>0.11420332987312515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NEW</vt:lpstr>
      <vt:lpstr>20221201T090000</vt:lpstr>
      <vt:lpstr>20221202T090000</vt:lpstr>
      <vt:lpstr>20221205T210000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Wei Wang</cp:lastModifiedBy>
  <dcterms:created xsi:type="dcterms:W3CDTF">2022-01-08T07:24:35Z</dcterms:created>
  <dcterms:modified xsi:type="dcterms:W3CDTF">2022-12-18T10:18:33Z</dcterms:modified>
</cp:coreProperties>
</file>