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mpp/"/>
    </mc:Choice>
  </mc:AlternateContent>
  <xr:revisionPtr revIDLastSave="3" documentId="11_CFE7EAC95D8418E46AC6D135763CCF79BCE1EB70" xr6:coauthVersionLast="47" xr6:coauthVersionMax="47" xr10:uidLastSave="{ECB102BB-0DED-4092-8335-27F638759B81}"/>
  <bookViews>
    <workbookView xWindow="-108" yWindow="-108" windowWidth="30936" windowHeight="16896" tabRatio="760" activeTab="4" xr2:uid="{00000000-000D-0000-FFFF-FFFF00000000}"/>
  </bookViews>
  <sheets>
    <sheet name="NEW" sheetId="64" r:id="rId1"/>
    <sheet name="20221206T090000" sheetId="65" r:id="rId2"/>
    <sheet name="20221207T090000" sheetId="66" r:id="rId3"/>
    <sheet name="20221210T210000" sheetId="67" r:id="rId4"/>
    <sheet name="Sheet2" sheetId="63" r:id="rId5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 s="1"/>
  <c r="BD185" i="67"/>
  <c r="BE185" i="67" s="1"/>
  <c r="BD186" i="67"/>
  <c r="BE186" i="67" s="1"/>
  <c r="BD187" i="67"/>
  <c r="BE187" i="67" s="1"/>
  <c r="BD188" i="67"/>
  <c r="BE188" i="67"/>
  <c r="BD189" i="67"/>
  <c r="BE189" i="67"/>
  <c r="BD190" i="67"/>
  <c r="BE190" i="67" s="1"/>
  <c r="BD191" i="67"/>
  <c r="BE191" i="67" s="1"/>
  <c r="BD192" i="67"/>
  <c r="BE192" i="67" s="1"/>
  <c r="BD193" i="67"/>
  <c r="BE193" i="67" s="1"/>
  <c r="BD194" i="67"/>
  <c r="BE194" i="67"/>
  <c r="BD195" i="67"/>
  <c r="BE195" i="67"/>
  <c r="BD196" i="67"/>
  <c r="BE196" i="67" s="1"/>
  <c r="BD197" i="67"/>
  <c r="BE197" i="67" s="1"/>
  <c r="BD198" i="67"/>
  <c r="BE198" i="67" s="1"/>
  <c r="BD199" i="67"/>
  <c r="BE199" i="67" s="1"/>
  <c r="BD200" i="67"/>
  <c r="BE200" i="67"/>
  <c r="BD201" i="67"/>
  <c r="BE201" i="67"/>
  <c r="BD202" i="67"/>
  <c r="BE202" i="67" s="1"/>
  <c r="BD203" i="67"/>
  <c r="BE203" i="67" s="1"/>
  <c r="BD204" i="67"/>
  <c r="BE204" i="67" s="1"/>
  <c r="BD205" i="67"/>
  <c r="BE205" i="67" s="1"/>
  <c r="BD206" i="67"/>
  <c r="BE206" i="67"/>
  <c r="BD207" i="67"/>
  <c r="BE207" i="67"/>
  <c r="BD208" i="67"/>
  <c r="BE208" i="67" s="1"/>
  <c r="BD209" i="67"/>
  <c r="BE209" i="67" s="1"/>
  <c r="BD210" i="67"/>
  <c r="BE210" i="67" s="1"/>
  <c r="BD211" i="67"/>
  <c r="BE211" i="67" s="1"/>
  <c r="BD212" i="67"/>
  <c r="BE212" i="67"/>
  <c r="BD213" i="67"/>
  <c r="BE213" i="67" s="1"/>
  <c r="BD214" i="67"/>
  <c r="BE214" i="67"/>
  <c r="BD215" i="67"/>
  <c r="BE215" i="67"/>
  <c r="BD216" i="67"/>
  <c r="BE216" i="67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 s="1"/>
  <c r="AV189" i="67"/>
  <c r="AW189" i="67"/>
  <c r="AV190" i="67"/>
  <c r="AW190" i="67"/>
  <c r="AV191" i="67"/>
  <c r="AW191" i="67"/>
  <c r="AV192" i="67"/>
  <c r="AW192" i="67" s="1"/>
  <c r="AV193" i="67"/>
  <c r="AW193" i="67" s="1"/>
  <c r="AV194" i="67"/>
  <c r="AW194" i="67"/>
  <c r="AV195" i="67"/>
  <c r="AW195" i="67" s="1"/>
  <c r="AV196" i="67"/>
  <c r="AW196" i="67" s="1"/>
  <c r="AV197" i="67"/>
  <c r="AW197" i="67" s="1"/>
  <c r="AV198" i="67"/>
  <c r="AW198" i="67" s="1"/>
  <c r="AV199" i="67"/>
  <c r="AW199" i="67" s="1"/>
  <c r="AV200" i="67"/>
  <c r="AW200" i="67" s="1"/>
  <c r="AV201" i="67"/>
  <c r="AW201" i="67" s="1"/>
  <c r="AV202" i="67"/>
  <c r="AW202" i="67" s="1"/>
  <c r="AV203" i="67"/>
  <c r="AW203" i="67" s="1"/>
  <c r="AV204" i="67"/>
  <c r="AW204" i="67" s="1"/>
  <c r="AV205" i="67"/>
  <c r="AW205" i="67" s="1"/>
  <c r="AV206" i="67"/>
  <c r="AW206" i="67" s="1"/>
  <c r="AV207" i="67"/>
  <c r="AW207" i="67" s="1"/>
  <c r="AV208" i="67"/>
  <c r="AW208" i="67" s="1"/>
  <c r="AV209" i="67"/>
  <c r="AW209" i="67" s="1"/>
  <c r="AV210" i="67"/>
  <c r="AW210" i="67" s="1"/>
  <c r="AV211" i="67"/>
  <c r="AW211" i="67" s="1"/>
  <c r="AV212" i="67"/>
  <c r="AW212" i="67" s="1"/>
  <c r="AV213" i="67"/>
  <c r="AW213" i="67" s="1"/>
  <c r="AV214" i="67"/>
  <c r="AW214" i="67" s="1"/>
  <c r="AV215" i="67"/>
  <c r="AW215" i="67" s="1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/>
  <c r="AL187" i="67"/>
  <c r="AM187" i="67"/>
  <c r="AL188" i="67"/>
  <c r="AM188" i="67" s="1"/>
  <c r="AL189" i="67"/>
  <c r="AM189" i="67" s="1"/>
  <c r="AL190" i="67"/>
  <c r="AM190" i="67" s="1"/>
  <c r="AL191" i="67"/>
  <c r="AM191" i="67" s="1"/>
  <c r="AL192" i="67"/>
  <c r="AM192" i="67"/>
  <c r="AL193" i="67"/>
  <c r="AM193" i="67"/>
  <c r="AL194" i="67"/>
  <c r="AM194" i="67" s="1"/>
  <c r="AL195" i="67"/>
  <c r="AM195" i="67" s="1"/>
  <c r="AL196" i="67"/>
  <c r="AM196" i="67" s="1"/>
  <c r="AL197" i="67"/>
  <c r="AM197" i="67" s="1"/>
  <c r="AL198" i="67"/>
  <c r="AM198" i="67"/>
  <c r="AL199" i="67"/>
  <c r="AM199" i="67"/>
  <c r="AL200" i="67"/>
  <c r="AM200" i="67" s="1"/>
  <c r="AL201" i="67"/>
  <c r="AM201" i="67" s="1"/>
  <c r="AL202" i="67"/>
  <c r="AM202" i="67" s="1"/>
  <c r="AL203" i="67"/>
  <c r="AM203" i="67" s="1"/>
  <c r="AL204" i="67"/>
  <c r="AM204" i="67"/>
  <c r="AL205" i="67"/>
  <c r="AM205" i="67"/>
  <c r="AL206" i="67"/>
  <c r="AM206" i="67" s="1"/>
  <c r="AL207" i="67"/>
  <c r="AM207" i="67" s="1"/>
  <c r="AL208" i="67"/>
  <c r="AM208" i="67" s="1"/>
  <c r="AL209" i="67"/>
  <c r="AM209" i="67" s="1"/>
  <c r="AL210" i="67"/>
  <c r="AM210" i="67"/>
  <c r="AL211" i="67"/>
  <c r="AM211" i="67" s="1"/>
  <c r="AL212" i="67"/>
  <c r="AM212" i="67"/>
  <c r="AL213" i="67"/>
  <c r="AM213" i="67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 s="1"/>
  <c r="AD184" i="67"/>
  <c r="AE184" i="67" s="1"/>
  <c r="AD185" i="67"/>
  <c r="AE185" i="67" s="1"/>
  <c r="AD186" i="67"/>
  <c r="AE186" i="67" s="1"/>
  <c r="AD187" i="67"/>
  <c r="AE187" i="67"/>
  <c r="AD188" i="67"/>
  <c r="AE188" i="67"/>
  <c r="AD189" i="67"/>
  <c r="AE189" i="67" s="1"/>
  <c r="AD190" i="67"/>
  <c r="AE190" i="67" s="1"/>
  <c r="AD191" i="67"/>
  <c r="AE191" i="67" s="1"/>
  <c r="AD192" i="67"/>
  <c r="AE192" i="67" s="1"/>
  <c r="AD193" i="67"/>
  <c r="AE193" i="67"/>
  <c r="AD194" i="67"/>
  <c r="AE194" i="67"/>
  <c r="AD195" i="67"/>
  <c r="AE195" i="67" s="1"/>
  <c r="AD196" i="67"/>
  <c r="AE196" i="67" s="1"/>
  <c r="AD197" i="67"/>
  <c r="AE197" i="67" s="1"/>
  <c r="AD198" i="67"/>
  <c r="AE198" i="67" s="1"/>
  <c r="AD199" i="67"/>
  <c r="AE199" i="67"/>
  <c r="AD200" i="67"/>
  <c r="AE200" i="67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/>
  <c r="AD208" i="67"/>
  <c r="AE208" i="67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/>
  <c r="T101" i="67"/>
  <c r="U101" i="67"/>
  <c r="T102" i="67"/>
  <c r="U102" i="67" s="1"/>
  <c r="T103" i="67"/>
  <c r="U103" i="67" s="1"/>
  <c r="T104" i="67"/>
  <c r="U104" i="67" s="1"/>
  <c r="T105" i="67"/>
  <c r="U105" i="67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 s="1"/>
  <c r="T184" i="67"/>
  <c r="U184" i="67" s="1"/>
  <c r="T185" i="67"/>
  <c r="U185" i="67" s="1"/>
  <c r="T186" i="67"/>
  <c r="U186" i="67" s="1"/>
  <c r="T187" i="67"/>
  <c r="U187" i="67" s="1"/>
  <c r="T188" i="67"/>
  <c r="U188" i="67" s="1"/>
  <c r="T189" i="67"/>
  <c r="U189" i="67" s="1"/>
  <c r="T190" i="67"/>
  <c r="U190" i="67" s="1"/>
  <c r="T191" i="67"/>
  <c r="U191" i="67" s="1"/>
  <c r="T192" i="67"/>
  <c r="U192" i="67" s="1"/>
  <c r="T193" i="67"/>
  <c r="U193" i="67" s="1"/>
  <c r="T194" i="67"/>
  <c r="U194" i="67" s="1"/>
  <c r="T195" i="67"/>
  <c r="U195" i="67" s="1"/>
  <c r="T196" i="67"/>
  <c r="U196" i="67" s="1"/>
  <c r="T197" i="67"/>
  <c r="U197" i="67" s="1"/>
  <c r="T198" i="67"/>
  <c r="U198" i="67" s="1"/>
  <c r="T199" i="67"/>
  <c r="U199" i="67" s="1"/>
  <c r="T200" i="67"/>
  <c r="U200" i="67" s="1"/>
  <c r="T201" i="67"/>
  <c r="U201" i="67" s="1"/>
  <c r="T202" i="67"/>
  <c r="U202" i="67" s="1"/>
  <c r="T203" i="67"/>
  <c r="U203" i="67" s="1"/>
  <c r="T204" i="67"/>
  <c r="U204" i="67" s="1"/>
  <c r="T205" i="67"/>
  <c r="U205" i="67" s="1"/>
  <c r="T206" i="67"/>
  <c r="U206" i="67" s="1"/>
  <c r="T207" i="67"/>
  <c r="U207" i="67" s="1"/>
  <c r="T208" i="67"/>
  <c r="U208" i="67" s="1"/>
  <c r="T209" i="67"/>
  <c r="U209" i="67" s="1"/>
  <c r="T210" i="67"/>
  <c r="U210" i="67" s="1"/>
  <c r="T211" i="67"/>
  <c r="U211" i="67" s="1"/>
  <c r="T212" i="67"/>
  <c r="U212" i="67" s="1"/>
  <c r="T213" i="67"/>
  <c r="U213" i="67" s="1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 s="1"/>
  <c r="L183" i="67"/>
  <c r="M183" i="67" s="1"/>
  <c r="L184" i="67"/>
  <c r="M184" i="67" s="1"/>
  <c r="L185" i="67"/>
  <c r="M185" i="67"/>
  <c r="L186" i="67"/>
  <c r="M186" i="67" s="1"/>
  <c r="L187" i="67"/>
  <c r="M187" i="67" s="1"/>
  <c r="L188" i="67"/>
  <c r="M188" i="67" s="1"/>
  <c r="L189" i="67"/>
  <c r="M189" i="67" s="1"/>
  <c r="L190" i="67"/>
  <c r="M190" i="67"/>
  <c r="L191" i="67"/>
  <c r="M191" i="67"/>
  <c r="L192" i="67"/>
  <c r="M192" i="67" s="1"/>
  <c r="L193" i="67"/>
  <c r="M193" i="67" s="1"/>
  <c r="L194" i="67"/>
  <c r="M194" i="67" s="1"/>
  <c r="L195" i="67"/>
  <c r="M195" i="67" s="1"/>
  <c r="L196" i="67"/>
  <c r="M196" i="67"/>
  <c r="L197" i="67"/>
  <c r="M197" i="67"/>
  <c r="L198" i="67"/>
  <c r="M198" i="67" s="1"/>
  <c r="L199" i="67"/>
  <c r="M199" i="67" s="1"/>
  <c r="L200" i="67"/>
  <c r="M200" i="67" s="1"/>
  <c r="L201" i="67"/>
  <c r="M201" i="67" s="1"/>
  <c r="L202" i="67"/>
  <c r="M202" i="67"/>
  <c r="L203" i="67"/>
  <c r="M203" i="67"/>
  <c r="L204" i="67"/>
  <c r="M204" i="67" s="1"/>
  <c r="L205" i="67"/>
  <c r="M205" i="67" s="1"/>
  <c r="L206" i="67"/>
  <c r="M206" i="67" s="1"/>
  <c r="L207" i="67"/>
  <c r="M207" i="67" s="1"/>
  <c r="L208" i="67"/>
  <c r="M208" i="67" s="1"/>
  <c r="L209" i="67"/>
  <c r="M209" i="67" s="1"/>
  <c r="L210" i="67"/>
  <c r="M210" i="67"/>
  <c r="L211" i="67"/>
  <c r="M211" i="67"/>
  <c r="L212" i="67"/>
  <c r="M212" i="67"/>
  <c r="L213" i="67"/>
  <c r="M213" i="67"/>
  <c r="L214" i="67"/>
  <c r="M214" i="67" s="1"/>
  <c r="L215" i="67"/>
  <c r="M215" i="67" s="1"/>
  <c r="L216" i="67"/>
  <c r="M216" i="67"/>
  <c r="L217" i="67"/>
  <c r="M217" i="67"/>
  <c r="L218" i="67"/>
  <c r="M218" i="67"/>
  <c r="L219" i="67"/>
  <c r="M219" i="67"/>
  <c r="L220" i="67"/>
  <c r="M220" i="67" s="1"/>
  <c r="L221" i="67"/>
  <c r="M221" i="67" s="1"/>
  <c r="L222" i="67"/>
  <c r="M222" i="67"/>
  <c r="L223" i="67"/>
  <c r="M223" i="67"/>
  <c r="L224" i="67"/>
  <c r="M224" i="67"/>
  <c r="L225" i="67"/>
  <c r="M225" i="67"/>
  <c r="L226" i="67"/>
  <c r="M226" i="67" s="1"/>
  <c r="L227" i="67"/>
  <c r="M227" i="67" s="1"/>
  <c r="L228" i="67"/>
  <c r="M228" i="67"/>
  <c r="L229" i="67"/>
  <c r="M229" i="67"/>
  <c r="L230" i="67"/>
  <c r="M230" i="67"/>
  <c r="L231" i="67"/>
  <c r="M231" i="67"/>
  <c r="L232" i="67"/>
  <c r="M232" i="67" s="1"/>
  <c r="L233" i="67"/>
  <c r="M233" i="67" s="1"/>
  <c r="L234" i="67"/>
  <c r="M234" i="67"/>
  <c r="L235" i="67"/>
  <c r="M235" i="67"/>
  <c r="L236" i="67"/>
  <c r="M236" i="67"/>
  <c r="L237" i="67"/>
  <c r="M237" i="67"/>
  <c r="L238" i="67"/>
  <c r="M238" i="67" s="1"/>
  <c r="L239" i="67"/>
  <c r="M239" i="67" s="1"/>
  <c r="L240" i="67"/>
  <c r="M240" i="67"/>
  <c r="L241" i="67"/>
  <c r="M241" i="67"/>
  <c r="L242" i="67"/>
  <c r="M242" i="67"/>
  <c r="L243" i="67"/>
  <c r="M243" i="67"/>
  <c r="L244" i="67"/>
  <c r="M244" i="67" s="1"/>
  <c r="L245" i="67"/>
  <c r="M245" i="67" s="1"/>
  <c r="L246" i="67"/>
  <c r="M246" i="67"/>
  <c r="L247" i="67"/>
  <c r="M247" i="67"/>
  <c r="L248" i="67"/>
  <c r="M248" i="67"/>
  <c r="L249" i="67"/>
  <c r="M249" i="67"/>
  <c r="L250" i="67"/>
  <c r="M250" i="67" s="1"/>
  <c r="L251" i="67"/>
  <c r="M251" i="67" s="1"/>
  <c r="L252" i="67"/>
  <c r="M252" i="67"/>
  <c r="L253" i="67"/>
  <c r="M253" i="67"/>
  <c r="L254" i="67"/>
  <c r="M254" i="67"/>
  <c r="L255" i="67"/>
  <c r="M255" i="67"/>
  <c r="L256" i="67"/>
  <c r="M256" i="67" s="1"/>
  <c r="L257" i="67"/>
  <c r="M257" i="67" s="1"/>
  <c r="L258" i="67"/>
  <c r="M258" i="67"/>
  <c r="L259" i="67"/>
  <c r="M259" i="67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FG11" i="67"/>
  <c r="FH11" i="67" s="1"/>
  <c r="FH9" i="67" s="1"/>
  <c r="EY11" i="67"/>
  <c r="EZ11" i="67" s="1"/>
  <c r="EZ9" i="67" s="1"/>
  <c r="EP11" i="67"/>
  <c r="EQ11" i="67" s="1"/>
  <c r="EQ9" i="67" s="1"/>
  <c r="EH11" i="67"/>
  <c r="EI11" i="67" s="1"/>
  <c r="EI9" i="67" s="1"/>
  <c r="DX11" i="67"/>
  <c r="DY11" i="67" s="1"/>
  <c r="DY9" i="67" s="1"/>
  <c r="DP11" i="67"/>
  <c r="DQ11" i="67" s="1"/>
  <c r="DQ9" i="67" s="1"/>
  <c r="DF11" i="67"/>
  <c r="DG11" i="67" s="1"/>
  <c r="DG9" i="67" s="1"/>
  <c r="CX11" i="67"/>
  <c r="CY11" i="67" s="1"/>
  <c r="CY9" i="67" s="1"/>
  <c r="CN11" i="67"/>
  <c r="CO11" i="67" s="1"/>
  <c r="CO9" i="67" s="1"/>
  <c r="CF11" i="67"/>
  <c r="CG11" i="67" s="1"/>
  <c r="CG9" i="67" s="1"/>
  <c r="BV11" i="67"/>
  <c r="BW11" i="67" s="1"/>
  <c r="BW9" i="67" s="1"/>
  <c r="BN11" i="67"/>
  <c r="BO11" i="67" s="1"/>
  <c r="BO9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AV7" i="67"/>
  <c r="AL7" i="67"/>
  <c r="AD7" i="67"/>
  <c r="T7" i="67"/>
  <c r="L7" i="67"/>
  <c r="FG6" i="67"/>
  <c r="FF6" i="67" s="1"/>
  <c r="EY6" i="67"/>
  <c r="EX6" i="67" s="1"/>
  <c r="EP6" i="67"/>
  <c r="EH6" i="67"/>
  <c r="EG6" i="67"/>
  <c r="DX6" i="67"/>
  <c r="DW6" i="67" s="1"/>
  <c r="DP6" i="67"/>
  <c r="DO6" i="67" s="1"/>
  <c r="DF6" i="67"/>
  <c r="CX6" i="67"/>
  <c r="CW6" i="67" s="1"/>
  <c r="CF6" i="67"/>
  <c r="CE6" i="67" s="1"/>
  <c r="BV6" i="67"/>
  <c r="BD6" i="67"/>
  <c r="AV6" i="67"/>
  <c r="AL6" i="67"/>
  <c r="AD6" i="67"/>
  <c r="FD4" i="67"/>
  <c r="FF4" i="67" s="1"/>
  <c r="EV4" i="67"/>
  <c r="EX4" i="67" s="1"/>
  <c r="EM4" i="67"/>
  <c r="EO4" i="67" s="1"/>
  <c r="EG4" i="67"/>
  <c r="EE4" i="67"/>
  <c r="DM4" i="67"/>
  <c r="DO4" i="67" s="1"/>
  <c r="DC4" i="67"/>
  <c r="DE4" i="67" s="1"/>
  <c r="CU4" i="67"/>
  <c r="CW4" i="67" s="1"/>
  <c r="CC4" i="67"/>
  <c r="CE4" i="67" s="1"/>
  <c r="BK4" i="67"/>
  <c r="BM4" i="67" s="1"/>
  <c r="AI4" i="67"/>
  <c r="AK4" i="67" s="1"/>
  <c r="Q4" i="67"/>
  <c r="S4" i="67" s="1"/>
  <c r="FD3" i="67"/>
  <c r="FF3" i="67" s="1"/>
  <c r="EV3" i="67"/>
  <c r="EE3" i="67"/>
  <c r="DU3" i="67"/>
  <c r="DW3" i="67" s="1"/>
  <c r="DM3" i="67"/>
  <c r="DO3" i="67" s="1"/>
  <c r="DC3" i="67"/>
  <c r="DE3" i="67" s="1"/>
  <c r="CU3" i="67"/>
  <c r="CK3" i="67"/>
  <c r="CM3" i="67" s="1"/>
  <c r="CC3" i="67"/>
  <c r="CE3" i="67" s="1"/>
  <c r="BS3" i="67"/>
  <c r="BU3" i="67" s="1"/>
  <c r="Q3" i="67"/>
  <c r="A5" i="63" a="1"/>
  <c r="A4" i="63" a="1"/>
  <c r="BK3" i="67" l="1"/>
  <c r="CK4" i="67"/>
  <c r="CM4" i="67" s="1"/>
  <c r="T6" i="67"/>
  <c r="AU7" i="67"/>
  <c r="L6" i="67"/>
  <c r="AK7" i="67"/>
  <c r="AC6" i="67"/>
  <c r="Y2" i="67" s="1"/>
  <c r="BD7" i="67"/>
  <c r="BC7" i="67" s="1"/>
  <c r="I4" i="67"/>
  <c r="K4" i="67" s="1"/>
  <c r="BM7" i="67"/>
  <c r="AA4" i="67"/>
  <c r="AC4" i="67" s="1"/>
  <c r="DU4" i="67"/>
  <c r="DW4" i="67" s="1"/>
  <c r="AS4" i="67"/>
  <c r="AU4" i="67" s="1"/>
  <c r="BN6" i="67"/>
  <c r="BM6" i="67" s="1"/>
  <c r="I3" i="67"/>
  <c r="K3" i="67" s="1"/>
  <c r="BA4" i="67"/>
  <c r="BC4" i="67" s="1"/>
  <c r="AA3" i="67"/>
  <c r="CN6" i="67"/>
  <c r="CM6" i="67" s="1"/>
  <c r="S7" i="67"/>
  <c r="AI3" i="67"/>
  <c r="AK3" i="67" s="1"/>
  <c r="EM3" i="67"/>
  <c r="EO3" i="67" s="1"/>
  <c r="BS4" i="67"/>
  <c r="BU4" i="67" s="1"/>
  <c r="AC7" i="67"/>
  <c r="A5" i="63"/>
  <c r="A4" i="63"/>
  <c r="BE9" i="67"/>
  <c r="BA3" i="67"/>
  <c r="BC3" i="67" s="1"/>
  <c r="BC6" i="67"/>
  <c r="AY2" i="67" s="1"/>
  <c r="AW9" i="67"/>
  <c r="AW5" i="67" s="1"/>
  <c r="AS3" i="67"/>
  <c r="AU3" i="67" s="1"/>
  <c r="AU6" i="67"/>
  <c r="AQ2" i="67" s="1"/>
  <c r="AM9" i="67"/>
  <c r="AM5" i="67" s="1"/>
  <c r="AE9" i="67"/>
  <c r="AE5" i="67" s="1"/>
  <c r="U9" i="67"/>
  <c r="U7" i="67" s="1"/>
  <c r="M9" i="67"/>
  <c r="M7" i="67" s="1"/>
  <c r="K6" i="67"/>
  <c r="K7" i="67"/>
  <c r="M5" i="67"/>
  <c r="AE3" i="67"/>
  <c r="AW7" i="67"/>
  <c r="AW3" i="67"/>
  <c r="BO7" i="67"/>
  <c r="BO5" i="67"/>
  <c r="BO3" i="67"/>
  <c r="CG7" i="67"/>
  <c r="CG5" i="67"/>
  <c r="CG3" i="67"/>
  <c r="CY3" i="67"/>
  <c r="CY7" i="67"/>
  <c r="CY5" i="67"/>
  <c r="DQ7" i="67"/>
  <c r="DQ5" i="67"/>
  <c r="DQ3" i="67"/>
  <c r="EI3" i="67"/>
  <c r="EI7" i="67"/>
  <c r="EI5" i="67"/>
  <c r="EZ7" i="67"/>
  <c r="EZ5" i="67"/>
  <c r="EZ3" i="67"/>
  <c r="BE5" i="67"/>
  <c r="BE7" i="67"/>
  <c r="BE3" i="67"/>
  <c r="BW5" i="67"/>
  <c r="BW7" i="67"/>
  <c r="BW3" i="67"/>
  <c r="CO5" i="67"/>
  <c r="CO3" i="67"/>
  <c r="CO7" i="67"/>
  <c r="DG5" i="67"/>
  <c r="DG7" i="67"/>
  <c r="DG3" i="67"/>
  <c r="DY7" i="67"/>
  <c r="DY5" i="67"/>
  <c r="DY3" i="67"/>
  <c r="EQ5" i="67"/>
  <c r="EQ7" i="67"/>
  <c r="EQ3" i="67"/>
  <c r="FH7" i="67"/>
  <c r="FH5" i="67"/>
  <c r="FH3" i="67"/>
  <c r="S3" i="67"/>
  <c r="O4" i="67" s="1"/>
  <c r="EH9" i="67"/>
  <c r="CF9" i="67"/>
  <c r="B19" i="67" s="1"/>
  <c r="DP9" i="67"/>
  <c r="EY9" i="67"/>
  <c r="AC3" i="67"/>
  <c r="AA6" i="67" s="1"/>
  <c r="AG4" i="67"/>
  <c r="AY4" i="67"/>
  <c r="BM3" i="67"/>
  <c r="BK6" i="67" s="1"/>
  <c r="BS6" i="67"/>
  <c r="A18" i="67" s="1"/>
  <c r="CK6" i="67"/>
  <c r="A20" i="67" s="1"/>
  <c r="CW3" i="67"/>
  <c r="CU6" i="67" s="1"/>
  <c r="DC6" i="67"/>
  <c r="A22" i="67" s="1"/>
  <c r="EG3" i="67"/>
  <c r="EE6" i="67" s="1"/>
  <c r="EM6" i="67"/>
  <c r="EX3" i="67"/>
  <c r="EV6" i="67" s="1"/>
  <c r="FD6" i="67"/>
  <c r="S6" i="67"/>
  <c r="AK6" i="67"/>
  <c r="AG2" i="67" s="1"/>
  <c r="BN9" i="67"/>
  <c r="B17" i="67" s="1"/>
  <c r="CX9" i="67"/>
  <c r="B21" i="67" s="1"/>
  <c r="I6" i="67"/>
  <c r="A11" i="67" s="1"/>
  <c r="AS6" i="67"/>
  <c r="A15" i="67" s="1"/>
  <c r="CC6" i="67"/>
  <c r="A19" i="67" s="1"/>
  <c r="DM6" i="67"/>
  <c r="G4" i="67"/>
  <c r="AI6" i="67"/>
  <c r="A14" i="67" s="1"/>
  <c r="BA6" i="67"/>
  <c r="A16" i="67" s="1"/>
  <c r="BD9" i="67"/>
  <c r="B16" i="67" s="1"/>
  <c r="CN9" i="67"/>
  <c r="B20" i="67" s="1"/>
  <c r="DX9" i="67"/>
  <c r="FG9" i="67"/>
  <c r="BU6" i="67"/>
  <c r="BV9" i="67" s="1"/>
  <c r="B18" i="67" s="1"/>
  <c r="DE6" i="67"/>
  <c r="DF9" i="67" s="1"/>
  <c r="B22" i="67" s="1"/>
  <c r="EO6" i="67"/>
  <c r="EP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 s="1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 s="1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 s="1"/>
  <c r="BD112" i="66"/>
  <c r="BE112" i="66"/>
  <c r="BD113" i="66"/>
  <c r="BE113" i="66"/>
  <c r="BD114" i="66"/>
  <c r="BE114" i="66" s="1"/>
  <c r="BD115" i="66"/>
  <c r="BE115" i="66"/>
  <c r="BD116" i="66"/>
  <c r="BE116" i="66" s="1"/>
  <c r="BD117" i="66"/>
  <c r="BE117" i="66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/>
  <c r="BD204" i="66"/>
  <c r="BE204" i="66" s="1"/>
  <c r="BD205" i="66"/>
  <c r="BE205" i="66"/>
  <c r="BD206" i="66"/>
  <c r="BE206" i="66" s="1"/>
  <c r="BD207" i="66"/>
  <c r="BE207" i="66"/>
  <c r="BD208" i="66"/>
  <c r="BE208" i="66" s="1"/>
  <c r="BD209" i="66"/>
  <c r="BE209" i="66"/>
  <c r="BD210" i="66"/>
  <c r="BE210" i="66" s="1"/>
  <c r="BD211" i="66"/>
  <c r="BE211" i="66"/>
  <c r="BD212" i="66"/>
  <c r="BE212" i="66" s="1"/>
  <c r="BD213" i="66"/>
  <c r="BE213" i="66"/>
  <c r="BD214" i="66"/>
  <c r="BE214" i="66" s="1"/>
  <c r="BD215" i="66"/>
  <c r="BE215" i="66"/>
  <c r="BD216" i="66"/>
  <c r="BE216" i="66" s="1"/>
  <c r="BD217" i="66"/>
  <c r="BE217" i="66"/>
  <c r="BD218" i="66"/>
  <c r="BE218" i="66" s="1"/>
  <c r="BD219" i="66"/>
  <c r="BE219" i="66"/>
  <c r="BD220" i="66"/>
  <c r="BE220" i="66" s="1"/>
  <c r="BD221" i="66"/>
  <c r="BE221" i="66"/>
  <c r="BD222" i="66"/>
  <c r="BE222" i="66" s="1"/>
  <c r="BD223" i="66"/>
  <c r="BE223" i="66"/>
  <c r="BD224" i="66"/>
  <c r="BE224" i="66" s="1"/>
  <c r="BD225" i="66"/>
  <c r="BE225" i="66"/>
  <c r="BD226" i="66"/>
  <c r="BE226" i="66" s="1"/>
  <c r="BD227" i="66"/>
  <c r="BE227" i="66"/>
  <c r="BD228" i="66"/>
  <c r="BE228" i="66" s="1"/>
  <c r="BD229" i="66"/>
  <c r="BE229" i="66" s="1"/>
  <c r="BD230" i="66"/>
  <c r="BE230" i="66"/>
  <c r="BD231" i="66"/>
  <c r="BE231" i="66"/>
  <c r="BD232" i="66"/>
  <c r="BE232" i="66" s="1"/>
  <c r="BD233" i="66"/>
  <c r="BE233" i="66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 s="1"/>
  <c r="AV99" i="66"/>
  <c r="AW99" i="66"/>
  <c r="AV100" i="66"/>
  <c r="AW100" i="66"/>
  <c r="AV101" i="66"/>
  <c r="AW101" i="66" s="1"/>
  <c r="AV102" i="66"/>
  <c r="AW102" i="66"/>
  <c r="AV103" i="66"/>
  <c r="AW103" i="66"/>
  <c r="AV104" i="66"/>
  <c r="AW104" i="66" s="1"/>
  <c r="AV105" i="66"/>
  <c r="AW105" i="66"/>
  <c r="AV106" i="66"/>
  <c r="AW106" i="66"/>
  <c r="AV107" i="66"/>
  <c r="AW107" i="66" s="1"/>
  <c r="AV108" i="66"/>
  <c r="AW108" i="66"/>
  <c r="AV109" i="66"/>
  <c r="AW109" i="66"/>
  <c r="AV110" i="66"/>
  <c r="AW110" i="66" s="1"/>
  <c r="AV111" i="66"/>
  <c r="AW111" i="66"/>
  <c r="AV112" i="66"/>
  <c r="AW112" i="66"/>
  <c r="AV113" i="66"/>
  <c r="AW113" i="66" s="1"/>
  <c r="AV114" i="66"/>
  <c r="AW114" i="66"/>
  <c r="AV115" i="66"/>
  <c r="AW115" i="66"/>
  <c r="AV116" i="66"/>
  <c r="AW116" i="66" s="1"/>
  <c r="AV117" i="66"/>
  <c r="AW117" i="66"/>
  <c r="AV118" i="66"/>
  <c r="AW118" i="66"/>
  <c r="AV119" i="66"/>
  <c r="AW119" i="66" s="1"/>
  <c r="AV120" i="66"/>
  <c r="AW120" i="66" s="1"/>
  <c r="AV121" i="66"/>
  <c r="AW121" i="66"/>
  <c r="AV122" i="66"/>
  <c r="AW122" i="66" s="1"/>
  <c r="AV123" i="66"/>
  <c r="AW123" i="66"/>
  <c r="AV124" i="66"/>
  <c r="AW124" i="66" s="1"/>
  <c r="AV125" i="66"/>
  <c r="AW125" i="66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L12" i="66"/>
  <c r="AI3" i="66" s="1"/>
  <c r="AL13" i="66"/>
  <c r="AM13" i="66" s="1"/>
  <c r="AL14" i="66"/>
  <c r="AM14" i="66"/>
  <c r="AL15" i="66"/>
  <c r="AM15" i="66"/>
  <c r="AL16" i="66"/>
  <c r="AM16" i="66"/>
  <c r="AL17" i="66"/>
  <c r="AM17" i="66"/>
  <c r="AL18" i="66"/>
  <c r="AM18" i="66" s="1"/>
  <c r="AL19" i="66"/>
  <c r="AM19" i="66" s="1"/>
  <c r="AL20" i="66"/>
  <c r="AM20" i="66"/>
  <c r="AL21" i="66"/>
  <c r="AM21" i="66"/>
  <c r="AL22" i="66"/>
  <c r="AM22" i="66"/>
  <c r="AL23" i="66"/>
  <c r="AM23" i="66"/>
  <c r="AL24" i="66"/>
  <c r="AM24" i="66" s="1"/>
  <c r="AL25" i="66"/>
  <c r="AM25" i="66" s="1"/>
  <c r="AL26" i="66"/>
  <c r="AM26" i="66"/>
  <c r="AL27" i="66"/>
  <c r="AM27" i="66" s="1"/>
  <c r="AL28" i="66"/>
  <c r="AM28" i="66"/>
  <c r="AL29" i="66"/>
  <c r="AM29" i="66"/>
  <c r="AL30" i="66"/>
  <c r="AL7" i="66" s="1"/>
  <c r="AL31" i="66"/>
  <c r="AM31" i="66" s="1"/>
  <c r="AL32" i="66"/>
  <c r="AM32" i="66"/>
  <c r="AL33" i="66"/>
  <c r="AM33" i="66" s="1"/>
  <c r="AL34" i="66"/>
  <c r="AM34" i="66"/>
  <c r="AL35" i="66"/>
  <c r="AM35" i="66"/>
  <c r="AL36" i="66"/>
  <c r="AM36" i="66" s="1"/>
  <c r="AL37" i="66"/>
  <c r="AM37" i="66" s="1"/>
  <c r="AL38" i="66"/>
  <c r="AM38" i="66"/>
  <c r="AL39" i="66"/>
  <c r="AM39" i="66" s="1"/>
  <c r="AL40" i="66"/>
  <c r="AM40" i="66"/>
  <c r="AL41" i="66"/>
  <c r="AM41" i="66"/>
  <c r="AL42" i="66"/>
  <c r="AM42" i="66" s="1"/>
  <c r="AL43" i="66"/>
  <c r="AM43" i="66" s="1"/>
  <c r="AL44" i="66"/>
  <c r="AM44" i="66"/>
  <c r="AL45" i="66"/>
  <c r="AM45" i="66"/>
  <c r="AL46" i="66"/>
  <c r="AM46" i="66"/>
  <c r="AL47" i="66"/>
  <c r="AM47" i="66"/>
  <c r="AL48" i="66"/>
  <c r="AM48" i="66" s="1"/>
  <c r="AL49" i="66"/>
  <c r="AM49" i="66" s="1"/>
  <c r="AL50" i="66"/>
  <c r="AM50" i="66"/>
  <c r="AL51" i="66"/>
  <c r="AM51" i="66"/>
  <c r="AL52" i="66"/>
  <c r="AM52" i="66"/>
  <c r="AL53" i="66"/>
  <c r="AM53" i="66"/>
  <c r="AL54" i="66"/>
  <c r="AM54" i="66" s="1"/>
  <c r="AL55" i="66"/>
  <c r="AM55" i="66" s="1"/>
  <c r="AL56" i="66"/>
  <c r="AM56" i="66"/>
  <c r="AL57" i="66"/>
  <c r="AM57" i="66" s="1"/>
  <c r="AL58" i="66"/>
  <c r="AM58" i="66"/>
  <c r="AL59" i="66"/>
  <c r="AM59" i="66"/>
  <c r="AL60" i="66"/>
  <c r="AM60" i="66" s="1"/>
  <c r="AL61" i="66"/>
  <c r="AM61" i="66" s="1"/>
  <c r="AL62" i="66"/>
  <c r="AM62" i="66"/>
  <c r="AL63" i="66"/>
  <c r="AM63" i="66" s="1"/>
  <c r="AL64" i="66"/>
  <c r="AM64" i="66"/>
  <c r="AL65" i="66"/>
  <c r="AM65" i="66"/>
  <c r="AL66" i="66"/>
  <c r="AM66" i="66" s="1"/>
  <c r="AL67" i="66"/>
  <c r="AM67" i="66" s="1"/>
  <c r="AL68" i="66"/>
  <c r="AM68" i="66"/>
  <c r="AL69" i="66"/>
  <c r="AM69" i="66" s="1"/>
  <c r="AL70" i="66"/>
  <c r="AM70" i="66"/>
  <c r="AL71" i="66"/>
  <c r="AM71" i="66"/>
  <c r="AL72" i="66"/>
  <c r="AM72" i="66" s="1"/>
  <c r="AL73" i="66"/>
  <c r="AM73" i="66" s="1"/>
  <c r="AL74" i="66"/>
  <c r="AM74" i="66"/>
  <c r="AL75" i="66"/>
  <c r="AM75" i="66" s="1"/>
  <c r="AL76" i="66"/>
  <c r="AM76" i="66"/>
  <c r="AL77" i="66"/>
  <c r="AM77" i="66"/>
  <c r="AL78" i="66"/>
  <c r="AM78" i="66" s="1"/>
  <c r="AL79" i="66"/>
  <c r="AM79" i="66" s="1"/>
  <c r="AL80" i="66"/>
  <c r="AM80" i="66"/>
  <c r="AL81" i="66"/>
  <c r="AM81" i="66" s="1"/>
  <c r="AL82" i="66"/>
  <c r="AM82" i="66"/>
  <c r="AL83" i="66"/>
  <c r="AM83" i="66"/>
  <c r="AL84" i="66"/>
  <c r="AM84" i="66" s="1"/>
  <c r="AL85" i="66"/>
  <c r="AM85" i="66" s="1"/>
  <c r="AL86" i="66"/>
  <c r="AM86" i="66"/>
  <c r="AL87" i="66"/>
  <c r="AM87" i="66" s="1"/>
  <c r="AL88" i="66"/>
  <c r="AM88" i="66"/>
  <c r="AL89" i="66"/>
  <c r="AM89" i="66"/>
  <c r="AL90" i="66"/>
  <c r="AM90" i="66" s="1"/>
  <c r="AL91" i="66"/>
  <c r="AM91" i="66" s="1"/>
  <c r="AL92" i="66"/>
  <c r="AM92" i="66"/>
  <c r="AL93" i="66"/>
  <c r="AM93" i="66" s="1"/>
  <c r="AL94" i="66"/>
  <c r="AM94" i="66"/>
  <c r="AL95" i="66"/>
  <c r="AM95" i="66"/>
  <c r="AL96" i="66"/>
  <c r="AM96" i="66" s="1"/>
  <c r="AL97" i="66"/>
  <c r="AM97" i="66" s="1"/>
  <c r="AL98" i="66"/>
  <c r="AM98" i="66"/>
  <c r="AL99" i="66"/>
  <c r="AM99" i="66" s="1"/>
  <c r="AL100" i="66"/>
  <c r="AM100" i="66" s="1"/>
  <c r="AL101" i="66"/>
  <c r="AM101" i="66"/>
  <c r="AL102" i="66"/>
  <c r="AM102" i="66" s="1"/>
  <c r="AL103" i="66"/>
  <c r="AM103" i="66" s="1"/>
  <c r="AL104" i="66"/>
  <c r="AM104" i="66"/>
  <c r="AL105" i="66"/>
  <c r="AM105" i="66" s="1"/>
  <c r="AL106" i="66"/>
  <c r="AM106" i="66" s="1"/>
  <c r="AL107" i="66"/>
  <c r="AM107" i="66"/>
  <c r="AL108" i="66"/>
  <c r="AM108" i="66" s="1"/>
  <c r="AL109" i="66"/>
  <c r="AM109" i="66" s="1"/>
  <c r="AL110" i="66"/>
  <c r="AM110" i="66"/>
  <c r="AL111" i="66"/>
  <c r="AM111" i="66" s="1"/>
  <c r="AL112" i="66"/>
  <c r="AM112" i="66" s="1"/>
  <c r="AL113" i="66"/>
  <c r="AM113" i="66"/>
  <c r="AL114" i="66"/>
  <c r="AM114" i="66" s="1"/>
  <c r="AL115" i="66"/>
  <c r="AM115" i="66" s="1"/>
  <c r="AL116" i="66"/>
  <c r="AM116" i="66"/>
  <c r="AL117" i="66"/>
  <c r="AM117" i="66" s="1"/>
  <c r="AL118" i="66"/>
  <c r="AM118" i="66" s="1"/>
  <c r="AL119" i="66"/>
  <c r="AM119" i="66"/>
  <c r="AL120" i="66"/>
  <c r="AM120" i="66" s="1"/>
  <c r="AL121" i="66"/>
  <c r="AM121" i="66" s="1"/>
  <c r="AL122" i="66"/>
  <c r="AM122" i="66"/>
  <c r="AL123" i="66"/>
  <c r="AM123" i="66" s="1"/>
  <c r="AL124" i="66"/>
  <c r="AM124" i="66" s="1"/>
  <c r="AL125" i="66"/>
  <c r="AM125" i="66"/>
  <c r="AL126" i="66"/>
  <c r="AM126" i="66" s="1"/>
  <c r="AL127" i="66"/>
  <c r="AM127" i="66" s="1"/>
  <c r="AL128" i="66"/>
  <c r="AM128" i="66"/>
  <c r="AL129" i="66"/>
  <c r="AM129" i="66" s="1"/>
  <c r="AL130" i="66"/>
  <c r="AM130" i="66" s="1"/>
  <c r="AL131" i="66"/>
  <c r="AM131" i="66"/>
  <c r="AL132" i="66"/>
  <c r="AM132" i="66" s="1"/>
  <c r="AL133" i="66"/>
  <c r="AM133" i="66" s="1"/>
  <c r="AL134" i="66"/>
  <c r="AM134" i="66"/>
  <c r="AL135" i="66"/>
  <c r="AM135" i="66" s="1"/>
  <c r="AL136" i="66"/>
  <c r="AM136" i="66" s="1"/>
  <c r="AL137" i="66"/>
  <c r="AM137" i="66"/>
  <c r="AL138" i="66"/>
  <c r="AM138" i="66" s="1"/>
  <c r="AL139" i="66"/>
  <c r="AM139" i="66" s="1"/>
  <c r="AL140" i="66"/>
  <c r="AM140" i="66"/>
  <c r="AL141" i="66"/>
  <c r="AM141" i="66" s="1"/>
  <c r="AL142" i="66"/>
  <c r="AM142" i="66" s="1"/>
  <c r="AL143" i="66"/>
  <c r="AM143" i="66"/>
  <c r="AL144" i="66"/>
  <c r="AM144" i="66" s="1"/>
  <c r="AL145" i="66"/>
  <c r="AM145" i="66" s="1"/>
  <c r="AL146" i="66"/>
  <c r="AM146" i="66"/>
  <c r="AL147" i="66"/>
  <c r="AM147" i="66" s="1"/>
  <c r="AL148" i="66"/>
  <c r="AM148" i="66" s="1"/>
  <c r="AL149" i="66"/>
  <c r="AM149" i="66"/>
  <c r="AL150" i="66"/>
  <c r="AM150" i="66" s="1"/>
  <c r="AL151" i="66"/>
  <c r="AM151" i="66" s="1"/>
  <c r="AL152" i="66"/>
  <c r="AM152" i="66"/>
  <c r="AL153" i="66"/>
  <c r="AM153" i="66" s="1"/>
  <c r="AL154" i="66"/>
  <c r="AM154" i="66" s="1"/>
  <c r="AL155" i="66"/>
  <c r="AM155" i="66"/>
  <c r="AL156" i="66"/>
  <c r="AM156" i="66" s="1"/>
  <c r="AL157" i="66"/>
  <c r="AM157" i="66" s="1"/>
  <c r="AL158" i="66"/>
  <c r="AM158" i="66"/>
  <c r="AL159" i="66"/>
  <c r="AM159" i="66" s="1"/>
  <c r="AL160" i="66"/>
  <c r="AM160" i="66" s="1"/>
  <c r="AL161" i="66"/>
  <c r="AM161" i="66"/>
  <c r="AL162" i="66"/>
  <c r="AM162" i="66" s="1"/>
  <c r="AL163" i="66"/>
  <c r="AM163" i="66" s="1"/>
  <c r="AL164" i="66"/>
  <c r="AM164" i="66"/>
  <c r="AL165" i="66"/>
  <c r="AM165" i="66" s="1"/>
  <c r="AL166" i="66"/>
  <c r="AM166" i="66" s="1"/>
  <c r="AL167" i="66"/>
  <c r="AM167" i="66"/>
  <c r="AL168" i="66"/>
  <c r="AM168" i="66" s="1"/>
  <c r="AL169" i="66"/>
  <c r="AM169" i="66" s="1"/>
  <c r="AL170" i="66"/>
  <c r="AM170" i="66"/>
  <c r="AL171" i="66"/>
  <c r="AM171" i="66" s="1"/>
  <c r="AL172" i="66"/>
  <c r="AM172" i="66" s="1"/>
  <c r="AL173" i="66"/>
  <c r="AM173" i="66"/>
  <c r="AL174" i="66"/>
  <c r="AM174" i="66" s="1"/>
  <c r="AL175" i="66"/>
  <c r="AM175" i="66" s="1"/>
  <c r="AL176" i="66"/>
  <c r="AM176" i="66"/>
  <c r="AL177" i="66"/>
  <c r="AM177" i="66" s="1"/>
  <c r="AL178" i="66"/>
  <c r="AM178" i="66" s="1"/>
  <c r="AL179" i="66"/>
  <c r="AM179" i="66"/>
  <c r="AL180" i="66"/>
  <c r="AM180" i="66" s="1"/>
  <c r="AL181" i="66"/>
  <c r="AM181" i="66" s="1"/>
  <c r="AL182" i="66"/>
  <c r="AM182" i="66"/>
  <c r="AL183" i="66"/>
  <c r="AM183" i="66" s="1"/>
  <c r="AL184" i="66"/>
  <c r="AM184" i="66" s="1"/>
  <c r="AL185" i="66"/>
  <c r="AM185" i="66"/>
  <c r="AL186" i="66"/>
  <c r="AM186" i="66" s="1"/>
  <c r="AL187" i="66"/>
  <c r="AM187" i="66" s="1"/>
  <c r="AL188" i="66"/>
  <c r="AM188" i="66"/>
  <c r="AL189" i="66"/>
  <c r="AM189" i="66" s="1"/>
  <c r="AL190" i="66"/>
  <c r="AM190" i="66" s="1"/>
  <c r="AL191" i="66"/>
  <c r="AM191" i="66"/>
  <c r="AL192" i="66"/>
  <c r="AM192" i="66" s="1"/>
  <c r="AL193" i="66"/>
  <c r="AM193" i="66" s="1"/>
  <c r="AL194" i="66"/>
  <c r="AM194" i="66"/>
  <c r="AL195" i="66"/>
  <c r="AM195" i="66" s="1"/>
  <c r="AL196" i="66"/>
  <c r="AM196" i="66" s="1"/>
  <c r="AL197" i="66"/>
  <c r="AM197" i="66"/>
  <c r="AL198" i="66"/>
  <c r="AM198" i="66" s="1"/>
  <c r="AL199" i="66"/>
  <c r="AM199" i="66" s="1"/>
  <c r="AL200" i="66"/>
  <c r="AM200" i="66"/>
  <c r="AL201" i="66"/>
  <c r="AM201" i="66" s="1"/>
  <c r="AL202" i="66"/>
  <c r="AM202" i="66" s="1"/>
  <c r="AL203" i="66"/>
  <c r="AM203" i="66"/>
  <c r="AL204" i="66"/>
  <c r="AM204" i="66" s="1"/>
  <c r="AL205" i="66"/>
  <c r="AM205" i="66" s="1"/>
  <c r="AL206" i="66"/>
  <c r="AM206" i="66"/>
  <c r="AL207" i="66"/>
  <c r="AM207" i="66" s="1"/>
  <c r="AL208" i="66"/>
  <c r="AM208" i="66" s="1"/>
  <c r="AL209" i="66"/>
  <c r="AM209" i="66"/>
  <c r="AL210" i="66"/>
  <c r="AM210" i="66" s="1"/>
  <c r="AL211" i="66"/>
  <c r="AM211" i="66" s="1"/>
  <c r="AL212" i="66"/>
  <c r="AM212" i="66"/>
  <c r="AL213" i="66"/>
  <c r="AM213" i="66" s="1"/>
  <c r="AL214" i="66"/>
  <c r="AM214" i="66" s="1"/>
  <c r="AL215" i="66"/>
  <c r="AM215" i="66"/>
  <c r="AL216" i="66"/>
  <c r="AM216" i="66" s="1"/>
  <c r="AL217" i="66"/>
  <c r="AM217" i="66" s="1"/>
  <c r="AL218" i="66"/>
  <c r="AM218" i="66"/>
  <c r="AL219" i="66"/>
  <c r="AM219" i="66" s="1"/>
  <c r="AL220" i="66"/>
  <c r="AM220" i="66" s="1"/>
  <c r="AL221" i="66"/>
  <c r="AM221" i="66"/>
  <c r="AL222" i="66"/>
  <c r="AM222" i="66" s="1"/>
  <c r="AL223" i="66"/>
  <c r="AM223" i="66" s="1"/>
  <c r="AL224" i="66"/>
  <c r="AM224" i="66"/>
  <c r="AL225" i="66"/>
  <c r="AM225" i="66" s="1"/>
  <c r="AL226" i="66"/>
  <c r="AM226" i="66" s="1"/>
  <c r="AL227" i="66"/>
  <c r="AM227" i="66"/>
  <c r="AL228" i="66"/>
  <c r="AM228" i="66" s="1"/>
  <c r="AL229" i="66"/>
  <c r="AM229" i="66" s="1"/>
  <c r="AL230" i="66"/>
  <c r="AM230" i="66"/>
  <c r="AL231" i="66"/>
  <c r="AM231" i="66" s="1"/>
  <c r="AL232" i="66"/>
  <c r="AM232" i="66" s="1"/>
  <c r="AL233" i="66"/>
  <c r="AM233" i="66"/>
  <c r="AL234" i="66"/>
  <c r="AM234" i="66" s="1"/>
  <c r="AL235" i="66"/>
  <c r="AM235" i="66" s="1"/>
  <c r="AL236" i="66"/>
  <c r="AM236" i="66"/>
  <c r="AL237" i="66"/>
  <c r="AM237" i="66" s="1"/>
  <c r="AL238" i="66"/>
  <c r="AM238" i="66" s="1"/>
  <c r="AL239" i="66"/>
  <c r="AM239" i="66"/>
  <c r="AL240" i="66"/>
  <c r="AM240" i="66" s="1"/>
  <c r="AL241" i="66"/>
  <c r="AM241" i="66" s="1"/>
  <c r="AL242" i="66"/>
  <c r="AM242" i="66"/>
  <c r="AL243" i="66"/>
  <c r="AM243" i="66" s="1"/>
  <c r="AL244" i="66"/>
  <c r="AM244" i="66" s="1"/>
  <c r="AL245" i="66"/>
  <c r="AM245" i="66"/>
  <c r="AL246" i="66"/>
  <c r="AM246" i="66" s="1"/>
  <c r="AL247" i="66"/>
  <c r="AM247" i="66" s="1"/>
  <c r="AL248" i="66"/>
  <c r="AM248" i="66"/>
  <c r="AL249" i="66"/>
  <c r="AM249" i="66" s="1"/>
  <c r="AL250" i="66"/>
  <c r="AM250" i="66" s="1"/>
  <c r="AL251" i="66"/>
  <c r="AM251" i="66"/>
  <c r="AL252" i="66"/>
  <c r="AM252" i="66" s="1"/>
  <c r="AL253" i="66"/>
  <c r="AM253" i="66" s="1"/>
  <c r="AL254" i="66"/>
  <c r="AM254" i="66"/>
  <c r="AL255" i="66"/>
  <c r="AM255" i="66" s="1"/>
  <c r="AL256" i="66"/>
  <c r="AM256" i="66" s="1"/>
  <c r="AL257" i="66"/>
  <c r="AM257" i="66"/>
  <c r="AL258" i="66"/>
  <c r="AM258" i="66" s="1"/>
  <c r="AL259" i="66"/>
  <c r="AM259" i="66" s="1"/>
  <c r="AL260" i="66"/>
  <c r="AM260" i="66"/>
  <c r="AL261" i="66"/>
  <c r="AM261" i="66" s="1"/>
  <c r="AL262" i="66"/>
  <c r="AM262" i="66" s="1"/>
  <c r="AL263" i="66"/>
  <c r="AM263" i="66"/>
  <c r="AL264" i="66"/>
  <c r="AM264" i="66" s="1"/>
  <c r="AL265" i="66"/>
  <c r="AM265" i="66" s="1"/>
  <c r="AL266" i="66"/>
  <c r="AM266" i="66"/>
  <c r="AL267" i="66"/>
  <c r="AM267" i="66" s="1"/>
  <c r="AL268" i="66"/>
  <c r="AM268" i="66" s="1"/>
  <c r="AL269" i="66"/>
  <c r="AM269" i="66"/>
  <c r="AL270" i="66"/>
  <c r="AM270" i="66" s="1"/>
  <c r="AL271" i="66"/>
  <c r="AM271" i="66" s="1"/>
  <c r="AL272" i="66"/>
  <c r="AM272" i="66"/>
  <c r="AL273" i="66"/>
  <c r="AM273" i="66" s="1"/>
  <c r="AL274" i="66"/>
  <c r="AM274" i="66" s="1"/>
  <c r="AL275" i="66"/>
  <c r="AM275" i="66"/>
  <c r="AL276" i="66"/>
  <c r="AM276" i="66" s="1"/>
  <c r="AL277" i="66"/>
  <c r="AM277" i="66" s="1"/>
  <c r="AL278" i="66"/>
  <c r="AM278" i="66"/>
  <c r="AL279" i="66"/>
  <c r="AM279" i="66" s="1"/>
  <c r="AL280" i="66"/>
  <c r="AM280" i="66" s="1"/>
  <c r="AL281" i="66"/>
  <c r="AM281" i="66"/>
  <c r="AL282" i="66"/>
  <c r="AM282" i="66" s="1"/>
  <c r="AL283" i="66"/>
  <c r="AM283" i="66" s="1"/>
  <c r="AL284" i="66"/>
  <c r="AM284" i="66"/>
  <c r="AL285" i="66"/>
  <c r="AM285" i="66" s="1"/>
  <c r="AL286" i="66"/>
  <c r="AM286" i="66" s="1"/>
  <c r="AL287" i="66"/>
  <c r="AM287" i="66"/>
  <c r="AL288" i="66"/>
  <c r="AM288" i="66" s="1"/>
  <c r="AL289" i="66"/>
  <c r="AM289" i="66" s="1"/>
  <c r="AL290" i="66"/>
  <c r="AM290" i="66"/>
  <c r="AL291" i="66"/>
  <c r="AM291" i="66" s="1"/>
  <c r="AL292" i="66"/>
  <c r="AM292" i="66" s="1"/>
  <c r="AL293" i="66"/>
  <c r="AM293" i="66"/>
  <c r="AL294" i="66"/>
  <c r="AM294" i="66" s="1"/>
  <c r="AL295" i="66"/>
  <c r="AM295" i="66" s="1"/>
  <c r="AL296" i="66"/>
  <c r="AM296" i="66"/>
  <c r="AL297" i="66"/>
  <c r="AM297" i="66" s="1"/>
  <c r="AL298" i="66"/>
  <c r="AM298" i="66" s="1"/>
  <c r="AL299" i="66"/>
  <c r="AM299" i="66"/>
  <c r="AL300" i="66"/>
  <c r="AM300" i="66" s="1"/>
  <c r="AL301" i="66"/>
  <c r="AM301" i="66" s="1"/>
  <c r="AL302" i="66"/>
  <c r="AM302" i="66"/>
  <c r="AL303" i="66"/>
  <c r="AM303" i="66" s="1"/>
  <c r="AL304" i="66"/>
  <c r="AM304" i="66" s="1"/>
  <c r="AL305" i="66"/>
  <c r="AM305" i="66"/>
  <c r="AL306" i="66"/>
  <c r="AM306" i="66" s="1"/>
  <c r="AL307" i="66"/>
  <c r="AM307" i="66" s="1"/>
  <c r="AL308" i="66"/>
  <c r="AM308" i="66"/>
  <c r="AL309" i="66"/>
  <c r="AM309" i="66" s="1"/>
  <c r="AL310" i="66"/>
  <c r="AM310" i="66" s="1"/>
  <c r="AL311" i="66"/>
  <c r="AM311" i="66"/>
  <c r="AL312" i="66"/>
  <c r="AM312" i="66" s="1"/>
  <c r="AL313" i="66"/>
  <c r="AM313" i="66" s="1"/>
  <c r="AL314" i="66"/>
  <c r="AM314" i="66"/>
  <c r="AL315" i="66"/>
  <c r="AM315" i="66" s="1"/>
  <c r="AL316" i="66"/>
  <c r="AM316" i="66" s="1"/>
  <c r="AL317" i="66"/>
  <c r="AM317" i="66"/>
  <c r="AL318" i="66"/>
  <c r="AM318" i="66" s="1"/>
  <c r="AL319" i="66"/>
  <c r="AM319" i="66" s="1"/>
  <c r="AL320" i="66"/>
  <c r="AM320" i="66"/>
  <c r="AL321" i="66"/>
  <c r="AM321" i="66" s="1"/>
  <c r="AL322" i="66"/>
  <c r="AM322" i="66" s="1"/>
  <c r="AL323" i="66"/>
  <c r="AM323" i="66"/>
  <c r="AL324" i="66"/>
  <c r="AM324" i="66" s="1"/>
  <c r="AL325" i="66"/>
  <c r="AM325" i="66" s="1"/>
  <c r="AL326" i="66"/>
  <c r="AM326" i="66"/>
  <c r="AL327" i="66"/>
  <c r="AM327" i="66" s="1"/>
  <c r="AL328" i="66"/>
  <c r="AM328" i="66" s="1"/>
  <c r="AL329" i="66"/>
  <c r="AM329" i="66"/>
  <c r="AL330" i="66"/>
  <c r="AM330" i="66" s="1"/>
  <c r="AL331" i="66"/>
  <c r="AM331" i="66" s="1"/>
  <c r="AL332" i="66"/>
  <c r="AM332" i="66"/>
  <c r="AL333" i="66"/>
  <c r="AM333" i="66" s="1"/>
  <c r="AL334" i="66"/>
  <c r="AM334" i="66" s="1"/>
  <c r="AL335" i="66"/>
  <c r="AM335" i="66"/>
  <c r="AL336" i="66"/>
  <c r="AM336" i="66" s="1"/>
  <c r="AL337" i="66"/>
  <c r="AM337" i="66" s="1"/>
  <c r="AL338" i="66"/>
  <c r="AM338" i="66"/>
  <c r="AL339" i="66"/>
  <c r="AM339" i="66" s="1"/>
  <c r="AL340" i="66"/>
  <c r="AM340" i="66" s="1"/>
  <c r="AL341" i="66"/>
  <c r="AM341" i="66"/>
  <c r="AL342" i="66"/>
  <c r="AM342" i="66" s="1"/>
  <c r="AL343" i="66"/>
  <c r="AM343" i="66" s="1"/>
  <c r="AL344" i="66"/>
  <c r="AM344" i="66"/>
  <c r="AL345" i="66"/>
  <c r="AM345" i="66" s="1"/>
  <c r="AL346" i="66"/>
  <c r="AM346" i="66" s="1"/>
  <c r="AL347" i="66"/>
  <c r="AM347" i="66"/>
  <c r="AL348" i="66"/>
  <c r="AM348" i="66" s="1"/>
  <c r="AL349" i="66"/>
  <c r="AM349" i="66" s="1"/>
  <c r="AL350" i="66"/>
  <c r="AM350" i="66"/>
  <c r="AL351" i="66"/>
  <c r="AM351" i="66" s="1"/>
  <c r="AL352" i="66"/>
  <c r="AM352" i="66" s="1"/>
  <c r="AL353" i="66"/>
  <c r="AM353" i="66"/>
  <c r="AL354" i="66"/>
  <c r="AM354" i="66" s="1"/>
  <c r="AL355" i="66"/>
  <c r="AM355" i="66" s="1"/>
  <c r="AL356" i="66"/>
  <c r="AM356" i="66"/>
  <c r="AL357" i="66"/>
  <c r="AM357" i="66" s="1"/>
  <c r="AL358" i="66"/>
  <c r="AM358" i="66" s="1"/>
  <c r="AL359" i="66"/>
  <c r="AM359" i="66"/>
  <c r="AL360" i="66"/>
  <c r="AM360" i="66" s="1"/>
  <c r="AL361" i="66"/>
  <c r="AM361" i="66" s="1"/>
  <c r="AL362" i="66"/>
  <c r="AM362" i="66"/>
  <c r="AL363" i="66"/>
  <c r="AM363" i="66" s="1"/>
  <c r="AL364" i="66"/>
  <c r="AM364" i="66" s="1"/>
  <c r="AL365" i="66"/>
  <c r="AM365" i="66"/>
  <c r="AL366" i="66"/>
  <c r="AM366" i="66" s="1"/>
  <c r="AL367" i="66"/>
  <c r="AM367" i="66" s="1"/>
  <c r="AL368" i="66"/>
  <c r="AM368" i="66"/>
  <c r="AL369" i="66"/>
  <c r="AM369" i="66" s="1"/>
  <c r="AL370" i="66"/>
  <c r="AM370" i="66" s="1"/>
  <c r="AL371" i="66"/>
  <c r="AM371" i="66"/>
  <c r="AL372" i="66"/>
  <c r="AM372" i="66" s="1"/>
  <c r="AL373" i="66"/>
  <c r="AM373" i="66" s="1"/>
  <c r="AL374" i="66"/>
  <c r="AM374" i="66"/>
  <c r="AL375" i="66"/>
  <c r="AM375" i="66" s="1"/>
  <c r="AL376" i="66"/>
  <c r="AM37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/>
  <c r="AD185" i="66"/>
  <c r="AE185" i="66" s="1"/>
  <c r="AD186" i="66"/>
  <c r="AE186" i="66" s="1"/>
  <c r="AD187" i="66"/>
  <c r="AE187" i="66"/>
  <c r="AD188" i="66"/>
  <c r="AE188" i="66" s="1"/>
  <c r="AD189" i="66"/>
  <c r="AE189" i="66" s="1"/>
  <c r="AD190" i="66"/>
  <c r="AE190" i="66"/>
  <c r="AD191" i="66"/>
  <c r="AE191" i="66" s="1"/>
  <c r="AD192" i="66"/>
  <c r="AE192" i="66" s="1"/>
  <c r="AD193" i="66"/>
  <c r="AE193" i="66"/>
  <c r="AD194" i="66"/>
  <c r="AE194" i="66" s="1"/>
  <c r="AD195" i="66"/>
  <c r="AE195" i="66" s="1"/>
  <c r="AD196" i="66"/>
  <c r="AE196" i="66"/>
  <c r="AD197" i="66"/>
  <c r="AE197" i="66" s="1"/>
  <c r="AD198" i="66"/>
  <c r="AE198" i="66" s="1"/>
  <c r="AD199" i="66"/>
  <c r="AE199" i="66"/>
  <c r="AD200" i="66"/>
  <c r="AE200" i="66" s="1"/>
  <c r="AD201" i="66"/>
  <c r="AE201" i="66" s="1"/>
  <c r="AD202" i="66"/>
  <c r="AE202" i="66"/>
  <c r="AD203" i="66"/>
  <c r="AE203" i="66" s="1"/>
  <c r="AD204" i="66"/>
  <c r="AE204" i="66" s="1"/>
  <c r="AD205" i="66"/>
  <c r="AE205" i="66"/>
  <c r="AD206" i="66"/>
  <c r="AE206" i="66" s="1"/>
  <c r="AD207" i="66"/>
  <c r="AE207" i="66" s="1"/>
  <c r="AD208" i="66"/>
  <c r="AE208" i="66"/>
  <c r="AD209" i="66"/>
  <c r="AE209" i="66" s="1"/>
  <c r="AD210" i="66"/>
  <c r="AE210" i="66" s="1"/>
  <c r="AD211" i="66"/>
  <c r="AE211" i="66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/>
  <c r="T98" i="66"/>
  <c r="U98" i="66"/>
  <c r="T99" i="66"/>
  <c r="U99" i="66" s="1"/>
  <c r="T100" i="66"/>
  <c r="U100" i="66"/>
  <c r="T101" i="66"/>
  <c r="U101" i="66" s="1"/>
  <c r="T102" i="66"/>
  <c r="U102" i="66"/>
  <c r="T103" i="66"/>
  <c r="U103" i="66"/>
  <c r="T104" i="66"/>
  <c r="U104" i="66"/>
  <c r="T105" i="66"/>
  <c r="U105" i="66" s="1"/>
  <c r="T106" i="66"/>
  <c r="U106" i="66"/>
  <c r="T107" i="66"/>
  <c r="U107" i="66" s="1"/>
  <c r="T108" i="66"/>
  <c r="U108" i="66"/>
  <c r="T109" i="66"/>
  <c r="U109" i="66"/>
  <c r="T110" i="66"/>
  <c r="U110" i="66"/>
  <c r="T111" i="66"/>
  <c r="U111" i="66" s="1"/>
  <c r="T112" i="66"/>
  <c r="U112" i="66"/>
  <c r="T113" i="66"/>
  <c r="U113" i="66" s="1"/>
  <c r="T114" i="66"/>
  <c r="U114" i="66" s="1"/>
  <c r="T115" i="66"/>
  <c r="U115" i="66" s="1"/>
  <c r="T116" i="66"/>
  <c r="U116" i="66"/>
  <c r="T117" i="66"/>
  <c r="U117" i="66" s="1"/>
  <c r="T118" i="66"/>
  <c r="U118" i="66"/>
  <c r="T119" i="66"/>
  <c r="U119" i="66"/>
  <c r="T120" i="66"/>
  <c r="U120" i="66" s="1"/>
  <c r="T121" i="66"/>
  <c r="U121" i="66" s="1"/>
  <c r="T122" i="66"/>
  <c r="U122" i="66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/>
  <c r="T210" i="66"/>
  <c r="U210" i="66" s="1"/>
  <c r="T211" i="66"/>
  <c r="U211" i="66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 s="1"/>
  <c r="L101" i="66"/>
  <c r="M101" i="66"/>
  <c r="L102" i="66"/>
  <c r="M102" i="66" s="1"/>
  <c r="L103" i="66"/>
  <c r="M103" i="66"/>
  <c r="L104" i="66"/>
  <c r="M104" i="66"/>
  <c r="L105" i="66"/>
  <c r="M105" i="66"/>
  <c r="L106" i="66"/>
  <c r="M106" i="66" s="1"/>
  <c r="L107" i="66"/>
  <c r="M107" i="66"/>
  <c r="L108" i="66"/>
  <c r="M108" i="66"/>
  <c r="L109" i="66"/>
  <c r="M109" i="66" s="1"/>
  <c r="L110" i="66"/>
  <c r="M110" i="66" s="1"/>
  <c r="L111" i="66"/>
  <c r="M111" i="66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/>
  <c r="L198" i="66"/>
  <c r="M198" i="66"/>
  <c r="L199" i="66"/>
  <c r="M199" i="66" s="1"/>
  <c r="L200" i="66"/>
  <c r="M200" i="66" s="1"/>
  <c r="L201" i="66"/>
  <c r="M201" i="66" s="1"/>
  <c r="L202" i="66"/>
  <c r="M202" i="66" s="1"/>
  <c r="L203" i="66"/>
  <c r="M203" i="66"/>
  <c r="L204" i="66"/>
  <c r="M204" i="66"/>
  <c r="L205" i="66"/>
  <c r="M205" i="66" s="1"/>
  <c r="L206" i="66"/>
  <c r="M206" i="66" s="1"/>
  <c r="L207" i="66"/>
  <c r="M207" i="66" s="1"/>
  <c r="L208" i="66"/>
  <c r="M208" i="66" s="1"/>
  <c r="L209" i="66"/>
  <c r="M209" i="66"/>
  <c r="L210" i="66"/>
  <c r="M210" i="66"/>
  <c r="L211" i="66"/>
  <c r="M211" i="66" s="1"/>
  <c r="L212" i="66"/>
  <c r="M212" i="66" s="1"/>
  <c r="L213" i="66"/>
  <c r="M213" i="66" s="1"/>
  <c r="L214" i="66"/>
  <c r="M214" i="66" s="1"/>
  <c r="L215" i="66"/>
  <c r="M215" i="66"/>
  <c r="L216" i="66"/>
  <c r="M216" i="66"/>
  <c r="L217" i="66"/>
  <c r="M217" i="66" s="1"/>
  <c r="L218" i="66"/>
  <c r="M218" i="66" s="1"/>
  <c r="L219" i="66"/>
  <c r="M219" i="66" s="1"/>
  <c r="L220" i="66"/>
  <c r="M220" i="66" s="1"/>
  <c r="L221" i="66"/>
  <c r="M221" i="66"/>
  <c r="L222" i="66"/>
  <c r="M222" i="66"/>
  <c r="L223" i="66"/>
  <c r="M223" i="66" s="1"/>
  <c r="L224" i="66"/>
  <c r="M224" i="66" s="1"/>
  <c r="L225" i="66"/>
  <c r="M225" i="66" s="1"/>
  <c r="L226" i="66"/>
  <c r="M226" i="66"/>
  <c r="L227" i="66"/>
  <c r="M227" i="66" s="1"/>
  <c r="L228" i="66"/>
  <c r="M228" i="66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AV7" i="66"/>
  <c r="AU7" i="66" s="1"/>
  <c r="AD7" i="66"/>
  <c r="T7" i="66"/>
  <c r="FG6" i="66"/>
  <c r="FF6" i="66" s="1"/>
  <c r="EY6" i="66"/>
  <c r="EX6" i="66" s="1"/>
  <c r="EP6" i="66"/>
  <c r="EO6" i="66" s="1"/>
  <c r="EH6" i="66"/>
  <c r="EG6" i="66" s="1"/>
  <c r="DX6" i="66"/>
  <c r="DW6" i="66" s="1"/>
  <c r="DP6" i="66"/>
  <c r="DO6" i="66" s="1"/>
  <c r="DF6" i="66"/>
  <c r="DE6" i="66" s="1"/>
  <c r="CX6" i="66"/>
  <c r="CW6" i="66" s="1"/>
  <c r="CF6" i="66"/>
  <c r="CE6" i="66" s="1"/>
  <c r="BV6" i="66"/>
  <c r="BU6" i="66" s="1"/>
  <c r="BN6" i="66"/>
  <c r="BM6" i="66"/>
  <c r="AV6" i="66"/>
  <c r="AL6" i="66"/>
  <c r="AD6" i="66"/>
  <c r="T6" i="66"/>
  <c r="S6" i="66" s="1"/>
  <c r="L6" i="66"/>
  <c r="FH5" i="66"/>
  <c r="EZ5" i="66"/>
  <c r="DY5" i="66"/>
  <c r="DQ5" i="66"/>
  <c r="DG5" i="66"/>
  <c r="CY5" i="66"/>
  <c r="CG5" i="66"/>
  <c r="BW5" i="66"/>
  <c r="BO5" i="66"/>
  <c r="FD4" i="66"/>
  <c r="FF4" i="66" s="1"/>
  <c r="EV4" i="66"/>
  <c r="EX4" i="66" s="1"/>
  <c r="EM4" i="66"/>
  <c r="EO4" i="66" s="1"/>
  <c r="DU4" i="66"/>
  <c r="DW4" i="66" s="1"/>
  <c r="DM4" i="66"/>
  <c r="DO4" i="66" s="1"/>
  <c r="DC4" i="66"/>
  <c r="DE4" i="66" s="1"/>
  <c r="CU4" i="66"/>
  <c r="CW4" i="66" s="1"/>
  <c r="CK4" i="66"/>
  <c r="CM4" i="66" s="1"/>
  <c r="CC4" i="66"/>
  <c r="CE4" i="66" s="1"/>
  <c r="BS4" i="66"/>
  <c r="BU4" i="66" s="1"/>
  <c r="BM4" i="66"/>
  <c r="BK4" i="66"/>
  <c r="AI4" i="66"/>
  <c r="AK4" i="66" s="1"/>
  <c r="FH3" i="66"/>
  <c r="FD3" i="66"/>
  <c r="EZ3" i="66"/>
  <c r="EV3" i="66"/>
  <c r="EX3" i="66" s="1"/>
  <c r="EQ3" i="66"/>
  <c r="EM3" i="66"/>
  <c r="EE3" i="66"/>
  <c r="EG3" i="66" s="1"/>
  <c r="DY3" i="66"/>
  <c r="DU3" i="66"/>
  <c r="DQ3" i="66"/>
  <c r="DM3" i="66"/>
  <c r="DO3" i="66" s="1"/>
  <c r="DG3" i="66"/>
  <c r="DC3" i="66"/>
  <c r="CY3" i="66"/>
  <c r="CW3" i="66"/>
  <c r="CU3" i="66"/>
  <c r="CG3" i="66"/>
  <c r="CC3" i="66"/>
  <c r="BW3" i="66"/>
  <c r="BS3" i="66"/>
  <c r="BO3" i="66"/>
  <c r="BM3" i="66"/>
  <c r="BK3" i="66"/>
  <c r="I3" i="66"/>
  <c r="AC6" i="66" l="1"/>
  <c r="BC7" i="66"/>
  <c r="I4" i="66"/>
  <c r="K4" i="66" s="1"/>
  <c r="CO5" i="66"/>
  <c r="AK6" i="66"/>
  <c r="Q4" i="66"/>
  <c r="S4" i="66" s="1"/>
  <c r="AU6" i="66"/>
  <c r="AA4" i="66"/>
  <c r="AC4" i="66" s="1"/>
  <c r="BD6" i="66"/>
  <c r="BC6" i="66" s="1"/>
  <c r="AY2" i="66" s="1"/>
  <c r="AM30" i="66"/>
  <c r="AM12" i="66"/>
  <c r="AM9" i="66"/>
  <c r="O2" i="67"/>
  <c r="Q3" i="66"/>
  <c r="AA3" i="66"/>
  <c r="AC3" i="66" s="1"/>
  <c r="EI3" i="66"/>
  <c r="BA4" i="66"/>
  <c r="BC4" i="66" s="1"/>
  <c r="EI5" i="66"/>
  <c r="AD9" i="67"/>
  <c r="EQ5" i="66"/>
  <c r="L7" i="66"/>
  <c r="K7" i="66" s="1"/>
  <c r="EY4" i="67"/>
  <c r="EY2" i="67" s="1"/>
  <c r="EV9" i="67" s="1"/>
  <c r="CK3" i="66"/>
  <c r="CM3" i="66" s="1"/>
  <c r="CK6" i="66" s="1"/>
  <c r="AS4" i="66"/>
  <c r="AU4" i="66" s="1"/>
  <c r="CN6" i="66"/>
  <c r="CM6" i="66" s="1"/>
  <c r="S7" i="66"/>
  <c r="DP4" i="67"/>
  <c r="DP2" i="67" s="1"/>
  <c r="DM9" i="67" s="1"/>
  <c r="E23" i="67" s="1"/>
  <c r="AE7" i="67"/>
  <c r="EE4" i="66"/>
  <c r="EG4" i="66" s="1"/>
  <c r="CO3" i="66"/>
  <c r="AS3" i="66"/>
  <c r="BA3" i="66"/>
  <c r="BC3" i="66" s="1"/>
  <c r="BA6" i="66" s="1"/>
  <c r="AC7" i="66"/>
  <c r="AD9" i="66" s="1"/>
  <c r="B13" i="66" s="1"/>
  <c r="EH4" i="67"/>
  <c r="EH2" i="67" s="1"/>
  <c r="EE9" i="67" s="1"/>
  <c r="E25" i="67" s="1"/>
  <c r="AM7" i="67"/>
  <c r="K6" i="66"/>
  <c r="AQ4" i="67"/>
  <c r="DU6" i="67"/>
  <c r="U5" i="67"/>
  <c r="L9" i="67"/>
  <c r="B11" i="67" s="1"/>
  <c r="AV9" i="67"/>
  <c r="B15" i="67" s="1"/>
  <c r="AM3" i="67"/>
  <c r="AL9" i="67"/>
  <c r="B14" i="67" s="1"/>
  <c r="U3" i="67"/>
  <c r="T9" i="67"/>
  <c r="B12" i="67" s="1"/>
  <c r="M3" i="67"/>
  <c r="G2" i="67"/>
  <c r="FG4" i="67"/>
  <c r="FG2" i="67" s="1"/>
  <c r="DX4" i="67"/>
  <c r="DX2" i="67" s="1"/>
  <c r="Q6" i="67"/>
  <c r="A12" i="67" s="1"/>
  <c r="A17" i="67"/>
  <c r="BN4" i="67"/>
  <c r="EP4" i="67"/>
  <c r="EP2" i="67" s="1"/>
  <c r="A21" i="67"/>
  <c r="CX4" i="67"/>
  <c r="A13" i="67"/>
  <c r="Y4" i="67"/>
  <c r="T4" i="67"/>
  <c r="DF4" i="67"/>
  <c r="L4" i="67"/>
  <c r="BD4" i="67"/>
  <c r="CF4" i="67"/>
  <c r="CF2" i="67" s="1"/>
  <c r="BV4" i="67"/>
  <c r="CN4" i="67"/>
  <c r="BE9" i="66"/>
  <c r="AW9" i="66"/>
  <c r="AK7" i="66"/>
  <c r="AG2" i="66" s="1"/>
  <c r="AE9" i="66"/>
  <c r="O2" i="66"/>
  <c r="U9" i="66"/>
  <c r="M9" i="66"/>
  <c r="K3" i="66"/>
  <c r="I6" i="66" s="1"/>
  <c r="A11" i="66" s="1"/>
  <c r="AA6" i="66"/>
  <c r="A13" i="66" s="1"/>
  <c r="BK6" i="66"/>
  <c r="A17" i="66" s="1"/>
  <c r="CE3" i="66"/>
  <c r="CC6" i="66" s="1"/>
  <c r="A19" i="66" s="1"/>
  <c r="CU6" i="66"/>
  <c r="A21" i="66" s="1"/>
  <c r="DM6" i="66"/>
  <c r="EV6" i="66"/>
  <c r="S3" i="66"/>
  <c r="Q6" i="66" s="1"/>
  <c r="AK3" i="66"/>
  <c r="AI6" i="66" s="1"/>
  <c r="BU3" i="66"/>
  <c r="BS6" i="66" s="1"/>
  <c r="DE3" i="66"/>
  <c r="DC6" i="66" s="1"/>
  <c r="DW3" i="66"/>
  <c r="DU6" i="66" s="1"/>
  <c r="EO3" i="66"/>
  <c r="EM6" i="66" s="1"/>
  <c r="FF3" i="66"/>
  <c r="FD6" i="66" s="1"/>
  <c r="G4" i="66"/>
  <c r="O4" i="66"/>
  <c r="Y4" i="66"/>
  <c r="BN9" i="66"/>
  <c r="B17" i="66" s="1"/>
  <c r="CF9" i="66"/>
  <c r="B19" i="66" s="1"/>
  <c r="CX9" i="66"/>
  <c r="B21" i="66" s="1"/>
  <c r="DP9" i="66"/>
  <c r="EH9" i="66"/>
  <c r="EY9" i="66"/>
  <c r="T9" i="66"/>
  <c r="B12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/>
  <c r="BD107" i="65"/>
  <c r="BE107" i="65"/>
  <c r="BD108" i="65"/>
  <c r="BE108" i="65"/>
  <c r="BD109" i="65"/>
  <c r="BE109" i="65" s="1"/>
  <c r="BD110" i="65"/>
  <c r="BE110" i="65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/>
  <c r="BD197" i="65"/>
  <c r="BE197" i="65"/>
  <c r="BD198" i="65"/>
  <c r="BE198" i="65"/>
  <c r="BD199" i="65"/>
  <c r="BE199" i="65" s="1"/>
  <c r="BD200" i="65"/>
  <c r="BE200" i="65"/>
  <c r="BD201" i="65"/>
  <c r="BE201" i="65" s="1"/>
  <c r="BD202" i="65"/>
  <c r="BE202" i="65"/>
  <c r="BD203" i="65"/>
  <c r="BE203" i="65"/>
  <c r="BD204" i="65"/>
  <c r="BE204" i="65"/>
  <c r="BD205" i="65"/>
  <c r="BE205" i="65" s="1"/>
  <c r="BD206" i="65"/>
  <c r="BE206" i="65"/>
  <c r="BD207" i="65"/>
  <c r="BE207" i="65" s="1"/>
  <c r="BD208" i="65"/>
  <c r="BE208" i="65"/>
  <c r="BD209" i="65"/>
  <c r="BE209" i="65"/>
  <c r="BD210" i="65"/>
  <c r="BE210" i="65"/>
  <c r="BD211" i="65"/>
  <c r="BE211" i="65" s="1"/>
  <c r="BD212" i="65"/>
  <c r="BE212" i="65"/>
  <c r="BD213" i="65"/>
  <c r="BE213" i="65" s="1"/>
  <c r="BD214" i="65"/>
  <c r="BE214" i="65"/>
  <c r="BD215" i="65"/>
  <c r="BE215" i="65"/>
  <c r="BD216" i="65"/>
  <c r="BE216" i="65"/>
  <c r="BD217" i="65"/>
  <c r="BE217" i="65" s="1"/>
  <c r="BD218" i="65"/>
  <c r="BE218" i="65"/>
  <c r="BD219" i="65"/>
  <c r="BE219" i="65" s="1"/>
  <c r="BD220" i="65"/>
  <c r="BE220" i="65"/>
  <c r="BD221" i="65"/>
  <c r="BE221" i="65"/>
  <c r="BD222" i="65"/>
  <c r="BE222" i="65"/>
  <c r="BD223" i="65"/>
  <c r="BE223" i="65" s="1"/>
  <c r="BD224" i="65"/>
  <c r="BE224" i="65"/>
  <c r="BD225" i="65"/>
  <c r="BE225" i="65" s="1"/>
  <c r="BD226" i="65"/>
  <c r="BE226" i="65"/>
  <c r="BD227" i="65"/>
  <c r="BE227" i="65"/>
  <c r="BD228" i="65"/>
  <c r="BE228" i="65"/>
  <c r="BD229" i="65"/>
  <c r="BE229" i="65" s="1"/>
  <c r="BD230" i="65"/>
  <c r="BE230" i="65"/>
  <c r="BD231" i="65"/>
  <c r="BE231" i="65" s="1"/>
  <c r="BD232" i="65"/>
  <c r="BE232" i="65"/>
  <c r="BD233" i="65"/>
  <c r="BE233" i="65"/>
  <c r="BD234" i="65"/>
  <c r="BE234" i="65"/>
  <c r="BD235" i="65"/>
  <c r="BE235" i="65" s="1"/>
  <c r="BD236" i="65"/>
  <c r="BE236" i="65"/>
  <c r="BD237" i="65"/>
  <c r="BE237" i="65" s="1"/>
  <c r="BD238" i="65"/>
  <c r="BE238" i="65"/>
  <c r="BD239" i="65"/>
  <c r="BE239" i="65"/>
  <c r="BD240" i="65"/>
  <c r="BE240" i="65"/>
  <c r="BD241" i="65"/>
  <c r="BE241" i="65" s="1"/>
  <c r="BD242" i="65"/>
  <c r="BE242" i="65" s="1"/>
  <c r="BD243" i="65"/>
  <c r="BE243" i="65"/>
  <c r="BD244" i="65"/>
  <c r="BE244" i="65"/>
  <c r="BD245" i="65"/>
  <c r="BE245" i="65" s="1"/>
  <c r="BD246" i="65"/>
  <c r="BE246" i="65" s="1"/>
  <c r="BD247" i="65"/>
  <c r="BE247" i="65" s="1"/>
  <c r="BD248" i="65"/>
  <c r="BE248" i="65" s="1"/>
  <c r="BD249" i="65"/>
  <c r="BE249" i="65"/>
  <c r="BD250" i="65"/>
  <c r="BE250" i="65"/>
  <c r="BD251" i="65"/>
  <c r="BE251" i="65" s="1"/>
  <c r="BD252" i="65"/>
  <c r="BE252" i="65" s="1"/>
  <c r="BD253" i="65"/>
  <c r="BE253" i="65" s="1"/>
  <c r="BD254" i="65"/>
  <c r="BE254" i="65" s="1"/>
  <c r="BD255" i="65"/>
  <c r="BE255" i="65"/>
  <c r="BD256" i="65"/>
  <c r="BE256" i="65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 s="1"/>
  <c r="AV184" i="65"/>
  <c r="AW184" i="65" s="1"/>
  <c r="AV185" i="65"/>
  <c r="AW185" i="65" s="1"/>
  <c r="AV186" i="65"/>
  <c r="AW186" i="65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/>
  <c r="AV385" i="65"/>
  <c r="AW385" i="65"/>
  <c r="AV386" i="65"/>
  <c r="AW386" i="65"/>
  <c r="AL12" i="65"/>
  <c r="AM12" i="65" s="1"/>
  <c r="AL13" i="65"/>
  <c r="AM13" i="65" s="1"/>
  <c r="AL14" i="65"/>
  <c r="AM14" i="65" s="1"/>
  <c r="AL15" i="65"/>
  <c r="AM15" i="65" s="1"/>
  <c r="AL16" i="65"/>
  <c r="AM16" i="65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/>
  <c r="AL179" i="65"/>
  <c r="AM179" i="65" s="1"/>
  <c r="AL180" i="65"/>
  <c r="AM180" i="65" s="1"/>
  <c r="AL181" i="65"/>
  <c r="AM181" i="65" s="1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/>
  <c r="AL383" i="65"/>
  <c r="AM383" i="65" s="1"/>
  <c r="AL384" i="65"/>
  <c r="AM384" i="65" s="1"/>
  <c r="AL385" i="65"/>
  <c r="AM385" i="65" s="1"/>
  <c r="AL386" i="65"/>
  <c r="AM38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 s="1"/>
  <c r="AD184" i="65"/>
  <c r="AE184" i="65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/>
  <c r="AD191" i="65"/>
  <c r="AE191" i="65" s="1"/>
  <c r="AD192" i="65"/>
  <c r="AE192" i="65" s="1"/>
  <c r="AD193" i="65"/>
  <c r="AE193" i="65" s="1"/>
  <c r="AD194" i="65"/>
  <c r="AE194" i="65"/>
  <c r="AD195" i="65"/>
  <c r="AE195" i="65" s="1"/>
  <c r="AD196" i="65"/>
  <c r="AE196" i="65"/>
  <c r="AD197" i="65"/>
  <c r="AE197" i="65"/>
  <c r="AD198" i="65"/>
  <c r="AE198" i="65" s="1"/>
  <c r="AD199" i="65"/>
  <c r="AE199" i="65" s="1"/>
  <c r="AD200" i="65"/>
  <c r="AE200" i="65"/>
  <c r="AD201" i="65"/>
  <c r="AE201" i="65" s="1"/>
  <c r="AD202" i="65"/>
  <c r="AE202" i="65"/>
  <c r="AD203" i="65"/>
  <c r="AE203" i="65" s="1"/>
  <c r="AD204" i="65"/>
  <c r="AE204" i="65" s="1"/>
  <c r="AD205" i="65"/>
  <c r="AE205" i="65" s="1"/>
  <c r="AD206" i="65"/>
  <c r="AE206" i="65"/>
  <c r="AD207" i="65"/>
  <c r="AE207" i="65" s="1"/>
  <c r="AD208" i="65"/>
  <c r="AE208" i="65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/>
  <c r="AD215" i="65"/>
  <c r="AE215" i="65" s="1"/>
  <c r="AD216" i="65"/>
  <c r="AE216" i="65" s="1"/>
  <c r="AD217" i="65"/>
  <c r="AE217" i="65" s="1"/>
  <c r="AD218" i="65"/>
  <c r="AE218" i="65"/>
  <c r="AD219" i="65"/>
  <c r="AE219" i="65" s="1"/>
  <c r="AD220" i="65"/>
  <c r="AE220" i="65" s="1"/>
  <c r="AD221" i="65"/>
  <c r="AE221" i="65"/>
  <c r="AD222" i="65"/>
  <c r="AE222" i="65" s="1"/>
  <c r="AD223" i="65"/>
  <c r="AE223" i="65" s="1"/>
  <c r="AD224" i="65"/>
  <c r="AE224" i="65"/>
  <c r="AD225" i="65"/>
  <c r="AE225" i="65" s="1"/>
  <c r="AD226" i="65"/>
  <c r="AE226" i="65"/>
  <c r="AD227" i="65"/>
  <c r="AE227" i="65" s="1"/>
  <c r="AD228" i="65"/>
  <c r="AE228" i="65" s="1"/>
  <c r="AD229" i="65"/>
  <c r="AE229" i="65"/>
  <c r="AD230" i="65"/>
  <c r="AE230" i="65" s="1"/>
  <c r="AD231" i="65"/>
  <c r="AE231" i="65" s="1"/>
  <c r="AD232" i="65"/>
  <c r="AE232" i="65" s="1"/>
  <c r="AD233" i="65"/>
  <c r="AE233" i="65"/>
  <c r="AD234" i="65"/>
  <c r="AE234" i="65" s="1"/>
  <c r="AD235" i="65"/>
  <c r="AE235" i="65"/>
  <c r="AD236" i="65"/>
  <c r="AE236" i="65"/>
  <c r="AD237" i="65"/>
  <c r="AE237" i="65" s="1"/>
  <c r="AD238" i="65"/>
  <c r="AE238" i="65"/>
  <c r="AD239" i="65"/>
  <c r="AE239" i="65" s="1"/>
  <c r="AD240" i="65"/>
  <c r="AE240" i="65" s="1"/>
  <c r="AD241" i="65"/>
  <c r="AE241" i="65" s="1"/>
  <c r="AD242" i="65"/>
  <c r="AE242" i="65"/>
  <c r="AD243" i="65"/>
  <c r="AE243" i="65" s="1"/>
  <c r="AD244" i="65"/>
  <c r="AE244" i="65" s="1"/>
  <c r="AD245" i="65"/>
  <c r="AE245" i="65"/>
  <c r="AD246" i="65"/>
  <c r="AE246" i="65" s="1"/>
  <c r="AD247" i="65"/>
  <c r="AE247" i="65"/>
  <c r="AD248" i="65"/>
  <c r="AE248" i="65" s="1"/>
  <c r="AD249" i="65"/>
  <c r="AE249" i="65" s="1"/>
  <c r="AD250" i="65"/>
  <c r="AE250" i="65"/>
  <c r="AD251" i="65"/>
  <c r="AE251" i="65" s="1"/>
  <c r="AD252" i="65"/>
  <c r="AE252" i="65" s="1"/>
  <c r="AD253" i="65"/>
  <c r="AE253" i="65"/>
  <c r="AD254" i="65"/>
  <c r="AE254" i="65"/>
  <c r="AD255" i="65"/>
  <c r="AE255" i="65" s="1"/>
  <c r="AD256" i="65"/>
  <c r="AE256" i="65" s="1"/>
  <c r="AD257" i="65"/>
  <c r="AE257" i="65"/>
  <c r="AD258" i="65"/>
  <c r="AE258" i="65" s="1"/>
  <c r="AD259" i="65"/>
  <c r="AE259" i="65" s="1"/>
  <c r="AD260" i="65"/>
  <c r="AE260" i="65"/>
  <c r="AD261" i="65"/>
  <c r="AE261" i="65" s="1"/>
  <c r="AD262" i="65"/>
  <c r="AE262" i="65" s="1"/>
  <c r="AD263" i="65"/>
  <c r="AE263" i="65" s="1"/>
  <c r="AD264" i="65"/>
  <c r="AE264" i="65"/>
  <c r="AD265" i="65"/>
  <c r="AE265" i="65"/>
  <c r="AD266" i="65"/>
  <c r="AE266" i="65" s="1"/>
  <c r="AD267" i="65"/>
  <c r="AE267" i="65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T12" i="65"/>
  <c r="U12" i="65" s="1"/>
  <c r="T13" i="65"/>
  <c r="U13" i="65"/>
  <c r="T14" i="65"/>
  <c r="U14" i="65" s="1"/>
  <c r="T15" i="65"/>
  <c r="U15" i="65"/>
  <c r="T16" i="65"/>
  <c r="U16" i="65" s="1"/>
  <c r="T17" i="65"/>
  <c r="U17" i="65"/>
  <c r="T18" i="65"/>
  <c r="U18" i="65" s="1"/>
  <c r="T19" i="65"/>
  <c r="U19" i="65"/>
  <c r="T20" i="65"/>
  <c r="U20" i="65" s="1"/>
  <c r="T21" i="65"/>
  <c r="U21" i="65"/>
  <c r="T22" i="65"/>
  <c r="U22" i="65" s="1"/>
  <c r="T23" i="65"/>
  <c r="U23" i="65"/>
  <c r="T24" i="65"/>
  <c r="U24" i="65" s="1"/>
  <c r="T25" i="65"/>
  <c r="U25" i="65"/>
  <c r="T26" i="65"/>
  <c r="U26" i="65" s="1"/>
  <c r="T27" i="65"/>
  <c r="U27" i="65" s="1"/>
  <c r="T28" i="65"/>
  <c r="U28" i="65" s="1"/>
  <c r="T29" i="65"/>
  <c r="U29" i="65"/>
  <c r="T30" i="65"/>
  <c r="U30" i="65" s="1"/>
  <c r="T31" i="65"/>
  <c r="U31" i="65"/>
  <c r="T32" i="65"/>
  <c r="U32" i="65" s="1"/>
  <c r="T33" i="65"/>
  <c r="U33" i="65" s="1"/>
  <c r="T34" i="65"/>
  <c r="U34" i="65" s="1"/>
  <c r="T35" i="65"/>
  <c r="U35" i="65"/>
  <c r="T36" i="65"/>
  <c r="U36" i="65" s="1"/>
  <c r="T37" i="65"/>
  <c r="U37" i="65"/>
  <c r="T38" i="65"/>
  <c r="U38" i="65" s="1"/>
  <c r="T39" i="65"/>
  <c r="U39" i="65" s="1"/>
  <c r="T40" i="65"/>
  <c r="U40" i="65" s="1"/>
  <c r="T41" i="65"/>
  <c r="U41" i="65"/>
  <c r="T42" i="65"/>
  <c r="U42" i="65" s="1"/>
  <c r="T43" i="65"/>
  <c r="U43" i="65"/>
  <c r="T44" i="65"/>
  <c r="U44" i="65" s="1"/>
  <c r="T45" i="65"/>
  <c r="U45" i="65" s="1"/>
  <c r="T46" i="65"/>
  <c r="U46" i="65" s="1"/>
  <c r="T47" i="65"/>
  <c r="U47" i="65"/>
  <c r="T48" i="65"/>
  <c r="U48" i="65" s="1"/>
  <c r="T49" i="65"/>
  <c r="U49" i="65"/>
  <c r="T50" i="65"/>
  <c r="U50" i="65" s="1"/>
  <c r="T51" i="65"/>
  <c r="U51" i="65" s="1"/>
  <c r="T52" i="65"/>
  <c r="U52" i="65" s="1"/>
  <c r="T53" i="65"/>
  <c r="U53" i="65"/>
  <c r="T54" i="65"/>
  <c r="U54" i="65" s="1"/>
  <c r="T55" i="65"/>
  <c r="U55" i="65"/>
  <c r="T56" i="65"/>
  <c r="U56" i="65" s="1"/>
  <c r="T57" i="65"/>
  <c r="U57" i="65" s="1"/>
  <c r="T58" i="65"/>
  <c r="U58" i="65" s="1"/>
  <c r="T59" i="65"/>
  <c r="U59" i="65"/>
  <c r="T60" i="65"/>
  <c r="U60" i="65" s="1"/>
  <c r="T61" i="65"/>
  <c r="U61" i="65"/>
  <c r="T62" i="65"/>
  <c r="U62" i="65" s="1"/>
  <c r="T63" i="65"/>
  <c r="U63" i="65" s="1"/>
  <c r="T64" i="65"/>
  <c r="U64" i="65" s="1"/>
  <c r="T65" i="65"/>
  <c r="U65" i="65"/>
  <c r="T66" i="65"/>
  <c r="U66" i="65" s="1"/>
  <c r="T67" i="65"/>
  <c r="U67" i="65"/>
  <c r="T68" i="65"/>
  <c r="U68" i="65" s="1"/>
  <c r="T69" i="65"/>
  <c r="U69" i="65" s="1"/>
  <c r="T70" i="65"/>
  <c r="U70" i="65" s="1"/>
  <c r="T71" i="65"/>
  <c r="U71" i="65"/>
  <c r="T72" i="65"/>
  <c r="U72" i="65" s="1"/>
  <c r="T73" i="65"/>
  <c r="U73" i="65"/>
  <c r="T74" i="65"/>
  <c r="U74" i="65" s="1"/>
  <c r="T75" i="65"/>
  <c r="U75" i="65" s="1"/>
  <c r="T76" i="65"/>
  <c r="U76" i="65" s="1"/>
  <c r="T77" i="65"/>
  <c r="U77" i="65"/>
  <c r="T78" i="65"/>
  <c r="U78" i="65" s="1"/>
  <c r="T79" i="65"/>
  <c r="U79" i="65"/>
  <c r="T80" i="65"/>
  <c r="U80" i="65" s="1"/>
  <c r="T81" i="65"/>
  <c r="U81" i="65" s="1"/>
  <c r="T82" i="65"/>
  <c r="U82" i="65" s="1"/>
  <c r="T83" i="65"/>
  <c r="U83" i="65"/>
  <c r="T84" i="65"/>
  <c r="U84" i="65" s="1"/>
  <c r="T85" i="65"/>
  <c r="U85" i="65"/>
  <c r="T86" i="65"/>
  <c r="U86" i="65" s="1"/>
  <c r="T87" i="65"/>
  <c r="U87" i="65" s="1"/>
  <c r="T88" i="65"/>
  <c r="U88" i="65" s="1"/>
  <c r="T89" i="65"/>
  <c r="U89" i="65"/>
  <c r="T90" i="65"/>
  <c r="U90" i="65" s="1"/>
  <c r="T91" i="65"/>
  <c r="U91" i="65"/>
  <c r="T92" i="65"/>
  <c r="U92" i="65" s="1"/>
  <c r="T93" i="65"/>
  <c r="U93" i="65" s="1"/>
  <c r="T94" i="65"/>
  <c r="U94" i="65" s="1"/>
  <c r="T95" i="65"/>
  <c r="U95" i="65"/>
  <c r="T96" i="65"/>
  <c r="U96" i="65" s="1"/>
  <c r="T97" i="65"/>
  <c r="U97" i="65"/>
  <c r="T98" i="65"/>
  <c r="U98" i="65" s="1"/>
  <c r="T99" i="65"/>
  <c r="U99" i="65" s="1"/>
  <c r="T100" i="65"/>
  <c r="U100" i="65" s="1"/>
  <c r="T101" i="65"/>
  <c r="U101" i="65"/>
  <c r="T102" i="65"/>
  <c r="U102" i="65" s="1"/>
  <c r="T103" i="65"/>
  <c r="U103" i="65"/>
  <c r="T104" i="65"/>
  <c r="U104" i="65" s="1"/>
  <c r="T105" i="65"/>
  <c r="U105" i="65" s="1"/>
  <c r="T106" i="65"/>
  <c r="U106" i="65" s="1"/>
  <c r="T107" i="65"/>
  <c r="U107" i="65"/>
  <c r="T108" i="65"/>
  <c r="U108" i="65" s="1"/>
  <c r="T109" i="65"/>
  <c r="U109" i="65"/>
  <c r="T110" i="65"/>
  <c r="U110" i="65" s="1"/>
  <c r="T111" i="65"/>
  <c r="U111" i="65" s="1"/>
  <c r="T112" i="65"/>
  <c r="U112" i="65" s="1"/>
  <c r="T113" i="65"/>
  <c r="U113" i="65"/>
  <c r="T114" i="65"/>
  <c r="U114" i="65" s="1"/>
  <c r="T115" i="65"/>
  <c r="U115" i="65"/>
  <c r="T116" i="65"/>
  <c r="U116" i="65" s="1"/>
  <c r="T117" i="65"/>
  <c r="U117" i="65" s="1"/>
  <c r="T118" i="65"/>
  <c r="U118" i="65" s="1"/>
  <c r="T119" i="65"/>
  <c r="U119" i="65"/>
  <c r="T120" i="65"/>
  <c r="U120" i="65" s="1"/>
  <c r="T121" i="65"/>
  <c r="U121" i="65"/>
  <c r="T122" i="65"/>
  <c r="U122" i="65" s="1"/>
  <c r="T123" i="65"/>
  <c r="U123" i="65" s="1"/>
  <c r="T124" i="65"/>
  <c r="U124" i="65" s="1"/>
  <c r="T125" i="65"/>
  <c r="U125" i="65"/>
  <c r="T126" i="65"/>
  <c r="U126" i="65" s="1"/>
  <c r="T127" i="65"/>
  <c r="U127" i="65"/>
  <c r="T128" i="65"/>
  <c r="U128" i="65" s="1"/>
  <c r="T129" i="65"/>
  <c r="U129" i="65" s="1"/>
  <c r="T130" i="65"/>
  <c r="U130" i="65" s="1"/>
  <c r="T131" i="65"/>
  <c r="U131" i="65"/>
  <c r="T132" i="65"/>
  <c r="U132" i="65" s="1"/>
  <c r="T133" i="65"/>
  <c r="U133" i="65"/>
  <c r="T134" i="65"/>
  <c r="U134" i="65" s="1"/>
  <c r="T135" i="65"/>
  <c r="U135" i="65" s="1"/>
  <c r="T136" i="65"/>
  <c r="U136" i="65" s="1"/>
  <c r="T137" i="65"/>
  <c r="U137" i="65"/>
  <c r="T138" i="65"/>
  <c r="U138" i="65" s="1"/>
  <c r="T139" i="65"/>
  <c r="U139" i="65"/>
  <c r="T140" i="65"/>
  <c r="U140" i="65" s="1"/>
  <c r="T141" i="65"/>
  <c r="U141" i="65" s="1"/>
  <c r="T142" i="65"/>
  <c r="U142" i="65" s="1"/>
  <c r="T143" i="65"/>
  <c r="U143" i="65"/>
  <c r="T144" i="65"/>
  <c r="U144" i="65" s="1"/>
  <c r="T145" i="65"/>
  <c r="U145" i="65"/>
  <c r="T146" i="65"/>
  <c r="U146" i="65" s="1"/>
  <c r="T147" i="65"/>
  <c r="U147" i="65" s="1"/>
  <c r="T148" i="65"/>
  <c r="U148" i="65" s="1"/>
  <c r="T149" i="65"/>
  <c r="U149" i="65"/>
  <c r="T150" i="65"/>
  <c r="U150" i="65" s="1"/>
  <c r="T151" i="65"/>
  <c r="U151" i="65"/>
  <c r="T152" i="65"/>
  <c r="U152" i="65" s="1"/>
  <c r="T153" i="65"/>
  <c r="U153" i="65" s="1"/>
  <c r="T154" i="65"/>
  <c r="U154" i="65" s="1"/>
  <c r="T155" i="65"/>
  <c r="U155" i="65"/>
  <c r="T156" i="65"/>
  <c r="U156" i="65" s="1"/>
  <c r="T157" i="65"/>
  <c r="U157" i="65"/>
  <c r="T158" i="65"/>
  <c r="U158" i="65" s="1"/>
  <c r="T159" i="65"/>
  <c r="U159" i="65" s="1"/>
  <c r="T160" i="65"/>
  <c r="U160" i="65" s="1"/>
  <c r="T161" i="65"/>
  <c r="U161" i="65"/>
  <c r="T162" i="65"/>
  <c r="U162" i="65" s="1"/>
  <c r="T163" i="65"/>
  <c r="U163" i="65"/>
  <c r="T164" i="65"/>
  <c r="U164" i="65" s="1"/>
  <c r="T165" i="65"/>
  <c r="U165" i="65" s="1"/>
  <c r="T166" i="65"/>
  <c r="U166" i="65" s="1"/>
  <c r="T167" i="65"/>
  <c r="U167" i="65"/>
  <c r="T168" i="65"/>
  <c r="U168" i="65" s="1"/>
  <c r="T169" i="65"/>
  <c r="U169" i="65"/>
  <c r="T170" i="65"/>
  <c r="U170" i="65" s="1"/>
  <c r="T171" i="65"/>
  <c r="U171" i="65" s="1"/>
  <c r="T172" i="65"/>
  <c r="U172" i="65" s="1"/>
  <c r="T173" i="65"/>
  <c r="U173" i="65"/>
  <c r="T174" i="65"/>
  <c r="U174" i="65" s="1"/>
  <c r="T175" i="65"/>
  <c r="U175" i="65"/>
  <c r="T176" i="65"/>
  <c r="U176" i="65" s="1"/>
  <c r="T177" i="65"/>
  <c r="U177" i="65" s="1"/>
  <c r="T178" i="65"/>
  <c r="U178" i="65" s="1"/>
  <c r="T179" i="65"/>
  <c r="U179" i="65"/>
  <c r="T180" i="65"/>
  <c r="U180" i="65" s="1"/>
  <c r="T181" i="65"/>
  <c r="U181" i="65"/>
  <c r="T182" i="65"/>
  <c r="U182" i="65" s="1"/>
  <c r="T183" i="65"/>
  <c r="U183" i="65" s="1"/>
  <c r="T184" i="65"/>
  <c r="U184" i="65" s="1"/>
  <c r="T185" i="65"/>
  <c r="U185" i="65"/>
  <c r="T186" i="65"/>
  <c r="U186" i="65" s="1"/>
  <c r="T187" i="65"/>
  <c r="U187" i="65"/>
  <c r="T188" i="65"/>
  <c r="U188" i="65" s="1"/>
  <c r="T189" i="65"/>
  <c r="U189" i="65" s="1"/>
  <c r="T190" i="65"/>
  <c r="U190" i="65" s="1"/>
  <c r="T191" i="65"/>
  <c r="U191" i="65"/>
  <c r="T192" i="65"/>
  <c r="U192" i="65" s="1"/>
  <c r="T193" i="65"/>
  <c r="U193" i="65"/>
  <c r="T194" i="65"/>
  <c r="U194" i="65" s="1"/>
  <c r="T195" i="65"/>
  <c r="U195" i="65" s="1"/>
  <c r="T196" i="65"/>
  <c r="U196" i="65" s="1"/>
  <c r="T197" i="65"/>
  <c r="U197" i="65"/>
  <c r="T198" i="65"/>
  <c r="U198" i="65" s="1"/>
  <c r="T199" i="65"/>
  <c r="U199" i="65"/>
  <c r="T200" i="65"/>
  <c r="U200" i="65" s="1"/>
  <c r="T201" i="65"/>
  <c r="U201" i="65" s="1"/>
  <c r="T202" i="65"/>
  <c r="U202" i="65" s="1"/>
  <c r="T203" i="65"/>
  <c r="U203" i="65"/>
  <c r="T204" i="65"/>
  <c r="U204" i="65" s="1"/>
  <c r="T205" i="65"/>
  <c r="U205" i="65"/>
  <c r="T206" i="65"/>
  <c r="U206" i="65" s="1"/>
  <c r="T207" i="65"/>
  <c r="U207" i="65" s="1"/>
  <c r="T208" i="65"/>
  <c r="U208" i="65" s="1"/>
  <c r="T209" i="65"/>
  <c r="U209" i="65"/>
  <c r="T210" i="65"/>
  <c r="U210" i="65" s="1"/>
  <c r="T211" i="65"/>
  <c r="U211" i="65"/>
  <c r="T212" i="65"/>
  <c r="U212" i="65" s="1"/>
  <c r="T213" i="65"/>
  <c r="U213" i="65" s="1"/>
  <c r="T214" i="65"/>
  <c r="U214" i="65" s="1"/>
  <c r="T215" i="65"/>
  <c r="U215" i="65"/>
  <c r="T216" i="65"/>
  <c r="U216" i="65" s="1"/>
  <c r="T217" i="65"/>
  <c r="U217" i="65"/>
  <c r="T218" i="65"/>
  <c r="U218" i="65" s="1"/>
  <c r="T219" i="65"/>
  <c r="U219" i="65" s="1"/>
  <c r="T220" i="65"/>
  <c r="U220" i="65" s="1"/>
  <c r="T221" i="65"/>
  <c r="U221" i="65"/>
  <c r="T222" i="65"/>
  <c r="U222" i="65" s="1"/>
  <c r="T223" i="65"/>
  <c r="U223" i="65"/>
  <c r="T224" i="65"/>
  <c r="U224" i="65" s="1"/>
  <c r="T225" i="65"/>
  <c r="U225" i="65" s="1"/>
  <c r="T226" i="65"/>
  <c r="U226" i="65" s="1"/>
  <c r="T227" i="65"/>
  <c r="U227" i="65"/>
  <c r="T228" i="65"/>
  <c r="U228" i="65" s="1"/>
  <c r="T229" i="65"/>
  <c r="U229" i="65"/>
  <c r="T230" i="65"/>
  <c r="U230" i="65" s="1"/>
  <c r="T231" i="65"/>
  <c r="U231" i="65" s="1"/>
  <c r="T232" i="65"/>
  <c r="U232" i="65" s="1"/>
  <c r="T233" i="65"/>
  <c r="U233" i="65"/>
  <c r="T234" i="65"/>
  <c r="U234" i="65" s="1"/>
  <c r="T235" i="65"/>
  <c r="U235" i="65"/>
  <c r="T236" i="65"/>
  <c r="U236" i="65" s="1"/>
  <c r="T237" i="65"/>
  <c r="U237" i="65" s="1"/>
  <c r="T238" i="65"/>
  <c r="U238" i="65" s="1"/>
  <c r="T239" i="65"/>
  <c r="U239" i="65"/>
  <c r="T240" i="65"/>
  <c r="U240" i="65" s="1"/>
  <c r="T241" i="65"/>
  <c r="U241" i="65"/>
  <c r="T242" i="65"/>
  <c r="U242" i="65" s="1"/>
  <c r="T243" i="65"/>
  <c r="U243" i="65" s="1"/>
  <c r="T244" i="65"/>
  <c r="U244" i="65" s="1"/>
  <c r="T245" i="65"/>
  <c r="U245" i="65"/>
  <c r="T246" i="65"/>
  <c r="U246" i="65" s="1"/>
  <c r="T247" i="65"/>
  <c r="U247" i="65"/>
  <c r="T248" i="65"/>
  <c r="U248" i="65" s="1"/>
  <c r="T249" i="65"/>
  <c r="U249" i="65" s="1"/>
  <c r="T250" i="65"/>
  <c r="U250" i="65" s="1"/>
  <c r="T251" i="65"/>
  <c r="U251" i="65"/>
  <c r="T252" i="65"/>
  <c r="U252" i="65" s="1"/>
  <c r="T253" i="65"/>
  <c r="U253" i="65"/>
  <c r="T254" i="65"/>
  <c r="U254" i="65" s="1"/>
  <c r="T255" i="65"/>
  <c r="U255" i="65" s="1"/>
  <c r="T256" i="65"/>
  <c r="U256" i="65" s="1"/>
  <c r="T257" i="65"/>
  <c r="U257" i="65"/>
  <c r="T258" i="65"/>
  <c r="U258" i="65" s="1"/>
  <c r="T259" i="65"/>
  <c r="U259" i="65"/>
  <c r="T260" i="65"/>
  <c r="U260" i="65" s="1"/>
  <c r="T261" i="65"/>
  <c r="U261" i="65" s="1"/>
  <c r="T262" i="65"/>
  <c r="U262" i="65" s="1"/>
  <c r="T263" i="65"/>
  <c r="U263" i="65"/>
  <c r="T264" i="65"/>
  <c r="U264" i="65" s="1"/>
  <c r="T265" i="65"/>
  <c r="U265" i="65"/>
  <c r="T266" i="65"/>
  <c r="U266" i="65" s="1"/>
  <c r="T267" i="65"/>
  <c r="U267" i="65" s="1"/>
  <c r="T268" i="65"/>
  <c r="U268" i="65" s="1"/>
  <c r="T269" i="65"/>
  <c r="U269" i="65"/>
  <c r="T270" i="65"/>
  <c r="U270" i="65" s="1"/>
  <c r="T271" i="65"/>
  <c r="U271" i="65"/>
  <c r="T272" i="65"/>
  <c r="U272" i="65" s="1"/>
  <c r="T273" i="65"/>
  <c r="U273" i="65" s="1"/>
  <c r="T274" i="65"/>
  <c r="U274" i="65" s="1"/>
  <c r="T275" i="65"/>
  <c r="U275" i="65"/>
  <c r="T276" i="65"/>
  <c r="U276" i="65" s="1"/>
  <c r="T277" i="65"/>
  <c r="U277" i="65"/>
  <c r="T278" i="65"/>
  <c r="U278" i="65" s="1"/>
  <c r="T279" i="65"/>
  <c r="U279" i="65" s="1"/>
  <c r="T280" i="65"/>
  <c r="U280" i="65" s="1"/>
  <c r="T281" i="65"/>
  <c r="U281" i="65"/>
  <c r="T282" i="65"/>
  <c r="U282" i="65" s="1"/>
  <c r="T283" i="65"/>
  <c r="U283" i="65"/>
  <c r="T284" i="65"/>
  <c r="U284" i="65" s="1"/>
  <c r="T285" i="65"/>
  <c r="U285" i="65" s="1"/>
  <c r="T286" i="65"/>
  <c r="U286" i="65" s="1"/>
  <c r="T287" i="65"/>
  <c r="U287" i="65"/>
  <c r="T288" i="65"/>
  <c r="U288" i="65" s="1"/>
  <c r="T289" i="65"/>
  <c r="U289" i="65"/>
  <c r="T290" i="65"/>
  <c r="U290" i="65" s="1"/>
  <c r="T291" i="65"/>
  <c r="U291" i="65" s="1"/>
  <c r="T292" i="65"/>
  <c r="U292" i="65" s="1"/>
  <c r="T293" i="65"/>
  <c r="U293" i="65"/>
  <c r="T294" i="65"/>
  <c r="U294" i="65" s="1"/>
  <c r="T295" i="65"/>
  <c r="U295" i="65"/>
  <c r="T296" i="65"/>
  <c r="U296" i="65" s="1"/>
  <c r="T297" i="65"/>
  <c r="U297" i="65" s="1"/>
  <c r="T298" i="65"/>
  <c r="U298" i="65" s="1"/>
  <c r="T299" i="65"/>
  <c r="U299" i="65"/>
  <c r="T300" i="65"/>
  <c r="U300" i="65" s="1"/>
  <c r="T301" i="65"/>
  <c r="U301" i="65"/>
  <c r="T302" i="65"/>
  <c r="U302" i="65" s="1"/>
  <c r="T303" i="65"/>
  <c r="U303" i="65" s="1"/>
  <c r="T304" i="65"/>
  <c r="U304" i="65" s="1"/>
  <c r="T305" i="65"/>
  <c r="U305" i="65"/>
  <c r="T306" i="65"/>
  <c r="U306" i="65" s="1"/>
  <c r="T307" i="65"/>
  <c r="U307" i="65"/>
  <c r="T308" i="65"/>
  <c r="U308" i="65" s="1"/>
  <c r="T309" i="65"/>
  <c r="U309" i="65" s="1"/>
  <c r="T310" i="65"/>
  <c r="U310" i="65" s="1"/>
  <c r="T311" i="65"/>
  <c r="U311" i="65"/>
  <c r="T312" i="65"/>
  <c r="U312" i="65" s="1"/>
  <c r="T313" i="65"/>
  <c r="U313" i="65"/>
  <c r="T314" i="65"/>
  <c r="U314" i="65" s="1"/>
  <c r="T315" i="65"/>
  <c r="U315" i="65" s="1"/>
  <c r="T316" i="65"/>
  <c r="U316" i="65" s="1"/>
  <c r="T317" i="65"/>
  <c r="U317" i="65"/>
  <c r="T318" i="65"/>
  <c r="U318" i="65" s="1"/>
  <c r="T319" i="65"/>
  <c r="U319" i="65"/>
  <c r="T320" i="65"/>
  <c r="U320" i="65" s="1"/>
  <c r="T321" i="65"/>
  <c r="U321" i="65" s="1"/>
  <c r="T322" i="65"/>
  <c r="U322" i="65" s="1"/>
  <c r="T323" i="65"/>
  <c r="U323" i="65"/>
  <c r="T324" i="65"/>
  <c r="U324" i="65" s="1"/>
  <c r="T325" i="65"/>
  <c r="U325" i="65"/>
  <c r="T326" i="65"/>
  <c r="U326" i="65" s="1"/>
  <c r="T327" i="65"/>
  <c r="U327" i="65" s="1"/>
  <c r="T328" i="65"/>
  <c r="U328" i="65" s="1"/>
  <c r="T329" i="65"/>
  <c r="U329" i="65"/>
  <c r="T330" i="65"/>
  <c r="U330" i="65" s="1"/>
  <c r="T331" i="65"/>
  <c r="U331" i="65"/>
  <c r="T332" i="65"/>
  <c r="U332" i="65" s="1"/>
  <c r="T333" i="65"/>
  <c r="U333" i="65" s="1"/>
  <c r="T334" i="65"/>
  <c r="U334" i="65" s="1"/>
  <c r="T335" i="65"/>
  <c r="U335" i="65"/>
  <c r="T336" i="65"/>
  <c r="U336" i="65" s="1"/>
  <c r="T337" i="65"/>
  <c r="U337" i="65"/>
  <c r="T338" i="65"/>
  <c r="U338" i="65" s="1"/>
  <c r="T339" i="65"/>
  <c r="U339" i="65" s="1"/>
  <c r="T340" i="65"/>
  <c r="U340" i="65" s="1"/>
  <c r="T341" i="65"/>
  <c r="U341" i="65"/>
  <c r="T342" i="65"/>
  <c r="U342" i="65" s="1"/>
  <c r="T343" i="65"/>
  <c r="U343" i="65"/>
  <c r="T344" i="65"/>
  <c r="U344" i="65" s="1"/>
  <c r="T345" i="65"/>
  <c r="U345" i="65" s="1"/>
  <c r="T346" i="65"/>
  <c r="U346" i="65" s="1"/>
  <c r="T347" i="65"/>
  <c r="U347" i="65"/>
  <c r="T348" i="65"/>
  <c r="U348" i="65" s="1"/>
  <c r="T349" i="65"/>
  <c r="U349" i="65"/>
  <c r="T350" i="65"/>
  <c r="U350" i="65" s="1"/>
  <c r="T351" i="65"/>
  <c r="U351" i="65" s="1"/>
  <c r="T352" i="65"/>
  <c r="U352" i="65" s="1"/>
  <c r="T353" i="65"/>
  <c r="U353" i="65"/>
  <c r="T354" i="65"/>
  <c r="U354" i="65" s="1"/>
  <c r="T355" i="65"/>
  <c r="U355" i="65"/>
  <c r="T356" i="65"/>
  <c r="U356" i="65" s="1"/>
  <c r="T357" i="65"/>
  <c r="U357" i="65" s="1"/>
  <c r="T358" i="65"/>
  <c r="U358" i="65" s="1"/>
  <c r="T359" i="65"/>
  <c r="U359" i="65"/>
  <c r="T360" i="65"/>
  <c r="U360" i="65" s="1"/>
  <c r="T361" i="65"/>
  <c r="U361" i="65"/>
  <c r="T362" i="65"/>
  <c r="U362" i="65" s="1"/>
  <c r="T363" i="65"/>
  <c r="U363" i="65" s="1"/>
  <c r="T364" i="65"/>
  <c r="U364" i="65" s="1"/>
  <c r="T365" i="65"/>
  <c r="U365" i="65"/>
  <c r="T366" i="65"/>
  <c r="U366" i="65" s="1"/>
  <c r="T367" i="65"/>
  <c r="U367" i="65"/>
  <c r="T368" i="65"/>
  <c r="U368" i="65" s="1"/>
  <c r="T369" i="65"/>
  <c r="U369" i="65" s="1"/>
  <c r="T370" i="65"/>
  <c r="U370" i="65" s="1"/>
  <c r="T371" i="65"/>
  <c r="U371" i="65"/>
  <c r="T372" i="65"/>
  <c r="U372" i="65" s="1"/>
  <c r="T373" i="65"/>
  <c r="U373" i="65"/>
  <c r="T374" i="65"/>
  <c r="U374" i="65" s="1"/>
  <c r="T375" i="65"/>
  <c r="U375" i="65" s="1"/>
  <c r="T376" i="65"/>
  <c r="U376" i="65" s="1"/>
  <c r="T377" i="65"/>
  <c r="U377" i="65"/>
  <c r="T378" i="65"/>
  <c r="U378" i="65" s="1"/>
  <c r="T379" i="65"/>
  <c r="U379" i="65"/>
  <c r="T380" i="65"/>
  <c r="U380" i="65" s="1"/>
  <c r="T381" i="65"/>
  <c r="U381" i="65" s="1"/>
  <c r="T382" i="65"/>
  <c r="U382" i="65" s="1"/>
  <c r="T383" i="65"/>
  <c r="U383" i="65"/>
  <c r="T384" i="65"/>
  <c r="U384" i="65" s="1"/>
  <c r="T385" i="65"/>
  <c r="U385" i="65"/>
  <c r="T386" i="65"/>
  <c r="U386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 s="1"/>
  <c r="L99" i="65"/>
  <c r="M99" i="65"/>
  <c r="L100" i="65"/>
  <c r="M100" i="65"/>
  <c r="L101" i="65"/>
  <c r="M101" i="65" s="1"/>
  <c r="L102" i="65"/>
  <c r="M102" i="65"/>
  <c r="L103" i="65"/>
  <c r="M103" i="65"/>
  <c r="L104" i="65"/>
  <c r="M104" i="65" s="1"/>
  <c r="L105" i="65"/>
  <c r="M105" i="65"/>
  <c r="L106" i="65"/>
  <c r="M106" i="65"/>
  <c r="L107" i="65"/>
  <c r="M107" i="65" s="1"/>
  <c r="L108" i="65"/>
  <c r="M108" i="65"/>
  <c r="L109" i="65"/>
  <c r="M109" i="65"/>
  <c r="L110" i="65"/>
  <c r="M110" i="65" s="1"/>
  <c r="L111" i="65"/>
  <c r="M111" i="65"/>
  <c r="L112" i="65"/>
  <c r="M112" i="65"/>
  <c r="L113" i="65"/>
  <c r="M113" i="65" s="1"/>
  <c r="L114" i="65"/>
  <c r="M114" i="65"/>
  <c r="L115" i="65"/>
  <c r="M115" i="65"/>
  <c r="L116" i="65"/>
  <c r="M116" i="65" s="1"/>
  <c r="L117" i="65"/>
  <c r="M117" i="65"/>
  <c r="L118" i="65"/>
  <c r="M118" i="65" s="1"/>
  <c r="L119" i="65"/>
  <c r="M119" i="65"/>
  <c r="L120" i="65"/>
  <c r="M120" i="65" s="1"/>
  <c r="L121" i="65"/>
  <c r="M121" i="65" s="1"/>
  <c r="L122" i="65"/>
  <c r="M122" i="65" s="1"/>
  <c r="L123" i="65"/>
  <c r="M123" i="65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G2" i="66" l="1"/>
  <c r="L9" i="66"/>
  <c r="B11" i="66" s="1"/>
  <c r="AM7" i="66"/>
  <c r="AM5" i="66"/>
  <c r="AM3" i="66"/>
  <c r="AQ2" i="66"/>
  <c r="AV9" i="66"/>
  <c r="B15" i="66" s="1"/>
  <c r="B13" i="67"/>
  <c r="AD4" i="67"/>
  <c r="AU3" i="66"/>
  <c r="AS6" i="66" s="1"/>
  <c r="A15" i="66" s="1"/>
  <c r="EY4" i="66"/>
  <c r="EY2" i="66" s="1"/>
  <c r="EV9" i="66" s="1"/>
  <c r="EH4" i="66"/>
  <c r="EH2" i="66" s="1"/>
  <c r="EE9" i="66" s="1"/>
  <c r="E25" i="66" s="1"/>
  <c r="EE6" i="66"/>
  <c r="DP4" i="66"/>
  <c r="DP2" i="66" s="1"/>
  <c r="DM9" i="66" s="1"/>
  <c r="E23" i="66" s="1"/>
  <c r="AV4" i="67"/>
  <c r="AV2" i="67" s="1"/>
  <c r="Y2" i="66"/>
  <c r="AL4" i="67"/>
  <c r="AL2" i="67" s="1"/>
  <c r="D14" i="67" s="1"/>
  <c r="C14" i="67"/>
  <c r="D19" i="67"/>
  <c r="CC9" i="67"/>
  <c r="E19" i="67" s="1"/>
  <c r="C11" i="67"/>
  <c r="L2" i="67"/>
  <c r="C22" i="67"/>
  <c r="DF2" i="67"/>
  <c r="D22" i="67" s="1"/>
  <c r="C17" i="67"/>
  <c r="C19" i="67"/>
  <c r="BN2" i="67"/>
  <c r="C20" i="67"/>
  <c r="CN2" i="67"/>
  <c r="D20" i="67" s="1"/>
  <c r="C18" i="67"/>
  <c r="BV2" i="67"/>
  <c r="D18" i="67" s="1"/>
  <c r="C16" i="67"/>
  <c r="BD2" i="67"/>
  <c r="D16" i="67" s="1"/>
  <c r="C15" i="67"/>
  <c r="C12" i="67"/>
  <c r="T2" i="67"/>
  <c r="D12" i="67" s="1"/>
  <c r="C13" i="67"/>
  <c r="AD2" i="67"/>
  <c r="C21" i="67"/>
  <c r="CX2" i="67"/>
  <c r="BE7" i="66"/>
  <c r="BE3" i="66"/>
  <c r="BE5" i="66"/>
  <c r="AY4" i="66"/>
  <c r="AW7" i="66"/>
  <c r="AW5" i="66"/>
  <c r="AW3" i="66"/>
  <c r="AL9" i="66"/>
  <c r="B14" i="66" s="1"/>
  <c r="AG4" i="66"/>
  <c r="AE7" i="66"/>
  <c r="AE3" i="66"/>
  <c r="AE5" i="66"/>
  <c r="U7" i="66"/>
  <c r="U5" i="66"/>
  <c r="U3" i="66"/>
  <c r="M5" i="66"/>
  <c r="M3" i="66"/>
  <c r="L4" i="66" s="1"/>
  <c r="M7" i="66"/>
  <c r="EP4" i="66"/>
  <c r="EP2" i="66" s="1"/>
  <c r="FG4" i="66"/>
  <c r="FG2" i="66" s="1"/>
  <c r="DX4" i="66"/>
  <c r="DX2" i="66" s="1"/>
  <c r="A20" i="66"/>
  <c r="CN4" i="66"/>
  <c r="A16" i="66"/>
  <c r="BD4" i="66"/>
  <c r="A12" i="66"/>
  <c r="T4" i="66"/>
  <c r="A22" i="66"/>
  <c r="DF4" i="66"/>
  <c r="A18" i="66"/>
  <c r="BV4" i="66"/>
  <c r="A14" i="66"/>
  <c r="AL4" i="66"/>
  <c r="CX4" i="66"/>
  <c r="AD4" i="66"/>
  <c r="CF4" i="66"/>
  <c r="CF2" i="66" s="1"/>
  <c r="BN4" i="66"/>
  <c r="J5" i="63"/>
  <c r="AQ4" i="66" l="1"/>
  <c r="AV4" i="66"/>
  <c r="C15" i="66" s="1"/>
  <c r="D11" i="67"/>
  <c r="I9" i="67"/>
  <c r="E11" i="67" s="1"/>
  <c r="D21" i="67"/>
  <c r="CU9" i="67"/>
  <c r="E21" i="67" s="1"/>
  <c r="D13" i="67"/>
  <c r="AA9" i="67"/>
  <c r="E13" i="67" s="1"/>
  <c r="D15" i="67"/>
  <c r="AS9" i="67"/>
  <c r="E15" i="67" s="1"/>
  <c r="D17" i="67"/>
  <c r="BK9" i="67"/>
  <c r="E17" i="67" s="1"/>
  <c r="D19" i="66"/>
  <c r="CC9" i="66"/>
  <c r="E19" i="66" s="1"/>
  <c r="C14" i="66"/>
  <c r="AL2" i="66"/>
  <c r="D14" i="66" s="1"/>
  <c r="C18" i="66"/>
  <c r="BV2" i="66"/>
  <c r="D18" i="66" s="1"/>
  <c r="C22" i="66"/>
  <c r="DF2" i="66"/>
  <c r="D22" i="66" s="1"/>
  <c r="C12" i="66"/>
  <c r="T2" i="66"/>
  <c r="D12" i="66" s="1"/>
  <c r="C16" i="66"/>
  <c r="BD2" i="66"/>
  <c r="D16" i="66" s="1"/>
  <c r="C20" i="66"/>
  <c r="CN2" i="66"/>
  <c r="D20" i="66" s="1"/>
  <c r="C17" i="66"/>
  <c r="C19" i="66"/>
  <c r="BN2" i="66"/>
  <c r="C21" i="66"/>
  <c r="CX2" i="66"/>
  <c r="C11" i="66"/>
  <c r="L2" i="66"/>
  <c r="C13" i="66"/>
  <c r="AD2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CO3" i="65"/>
  <c r="CC3" i="65"/>
  <c r="BK3" i="65"/>
  <c r="AS3" i="65"/>
  <c r="AM3" i="65"/>
  <c r="AI3" i="65"/>
  <c r="AA3" i="65"/>
  <c r="I3" i="65"/>
  <c r="I5" i="63"/>
  <c r="J4" i="63"/>
  <c r="G5" i="63"/>
  <c r="H5" i="63"/>
  <c r="E5" i="63"/>
  <c r="DC3" i="65" l="1"/>
  <c r="CU4" i="65"/>
  <c r="CW4" i="65" s="1"/>
  <c r="DC4" i="65"/>
  <c r="DE4" i="65" s="1"/>
  <c r="DE7" i="65"/>
  <c r="AV2" i="66"/>
  <c r="D15" i="66" s="1"/>
  <c r="D13" i="66"/>
  <c r="AA9" i="66"/>
  <c r="E13" i="66" s="1"/>
  <c r="D11" i="66"/>
  <c r="I9" i="66"/>
  <c r="E11" i="66" s="1"/>
  <c r="D21" i="66"/>
  <c r="CU9" i="66"/>
  <c r="E21" i="66" s="1"/>
  <c r="D17" i="66"/>
  <c r="BK9" i="66"/>
  <c r="E17" i="66" s="1"/>
  <c r="CE3" i="65"/>
  <c r="CA4" i="65" s="1"/>
  <c r="DE3" i="65"/>
  <c r="DA4" i="65" s="1"/>
  <c r="BI2" i="65"/>
  <c r="CA2" i="65"/>
  <c r="M11" i="65"/>
  <c r="M9" i="65" s="1"/>
  <c r="M7" i="65" s="1"/>
  <c r="L6" i="65"/>
  <c r="K6" i="65" s="1"/>
  <c r="G2" i="65" s="1"/>
  <c r="I4" i="65"/>
  <c r="K4" i="65" s="1"/>
  <c r="BM3" i="65"/>
  <c r="BI4" i="65" s="1"/>
  <c r="K3" i="65"/>
  <c r="G4" i="65" s="1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U6" i="65"/>
  <c r="EM6" i="65"/>
  <c r="I6" i="65"/>
  <c r="A11" i="65" s="1"/>
  <c r="AA6" i="65"/>
  <c r="A13" i="65" s="1"/>
  <c r="BK6" i="65"/>
  <c r="A17" i="65" s="1"/>
  <c r="CC6" i="65"/>
  <c r="A19" i="65" s="1"/>
  <c r="DM6" i="65"/>
  <c r="EE6" i="65"/>
  <c r="EV6" i="65"/>
  <c r="FF3" i="65"/>
  <c r="S6" i="65"/>
  <c r="T9" i="65" s="1"/>
  <c r="AK6" i="65"/>
  <c r="AL9" i="65" s="1"/>
  <c r="BC6" i="65"/>
  <c r="BD9" i="65" s="1"/>
  <c r="BU6" i="65"/>
  <c r="BV9" i="65" s="1"/>
  <c r="CM6" i="65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C5" i="63"/>
  <c r="A3" i="63" a="1"/>
  <c r="L5" i="63"/>
  <c r="D5" i="63"/>
  <c r="B5" i="63"/>
  <c r="I4" i="63"/>
  <c r="E4" i="63"/>
  <c r="G4" i="63"/>
  <c r="H4" i="63"/>
  <c r="AS6" i="65" l="1"/>
  <c r="A15" i="65" s="1"/>
  <c r="CN9" i="65"/>
  <c r="DC6" i="65"/>
  <c r="A22" i="65" s="1"/>
  <c r="AS9" i="66"/>
  <c r="E15" i="66" s="1"/>
  <c r="FD6" i="65"/>
  <c r="FG4" i="65" s="1"/>
  <c r="FG2" i="65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V4" i="65"/>
  <c r="B14" i="65"/>
  <c r="AL4" i="65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L4" i="63"/>
  <c r="B4" i="63"/>
  <c r="D4" i="63"/>
  <c r="C4" i="63"/>
  <c r="T4" i="65" l="1"/>
  <c r="CN4" i="65"/>
  <c r="BQ4" i="65"/>
  <c r="O4" i="65"/>
  <c r="BA6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A16" i="65" l="1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DM6" i="64" l="1"/>
  <c r="EV6" i="64"/>
  <c r="AQ2" i="64"/>
  <c r="K3" i="64"/>
  <c r="G4" i="64" s="1"/>
  <c r="AU3" i="64"/>
  <c r="AS6" i="64" s="1"/>
  <c r="A15" i="64" s="1"/>
  <c r="C16" i="65"/>
  <c r="BD2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T9" i="64" s="1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C6" i="64"/>
  <c r="A22" i="64" s="1"/>
  <c r="DE3" i="64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W5" i="64"/>
  <c r="AC3" i="64"/>
  <c r="AA6" i="64" s="1"/>
  <c r="A13" i="64" s="1"/>
  <c r="M7" i="64"/>
  <c r="M5" i="64"/>
  <c r="M3" i="64"/>
  <c r="I6" i="64"/>
  <c r="A11" i="64" s="1"/>
  <c r="A2" i="63"/>
  <c r="AG4" i="64" l="1"/>
  <c r="AV4" i="64"/>
  <c r="EY4" i="64"/>
  <c r="EY2" i="64" s="1"/>
  <c r="EV9" i="64" s="1"/>
  <c r="O2" i="64"/>
  <c r="AG2" i="64"/>
  <c r="AY4" i="64"/>
  <c r="Y4" i="64"/>
  <c r="AQ4" i="64"/>
  <c r="O4" i="64"/>
  <c r="D16" i="65"/>
  <c r="AS9" i="65"/>
  <c r="E15" i="65" s="1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D16" i="64"/>
  <c r="D15" i="64"/>
  <c r="C22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2" i="63"/>
  <c r="E2" i="63"/>
  <c r="E3" i="63"/>
  <c r="J3" i="63"/>
  <c r="G3" i="63"/>
  <c r="H3" i="63"/>
  <c r="I2" i="63"/>
  <c r="C3" i="63"/>
  <c r="C2" i="63"/>
  <c r="I3" i="63"/>
  <c r="B3" i="63"/>
  <c r="L2" i="63"/>
  <c r="H2" i="63"/>
  <c r="B2" i="63"/>
  <c r="D3" i="63"/>
  <c r="L3" i="63"/>
  <c r="G2" i="63"/>
  <c r="D2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<sst xmlns="http://schemas.openxmlformats.org/spreadsheetml/2006/main" count="1648" uniqueCount="46">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</sst>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-30.446049382716048</c:v>
                </c:pt>
                <c:pt idx="1">
                  <c:v>-27.473333333333333</c:v>
                </c:pt>
                <c:pt idx="2">
                  <c:v>-24.542222222222218</c:v>
                </c:pt>
                <c:pt idx="3">
                  <c:v>-21.663703703703703</c:v>
                </c:pt>
                <c:pt idx="4">
                  <c:v>-18.875679012345678</c:v>
                </c:pt>
                <c:pt idx="5">
                  <c:v>-16.155432098765431</c:v>
                </c:pt>
                <c:pt idx="6">
                  <c:v>-13.510617283950616</c:v>
                </c:pt>
                <c:pt idx="7">
                  <c:v>-10.948654320987654</c:v>
                </c:pt>
                <c:pt idx="8">
                  <c:v>-8.4507283950617271</c:v>
                </c:pt>
                <c:pt idx="9">
                  <c:v>-6.0850493827160497</c:v>
                </c:pt>
                <c:pt idx="10">
                  <c:v>-3.8478518518518521</c:v>
                </c:pt>
                <c:pt idx="11">
                  <c:v>-1.748543209876543</c:v>
                </c:pt>
                <c:pt idx="12">
                  <c:v>0.14637160493827162</c:v>
                </c:pt>
                <c:pt idx="13">
                  <c:v>1.8163580246913578</c:v>
                </c:pt>
                <c:pt idx="14">
                  <c:v>3.3196296296296293</c:v>
                </c:pt>
                <c:pt idx="15">
                  <c:v>4.6036296296296291</c:v>
                </c:pt>
                <c:pt idx="16">
                  <c:v>5.7026419753086417</c:v>
                </c:pt>
                <c:pt idx="17">
                  <c:v>6.634753086419753</c:v>
                </c:pt>
                <c:pt idx="18">
                  <c:v>7.4560864197530865</c:v>
                </c:pt>
                <c:pt idx="19">
                  <c:v>8.1681604938271608</c:v>
                </c:pt>
                <c:pt idx="20">
                  <c:v>8.7860493827160493</c:v>
                </c:pt>
                <c:pt idx="21">
                  <c:v>9.3361234567901228</c:v>
                </c:pt>
                <c:pt idx="22">
                  <c:v>9.8296790123456788</c:v>
                </c:pt>
                <c:pt idx="23">
                  <c:v>10.278024691358024</c:v>
                </c:pt>
                <c:pt idx="24">
                  <c:v>10.677382716049381</c:v>
                </c:pt>
                <c:pt idx="25">
                  <c:v>11.046604938271606</c:v>
                </c:pt>
                <c:pt idx="26">
                  <c:v>11.393234567901235</c:v>
                </c:pt>
                <c:pt idx="27">
                  <c:v>11.690864197530864</c:v>
                </c:pt>
                <c:pt idx="28">
                  <c:v>11.958370370370369</c:v>
                </c:pt>
                <c:pt idx="29">
                  <c:v>12.214567901234567</c:v>
                </c:pt>
                <c:pt idx="30">
                  <c:v>12.455679012345678</c:v>
                </c:pt>
                <c:pt idx="31">
                  <c:v>12.678024691358022</c:v>
                </c:pt>
                <c:pt idx="32">
                  <c:v>12.881481481481481</c:v>
                </c:pt>
                <c:pt idx="33">
                  <c:v>13.062222222222221</c:v>
                </c:pt>
                <c:pt idx="34">
                  <c:v>13.220493827160492</c:v>
                </c:pt>
                <c:pt idx="35">
                  <c:v>13.397654320987654</c:v>
                </c:pt>
                <c:pt idx="36">
                  <c:v>13.552098765432097</c:v>
                </c:pt>
                <c:pt idx="37">
                  <c:v>13.706543209876543</c:v>
                </c:pt>
                <c:pt idx="38">
                  <c:v>13.857283950617285</c:v>
                </c:pt>
                <c:pt idx="39">
                  <c:v>13.992839506172839</c:v>
                </c:pt>
                <c:pt idx="40">
                  <c:v>14.109629629629628</c:v>
                </c:pt>
                <c:pt idx="41">
                  <c:v>14.226419753086418</c:v>
                </c:pt>
                <c:pt idx="42">
                  <c:v>14.339506172839505</c:v>
                </c:pt>
                <c:pt idx="43">
                  <c:v>14.444938271604938</c:v>
                </c:pt>
                <c:pt idx="44">
                  <c:v>14.546666666666665</c:v>
                </c:pt>
                <c:pt idx="45">
                  <c:v>14.633333333333333</c:v>
                </c:pt>
                <c:pt idx="46">
                  <c:v>14.719999999999999</c:v>
                </c:pt>
                <c:pt idx="47">
                  <c:v>14.806666666666667</c:v>
                </c:pt>
                <c:pt idx="48">
                  <c:v>14.893333333333333</c:v>
                </c:pt>
                <c:pt idx="49">
                  <c:v>14.983703703703702</c:v>
                </c:pt>
                <c:pt idx="50">
                  <c:v>15.055308641975309</c:v>
                </c:pt>
                <c:pt idx="51">
                  <c:v>15.123209876543209</c:v>
                </c:pt>
                <c:pt idx="52">
                  <c:v>15.187160493827157</c:v>
                </c:pt>
                <c:pt idx="53">
                  <c:v>15.236172839506171</c:v>
                </c:pt>
                <c:pt idx="54">
                  <c:v>15.292716049382715</c:v>
                </c:pt>
                <c:pt idx="55">
                  <c:v>15.360493827160493</c:v>
                </c:pt>
                <c:pt idx="56">
                  <c:v>15.424567901234568</c:v>
                </c:pt>
                <c:pt idx="57">
                  <c:v>15.477283950617283</c:v>
                </c:pt>
                <c:pt idx="58">
                  <c:v>15.511234567901234</c:v>
                </c:pt>
                <c:pt idx="59">
                  <c:v>15.552716049382715</c:v>
                </c:pt>
                <c:pt idx="60">
                  <c:v>15.582839506172839</c:v>
                </c:pt>
                <c:pt idx="61">
                  <c:v>15.635555555555555</c:v>
                </c:pt>
                <c:pt idx="62">
                  <c:v>15.684567901234566</c:v>
                </c:pt>
                <c:pt idx="63">
                  <c:v>15.729753086419752</c:v>
                </c:pt>
                <c:pt idx="64">
                  <c:v>15.771234567901235</c:v>
                </c:pt>
                <c:pt idx="65">
                  <c:v>15.808888888888886</c:v>
                </c:pt>
                <c:pt idx="66">
                  <c:v>15.842716049382712</c:v>
                </c:pt>
                <c:pt idx="67">
                  <c:v>15.876666666666663</c:v>
                </c:pt>
                <c:pt idx="68">
                  <c:v>15.914320987654323</c:v>
                </c:pt>
                <c:pt idx="69">
                  <c:v>15.944444444444441</c:v>
                </c:pt>
                <c:pt idx="70">
                  <c:v>15.982222222222221</c:v>
                </c:pt>
                <c:pt idx="71">
                  <c:v>16.008518518518514</c:v>
                </c:pt>
                <c:pt idx="72">
                  <c:v>16.031111111111109</c:v>
                </c:pt>
                <c:pt idx="73">
                  <c:v>16.057530864197531</c:v>
                </c:pt>
                <c:pt idx="74">
                  <c:v>16.080123456790126</c:v>
                </c:pt>
                <c:pt idx="75">
                  <c:v>16.102716049382714</c:v>
                </c:pt>
                <c:pt idx="76">
                  <c:v>16.132839506172839</c:v>
                </c:pt>
                <c:pt idx="77">
                  <c:v>16.155432098765431</c:v>
                </c:pt>
                <c:pt idx="78">
                  <c:v>16.185679012345677</c:v>
                </c:pt>
                <c:pt idx="79">
                  <c:v>16.208271604938268</c:v>
                </c:pt>
                <c:pt idx="80">
                  <c:v>16.227037037037036</c:v>
                </c:pt>
                <c:pt idx="81">
                  <c:v>16.245925925925924</c:v>
                </c:pt>
                <c:pt idx="82">
                  <c:v>16.253456790123455</c:v>
                </c:pt>
                <c:pt idx="83">
                  <c:v>16.276049382716046</c:v>
                </c:pt>
                <c:pt idx="84">
                  <c:v>16.28358024691358</c:v>
                </c:pt>
                <c:pt idx="85">
                  <c:v>16.298641975308641</c:v>
                </c:pt>
                <c:pt idx="86">
                  <c:v>16.309999999999999</c:v>
                </c:pt>
                <c:pt idx="87">
                  <c:v>16.32506172839506</c:v>
                </c:pt>
                <c:pt idx="88">
                  <c:v>16.347654320987651</c:v>
                </c:pt>
                <c:pt idx="89">
                  <c:v>16.366419753086415</c:v>
                </c:pt>
                <c:pt idx="90">
                  <c:v>16.385308641975307</c:v>
                </c:pt>
                <c:pt idx="91">
                  <c:v>16.400370370370371</c:v>
                </c:pt>
                <c:pt idx="92">
                  <c:v>16.41925925925926</c:v>
                </c:pt>
                <c:pt idx="93">
                  <c:v>16.441851851851851</c:v>
                </c:pt>
                <c:pt idx="94">
                  <c:v>16.464444444444442</c:v>
                </c:pt>
                <c:pt idx="95">
                  <c:v>16.479506172839503</c:v>
                </c:pt>
                <c:pt idx="96">
                  <c:v>16.502098765432098</c:v>
                </c:pt>
                <c:pt idx="97">
                  <c:v>16.517160493827159</c:v>
                </c:pt>
                <c:pt idx="98">
                  <c:v>16.53222222222222</c:v>
                </c:pt>
                <c:pt idx="99">
                  <c:v>16.539753086419751</c:v>
                </c:pt>
                <c:pt idx="100">
                  <c:v>16.562345679012346</c:v>
                </c:pt>
                <c:pt idx="101">
                  <c:v>16.581234567901234</c:v>
                </c:pt>
                <c:pt idx="102">
                  <c:v>16.607530864197528</c:v>
                </c:pt>
                <c:pt idx="103">
                  <c:v>16.618888888888886</c:v>
                </c:pt>
                <c:pt idx="104">
                  <c:v>16.633950617283947</c:v>
                </c:pt>
                <c:pt idx="105">
                  <c:v>16.652839506172839</c:v>
                </c:pt>
                <c:pt idx="106">
                  <c:v>16.660370370370369</c:v>
                </c:pt>
                <c:pt idx="107">
                  <c:v>16.67543209876543</c:v>
                </c:pt>
                <c:pt idx="108">
                  <c:v>16.694197530864194</c:v>
                </c:pt>
                <c:pt idx="109">
                  <c:v>16.716790123456789</c:v>
                </c:pt>
                <c:pt idx="110">
                  <c:v>16.728148148148147</c:v>
                </c:pt>
                <c:pt idx="111">
                  <c:v>16.743209876543208</c:v>
                </c:pt>
                <c:pt idx="112">
                  <c:v>16.7620987654321</c:v>
                </c:pt>
                <c:pt idx="113">
                  <c:v>16.777160493827161</c:v>
                </c:pt>
                <c:pt idx="114">
                  <c:v>16.788395061728394</c:v>
                </c:pt>
                <c:pt idx="115">
                  <c:v>16.799753086419752</c:v>
                </c:pt>
                <c:pt idx="116">
                  <c:v>16.803456790123455</c:v>
                </c:pt>
                <c:pt idx="117">
                  <c:v>16.818518518518516</c:v>
                </c:pt>
                <c:pt idx="118">
                  <c:v>16.822345679012344</c:v>
                </c:pt>
                <c:pt idx="119">
                  <c:v>16.814814814814813</c:v>
                </c:pt>
                <c:pt idx="120">
                  <c:v>16.822345679012344</c:v>
                </c:pt>
                <c:pt idx="121">
                  <c:v>16.829876543209878</c:v>
                </c:pt>
                <c:pt idx="122">
                  <c:v>16.826172839506171</c:v>
                </c:pt>
                <c:pt idx="123">
                  <c:v>16.826172839506171</c:v>
                </c:pt>
                <c:pt idx="124">
                  <c:v>16.826172839506171</c:v>
                </c:pt>
                <c:pt idx="125">
                  <c:v>16.818518518518516</c:v>
                </c:pt>
                <c:pt idx="126">
                  <c:v>16.818518518518516</c:v>
                </c:pt>
                <c:pt idx="127">
                  <c:v>16.826172839506171</c:v>
                </c:pt>
                <c:pt idx="128">
                  <c:v>16.852469135802469</c:v>
                </c:pt>
                <c:pt idx="129">
                  <c:v>16.871358024691357</c:v>
                </c:pt>
                <c:pt idx="130">
                  <c:v>16.87506172839506</c:v>
                </c:pt>
                <c:pt idx="131">
                  <c:v>16.886419753086418</c:v>
                </c:pt>
                <c:pt idx="132">
                  <c:v>16.893950617283949</c:v>
                </c:pt>
                <c:pt idx="133">
                  <c:v>16.897654320987655</c:v>
                </c:pt>
                <c:pt idx="134">
                  <c:v>16.912716049382716</c:v>
                </c:pt>
                <c:pt idx="135">
                  <c:v>16.927777777777777</c:v>
                </c:pt>
                <c:pt idx="136">
                  <c:v>16.946666666666665</c:v>
                </c:pt>
                <c:pt idx="137">
                  <c:v>16.954197530864196</c:v>
                </c:pt>
                <c:pt idx="138">
                  <c:v>16.958024691358023</c:v>
                </c:pt>
                <c:pt idx="139">
                  <c:v>16.965555555555554</c:v>
                </c:pt>
                <c:pt idx="140">
                  <c:v>16.950493827160493</c:v>
                </c:pt>
                <c:pt idx="141">
                  <c:v>16.942962962962962</c:v>
                </c:pt>
                <c:pt idx="142">
                  <c:v>16.942962962962962</c:v>
                </c:pt>
                <c:pt idx="143">
                  <c:v>16.950493827160493</c:v>
                </c:pt>
                <c:pt idx="144">
                  <c:v>16.961728395061726</c:v>
                </c:pt>
                <c:pt idx="145">
                  <c:v>16.969259259259257</c:v>
                </c:pt>
                <c:pt idx="146">
                  <c:v>16.976790123456787</c:v>
                </c:pt>
                <c:pt idx="147">
                  <c:v>16.984320987654321</c:v>
                </c:pt>
                <c:pt idx="148">
                  <c:v>16.995679012345676</c:v>
                </c:pt>
                <c:pt idx="149">
                  <c:v>17.006913580246916</c:v>
                </c:pt>
                <c:pt idx="150">
                  <c:v>17.006913580246916</c:v>
                </c:pt>
                <c:pt idx="151">
                  <c:v>16.995679012345676</c:v>
                </c:pt>
                <c:pt idx="152">
                  <c:v>16.984320987654321</c:v>
                </c:pt>
                <c:pt idx="153">
                  <c:v>16.973086419753084</c:v>
                </c:pt>
                <c:pt idx="154">
                  <c:v>16.973086419753084</c:v>
                </c:pt>
                <c:pt idx="155">
                  <c:v>16.988148148148149</c:v>
                </c:pt>
                <c:pt idx="156">
                  <c:v>16.995679012345676</c:v>
                </c:pt>
                <c:pt idx="157">
                  <c:v>17.00320987654321</c:v>
                </c:pt>
                <c:pt idx="158">
                  <c:v>17.014444444444443</c:v>
                </c:pt>
                <c:pt idx="159">
                  <c:v>17.029506172839504</c:v>
                </c:pt>
                <c:pt idx="160">
                  <c:v>17.025802469135801</c:v>
                </c:pt>
                <c:pt idx="161">
                  <c:v>17.014444444444443</c:v>
                </c:pt>
                <c:pt idx="162">
                  <c:v>17.014444444444443</c:v>
                </c:pt>
                <c:pt idx="163">
                  <c:v>17.014444444444443</c:v>
                </c:pt>
                <c:pt idx="164">
                  <c:v>17.018271604938271</c:v>
                </c:pt>
                <c:pt idx="165">
                  <c:v>17.033333333333331</c:v>
                </c:pt>
                <c:pt idx="166">
                  <c:v>17.037037037037035</c:v>
                </c:pt>
                <c:pt idx="167">
                  <c:v>17.040864197530862</c:v>
                </c:pt>
                <c:pt idx="168">
                  <c:v>17.05975308641975</c:v>
                </c:pt>
                <c:pt idx="169">
                  <c:v>17.082345679012345</c:v>
                </c:pt>
                <c:pt idx="170">
                  <c:v>17.09740740740741</c:v>
                </c:pt>
                <c:pt idx="171">
                  <c:v>17.112469135802467</c:v>
                </c:pt>
                <c:pt idx="172">
                  <c:v>17.112469135802467</c:v>
                </c:pt>
                <c:pt idx="173">
                  <c:v>17.104938271604937</c:v>
                </c:pt>
                <c:pt idx="174">
                  <c:v>17.12</c:v>
                </c:pt>
                <c:pt idx="175">
                  <c:v>17.127530864197528</c:v>
                </c:pt>
                <c:pt idx="176">
                  <c:v>17.146296296296295</c:v>
                </c:pt>
                <c:pt idx="177">
                  <c:v>17.165185185185184</c:v>
                </c:pt>
                <c:pt idx="178">
                  <c:v>17.184074074074076</c:v>
                </c:pt>
                <c:pt idx="179">
                  <c:v>17.184074074074076</c:v>
                </c:pt>
                <c:pt idx="180">
                  <c:v>17.184074074074076</c:v>
                </c:pt>
                <c:pt idx="181">
                  <c:v>17.191604938271606</c:v>
                </c:pt>
                <c:pt idx="182">
                  <c:v>17.195308641975309</c:v>
                </c:pt>
                <c:pt idx="183">
                  <c:v>17.184074074074076</c:v>
                </c:pt>
                <c:pt idx="184">
                  <c:v>17.172716049382714</c:v>
                </c:pt>
                <c:pt idx="185">
                  <c:v>17.161481481481481</c:v>
                </c:pt>
                <c:pt idx="186">
                  <c:v>17.176543209876542</c:v>
                </c:pt>
                <c:pt idx="187">
                  <c:v>17.180246913580245</c:v>
                </c:pt>
                <c:pt idx="188">
                  <c:v>17.191604938271606</c:v>
                </c:pt>
                <c:pt idx="189">
                  <c:v>17.191604938271606</c:v>
                </c:pt>
                <c:pt idx="190">
                  <c:v>17.206666666666667</c:v>
                </c:pt>
                <c:pt idx="191">
                  <c:v>17.225432098765431</c:v>
                </c:pt>
                <c:pt idx="192">
                  <c:v>17.232962962962961</c:v>
                </c:pt>
                <c:pt idx="193">
                  <c:v>17.240493827160492</c:v>
                </c:pt>
                <c:pt idx="194">
                  <c:v>17.259382716049384</c:v>
                </c:pt>
                <c:pt idx="195">
                  <c:v>17.263209876543208</c:v>
                </c:pt>
                <c:pt idx="196">
                  <c:v>17.270740740740738</c:v>
                </c:pt>
                <c:pt idx="197">
                  <c:v>17.281975308641975</c:v>
                </c:pt>
                <c:pt idx="198">
                  <c:v>17.285802469135803</c:v>
                </c:pt>
                <c:pt idx="199">
                  <c:v>17.274444444444445</c:v>
                </c:pt>
                <c:pt idx="200">
                  <c:v>17.274444444444445</c:v>
                </c:pt>
                <c:pt idx="201">
                  <c:v>17.289506172839506</c:v>
                </c:pt>
                <c:pt idx="202">
                  <c:v>17.297037037037036</c:v>
                </c:pt>
                <c:pt idx="203">
                  <c:v>17.304567901234567</c:v>
                </c:pt>
                <c:pt idx="204">
                  <c:v>17.297037037037036</c:v>
                </c:pt>
                <c:pt idx="205">
                  <c:v>17.297037037037036</c:v>
                </c:pt>
                <c:pt idx="206">
                  <c:v>17.297037037037036</c:v>
                </c:pt>
                <c:pt idx="207">
                  <c:v>17.293333333333333</c:v>
                </c:pt>
                <c:pt idx="208">
                  <c:v>17.293333333333333</c:v>
                </c:pt>
                <c:pt idx="209">
                  <c:v>17.300864197530863</c:v>
                </c:pt>
                <c:pt idx="210">
                  <c:v>17.304567901234567</c:v>
                </c:pt>
                <c:pt idx="211">
                  <c:v>17.308395061728394</c:v>
                </c:pt>
                <c:pt idx="212">
                  <c:v>17.319629629629631</c:v>
                </c:pt>
                <c:pt idx="213">
                  <c:v>17.315925925925924</c:v>
                </c:pt>
                <c:pt idx="214">
                  <c:v>17.319629629629631</c:v>
                </c:pt>
                <c:pt idx="215">
                  <c:v>17.334691358024692</c:v>
                </c:pt>
                <c:pt idx="216">
                  <c:v>17.334691358024692</c:v>
                </c:pt>
                <c:pt idx="217">
                  <c:v>17.35358024691358</c:v>
                </c:pt>
                <c:pt idx="218">
                  <c:v>17.35358024691358</c:v>
                </c:pt>
                <c:pt idx="219">
                  <c:v>17.349753086419753</c:v>
                </c:pt>
                <c:pt idx="220">
                  <c:v>17.357283950617283</c:v>
                </c:pt>
                <c:pt idx="221">
                  <c:v>17.357283950617283</c:v>
                </c:pt>
                <c:pt idx="222">
                  <c:v>17.361111111111111</c:v>
                </c:pt>
                <c:pt idx="223">
                  <c:v>17.376172839506172</c:v>
                </c:pt>
                <c:pt idx="224">
                  <c:v>17.39506172839506</c:v>
                </c:pt>
                <c:pt idx="225">
                  <c:v>17.39506172839506</c:v>
                </c:pt>
                <c:pt idx="226">
                  <c:v>17.398765432098763</c:v>
                </c:pt>
                <c:pt idx="227">
                  <c:v>17.40259259259259</c:v>
                </c:pt>
                <c:pt idx="228">
                  <c:v>17.398765432098763</c:v>
                </c:pt>
                <c:pt idx="229">
                  <c:v>17.39506172839506</c:v>
                </c:pt>
                <c:pt idx="230">
                  <c:v>17.398765432098763</c:v>
                </c:pt>
                <c:pt idx="231">
                  <c:v>17.410123456790124</c:v>
                </c:pt>
                <c:pt idx="232">
                  <c:v>17.413827160493828</c:v>
                </c:pt>
                <c:pt idx="233">
                  <c:v>17.410123456790124</c:v>
                </c:pt>
                <c:pt idx="234">
                  <c:v>17.413827160493828</c:v>
                </c:pt>
                <c:pt idx="235">
                  <c:v>17.421358024691358</c:v>
                </c:pt>
                <c:pt idx="236">
                  <c:v>17.417654320987655</c:v>
                </c:pt>
                <c:pt idx="237">
                  <c:v>17.425185185185182</c:v>
                </c:pt>
                <c:pt idx="238">
                  <c:v>17.425185185185182</c:v>
                </c:pt>
                <c:pt idx="239">
                  <c:v>17.425185185185182</c:v>
                </c:pt>
                <c:pt idx="240">
                  <c:v>17.428888888888888</c:v>
                </c:pt>
                <c:pt idx="241">
                  <c:v>17.440246913580246</c:v>
                </c:pt>
                <c:pt idx="242">
                  <c:v>17.443950617283949</c:v>
                </c:pt>
                <c:pt idx="243">
                  <c:v>17.443950617283949</c:v>
                </c:pt>
                <c:pt idx="244">
                  <c:v>17.462839506172838</c:v>
                </c:pt>
                <c:pt idx="245">
                  <c:v>17.477901234567902</c:v>
                </c:pt>
                <c:pt idx="246">
                  <c:v>17.492962962962959</c:v>
                </c:pt>
                <c:pt idx="247">
                  <c:v>17.496790123456787</c:v>
                </c:pt>
                <c:pt idx="248">
                  <c:v>17.477901234567902</c:v>
                </c:pt>
                <c:pt idx="249">
                  <c:v>17.474197530864195</c:v>
                </c:pt>
                <c:pt idx="250">
                  <c:v>17.474197530864195</c:v>
                </c:pt>
                <c:pt idx="251">
                  <c:v>17.477901234567902</c:v>
                </c:pt>
                <c:pt idx="252">
                  <c:v>17.485432098765433</c:v>
                </c:pt>
                <c:pt idx="253">
                  <c:v>17.481728395061729</c:v>
                </c:pt>
                <c:pt idx="254">
                  <c:v>17.485432098765433</c:v>
                </c:pt>
                <c:pt idx="255">
                  <c:v>17.492962962962959</c:v>
                </c:pt>
                <c:pt idx="256">
                  <c:v>17.508024691358024</c:v>
                </c:pt>
                <c:pt idx="257">
                  <c:v>17.534444444444443</c:v>
                </c:pt>
                <c:pt idx="258">
                  <c:v>17.557037037037034</c:v>
                </c:pt>
                <c:pt idx="259">
                  <c:v>17.560740740740737</c:v>
                </c:pt>
                <c:pt idx="260">
                  <c:v>17.572098765432099</c:v>
                </c:pt>
                <c:pt idx="261">
                  <c:v>17.568271604938271</c:v>
                </c:pt>
                <c:pt idx="262">
                  <c:v>17.560740740740737</c:v>
                </c:pt>
                <c:pt idx="263">
                  <c:v>17.572098765432099</c:v>
                </c:pt>
                <c:pt idx="264">
                  <c:v>17.590987654320987</c:v>
                </c:pt>
                <c:pt idx="265">
                  <c:v>17.598518518518517</c:v>
                </c:pt>
                <c:pt idx="266">
                  <c:v>17.590987654320987</c:v>
                </c:pt>
                <c:pt idx="267">
                  <c:v>17.579629629629629</c:v>
                </c:pt>
                <c:pt idx="268">
                  <c:v>17.572098765432099</c:v>
                </c:pt>
                <c:pt idx="269">
                  <c:v>17.568271604938271</c:v>
                </c:pt>
                <c:pt idx="270">
                  <c:v>17.568271604938271</c:v>
                </c:pt>
                <c:pt idx="271">
                  <c:v>17.572098765432099</c:v>
                </c:pt>
                <c:pt idx="272">
                  <c:v>17.579629629629629</c:v>
                </c:pt>
                <c:pt idx="273">
                  <c:v>17.58716049382716</c:v>
                </c:pt>
                <c:pt idx="274">
                  <c:v>17.58716049382716</c:v>
                </c:pt>
                <c:pt idx="275">
                  <c:v>17.590987654320987</c:v>
                </c:pt>
                <c:pt idx="276">
                  <c:v>17.60222222222222</c:v>
                </c:pt>
                <c:pt idx="277">
                  <c:v>17.613580246913582</c:v>
                </c:pt>
                <c:pt idx="278">
                  <c:v>17.624814814814812</c:v>
                </c:pt>
                <c:pt idx="279">
                  <c:v>17.643703703703704</c:v>
                </c:pt>
                <c:pt idx="280">
                  <c:v>17.662469135802468</c:v>
                </c:pt>
                <c:pt idx="281">
                  <c:v>17.673827160493826</c:v>
                </c:pt>
                <c:pt idx="282">
                  <c:v>17.700246913580244</c:v>
                </c:pt>
                <c:pt idx="283">
                  <c:v>17.722839506172836</c:v>
                </c:pt>
                <c:pt idx="284">
                  <c:v>17.741604938271603</c:v>
                </c:pt>
                <c:pt idx="285">
                  <c:v>17.760493827160492</c:v>
                </c:pt>
                <c:pt idx="286">
                  <c:v>17.756666666666668</c:v>
                </c:pt>
                <c:pt idx="287">
                  <c:v>17.764197530864198</c:v>
                </c:pt>
                <c:pt idx="288">
                  <c:v>17.771728395061729</c:v>
                </c:pt>
                <c:pt idx="289">
                  <c:v>17.775555555555556</c:v>
                </c:pt>
                <c:pt idx="290">
                  <c:v>17.775555555555556</c:v>
                </c:pt>
                <c:pt idx="291">
                  <c:v>17.760493827160492</c:v>
                </c:pt>
                <c:pt idx="292">
                  <c:v>17.749135802469137</c:v>
                </c:pt>
                <c:pt idx="293">
                  <c:v>17.745432098765431</c:v>
                </c:pt>
                <c:pt idx="294">
                  <c:v>17.7379012345679</c:v>
                </c:pt>
                <c:pt idx="295">
                  <c:v>17.734074074074073</c:v>
                </c:pt>
                <c:pt idx="296">
                  <c:v>17.7379012345679</c:v>
                </c:pt>
                <c:pt idx="297">
                  <c:v>17.749135802469137</c:v>
                </c:pt>
                <c:pt idx="298">
                  <c:v>17.752962962962961</c:v>
                </c:pt>
                <c:pt idx="299">
                  <c:v>17.760493827160492</c:v>
                </c:pt>
                <c:pt idx="300">
                  <c:v>17.779259259259259</c:v>
                </c:pt>
                <c:pt idx="301">
                  <c:v>17.801975308641975</c:v>
                </c:pt>
                <c:pt idx="302">
                  <c:v>17.813209876543205</c:v>
                </c:pt>
                <c:pt idx="303">
                  <c:v>17.820740740740739</c:v>
                </c:pt>
                <c:pt idx="304">
                  <c:v>17.828271604938269</c:v>
                </c:pt>
                <c:pt idx="305">
                  <c:v>17.832098765432097</c:v>
                </c:pt>
                <c:pt idx="306">
                  <c:v>17.843333333333334</c:v>
                </c:pt>
                <c:pt idx="307">
                  <c:v>17.839629629629631</c:v>
                </c:pt>
                <c:pt idx="308">
                  <c:v>17.847160493827161</c:v>
                </c:pt>
                <c:pt idx="309">
                  <c:v>17.850864197530864</c:v>
                </c:pt>
                <c:pt idx="310">
                  <c:v>17.854691358024692</c:v>
                </c:pt>
                <c:pt idx="311">
                  <c:v>17.869753086419752</c:v>
                </c:pt>
                <c:pt idx="312">
                  <c:v>17.850864197530864</c:v>
                </c:pt>
                <c:pt idx="313">
                  <c:v>17.843333333333334</c:v>
                </c:pt>
                <c:pt idx="314">
                  <c:v>17.832098765432097</c:v>
                </c:pt>
                <c:pt idx="315">
                  <c:v>17.828271604938269</c:v>
                </c:pt>
                <c:pt idx="316">
                  <c:v>17.832098765432097</c:v>
                </c:pt>
                <c:pt idx="317">
                  <c:v>17.839629629629631</c:v>
                </c:pt>
                <c:pt idx="318">
                  <c:v>17.843333333333334</c:v>
                </c:pt>
                <c:pt idx="319">
                  <c:v>17.850864197530864</c:v>
                </c:pt>
                <c:pt idx="320">
                  <c:v>17.862222222222222</c:v>
                </c:pt>
                <c:pt idx="321">
                  <c:v>17.862222222222222</c:v>
                </c:pt>
                <c:pt idx="322">
                  <c:v>17.862222222222222</c:v>
                </c:pt>
                <c:pt idx="323">
                  <c:v>17.880987654320986</c:v>
                </c:pt>
                <c:pt idx="324">
                  <c:v>17.884814814814817</c:v>
                </c:pt>
                <c:pt idx="325">
                  <c:v>17.896049382716047</c:v>
                </c:pt>
                <c:pt idx="326">
                  <c:v>17.918765432098763</c:v>
                </c:pt>
                <c:pt idx="327">
                  <c:v>17.926296296296293</c:v>
                </c:pt>
                <c:pt idx="328">
                  <c:v>17.93753086419753</c:v>
                </c:pt>
                <c:pt idx="329">
                  <c:v>17.945061728395061</c:v>
                </c:pt>
                <c:pt idx="330">
                  <c:v>17.960123456790122</c:v>
                </c:pt>
                <c:pt idx="331">
                  <c:v>17.956419753086422</c:v>
                </c:pt>
                <c:pt idx="332">
                  <c:v>17.952592592592595</c:v>
                </c:pt>
                <c:pt idx="333">
                  <c:v>17.960123456790122</c:v>
                </c:pt>
                <c:pt idx="334">
                  <c:v>17.960123456790122</c:v>
                </c:pt>
                <c:pt idx="335">
                  <c:v>17.960123456790122</c:v>
                </c:pt>
                <c:pt idx="336">
                  <c:v>17.967654320987652</c:v>
                </c:pt>
                <c:pt idx="337">
                  <c:v>17.975185185185186</c:v>
                </c:pt>
                <c:pt idx="338">
                  <c:v>17.971481481481479</c:v>
                </c:pt>
                <c:pt idx="339">
                  <c:v>17.967654320987652</c:v>
                </c:pt>
                <c:pt idx="340">
                  <c:v>17.979012345679013</c:v>
                </c:pt>
                <c:pt idx="341">
                  <c:v>17.994074074074071</c:v>
                </c:pt>
                <c:pt idx="342">
                  <c:v>18.001604938271605</c:v>
                </c:pt>
                <c:pt idx="343">
                  <c:v>17.990246913580243</c:v>
                </c:pt>
                <c:pt idx="344">
                  <c:v>17.982716049382717</c:v>
                </c:pt>
                <c:pt idx="345">
                  <c:v>17.98654320987654</c:v>
                </c:pt>
                <c:pt idx="346">
                  <c:v>17.98654320987654</c:v>
                </c:pt>
                <c:pt idx="347">
                  <c:v>17.994074074074071</c:v>
                </c:pt>
                <c:pt idx="348">
                  <c:v>18.005432098765432</c:v>
                </c:pt>
                <c:pt idx="349">
                  <c:v>18.012962962962959</c:v>
                </c:pt>
                <c:pt idx="350">
                  <c:v>18.016666666666666</c:v>
                </c:pt>
                <c:pt idx="351">
                  <c:v>18.012962962962959</c:v>
                </c:pt>
                <c:pt idx="352">
                  <c:v>18.012962962962959</c:v>
                </c:pt>
                <c:pt idx="353">
                  <c:v>18.020493827160493</c:v>
                </c:pt>
                <c:pt idx="354">
                  <c:v>18.028024691358024</c:v>
                </c:pt>
                <c:pt idx="355">
                  <c:v>18.028024691358024</c:v>
                </c:pt>
                <c:pt idx="356">
                  <c:v>18.050617283950618</c:v>
                </c:pt>
                <c:pt idx="357">
                  <c:v>18.07320987654321</c:v>
                </c:pt>
                <c:pt idx="358">
                  <c:v>18.080740740740737</c:v>
                </c:pt>
                <c:pt idx="359">
                  <c:v>18.080740740740737</c:v>
                </c:pt>
                <c:pt idx="360">
                  <c:v>18.084444444444443</c:v>
                </c:pt>
                <c:pt idx="361">
                  <c:v>18.088271604938271</c:v>
                </c:pt>
                <c:pt idx="362">
                  <c:v>18.084444444444443</c:v>
                </c:pt>
                <c:pt idx="363">
                  <c:v>18.095802469135801</c:v>
                </c:pt>
                <c:pt idx="364">
                  <c:v>18.103333333333332</c:v>
                </c:pt>
                <c:pt idx="365">
                  <c:v>18.107037037037035</c:v>
                </c:pt>
                <c:pt idx="366">
                  <c:v>18.11469135802469</c:v>
                </c:pt>
                <c:pt idx="367">
                  <c:v>18.125925925925923</c:v>
                </c:pt>
                <c:pt idx="368">
                  <c:v>18.137283950617284</c:v>
                </c:pt>
                <c:pt idx="369">
                  <c:v>18.144814814814815</c:v>
                </c:pt>
                <c:pt idx="370">
                  <c:v>18.140987654320988</c:v>
                </c:pt>
                <c:pt idx="371">
                  <c:v>18.140987654320988</c:v>
                </c:pt>
                <c:pt idx="372">
                  <c:v>18.144814814814815</c:v>
                </c:pt>
                <c:pt idx="373">
                  <c:v>18.156049382716049</c:v>
                </c:pt>
                <c:pt idx="374">
                  <c:v>18.159876543209876</c:v>
                </c:pt>
                <c:pt idx="375">
                  <c:v>18.167407407407406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18.159876543209876</c:v>
                </c:pt>
                <c:pt idx="1">
                  <c:v>18.163580246913579</c:v>
                </c:pt>
                <c:pt idx="2">
                  <c:v>18.152345679012342</c:v>
                </c:pt>
                <c:pt idx="3">
                  <c:v>18.148518518518514</c:v>
                </c:pt>
                <c:pt idx="4">
                  <c:v>18.140987654320988</c:v>
                </c:pt>
                <c:pt idx="5">
                  <c:v>18.144814814814815</c:v>
                </c:pt>
                <c:pt idx="6">
                  <c:v>18.133456790123457</c:v>
                </c:pt>
                <c:pt idx="7">
                  <c:v>18.12975308641975</c:v>
                </c:pt>
                <c:pt idx="8">
                  <c:v>18.133456790123457</c:v>
                </c:pt>
                <c:pt idx="9">
                  <c:v>18.125925925925923</c:v>
                </c:pt>
                <c:pt idx="10">
                  <c:v>18.125925925925923</c:v>
                </c:pt>
                <c:pt idx="11">
                  <c:v>18.11469135802469</c:v>
                </c:pt>
                <c:pt idx="12">
                  <c:v>18.107037037037035</c:v>
                </c:pt>
                <c:pt idx="13">
                  <c:v>18.107037037037035</c:v>
                </c:pt>
                <c:pt idx="14">
                  <c:v>18.095802469135801</c:v>
                </c:pt>
                <c:pt idx="15">
                  <c:v>18.099506172839504</c:v>
                </c:pt>
                <c:pt idx="16">
                  <c:v>18.088271604938271</c:v>
                </c:pt>
                <c:pt idx="17">
                  <c:v>18.080740740740737</c:v>
                </c:pt>
                <c:pt idx="18">
                  <c:v>18.069382716049383</c:v>
                </c:pt>
                <c:pt idx="19">
                  <c:v>18.061851851851848</c:v>
                </c:pt>
                <c:pt idx="20">
                  <c:v>18.054320987654318</c:v>
                </c:pt>
                <c:pt idx="21">
                  <c:v>18.046790123456791</c:v>
                </c:pt>
                <c:pt idx="22">
                  <c:v>18.0241975308642</c:v>
                </c:pt>
                <c:pt idx="23">
                  <c:v>18.0241975308642</c:v>
                </c:pt>
                <c:pt idx="24">
                  <c:v>18.0241975308642</c:v>
                </c:pt>
                <c:pt idx="25">
                  <c:v>18.0241975308642</c:v>
                </c:pt>
                <c:pt idx="26">
                  <c:v>18.016666666666666</c:v>
                </c:pt>
                <c:pt idx="27">
                  <c:v>18.012962962962959</c:v>
                </c:pt>
                <c:pt idx="28">
                  <c:v>18.012962962962959</c:v>
                </c:pt>
                <c:pt idx="29">
                  <c:v>18.016666666666666</c:v>
                </c:pt>
                <c:pt idx="30">
                  <c:v>18.009135802469135</c:v>
                </c:pt>
                <c:pt idx="31">
                  <c:v>18.001604938271605</c:v>
                </c:pt>
                <c:pt idx="32">
                  <c:v>17.990246913580243</c:v>
                </c:pt>
                <c:pt idx="33">
                  <c:v>17.98654320987654</c:v>
                </c:pt>
                <c:pt idx="34">
                  <c:v>17.971481481481479</c:v>
                </c:pt>
                <c:pt idx="35">
                  <c:v>17.975185185185186</c:v>
                </c:pt>
                <c:pt idx="36">
                  <c:v>17.960123456790122</c:v>
                </c:pt>
                <c:pt idx="37">
                  <c:v>17.945061728395061</c:v>
                </c:pt>
                <c:pt idx="38">
                  <c:v>17.926296296296293</c:v>
                </c:pt>
                <c:pt idx="39">
                  <c:v>17.922469135802466</c:v>
                </c:pt>
                <c:pt idx="40">
                  <c:v>17.918765432098763</c:v>
                </c:pt>
                <c:pt idx="41">
                  <c:v>17.918765432098763</c:v>
                </c:pt>
                <c:pt idx="42">
                  <c:v>17.922469135802466</c:v>
                </c:pt>
                <c:pt idx="43">
                  <c:v>17.926296296296293</c:v>
                </c:pt>
                <c:pt idx="44">
                  <c:v>17.918765432098763</c:v>
                </c:pt>
                <c:pt idx="45">
                  <c:v>17.914938271604939</c:v>
                </c:pt>
                <c:pt idx="46">
                  <c:v>17.899876543209874</c:v>
                </c:pt>
                <c:pt idx="47">
                  <c:v>17.884814814814817</c:v>
                </c:pt>
                <c:pt idx="48">
                  <c:v>17.877283950617283</c:v>
                </c:pt>
                <c:pt idx="49">
                  <c:v>17.877283950617283</c:v>
                </c:pt>
                <c:pt idx="50">
                  <c:v>17.873456790123456</c:v>
                </c:pt>
                <c:pt idx="51">
                  <c:v>17.873456790123456</c:v>
                </c:pt>
                <c:pt idx="52">
                  <c:v>17.862222222222222</c:v>
                </c:pt>
                <c:pt idx="53">
                  <c:v>17.850864197530864</c:v>
                </c:pt>
                <c:pt idx="54">
                  <c:v>17.839629629629631</c:v>
                </c:pt>
                <c:pt idx="55">
                  <c:v>17.832098765432097</c:v>
                </c:pt>
                <c:pt idx="56">
                  <c:v>17.832098765432097</c:v>
                </c:pt>
                <c:pt idx="57">
                  <c:v>17.832098765432097</c:v>
                </c:pt>
                <c:pt idx="58">
                  <c:v>17.843333333333334</c:v>
                </c:pt>
                <c:pt idx="59">
                  <c:v>17.858395061728395</c:v>
                </c:pt>
                <c:pt idx="60">
                  <c:v>17.865925925925925</c:v>
                </c:pt>
                <c:pt idx="61">
                  <c:v>17.858395061728395</c:v>
                </c:pt>
                <c:pt idx="62">
                  <c:v>17.862222222222222</c:v>
                </c:pt>
                <c:pt idx="63">
                  <c:v>17.862222222222222</c:v>
                </c:pt>
                <c:pt idx="64">
                  <c:v>17.847160493827161</c:v>
                </c:pt>
                <c:pt idx="65">
                  <c:v>17.843333333333334</c:v>
                </c:pt>
                <c:pt idx="66">
                  <c:v>17.839629629629631</c:v>
                </c:pt>
                <c:pt idx="67">
                  <c:v>17.832098765432097</c:v>
                </c:pt>
                <c:pt idx="68">
                  <c:v>17.824567901234566</c:v>
                </c:pt>
                <c:pt idx="69">
                  <c:v>17.805679012345678</c:v>
                </c:pt>
                <c:pt idx="70">
                  <c:v>17.794444444444444</c:v>
                </c:pt>
                <c:pt idx="71">
                  <c:v>17.78679012345679</c:v>
                </c:pt>
                <c:pt idx="72">
                  <c:v>17.779259259259259</c:v>
                </c:pt>
                <c:pt idx="73">
                  <c:v>17.775555555555556</c:v>
                </c:pt>
                <c:pt idx="74">
                  <c:v>17.771728395061729</c:v>
                </c:pt>
                <c:pt idx="75">
                  <c:v>17.78679012345679</c:v>
                </c:pt>
                <c:pt idx="76">
                  <c:v>17.794444444444444</c:v>
                </c:pt>
                <c:pt idx="77">
                  <c:v>17.805679012345678</c:v>
                </c:pt>
                <c:pt idx="78">
                  <c:v>17.801975308641975</c:v>
                </c:pt>
                <c:pt idx="79">
                  <c:v>17.779259259259259</c:v>
                </c:pt>
                <c:pt idx="80">
                  <c:v>17.771728395061729</c:v>
                </c:pt>
                <c:pt idx="81">
                  <c:v>17.764197530864198</c:v>
                </c:pt>
                <c:pt idx="82">
                  <c:v>17.752962962962961</c:v>
                </c:pt>
                <c:pt idx="83">
                  <c:v>17.734074074074073</c:v>
                </c:pt>
                <c:pt idx="84">
                  <c:v>17.722839506172836</c:v>
                </c:pt>
                <c:pt idx="85">
                  <c:v>17.711481481481481</c:v>
                </c:pt>
                <c:pt idx="86">
                  <c:v>17.715308641975309</c:v>
                </c:pt>
                <c:pt idx="87">
                  <c:v>17.707777777777778</c:v>
                </c:pt>
                <c:pt idx="88">
                  <c:v>17.69641975308642</c:v>
                </c:pt>
                <c:pt idx="89">
                  <c:v>17.68135802469136</c:v>
                </c:pt>
                <c:pt idx="90">
                  <c:v>17.673827160493826</c:v>
                </c:pt>
                <c:pt idx="91">
                  <c:v>17.669999999999998</c:v>
                </c:pt>
                <c:pt idx="92">
                  <c:v>17.654938271604937</c:v>
                </c:pt>
                <c:pt idx="93">
                  <c:v>17.643703703703704</c:v>
                </c:pt>
                <c:pt idx="94">
                  <c:v>17.643703703703704</c:v>
                </c:pt>
                <c:pt idx="95">
                  <c:v>17.647407407407407</c:v>
                </c:pt>
                <c:pt idx="96">
                  <c:v>17.651234567901231</c:v>
                </c:pt>
                <c:pt idx="97">
                  <c:v>17.647407407407407</c:v>
                </c:pt>
                <c:pt idx="98">
                  <c:v>17.651234567901231</c:v>
                </c:pt>
                <c:pt idx="99">
                  <c:v>17.658765432098765</c:v>
                </c:pt>
                <c:pt idx="100">
                  <c:v>17.651234567901231</c:v>
                </c:pt>
                <c:pt idx="101">
                  <c:v>17.636172839506173</c:v>
                </c:pt>
                <c:pt idx="102">
                  <c:v>17.636172839506173</c:v>
                </c:pt>
                <c:pt idx="103">
                  <c:v>17.624814814814812</c:v>
                </c:pt>
                <c:pt idx="104">
                  <c:v>17.621111111111112</c:v>
                </c:pt>
                <c:pt idx="105">
                  <c:v>17.606049382716048</c:v>
                </c:pt>
                <c:pt idx="106">
                  <c:v>17.590987654320987</c:v>
                </c:pt>
                <c:pt idx="107">
                  <c:v>17.583456790123453</c:v>
                </c:pt>
                <c:pt idx="108">
                  <c:v>17.583456790123453</c:v>
                </c:pt>
                <c:pt idx="109">
                  <c:v>17.583456790123453</c:v>
                </c:pt>
                <c:pt idx="110">
                  <c:v>17.575925925925926</c:v>
                </c:pt>
                <c:pt idx="111">
                  <c:v>17.572098765432099</c:v>
                </c:pt>
                <c:pt idx="112">
                  <c:v>17.572098765432099</c:v>
                </c:pt>
                <c:pt idx="113">
                  <c:v>17.568271604938271</c:v>
                </c:pt>
                <c:pt idx="114">
                  <c:v>17.568271604938271</c:v>
                </c:pt>
                <c:pt idx="115">
                  <c:v>17.572098765432099</c:v>
                </c:pt>
                <c:pt idx="116">
                  <c:v>17.572098765432099</c:v>
                </c:pt>
                <c:pt idx="117">
                  <c:v>17.572098765432099</c:v>
                </c:pt>
                <c:pt idx="118">
                  <c:v>17.568271604938271</c:v>
                </c:pt>
                <c:pt idx="119">
                  <c:v>17.553209876543207</c:v>
                </c:pt>
                <c:pt idx="120">
                  <c:v>17.549506172839507</c:v>
                </c:pt>
                <c:pt idx="121">
                  <c:v>17.560740740740737</c:v>
                </c:pt>
                <c:pt idx="122">
                  <c:v>17.560740740740737</c:v>
                </c:pt>
                <c:pt idx="123">
                  <c:v>17.560740740740737</c:v>
                </c:pt>
                <c:pt idx="124">
                  <c:v>17.549506172839507</c:v>
                </c:pt>
                <c:pt idx="125">
                  <c:v>17.526913580246916</c:v>
                </c:pt>
                <c:pt idx="126">
                  <c:v>17.519382716049382</c:v>
                </c:pt>
                <c:pt idx="127">
                  <c:v>17.500493827160494</c:v>
                </c:pt>
                <c:pt idx="128">
                  <c:v>17.504320987654321</c:v>
                </c:pt>
                <c:pt idx="129">
                  <c:v>17.511851851851851</c:v>
                </c:pt>
                <c:pt idx="130">
                  <c:v>17.500493827160494</c:v>
                </c:pt>
                <c:pt idx="131">
                  <c:v>17.477901234567902</c:v>
                </c:pt>
                <c:pt idx="132">
                  <c:v>17.470370370370368</c:v>
                </c:pt>
                <c:pt idx="133">
                  <c:v>17.466543209876541</c:v>
                </c:pt>
                <c:pt idx="134">
                  <c:v>17.447777777777777</c:v>
                </c:pt>
                <c:pt idx="135">
                  <c:v>17.443950617283949</c:v>
                </c:pt>
                <c:pt idx="136">
                  <c:v>17.440246913580246</c:v>
                </c:pt>
                <c:pt idx="137">
                  <c:v>17.440246913580246</c:v>
                </c:pt>
                <c:pt idx="138">
                  <c:v>17.440246913580246</c:v>
                </c:pt>
                <c:pt idx="139">
                  <c:v>17.428888888888888</c:v>
                </c:pt>
                <c:pt idx="140">
                  <c:v>17.410123456790124</c:v>
                </c:pt>
                <c:pt idx="141">
                  <c:v>17.406296296296293</c:v>
                </c:pt>
                <c:pt idx="142">
                  <c:v>17.40259259259259</c:v>
                </c:pt>
                <c:pt idx="143">
                  <c:v>17.391234567901233</c:v>
                </c:pt>
                <c:pt idx="144">
                  <c:v>17.391234567901233</c:v>
                </c:pt>
                <c:pt idx="145">
                  <c:v>17.391234567901233</c:v>
                </c:pt>
                <c:pt idx="146">
                  <c:v>17.398765432098763</c:v>
                </c:pt>
                <c:pt idx="147">
                  <c:v>17.398765432098763</c:v>
                </c:pt>
                <c:pt idx="148">
                  <c:v>17.406296296296293</c:v>
                </c:pt>
                <c:pt idx="149">
                  <c:v>17.406296296296293</c:v>
                </c:pt>
                <c:pt idx="150">
                  <c:v>17.413827160493828</c:v>
                </c:pt>
                <c:pt idx="151">
                  <c:v>17.417654320987655</c:v>
                </c:pt>
                <c:pt idx="152">
                  <c:v>17.417654320987655</c:v>
                </c:pt>
                <c:pt idx="153">
                  <c:v>17.410123456790124</c:v>
                </c:pt>
                <c:pt idx="154">
                  <c:v>17.40259259259259</c:v>
                </c:pt>
                <c:pt idx="155">
                  <c:v>17.398765432098763</c:v>
                </c:pt>
                <c:pt idx="156">
                  <c:v>17.398765432098763</c:v>
                </c:pt>
                <c:pt idx="157">
                  <c:v>17.387530864197529</c:v>
                </c:pt>
                <c:pt idx="158">
                  <c:v>17.38</c:v>
                </c:pt>
                <c:pt idx="159">
                  <c:v>17.361111111111111</c:v>
                </c:pt>
                <c:pt idx="160">
                  <c:v>17.349753086419753</c:v>
                </c:pt>
                <c:pt idx="161">
                  <c:v>17.342222222222222</c:v>
                </c:pt>
                <c:pt idx="162">
                  <c:v>17.327160493827162</c:v>
                </c:pt>
                <c:pt idx="163">
                  <c:v>17.319629629629631</c:v>
                </c:pt>
                <c:pt idx="164">
                  <c:v>17.315925925925924</c:v>
                </c:pt>
                <c:pt idx="165">
                  <c:v>17.323456790123455</c:v>
                </c:pt>
                <c:pt idx="166">
                  <c:v>17.330987654320985</c:v>
                </c:pt>
                <c:pt idx="167">
                  <c:v>17.327160493827162</c:v>
                </c:pt>
                <c:pt idx="168">
                  <c:v>17.315925925925924</c:v>
                </c:pt>
                <c:pt idx="169">
                  <c:v>17.293333333333333</c:v>
                </c:pt>
                <c:pt idx="170">
                  <c:v>17.285802469135803</c:v>
                </c:pt>
                <c:pt idx="171">
                  <c:v>17.281975308641975</c:v>
                </c:pt>
                <c:pt idx="172">
                  <c:v>17.278271604938272</c:v>
                </c:pt>
                <c:pt idx="173">
                  <c:v>17.278271604938272</c:v>
                </c:pt>
                <c:pt idx="174">
                  <c:v>17.263209876543208</c:v>
                </c:pt>
                <c:pt idx="175">
                  <c:v>17.255679012345677</c:v>
                </c:pt>
                <c:pt idx="176">
                  <c:v>17.251851851851853</c:v>
                </c:pt>
                <c:pt idx="177">
                  <c:v>17.248024691358022</c:v>
                </c:pt>
                <c:pt idx="178">
                  <c:v>17.236790123456789</c:v>
                </c:pt>
                <c:pt idx="179">
                  <c:v>17.225432098765431</c:v>
                </c:pt>
                <c:pt idx="180">
                  <c:v>17.206666666666667</c:v>
                </c:pt>
                <c:pt idx="181">
                  <c:v>17.21037037037037</c:v>
                </c:pt>
                <c:pt idx="182">
                  <c:v>17.191604938271606</c:v>
                </c:pt>
                <c:pt idx="183">
                  <c:v>17.195308641975309</c:v>
                </c:pt>
                <c:pt idx="184">
                  <c:v>17.191604938271606</c:v>
                </c:pt>
                <c:pt idx="185">
                  <c:v>17.199135802469137</c:v>
                </c:pt>
                <c:pt idx="186">
                  <c:v>17.221728395061724</c:v>
                </c:pt>
                <c:pt idx="187">
                  <c:v>17.221728395061724</c:v>
                </c:pt>
                <c:pt idx="188">
                  <c:v>17.232962962962961</c:v>
                </c:pt>
                <c:pt idx="189">
                  <c:v>17.240493827160492</c:v>
                </c:pt>
                <c:pt idx="190">
                  <c:v>17.232962962962961</c:v>
                </c:pt>
                <c:pt idx="191">
                  <c:v>17.225432098765431</c:v>
                </c:pt>
                <c:pt idx="192">
                  <c:v>17.21037037037037</c:v>
                </c:pt>
                <c:pt idx="193">
                  <c:v>17.202839506172836</c:v>
                </c:pt>
                <c:pt idx="194">
                  <c:v>17.187777777777779</c:v>
                </c:pt>
                <c:pt idx="195">
                  <c:v>17.184074074074076</c:v>
                </c:pt>
                <c:pt idx="196">
                  <c:v>17.176543209876542</c:v>
                </c:pt>
                <c:pt idx="197">
                  <c:v>17.176543209876542</c:v>
                </c:pt>
                <c:pt idx="198">
                  <c:v>17.172716049382714</c:v>
                </c:pt>
                <c:pt idx="199">
                  <c:v>17.157654320987653</c:v>
                </c:pt>
                <c:pt idx="200">
                  <c:v>17.146296296296295</c:v>
                </c:pt>
                <c:pt idx="201">
                  <c:v>17.146296296296295</c:v>
                </c:pt>
                <c:pt idx="202">
                  <c:v>17.153950617283947</c:v>
                </c:pt>
                <c:pt idx="203">
                  <c:v>17.150123456790123</c:v>
                </c:pt>
                <c:pt idx="204">
                  <c:v>17.138765432098765</c:v>
                </c:pt>
                <c:pt idx="205">
                  <c:v>17.12</c:v>
                </c:pt>
                <c:pt idx="206">
                  <c:v>17.12</c:v>
                </c:pt>
                <c:pt idx="207">
                  <c:v>17.104938271604937</c:v>
                </c:pt>
                <c:pt idx="208">
                  <c:v>17.101111111111113</c:v>
                </c:pt>
                <c:pt idx="209">
                  <c:v>17.09740740740741</c:v>
                </c:pt>
                <c:pt idx="210">
                  <c:v>17.101111111111113</c:v>
                </c:pt>
                <c:pt idx="211">
                  <c:v>17.09740740740741</c:v>
                </c:pt>
                <c:pt idx="212">
                  <c:v>17.086049382716048</c:v>
                </c:pt>
                <c:pt idx="213">
                  <c:v>17.082345679012345</c:v>
                </c:pt>
                <c:pt idx="214">
                  <c:v>17.093580246913579</c:v>
                </c:pt>
                <c:pt idx="215">
                  <c:v>17.093580246913579</c:v>
                </c:pt>
                <c:pt idx="216">
                  <c:v>17.074814814814815</c:v>
                </c:pt>
                <c:pt idx="217">
                  <c:v>17.052222222222223</c:v>
                </c:pt>
                <c:pt idx="218">
                  <c:v>17.040864197530862</c:v>
                </c:pt>
                <c:pt idx="219">
                  <c:v>17.037037037037035</c:v>
                </c:pt>
                <c:pt idx="220">
                  <c:v>17.029506172839504</c:v>
                </c:pt>
                <c:pt idx="221">
                  <c:v>17.033333333333331</c:v>
                </c:pt>
                <c:pt idx="222">
                  <c:v>17.033333333333331</c:v>
                </c:pt>
                <c:pt idx="223">
                  <c:v>17.025802469135801</c:v>
                </c:pt>
                <c:pt idx="224">
                  <c:v>17.006913580246916</c:v>
                </c:pt>
                <c:pt idx="225">
                  <c:v>16.984320987654321</c:v>
                </c:pt>
                <c:pt idx="226">
                  <c:v>16.965555555555554</c:v>
                </c:pt>
                <c:pt idx="227">
                  <c:v>16.942962962962962</c:v>
                </c:pt>
                <c:pt idx="228">
                  <c:v>16.931604938271605</c:v>
                </c:pt>
                <c:pt idx="229">
                  <c:v>16.927777777777777</c:v>
                </c:pt>
                <c:pt idx="230">
                  <c:v>16.912716049382716</c:v>
                </c:pt>
                <c:pt idx="231">
                  <c:v>16.905185185185186</c:v>
                </c:pt>
                <c:pt idx="232">
                  <c:v>16.901481481481479</c:v>
                </c:pt>
                <c:pt idx="233">
                  <c:v>16.905185185185186</c:v>
                </c:pt>
                <c:pt idx="234">
                  <c:v>16.87506172839506</c:v>
                </c:pt>
                <c:pt idx="235">
                  <c:v>16.856296296296296</c:v>
                </c:pt>
                <c:pt idx="236">
                  <c:v>16.863827160493827</c:v>
                </c:pt>
                <c:pt idx="237">
                  <c:v>16.86</c:v>
                </c:pt>
                <c:pt idx="238">
                  <c:v>16.856296296296296</c:v>
                </c:pt>
                <c:pt idx="239">
                  <c:v>16.86753086419753</c:v>
                </c:pt>
                <c:pt idx="240">
                  <c:v>16.87506172839506</c:v>
                </c:pt>
                <c:pt idx="241">
                  <c:v>16.871358024691357</c:v>
                </c:pt>
                <c:pt idx="242">
                  <c:v>16.863827160493827</c:v>
                </c:pt>
                <c:pt idx="243">
                  <c:v>16.844938271604939</c:v>
                </c:pt>
                <c:pt idx="244">
                  <c:v>16.844938271604939</c:v>
                </c:pt>
                <c:pt idx="245">
                  <c:v>16.833703703703701</c:v>
                </c:pt>
                <c:pt idx="246">
                  <c:v>16.826172839506171</c:v>
                </c:pt>
                <c:pt idx="247">
                  <c:v>16.807283950617283</c:v>
                </c:pt>
                <c:pt idx="248">
                  <c:v>16.795925925925925</c:v>
                </c:pt>
                <c:pt idx="249">
                  <c:v>16.780864197530864</c:v>
                </c:pt>
                <c:pt idx="250">
                  <c:v>16.7620987654321</c:v>
                </c:pt>
                <c:pt idx="251">
                  <c:v>16.754567901234566</c:v>
                </c:pt>
                <c:pt idx="252">
                  <c:v>16.747037037037035</c:v>
                </c:pt>
                <c:pt idx="253">
                  <c:v>16.743209876543208</c:v>
                </c:pt>
                <c:pt idx="254">
                  <c:v>16.731975308641974</c:v>
                </c:pt>
                <c:pt idx="255">
                  <c:v>16.709259259259255</c:v>
                </c:pt>
                <c:pt idx="256">
                  <c:v>16.694197530864194</c:v>
                </c:pt>
                <c:pt idx="257">
                  <c:v>16.682962962962961</c:v>
                </c:pt>
                <c:pt idx="258">
                  <c:v>16.67543209876543</c:v>
                </c:pt>
                <c:pt idx="259">
                  <c:v>16.667901234567903</c:v>
                </c:pt>
                <c:pt idx="260">
                  <c:v>16.656543209876542</c:v>
                </c:pt>
                <c:pt idx="261">
                  <c:v>16.633950617283947</c:v>
                </c:pt>
                <c:pt idx="262">
                  <c:v>16.599999999999998</c:v>
                </c:pt>
                <c:pt idx="263">
                  <c:v>16.569876543209876</c:v>
                </c:pt>
                <c:pt idx="264">
                  <c:v>16.547283950617281</c:v>
                </c:pt>
                <c:pt idx="265">
                  <c:v>16.53222222222222</c:v>
                </c:pt>
                <c:pt idx="266">
                  <c:v>16.509629629629632</c:v>
                </c:pt>
                <c:pt idx="267">
                  <c:v>16.487037037037037</c:v>
                </c:pt>
                <c:pt idx="268">
                  <c:v>16.464444444444442</c:v>
                </c:pt>
                <c:pt idx="269">
                  <c:v>16.449382716049382</c:v>
                </c:pt>
                <c:pt idx="270">
                  <c:v>16.42679012345679</c:v>
                </c:pt>
                <c:pt idx="271">
                  <c:v>16.407901234567902</c:v>
                </c:pt>
                <c:pt idx="272">
                  <c:v>16.396666666666665</c:v>
                </c:pt>
                <c:pt idx="273">
                  <c:v>16.38901234567901</c:v>
                </c:pt>
                <c:pt idx="274">
                  <c:v>16.366419753086415</c:v>
                </c:pt>
                <c:pt idx="275">
                  <c:v>16.343827160493824</c:v>
                </c:pt>
                <c:pt idx="276">
                  <c:v>16.336296296296297</c:v>
                </c:pt>
                <c:pt idx="277">
                  <c:v>16.32506172839506</c:v>
                </c:pt>
                <c:pt idx="278">
                  <c:v>16.294938271604938</c:v>
                </c:pt>
                <c:pt idx="279">
                  <c:v>16.268518518518519</c:v>
                </c:pt>
                <c:pt idx="280">
                  <c:v>16.253456790123455</c:v>
                </c:pt>
                <c:pt idx="281">
                  <c:v>16.249629629629627</c:v>
                </c:pt>
                <c:pt idx="282">
                  <c:v>16.234567901234566</c:v>
                </c:pt>
                <c:pt idx="283">
                  <c:v>16.223333333333333</c:v>
                </c:pt>
                <c:pt idx="284">
                  <c:v>16.193209876543211</c:v>
                </c:pt>
                <c:pt idx="285">
                  <c:v>16.155432098765431</c:v>
                </c:pt>
                <c:pt idx="286">
                  <c:v>16.121604938271602</c:v>
                </c:pt>
                <c:pt idx="287">
                  <c:v>16.09148148148148</c:v>
                </c:pt>
                <c:pt idx="288">
                  <c:v>16.065061728395062</c:v>
                </c:pt>
                <c:pt idx="289">
                  <c:v>16.038641975308643</c:v>
                </c:pt>
                <c:pt idx="290">
                  <c:v>16.023580246913578</c:v>
                </c:pt>
                <c:pt idx="291">
                  <c:v>15.989753086419752</c:v>
                </c:pt>
                <c:pt idx="292">
                  <c:v>15.955802469135801</c:v>
                </c:pt>
                <c:pt idx="293">
                  <c:v>15.918148148148147</c:v>
                </c:pt>
                <c:pt idx="294">
                  <c:v>15.888024691358023</c:v>
                </c:pt>
                <c:pt idx="295">
                  <c:v>15.865432098765432</c:v>
                </c:pt>
                <c:pt idx="296">
                  <c:v>15.839012345679013</c:v>
                </c:pt>
                <c:pt idx="297">
                  <c:v>15.808888888888886</c:v>
                </c:pt>
                <c:pt idx="298">
                  <c:v>15.79</c:v>
                </c:pt>
                <c:pt idx="299">
                  <c:v>15.752345679012343</c:v>
                </c:pt>
                <c:pt idx="300">
                  <c:v>15.710864197530865</c:v>
                </c:pt>
                <c:pt idx="301">
                  <c:v>15.661975308641974</c:v>
                </c:pt>
                <c:pt idx="302">
                  <c:v>15.620493827160493</c:v>
                </c:pt>
                <c:pt idx="303">
                  <c:v>15.582839506172839</c:v>
                </c:pt>
                <c:pt idx="304">
                  <c:v>15.552716049382715</c:v>
                </c:pt>
                <c:pt idx="305">
                  <c:v>15.511234567901234</c:v>
                </c:pt>
                <c:pt idx="306">
                  <c:v>15.462222222222222</c:v>
                </c:pt>
                <c:pt idx="307">
                  <c:v>15.409506172839505</c:v>
                </c:pt>
                <c:pt idx="308">
                  <c:v>15.360493827160493</c:v>
                </c:pt>
                <c:pt idx="309">
                  <c:v>15.307777777777778</c:v>
                </c:pt>
                <c:pt idx="310">
                  <c:v>15.258765432098766</c:v>
                </c:pt>
                <c:pt idx="311">
                  <c:v>15.224938271604938</c:v>
                </c:pt>
                <c:pt idx="312">
                  <c:v>15.183456790123456</c:v>
                </c:pt>
                <c:pt idx="313">
                  <c:v>15.130740740740739</c:v>
                </c:pt>
                <c:pt idx="314">
                  <c:v>15.070370370370371</c:v>
                </c:pt>
                <c:pt idx="315">
                  <c:v>15.006419753086417</c:v>
                </c:pt>
                <c:pt idx="316">
                  <c:v>14.942345679012346</c:v>
                </c:pt>
                <c:pt idx="317">
                  <c:v>14.878271604938272</c:v>
                </c:pt>
                <c:pt idx="318">
                  <c:v>14.825555555555555</c:v>
                </c:pt>
                <c:pt idx="319">
                  <c:v>14.765185185185183</c:v>
                </c:pt>
                <c:pt idx="320">
                  <c:v>14.701234567901233</c:v>
                </c:pt>
                <c:pt idx="321">
                  <c:v>14.622098765432096</c:v>
                </c:pt>
                <c:pt idx="322">
                  <c:v>14.554197530864196</c:v>
                </c:pt>
                <c:pt idx="323">
                  <c:v>14.497777777777777</c:v>
                </c:pt>
                <c:pt idx="324">
                  <c:v>14.422345679012347</c:v>
                </c:pt>
                <c:pt idx="325">
                  <c:v>14.335679012345677</c:v>
                </c:pt>
                <c:pt idx="326">
                  <c:v>14.237777777777778</c:v>
                </c:pt>
                <c:pt idx="327">
                  <c:v>14.143580246913581</c:v>
                </c:pt>
                <c:pt idx="328">
                  <c:v>14.03432098765432</c:v>
                </c:pt>
                <c:pt idx="329">
                  <c:v>13.925061728395063</c:v>
                </c:pt>
                <c:pt idx="330">
                  <c:v>13.804444444444444</c:v>
                </c:pt>
                <c:pt idx="331">
                  <c:v>13.695185185185183</c:v>
                </c:pt>
                <c:pt idx="332">
                  <c:v>13.570864197530863</c:v>
                </c:pt>
                <c:pt idx="333">
                  <c:v>13.439012345679012</c:v>
                </c:pt>
                <c:pt idx="334">
                  <c:v>13.30716049382716</c:v>
                </c:pt>
                <c:pt idx="335">
                  <c:v>13.17148148148148</c:v>
                </c:pt>
                <c:pt idx="336">
                  <c:v>13.024567901234567</c:v>
                </c:pt>
                <c:pt idx="337">
                  <c:v>12.870123456790122</c:v>
                </c:pt>
                <c:pt idx="338">
                  <c:v>12.715679012345678</c:v>
                </c:pt>
                <c:pt idx="339">
                  <c:v>12.549876543209876</c:v>
                </c:pt>
                <c:pt idx="340">
                  <c:v>12.372839506172838</c:v>
                </c:pt>
                <c:pt idx="341">
                  <c:v>12.173123456790123</c:v>
                </c:pt>
                <c:pt idx="342">
                  <c:v>11.969666666666665</c:v>
                </c:pt>
                <c:pt idx="343">
                  <c:v>11.751148148148149</c:v>
                </c:pt>
                <c:pt idx="344">
                  <c:v>11.521333333333333</c:v>
                </c:pt>
                <c:pt idx="345">
                  <c:v>11.250061728395062</c:v>
                </c:pt>
                <c:pt idx="346">
                  <c:v>10.982555555555555</c:v>
                </c:pt>
                <c:pt idx="347">
                  <c:v>10.684925925925926</c:v>
                </c:pt>
                <c:pt idx="348">
                  <c:v>10.364679012345681</c:v>
                </c:pt>
                <c:pt idx="349">
                  <c:v>10.021827160493826</c:v>
                </c:pt>
                <c:pt idx="350">
                  <c:v>9.6601358024691351</c:v>
                </c:pt>
                <c:pt idx="351">
                  <c:v>9.2532345679012344</c:v>
                </c:pt>
                <c:pt idx="352">
                  <c:v>8.8011234567901226</c:v>
                </c:pt>
                <c:pt idx="353">
                  <c:v>8.3037901234567908</c:v>
                </c:pt>
                <c:pt idx="354">
                  <c:v>7.7348888888888885</c:v>
                </c:pt>
                <c:pt idx="355">
                  <c:v>7.1057037037037034</c:v>
                </c:pt>
                <c:pt idx="356">
                  <c:v>6.42</c:v>
                </c:pt>
                <c:pt idx="357">
                  <c:v>5.6536666666666671</c:v>
                </c:pt>
                <c:pt idx="358">
                  <c:v>4.7776913580246916</c:v>
                </c:pt>
                <c:pt idx="359">
                  <c:v>3.7615802469135797</c:v>
                </c:pt>
                <c:pt idx="360">
                  <c:v>2.5823086419753083</c:v>
                </c:pt>
                <c:pt idx="361">
                  <c:v>1.2086469135802467</c:v>
                </c:pt>
                <c:pt idx="362">
                  <c:v>-0.36425185185185183</c:v>
                </c:pt>
                <c:pt idx="363">
                  <c:v>-2.1791851851851849</c:v>
                </c:pt>
                <c:pt idx="364">
                  <c:v>-4.1462469135802476</c:v>
                </c:pt>
                <c:pt idx="365">
                  <c:v>-6.2881234567901227</c:v>
                </c:pt>
                <c:pt idx="366">
                  <c:v>-8.5712962962962962</c:v>
                </c:pt>
                <c:pt idx="367">
                  <c:v>-10.948654320987654</c:v>
                </c:pt>
                <c:pt idx="368">
                  <c:v>-13.439012345679012</c:v>
                </c:pt>
                <c:pt idx="369">
                  <c:v>-16.012345679012348</c:v>
                </c:pt>
                <c:pt idx="370">
                  <c:v>-18.687283950617282</c:v>
                </c:pt>
                <c:pt idx="371">
                  <c:v>-21.426296296296293</c:v>
                </c:pt>
                <c:pt idx="372">
                  <c:v>-24.206790123456788</c:v>
                </c:pt>
                <c:pt idx="373">
                  <c:v>-27.021234567901232</c:v>
                </c:pt>
                <c:pt idx="374">
                  <c:v>-29.895925925925923</c:v>
                </c:pt>
                <c:pt idx="375">
                  <c:v>-32.781851851851847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58752"/>
        <c:axId val="48968448"/>
      </c:scatterChart>
      <c:valAx>
        <c:axId val="48458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968448"/>
        <c:crosses val="autoZero"/>
        <c:crossBetween val="midCat"/>
      </c:valAx>
      <c:valAx>
        <c:axId val="4896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8458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-29.888395061728396</c:v>
                </c:pt>
                <c:pt idx="1">
                  <c:v>-26.968518518518518</c:v>
                </c:pt>
                <c:pt idx="2">
                  <c:v>-24.191728395061727</c:v>
                </c:pt>
                <c:pt idx="3">
                  <c:v>-21.497901234567898</c:v>
                </c:pt>
                <c:pt idx="4">
                  <c:v>-18.85679012345679</c:v>
                </c:pt>
                <c:pt idx="5">
                  <c:v>-16.245925925925924</c:v>
                </c:pt>
                <c:pt idx="6">
                  <c:v>-13.729135802469134</c:v>
                </c:pt>
                <c:pt idx="7">
                  <c:v>-11.276432098765431</c:v>
                </c:pt>
                <c:pt idx="8">
                  <c:v>-8.91038271604938</c:v>
                </c:pt>
                <c:pt idx="9">
                  <c:v>-6.6272098765432101</c:v>
                </c:pt>
                <c:pt idx="10">
                  <c:v>-4.4619753086419749</c:v>
                </c:pt>
                <c:pt idx="11">
                  <c:v>-2.4142839506172833</c:v>
                </c:pt>
                <c:pt idx="12">
                  <c:v>-0.52719999999999989</c:v>
                </c:pt>
                <c:pt idx="13">
                  <c:v>1.1570308641975309</c:v>
                </c:pt>
                <c:pt idx="14">
                  <c:v>2.6799012345679012</c:v>
                </c:pt>
                <c:pt idx="15">
                  <c:v>3.9842345679012343</c:v>
                </c:pt>
                <c:pt idx="16">
                  <c:v>5.1035925925925927</c:v>
                </c:pt>
                <c:pt idx="17">
                  <c:v>6.0937160493827154</c:v>
                </c:pt>
                <c:pt idx="18">
                  <c:v>6.9474567901234563</c:v>
                </c:pt>
                <c:pt idx="19">
                  <c:v>7.7009753086419748</c:v>
                </c:pt>
                <c:pt idx="20">
                  <c:v>8.3565432098765431</c:v>
                </c:pt>
                <c:pt idx="21">
                  <c:v>8.9442839506172831</c:v>
                </c:pt>
                <c:pt idx="22">
                  <c:v>9.4679876543209875</c:v>
                </c:pt>
                <c:pt idx="23">
                  <c:v>9.9389382716049379</c:v>
                </c:pt>
                <c:pt idx="24">
                  <c:v>10.368444444444444</c:v>
                </c:pt>
                <c:pt idx="25">
                  <c:v>10.745197530864198</c:v>
                </c:pt>
                <c:pt idx="26">
                  <c:v>11.106888888888889</c:v>
                </c:pt>
                <c:pt idx="27">
                  <c:v>11.445975308641975</c:v>
                </c:pt>
                <c:pt idx="28">
                  <c:v>11.739851851851853</c:v>
                </c:pt>
                <c:pt idx="29">
                  <c:v>12.014888888888889</c:v>
                </c:pt>
                <c:pt idx="30">
                  <c:v>12.271086419753086</c:v>
                </c:pt>
                <c:pt idx="31">
                  <c:v>12.512222222222221</c:v>
                </c:pt>
                <c:pt idx="32">
                  <c:v>12.730740740740741</c:v>
                </c:pt>
                <c:pt idx="33">
                  <c:v>12.919135802469135</c:v>
                </c:pt>
                <c:pt idx="34">
                  <c:v>13.10753086419753</c:v>
                </c:pt>
                <c:pt idx="35">
                  <c:v>13.273209876543209</c:v>
                </c:pt>
                <c:pt idx="36">
                  <c:v>13.439012345679012</c:v>
                </c:pt>
                <c:pt idx="37">
                  <c:v>13.593456790123456</c:v>
                </c:pt>
                <c:pt idx="38">
                  <c:v>13.748024691358024</c:v>
                </c:pt>
                <c:pt idx="39">
                  <c:v>13.894938271604937</c:v>
                </c:pt>
                <c:pt idx="40">
                  <c:v>14.022962962962962</c:v>
                </c:pt>
                <c:pt idx="41">
                  <c:v>14.147407407407405</c:v>
                </c:pt>
                <c:pt idx="42">
                  <c:v>14.260370370370369</c:v>
                </c:pt>
                <c:pt idx="43">
                  <c:v>14.369629629629628</c:v>
                </c:pt>
                <c:pt idx="44">
                  <c:v>14.471358024691357</c:v>
                </c:pt>
                <c:pt idx="45">
                  <c:v>14.573086419753087</c:v>
                </c:pt>
                <c:pt idx="46">
                  <c:v>14.670987654320987</c:v>
                </c:pt>
                <c:pt idx="47">
                  <c:v>14.75395061728395</c:v>
                </c:pt>
                <c:pt idx="48">
                  <c:v>14.840617283950616</c:v>
                </c:pt>
                <c:pt idx="49">
                  <c:v>14.912222222222221</c:v>
                </c:pt>
                <c:pt idx="50">
                  <c:v>14.995061728395061</c:v>
                </c:pt>
                <c:pt idx="51">
                  <c:v>15.0779012345679</c:v>
                </c:pt>
                <c:pt idx="52">
                  <c:v>15.145802469135802</c:v>
                </c:pt>
                <c:pt idx="53">
                  <c:v>15.213580246913581</c:v>
                </c:pt>
                <c:pt idx="54">
                  <c:v>15.266296296296295</c:v>
                </c:pt>
                <c:pt idx="55">
                  <c:v>15.307777777777778</c:v>
                </c:pt>
                <c:pt idx="56">
                  <c:v>15.35679012345679</c:v>
                </c:pt>
                <c:pt idx="57">
                  <c:v>15.417037037037037</c:v>
                </c:pt>
                <c:pt idx="58">
                  <c:v>15.477283950617283</c:v>
                </c:pt>
                <c:pt idx="59">
                  <c:v>15.533827160493827</c:v>
                </c:pt>
                <c:pt idx="60">
                  <c:v>15.601604938271604</c:v>
                </c:pt>
                <c:pt idx="61">
                  <c:v>15.643086419753088</c:v>
                </c:pt>
                <c:pt idx="62">
                  <c:v>15.695802469135801</c:v>
                </c:pt>
                <c:pt idx="63">
                  <c:v>15.733456790123457</c:v>
                </c:pt>
                <c:pt idx="64">
                  <c:v>15.771234567901235</c:v>
                </c:pt>
                <c:pt idx="65">
                  <c:v>15.816419753086418</c:v>
                </c:pt>
                <c:pt idx="66">
                  <c:v>15.850246913580245</c:v>
                </c:pt>
                <c:pt idx="67">
                  <c:v>15.880493827160493</c:v>
                </c:pt>
                <c:pt idx="68">
                  <c:v>15.918148148148147</c:v>
                </c:pt>
                <c:pt idx="69">
                  <c:v>15.933209876543209</c:v>
                </c:pt>
                <c:pt idx="70">
                  <c:v>15.951975308641973</c:v>
                </c:pt>
                <c:pt idx="71">
                  <c:v>15.974691358024689</c:v>
                </c:pt>
                <c:pt idx="72">
                  <c:v>15.989753086419752</c:v>
                </c:pt>
                <c:pt idx="73">
                  <c:v>16.000987654320987</c:v>
                </c:pt>
                <c:pt idx="74">
                  <c:v>16.019876543209875</c:v>
                </c:pt>
                <c:pt idx="75">
                  <c:v>16.049999999999997</c:v>
                </c:pt>
                <c:pt idx="76">
                  <c:v>16.061234567901234</c:v>
                </c:pt>
                <c:pt idx="77">
                  <c:v>16.08395061728395</c:v>
                </c:pt>
                <c:pt idx="78">
                  <c:v>16.114074074074072</c:v>
                </c:pt>
                <c:pt idx="79">
                  <c:v>16.147901234567904</c:v>
                </c:pt>
                <c:pt idx="80">
                  <c:v>16.174320987654323</c:v>
                </c:pt>
                <c:pt idx="81">
                  <c:v>16.204444444444441</c:v>
                </c:pt>
                <c:pt idx="82">
                  <c:v>16.238395061728394</c:v>
                </c:pt>
                <c:pt idx="83">
                  <c:v>16.268518518518519</c:v>
                </c:pt>
                <c:pt idx="84">
                  <c:v>16.294938271604938</c:v>
                </c:pt>
                <c:pt idx="85">
                  <c:v>16.317530864197529</c:v>
                </c:pt>
                <c:pt idx="86">
                  <c:v>16.32506172839506</c:v>
                </c:pt>
                <c:pt idx="87">
                  <c:v>16.343827160493824</c:v>
                </c:pt>
                <c:pt idx="88">
                  <c:v>16.355185185185185</c:v>
                </c:pt>
                <c:pt idx="89">
                  <c:v>16.38148148148148</c:v>
                </c:pt>
                <c:pt idx="90">
                  <c:v>16.392839506172837</c:v>
                </c:pt>
                <c:pt idx="91">
                  <c:v>16.415432098765429</c:v>
                </c:pt>
                <c:pt idx="92">
                  <c:v>16.41925925925926</c:v>
                </c:pt>
                <c:pt idx="93">
                  <c:v>16.434320987654321</c:v>
                </c:pt>
                <c:pt idx="94">
                  <c:v>16.456913580246912</c:v>
                </c:pt>
                <c:pt idx="95">
                  <c:v>16.475679012345676</c:v>
                </c:pt>
                <c:pt idx="96">
                  <c:v>16.509629629629632</c:v>
                </c:pt>
                <c:pt idx="97">
                  <c:v>16.53222222222222</c:v>
                </c:pt>
                <c:pt idx="98">
                  <c:v>16.547283950617281</c:v>
                </c:pt>
                <c:pt idx="99">
                  <c:v>16.558641975308642</c:v>
                </c:pt>
                <c:pt idx="100">
                  <c:v>16.569876543209876</c:v>
                </c:pt>
                <c:pt idx="101">
                  <c:v>16.57740740740741</c:v>
                </c:pt>
                <c:pt idx="102">
                  <c:v>16.57740740740741</c:v>
                </c:pt>
                <c:pt idx="103">
                  <c:v>16.588765432098764</c:v>
                </c:pt>
                <c:pt idx="104">
                  <c:v>16.588765432098764</c:v>
                </c:pt>
                <c:pt idx="105">
                  <c:v>16.603827160493829</c:v>
                </c:pt>
                <c:pt idx="106">
                  <c:v>16.615185185185183</c:v>
                </c:pt>
                <c:pt idx="107">
                  <c:v>16.626419753086417</c:v>
                </c:pt>
                <c:pt idx="108">
                  <c:v>16.633950617283947</c:v>
                </c:pt>
                <c:pt idx="109">
                  <c:v>16.637777777777774</c:v>
                </c:pt>
                <c:pt idx="110">
                  <c:v>16.649012345679012</c:v>
                </c:pt>
                <c:pt idx="111">
                  <c:v>16.652839506172839</c:v>
                </c:pt>
                <c:pt idx="112">
                  <c:v>16.641481481481478</c:v>
                </c:pt>
                <c:pt idx="113">
                  <c:v>16.633950617283947</c:v>
                </c:pt>
                <c:pt idx="114">
                  <c:v>16.637777777777774</c:v>
                </c:pt>
                <c:pt idx="115">
                  <c:v>16.656543209876542</c:v>
                </c:pt>
                <c:pt idx="116">
                  <c:v>16.679135802469133</c:v>
                </c:pt>
                <c:pt idx="117">
                  <c:v>16.701728395061725</c:v>
                </c:pt>
                <c:pt idx="118">
                  <c:v>16.72444444444444</c:v>
                </c:pt>
                <c:pt idx="119">
                  <c:v>16.743209876543208</c:v>
                </c:pt>
                <c:pt idx="120">
                  <c:v>16.7620987654321</c:v>
                </c:pt>
                <c:pt idx="121">
                  <c:v>16.788395061728394</c:v>
                </c:pt>
                <c:pt idx="122">
                  <c:v>16.803456790123455</c:v>
                </c:pt>
                <c:pt idx="123">
                  <c:v>16.826172839506171</c:v>
                </c:pt>
                <c:pt idx="124">
                  <c:v>16.826172839506171</c:v>
                </c:pt>
                <c:pt idx="125">
                  <c:v>16.829876543209878</c:v>
                </c:pt>
                <c:pt idx="126">
                  <c:v>16.822345679012344</c:v>
                </c:pt>
                <c:pt idx="127">
                  <c:v>16.837407407407408</c:v>
                </c:pt>
                <c:pt idx="128">
                  <c:v>16.852469135802469</c:v>
                </c:pt>
                <c:pt idx="129">
                  <c:v>16.86753086419753</c:v>
                </c:pt>
                <c:pt idx="130">
                  <c:v>16.890123456790121</c:v>
                </c:pt>
                <c:pt idx="131">
                  <c:v>16.897654320987655</c:v>
                </c:pt>
                <c:pt idx="132">
                  <c:v>16.897654320987655</c:v>
                </c:pt>
                <c:pt idx="133">
                  <c:v>16.901481481481479</c:v>
                </c:pt>
                <c:pt idx="134">
                  <c:v>16.905185185185186</c:v>
                </c:pt>
                <c:pt idx="135">
                  <c:v>16.912716049382716</c:v>
                </c:pt>
                <c:pt idx="136">
                  <c:v>16.916543209876544</c:v>
                </c:pt>
                <c:pt idx="137">
                  <c:v>16.912716049382716</c:v>
                </c:pt>
                <c:pt idx="138">
                  <c:v>16.905185185185186</c:v>
                </c:pt>
                <c:pt idx="139">
                  <c:v>16.905185185185186</c:v>
                </c:pt>
                <c:pt idx="140">
                  <c:v>16.897654320987655</c:v>
                </c:pt>
                <c:pt idx="141">
                  <c:v>16.890123456790121</c:v>
                </c:pt>
                <c:pt idx="142">
                  <c:v>16.890123456790121</c:v>
                </c:pt>
                <c:pt idx="143">
                  <c:v>16.897654320987655</c:v>
                </c:pt>
                <c:pt idx="144">
                  <c:v>16.920246913580247</c:v>
                </c:pt>
                <c:pt idx="145">
                  <c:v>16.950493827160493</c:v>
                </c:pt>
                <c:pt idx="146">
                  <c:v>16.976790123456787</c:v>
                </c:pt>
                <c:pt idx="147">
                  <c:v>16.976790123456787</c:v>
                </c:pt>
                <c:pt idx="148">
                  <c:v>16.980617283950615</c:v>
                </c:pt>
                <c:pt idx="149">
                  <c:v>16.991851851851852</c:v>
                </c:pt>
                <c:pt idx="150">
                  <c:v>17.006913580246916</c:v>
                </c:pt>
                <c:pt idx="151">
                  <c:v>17.033333333333331</c:v>
                </c:pt>
                <c:pt idx="152">
                  <c:v>17.052222222222223</c:v>
                </c:pt>
                <c:pt idx="153">
                  <c:v>17.055925925925926</c:v>
                </c:pt>
                <c:pt idx="154">
                  <c:v>17.055925925925926</c:v>
                </c:pt>
                <c:pt idx="155">
                  <c:v>17.052222222222223</c:v>
                </c:pt>
                <c:pt idx="156">
                  <c:v>17.048395061728392</c:v>
                </c:pt>
                <c:pt idx="157">
                  <c:v>17.063456790123453</c:v>
                </c:pt>
                <c:pt idx="158">
                  <c:v>17.078518518518518</c:v>
                </c:pt>
                <c:pt idx="159">
                  <c:v>17.082345679012345</c:v>
                </c:pt>
                <c:pt idx="160">
                  <c:v>17.101111111111113</c:v>
                </c:pt>
                <c:pt idx="161">
                  <c:v>17.127530864197528</c:v>
                </c:pt>
                <c:pt idx="162">
                  <c:v>17.138765432098765</c:v>
                </c:pt>
                <c:pt idx="163">
                  <c:v>17.157654320987653</c:v>
                </c:pt>
                <c:pt idx="164">
                  <c:v>17.161481481481481</c:v>
                </c:pt>
                <c:pt idx="165">
                  <c:v>17.176543209876542</c:v>
                </c:pt>
                <c:pt idx="166">
                  <c:v>17.191604938271606</c:v>
                </c:pt>
                <c:pt idx="167">
                  <c:v>17.206666666666667</c:v>
                </c:pt>
                <c:pt idx="168">
                  <c:v>17.217901234567901</c:v>
                </c:pt>
                <c:pt idx="169">
                  <c:v>17.21037037037037</c:v>
                </c:pt>
                <c:pt idx="170">
                  <c:v>17.214197530864197</c:v>
                </c:pt>
                <c:pt idx="171">
                  <c:v>17.214197530864197</c:v>
                </c:pt>
                <c:pt idx="172">
                  <c:v>17.214197530864197</c:v>
                </c:pt>
                <c:pt idx="173">
                  <c:v>17.217901234567901</c:v>
                </c:pt>
                <c:pt idx="174">
                  <c:v>17.214197530864197</c:v>
                </c:pt>
                <c:pt idx="175">
                  <c:v>17.214197530864197</c:v>
                </c:pt>
                <c:pt idx="176">
                  <c:v>17.199135802469137</c:v>
                </c:pt>
                <c:pt idx="177">
                  <c:v>17.180246913580245</c:v>
                </c:pt>
                <c:pt idx="178">
                  <c:v>17.180246913580245</c:v>
                </c:pt>
                <c:pt idx="179">
                  <c:v>17.184074074074076</c:v>
                </c:pt>
                <c:pt idx="180">
                  <c:v>17.191604938271606</c:v>
                </c:pt>
                <c:pt idx="181">
                  <c:v>17.202839506172836</c:v>
                </c:pt>
                <c:pt idx="182">
                  <c:v>17.225432098765431</c:v>
                </c:pt>
                <c:pt idx="183">
                  <c:v>17.236790123456789</c:v>
                </c:pt>
                <c:pt idx="184">
                  <c:v>17.251851851851853</c:v>
                </c:pt>
                <c:pt idx="185">
                  <c:v>17.251851851851853</c:v>
                </c:pt>
                <c:pt idx="186">
                  <c:v>17.248024691358022</c:v>
                </c:pt>
                <c:pt idx="187">
                  <c:v>17.244320987654319</c:v>
                </c:pt>
                <c:pt idx="188">
                  <c:v>17.259382716049384</c:v>
                </c:pt>
                <c:pt idx="189">
                  <c:v>17.270740740740738</c:v>
                </c:pt>
                <c:pt idx="190">
                  <c:v>17.270740740740738</c:v>
                </c:pt>
                <c:pt idx="191">
                  <c:v>17.270740740740738</c:v>
                </c:pt>
                <c:pt idx="192">
                  <c:v>17.278271604938272</c:v>
                </c:pt>
                <c:pt idx="193">
                  <c:v>17.285802469135803</c:v>
                </c:pt>
                <c:pt idx="194">
                  <c:v>17.289506172839506</c:v>
                </c:pt>
                <c:pt idx="195">
                  <c:v>17.304567901234567</c:v>
                </c:pt>
                <c:pt idx="196">
                  <c:v>17.312098765432097</c:v>
                </c:pt>
                <c:pt idx="197">
                  <c:v>17.323456790123455</c:v>
                </c:pt>
                <c:pt idx="198">
                  <c:v>17.312098765432097</c:v>
                </c:pt>
                <c:pt idx="199">
                  <c:v>17.304567901234567</c:v>
                </c:pt>
                <c:pt idx="200">
                  <c:v>17.289506172839506</c:v>
                </c:pt>
                <c:pt idx="201">
                  <c:v>17.278271604938272</c:v>
                </c:pt>
                <c:pt idx="202">
                  <c:v>17.278271604938272</c:v>
                </c:pt>
                <c:pt idx="203">
                  <c:v>17.289506172839506</c:v>
                </c:pt>
                <c:pt idx="204">
                  <c:v>17.304567901234567</c:v>
                </c:pt>
                <c:pt idx="205">
                  <c:v>17.327160493827162</c:v>
                </c:pt>
                <c:pt idx="206">
                  <c:v>17.342222222222222</c:v>
                </c:pt>
                <c:pt idx="207">
                  <c:v>17.338518518518516</c:v>
                </c:pt>
                <c:pt idx="208">
                  <c:v>17.312098765432097</c:v>
                </c:pt>
                <c:pt idx="209">
                  <c:v>17.300864197530863</c:v>
                </c:pt>
                <c:pt idx="210">
                  <c:v>17.300864197530863</c:v>
                </c:pt>
                <c:pt idx="211">
                  <c:v>17.312098765432097</c:v>
                </c:pt>
                <c:pt idx="212">
                  <c:v>17.300864197530863</c:v>
                </c:pt>
                <c:pt idx="213">
                  <c:v>17.300864197530863</c:v>
                </c:pt>
                <c:pt idx="214">
                  <c:v>17.312098765432097</c:v>
                </c:pt>
                <c:pt idx="215">
                  <c:v>17.319629629629631</c:v>
                </c:pt>
                <c:pt idx="216">
                  <c:v>17.342222222222222</c:v>
                </c:pt>
                <c:pt idx="217">
                  <c:v>17.35358024691358</c:v>
                </c:pt>
                <c:pt idx="218">
                  <c:v>17.368641975308641</c:v>
                </c:pt>
                <c:pt idx="219">
                  <c:v>17.372469135802469</c:v>
                </c:pt>
                <c:pt idx="220">
                  <c:v>17.372469135802469</c:v>
                </c:pt>
                <c:pt idx="221">
                  <c:v>17.391234567901233</c:v>
                </c:pt>
                <c:pt idx="222">
                  <c:v>17.413827160493828</c:v>
                </c:pt>
                <c:pt idx="223">
                  <c:v>17.428888888888888</c:v>
                </c:pt>
                <c:pt idx="224">
                  <c:v>17.436419753086419</c:v>
                </c:pt>
                <c:pt idx="225">
                  <c:v>17.440246913580246</c:v>
                </c:pt>
                <c:pt idx="226">
                  <c:v>17.432716049382716</c:v>
                </c:pt>
                <c:pt idx="227">
                  <c:v>17.425185185185182</c:v>
                </c:pt>
                <c:pt idx="228">
                  <c:v>17.421358024691358</c:v>
                </c:pt>
                <c:pt idx="229">
                  <c:v>17.425185185185182</c:v>
                </c:pt>
                <c:pt idx="230">
                  <c:v>17.436419753086419</c:v>
                </c:pt>
                <c:pt idx="231">
                  <c:v>17.440246913580246</c:v>
                </c:pt>
                <c:pt idx="232">
                  <c:v>17.447777777777777</c:v>
                </c:pt>
                <c:pt idx="233">
                  <c:v>17.447777777777777</c:v>
                </c:pt>
                <c:pt idx="234">
                  <c:v>17.440246913580246</c:v>
                </c:pt>
                <c:pt idx="235">
                  <c:v>17.432716049382716</c:v>
                </c:pt>
                <c:pt idx="236">
                  <c:v>17.436419753086419</c:v>
                </c:pt>
                <c:pt idx="237">
                  <c:v>17.440246913580246</c:v>
                </c:pt>
                <c:pt idx="238">
                  <c:v>17.447777777777777</c:v>
                </c:pt>
                <c:pt idx="239">
                  <c:v>17.462839506172838</c:v>
                </c:pt>
                <c:pt idx="240">
                  <c:v>17.477901234567902</c:v>
                </c:pt>
                <c:pt idx="241">
                  <c:v>17.492962962962959</c:v>
                </c:pt>
                <c:pt idx="242">
                  <c:v>17.511851851851851</c:v>
                </c:pt>
                <c:pt idx="243">
                  <c:v>17.523086419753085</c:v>
                </c:pt>
                <c:pt idx="244">
                  <c:v>17.530617283950615</c:v>
                </c:pt>
                <c:pt idx="245">
                  <c:v>17.526913580246916</c:v>
                </c:pt>
                <c:pt idx="246">
                  <c:v>17.534444444444443</c:v>
                </c:pt>
                <c:pt idx="247">
                  <c:v>17.534444444444443</c:v>
                </c:pt>
                <c:pt idx="248">
                  <c:v>17.553209876543207</c:v>
                </c:pt>
                <c:pt idx="249">
                  <c:v>17.568271604938271</c:v>
                </c:pt>
                <c:pt idx="250">
                  <c:v>17.568271604938271</c:v>
                </c:pt>
                <c:pt idx="251">
                  <c:v>17.560740740740737</c:v>
                </c:pt>
                <c:pt idx="252">
                  <c:v>17.553209876543207</c:v>
                </c:pt>
                <c:pt idx="253">
                  <c:v>17.54567901234568</c:v>
                </c:pt>
                <c:pt idx="254">
                  <c:v>17.549506172839507</c:v>
                </c:pt>
                <c:pt idx="255">
                  <c:v>17.557037037037034</c:v>
                </c:pt>
                <c:pt idx="256">
                  <c:v>17.572098765432099</c:v>
                </c:pt>
                <c:pt idx="257">
                  <c:v>17.590987654320987</c:v>
                </c:pt>
                <c:pt idx="258">
                  <c:v>17.58716049382716</c:v>
                </c:pt>
                <c:pt idx="259">
                  <c:v>17.575925925925926</c:v>
                </c:pt>
                <c:pt idx="260">
                  <c:v>17.575925925925926</c:v>
                </c:pt>
                <c:pt idx="261">
                  <c:v>17.583456790123453</c:v>
                </c:pt>
                <c:pt idx="262">
                  <c:v>17.58716049382716</c:v>
                </c:pt>
                <c:pt idx="263">
                  <c:v>17.583456790123453</c:v>
                </c:pt>
                <c:pt idx="264">
                  <c:v>17.590987654320987</c:v>
                </c:pt>
                <c:pt idx="265">
                  <c:v>17.590987654320987</c:v>
                </c:pt>
                <c:pt idx="266">
                  <c:v>17.590987654320987</c:v>
                </c:pt>
                <c:pt idx="267">
                  <c:v>17.575925925925926</c:v>
                </c:pt>
                <c:pt idx="268">
                  <c:v>17.579629629629629</c:v>
                </c:pt>
                <c:pt idx="269">
                  <c:v>17.594691358024694</c:v>
                </c:pt>
                <c:pt idx="270">
                  <c:v>17.606049382716048</c:v>
                </c:pt>
                <c:pt idx="271">
                  <c:v>17.632345679012342</c:v>
                </c:pt>
                <c:pt idx="272">
                  <c:v>17.628641975308639</c:v>
                </c:pt>
                <c:pt idx="273">
                  <c:v>17.624814814814812</c:v>
                </c:pt>
                <c:pt idx="274">
                  <c:v>17.621111111111112</c:v>
                </c:pt>
                <c:pt idx="275">
                  <c:v>17.609753086419751</c:v>
                </c:pt>
                <c:pt idx="276">
                  <c:v>17.598518518518517</c:v>
                </c:pt>
                <c:pt idx="277">
                  <c:v>17.58716049382716</c:v>
                </c:pt>
                <c:pt idx="278">
                  <c:v>17.60222222222222</c:v>
                </c:pt>
                <c:pt idx="279">
                  <c:v>17.598518518518517</c:v>
                </c:pt>
                <c:pt idx="280">
                  <c:v>17.60222222222222</c:v>
                </c:pt>
                <c:pt idx="281">
                  <c:v>17.613580246913582</c:v>
                </c:pt>
                <c:pt idx="282">
                  <c:v>17.628641975308639</c:v>
                </c:pt>
                <c:pt idx="283">
                  <c:v>17.639876543209876</c:v>
                </c:pt>
                <c:pt idx="284">
                  <c:v>17.647407407407407</c:v>
                </c:pt>
                <c:pt idx="285">
                  <c:v>17.651234567901231</c:v>
                </c:pt>
                <c:pt idx="286">
                  <c:v>17.658765432098765</c:v>
                </c:pt>
                <c:pt idx="287">
                  <c:v>17.666296296296295</c:v>
                </c:pt>
                <c:pt idx="288">
                  <c:v>17.685185185185183</c:v>
                </c:pt>
                <c:pt idx="289">
                  <c:v>17.677530864197529</c:v>
                </c:pt>
                <c:pt idx="290">
                  <c:v>17.68888888888889</c:v>
                </c:pt>
                <c:pt idx="291">
                  <c:v>17.69641975308642</c:v>
                </c:pt>
                <c:pt idx="292">
                  <c:v>17.700246913580244</c:v>
                </c:pt>
                <c:pt idx="293">
                  <c:v>17.711481481481481</c:v>
                </c:pt>
                <c:pt idx="294">
                  <c:v>17.711481481481481</c:v>
                </c:pt>
                <c:pt idx="295">
                  <c:v>17.719012345679008</c:v>
                </c:pt>
                <c:pt idx="296">
                  <c:v>17.719012345679008</c:v>
                </c:pt>
                <c:pt idx="297">
                  <c:v>17.722839506172836</c:v>
                </c:pt>
                <c:pt idx="298">
                  <c:v>17.726543209876542</c:v>
                </c:pt>
                <c:pt idx="299">
                  <c:v>17.73037037037037</c:v>
                </c:pt>
                <c:pt idx="300">
                  <c:v>17.7379012345679</c:v>
                </c:pt>
                <c:pt idx="301">
                  <c:v>17.756666666666668</c:v>
                </c:pt>
                <c:pt idx="302">
                  <c:v>17.768024691358022</c:v>
                </c:pt>
                <c:pt idx="303">
                  <c:v>17.783086419753086</c:v>
                </c:pt>
                <c:pt idx="304">
                  <c:v>17.809506172839505</c:v>
                </c:pt>
                <c:pt idx="305">
                  <c:v>17.824567901234566</c:v>
                </c:pt>
                <c:pt idx="306">
                  <c:v>17.824567901234566</c:v>
                </c:pt>
                <c:pt idx="307">
                  <c:v>17.832098765432097</c:v>
                </c:pt>
                <c:pt idx="308">
                  <c:v>17.843333333333334</c:v>
                </c:pt>
                <c:pt idx="309">
                  <c:v>17.862222222222222</c:v>
                </c:pt>
                <c:pt idx="310">
                  <c:v>17.873456790123456</c:v>
                </c:pt>
                <c:pt idx="311">
                  <c:v>17.880987654320986</c:v>
                </c:pt>
                <c:pt idx="312">
                  <c:v>17.884814814814817</c:v>
                </c:pt>
                <c:pt idx="313">
                  <c:v>17.880987654320986</c:v>
                </c:pt>
                <c:pt idx="314">
                  <c:v>17.884814814814817</c:v>
                </c:pt>
                <c:pt idx="315">
                  <c:v>17.903703703703702</c:v>
                </c:pt>
                <c:pt idx="316">
                  <c:v>17.914938271604939</c:v>
                </c:pt>
                <c:pt idx="317">
                  <c:v>17.914938271604939</c:v>
                </c:pt>
                <c:pt idx="318">
                  <c:v>17.914938271604939</c:v>
                </c:pt>
                <c:pt idx="319">
                  <c:v>17.903703703703702</c:v>
                </c:pt>
                <c:pt idx="320">
                  <c:v>17.892345679012344</c:v>
                </c:pt>
                <c:pt idx="321">
                  <c:v>17.877283950617283</c:v>
                </c:pt>
                <c:pt idx="322">
                  <c:v>17.884814814814817</c:v>
                </c:pt>
                <c:pt idx="323">
                  <c:v>17.892345679012344</c:v>
                </c:pt>
                <c:pt idx="324">
                  <c:v>17.922469135802466</c:v>
                </c:pt>
                <c:pt idx="325">
                  <c:v>17.93</c:v>
                </c:pt>
                <c:pt idx="326">
                  <c:v>17.93</c:v>
                </c:pt>
                <c:pt idx="327">
                  <c:v>17.926296296296293</c:v>
                </c:pt>
                <c:pt idx="328">
                  <c:v>17.933827160493827</c:v>
                </c:pt>
                <c:pt idx="329">
                  <c:v>17.952592592592595</c:v>
                </c:pt>
                <c:pt idx="330">
                  <c:v>17.971481481481479</c:v>
                </c:pt>
                <c:pt idx="331">
                  <c:v>17.982716049382717</c:v>
                </c:pt>
                <c:pt idx="332">
                  <c:v>17.98654320987654</c:v>
                </c:pt>
                <c:pt idx="333">
                  <c:v>17.979012345679013</c:v>
                </c:pt>
                <c:pt idx="334">
                  <c:v>17.982716049382717</c:v>
                </c:pt>
                <c:pt idx="335">
                  <c:v>17.979012345679013</c:v>
                </c:pt>
                <c:pt idx="336">
                  <c:v>17.982716049382717</c:v>
                </c:pt>
                <c:pt idx="337">
                  <c:v>17.98654320987654</c:v>
                </c:pt>
                <c:pt idx="338">
                  <c:v>17.990246913580243</c:v>
                </c:pt>
                <c:pt idx="339">
                  <c:v>17.990246913580243</c:v>
                </c:pt>
                <c:pt idx="340">
                  <c:v>18.005432098765432</c:v>
                </c:pt>
                <c:pt idx="341">
                  <c:v>18.012962962962959</c:v>
                </c:pt>
                <c:pt idx="342">
                  <c:v>18.016666666666666</c:v>
                </c:pt>
                <c:pt idx="343">
                  <c:v>18.012962962962959</c:v>
                </c:pt>
                <c:pt idx="344">
                  <c:v>18.016666666666666</c:v>
                </c:pt>
                <c:pt idx="345">
                  <c:v>18.016666666666666</c:v>
                </c:pt>
                <c:pt idx="346">
                  <c:v>18.0241975308642</c:v>
                </c:pt>
                <c:pt idx="347">
                  <c:v>18.016666666666666</c:v>
                </c:pt>
                <c:pt idx="348">
                  <c:v>18.012962962962959</c:v>
                </c:pt>
                <c:pt idx="349">
                  <c:v>18.005432098765432</c:v>
                </c:pt>
                <c:pt idx="350">
                  <c:v>18.020493827160493</c:v>
                </c:pt>
                <c:pt idx="351">
                  <c:v>18.031728395061727</c:v>
                </c:pt>
                <c:pt idx="352">
                  <c:v>18.035555555555554</c:v>
                </c:pt>
                <c:pt idx="353">
                  <c:v>18.043086419753088</c:v>
                </c:pt>
                <c:pt idx="354">
                  <c:v>18.054320987654318</c:v>
                </c:pt>
                <c:pt idx="355">
                  <c:v>18.065679012345679</c:v>
                </c:pt>
                <c:pt idx="356">
                  <c:v>18.080740740740737</c:v>
                </c:pt>
                <c:pt idx="357">
                  <c:v>18.107037037037035</c:v>
                </c:pt>
                <c:pt idx="358">
                  <c:v>18.118395061728396</c:v>
                </c:pt>
                <c:pt idx="359">
                  <c:v>18.118395061728396</c:v>
                </c:pt>
                <c:pt idx="360">
                  <c:v>18.12975308641975</c:v>
                </c:pt>
                <c:pt idx="361">
                  <c:v>18.144814814814815</c:v>
                </c:pt>
                <c:pt idx="362">
                  <c:v>18.140987654320988</c:v>
                </c:pt>
                <c:pt idx="363">
                  <c:v>18.148518518518514</c:v>
                </c:pt>
                <c:pt idx="364">
                  <c:v>18.148518518518514</c:v>
                </c:pt>
                <c:pt idx="365">
                  <c:v>18.156049382716049</c:v>
                </c:pt>
                <c:pt idx="366">
                  <c:v>18.156049382716049</c:v>
                </c:pt>
                <c:pt idx="367">
                  <c:v>18.148518518518514</c:v>
                </c:pt>
                <c:pt idx="368">
                  <c:v>18.144814814814815</c:v>
                </c:pt>
                <c:pt idx="369">
                  <c:v>18.140987654320988</c:v>
                </c:pt>
                <c:pt idx="370">
                  <c:v>18.148518518518514</c:v>
                </c:pt>
                <c:pt idx="371">
                  <c:v>18.156049382716049</c:v>
                </c:pt>
                <c:pt idx="372">
                  <c:v>18.159876543209876</c:v>
                </c:pt>
                <c:pt idx="373">
                  <c:v>18.163580246913579</c:v>
                </c:pt>
                <c:pt idx="374">
                  <c:v>18.171111111111109</c:v>
                </c:pt>
                <c:pt idx="375">
                  <c:v>18.167407407407406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18.137283950617284</c:v>
                </c:pt>
                <c:pt idx="1">
                  <c:v>18.125925925925923</c:v>
                </c:pt>
                <c:pt idx="2">
                  <c:v>18.125925925925923</c:v>
                </c:pt>
                <c:pt idx="3">
                  <c:v>18.12975308641975</c:v>
                </c:pt>
                <c:pt idx="4">
                  <c:v>18.133456790123457</c:v>
                </c:pt>
                <c:pt idx="5">
                  <c:v>18.133456790123457</c:v>
                </c:pt>
                <c:pt idx="6">
                  <c:v>18.133456790123457</c:v>
                </c:pt>
                <c:pt idx="7">
                  <c:v>18.133456790123457</c:v>
                </c:pt>
                <c:pt idx="8">
                  <c:v>18.118395061728396</c:v>
                </c:pt>
                <c:pt idx="9">
                  <c:v>18.11469135802469</c:v>
                </c:pt>
                <c:pt idx="10">
                  <c:v>18.107037037037035</c:v>
                </c:pt>
                <c:pt idx="11">
                  <c:v>18.103333333333332</c:v>
                </c:pt>
                <c:pt idx="12">
                  <c:v>18.091975308641977</c:v>
                </c:pt>
                <c:pt idx="13">
                  <c:v>18.084444444444443</c:v>
                </c:pt>
                <c:pt idx="14">
                  <c:v>18.080740740740737</c:v>
                </c:pt>
                <c:pt idx="15">
                  <c:v>18.07320987654321</c:v>
                </c:pt>
                <c:pt idx="16">
                  <c:v>18.065679012345679</c:v>
                </c:pt>
                <c:pt idx="17">
                  <c:v>18.058148148148145</c:v>
                </c:pt>
                <c:pt idx="18">
                  <c:v>18.046790123456791</c:v>
                </c:pt>
                <c:pt idx="19">
                  <c:v>18.035555555555554</c:v>
                </c:pt>
                <c:pt idx="20">
                  <c:v>18.028024691358024</c:v>
                </c:pt>
                <c:pt idx="21">
                  <c:v>18.028024691358024</c:v>
                </c:pt>
                <c:pt idx="22">
                  <c:v>18.020493827160493</c:v>
                </c:pt>
                <c:pt idx="23">
                  <c:v>18.031728395061727</c:v>
                </c:pt>
                <c:pt idx="24">
                  <c:v>18.035555555555554</c:v>
                </c:pt>
                <c:pt idx="25">
                  <c:v>18.028024691358024</c:v>
                </c:pt>
                <c:pt idx="26">
                  <c:v>18.031728395061727</c:v>
                </c:pt>
                <c:pt idx="27">
                  <c:v>18.039259259259257</c:v>
                </c:pt>
                <c:pt idx="28">
                  <c:v>18.039259259259257</c:v>
                </c:pt>
                <c:pt idx="29">
                  <c:v>18.035555555555554</c:v>
                </c:pt>
                <c:pt idx="30">
                  <c:v>18.043086419753088</c:v>
                </c:pt>
                <c:pt idx="31">
                  <c:v>18.050617283950618</c:v>
                </c:pt>
                <c:pt idx="32">
                  <c:v>18.058148148148145</c:v>
                </c:pt>
                <c:pt idx="33">
                  <c:v>18.058148148148145</c:v>
                </c:pt>
                <c:pt idx="34">
                  <c:v>18.046790123456791</c:v>
                </c:pt>
                <c:pt idx="35">
                  <c:v>18.031728395061727</c:v>
                </c:pt>
                <c:pt idx="36">
                  <c:v>18.020493827160493</c:v>
                </c:pt>
                <c:pt idx="37">
                  <c:v>18.012962962962959</c:v>
                </c:pt>
                <c:pt idx="38">
                  <c:v>17.997777777777777</c:v>
                </c:pt>
                <c:pt idx="39">
                  <c:v>17.979012345679013</c:v>
                </c:pt>
                <c:pt idx="40">
                  <c:v>17.967654320987652</c:v>
                </c:pt>
                <c:pt idx="41">
                  <c:v>17.967654320987652</c:v>
                </c:pt>
                <c:pt idx="42">
                  <c:v>17.971481481481479</c:v>
                </c:pt>
                <c:pt idx="43">
                  <c:v>17.971481481481479</c:v>
                </c:pt>
                <c:pt idx="44">
                  <c:v>17.979012345679013</c:v>
                </c:pt>
                <c:pt idx="45">
                  <c:v>17.982716049382717</c:v>
                </c:pt>
                <c:pt idx="46">
                  <c:v>17.975185185185186</c:v>
                </c:pt>
                <c:pt idx="47">
                  <c:v>17.971481481481479</c:v>
                </c:pt>
                <c:pt idx="48">
                  <c:v>17.960123456790122</c:v>
                </c:pt>
                <c:pt idx="49">
                  <c:v>17.948888888888888</c:v>
                </c:pt>
                <c:pt idx="50">
                  <c:v>17.948888888888888</c:v>
                </c:pt>
                <c:pt idx="51">
                  <c:v>17.93753086419753</c:v>
                </c:pt>
                <c:pt idx="52">
                  <c:v>17.926296296296293</c:v>
                </c:pt>
                <c:pt idx="53">
                  <c:v>17.911234567901232</c:v>
                </c:pt>
                <c:pt idx="54">
                  <c:v>17.903703703703702</c:v>
                </c:pt>
                <c:pt idx="55">
                  <c:v>17.896049382716047</c:v>
                </c:pt>
                <c:pt idx="56">
                  <c:v>17.892345679012344</c:v>
                </c:pt>
                <c:pt idx="57">
                  <c:v>17.896049382716047</c:v>
                </c:pt>
                <c:pt idx="58">
                  <c:v>17.888518518518516</c:v>
                </c:pt>
                <c:pt idx="59">
                  <c:v>17.896049382716047</c:v>
                </c:pt>
                <c:pt idx="60">
                  <c:v>17.907407407407408</c:v>
                </c:pt>
                <c:pt idx="61">
                  <c:v>17.907407407407408</c:v>
                </c:pt>
                <c:pt idx="62">
                  <c:v>17.903703703703702</c:v>
                </c:pt>
                <c:pt idx="63">
                  <c:v>17.896049382716047</c:v>
                </c:pt>
                <c:pt idx="64">
                  <c:v>17.884814814814817</c:v>
                </c:pt>
                <c:pt idx="65">
                  <c:v>17.880987654320986</c:v>
                </c:pt>
                <c:pt idx="66">
                  <c:v>17.880987654320986</c:v>
                </c:pt>
                <c:pt idx="67">
                  <c:v>17.880987654320986</c:v>
                </c:pt>
                <c:pt idx="68">
                  <c:v>17.884814814814817</c:v>
                </c:pt>
                <c:pt idx="69">
                  <c:v>17.892345679012344</c:v>
                </c:pt>
                <c:pt idx="70">
                  <c:v>17.899876543209874</c:v>
                </c:pt>
                <c:pt idx="71">
                  <c:v>17.907407407407408</c:v>
                </c:pt>
                <c:pt idx="72">
                  <c:v>17.907407407407408</c:v>
                </c:pt>
                <c:pt idx="73">
                  <c:v>17.896049382716047</c:v>
                </c:pt>
                <c:pt idx="74">
                  <c:v>17.888518518518516</c:v>
                </c:pt>
                <c:pt idx="75">
                  <c:v>17.877283950617283</c:v>
                </c:pt>
                <c:pt idx="76">
                  <c:v>17.865925925925925</c:v>
                </c:pt>
                <c:pt idx="77">
                  <c:v>17.854691358024692</c:v>
                </c:pt>
                <c:pt idx="78">
                  <c:v>17.8358024691358</c:v>
                </c:pt>
                <c:pt idx="79">
                  <c:v>17.8358024691358</c:v>
                </c:pt>
                <c:pt idx="80">
                  <c:v>17.832098765432097</c:v>
                </c:pt>
                <c:pt idx="81">
                  <c:v>17.820740740740739</c:v>
                </c:pt>
                <c:pt idx="82">
                  <c:v>17.809506172839505</c:v>
                </c:pt>
                <c:pt idx="83">
                  <c:v>17.798148148148147</c:v>
                </c:pt>
                <c:pt idx="84">
                  <c:v>17.783086419753086</c:v>
                </c:pt>
                <c:pt idx="85">
                  <c:v>17.752962962962961</c:v>
                </c:pt>
                <c:pt idx="86">
                  <c:v>17.752962962962961</c:v>
                </c:pt>
                <c:pt idx="87">
                  <c:v>17.752962962962961</c:v>
                </c:pt>
                <c:pt idx="88">
                  <c:v>17.749135802469137</c:v>
                </c:pt>
                <c:pt idx="89">
                  <c:v>17.73037037037037</c:v>
                </c:pt>
                <c:pt idx="90">
                  <c:v>17.719012345679008</c:v>
                </c:pt>
                <c:pt idx="91">
                  <c:v>17.726543209876542</c:v>
                </c:pt>
                <c:pt idx="92">
                  <c:v>17.726543209876542</c:v>
                </c:pt>
                <c:pt idx="93">
                  <c:v>17.73037037037037</c:v>
                </c:pt>
                <c:pt idx="94">
                  <c:v>17.734074074074073</c:v>
                </c:pt>
                <c:pt idx="95">
                  <c:v>17.734074074074073</c:v>
                </c:pt>
                <c:pt idx="96">
                  <c:v>17.734074074074073</c:v>
                </c:pt>
                <c:pt idx="97">
                  <c:v>17.726543209876542</c:v>
                </c:pt>
                <c:pt idx="98">
                  <c:v>17.722839506172836</c:v>
                </c:pt>
                <c:pt idx="99">
                  <c:v>17.703950617283951</c:v>
                </c:pt>
                <c:pt idx="100">
                  <c:v>17.68135802469136</c:v>
                </c:pt>
                <c:pt idx="101">
                  <c:v>17.669999999999998</c:v>
                </c:pt>
                <c:pt idx="102">
                  <c:v>17.669999999999998</c:v>
                </c:pt>
                <c:pt idx="103">
                  <c:v>17.662469135802468</c:v>
                </c:pt>
                <c:pt idx="104">
                  <c:v>17.651234567901231</c:v>
                </c:pt>
                <c:pt idx="105">
                  <c:v>17.643703703703704</c:v>
                </c:pt>
                <c:pt idx="106">
                  <c:v>17.632345679012342</c:v>
                </c:pt>
                <c:pt idx="107">
                  <c:v>17.624814814814812</c:v>
                </c:pt>
                <c:pt idx="108">
                  <c:v>17.628641975308639</c:v>
                </c:pt>
                <c:pt idx="109">
                  <c:v>17.617283950617285</c:v>
                </c:pt>
                <c:pt idx="110">
                  <c:v>17.606049382716048</c:v>
                </c:pt>
                <c:pt idx="111">
                  <c:v>17.60222222222222</c:v>
                </c:pt>
                <c:pt idx="112">
                  <c:v>17.609753086419751</c:v>
                </c:pt>
                <c:pt idx="113">
                  <c:v>17.621111111111112</c:v>
                </c:pt>
                <c:pt idx="114">
                  <c:v>17.613580246913582</c:v>
                </c:pt>
                <c:pt idx="115">
                  <c:v>17.598518518518517</c:v>
                </c:pt>
                <c:pt idx="116">
                  <c:v>17.583456790123453</c:v>
                </c:pt>
                <c:pt idx="117">
                  <c:v>17.575925925925926</c:v>
                </c:pt>
                <c:pt idx="118">
                  <c:v>17.575925925925926</c:v>
                </c:pt>
                <c:pt idx="119">
                  <c:v>17.572098765432099</c:v>
                </c:pt>
                <c:pt idx="120">
                  <c:v>17.553209876543207</c:v>
                </c:pt>
                <c:pt idx="121">
                  <c:v>17.538148148148146</c:v>
                </c:pt>
                <c:pt idx="122">
                  <c:v>17.526913580246916</c:v>
                </c:pt>
                <c:pt idx="123">
                  <c:v>17.519382716049382</c:v>
                </c:pt>
                <c:pt idx="124">
                  <c:v>17.526913580246916</c:v>
                </c:pt>
                <c:pt idx="125">
                  <c:v>17.519382716049382</c:v>
                </c:pt>
                <c:pt idx="126">
                  <c:v>17.508024691358024</c:v>
                </c:pt>
                <c:pt idx="127">
                  <c:v>17.504320987654321</c:v>
                </c:pt>
                <c:pt idx="128">
                  <c:v>17.489259259259256</c:v>
                </c:pt>
                <c:pt idx="129">
                  <c:v>17.489259259259256</c:v>
                </c:pt>
                <c:pt idx="130">
                  <c:v>17.489259259259256</c:v>
                </c:pt>
                <c:pt idx="131">
                  <c:v>17.481728395061729</c:v>
                </c:pt>
                <c:pt idx="132">
                  <c:v>17.477901234567902</c:v>
                </c:pt>
                <c:pt idx="133">
                  <c:v>17.481728395061729</c:v>
                </c:pt>
                <c:pt idx="134">
                  <c:v>17.489259259259256</c:v>
                </c:pt>
                <c:pt idx="135">
                  <c:v>17.474197530864195</c:v>
                </c:pt>
                <c:pt idx="136">
                  <c:v>17.466543209876541</c:v>
                </c:pt>
                <c:pt idx="137">
                  <c:v>17.443950617283949</c:v>
                </c:pt>
                <c:pt idx="138">
                  <c:v>17.432716049382716</c:v>
                </c:pt>
                <c:pt idx="139">
                  <c:v>17.432716049382716</c:v>
                </c:pt>
                <c:pt idx="140">
                  <c:v>17.421358024691358</c:v>
                </c:pt>
                <c:pt idx="141">
                  <c:v>17.425185185185182</c:v>
                </c:pt>
                <c:pt idx="142">
                  <c:v>17.440246913580246</c:v>
                </c:pt>
                <c:pt idx="143">
                  <c:v>17.436419753086419</c:v>
                </c:pt>
                <c:pt idx="144">
                  <c:v>17.447777777777777</c:v>
                </c:pt>
                <c:pt idx="145">
                  <c:v>17.432716049382716</c:v>
                </c:pt>
                <c:pt idx="146">
                  <c:v>17.425185185185182</c:v>
                </c:pt>
                <c:pt idx="147">
                  <c:v>17.413827160493828</c:v>
                </c:pt>
                <c:pt idx="148">
                  <c:v>17.421358024691358</c:v>
                </c:pt>
                <c:pt idx="149">
                  <c:v>17.443950617283949</c:v>
                </c:pt>
                <c:pt idx="150">
                  <c:v>17.428888888888888</c:v>
                </c:pt>
                <c:pt idx="151">
                  <c:v>17.413827160493828</c:v>
                </c:pt>
                <c:pt idx="152">
                  <c:v>17.39506172839506</c:v>
                </c:pt>
                <c:pt idx="153">
                  <c:v>17.391234567901233</c:v>
                </c:pt>
                <c:pt idx="154">
                  <c:v>17.383703703703702</c:v>
                </c:pt>
                <c:pt idx="155">
                  <c:v>17.391234567901233</c:v>
                </c:pt>
                <c:pt idx="156">
                  <c:v>17.383703703703702</c:v>
                </c:pt>
                <c:pt idx="157">
                  <c:v>17.38</c:v>
                </c:pt>
                <c:pt idx="158">
                  <c:v>17.383703703703702</c:v>
                </c:pt>
                <c:pt idx="159">
                  <c:v>17.387530864197529</c:v>
                </c:pt>
                <c:pt idx="160">
                  <c:v>17.39506172839506</c:v>
                </c:pt>
                <c:pt idx="161">
                  <c:v>17.383703703703702</c:v>
                </c:pt>
                <c:pt idx="162">
                  <c:v>17.383703703703702</c:v>
                </c:pt>
                <c:pt idx="163">
                  <c:v>17.376172839506172</c:v>
                </c:pt>
                <c:pt idx="164">
                  <c:v>17.361111111111111</c:v>
                </c:pt>
                <c:pt idx="165">
                  <c:v>17.35358024691358</c:v>
                </c:pt>
                <c:pt idx="166">
                  <c:v>17.34604938271605</c:v>
                </c:pt>
                <c:pt idx="167">
                  <c:v>17.34604938271605</c:v>
                </c:pt>
                <c:pt idx="168">
                  <c:v>17.330987654320985</c:v>
                </c:pt>
                <c:pt idx="169">
                  <c:v>17.312098765432097</c:v>
                </c:pt>
                <c:pt idx="170">
                  <c:v>17.297037037037036</c:v>
                </c:pt>
                <c:pt idx="171">
                  <c:v>17.293333333333333</c:v>
                </c:pt>
                <c:pt idx="172">
                  <c:v>17.293333333333333</c:v>
                </c:pt>
                <c:pt idx="173">
                  <c:v>17.285802469135803</c:v>
                </c:pt>
                <c:pt idx="174">
                  <c:v>17.289506172839506</c:v>
                </c:pt>
                <c:pt idx="175">
                  <c:v>17.300864197530863</c:v>
                </c:pt>
                <c:pt idx="176">
                  <c:v>17.308395061728394</c:v>
                </c:pt>
                <c:pt idx="177">
                  <c:v>17.315925925925924</c:v>
                </c:pt>
                <c:pt idx="178">
                  <c:v>17.312098765432097</c:v>
                </c:pt>
                <c:pt idx="179">
                  <c:v>17.319629629629631</c:v>
                </c:pt>
                <c:pt idx="180">
                  <c:v>17.334691358024692</c:v>
                </c:pt>
                <c:pt idx="181">
                  <c:v>17.338518518518516</c:v>
                </c:pt>
                <c:pt idx="182">
                  <c:v>17.34604938271605</c:v>
                </c:pt>
                <c:pt idx="183">
                  <c:v>17.349753086419753</c:v>
                </c:pt>
                <c:pt idx="184">
                  <c:v>17.34604938271605</c:v>
                </c:pt>
                <c:pt idx="185">
                  <c:v>17.330987654320985</c:v>
                </c:pt>
                <c:pt idx="186">
                  <c:v>17.330987654320985</c:v>
                </c:pt>
                <c:pt idx="187">
                  <c:v>17.323456790123455</c:v>
                </c:pt>
                <c:pt idx="188">
                  <c:v>17.308395061728394</c:v>
                </c:pt>
                <c:pt idx="189">
                  <c:v>17.308395061728394</c:v>
                </c:pt>
                <c:pt idx="190">
                  <c:v>17.304567901234567</c:v>
                </c:pt>
                <c:pt idx="191">
                  <c:v>17.300864197530863</c:v>
                </c:pt>
                <c:pt idx="192">
                  <c:v>17.289506172839506</c:v>
                </c:pt>
                <c:pt idx="193">
                  <c:v>17.266913580246914</c:v>
                </c:pt>
                <c:pt idx="194">
                  <c:v>17.251851851851853</c:v>
                </c:pt>
                <c:pt idx="195">
                  <c:v>17.229259259259258</c:v>
                </c:pt>
                <c:pt idx="196">
                  <c:v>17.21037037037037</c:v>
                </c:pt>
                <c:pt idx="197">
                  <c:v>17.202839506172836</c:v>
                </c:pt>
                <c:pt idx="198">
                  <c:v>17.195308641975309</c:v>
                </c:pt>
                <c:pt idx="199">
                  <c:v>17.191604938271606</c:v>
                </c:pt>
                <c:pt idx="200">
                  <c:v>17.187777777777779</c:v>
                </c:pt>
                <c:pt idx="201">
                  <c:v>17.187777777777779</c:v>
                </c:pt>
                <c:pt idx="202">
                  <c:v>17.187777777777779</c:v>
                </c:pt>
                <c:pt idx="203">
                  <c:v>17.187777777777779</c:v>
                </c:pt>
                <c:pt idx="204">
                  <c:v>17.176543209876542</c:v>
                </c:pt>
                <c:pt idx="205">
                  <c:v>17.176543209876542</c:v>
                </c:pt>
                <c:pt idx="206">
                  <c:v>17.184074074074076</c:v>
                </c:pt>
                <c:pt idx="207">
                  <c:v>17.165185185185184</c:v>
                </c:pt>
                <c:pt idx="208">
                  <c:v>17.161481481481481</c:v>
                </c:pt>
                <c:pt idx="209">
                  <c:v>17.165185185185184</c:v>
                </c:pt>
                <c:pt idx="210">
                  <c:v>17.153950617283947</c:v>
                </c:pt>
                <c:pt idx="211">
                  <c:v>17.150123456790123</c:v>
                </c:pt>
                <c:pt idx="212">
                  <c:v>17.142592592592592</c:v>
                </c:pt>
                <c:pt idx="213">
                  <c:v>17.138765432098765</c:v>
                </c:pt>
                <c:pt idx="214">
                  <c:v>17.138765432098765</c:v>
                </c:pt>
                <c:pt idx="215">
                  <c:v>17.138765432098765</c:v>
                </c:pt>
                <c:pt idx="216">
                  <c:v>17.142592592592592</c:v>
                </c:pt>
                <c:pt idx="217">
                  <c:v>17.142592592592592</c:v>
                </c:pt>
                <c:pt idx="218">
                  <c:v>17.153950617283947</c:v>
                </c:pt>
                <c:pt idx="219">
                  <c:v>17.161481481481481</c:v>
                </c:pt>
                <c:pt idx="220">
                  <c:v>17.165185185185184</c:v>
                </c:pt>
                <c:pt idx="221">
                  <c:v>17.169012345679011</c:v>
                </c:pt>
                <c:pt idx="222">
                  <c:v>17.172716049382714</c:v>
                </c:pt>
                <c:pt idx="223">
                  <c:v>17.172716049382714</c:v>
                </c:pt>
                <c:pt idx="224">
                  <c:v>17.165185185185184</c:v>
                </c:pt>
                <c:pt idx="225">
                  <c:v>17.150123456790123</c:v>
                </c:pt>
                <c:pt idx="226">
                  <c:v>17.135061728395058</c:v>
                </c:pt>
                <c:pt idx="227">
                  <c:v>17.12</c:v>
                </c:pt>
                <c:pt idx="228">
                  <c:v>17.09740740740741</c:v>
                </c:pt>
                <c:pt idx="229">
                  <c:v>17.086049382716048</c:v>
                </c:pt>
                <c:pt idx="230">
                  <c:v>17.078518518518518</c:v>
                </c:pt>
                <c:pt idx="231">
                  <c:v>17.055925925925926</c:v>
                </c:pt>
                <c:pt idx="232">
                  <c:v>17.044691358024689</c:v>
                </c:pt>
                <c:pt idx="233">
                  <c:v>17.025802469135801</c:v>
                </c:pt>
                <c:pt idx="234">
                  <c:v>17.01074074074074</c:v>
                </c:pt>
                <c:pt idx="235">
                  <c:v>16.999382716049382</c:v>
                </c:pt>
                <c:pt idx="236">
                  <c:v>16.980617283950615</c:v>
                </c:pt>
                <c:pt idx="237">
                  <c:v>16.973086419753084</c:v>
                </c:pt>
                <c:pt idx="238">
                  <c:v>16.961728395061726</c:v>
                </c:pt>
                <c:pt idx="239">
                  <c:v>16.946666666666665</c:v>
                </c:pt>
                <c:pt idx="240">
                  <c:v>16.924074074074074</c:v>
                </c:pt>
                <c:pt idx="241">
                  <c:v>16.905185185185186</c:v>
                </c:pt>
                <c:pt idx="242">
                  <c:v>16.890123456790121</c:v>
                </c:pt>
                <c:pt idx="243">
                  <c:v>16.890123456790121</c:v>
                </c:pt>
                <c:pt idx="244">
                  <c:v>16.897654320987655</c:v>
                </c:pt>
                <c:pt idx="245">
                  <c:v>16.901481481481479</c:v>
                </c:pt>
                <c:pt idx="246">
                  <c:v>16.890123456790121</c:v>
                </c:pt>
                <c:pt idx="247">
                  <c:v>16.86</c:v>
                </c:pt>
                <c:pt idx="248">
                  <c:v>16.841234567901232</c:v>
                </c:pt>
                <c:pt idx="249">
                  <c:v>16.822345679012344</c:v>
                </c:pt>
                <c:pt idx="250">
                  <c:v>16.807283950617283</c:v>
                </c:pt>
                <c:pt idx="251">
                  <c:v>16.792222222222222</c:v>
                </c:pt>
                <c:pt idx="252">
                  <c:v>16.780864197530864</c:v>
                </c:pt>
                <c:pt idx="253">
                  <c:v>16.76962962962963</c:v>
                </c:pt>
                <c:pt idx="254">
                  <c:v>16.765802469135803</c:v>
                </c:pt>
                <c:pt idx="255">
                  <c:v>16.750740740740738</c:v>
                </c:pt>
                <c:pt idx="256">
                  <c:v>16.728148148148147</c:v>
                </c:pt>
                <c:pt idx="257">
                  <c:v>16.713086419753086</c:v>
                </c:pt>
                <c:pt idx="258">
                  <c:v>16.682962962962961</c:v>
                </c:pt>
                <c:pt idx="259">
                  <c:v>16.679135802469133</c:v>
                </c:pt>
                <c:pt idx="260">
                  <c:v>16.671604938271606</c:v>
                </c:pt>
                <c:pt idx="261">
                  <c:v>16.660370370370369</c:v>
                </c:pt>
                <c:pt idx="262">
                  <c:v>16.637777777777774</c:v>
                </c:pt>
                <c:pt idx="263">
                  <c:v>16.622716049382717</c:v>
                </c:pt>
                <c:pt idx="264">
                  <c:v>16.611358024691356</c:v>
                </c:pt>
                <c:pt idx="265">
                  <c:v>16.592469135802467</c:v>
                </c:pt>
                <c:pt idx="266">
                  <c:v>16.566172839506169</c:v>
                </c:pt>
                <c:pt idx="267">
                  <c:v>16.554814814814815</c:v>
                </c:pt>
                <c:pt idx="268">
                  <c:v>16.543580246913578</c:v>
                </c:pt>
                <c:pt idx="269">
                  <c:v>16.528518518518517</c:v>
                </c:pt>
                <c:pt idx="270">
                  <c:v>16.520987654320987</c:v>
                </c:pt>
                <c:pt idx="271">
                  <c:v>16.517160493827159</c:v>
                </c:pt>
                <c:pt idx="272">
                  <c:v>16.509629629629632</c:v>
                </c:pt>
                <c:pt idx="273">
                  <c:v>16.487037037037037</c:v>
                </c:pt>
                <c:pt idx="274">
                  <c:v>16.449382716049382</c:v>
                </c:pt>
                <c:pt idx="275">
                  <c:v>16.422962962962963</c:v>
                </c:pt>
                <c:pt idx="276">
                  <c:v>16.396666666666665</c:v>
                </c:pt>
                <c:pt idx="277">
                  <c:v>16.373950617283949</c:v>
                </c:pt>
                <c:pt idx="278">
                  <c:v>16.358888888888888</c:v>
                </c:pt>
                <c:pt idx="279">
                  <c:v>16.332592592592594</c:v>
                </c:pt>
                <c:pt idx="280">
                  <c:v>16.321234567901232</c:v>
                </c:pt>
                <c:pt idx="281">
                  <c:v>16.313703703703702</c:v>
                </c:pt>
                <c:pt idx="282">
                  <c:v>16.29111111111111</c:v>
                </c:pt>
                <c:pt idx="283">
                  <c:v>16.260987654320989</c:v>
                </c:pt>
                <c:pt idx="284">
                  <c:v>16.230864197530863</c:v>
                </c:pt>
                <c:pt idx="285">
                  <c:v>16.19691358024691</c:v>
                </c:pt>
                <c:pt idx="286">
                  <c:v>16.170493827160495</c:v>
                </c:pt>
                <c:pt idx="287">
                  <c:v>16.136666666666663</c:v>
                </c:pt>
                <c:pt idx="288">
                  <c:v>16.106543209876545</c:v>
                </c:pt>
                <c:pt idx="289">
                  <c:v>16.068765432098765</c:v>
                </c:pt>
                <c:pt idx="290">
                  <c:v>16.04617283950617</c:v>
                </c:pt>
                <c:pt idx="291">
                  <c:v>16.023580246913578</c:v>
                </c:pt>
                <c:pt idx="292">
                  <c:v>16.008518518518514</c:v>
                </c:pt>
                <c:pt idx="293">
                  <c:v>15.978395061728392</c:v>
                </c:pt>
                <c:pt idx="294">
                  <c:v>15.940740740740738</c:v>
                </c:pt>
                <c:pt idx="295">
                  <c:v>15.903086419753087</c:v>
                </c:pt>
                <c:pt idx="296">
                  <c:v>15.869135802469136</c:v>
                </c:pt>
                <c:pt idx="297">
                  <c:v>15.827654320987653</c:v>
                </c:pt>
                <c:pt idx="298">
                  <c:v>15.778765432098764</c:v>
                </c:pt>
                <c:pt idx="299">
                  <c:v>15.752345679012343</c:v>
                </c:pt>
                <c:pt idx="300">
                  <c:v>15.710864197530865</c:v>
                </c:pt>
                <c:pt idx="301">
                  <c:v>15.67320987654321</c:v>
                </c:pt>
                <c:pt idx="302">
                  <c:v>15.631728395061728</c:v>
                </c:pt>
                <c:pt idx="303">
                  <c:v>15.594074074074072</c:v>
                </c:pt>
                <c:pt idx="304">
                  <c:v>15.556419753086418</c:v>
                </c:pt>
                <c:pt idx="305">
                  <c:v>15.526296296296294</c:v>
                </c:pt>
                <c:pt idx="306">
                  <c:v>15.484814814814815</c:v>
                </c:pt>
                <c:pt idx="307">
                  <c:v>15.432098765432098</c:v>
                </c:pt>
                <c:pt idx="308">
                  <c:v>15.390617283950617</c:v>
                </c:pt>
                <c:pt idx="309">
                  <c:v>15.34543209876543</c:v>
                </c:pt>
                <c:pt idx="310">
                  <c:v>15.296419753086418</c:v>
                </c:pt>
                <c:pt idx="311">
                  <c:v>15.243703703703702</c:v>
                </c:pt>
                <c:pt idx="312">
                  <c:v>15.190987654320987</c:v>
                </c:pt>
                <c:pt idx="313">
                  <c:v>15.134444444444444</c:v>
                </c:pt>
                <c:pt idx="314">
                  <c:v>15.074197530864195</c:v>
                </c:pt>
                <c:pt idx="315">
                  <c:v>15.002592592592592</c:v>
                </c:pt>
                <c:pt idx="316">
                  <c:v>14.927283950617284</c:v>
                </c:pt>
                <c:pt idx="317">
                  <c:v>14.844320987654321</c:v>
                </c:pt>
                <c:pt idx="318">
                  <c:v>14.75395061728395</c:v>
                </c:pt>
                <c:pt idx="319">
                  <c:v>14.682345679012347</c:v>
                </c:pt>
                <c:pt idx="320">
                  <c:v>14.603209876543209</c:v>
                </c:pt>
                <c:pt idx="321">
                  <c:v>14.539135802469135</c:v>
                </c:pt>
                <c:pt idx="322">
                  <c:v>14.456296296296296</c:v>
                </c:pt>
                <c:pt idx="323">
                  <c:v>14.365925925925925</c:v>
                </c:pt>
                <c:pt idx="324">
                  <c:v>14.286790123456791</c:v>
                </c:pt>
                <c:pt idx="325">
                  <c:v>14.196296296296296</c:v>
                </c:pt>
                <c:pt idx="326">
                  <c:v>14.098395061728393</c:v>
                </c:pt>
                <c:pt idx="327">
                  <c:v>13.981604938271603</c:v>
                </c:pt>
                <c:pt idx="328">
                  <c:v>13.872345679012344</c:v>
                </c:pt>
                <c:pt idx="329">
                  <c:v>13.770617283950616</c:v>
                </c:pt>
                <c:pt idx="330">
                  <c:v>13.668888888888889</c:v>
                </c:pt>
                <c:pt idx="331">
                  <c:v>13.559629629629628</c:v>
                </c:pt>
                <c:pt idx="332">
                  <c:v>13.427777777777779</c:v>
                </c:pt>
                <c:pt idx="333">
                  <c:v>13.299629629629628</c:v>
                </c:pt>
                <c:pt idx="334">
                  <c:v>13.167777777777779</c:v>
                </c:pt>
                <c:pt idx="335">
                  <c:v>13.020864197530864</c:v>
                </c:pt>
                <c:pt idx="336">
                  <c:v>12.866419753086419</c:v>
                </c:pt>
                <c:pt idx="337">
                  <c:v>12.70432098765432</c:v>
                </c:pt>
                <c:pt idx="338">
                  <c:v>12.534814814814814</c:v>
                </c:pt>
                <c:pt idx="339">
                  <c:v>12.353950617283949</c:v>
                </c:pt>
                <c:pt idx="340">
                  <c:v>12.161814814814814</c:v>
                </c:pt>
                <c:pt idx="341">
                  <c:v>11.954604938271604</c:v>
                </c:pt>
                <c:pt idx="342">
                  <c:v>11.736086419753084</c:v>
                </c:pt>
                <c:pt idx="343">
                  <c:v>11.498716049382715</c:v>
                </c:pt>
                <c:pt idx="344">
                  <c:v>11.246296296296293</c:v>
                </c:pt>
                <c:pt idx="345">
                  <c:v>10.978790123456788</c:v>
                </c:pt>
                <c:pt idx="346">
                  <c:v>10.684925925925926</c:v>
                </c:pt>
                <c:pt idx="347">
                  <c:v>10.368444444444444</c:v>
                </c:pt>
                <c:pt idx="348">
                  <c:v>10.018049382716047</c:v>
                </c:pt>
                <c:pt idx="349">
                  <c:v>9.6412962962962947</c:v>
                </c:pt>
                <c:pt idx="350">
                  <c:v>9.2343950617283941</c:v>
                </c:pt>
                <c:pt idx="351">
                  <c:v>8.7822839506172823</c:v>
                </c:pt>
                <c:pt idx="352">
                  <c:v>8.3150987654320971</c:v>
                </c:pt>
                <c:pt idx="353">
                  <c:v>7.7989382716049374</c:v>
                </c:pt>
                <c:pt idx="354">
                  <c:v>7.2300246913580244</c:v>
                </c:pt>
                <c:pt idx="355">
                  <c:v>6.5857654320987651</c:v>
                </c:pt>
                <c:pt idx="356">
                  <c:v>5.8804691358024685</c:v>
                </c:pt>
                <c:pt idx="357">
                  <c:v>5.0926666666666662</c:v>
                </c:pt>
                <c:pt idx="358">
                  <c:v>4.2072839506172839</c:v>
                </c:pt>
                <c:pt idx="359">
                  <c:v>3.2050987654320982</c:v>
                </c:pt>
                <c:pt idx="360">
                  <c:v>2.0691728395061726</c:v>
                </c:pt>
                <c:pt idx="361">
                  <c:v>0.78441481481481479</c:v>
                </c:pt>
                <c:pt idx="362">
                  <c:v>-0.64049259259259261</c:v>
                </c:pt>
                <c:pt idx="363">
                  <c:v>-2.1874691358024685</c:v>
                </c:pt>
                <c:pt idx="364">
                  <c:v>-3.8244938271604938</c:v>
                </c:pt>
                <c:pt idx="365">
                  <c:v>-5.568518518518518</c:v>
                </c:pt>
                <c:pt idx="366">
                  <c:v>-7.3958024691358011</c:v>
                </c:pt>
                <c:pt idx="367">
                  <c:v>-9.2758395061728383</c:v>
                </c:pt>
                <c:pt idx="368">
                  <c:v>-11.238753086419752</c:v>
                </c:pt>
                <c:pt idx="369">
                  <c:v>-13.228024691358025</c:v>
                </c:pt>
                <c:pt idx="370">
                  <c:v>-15.258765432098766</c:v>
                </c:pt>
                <c:pt idx="371">
                  <c:v>-17.334691358024692</c:v>
                </c:pt>
                <c:pt idx="372">
                  <c:v>-19.433333333333334</c:v>
                </c:pt>
                <c:pt idx="373">
                  <c:v>-21.543209876543209</c:v>
                </c:pt>
                <c:pt idx="374">
                  <c:v>-23.652962962962963</c:v>
                </c:pt>
                <c:pt idx="375">
                  <c:v>-25.770370370370369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03520"/>
        <c:axId val="49005312"/>
      </c:scatterChart>
      <c:valAx>
        <c:axId val="4900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05312"/>
        <c:crosses val="autoZero"/>
        <c:crossBetween val="midCat"/>
      </c:valAx>
      <c:valAx>
        <c:axId val="4900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900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-21.381111111111107</c:v>
                </c:pt>
                <c:pt idx="1">
                  <c:v>-19.44086419753086</c:v>
                </c:pt>
                <c:pt idx="2">
                  <c:v>-17.58716049382716</c:v>
                </c:pt>
                <c:pt idx="3">
                  <c:v>-15.756172839506172</c:v>
                </c:pt>
                <c:pt idx="4">
                  <c:v>-13.977777777777778</c:v>
                </c:pt>
                <c:pt idx="5">
                  <c:v>-12.218333333333332</c:v>
                </c:pt>
                <c:pt idx="6">
                  <c:v>-10.485234567901234</c:v>
                </c:pt>
                <c:pt idx="7">
                  <c:v>-8.7634444444444455</c:v>
                </c:pt>
                <c:pt idx="8">
                  <c:v>-7.0642592592592592</c:v>
                </c:pt>
                <c:pt idx="9">
                  <c:v>-5.4253456790123451</c:v>
                </c:pt>
                <c:pt idx="10">
                  <c:v>-3.8327777777777778</c:v>
                </c:pt>
                <c:pt idx="11">
                  <c:v>-2.2873086419753084</c:v>
                </c:pt>
                <c:pt idx="12">
                  <c:v>-0.81606296296296288</c:v>
                </c:pt>
                <c:pt idx="13">
                  <c:v>0.57222345679012343</c:v>
                </c:pt>
                <c:pt idx="14">
                  <c:v>1.8544197530864197</c:v>
                </c:pt>
                <c:pt idx="15">
                  <c:v>3.0299012345679008</c:v>
                </c:pt>
                <c:pt idx="16">
                  <c:v>4.0889753086419747</c:v>
                </c:pt>
                <c:pt idx="17">
                  <c:v>5.0587654320987649</c:v>
                </c:pt>
                <c:pt idx="18">
                  <c:v>5.9253086419753078</c:v>
                </c:pt>
                <c:pt idx="19">
                  <c:v>6.6988024691358028</c:v>
                </c:pt>
                <c:pt idx="20">
                  <c:v>7.3807283950617277</c:v>
                </c:pt>
                <c:pt idx="21">
                  <c:v>8.0174567901234557</c:v>
                </c:pt>
                <c:pt idx="22">
                  <c:v>8.597666666666667</c:v>
                </c:pt>
                <c:pt idx="23">
                  <c:v>9.1289012345679001</c:v>
                </c:pt>
                <c:pt idx="24">
                  <c:v>9.6073827160493828</c:v>
                </c:pt>
                <c:pt idx="25">
                  <c:v>10.04443209876543</c:v>
                </c:pt>
                <c:pt idx="26">
                  <c:v>10.432493827160494</c:v>
                </c:pt>
                <c:pt idx="27">
                  <c:v>10.790407407407406</c:v>
                </c:pt>
                <c:pt idx="28">
                  <c:v>11.118197530864196</c:v>
                </c:pt>
                <c:pt idx="29">
                  <c:v>11.4309012345679</c:v>
                </c:pt>
                <c:pt idx="30">
                  <c:v>11.71348148148148</c:v>
                </c:pt>
                <c:pt idx="31">
                  <c:v>11.980975308641977</c:v>
                </c:pt>
                <c:pt idx="32">
                  <c:v>12.222098765432097</c:v>
                </c:pt>
                <c:pt idx="33">
                  <c:v>12.440617283950616</c:v>
                </c:pt>
                <c:pt idx="34">
                  <c:v>12.6479012345679</c:v>
                </c:pt>
                <c:pt idx="35">
                  <c:v>12.836172839506172</c:v>
                </c:pt>
                <c:pt idx="36">
                  <c:v>13.020864197530864</c:v>
                </c:pt>
                <c:pt idx="37">
                  <c:v>13.209259259259259</c:v>
                </c:pt>
                <c:pt idx="38">
                  <c:v>13.389999999999999</c:v>
                </c:pt>
                <c:pt idx="39">
                  <c:v>13.548271604938272</c:v>
                </c:pt>
                <c:pt idx="40">
                  <c:v>13.68395061728395</c:v>
                </c:pt>
                <c:pt idx="41">
                  <c:v>13.82716049382716</c:v>
                </c:pt>
                <c:pt idx="42">
                  <c:v>13.974074074074073</c:v>
                </c:pt>
                <c:pt idx="43">
                  <c:v>14.098395061728393</c:v>
                </c:pt>
                <c:pt idx="44">
                  <c:v>14.207654320987654</c:v>
                </c:pt>
                <c:pt idx="45">
                  <c:v>14.313086419753086</c:v>
                </c:pt>
                <c:pt idx="46">
                  <c:v>14.403580246913579</c:v>
                </c:pt>
                <c:pt idx="47">
                  <c:v>14.497777777777777</c:v>
                </c:pt>
                <c:pt idx="48">
                  <c:v>14.595679012345677</c:v>
                </c:pt>
                <c:pt idx="49">
                  <c:v>14.682345679012347</c:v>
                </c:pt>
                <c:pt idx="50">
                  <c:v>14.769012345679011</c:v>
                </c:pt>
                <c:pt idx="51">
                  <c:v>14.844320987654321</c:v>
                </c:pt>
                <c:pt idx="52">
                  <c:v>14.927283950617284</c:v>
                </c:pt>
                <c:pt idx="53">
                  <c:v>15.01395061728395</c:v>
                </c:pt>
                <c:pt idx="54">
                  <c:v>15.092962962962961</c:v>
                </c:pt>
                <c:pt idx="55">
                  <c:v>15.164567901234568</c:v>
                </c:pt>
                <c:pt idx="56">
                  <c:v>15.232469135802468</c:v>
                </c:pt>
                <c:pt idx="57">
                  <c:v>15.307777777777778</c:v>
                </c:pt>
                <c:pt idx="58">
                  <c:v>15.379382716049379</c:v>
                </c:pt>
                <c:pt idx="59">
                  <c:v>15.450987654320988</c:v>
                </c:pt>
                <c:pt idx="60">
                  <c:v>15.499876543209876</c:v>
                </c:pt>
                <c:pt idx="61">
                  <c:v>15.556419753086418</c:v>
                </c:pt>
                <c:pt idx="62">
                  <c:v>15.612962962962962</c:v>
                </c:pt>
                <c:pt idx="63">
                  <c:v>15.654444444444444</c:v>
                </c:pt>
                <c:pt idx="64">
                  <c:v>15.692098765432098</c:v>
                </c:pt>
                <c:pt idx="65">
                  <c:v>15.725925925925925</c:v>
                </c:pt>
                <c:pt idx="66">
                  <c:v>15.767407407407408</c:v>
                </c:pt>
                <c:pt idx="67">
                  <c:v>15.816419753086418</c:v>
                </c:pt>
                <c:pt idx="68">
                  <c:v>15.842716049382712</c:v>
                </c:pt>
                <c:pt idx="69">
                  <c:v>15.876666666666663</c:v>
                </c:pt>
                <c:pt idx="70">
                  <c:v>15.910617283950618</c:v>
                </c:pt>
                <c:pt idx="71">
                  <c:v>15.940740740740738</c:v>
                </c:pt>
                <c:pt idx="72">
                  <c:v>15.967037037037036</c:v>
                </c:pt>
                <c:pt idx="73">
                  <c:v>15.997283950617284</c:v>
                </c:pt>
                <c:pt idx="74">
                  <c:v>16.027407407407406</c:v>
                </c:pt>
                <c:pt idx="75">
                  <c:v>16.049999999999997</c:v>
                </c:pt>
                <c:pt idx="76">
                  <c:v>16.080123456790126</c:v>
                </c:pt>
                <c:pt idx="77">
                  <c:v>16.095185185185183</c:v>
                </c:pt>
                <c:pt idx="78">
                  <c:v>16.125308641975309</c:v>
                </c:pt>
                <c:pt idx="79">
                  <c:v>16.174320987654323</c:v>
                </c:pt>
                <c:pt idx="80">
                  <c:v>16.223333333333333</c:v>
                </c:pt>
                <c:pt idx="81">
                  <c:v>16.2420987654321</c:v>
                </c:pt>
                <c:pt idx="82">
                  <c:v>16.260987654320989</c:v>
                </c:pt>
                <c:pt idx="83">
                  <c:v>16.287283950617283</c:v>
                </c:pt>
                <c:pt idx="84">
                  <c:v>16.302469135802468</c:v>
                </c:pt>
                <c:pt idx="85">
                  <c:v>16.321234567901232</c:v>
                </c:pt>
                <c:pt idx="86">
                  <c:v>16.358888888888888</c:v>
                </c:pt>
                <c:pt idx="87">
                  <c:v>16.38901234567901</c:v>
                </c:pt>
                <c:pt idx="88">
                  <c:v>16.41925925925926</c:v>
                </c:pt>
                <c:pt idx="89">
                  <c:v>16.438024691358024</c:v>
                </c:pt>
                <c:pt idx="90">
                  <c:v>16.445555555555554</c:v>
                </c:pt>
                <c:pt idx="91">
                  <c:v>16.460617283950615</c:v>
                </c:pt>
                <c:pt idx="92">
                  <c:v>16.464444444444442</c:v>
                </c:pt>
                <c:pt idx="93">
                  <c:v>16.468148148148149</c:v>
                </c:pt>
                <c:pt idx="94">
                  <c:v>16.475679012345676</c:v>
                </c:pt>
                <c:pt idx="95">
                  <c:v>16.475679012345676</c:v>
                </c:pt>
                <c:pt idx="96">
                  <c:v>16.49074074074074</c:v>
                </c:pt>
                <c:pt idx="97">
                  <c:v>16.520987654320987</c:v>
                </c:pt>
                <c:pt idx="98">
                  <c:v>16.551111111111108</c:v>
                </c:pt>
                <c:pt idx="99">
                  <c:v>16.57740740740741</c:v>
                </c:pt>
                <c:pt idx="100">
                  <c:v>16.581234567901234</c:v>
                </c:pt>
                <c:pt idx="101">
                  <c:v>16.57740740740741</c:v>
                </c:pt>
                <c:pt idx="102">
                  <c:v>16.588765432098764</c:v>
                </c:pt>
                <c:pt idx="103">
                  <c:v>16.599999999999998</c:v>
                </c:pt>
                <c:pt idx="104">
                  <c:v>16.618888888888886</c:v>
                </c:pt>
                <c:pt idx="105">
                  <c:v>16.641481481481478</c:v>
                </c:pt>
                <c:pt idx="106">
                  <c:v>16.652839506172839</c:v>
                </c:pt>
                <c:pt idx="107">
                  <c:v>16.656543209876542</c:v>
                </c:pt>
                <c:pt idx="108">
                  <c:v>16.664074074074072</c:v>
                </c:pt>
                <c:pt idx="109">
                  <c:v>16.671604938271606</c:v>
                </c:pt>
                <c:pt idx="110">
                  <c:v>16.690493827160495</c:v>
                </c:pt>
                <c:pt idx="111">
                  <c:v>16.698024691358025</c:v>
                </c:pt>
                <c:pt idx="112">
                  <c:v>16.716790123456789</c:v>
                </c:pt>
                <c:pt idx="113">
                  <c:v>16.739506172839505</c:v>
                </c:pt>
                <c:pt idx="114">
                  <c:v>16.750740740740738</c:v>
                </c:pt>
                <c:pt idx="115">
                  <c:v>16.76962962962963</c:v>
                </c:pt>
                <c:pt idx="116">
                  <c:v>16.777160493827161</c:v>
                </c:pt>
                <c:pt idx="117">
                  <c:v>16.807283950617283</c:v>
                </c:pt>
                <c:pt idx="118">
                  <c:v>16.829876543209878</c:v>
                </c:pt>
                <c:pt idx="119">
                  <c:v>16.844938271604939</c:v>
                </c:pt>
                <c:pt idx="120">
                  <c:v>16.848765432098766</c:v>
                </c:pt>
                <c:pt idx="121">
                  <c:v>16.86</c:v>
                </c:pt>
                <c:pt idx="122">
                  <c:v>16.86753086419753</c:v>
                </c:pt>
                <c:pt idx="123">
                  <c:v>16.86753086419753</c:v>
                </c:pt>
                <c:pt idx="124">
                  <c:v>16.878888888888888</c:v>
                </c:pt>
                <c:pt idx="125">
                  <c:v>16.890123456790121</c:v>
                </c:pt>
                <c:pt idx="126">
                  <c:v>16.901481481481479</c:v>
                </c:pt>
                <c:pt idx="127">
                  <c:v>16.916543209876544</c:v>
                </c:pt>
                <c:pt idx="128">
                  <c:v>16.946666666666665</c:v>
                </c:pt>
                <c:pt idx="129">
                  <c:v>16.958024691358023</c:v>
                </c:pt>
                <c:pt idx="130">
                  <c:v>16.958024691358023</c:v>
                </c:pt>
                <c:pt idx="131">
                  <c:v>16.965555555555554</c:v>
                </c:pt>
                <c:pt idx="132">
                  <c:v>16.969259259259257</c:v>
                </c:pt>
                <c:pt idx="133">
                  <c:v>16.965555555555554</c:v>
                </c:pt>
                <c:pt idx="134">
                  <c:v>16.961728395061726</c:v>
                </c:pt>
                <c:pt idx="135">
                  <c:v>16.961728395061726</c:v>
                </c:pt>
                <c:pt idx="136">
                  <c:v>16.969259259259257</c:v>
                </c:pt>
                <c:pt idx="137">
                  <c:v>16.965555555555554</c:v>
                </c:pt>
                <c:pt idx="138">
                  <c:v>16.950493827160493</c:v>
                </c:pt>
                <c:pt idx="139">
                  <c:v>16.946666666666665</c:v>
                </c:pt>
                <c:pt idx="140">
                  <c:v>16.958024691358023</c:v>
                </c:pt>
                <c:pt idx="141">
                  <c:v>16.961728395061726</c:v>
                </c:pt>
                <c:pt idx="142">
                  <c:v>16.969259259259257</c:v>
                </c:pt>
                <c:pt idx="143">
                  <c:v>16.984320987654321</c:v>
                </c:pt>
                <c:pt idx="144">
                  <c:v>16.995679012345676</c:v>
                </c:pt>
                <c:pt idx="145">
                  <c:v>17.00320987654321</c:v>
                </c:pt>
                <c:pt idx="146">
                  <c:v>17.014444444444443</c:v>
                </c:pt>
                <c:pt idx="147">
                  <c:v>17.029506172839504</c:v>
                </c:pt>
                <c:pt idx="148">
                  <c:v>17.040864197530862</c:v>
                </c:pt>
                <c:pt idx="149">
                  <c:v>17.044691358024689</c:v>
                </c:pt>
                <c:pt idx="150">
                  <c:v>17.05975308641975</c:v>
                </c:pt>
                <c:pt idx="151">
                  <c:v>17.082345679012345</c:v>
                </c:pt>
                <c:pt idx="152">
                  <c:v>17.09740740740741</c:v>
                </c:pt>
                <c:pt idx="153">
                  <c:v>17.10864197530864</c:v>
                </c:pt>
                <c:pt idx="154">
                  <c:v>17.10864197530864</c:v>
                </c:pt>
                <c:pt idx="155">
                  <c:v>17.10864197530864</c:v>
                </c:pt>
                <c:pt idx="156">
                  <c:v>17.104938271604937</c:v>
                </c:pt>
                <c:pt idx="157">
                  <c:v>17.11617283950617</c:v>
                </c:pt>
                <c:pt idx="158">
                  <c:v>17.11617283950617</c:v>
                </c:pt>
                <c:pt idx="159">
                  <c:v>17.112469135802467</c:v>
                </c:pt>
                <c:pt idx="160">
                  <c:v>17.11617283950617</c:v>
                </c:pt>
                <c:pt idx="161">
                  <c:v>17.11617283950617</c:v>
                </c:pt>
                <c:pt idx="162">
                  <c:v>17.12</c:v>
                </c:pt>
                <c:pt idx="163">
                  <c:v>17.12</c:v>
                </c:pt>
                <c:pt idx="164">
                  <c:v>17.10864197530864</c:v>
                </c:pt>
                <c:pt idx="165">
                  <c:v>17.10864197530864</c:v>
                </c:pt>
                <c:pt idx="166">
                  <c:v>17.104938271604937</c:v>
                </c:pt>
                <c:pt idx="167">
                  <c:v>17.127530864197528</c:v>
                </c:pt>
                <c:pt idx="168">
                  <c:v>17.157654320987653</c:v>
                </c:pt>
                <c:pt idx="169">
                  <c:v>17.176543209876542</c:v>
                </c:pt>
                <c:pt idx="170">
                  <c:v>17.191604938271606</c:v>
                </c:pt>
                <c:pt idx="171">
                  <c:v>17.202839506172836</c:v>
                </c:pt>
                <c:pt idx="172">
                  <c:v>17.214197530864197</c:v>
                </c:pt>
                <c:pt idx="173">
                  <c:v>17.214197530864197</c:v>
                </c:pt>
                <c:pt idx="174">
                  <c:v>17.225432098765431</c:v>
                </c:pt>
                <c:pt idx="175">
                  <c:v>17.232962962962961</c:v>
                </c:pt>
                <c:pt idx="176">
                  <c:v>17.229259259259258</c:v>
                </c:pt>
                <c:pt idx="177">
                  <c:v>17.236790123456789</c:v>
                </c:pt>
                <c:pt idx="178">
                  <c:v>17.229259259259258</c:v>
                </c:pt>
                <c:pt idx="179">
                  <c:v>17.21037037037037</c:v>
                </c:pt>
                <c:pt idx="180">
                  <c:v>17.21037037037037</c:v>
                </c:pt>
                <c:pt idx="181">
                  <c:v>17.214197530864197</c:v>
                </c:pt>
                <c:pt idx="182">
                  <c:v>17.217901234567901</c:v>
                </c:pt>
                <c:pt idx="183">
                  <c:v>17.221728395061724</c:v>
                </c:pt>
                <c:pt idx="184">
                  <c:v>17.236790123456789</c:v>
                </c:pt>
                <c:pt idx="185">
                  <c:v>17.244320987654319</c:v>
                </c:pt>
                <c:pt idx="186">
                  <c:v>17.248024691358022</c:v>
                </c:pt>
                <c:pt idx="187">
                  <c:v>17.240493827160492</c:v>
                </c:pt>
                <c:pt idx="188">
                  <c:v>17.248024691358022</c:v>
                </c:pt>
                <c:pt idx="189">
                  <c:v>17.270740740740738</c:v>
                </c:pt>
                <c:pt idx="190">
                  <c:v>17.281975308641975</c:v>
                </c:pt>
                <c:pt idx="191">
                  <c:v>17.285802469135803</c:v>
                </c:pt>
                <c:pt idx="192">
                  <c:v>17.285802469135803</c:v>
                </c:pt>
                <c:pt idx="193">
                  <c:v>17.293333333333333</c:v>
                </c:pt>
                <c:pt idx="194">
                  <c:v>17.297037037037036</c:v>
                </c:pt>
                <c:pt idx="195">
                  <c:v>17.285802469135803</c:v>
                </c:pt>
                <c:pt idx="196">
                  <c:v>17.278271604938272</c:v>
                </c:pt>
                <c:pt idx="197">
                  <c:v>17.274444444444445</c:v>
                </c:pt>
                <c:pt idx="198">
                  <c:v>17.266913580246914</c:v>
                </c:pt>
                <c:pt idx="199">
                  <c:v>17.255679012345677</c:v>
                </c:pt>
                <c:pt idx="200">
                  <c:v>17.255679012345677</c:v>
                </c:pt>
                <c:pt idx="201">
                  <c:v>17.248024691358022</c:v>
                </c:pt>
                <c:pt idx="202">
                  <c:v>17.248024691358022</c:v>
                </c:pt>
                <c:pt idx="203">
                  <c:v>17.259382716049384</c:v>
                </c:pt>
                <c:pt idx="204">
                  <c:v>17.266913580246914</c:v>
                </c:pt>
                <c:pt idx="205">
                  <c:v>17.263209876543208</c:v>
                </c:pt>
                <c:pt idx="206">
                  <c:v>17.263209876543208</c:v>
                </c:pt>
                <c:pt idx="207">
                  <c:v>17.266913580246914</c:v>
                </c:pt>
                <c:pt idx="208">
                  <c:v>17.278271604938272</c:v>
                </c:pt>
                <c:pt idx="209">
                  <c:v>17.289506172839506</c:v>
                </c:pt>
                <c:pt idx="210">
                  <c:v>17.297037037037036</c:v>
                </c:pt>
                <c:pt idx="211">
                  <c:v>17.312098765432097</c:v>
                </c:pt>
                <c:pt idx="212">
                  <c:v>17.323456790123455</c:v>
                </c:pt>
                <c:pt idx="213">
                  <c:v>17.342222222222222</c:v>
                </c:pt>
                <c:pt idx="214">
                  <c:v>17.361111111111111</c:v>
                </c:pt>
                <c:pt idx="215">
                  <c:v>17.376172839506172</c:v>
                </c:pt>
                <c:pt idx="216">
                  <c:v>17.398765432098763</c:v>
                </c:pt>
                <c:pt idx="217">
                  <c:v>17.406296296296293</c:v>
                </c:pt>
                <c:pt idx="218">
                  <c:v>17.40259259259259</c:v>
                </c:pt>
                <c:pt idx="219">
                  <c:v>17.383703703703702</c:v>
                </c:pt>
                <c:pt idx="220">
                  <c:v>17.364938271604938</c:v>
                </c:pt>
                <c:pt idx="221">
                  <c:v>17.357283950617283</c:v>
                </c:pt>
                <c:pt idx="222">
                  <c:v>17.338518518518516</c:v>
                </c:pt>
                <c:pt idx="223">
                  <c:v>17.342222222222222</c:v>
                </c:pt>
                <c:pt idx="224">
                  <c:v>17.34604938271605</c:v>
                </c:pt>
                <c:pt idx="225">
                  <c:v>17.342222222222222</c:v>
                </c:pt>
                <c:pt idx="226">
                  <c:v>17.334691358024692</c:v>
                </c:pt>
                <c:pt idx="227">
                  <c:v>17.338518518518516</c:v>
                </c:pt>
                <c:pt idx="228">
                  <c:v>17.338518518518516</c:v>
                </c:pt>
                <c:pt idx="229">
                  <c:v>17.357283950617283</c:v>
                </c:pt>
                <c:pt idx="230">
                  <c:v>17.368641975308641</c:v>
                </c:pt>
                <c:pt idx="231">
                  <c:v>17.376172839506172</c:v>
                </c:pt>
                <c:pt idx="232">
                  <c:v>17.387530864197529</c:v>
                </c:pt>
                <c:pt idx="233">
                  <c:v>17.39506172839506</c:v>
                </c:pt>
                <c:pt idx="234">
                  <c:v>17.406296296296293</c:v>
                </c:pt>
                <c:pt idx="235">
                  <c:v>17.39506172839506</c:v>
                </c:pt>
                <c:pt idx="236">
                  <c:v>17.383703703703702</c:v>
                </c:pt>
                <c:pt idx="237">
                  <c:v>17.387530864197529</c:v>
                </c:pt>
                <c:pt idx="238">
                  <c:v>17.391234567901233</c:v>
                </c:pt>
                <c:pt idx="239">
                  <c:v>17.391234567901233</c:v>
                </c:pt>
                <c:pt idx="240">
                  <c:v>17.39506172839506</c:v>
                </c:pt>
                <c:pt idx="241">
                  <c:v>17.39506172839506</c:v>
                </c:pt>
                <c:pt idx="242">
                  <c:v>17.398765432098763</c:v>
                </c:pt>
                <c:pt idx="243">
                  <c:v>17.406296296296293</c:v>
                </c:pt>
                <c:pt idx="244">
                  <c:v>17.40259259259259</c:v>
                </c:pt>
                <c:pt idx="245">
                  <c:v>17.40259259259259</c:v>
                </c:pt>
                <c:pt idx="246">
                  <c:v>17.39506172839506</c:v>
                </c:pt>
                <c:pt idx="247">
                  <c:v>17.40259259259259</c:v>
                </c:pt>
                <c:pt idx="248">
                  <c:v>17.417654320987655</c:v>
                </c:pt>
                <c:pt idx="249">
                  <c:v>17.440246913580246</c:v>
                </c:pt>
                <c:pt idx="250">
                  <c:v>17.432716049382716</c:v>
                </c:pt>
                <c:pt idx="251">
                  <c:v>17.436419753086419</c:v>
                </c:pt>
                <c:pt idx="252">
                  <c:v>17.432716049382716</c:v>
                </c:pt>
                <c:pt idx="253">
                  <c:v>17.432716049382716</c:v>
                </c:pt>
                <c:pt idx="254">
                  <c:v>17.447777777777777</c:v>
                </c:pt>
                <c:pt idx="255">
                  <c:v>17.466543209876541</c:v>
                </c:pt>
                <c:pt idx="256">
                  <c:v>17.489259259259256</c:v>
                </c:pt>
                <c:pt idx="257">
                  <c:v>17.500493827160494</c:v>
                </c:pt>
                <c:pt idx="258">
                  <c:v>17.504320987654321</c:v>
                </c:pt>
                <c:pt idx="259">
                  <c:v>17.500493827160494</c:v>
                </c:pt>
                <c:pt idx="260">
                  <c:v>17.504320987654321</c:v>
                </c:pt>
                <c:pt idx="261">
                  <c:v>17.526913580246916</c:v>
                </c:pt>
                <c:pt idx="262">
                  <c:v>17.541975308641973</c:v>
                </c:pt>
                <c:pt idx="263">
                  <c:v>17.553209876543207</c:v>
                </c:pt>
                <c:pt idx="264">
                  <c:v>17.560740740740737</c:v>
                </c:pt>
                <c:pt idx="265">
                  <c:v>17.560740740740737</c:v>
                </c:pt>
                <c:pt idx="266">
                  <c:v>17.557037037037034</c:v>
                </c:pt>
                <c:pt idx="267">
                  <c:v>17.549506172839507</c:v>
                </c:pt>
                <c:pt idx="268">
                  <c:v>17.553209876543207</c:v>
                </c:pt>
                <c:pt idx="269">
                  <c:v>17.568271604938271</c:v>
                </c:pt>
                <c:pt idx="270">
                  <c:v>17.594691358024694</c:v>
                </c:pt>
                <c:pt idx="271">
                  <c:v>17.594691358024694</c:v>
                </c:pt>
                <c:pt idx="272">
                  <c:v>17.583456790123453</c:v>
                </c:pt>
                <c:pt idx="273">
                  <c:v>17.579629629629629</c:v>
                </c:pt>
                <c:pt idx="274">
                  <c:v>17.568271604938271</c:v>
                </c:pt>
                <c:pt idx="275">
                  <c:v>17.572098765432099</c:v>
                </c:pt>
                <c:pt idx="276">
                  <c:v>17.568271604938271</c:v>
                </c:pt>
                <c:pt idx="277">
                  <c:v>17.572098765432099</c:v>
                </c:pt>
                <c:pt idx="278">
                  <c:v>17.575925925925926</c:v>
                </c:pt>
                <c:pt idx="279">
                  <c:v>17.579629629629629</c:v>
                </c:pt>
                <c:pt idx="280">
                  <c:v>17.594691358024694</c:v>
                </c:pt>
                <c:pt idx="281">
                  <c:v>17.594691358024694</c:v>
                </c:pt>
                <c:pt idx="282">
                  <c:v>17.594691358024694</c:v>
                </c:pt>
                <c:pt idx="283">
                  <c:v>17.594691358024694</c:v>
                </c:pt>
                <c:pt idx="284">
                  <c:v>17.598518518518517</c:v>
                </c:pt>
                <c:pt idx="285">
                  <c:v>17.613580246913582</c:v>
                </c:pt>
                <c:pt idx="286">
                  <c:v>17.621111111111112</c:v>
                </c:pt>
                <c:pt idx="287">
                  <c:v>17.632345679012342</c:v>
                </c:pt>
                <c:pt idx="288">
                  <c:v>17.636172839506173</c:v>
                </c:pt>
                <c:pt idx="289">
                  <c:v>17.643703703703704</c:v>
                </c:pt>
                <c:pt idx="290">
                  <c:v>17.654938271604937</c:v>
                </c:pt>
                <c:pt idx="291">
                  <c:v>17.673827160493826</c:v>
                </c:pt>
                <c:pt idx="292">
                  <c:v>17.68135802469136</c:v>
                </c:pt>
                <c:pt idx="293">
                  <c:v>17.69641975308642</c:v>
                </c:pt>
                <c:pt idx="294">
                  <c:v>17.711481481481481</c:v>
                </c:pt>
                <c:pt idx="295">
                  <c:v>17.715308641975309</c:v>
                </c:pt>
                <c:pt idx="296">
                  <c:v>17.719012345679008</c:v>
                </c:pt>
                <c:pt idx="297">
                  <c:v>17.73037037037037</c:v>
                </c:pt>
                <c:pt idx="298">
                  <c:v>17.741604938271603</c:v>
                </c:pt>
                <c:pt idx="299">
                  <c:v>17.741604938271603</c:v>
                </c:pt>
                <c:pt idx="300">
                  <c:v>17.749135802469137</c:v>
                </c:pt>
                <c:pt idx="301">
                  <c:v>17.756666666666668</c:v>
                </c:pt>
                <c:pt idx="302">
                  <c:v>17.760493827160492</c:v>
                </c:pt>
                <c:pt idx="303">
                  <c:v>17.756666666666668</c:v>
                </c:pt>
                <c:pt idx="304">
                  <c:v>17.752962962962961</c:v>
                </c:pt>
                <c:pt idx="305">
                  <c:v>17.756666666666668</c:v>
                </c:pt>
                <c:pt idx="306">
                  <c:v>17.775555555555556</c:v>
                </c:pt>
                <c:pt idx="307">
                  <c:v>17.790617283950617</c:v>
                </c:pt>
                <c:pt idx="308">
                  <c:v>17.801975308641975</c:v>
                </c:pt>
                <c:pt idx="309">
                  <c:v>17.817037037037036</c:v>
                </c:pt>
                <c:pt idx="310">
                  <c:v>17.824567901234566</c:v>
                </c:pt>
                <c:pt idx="311">
                  <c:v>17.828271604938269</c:v>
                </c:pt>
                <c:pt idx="312">
                  <c:v>17.820740740740739</c:v>
                </c:pt>
                <c:pt idx="313">
                  <c:v>17.817037037037036</c:v>
                </c:pt>
                <c:pt idx="314">
                  <c:v>17.813209876543205</c:v>
                </c:pt>
                <c:pt idx="315">
                  <c:v>17.809506172839505</c:v>
                </c:pt>
                <c:pt idx="316">
                  <c:v>17.805679012345678</c:v>
                </c:pt>
                <c:pt idx="317">
                  <c:v>17.801975308641975</c:v>
                </c:pt>
                <c:pt idx="318">
                  <c:v>17.798148148148147</c:v>
                </c:pt>
                <c:pt idx="319">
                  <c:v>17.805679012345678</c:v>
                </c:pt>
                <c:pt idx="320">
                  <c:v>17.817037037037036</c:v>
                </c:pt>
                <c:pt idx="321">
                  <c:v>17.828271604938269</c:v>
                </c:pt>
                <c:pt idx="322">
                  <c:v>17.847160493827161</c:v>
                </c:pt>
                <c:pt idx="323">
                  <c:v>17.858395061728395</c:v>
                </c:pt>
                <c:pt idx="324">
                  <c:v>17.862222222222222</c:v>
                </c:pt>
                <c:pt idx="325">
                  <c:v>17.847160493827161</c:v>
                </c:pt>
                <c:pt idx="326">
                  <c:v>17.8358024691358</c:v>
                </c:pt>
                <c:pt idx="327">
                  <c:v>17.843333333333334</c:v>
                </c:pt>
                <c:pt idx="328">
                  <c:v>17.858395061728395</c:v>
                </c:pt>
                <c:pt idx="329">
                  <c:v>17.858395061728395</c:v>
                </c:pt>
                <c:pt idx="330">
                  <c:v>17.869753086419752</c:v>
                </c:pt>
                <c:pt idx="331">
                  <c:v>17.877283950617283</c:v>
                </c:pt>
                <c:pt idx="332">
                  <c:v>17.877283950617283</c:v>
                </c:pt>
                <c:pt idx="333">
                  <c:v>17.888518518518516</c:v>
                </c:pt>
                <c:pt idx="334">
                  <c:v>17.907407407407408</c:v>
                </c:pt>
                <c:pt idx="335">
                  <c:v>17.918765432098763</c:v>
                </c:pt>
                <c:pt idx="336">
                  <c:v>17.922469135802466</c:v>
                </c:pt>
                <c:pt idx="337">
                  <c:v>17.907407407407408</c:v>
                </c:pt>
                <c:pt idx="338">
                  <c:v>17.899876543209874</c:v>
                </c:pt>
                <c:pt idx="339">
                  <c:v>17.892345679012344</c:v>
                </c:pt>
                <c:pt idx="340">
                  <c:v>17.896049382716047</c:v>
                </c:pt>
                <c:pt idx="341">
                  <c:v>17.899876543209874</c:v>
                </c:pt>
                <c:pt idx="342">
                  <c:v>17.907407407407408</c:v>
                </c:pt>
                <c:pt idx="343">
                  <c:v>17.918765432098763</c:v>
                </c:pt>
                <c:pt idx="344">
                  <c:v>17.926296296296293</c:v>
                </c:pt>
                <c:pt idx="345">
                  <c:v>17.933827160493827</c:v>
                </c:pt>
                <c:pt idx="346">
                  <c:v>17.933827160493827</c:v>
                </c:pt>
                <c:pt idx="347">
                  <c:v>17.948888888888888</c:v>
                </c:pt>
                <c:pt idx="348">
                  <c:v>17.963950617283949</c:v>
                </c:pt>
                <c:pt idx="349">
                  <c:v>17.982716049382717</c:v>
                </c:pt>
                <c:pt idx="350">
                  <c:v>17.997777777777777</c:v>
                </c:pt>
                <c:pt idx="351">
                  <c:v>18.009135802469135</c:v>
                </c:pt>
                <c:pt idx="352">
                  <c:v>18.031728395061727</c:v>
                </c:pt>
                <c:pt idx="353">
                  <c:v>18.039259259259257</c:v>
                </c:pt>
                <c:pt idx="354">
                  <c:v>18.046790123456791</c:v>
                </c:pt>
                <c:pt idx="355">
                  <c:v>18.050617283950618</c:v>
                </c:pt>
                <c:pt idx="356">
                  <c:v>18.043086419753088</c:v>
                </c:pt>
                <c:pt idx="357">
                  <c:v>18.039259259259257</c:v>
                </c:pt>
                <c:pt idx="358">
                  <c:v>18.043086419753088</c:v>
                </c:pt>
                <c:pt idx="359">
                  <c:v>18.050617283950618</c:v>
                </c:pt>
                <c:pt idx="360">
                  <c:v>18.069382716049383</c:v>
                </c:pt>
                <c:pt idx="361">
                  <c:v>18.080740740740737</c:v>
                </c:pt>
                <c:pt idx="362">
                  <c:v>18.080740740740737</c:v>
                </c:pt>
                <c:pt idx="363">
                  <c:v>18.084444444444443</c:v>
                </c:pt>
                <c:pt idx="364">
                  <c:v>18.080740740740737</c:v>
                </c:pt>
                <c:pt idx="365">
                  <c:v>18.088271604938271</c:v>
                </c:pt>
                <c:pt idx="366">
                  <c:v>18.099506172839504</c:v>
                </c:pt>
                <c:pt idx="367">
                  <c:v>18.103333333333332</c:v>
                </c:pt>
                <c:pt idx="368">
                  <c:v>18.125925925925923</c:v>
                </c:pt>
                <c:pt idx="369">
                  <c:v>18.144814814814815</c:v>
                </c:pt>
                <c:pt idx="370">
                  <c:v>18.152345679012342</c:v>
                </c:pt>
                <c:pt idx="371">
                  <c:v>18.144814814814815</c:v>
                </c:pt>
                <c:pt idx="372">
                  <c:v>18.140987654320988</c:v>
                </c:pt>
                <c:pt idx="373">
                  <c:v>18.152345679012342</c:v>
                </c:pt>
                <c:pt idx="374">
                  <c:v>18.156049382716049</c:v>
                </c:pt>
                <c:pt idx="375">
                  <c:v>18.156049382716049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18.12975308641975</c:v>
                </c:pt>
                <c:pt idx="1">
                  <c:v>18.125925925925923</c:v>
                </c:pt>
                <c:pt idx="2">
                  <c:v>18.11469135802469</c:v>
                </c:pt>
                <c:pt idx="3">
                  <c:v>18.095802469135801</c:v>
                </c:pt>
                <c:pt idx="4">
                  <c:v>18.080740740740737</c:v>
                </c:pt>
                <c:pt idx="5">
                  <c:v>18.065679012345679</c:v>
                </c:pt>
                <c:pt idx="6">
                  <c:v>18.046790123456791</c:v>
                </c:pt>
                <c:pt idx="7">
                  <c:v>18.046790123456791</c:v>
                </c:pt>
                <c:pt idx="8">
                  <c:v>18.050617283950618</c:v>
                </c:pt>
                <c:pt idx="9">
                  <c:v>18.054320987654318</c:v>
                </c:pt>
                <c:pt idx="10">
                  <c:v>18.061851851851848</c:v>
                </c:pt>
                <c:pt idx="11">
                  <c:v>18.058148148148145</c:v>
                </c:pt>
                <c:pt idx="12">
                  <c:v>18.058148148148145</c:v>
                </c:pt>
                <c:pt idx="13">
                  <c:v>18.069382716049383</c:v>
                </c:pt>
                <c:pt idx="14">
                  <c:v>18.069382716049383</c:v>
                </c:pt>
                <c:pt idx="15">
                  <c:v>18.07320987654321</c:v>
                </c:pt>
                <c:pt idx="16">
                  <c:v>18.069382716049383</c:v>
                </c:pt>
                <c:pt idx="17">
                  <c:v>18.061851851851848</c:v>
                </c:pt>
                <c:pt idx="18">
                  <c:v>18.058148148148145</c:v>
                </c:pt>
                <c:pt idx="19">
                  <c:v>18.043086419753088</c:v>
                </c:pt>
                <c:pt idx="20">
                  <c:v>18.028024691358024</c:v>
                </c:pt>
                <c:pt idx="21">
                  <c:v>18.0241975308642</c:v>
                </c:pt>
                <c:pt idx="22">
                  <c:v>18.0241975308642</c:v>
                </c:pt>
                <c:pt idx="23">
                  <c:v>18.012962962962959</c:v>
                </c:pt>
                <c:pt idx="24">
                  <c:v>17.997777777777777</c:v>
                </c:pt>
                <c:pt idx="25">
                  <c:v>17.982716049382717</c:v>
                </c:pt>
                <c:pt idx="26">
                  <c:v>17.975185185185186</c:v>
                </c:pt>
                <c:pt idx="27">
                  <c:v>17.963950617283949</c:v>
                </c:pt>
                <c:pt idx="28">
                  <c:v>17.948888888888888</c:v>
                </c:pt>
                <c:pt idx="29">
                  <c:v>17.945061728395061</c:v>
                </c:pt>
                <c:pt idx="30">
                  <c:v>17.952592592592595</c:v>
                </c:pt>
                <c:pt idx="31">
                  <c:v>17.945061728395061</c:v>
                </c:pt>
                <c:pt idx="32">
                  <c:v>17.93753086419753</c:v>
                </c:pt>
                <c:pt idx="33">
                  <c:v>17.933827160493827</c:v>
                </c:pt>
                <c:pt idx="34">
                  <c:v>17.93</c:v>
                </c:pt>
                <c:pt idx="35">
                  <c:v>17.93</c:v>
                </c:pt>
                <c:pt idx="36">
                  <c:v>17.914938271604939</c:v>
                </c:pt>
                <c:pt idx="37">
                  <c:v>17.907407407407408</c:v>
                </c:pt>
                <c:pt idx="38">
                  <c:v>17.899876543209874</c:v>
                </c:pt>
                <c:pt idx="39">
                  <c:v>17.884814814814817</c:v>
                </c:pt>
                <c:pt idx="40">
                  <c:v>17.873456790123456</c:v>
                </c:pt>
                <c:pt idx="41">
                  <c:v>17.854691358024692</c:v>
                </c:pt>
                <c:pt idx="42">
                  <c:v>17.847160493827161</c:v>
                </c:pt>
                <c:pt idx="43">
                  <c:v>17.8358024691358</c:v>
                </c:pt>
                <c:pt idx="44">
                  <c:v>17.828271604938269</c:v>
                </c:pt>
                <c:pt idx="45">
                  <c:v>17.839629629629631</c:v>
                </c:pt>
                <c:pt idx="46">
                  <c:v>17.839629629629631</c:v>
                </c:pt>
                <c:pt idx="47">
                  <c:v>17.847160493827161</c:v>
                </c:pt>
                <c:pt idx="48">
                  <c:v>17.828271604938269</c:v>
                </c:pt>
                <c:pt idx="49">
                  <c:v>17.820740740740739</c:v>
                </c:pt>
                <c:pt idx="50">
                  <c:v>17.817037037037036</c:v>
                </c:pt>
                <c:pt idx="51">
                  <c:v>17.813209876543205</c:v>
                </c:pt>
                <c:pt idx="52">
                  <c:v>17.824567901234566</c:v>
                </c:pt>
                <c:pt idx="53">
                  <c:v>17.817037037037036</c:v>
                </c:pt>
                <c:pt idx="54">
                  <c:v>17.813209876543205</c:v>
                </c:pt>
                <c:pt idx="55">
                  <c:v>17.809506172839505</c:v>
                </c:pt>
                <c:pt idx="56">
                  <c:v>17.805679012345678</c:v>
                </c:pt>
                <c:pt idx="57">
                  <c:v>17.809506172839505</c:v>
                </c:pt>
                <c:pt idx="58">
                  <c:v>17.805679012345678</c:v>
                </c:pt>
                <c:pt idx="59">
                  <c:v>17.805679012345678</c:v>
                </c:pt>
                <c:pt idx="60">
                  <c:v>17.801975308641975</c:v>
                </c:pt>
                <c:pt idx="61">
                  <c:v>17.801975308641975</c:v>
                </c:pt>
                <c:pt idx="62">
                  <c:v>17.794444444444444</c:v>
                </c:pt>
                <c:pt idx="63">
                  <c:v>17.779259259259259</c:v>
                </c:pt>
                <c:pt idx="64">
                  <c:v>17.760493827160492</c:v>
                </c:pt>
                <c:pt idx="65">
                  <c:v>17.745432098765431</c:v>
                </c:pt>
                <c:pt idx="66">
                  <c:v>17.745432098765431</c:v>
                </c:pt>
                <c:pt idx="67">
                  <c:v>17.741604938271603</c:v>
                </c:pt>
                <c:pt idx="68">
                  <c:v>17.741604938271603</c:v>
                </c:pt>
                <c:pt idx="69">
                  <c:v>17.741604938271603</c:v>
                </c:pt>
                <c:pt idx="70">
                  <c:v>17.734074074074073</c:v>
                </c:pt>
                <c:pt idx="71">
                  <c:v>17.726543209876542</c:v>
                </c:pt>
                <c:pt idx="72">
                  <c:v>17.707777777777778</c:v>
                </c:pt>
                <c:pt idx="73">
                  <c:v>17.703950617283951</c:v>
                </c:pt>
                <c:pt idx="74">
                  <c:v>17.69641975308642</c:v>
                </c:pt>
                <c:pt idx="75">
                  <c:v>17.685185185185183</c:v>
                </c:pt>
                <c:pt idx="76">
                  <c:v>17.68135802469136</c:v>
                </c:pt>
                <c:pt idx="77">
                  <c:v>17.677530864197529</c:v>
                </c:pt>
                <c:pt idx="78">
                  <c:v>17.677530864197529</c:v>
                </c:pt>
                <c:pt idx="79">
                  <c:v>17.662469135802468</c:v>
                </c:pt>
                <c:pt idx="80">
                  <c:v>17.647407407407407</c:v>
                </c:pt>
                <c:pt idx="81">
                  <c:v>17.632345679012342</c:v>
                </c:pt>
                <c:pt idx="82">
                  <c:v>17.617283950617285</c:v>
                </c:pt>
                <c:pt idx="83">
                  <c:v>17.606049382716048</c:v>
                </c:pt>
                <c:pt idx="84">
                  <c:v>17.594691358024694</c:v>
                </c:pt>
                <c:pt idx="85">
                  <c:v>17.590987654320987</c:v>
                </c:pt>
                <c:pt idx="86">
                  <c:v>17.590987654320987</c:v>
                </c:pt>
                <c:pt idx="87">
                  <c:v>17.609753086419751</c:v>
                </c:pt>
                <c:pt idx="88">
                  <c:v>17.60222222222222</c:v>
                </c:pt>
                <c:pt idx="89">
                  <c:v>17.590987654320987</c:v>
                </c:pt>
                <c:pt idx="90">
                  <c:v>17.598518518518517</c:v>
                </c:pt>
                <c:pt idx="91">
                  <c:v>17.594691358024694</c:v>
                </c:pt>
                <c:pt idx="92">
                  <c:v>17.575925925925926</c:v>
                </c:pt>
                <c:pt idx="93">
                  <c:v>17.568271604938271</c:v>
                </c:pt>
                <c:pt idx="94">
                  <c:v>17.557037037037034</c:v>
                </c:pt>
                <c:pt idx="95">
                  <c:v>17.553209876543207</c:v>
                </c:pt>
                <c:pt idx="96">
                  <c:v>17.538148148148146</c:v>
                </c:pt>
                <c:pt idx="97">
                  <c:v>17.530617283950615</c:v>
                </c:pt>
                <c:pt idx="98">
                  <c:v>17.526913580246916</c:v>
                </c:pt>
                <c:pt idx="99">
                  <c:v>17.523086419753085</c:v>
                </c:pt>
                <c:pt idx="100">
                  <c:v>17.523086419753085</c:v>
                </c:pt>
                <c:pt idx="101">
                  <c:v>17.526913580246916</c:v>
                </c:pt>
                <c:pt idx="102">
                  <c:v>17.523086419753085</c:v>
                </c:pt>
                <c:pt idx="103">
                  <c:v>17.519382716049382</c:v>
                </c:pt>
                <c:pt idx="104">
                  <c:v>17.523086419753085</c:v>
                </c:pt>
                <c:pt idx="105">
                  <c:v>17.511851851851851</c:v>
                </c:pt>
                <c:pt idx="106">
                  <c:v>17.504320987654321</c:v>
                </c:pt>
                <c:pt idx="107">
                  <c:v>17.511851851851851</c:v>
                </c:pt>
                <c:pt idx="108">
                  <c:v>17.504320987654321</c:v>
                </c:pt>
                <c:pt idx="109">
                  <c:v>17.511851851851851</c:v>
                </c:pt>
                <c:pt idx="110">
                  <c:v>17.530617283950615</c:v>
                </c:pt>
                <c:pt idx="111">
                  <c:v>17.530617283950615</c:v>
                </c:pt>
                <c:pt idx="112">
                  <c:v>17.519382716049382</c:v>
                </c:pt>
                <c:pt idx="113">
                  <c:v>17.500493827160494</c:v>
                </c:pt>
                <c:pt idx="114">
                  <c:v>17.481728395061729</c:v>
                </c:pt>
                <c:pt idx="115">
                  <c:v>17.466543209876541</c:v>
                </c:pt>
                <c:pt idx="116">
                  <c:v>17.45148148148148</c:v>
                </c:pt>
                <c:pt idx="117">
                  <c:v>17.45148148148148</c:v>
                </c:pt>
                <c:pt idx="118">
                  <c:v>17.455308641975307</c:v>
                </c:pt>
                <c:pt idx="119">
                  <c:v>17.477901234567902</c:v>
                </c:pt>
                <c:pt idx="120">
                  <c:v>17.466543209876541</c:v>
                </c:pt>
                <c:pt idx="121">
                  <c:v>17.462839506172838</c:v>
                </c:pt>
                <c:pt idx="122">
                  <c:v>17.45901234567901</c:v>
                </c:pt>
                <c:pt idx="123">
                  <c:v>17.466543209876541</c:v>
                </c:pt>
                <c:pt idx="124">
                  <c:v>17.462839506172838</c:v>
                </c:pt>
                <c:pt idx="125">
                  <c:v>17.45901234567901</c:v>
                </c:pt>
                <c:pt idx="126">
                  <c:v>17.45901234567901</c:v>
                </c:pt>
                <c:pt idx="127">
                  <c:v>17.436419753086419</c:v>
                </c:pt>
                <c:pt idx="128">
                  <c:v>17.421358024691358</c:v>
                </c:pt>
                <c:pt idx="129">
                  <c:v>17.398765432098763</c:v>
                </c:pt>
                <c:pt idx="130">
                  <c:v>17.383703703703702</c:v>
                </c:pt>
                <c:pt idx="131">
                  <c:v>17.391234567901233</c:v>
                </c:pt>
                <c:pt idx="132">
                  <c:v>17.38</c:v>
                </c:pt>
                <c:pt idx="133">
                  <c:v>17.39506172839506</c:v>
                </c:pt>
                <c:pt idx="134">
                  <c:v>17.413827160493828</c:v>
                </c:pt>
                <c:pt idx="135">
                  <c:v>17.410123456790124</c:v>
                </c:pt>
                <c:pt idx="136">
                  <c:v>17.410123456790124</c:v>
                </c:pt>
                <c:pt idx="137">
                  <c:v>17.413827160493828</c:v>
                </c:pt>
                <c:pt idx="138">
                  <c:v>17.40259259259259</c:v>
                </c:pt>
                <c:pt idx="139">
                  <c:v>17.38</c:v>
                </c:pt>
                <c:pt idx="140">
                  <c:v>17.372469135802469</c:v>
                </c:pt>
                <c:pt idx="141">
                  <c:v>17.361111111111111</c:v>
                </c:pt>
                <c:pt idx="142">
                  <c:v>17.357283950617283</c:v>
                </c:pt>
                <c:pt idx="143">
                  <c:v>17.364938271604938</c:v>
                </c:pt>
                <c:pt idx="144">
                  <c:v>17.376172839506172</c:v>
                </c:pt>
                <c:pt idx="145">
                  <c:v>17.376172839506172</c:v>
                </c:pt>
                <c:pt idx="146">
                  <c:v>17.357283950617283</c:v>
                </c:pt>
                <c:pt idx="147">
                  <c:v>17.35358024691358</c:v>
                </c:pt>
                <c:pt idx="148">
                  <c:v>17.342222222222222</c:v>
                </c:pt>
                <c:pt idx="149">
                  <c:v>17.334691358024692</c:v>
                </c:pt>
                <c:pt idx="150">
                  <c:v>17.334691358024692</c:v>
                </c:pt>
                <c:pt idx="151">
                  <c:v>17.327160493827162</c:v>
                </c:pt>
                <c:pt idx="152">
                  <c:v>17.323456790123455</c:v>
                </c:pt>
                <c:pt idx="153">
                  <c:v>17.308395061728394</c:v>
                </c:pt>
                <c:pt idx="154">
                  <c:v>17.297037037037036</c:v>
                </c:pt>
                <c:pt idx="155">
                  <c:v>17.278271604938272</c:v>
                </c:pt>
                <c:pt idx="156">
                  <c:v>17.266913580246914</c:v>
                </c:pt>
                <c:pt idx="157">
                  <c:v>17.270740740740738</c:v>
                </c:pt>
                <c:pt idx="158">
                  <c:v>17.270740740740738</c:v>
                </c:pt>
                <c:pt idx="159">
                  <c:v>17.266913580246914</c:v>
                </c:pt>
                <c:pt idx="160">
                  <c:v>17.270740740740738</c:v>
                </c:pt>
                <c:pt idx="161">
                  <c:v>17.278271604938272</c:v>
                </c:pt>
                <c:pt idx="162">
                  <c:v>17.281975308641975</c:v>
                </c:pt>
                <c:pt idx="163">
                  <c:v>17.263209876543208</c:v>
                </c:pt>
                <c:pt idx="164">
                  <c:v>17.255679012345677</c:v>
                </c:pt>
                <c:pt idx="165">
                  <c:v>17.255679012345677</c:v>
                </c:pt>
                <c:pt idx="166">
                  <c:v>17.251851851851853</c:v>
                </c:pt>
                <c:pt idx="167">
                  <c:v>17.244320987654319</c:v>
                </c:pt>
                <c:pt idx="168">
                  <c:v>17.232962962962961</c:v>
                </c:pt>
                <c:pt idx="169">
                  <c:v>17.229259259259258</c:v>
                </c:pt>
                <c:pt idx="170">
                  <c:v>17.221728395061724</c:v>
                </c:pt>
                <c:pt idx="171">
                  <c:v>17.217901234567901</c:v>
                </c:pt>
                <c:pt idx="172">
                  <c:v>17.217901234567901</c:v>
                </c:pt>
                <c:pt idx="173">
                  <c:v>17.202839506172836</c:v>
                </c:pt>
                <c:pt idx="174">
                  <c:v>17.195308641975309</c:v>
                </c:pt>
                <c:pt idx="175">
                  <c:v>17.180246913580245</c:v>
                </c:pt>
                <c:pt idx="176">
                  <c:v>17.176543209876542</c:v>
                </c:pt>
                <c:pt idx="177">
                  <c:v>17.187777777777779</c:v>
                </c:pt>
                <c:pt idx="178">
                  <c:v>17.191604938271606</c:v>
                </c:pt>
                <c:pt idx="179">
                  <c:v>17.202839506172836</c:v>
                </c:pt>
                <c:pt idx="180">
                  <c:v>17.202839506172836</c:v>
                </c:pt>
                <c:pt idx="181">
                  <c:v>17.21037037037037</c:v>
                </c:pt>
                <c:pt idx="182">
                  <c:v>17.21037037037037</c:v>
                </c:pt>
                <c:pt idx="183">
                  <c:v>17.195308641975309</c:v>
                </c:pt>
                <c:pt idx="184">
                  <c:v>17.195308641975309</c:v>
                </c:pt>
                <c:pt idx="185">
                  <c:v>17.199135802469137</c:v>
                </c:pt>
                <c:pt idx="186">
                  <c:v>17.199135802469137</c:v>
                </c:pt>
                <c:pt idx="187">
                  <c:v>17.191604938271606</c:v>
                </c:pt>
                <c:pt idx="188">
                  <c:v>17.187777777777779</c:v>
                </c:pt>
                <c:pt idx="189">
                  <c:v>17.195308641975309</c:v>
                </c:pt>
                <c:pt idx="190">
                  <c:v>17.187777777777779</c:v>
                </c:pt>
                <c:pt idx="191">
                  <c:v>17.172716049382714</c:v>
                </c:pt>
                <c:pt idx="192">
                  <c:v>17.169012345679011</c:v>
                </c:pt>
                <c:pt idx="193">
                  <c:v>17.172716049382714</c:v>
                </c:pt>
                <c:pt idx="194">
                  <c:v>17.157654320987653</c:v>
                </c:pt>
                <c:pt idx="195">
                  <c:v>17.161481481481481</c:v>
                </c:pt>
                <c:pt idx="196">
                  <c:v>17.169012345679011</c:v>
                </c:pt>
                <c:pt idx="197">
                  <c:v>17.157654320987653</c:v>
                </c:pt>
                <c:pt idx="198">
                  <c:v>17.153950617283947</c:v>
                </c:pt>
                <c:pt idx="199">
                  <c:v>17.142592592592592</c:v>
                </c:pt>
                <c:pt idx="200">
                  <c:v>17.146296296296295</c:v>
                </c:pt>
                <c:pt idx="201">
                  <c:v>17.138765432098765</c:v>
                </c:pt>
                <c:pt idx="202">
                  <c:v>17.131234567901231</c:v>
                </c:pt>
                <c:pt idx="203">
                  <c:v>17.11617283950617</c:v>
                </c:pt>
                <c:pt idx="204">
                  <c:v>17.112469135802467</c:v>
                </c:pt>
                <c:pt idx="205">
                  <c:v>17.104938271604937</c:v>
                </c:pt>
                <c:pt idx="206">
                  <c:v>17.089876543209876</c:v>
                </c:pt>
                <c:pt idx="207">
                  <c:v>17.082345679012345</c:v>
                </c:pt>
                <c:pt idx="208">
                  <c:v>17.086049382716048</c:v>
                </c:pt>
                <c:pt idx="209">
                  <c:v>17.082345679012345</c:v>
                </c:pt>
                <c:pt idx="210">
                  <c:v>17.086049382716048</c:v>
                </c:pt>
                <c:pt idx="211">
                  <c:v>17.082345679012345</c:v>
                </c:pt>
                <c:pt idx="212">
                  <c:v>17.078518518518518</c:v>
                </c:pt>
                <c:pt idx="213">
                  <c:v>17.063456790123453</c:v>
                </c:pt>
                <c:pt idx="214">
                  <c:v>17.05975308641975</c:v>
                </c:pt>
                <c:pt idx="215">
                  <c:v>17.052222222222223</c:v>
                </c:pt>
                <c:pt idx="216">
                  <c:v>17.029506172839504</c:v>
                </c:pt>
                <c:pt idx="217">
                  <c:v>17.01074074074074</c:v>
                </c:pt>
                <c:pt idx="218">
                  <c:v>17.014444444444443</c:v>
                </c:pt>
                <c:pt idx="219">
                  <c:v>17.014444444444443</c:v>
                </c:pt>
                <c:pt idx="220">
                  <c:v>17.00320987654321</c:v>
                </c:pt>
                <c:pt idx="221">
                  <c:v>16.988148148148149</c:v>
                </c:pt>
                <c:pt idx="222">
                  <c:v>16.976790123456787</c:v>
                </c:pt>
                <c:pt idx="223">
                  <c:v>16.969259259259257</c:v>
                </c:pt>
                <c:pt idx="224">
                  <c:v>16.973086419753084</c:v>
                </c:pt>
                <c:pt idx="225">
                  <c:v>16.965555555555554</c:v>
                </c:pt>
                <c:pt idx="226">
                  <c:v>16.939135802469135</c:v>
                </c:pt>
                <c:pt idx="227">
                  <c:v>16.927777777777777</c:v>
                </c:pt>
                <c:pt idx="228">
                  <c:v>16.920246913580247</c:v>
                </c:pt>
                <c:pt idx="229">
                  <c:v>16.924074074074074</c:v>
                </c:pt>
                <c:pt idx="230">
                  <c:v>16.916543209876544</c:v>
                </c:pt>
                <c:pt idx="231">
                  <c:v>16.905185185185186</c:v>
                </c:pt>
                <c:pt idx="232">
                  <c:v>16.901481481481479</c:v>
                </c:pt>
                <c:pt idx="233">
                  <c:v>16.890123456790121</c:v>
                </c:pt>
                <c:pt idx="234">
                  <c:v>16.871358024691357</c:v>
                </c:pt>
                <c:pt idx="235">
                  <c:v>16.852469135802469</c:v>
                </c:pt>
                <c:pt idx="236">
                  <c:v>16.837407407407408</c:v>
                </c:pt>
                <c:pt idx="237">
                  <c:v>16.822345679012344</c:v>
                </c:pt>
                <c:pt idx="238">
                  <c:v>16.807283950617283</c:v>
                </c:pt>
                <c:pt idx="239">
                  <c:v>16.792222222222222</c:v>
                </c:pt>
                <c:pt idx="240">
                  <c:v>16.76962962962963</c:v>
                </c:pt>
                <c:pt idx="241">
                  <c:v>16.7620987654321</c:v>
                </c:pt>
                <c:pt idx="242">
                  <c:v>16.7620987654321</c:v>
                </c:pt>
                <c:pt idx="243">
                  <c:v>16.754567901234566</c:v>
                </c:pt>
                <c:pt idx="244">
                  <c:v>16.758271604938273</c:v>
                </c:pt>
                <c:pt idx="245">
                  <c:v>16.747037037037035</c:v>
                </c:pt>
                <c:pt idx="246">
                  <c:v>16.739506172839505</c:v>
                </c:pt>
                <c:pt idx="247">
                  <c:v>16.72444444444444</c:v>
                </c:pt>
                <c:pt idx="248">
                  <c:v>16.713086419753086</c:v>
                </c:pt>
                <c:pt idx="249">
                  <c:v>16.701728395061725</c:v>
                </c:pt>
                <c:pt idx="250">
                  <c:v>16.690493827160495</c:v>
                </c:pt>
                <c:pt idx="251">
                  <c:v>16.679135802469133</c:v>
                </c:pt>
                <c:pt idx="252">
                  <c:v>16.664074074074072</c:v>
                </c:pt>
                <c:pt idx="253">
                  <c:v>16.67543209876543</c:v>
                </c:pt>
                <c:pt idx="254">
                  <c:v>16.682962962962961</c:v>
                </c:pt>
                <c:pt idx="255">
                  <c:v>16.690493827160495</c:v>
                </c:pt>
                <c:pt idx="256">
                  <c:v>16.690493827160495</c:v>
                </c:pt>
                <c:pt idx="257">
                  <c:v>16.671604938271606</c:v>
                </c:pt>
                <c:pt idx="258">
                  <c:v>16.664074074074072</c:v>
                </c:pt>
                <c:pt idx="259">
                  <c:v>16.637777777777774</c:v>
                </c:pt>
                <c:pt idx="260">
                  <c:v>16.626419753086417</c:v>
                </c:pt>
                <c:pt idx="261">
                  <c:v>16.615185185185183</c:v>
                </c:pt>
                <c:pt idx="262">
                  <c:v>16.611358024691356</c:v>
                </c:pt>
                <c:pt idx="263">
                  <c:v>16.615185185185183</c:v>
                </c:pt>
                <c:pt idx="264">
                  <c:v>16.592469135802467</c:v>
                </c:pt>
                <c:pt idx="265">
                  <c:v>16.5737037037037</c:v>
                </c:pt>
                <c:pt idx="266">
                  <c:v>16.569876543209876</c:v>
                </c:pt>
                <c:pt idx="267">
                  <c:v>16.543580246913578</c:v>
                </c:pt>
                <c:pt idx="268">
                  <c:v>16.528518518518517</c:v>
                </c:pt>
                <c:pt idx="269">
                  <c:v>16.494567901234568</c:v>
                </c:pt>
                <c:pt idx="270">
                  <c:v>16.468148148148149</c:v>
                </c:pt>
                <c:pt idx="271">
                  <c:v>16.445555555555554</c:v>
                </c:pt>
                <c:pt idx="272">
                  <c:v>16.430493827160493</c:v>
                </c:pt>
                <c:pt idx="273">
                  <c:v>16.411728395061726</c:v>
                </c:pt>
                <c:pt idx="274">
                  <c:v>16.38148148148148</c:v>
                </c:pt>
                <c:pt idx="275">
                  <c:v>16.358888888888888</c:v>
                </c:pt>
                <c:pt idx="276">
                  <c:v>16.332592592592594</c:v>
                </c:pt>
                <c:pt idx="277">
                  <c:v>16.309999999999999</c:v>
                </c:pt>
                <c:pt idx="278">
                  <c:v>16.28358024691358</c:v>
                </c:pt>
                <c:pt idx="279">
                  <c:v>16.257160493827158</c:v>
                </c:pt>
                <c:pt idx="280">
                  <c:v>16.2420987654321</c:v>
                </c:pt>
                <c:pt idx="281">
                  <c:v>16.215802469135802</c:v>
                </c:pt>
                <c:pt idx="282">
                  <c:v>16.193209876543211</c:v>
                </c:pt>
                <c:pt idx="283">
                  <c:v>16.170493827160495</c:v>
                </c:pt>
                <c:pt idx="284">
                  <c:v>16.151728395061728</c:v>
                </c:pt>
                <c:pt idx="285">
                  <c:v>16.136666666666663</c:v>
                </c:pt>
                <c:pt idx="286">
                  <c:v>16.110246913580244</c:v>
                </c:pt>
                <c:pt idx="287">
                  <c:v>16.080123456790126</c:v>
                </c:pt>
                <c:pt idx="288">
                  <c:v>16.049999999999997</c:v>
                </c:pt>
                <c:pt idx="289">
                  <c:v>16.023580246913578</c:v>
                </c:pt>
                <c:pt idx="290">
                  <c:v>15.993456790123457</c:v>
                </c:pt>
                <c:pt idx="291">
                  <c:v>15.951975308641973</c:v>
                </c:pt>
                <c:pt idx="292">
                  <c:v>15.914320987654323</c:v>
                </c:pt>
                <c:pt idx="293">
                  <c:v>15.891728395061728</c:v>
                </c:pt>
                <c:pt idx="294">
                  <c:v>15.861604938271604</c:v>
                </c:pt>
                <c:pt idx="295">
                  <c:v>15.831481481481481</c:v>
                </c:pt>
                <c:pt idx="296">
                  <c:v>15.782469135802467</c:v>
                </c:pt>
                <c:pt idx="297">
                  <c:v>15.740987654320987</c:v>
                </c:pt>
                <c:pt idx="298">
                  <c:v>15.703333333333333</c:v>
                </c:pt>
                <c:pt idx="299">
                  <c:v>15.680740740740738</c:v>
                </c:pt>
                <c:pt idx="300">
                  <c:v>15.650617283950618</c:v>
                </c:pt>
                <c:pt idx="301">
                  <c:v>15.616666666666664</c:v>
                </c:pt>
                <c:pt idx="302">
                  <c:v>15.571481481481479</c:v>
                </c:pt>
                <c:pt idx="303">
                  <c:v>15.53753086419753</c:v>
                </c:pt>
                <c:pt idx="304">
                  <c:v>15.507407407407406</c:v>
                </c:pt>
                <c:pt idx="305">
                  <c:v>15.473580246913581</c:v>
                </c:pt>
                <c:pt idx="306">
                  <c:v>15.42074074074074</c:v>
                </c:pt>
                <c:pt idx="307">
                  <c:v>15.368024691358023</c:v>
                </c:pt>
                <c:pt idx="308">
                  <c:v>15.319012345679011</c:v>
                </c:pt>
                <c:pt idx="309">
                  <c:v>15.277654320987653</c:v>
                </c:pt>
                <c:pt idx="310">
                  <c:v>15.224938271604938</c:v>
                </c:pt>
                <c:pt idx="311">
                  <c:v>15.164567901234568</c:v>
                </c:pt>
                <c:pt idx="312">
                  <c:v>15.096790123456788</c:v>
                </c:pt>
                <c:pt idx="313">
                  <c:v>15.036543209876543</c:v>
                </c:pt>
                <c:pt idx="314">
                  <c:v>14.964938271604938</c:v>
                </c:pt>
                <c:pt idx="315">
                  <c:v>14.893333333333333</c:v>
                </c:pt>
                <c:pt idx="316">
                  <c:v>14.833086419753087</c:v>
                </c:pt>
                <c:pt idx="317">
                  <c:v>14.776543209876543</c:v>
                </c:pt>
                <c:pt idx="318">
                  <c:v>14.723827160493826</c:v>
                </c:pt>
                <c:pt idx="319">
                  <c:v>14.652222222222221</c:v>
                </c:pt>
                <c:pt idx="320">
                  <c:v>14.573086419753087</c:v>
                </c:pt>
                <c:pt idx="321">
                  <c:v>14.497777777777777</c:v>
                </c:pt>
                <c:pt idx="322">
                  <c:v>14.41864197530864</c:v>
                </c:pt>
                <c:pt idx="323">
                  <c:v>14.335679012345677</c:v>
                </c:pt>
                <c:pt idx="324">
                  <c:v>14.23395061728395</c:v>
                </c:pt>
                <c:pt idx="325">
                  <c:v>14.143580246913581</c:v>
                </c:pt>
                <c:pt idx="326">
                  <c:v>14.041851851851851</c:v>
                </c:pt>
                <c:pt idx="327">
                  <c:v>13.93259259259259</c:v>
                </c:pt>
                <c:pt idx="328">
                  <c:v>13.834691358024692</c:v>
                </c:pt>
                <c:pt idx="329">
                  <c:v>13.732962962962963</c:v>
                </c:pt>
                <c:pt idx="330">
                  <c:v>13.627407407407405</c:v>
                </c:pt>
                <c:pt idx="331">
                  <c:v>13.506913580246913</c:v>
                </c:pt>
                <c:pt idx="332">
                  <c:v>13.378765432098765</c:v>
                </c:pt>
                <c:pt idx="333">
                  <c:v>13.239382716049382</c:v>
                </c:pt>
                <c:pt idx="334">
                  <c:v>13.092469135802469</c:v>
                </c:pt>
                <c:pt idx="335">
                  <c:v>12.941728395061729</c:v>
                </c:pt>
                <c:pt idx="336">
                  <c:v>12.783456790123456</c:v>
                </c:pt>
                <c:pt idx="337">
                  <c:v>12.613950617283949</c:v>
                </c:pt>
                <c:pt idx="338">
                  <c:v>12.429259259259259</c:v>
                </c:pt>
                <c:pt idx="339">
                  <c:v>12.233407407407409</c:v>
                </c:pt>
                <c:pt idx="340">
                  <c:v>12.033716049382717</c:v>
                </c:pt>
                <c:pt idx="341">
                  <c:v>11.818962962962962</c:v>
                </c:pt>
                <c:pt idx="342">
                  <c:v>11.596679012345678</c:v>
                </c:pt>
                <c:pt idx="343">
                  <c:v>11.348012345679011</c:v>
                </c:pt>
                <c:pt idx="344">
                  <c:v>11.091827160493827</c:v>
                </c:pt>
                <c:pt idx="345">
                  <c:v>10.816790123456789</c:v>
                </c:pt>
                <c:pt idx="346">
                  <c:v>10.52667901234568</c:v>
                </c:pt>
                <c:pt idx="347">
                  <c:v>10.213975308641976</c:v>
                </c:pt>
                <c:pt idx="348">
                  <c:v>9.8748888888888882</c:v>
                </c:pt>
                <c:pt idx="349">
                  <c:v>9.5018888888888871</c:v>
                </c:pt>
                <c:pt idx="350">
                  <c:v>9.0949876543209864</c:v>
                </c:pt>
                <c:pt idx="351">
                  <c:v>8.6541851851851845</c:v>
                </c:pt>
                <c:pt idx="352">
                  <c:v>8.1756913580246895</c:v>
                </c:pt>
                <c:pt idx="353">
                  <c:v>7.6293950617283945</c:v>
                </c:pt>
                <c:pt idx="354">
                  <c:v>7.037876543209876</c:v>
                </c:pt>
                <c:pt idx="355">
                  <c:v>6.382320987654321</c:v>
                </c:pt>
                <c:pt idx="356">
                  <c:v>5.6487654320987648</c:v>
                </c:pt>
                <c:pt idx="357">
                  <c:v>4.8413703703703694</c:v>
                </c:pt>
                <c:pt idx="358">
                  <c:v>3.917555555555555</c:v>
                </c:pt>
                <c:pt idx="359">
                  <c:v>2.8848518518518516</c:v>
                </c:pt>
                <c:pt idx="360">
                  <c:v>1.7274444444444443</c:v>
                </c:pt>
                <c:pt idx="361">
                  <c:v>0.41745061728395055</c:v>
                </c:pt>
                <c:pt idx="362">
                  <c:v>-0.99163333333333337</c:v>
                </c:pt>
                <c:pt idx="363">
                  <c:v>-2.5386049382716043</c:v>
                </c:pt>
                <c:pt idx="364">
                  <c:v>-4.1771358024691354</c:v>
                </c:pt>
                <c:pt idx="365">
                  <c:v>-5.9215432098765426</c:v>
                </c:pt>
                <c:pt idx="366">
                  <c:v>-7.716049382716049</c:v>
                </c:pt>
                <c:pt idx="367">
                  <c:v>-9.5998518518518505</c:v>
                </c:pt>
                <c:pt idx="368">
                  <c:v>-11.551469135802471</c:v>
                </c:pt>
                <c:pt idx="369">
                  <c:v>-13.518148148148148</c:v>
                </c:pt>
                <c:pt idx="370">
                  <c:v>-15.526296296296294</c:v>
                </c:pt>
                <c:pt idx="371">
                  <c:v>-17.54567901234568</c:v>
                </c:pt>
                <c:pt idx="372">
                  <c:v>-19.595308641975304</c:v>
                </c:pt>
                <c:pt idx="373">
                  <c:v>-21.663703703703703</c:v>
                </c:pt>
                <c:pt idx="374">
                  <c:v>-23.743456790123457</c:v>
                </c:pt>
                <c:pt idx="375">
                  <c:v>-25.857037037037035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422016"/>
        <c:axId val="104423808"/>
      </c:scatterChart>
      <c:valAx>
        <c:axId val="10442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423808"/>
        <c:crosses val="autoZero"/>
        <c:crossBetween val="midCat"/>
      </c:valAx>
      <c:valAx>
        <c:axId val="10442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442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342900</xdr:colOff>
      <xdr:row>12</xdr:row>
      <xdr:rowOff>22860</xdr:rowOff>
    </xdr:from>
    <xdr:to>
      <xdr:col>19</xdr:col>
      <xdr:colOff>38100</xdr:colOff>
      <xdr:row>27</xdr:row>
      <xdr:rowOff>22860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495300</xdr:colOff>
      <xdr:row>12</xdr:row>
      <xdr:rowOff>108585</xdr:rowOff>
    </xdr:from>
    <xdr:to>
      <xdr:col>35</xdr:col>
      <xdr:colOff>190500</xdr:colOff>
      <xdr:row>27</xdr:row>
      <xdr:rowOff>108585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45</xdr:col>
      <xdr:colOff>28575</xdr:colOff>
      <xdr:row>14</xdr:row>
      <xdr:rowOff>184785</xdr:rowOff>
    </xdr:from>
    <xdr:to>
      <xdr:col>52</xdr:col>
      <xdr:colOff>333375</xdr:colOff>
      <xdr:row>29</xdr:row>
      <xdr:rowOff>184785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topLeftCell="AW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23.184352266666664</v>
      </c>
      <c r="M2" s="8" t="s">
        <v>14</v>
      </c>
      <c r="N2" s="9"/>
      <c r="O2" s="2">
        <f>ABS(S7-S6)/ABS(T7-T6)*1000</f>
        <v>679.17065901610931</v>
      </c>
      <c r="P2" s="2"/>
      <c r="Q2" s="6" t="s">
        <v>15</v>
      </c>
      <c r="R2" s="2"/>
      <c r="S2" s="7" t="s">
        <v>13</v>
      </c>
      <c r="T2" s="3">
        <f>T4*Q6*T9/100*100</f>
        <v>22.412907906172837</v>
      </c>
      <c r="U2" s="8" t="s">
        <v>14</v>
      </c>
      <c r="X2" s="9"/>
      <c r="Y2" s="2">
        <f>ABS(AC7-AC6)/ABS(AD7-AD6)*1000</f>
        <v>461.33638043464634</v>
      </c>
      <c r="Z2" s="2"/>
      <c r="AA2" s="6" t="s">
        <v>12</v>
      </c>
      <c r="AB2" s="2"/>
      <c r="AC2" s="7" t="s">
        <v>13</v>
      </c>
      <c r="AD2" s="3">
        <f>AD4*AA6*AD9/100*100</f>
        <v>23.134839882716047</v>
      </c>
      <c r="AE2" s="8" t="s">
        <v>14</v>
      </c>
      <c r="AF2" s="9"/>
      <c r="AG2" s="2">
        <f>ABS(AK7-AK6)/ABS(AL7-AL6)*1000</f>
        <v>460.97331428560983</v>
      </c>
      <c r="AH2" s="2"/>
      <c r="AI2" s="6" t="s">
        <v>15</v>
      </c>
      <c r="AJ2" s="2"/>
      <c r="AK2" s="7" t="s">
        <v>13</v>
      </c>
      <c r="AL2" s="3">
        <f>AL4*AI6*AL9/100*100</f>
        <v>22.425469143209877</v>
      </c>
      <c r="AM2" s="8" t="s">
        <v>14</v>
      </c>
      <c r="AP2" s="9"/>
      <c r="AQ2" s="2">
        <f>ABS(AU7-AU6)/ABS(AV7-AV6)*1000</f>
        <v>1334.8408064515418</v>
      </c>
      <c r="AR2" s="2"/>
      <c r="AS2" s="6" t="s">
        <v>12</v>
      </c>
      <c r="AT2" s="2"/>
      <c r="AU2" s="7" t="s">
        <v>13</v>
      </c>
      <c r="AV2" s="3">
        <f>AV4*AS6*AV9/100*100</f>
        <v>22.994459592592591</v>
      </c>
      <c r="AW2" s="8" t="s">
        <v>14</v>
      </c>
      <c r="AX2" s="9"/>
      <c r="AY2" s="2">
        <f>ABS(BC7-BC6)/ABS(BD7-BD6)*1000</f>
        <v>2690.3424319679912</v>
      </c>
      <c r="AZ2" s="2"/>
      <c r="BA2" s="6" t="s">
        <v>15</v>
      </c>
      <c r="BB2" s="2"/>
      <c r="BC2" s="7" t="s">
        <v>13</v>
      </c>
      <c r="BD2" s="3">
        <f>BD4*BA6*BD9/100*100</f>
        <v>22.321111292592587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1.72882</v>
      </c>
      <c r="J3" s="2"/>
      <c r="K3" s="10">
        <f>INDEX(L11:L1056,MATCH(I3,K11:K1056,0))</f>
        <v>-1.748543209876543</v>
      </c>
      <c r="L3" s="26" t="s">
        <v>16</v>
      </c>
      <c r="M3" s="11">
        <f>M9</f>
        <v>23.184352266666664</v>
      </c>
      <c r="N3" s="9"/>
      <c r="O3" s="2" t="s">
        <v>44</v>
      </c>
      <c r="P3" s="2"/>
      <c r="Q3" s="2">
        <f>INDEX(S11:S1056,MATCH(0,T11:T1056,-1))</f>
        <v>1.72211</v>
      </c>
      <c r="R3" s="2"/>
      <c r="S3" s="10">
        <f>INDEX(T11:T1056,MATCH(Q3,S11:S1056,0))</f>
        <v>1.2086469135802467</v>
      </c>
      <c r="T3" s="26" t="s">
        <v>16</v>
      </c>
      <c r="U3" s="11">
        <f>U9</f>
        <v>22.412907906172837</v>
      </c>
      <c r="X3" s="9"/>
      <c r="Y3" s="2" t="s">
        <v>44</v>
      </c>
      <c r="Z3" s="2"/>
      <c r="AA3" s="2">
        <f>INDEX(AC11:AC856,MATCH(0,AD11:AD856,1))</f>
        <v>1.72394</v>
      </c>
      <c r="AB3" s="2"/>
      <c r="AC3" s="10">
        <f>INDEX(AD11:AD1056,MATCH(AA3,AC11:AC1056,0))</f>
        <v>-0.52719999999999989</v>
      </c>
      <c r="AD3" s="26" t="s">
        <v>16</v>
      </c>
      <c r="AE3" s="11">
        <f>AE9</f>
        <v>23.134839882716047</v>
      </c>
      <c r="AF3" s="9"/>
      <c r="AG3" s="2" t="s">
        <v>44</v>
      </c>
      <c r="AH3" s="2"/>
      <c r="AI3" s="2">
        <f>INDEX(AK11:AK1056,MATCH(0,AL11:AL1056,-1))</f>
        <v>1.7218</v>
      </c>
      <c r="AJ3" s="2"/>
      <c r="AK3" s="10">
        <f>INDEX(AL11:AL1056,MATCH(AI3,AK11:AK1056,0))</f>
        <v>0.78441481481481479</v>
      </c>
      <c r="AL3" s="26" t="s">
        <v>16</v>
      </c>
      <c r="AM3" s="11">
        <f>AM9</f>
        <v>22.425469143209874</v>
      </c>
      <c r="AP3" s="9"/>
      <c r="AQ3" s="2" t="s">
        <v>44</v>
      </c>
      <c r="AR3" s="2"/>
      <c r="AS3" s="2">
        <f>INDEX(AU11:AU856,MATCH(0,AV11:AV856,1))</f>
        <v>1.72394</v>
      </c>
      <c r="AT3" s="2"/>
      <c r="AU3" s="10">
        <f>INDEX(AV11:AV1056,MATCH(AS3,AU11:AU1056,0))</f>
        <v>-0.81606296296296288</v>
      </c>
      <c r="AV3" s="26" t="s">
        <v>16</v>
      </c>
      <c r="AW3" s="11">
        <f>AW9</f>
        <v>22.994459592592591</v>
      </c>
      <c r="AX3" s="9"/>
      <c r="AY3" s="2" t="s">
        <v>44</v>
      </c>
      <c r="AZ3" s="2"/>
      <c r="BA3" s="2">
        <f>INDEX(BC11:BC1056,MATCH(0,BD11:BD1056,-1))</f>
        <v>1.7218</v>
      </c>
      <c r="BB3" s="2"/>
      <c r="BC3" s="10">
        <f>INDEX(BD11:BD1056,MATCH(BA3,BC11:BC1056,0))</f>
        <v>0.41745061728395055</v>
      </c>
      <c r="BD3" s="26" t="s">
        <v>16</v>
      </c>
      <c r="BE3" s="11">
        <f>BE9</f>
        <v>22.32111129259259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2.5753136562378427</v>
      </c>
      <c r="H4" s="2"/>
      <c r="I4" s="2">
        <f>INDEX(K11:K1000,1+MATCH(0,L11:L856,1))</f>
        <v>1.72394</v>
      </c>
      <c r="J4" s="2"/>
      <c r="K4" s="10">
        <f>INDEX(L11:L1056,MATCH(I4,K11:K1056,0))</f>
        <v>0.14637160493827162</v>
      </c>
      <c r="L4" s="25">
        <f>M3/(I6*L9)</f>
        <v>0.7458126145505386</v>
      </c>
      <c r="M4" s="8" t="s">
        <v>17</v>
      </c>
      <c r="N4" s="9"/>
      <c r="O4" s="2">
        <f>ABS(Q3-Q4)/ABS(S3-S4)*1000</f>
        <v>3.2932825136886286</v>
      </c>
      <c r="P4" s="2"/>
      <c r="Q4" s="2">
        <f>INDEX(S11:S856,1+MATCH(0,T11:T856,-1))</f>
        <v>1.72729</v>
      </c>
      <c r="R4" s="2"/>
      <c r="S4" s="10">
        <f>INDEX(T11:T856,MATCH(Q4,S11:S856,0))</f>
        <v>-0.36425185185185183</v>
      </c>
      <c r="T4" s="25">
        <f>U3/(Q6*T9)</f>
        <v>0.71886962544717836</v>
      </c>
      <c r="U4" s="8" t="s">
        <v>17</v>
      </c>
      <c r="X4" s="9"/>
      <c r="Y4" s="2">
        <f>ABS(AA3-AA4)/ABS(AC3-AC4)*1000</f>
        <v>2.8974650113214269</v>
      </c>
      <c r="Z4" s="2"/>
      <c r="AA4" s="2">
        <f>INDEX(AC11:AC1000,1+MATCH(0,AD11:AD856,1))</f>
        <v>1.71906</v>
      </c>
      <c r="AB4" s="2"/>
      <c r="AC4" s="10">
        <f>INDEX(AD11:AD1056,MATCH(AA4,AC11:AC1056,0))</f>
        <v>1.1570308641975309</v>
      </c>
      <c r="AD4" s="25">
        <f>AE3/(AA6*AD9)</f>
        <v>0.74373931808740923</v>
      </c>
      <c r="AE4" s="8" t="s">
        <v>17</v>
      </c>
      <c r="AF4" s="9"/>
      <c r="AG4" s="2">
        <f>ABS(AI3-AI4)/ABS(AK3-AK4)*1000</f>
        <v>3.6423419325492432</v>
      </c>
      <c r="AH4" s="2"/>
      <c r="AI4" s="2">
        <f>INDEX(AK11:AK856,1+MATCH(0,AL11:AL856,-1))</f>
        <v>1.72699</v>
      </c>
      <c r="AJ4" s="2"/>
      <c r="AK4" s="10">
        <f>INDEX(AL11:AL856,MATCH(AI4,AK11:AK856,0))</f>
        <v>-0.64049259259259261</v>
      </c>
      <c r="AL4" s="25">
        <f>AM3/(AI6*AL9)</f>
        <v>0.72090468301840693</v>
      </c>
      <c r="AM4" s="8" t="s">
        <v>17</v>
      </c>
      <c r="AP4" s="9"/>
      <c r="AQ4" s="2">
        <f>ABS(AS3-AS4)/ABS(AU3-AU4)*1000</f>
        <v>3.5151247830169856</v>
      </c>
      <c r="AR4" s="2"/>
      <c r="AS4" s="2">
        <f>INDEX(AU11:AU1000,1+MATCH(0,AV11:AV856,1))</f>
        <v>1.71906</v>
      </c>
      <c r="AT4" s="2"/>
      <c r="AU4" s="10">
        <f>INDEX(AV11:AV1056,MATCH(AS4,AU11:AU1056,0))</f>
        <v>0.57222345679012343</v>
      </c>
      <c r="AV4" s="25">
        <f>AW3/(AS6*AV9)</f>
        <v>0.74025804520539928</v>
      </c>
      <c r="AW4" s="8" t="s">
        <v>17</v>
      </c>
      <c r="AX4" s="9"/>
      <c r="AY4" s="2">
        <f>ABS(BA3-BA4)/ABS(BC3-BC4)*1000</f>
        <v>3.8961482724964438</v>
      </c>
      <c r="AZ4" s="2"/>
      <c r="BA4" s="2">
        <f>INDEX(BC11:BC856,1+MATCH(0,BD11:BD856,-1))</f>
        <v>1.72729</v>
      </c>
      <c r="BB4" s="2"/>
      <c r="BC4" s="10">
        <f>INDEX(BD11:BD856,MATCH(BA4,BC11:BC856,0))</f>
        <v>-0.99163333333333337</v>
      </c>
      <c r="BD4" s="25">
        <f>BE3/(BA6*BD9)</f>
        <v>0.71780534396626317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15.477283950617283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15.183456790123456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15.601604938271604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15.296419753086418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15.612962962962962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15.277654320987653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1.7243169527930831</v>
      </c>
      <c r="J6" s="25"/>
      <c r="K6" s="2">
        <f>INDEX(K11:K1056,MATCH(L6,L11:L1056,0))</f>
        <v>2.4108900000000002E-3</v>
      </c>
      <c r="L6" s="10">
        <f>INDEX(L11:L1056,MATCH(0,K11:K1056,-1))</f>
        <v>18.028024691358024</v>
      </c>
      <c r="M6" s="8" t="s">
        <v>22</v>
      </c>
      <c r="N6" s="9"/>
      <c r="O6" s="2"/>
      <c r="P6" s="2"/>
      <c r="Q6" s="27">
        <f>(Q3-Q4)/(S3-S4)*(-S4)+Q4</f>
        <v>1.7260904157457175</v>
      </c>
      <c r="R6" s="27"/>
      <c r="S6" s="2">
        <f>INDEX(S11:S1056,MATCH(T6,T11:T1056,0))</f>
        <v>-4.4860799999999999E-3</v>
      </c>
      <c r="T6" s="10">
        <f>INDEX(T11:T1056,MATCH(0,S11:S1056,1))</f>
        <v>18.069382716049383</v>
      </c>
      <c r="U6" s="8" t="s">
        <v>22</v>
      </c>
      <c r="X6" s="9"/>
      <c r="Y6" s="2"/>
      <c r="Z6" s="2"/>
      <c r="AA6" s="25">
        <f>(AA3-AA4)/(AC3-AC4)*(-AC4)+AA4</f>
        <v>1.7224124564460315</v>
      </c>
      <c r="AB6" s="25"/>
      <c r="AC6" s="2">
        <f>INDEX(AC11:AC1056,MATCH(AD6,AD11:AD1056,0))</f>
        <v>2.4444599999999999E-3</v>
      </c>
      <c r="AD6" s="10">
        <f>INDEX(AD11:AD1056,MATCH(0,AC11:AC1056,-1))</f>
        <v>18.054320987654318</v>
      </c>
      <c r="AE6" s="8" t="s">
        <v>22</v>
      </c>
      <c r="AF6" s="9"/>
      <c r="AG6" s="2"/>
      <c r="AH6" s="2"/>
      <c r="AI6" s="27">
        <f>(AI3-AI4)/(AK3-AK4)*(-AK4)+AI4</f>
        <v>1.724657106972513</v>
      </c>
      <c r="AJ6" s="27"/>
      <c r="AK6" s="2">
        <f>INDEX(AK11:AK1056,MATCH(AL6,AL11:AL1056,0))</f>
        <v>-4.57764E-3</v>
      </c>
      <c r="AL6" s="10">
        <f>INDEX(AL11:AL1056,MATCH(0,AK11:AK1056,1))</f>
        <v>18.046790123456791</v>
      </c>
      <c r="AM6" s="8" t="s">
        <v>22</v>
      </c>
      <c r="AP6" s="9"/>
      <c r="AQ6" s="2"/>
      <c r="AR6" s="2"/>
      <c r="AS6" s="25">
        <f>(AS3-AS4)/(AU3-AU4)*(-AU4)+AS4</f>
        <v>1.7210714368543867</v>
      </c>
      <c r="AT6" s="25"/>
      <c r="AU6" s="2">
        <f>INDEX(AU11:AU1056,MATCH(AV6,AV11:AV1056,0))</f>
        <v>2.2857699999999999E-3</v>
      </c>
      <c r="AV6" s="10">
        <f>INDEX(AV11:AV1056,MATCH(0,AU11:AU1056,-1))</f>
        <v>18.046790123456791</v>
      </c>
      <c r="AW6" s="8" t="s">
        <v>22</v>
      </c>
      <c r="AX6" s="9"/>
      <c r="AY6" s="2"/>
      <c r="AZ6" s="2"/>
      <c r="BA6" s="27">
        <f>(BA3-BA4)/(BC3-BC4)*(-BC4)+BA4</f>
        <v>1.7234264495013834</v>
      </c>
      <c r="BB6" s="27"/>
      <c r="BC6" s="2">
        <f>INDEX(BC11:BC1056,MATCH(BD6,BD11:BD1056,0))</f>
        <v>-3.9901699999999998E-2</v>
      </c>
      <c r="BD6" s="10">
        <f>INDEX(BD11:BD1056,MATCH(0,BC11:BC1056,1))</f>
        <v>18.058148148148145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-2.82898E-3</v>
      </c>
      <c r="L7" s="10">
        <f>INDEX(L11:L856,1+MATCH(0,K11:K856,-1))</f>
        <v>18.028024691358024</v>
      </c>
      <c r="M7" s="12">
        <f>INDEX(K11:K1056,MATCH(M9,M11:M1056,0))</f>
        <v>1.4978</v>
      </c>
      <c r="N7" s="9"/>
      <c r="O7" s="2"/>
      <c r="P7" s="2"/>
      <c r="Q7" s="2"/>
      <c r="R7" s="2"/>
      <c r="S7" s="2">
        <f>INDEX(S11:S1056,MATCH(T7,T11:T1056,0))</f>
        <v>6.2866199999999999E-4</v>
      </c>
      <c r="T7" s="10">
        <f>INDEX(T11:T1056,1+MATCH(0,S11:S1056,1))</f>
        <v>18.061851851851848</v>
      </c>
      <c r="U7" s="12">
        <f>INDEX(S11:S1056,MATCH(U9,U11:U1056,0))</f>
        <v>1.47522</v>
      </c>
      <c r="X7" s="9"/>
      <c r="Y7" s="2"/>
      <c r="Z7" s="2"/>
      <c r="AA7" s="2"/>
      <c r="AB7" s="2"/>
      <c r="AC7" s="2">
        <f>INDEX(AC11:AC856,MATCH(AD7,AD11:AD856,1))</f>
        <v>-2.7954099999999999E-3</v>
      </c>
      <c r="AD7" s="10">
        <f>INDEX(AD11:AD856,1+MATCH(0,AC11:AC856,-1))</f>
        <v>18.065679012345679</v>
      </c>
      <c r="AE7" s="12">
        <f>INDEX(AC11:AC1056,MATCH(AE9,AE11:AE1056,0))</f>
        <v>1.48224</v>
      </c>
      <c r="AF7" s="9"/>
      <c r="AG7" s="2"/>
      <c r="AH7" s="2"/>
      <c r="AI7" s="2"/>
      <c r="AJ7" s="2"/>
      <c r="AK7" s="2">
        <f>INDEX(AK11:AK1056,MATCH(AL7,AL11:AL1056,0))</f>
        <v>6.0119600000000002E-4</v>
      </c>
      <c r="AL7" s="10">
        <f>INDEX(AL11:AL1056,1+MATCH(0,AK11:AK1056,1))</f>
        <v>18.035555555555554</v>
      </c>
      <c r="AM7" s="12">
        <f>INDEX(AK11:AK1056,MATCH(AM9,AM11:AM1056,0))</f>
        <v>1.46454</v>
      </c>
      <c r="AP7" s="9"/>
      <c r="AQ7" s="2"/>
      <c r="AR7" s="2"/>
      <c r="AS7" s="2"/>
      <c r="AT7" s="2"/>
      <c r="AU7" s="2">
        <f>INDEX(AU11:AU856,MATCH(AV7,AV11:AV856,1))</f>
        <v>-2.8228799999999998E-3</v>
      </c>
      <c r="AV7" s="10">
        <f>INDEX(AV11:AV856,1+MATCH(0,AU11:AU856,-1))</f>
        <v>18.050617283950618</v>
      </c>
      <c r="AW7" s="12">
        <f>INDEX(AU11:AU1056,MATCH(AW9,AW11:AW1056,0))</f>
        <v>1.4724699999999999</v>
      </c>
      <c r="AX7" s="9"/>
      <c r="AY7" s="2"/>
      <c r="AZ7" s="2"/>
      <c r="BA7" s="2"/>
      <c r="BB7" s="2"/>
      <c r="BC7" s="2">
        <f>INDEX(BC11:BC1056,MATCH(BD7,BD11:BD1056,0))</f>
        <v>6.1950700000000004E-4</v>
      </c>
      <c r="BD7" s="10">
        <f>INDEX(BD11:BD1056,1+MATCH(0,BC11:BC1056,1))</f>
        <v>18.043086419753088</v>
      </c>
      <c r="BE7" s="12">
        <f>INDEX(BC11:BC1056,MATCH(BE9,BE11:BE1056,0))</f>
        <v>1.46027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3.3274354686327499</v>
      </c>
      <c r="J9" s="2"/>
      <c r="K9" s="2"/>
      <c r="L9" s="3">
        <f>(L6-L7)/(K6-K7)*(-K7)+L7</f>
        <v>18.028024691358024</v>
      </c>
      <c r="M9" s="15">
        <f>MAX(M11:M1056)</f>
        <v>23.184352266666664</v>
      </c>
      <c r="N9" s="9"/>
      <c r="O9" s="2"/>
      <c r="P9" s="2"/>
      <c r="Q9" s="2"/>
      <c r="R9" s="2"/>
      <c r="S9" s="2"/>
      <c r="T9" s="3">
        <f>(T6-T7)/(S6-S7)*(-S7)+T7</f>
        <v>18.062777483711315</v>
      </c>
      <c r="U9" s="15">
        <f>MAX(U11:U1056)</f>
        <v>22.412907906172837</v>
      </c>
      <c r="X9" s="9"/>
      <c r="Y9" s="2"/>
      <c r="Z9" s="2"/>
      <c r="AA9" s="14">
        <f>(MAX(AD2,AL2)-MIN(AD2,AL2))/MAX(AD2,AL2)%</f>
        <v>3.0662444309205621</v>
      </c>
      <c r="AB9" s="2"/>
      <c r="AC9" s="2"/>
      <c r="AD9" s="3">
        <f>(AD6-AD7)/(AC6-AC7)*(-AC7)+AD7</f>
        <v>18.059619637627893</v>
      </c>
      <c r="AE9" s="15">
        <f>MAX(AE11:AE1056)</f>
        <v>23.134839882716047</v>
      </c>
      <c r="AF9" s="9"/>
      <c r="AG9" s="2"/>
      <c r="AH9" s="2"/>
      <c r="AI9" s="2"/>
      <c r="AJ9" s="2"/>
      <c r="AK9" s="2"/>
      <c r="AL9" s="3">
        <f>(AL6-AL7)/(AK6-AK7)*(-AK7)+AL7</f>
        <v>18.036859743848822</v>
      </c>
      <c r="AM9" s="15">
        <f>MAX(AM11:AM1056)</f>
        <v>22.425469143209874</v>
      </c>
      <c r="AP9" s="9"/>
      <c r="AQ9" s="2"/>
      <c r="AR9" s="2"/>
      <c r="AS9" s="14">
        <f>(MAX(AV2,BD2)-MIN(AV2,BD2))/MAX(AV2,BD2)%</f>
        <v>2.9283066961787432</v>
      </c>
      <c r="AT9" s="2"/>
      <c r="AU9" s="2"/>
      <c r="AV9" s="3">
        <f>(AV6-AV7)/(AU6-AU7)*(-AU7)+AV7</f>
        <v>18.04850251491872</v>
      </c>
      <c r="AW9" s="15">
        <f>MAX(AW11:AW1056)</f>
        <v>22.994459592592591</v>
      </c>
      <c r="AX9" s="9"/>
      <c r="AY9" s="2"/>
      <c r="AZ9" s="2"/>
      <c r="BA9" s="2"/>
      <c r="BB9" s="2"/>
      <c r="BC9" s="2"/>
      <c r="BD9" s="3">
        <f>(BD6-BD7)/(BC6-BC7)*(-BC7)+BD7</f>
        <v>18.043316690440061</v>
      </c>
      <c r="BE9" s="15">
        <f>MAX(BE11:BE1056)</f>
        <v>22.32111129259259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1.7243169527930831</v>
      </c>
      <c r="B11" s="18">
        <f>IFERROR(L9,0)</f>
        <v>18.028024691358024</v>
      </c>
      <c r="C11" s="19">
        <f>IFERROR(L4,0)</f>
        <v>0.7458126145505386</v>
      </c>
      <c r="D11" s="20">
        <f>IFERROR(L2,0)</f>
        <v>23.184352266666664</v>
      </c>
      <c r="E11" s="20">
        <f>IFERROR(I9,0)</f>
        <v>3.3274354686327499</v>
      </c>
      <c r="F11" s="9"/>
      <c r="G11" s="21">
        <v>1.7849699999999999</v>
      </c>
      <c r="H11" s="21">
        <v>5.0063899999999997</v>
      </c>
      <c r="I11" s="21">
        <v>2.4661300000000001E-2</v>
      </c>
      <c r="J11" s="21">
        <v>1</v>
      </c>
      <c r="K11" s="21">
        <v>1.7843599999999999</v>
      </c>
      <c r="L11">
        <f>-I11/$F$2*1000</f>
        <v>-30.446049382716048</v>
      </c>
      <c r="M11">
        <f>L11*G11</f>
        <v>-54.345284766666659</v>
      </c>
      <c r="N11" s="9"/>
      <c r="O11" s="21">
        <v>-9.49097E-2</v>
      </c>
      <c r="P11" s="21">
        <v>8.8054400000000008</v>
      </c>
      <c r="Q11" s="21">
        <v>-1.47095E-2</v>
      </c>
      <c r="R11" s="21">
        <v>1</v>
      </c>
      <c r="S11" s="21">
        <v>-9.5367400000000005E-2</v>
      </c>
      <c r="T11">
        <f>-Q11/$F$2*1000</f>
        <v>18.159876543209876</v>
      </c>
      <c r="U11">
        <f>T11*O11</f>
        <v>-1.7235484347530863</v>
      </c>
      <c r="V11" s="22"/>
      <c r="W11" s="23"/>
      <c r="X11" s="9"/>
      <c r="Y11" s="21">
        <v>1.7849699999999999</v>
      </c>
      <c r="Z11" s="21">
        <v>14.367599999999999</v>
      </c>
      <c r="AA11" s="21">
        <v>2.4209600000000001E-2</v>
      </c>
      <c r="AB11" s="21">
        <v>1</v>
      </c>
      <c r="AC11" s="21">
        <v>1.78467</v>
      </c>
      <c r="AD11">
        <f>-AA11/$F$2*1000</f>
        <v>-29.888395061728396</v>
      </c>
      <c r="AE11">
        <f>AD11*Y11</f>
        <v>-53.349888533333335</v>
      </c>
      <c r="AF11" s="9"/>
      <c r="AG11" s="21">
        <v>-9.49097E-2</v>
      </c>
      <c r="AH11" s="21">
        <v>18.166599999999999</v>
      </c>
      <c r="AI11" s="21">
        <v>-1.46912E-2</v>
      </c>
      <c r="AJ11" s="21">
        <v>1</v>
      </c>
      <c r="AK11" s="21">
        <v>-9.5459000000000002E-2</v>
      </c>
      <c r="AL11">
        <f>-AI11/$F$2*1000</f>
        <v>18.137283950617284</v>
      </c>
      <c r="AM11">
        <f>AL11*AG11</f>
        <v>-1.7214041785679013</v>
      </c>
      <c r="AP11" s="9"/>
      <c r="AQ11" s="21">
        <v>1.7849699999999999</v>
      </c>
      <c r="AR11" s="21">
        <v>23.604800000000001</v>
      </c>
      <c r="AS11" s="21">
        <v>1.7318699999999999E-2</v>
      </c>
      <c r="AT11" s="21">
        <v>1</v>
      </c>
      <c r="AU11" s="21">
        <v>1.78467</v>
      </c>
      <c r="AV11">
        <f>-AS11/$F$2*1000</f>
        <v>-21.381111111111107</v>
      </c>
      <c r="AW11">
        <f>AV11*AQ11</f>
        <v>-38.164641899999992</v>
      </c>
      <c r="AX11" s="9"/>
      <c r="AY11" s="21">
        <v>-9.49097E-2</v>
      </c>
      <c r="AZ11" s="21">
        <v>27.4039</v>
      </c>
      <c r="BA11" s="21">
        <v>-1.46851E-2</v>
      </c>
      <c r="BB11" s="21">
        <v>1</v>
      </c>
      <c r="BC11" s="21">
        <v>-9.5397899999999994E-2</v>
      </c>
      <c r="BD11">
        <f>-BA11/$F$2*1000</f>
        <v>18.12975308641975</v>
      </c>
      <c r="BE11">
        <f>BD11*AY11</f>
        <v>-1.7206894265061725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1.7260904157457175</v>
      </c>
      <c r="B12" s="18">
        <f>IFERROR(T9,0)</f>
        <v>18.062777483711315</v>
      </c>
      <c r="C12" s="19">
        <f>IFERROR(T4,0)</f>
        <v>0.71886962544717836</v>
      </c>
      <c r="D12" s="20">
        <f>IFERROR(T2,0)</f>
        <v>22.412907906172837</v>
      </c>
      <c r="E12" s="20"/>
      <c r="F12" s="9"/>
      <c r="G12" s="21">
        <v>1.7799400000000001</v>
      </c>
      <c r="H12" s="21">
        <v>5.0164600000000004</v>
      </c>
      <c r="I12" s="21">
        <v>2.22534E-2</v>
      </c>
      <c r="J12" s="21">
        <v>2</v>
      </c>
      <c r="K12" s="21">
        <v>1.77948</v>
      </c>
      <c r="L12">
        <f t="shared" ref="L12:L75" si="0">-I12/$F$2*1000</f>
        <v>-27.473333333333333</v>
      </c>
      <c r="M12">
        <f t="shared" ref="M12:M75" si="1">L12*G12</f>
        <v>-48.900884933333337</v>
      </c>
      <c r="N12" s="9"/>
      <c r="O12" s="21">
        <v>-8.9874300000000004E-2</v>
      </c>
      <c r="P12" s="21">
        <v>8.8155099999999997</v>
      </c>
      <c r="Q12" s="21">
        <v>-1.47125E-2</v>
      </c>
      <c r="R12" s="21">
        <v>2</v>
      </c>
      <c r="S12" s="21">
        <v>-9.0240500000000001E-2</v>
      </c>
      <c r="T12">
        <f t="shared" ref="T12:T75" si="2">-Q12/$F$2*1000</f>
        <v>18.163580246913579</v>
      </c>
      <c r="U12">
        <f t="shared" ref="U12:U75" si="3">T12*O12</f>
        <v>-1.6324390601851853</v>
      </c>
      <c r="V12" s="22"/>
      <c r="W12" s="23"/>
      <c r="X12" s="9"/>
      <c r="Y12" s="21">
        <v>1.7799400000000001</v>
      </c>
      <c r="Z12" s="21">
        <v>14.377700000000001</v>
      </c>
      <c r="AA12" s="21">
        <v>2.1844499999999999E-2</v>
      </c>
      <c r="AB12" s="21">
        <v>2</v>
      </c>
      <c r="AC12" s="21">
        <v>1.7791699999999999</v>
      </c>
      <c r="AD12">
        <f t="shared" ref="AD12:AD75" si="4">-AA12/$F$2*1000</f>
        <v>-26.968518518518518</v>
      </c>
      <c r="AE12">
        <f t="shared" ref="AE12:AE75" si="5">AD12*Y12</f>
        <v>-48.002344851851852</v>
      </c>
      <c r="AF12" s="9"/>
      <c r="AG12" s="21">
        <v>-8.9874300000000004E-2</v>
      </c>
      <c r="AH12" s="21">
        <v>18.1767</v>
      </c>
      <c r="AI12" s="21">
        <v>-1.4682000000000001E-2</v>
      </c>
      <c r="AJ12" s="21">
        <v>2</v>
      </c>
      <c r="AK12" s="21">
        <v>-9.0393100000000004E-2</v>
      </c>
      <c r="AL12">
        <f t="shared" ref="AL12:AL75" si="6">-AI12/$F$2*1000</f>
        <v>18.125925925925923</v>
      </c>
      <c r="AM12">
        <f t="shared" ref="AM12:AM75" si="7">AL12*AG12</f>
        <v>-1.6290549044444442</v>
      </c>
      <c r="AP12" s="9"/>
      <c r="AQ12" s="21">
        <v>1.7799400000000001</v>
      </c>
      <c r="AR12" s="21">
        <v>23.614899999999999</v>
      </c>
      <c r="AS12" s="21">
        <v>1.57471E-2</v>
      </c>
      <c r="AT12" s="21">
        <v>2</v>
      </c>
      <c r="AU12" s="21">
        <v>1.77887</v>
      </c>
      <c r="AV12">
        <f t="shared" ref="AV12:AV75" si="8">-AS12/$F$2*1000</f>
        <v>-19.44086419753086</v>
      </c>
      <c r="AW12">
        <f t="shared" ref="AW12:AW75" si="9">AV12*AQ12</f>
        <v>-34.603571819753078</v>
      </c>
      <c r="AX12" s="9"/>
      <c r="AY12" s="21">
        <v>-8.9874300000000004E-2</v>
      </c>
      <c r="AZ12" s="21">
        <v>27.413900000000002</v>
      </c>
      <c r="BA12" s="21">
        <v>-1.4682000000000001E-2</v>
      </c>
      <c r="BB12" s="21">
        <v>2</v>
      </c>
      <c r="BC12" s="21">
        <v>-9.0545700000000007E-2</v>
      </c>
      <c r="BD12">
        <f t="shared" ref="BD12:BD75" si="10">-BA12/$F$2*1000</f>
        <v>18.125925925925923</v>
      </c>
      <c r="BE12">
        <f t="shared" ref="BE12:BE75" si="11">BD12*AY12</f>
        <v>-1.6290549044444442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1.7224124564460315</v>
      </c>
      <c r="B13" s="18">
        <f>IFERROR(AD9,0)</f>
        <v>18.059619637627893</v>
      </c>
      <c r="C13" s="19">
        <f>IFERROR(AD4,0)</f>
        <v>0.74373931808740923</v>
      </c>
      <c r="D13" s="20">
        <f>IFERROR(AD2,0)</f>
        <v>23.134839882716047</v>
      </c>
      <c r="E13" s="20">
        <f>IFERROR(AA9,0)</f>
        <v>3.0662444309205621</v>
      </c>
      <c r="F13" s="9"/>
      <c r="G13" s="21">
        <v>1.7748999999999999</v>
      </c>
      <c r="H13" s="21">
        <v>5.0265399999999998</v>
      </c>
      <c r="I13" s="21">
        <v>1.98792E-2</v>
      </c>
      <c r="J13" s="21">
        <v>3</v>
      </c>
      <c r="K13" s="21">
        <v>1.7746</v>
      </c>
      <c r="L13">
        <f t="shared" si="0"/>
        <v>-24.542222222222218</v>
      </c>
      <c r="M13">
        <f t="shared" si="1"/>
        <v>-43.559990222222211</v>
      </c>
      <c r="N13" s="9"/>
      <c r="O13" s="21">
        <v>-8.4838899999999995E-2</v>
      </c>
      <c r="P13" s="21">
        <v>8.8255800000000004</v>
      </c>
      <c r="Q13" s="21">
        <v>-1.47034E-2</v>
      </c>
      <c r="R13" s="21">
        <v>3</v>
      </c>
      <c r="S13" s="21">
        <v>-8.5357699999999995E-2</v>
      </c>
      <c r="T13">
        <f t="shared" si="2"/>
        <v>18.152345679012342</v>
      </c>
      <c r="U13">
        <f t="shared" si="3"/>
        <v>-1.54002503982716</v>
      </c>
      <c r="V13" s="22"/>
      <c r="W13" s="23"/>
      <c r="X13" s="9"/>
      <c r="Y13" s="21">
        <v>1.7748999999999999</v>
      </c>
      <c r="Z13" s="21">
        <v>14.387700000000001</v>
      </c>
      <c r="AA13" s="21">
        <v>1.95953E-2</v>
      </c>
      <c r="AB13" s="21">
        <v>3</v>
      </c>
      <c r="AC13" s="21">
        <v>1.7748999999999999</v>
      </c>
      <c r="AD13">
        <f t="shared" si="4"/>
        <v>-24.191728395061727</v>
      </c>
      <c r="AE13">
        <f t="shared" si="5"/>
        <v>-42.937898728395055</v>
      </c>
      <c r="AF13" s="9"/>
      <c r="AG13" s="21">
        <v>-8.4838899999999995E-2</v>
      </c>
      <c r="AH13" s="21">
        <v>18.186800000000002</v>
      </c>
      <c r="AI13" s="21">
        <v>-1.4682000000000001E-2</v>
      </c>
      <c r="AJ13" s="21">
        <v>3</v>
      </c>
      <c r="AK13" s="21">
        <v>-8.5266099999999997E-2</v>
      </c>
      <c r="AL13">
        <f t="shared" si="6"/>
        <v>18.125925925925923</v>
      </c>
      <c r="AM13">
        <f t="shared" si="7"/>
        <v>-1.5377836170370367</v>
      </c>
      <c r="AP13" s="9"/>
      <c r="AQ13" s="21">
        <v>1.7748999999999999</v>
      </c>
      <c r="AR13" s="21">
        <v>23.625</v>
      </c>
      <c r="AS13" s="21">
        <v>1.4245600000000001E-2</v>
      </c>
      <c r="AT13" s="21">
        <v>3</v>
      </c>
      <c r="AU13" s="21">
        <v>1.7742899999999999</v>
      </c>
      <c r="AV13">
        <f t="shared" si="8"/>
        <v>-17.58716049382716</v>
      </c>
      <c r="AW13">
        <f t="shared" si="9"/>
        <v>-31.215451160493824</v>
      </c>
      <c r="AX13" s="9"/>
      <c r="AY13" s="21">
        <v>-8.4838899999999995E-2</v>
      </c>
      <c r="AZ13" s="21">
        <v>27.423999999999999</v>
      </c>
      <c r="BA13" s="21">
        <v>-1.4672899999999999E-2</v>
      </c>
      <c r="BB13" s="21">
        <v>3</v>
      </c>
      <c r="BC13" s="21">
        <v>-8.5357699999999995E-2</v>
      </c>
      <c r="BD13">
        <f t="shared" si="10"/>
        <v>18.11469135802469</v>
      </c>
      <c r="BE13">
        <f t="shared" si="11"/>
        <v>-1.5368304886543207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1.724657106972513</v>
      </c>
      <c r="B14" s="18">
        <f>IFERROR(AL9,0)</f>
        <v>18.036859743848822</v>
      </c>
      <c r="C14" s="19">
        <f>IFERROR(AL4,0)</f>
        <v>0.72090468301840693</v>
      </c>
      <c r="D14" s="20">
        <f>IFERROR(AL2,0)</f>
        <v>22.425469143209877</v>
      </c>
      <c r="E14" s="20"/>
      <c r="F14" s="9"/>
      <c r="G14" s="21">
        <v>1.7698700000000001</v>
      </c>
      <c r="H14" s="21">
        <v>5.0366099999999996</v>
      </c>
      <c r="I14" s="21">
        <v>1.75476E-2</v>
      </c>
      <c r="J14" s="21">
        <v>4</v>
      </c>
      <c r="K14" s="21">
        <v>1.7687999999999999</v>
      </c>
      <c r="L14">
        <f t="shared" si="0"/>
        <v>-21.663703703703703</v>
      </c>
      <c r="M14">
        <f t="shared" si="1"/>
        <v>-38.341939274074072</v>
      </c>
      <c r="N14" s="9"/>
      <c r="O14" s="21">
        <v>-7.9803499999999999E-2</v>
      </c>
      <c r="P14" s="21">
        <v>8.8356499999999993</v>
      </c>
      <c r="Q14" s="21">
        <v>-1.4700299999999999E-2</v>
      </c>
      <c r="R14" s="21">
        <v>4</v>
      </c>
      <c r="S14" s="21">
        <v>-8.0261200000000005E-2</v>
      </c>
      <c r="T14">
        <f t="shared" si="2"/>
        <v>18.148518518518514</v>
      </c>
      <c r="U14">
        <f t="shared" si="3"/>
        <v>-1.4483152975925924</v>
      </c>
      <c r="V14" s="22"/>
      <c r="W14" s="23"/>
      <c r="X14" s="9"/>
      <c r="Y14" s="21">
        <v>1.7698700000000001</v>
      </c>
      <c r="Z14" s="21">
        <v>14.3978</v>
      </c>
      <c r="AA14" s="21">
        <v>1.74133E-2</v>
      </c>
      <c r="AB14" s="21">
        <v>4</v>
      </c>
      <c r="AC14" s="21">
        <v>1.7694099999999999</v>
      </c>
      <c r="AD14">
        <f t="shared" si="4"/>
        <v>-21.497901234567898</v>
      </c>
      <c r="AE14">
        <f t="shared" si="5"/>
        <v>-38.048490458024688</v>
      </c>
      <c r="AF14" s="9"/>
      <c r="AG14" s="21">
        <v>-7.9803499999999999E-2</v>
      </c>
      <c r="AH14" s="21">
        <v>18.1968</v>
      </c>
      <c r="AI14" s="21">
        <v>-1.46851E-2</v>
      </c>
      <c r="AJ14" s="21">
        <v>4</v>
      </c>
      <c r="AK14" s="21">
        <v>-8.0261200000000005E-2</v>
      </c>
      <c r="AL14">
        <f t="shared" si="6"/>
        <v>18.12975308641975</v>
      </c>
      <c r="AM14">
        <f t="shared" si="7"/>
        <v>-1.4468177504320985</v>
      </c>
      <c r="AP14" s="9"/>
      <c r="AQ14" s="21">
        <v>1.7698700000000001</v>
      </c>
      <c r="AR14" s="21">
        <v>23.635000000000002</v>
      </c>
      <c r="AS14" s="21">
        <v>1.27625E-2</v>
      </c>
      <c r="AT14" s="21">
        <v>4</v>
      </c>
      <c r="AU14" s="21">
        <v>1.7694099999999999</v>
      </c>
      <c r="AV14">
        <f t="shared" si="8"/>
        <v>-15.756172839506172</v>
      </c>
      <c r="AW14">
        <f t="shared" si="9"/>
        <v>-27.886377623456791</v>
      </c>
      <c r="AX14" s="9"/>
      <c r="AY14" s="21">
        <v>-7.9803499999999999E-2</v>
      </c>
      <c r="AZ14" s="21">
        <v>27.434100000000001</v>
      </c>
      <c r="BA14" s="21">
        <v>-1.46576E-2</v>
      </c>
      <c r="BB14" s="21">
        <v>4</v>
      </c>
      <c r="BC14" s="21">
        <v>-8.0352800000000002E-2</v>
      </c>
      <c r="BD14">
        <f t="shared" si="10"/>
        <v>18.095802469135801</v>
      </c>
      <c r="BE14">
        <f t="shared" si="11"/>
        <v>-1.4441083723456789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1.7210714368543867</v>
      </c>
      <c r="B15" s="18">
        <f>IFERROR(AV9,0)</f>
        <v>18.04850251491872</v>
      </c>
      <c r="C15" s="19">
        <f>IFERROR(AV4,0)</f>
        <v>0.74025804520539928</v>
      </c>
      <c r="D15" s="20">
        <f>IFERROR(AV2,0)</f>
        <v>22.994459592592591</v>
      </c>
      <c r="E15" s="20">
        <f>IFERROR(AS9,0)</f>
        <v>2.9283066961787432</v>
      </c>
      <c r="F15" s="9"/>
      <c r="G15" s="21">
        <v>1.7648299999999999</v>
      </c>
      <c r="H15" s="21">
        <v>5.0466800000000003</v>
      </c>
      <c r="I15" s="21">
        <v>1.52893E-2</v>
      </c>
      <c r="J15" s="21">
        <v>5</v>
      </c>
      <c r="K15" s="21">
        <v>1.7645299999999999</v>
      </c>
      <c r="L15">
        <f t="shared" si="0"/>
        <v>-18.875679012345678</v>
      </c>
      <c r="M15">
        <f t="shared" si="1"/>
        <v>-33.312364591358019</v>
      </c>
      <c r="N15" s="9"/>
      <c r="O15" s="21">
        <v>-7.4768100000000004E-2</v>
      </c>
      <c r="P15" s="21">
        <v>8.8457299999999996</v>
      </c>
      <c r="Q15" s="21">
        <v>-1.4694199999999999E-2</v>
      </c>
      <c r="R15" s="21">
        <v>5</v>
      </c>
      <c r="S15" s="21">
        <v>-7.5225799999999995E-2</v>
      </c>
      <c r="T15">
        <f t="shared" si="2"/>
        <v>18.140987654320988</v>
      </c>
      <c r="U15">
        <f t="shared" si="3"/>
        <v>-1.3563671790370371</v>
      </c>
      <c r="V15" s="22"/>
      <c r="W15" s="23"/>
      <c r="X15" s="9"/>
      <c r="Y15" s="21">
        <v>1.7648299999999999</v>
      </c>
      <c r="Z15" s="21">
        <v>14.4079</v>
      </c>
      <c r="AA15" s="21">
        <v>1.5273999999999999E-2</v>
      </c>
      <c r="AB15" s="21">
        <v>5</v>
      </c>
      <c r="AC15" s="21">
        <v>1.7642199999999999</v>
      </c>
      <c r="AD15">
        <f t="shared" si="4"/>
        <v>-18.85679012345679</v>
      </c>
      <c r="AE15">
        <f t="shared" si="5"/>
        <v>-33.279028913580241</v>
      </c>
      <c r="AF15" s="9"/>
      <c r="AG15" s="21">
        <v>-7.4768100000000004E-2</v>
      </c>
      <c r="AH15" s="21">
        <v>18.206900000000001</v>
      </c>
      <c r="AI15" s="21">
        <v>-1.4688100000000001E-2</v>
      </c>
      <c r="AJ15" s="21">
        <v>5</v>
      </c>
      <c r="AK15" s="21">
        <v>-7.5195300000000007E-2</v>
      </c>
      <c r="AL15">
        <f t="shared" si="6"/>
        <v>18.133456790123457</v>
      </c>
      <c r="AM15">
        <f t="shared" si="7"/>
        <v>-1.3558041106296297</v>
      </c>
      <c r="AP15" s="9"/>
      <c r="AQ15" s="21">
        <v>1.7648299999999999</v>
      </c>
      <c r="AR15" s="21">
        <v>23.645099999999999</v>
      </c>
      <c r="AS15" s="21">
        <v>1.1322E-2</v>
      </c>
      <c r="AT15" s="21">
        <v>5</v>
      </c>
      <c r="AU15" s="21">
        <v>1.7645299999999999</v>
      </c>
      <c r="AV15">
        <f t="shared" si="8"/>
        <v>-13.977777777777778</v>
      </c>
      <c r="AW15">
        <f t="shared" si="9"/>
        <v>-24.668401555555555</v>
      </c>
      <c r="AX15" s="9"/>
      <c r="AY15" s="21">
        <v>-7.4768100000000004E-2</v>
      </c>
      <c r="AZ15" s="21">
        <v>27.444099999999999</v>
      </c>
      <c r="BA15" s="21">
        <v>-1.4645399999999999E-2</v>
      </c>
      <c r="BB15" s="21">
        <v>5</v>
      </c>
      <c r="BC15" s="21">
        <v>-7.5256299999999998E-2</v>
      </c>
      <c r="BD15">
        <f t="shared" si="10"/>
        <v>18.080740740740737</v>
      </c>
      <c r="BE15">
        <f t="shared" si="11"/>
        <v>-1.3518626317777775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1.7234264495013834</v>
      </c>
      <c r="B16" s="18">
        <f>IFERROR(BD9,0)</f>
        <v>18.043316690440061</v>
      </c>
      <c r="C16" s="19">
        <f>IFERROR(BD4,0)</f>
        <v>0.71780534396626317</v>
      </c>
      <c r="D16" s="20">
        <f>IFERROR(BD2,0)</f>
        <v>22.321111292592587</v>
      </c>
      <c r="E16" s="20"/>
      <c r="F16" s="9"/>
      <c r="G16" s="21">
        <v>1.7598</v>
      </c>
      <c r="H16" s="21">
        <v>5.0567500000000001</v>
      </c>
      <c r="I16" s="21">
        <v>1.3085899999999999E-2</v>
      </c>
      <c r="J16" s="21">
        <v>6</v>
      </c>
      <c r="K16" s="21">
        <v>1.7593399999999999</v>
      </c>
      <c r="L16">
        <f t="shared" si="0"/>
        <v>-16.155432098765431</v>
      </c>
      <c r="M16">
        <f t="shared" si="1"/>
        <v>-28.430329407407406</v>
      </c>
      <c r="N16" s="9"/>
      <c r="O16" s="21">
        <v>-6.9732699999999995E-2</v>
      </c>
      <c r="P16" s="21">
        <v>8.8558000000000003</v>
      </c>
      <c r="Q16" s="21">
        <v>-1.46973E-2</v>
      </c>
      <c r="R16" s="21">
        <v>6</v>
      </c>
      <c r="S16" s="21">
        <v>-7.0220900000000003E-2</v>
      </c>
      <c r="T16">
        <f t="shared" si="2"/>
        <v>18.144814814814815</v>
      </c>
      <c r="U16">
        <f t="shared" si="3"/>
        <v>-1.2652869280370369</v>
      </c>
      <c r="V16" s="22"/>
      <c r="W16" s="23"/>
      <c r="X16" s="9"/>
      <c r="Y16" s="21">
        <v>1.7598</v>
      </c>
      <c r="Z16" s="21">
        <v>14.417899999999999</v>
      </c>
      <c r="AA16" s="21">
        <v>1.3159199999999999E-2</v>
      </c>
      <c r="AB16" s="21">
        <v>6</v>
      </c>
      <c r="AC16" s="21">
        <v>1.7593399999999999</v>
      </c>
      <c r="AD16">
        <f t="shared" si="4"/>
        <v>-16.245925925925924</v>
      </c>
      <c r="AE16">
        <f t="shared" si="5"/>
        <v>-28.58958044444444</v>
      </c>
      <c r="AF16" s="9"/>
      <c r="AG16" s="21">
        <v>-6.9732699999999995E-2</v>
      </c>
      <c r="AH16" s="21">
        <v>18.216999999999999</v>
      </c>
      <c r="AI16" s="21">
        <v>-1.4688100000000001E-2</v>
      </c>
      <c r="AJ16" s="21">
        <v>6</v>
      </c>
      <c r="AK16" s="21">
        <v>-7.0220900000000003E-2</v>
      </c>
      <c r="AL16">
        <f t="shared" si="6"/>
        <v>18.133456790123457</v>
      </c>
      <c r="AM16">
        <f t="shared" si="7"/>
        <v>-1.2644949023086418</v>
      </c>
      <c r="AP16" s="9"/>
      <c r="AQ16" s="21">
        <v>1.7598</v>
      </c>
      <c r="AR16" s="21">
        <v>23.655200000000001</v>
      </c>
      <c r="AS16" s="21">
        <v>9.8968500000000004E-3</v>
      </c>
      <c r="AT16" s="21">
        <v>6</v>
      </c>
      <c r="AU16" s="21">
        <v>1.7590300000000001</v>
      </c>
      <c r="AV16">
        <f t="shared" si="8"/>
        <v>-12.218333333333332</v>
      </c>
      <c r="AW16">
        <f t="shared" si="9"/>
        <v>-21.501822999999998</v>
      </c>
      <c r="AX16" s="9"/>
      <c r="AY16" s="21">
        <v>-6.9732699999999995E-2</v>
      </c>
      <c r="AZ16" s="21">
        <v>27.4542</v>
      </c>
      <c r="BA16" s="21">
        <v>-1.4633200000000001E-2</v>
      </c>
      <c r="BB16" s="21">
        <v>6</v>
      </c>
      <c r="BC16" s="21">
        <v>-7.0220900000000003E-2</v>
      </c>
      <c r="BD16">
        <f t="shared" si="10"/>
        <v>18.065679012345679</v>
      </c>
      <c r="BE16">
        <f t="shared" si="11"/>
        <v>-1.2597685748641974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5.0668199999999999</v>
      </c>
      <c r="I17" s="21">
        <v>1.09436E-2</v>
      </c>
      <c r="J17" s="21">
        <v>7</v>
      </c>
      <c r="K17" s="21">
        <v>1.7538499999999999</v>
      </c>
      <c r="L17">
        <f t="shared" si="0"/>
        <v>-13.510617283950616</v>
      </c>
      <c r="M17">
        <f t="shared" si="1"/>
        <v>-23.707890785185185</v>
      </c>
      <c r="N17" s="9"/>
      <c r="O17" s="21">
        <v>-6.4697299999999999E-2</v>
      </c>
      <c r="P17" s="21">
        <v>8.8658699999999993</v>
      </c>
      <c r="Q17" s="21">
        <v>-1.4688100000000001E-2</v>
      </c>
      <c r="R17" s="21">
        <v>7</v>
      </c>
      <c r="S17" s="21">
        <v>-6.5246600000000002E-2</v>
      </c>
      <c r="T17">
        <f t="shared" si="2"/>
        <v>18.133456790123457</v>
      </c>
      <c r="U17">
        <f t="shared" si="3"/>
        <v>-1.1731856939876544</v>
      </c>
      <c r="V17" s="22"/>
      <c r="W17" s="23"/>
      <c r="X17" s="9"/>
      <c r="Y17" s="21">
        <v>1.7547600000000001</v>
      </c>
      <c r="Z17" s="21">
        <v>14.428000000000001</v>
      </c>
      <c r="AA17" s="21">
        <v>1.11206E-2</v>
      </c>
      <c r="AB17" s="21">
        <v>7</v>
      </c>
      <c r="AC17" s="21">
        <v>1.7538499999999999</v>
      </c>
      <c r="AD17">
        <f t="shared" si="4"/>
        <v>-13.729135802469134</v>
      </c>
      <c r="AE17">
        <f t="shared" si="5"/>
        <v>-24.091338340740741</v>
      </c>
      <c r="AF17" s="9"/>
      <c r="AG17" s="21">
        <v>-6.4697299999999999E-2</v>
      </c>
      <c r="AH17" s="21">
        <v>18.2271</v>
      </c>
      <c r="AI17" s="21">
        <v>-1.4688100000000001E-2</v>
      </c>
      <c r="AJ17" s="21">
        <v>7</v>
      </c>
      <c r="AK17" s="21">
        <v>-6.5155000000000005E-2</v>
      </c>
      <c r="AL17">
        <f t="shared" si="6"/>
        <v>18.133456790123457</v>
      </c>
      <c r="AM17">
        <f t="shared" si="7"/>
        <v>-1.1731856939876544</v>
      </c>
      <c r="AP17" s="9"/>
      <c r="AQ17" s="21">
        <v>1.7547600000000001</v>
      </c>
      <c r="AR17" s="21">
        <v>23.665199999999999</v>
      </c>
      <c r="AS17" s="21">
        <v>8.4930400000000003E-3</v>
      </c>
      <c r="AT17" s="21">
        <v>7</v>
      </c>
      <c r="AU17" s="21">
        <v>1.7538499999999999</v>
      </c>
      <c r="AV17">
        <f t="shared" si="8"/>
        <v>-10.485234567901234</v>
      </c>
      <c r="AW17">
        <f t="shared" si="9"/>
        <v>-18.399070210370368</v>
      </c>
      <c r="AX17" s="9"/>
      <c r="AY17" s="21">
        <v>-6.4697299999999999E-2</v>
      </c>
      <c r="AZ17" s="21">
        <v>27.464300000000001</v>
      </c>
      <c r="BA17" s="21">
        <v>-1.46179E-2</v>
      </c>
      <c r="BB17" s="21">
        <v>7</v>
      </c>
      <c r="BC17" s="21">
        <v>-6.5155000000000005E-2</v>
      </c>
      <c r="BD17">
        <f t="shared" si="10"/>
        <v>18.046790123456791</v>
      </c>
      <c r="BE17">
        <f t="shared" si="11"/>
        <v>-1.1675785946543211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5.0768899999999997</v>
      </c>
      <c r="I18" s="21">
        <v>8.8684100000000002E-3</v>
      </c>
      <c r="J18" s="21">
        <v>8</v>
      </c>
      <c r="K18" s="21">
        <v>1.7495700000000001</v>
      </c>
      <c r="L18">
        <f t="shared" si="0"/>
        <v>-10.948654320987654</v>
      </c>
      <c r="M18">
        <f t="shared" si="1"/>
        <v>-19.157188925061728</v>
      </c>
      <c r="N18" s="9"/>
      <c r="O18" s="21">
        <v>-5.9661899999999997E-2</v>
      </c>
      <c r="P18" s="21">
        <v>8.8759399999999999</v>
      </c>
      <c r="Q18" s="21">
        <v>-1.46851E-2</v>
      </c>
      <c r="R18" s="21">
        <v>8</v>
      </c>
      <c r="S18" s="21">
        <v>-6.0333299999999999E-2</v>
      </c>
      <c r="T18">
        <f t="shared" si="2"/>
        <v>18.12975308641975</v>
      </c>
      <c r="U18">
        <f t="shared" si="3"/>
        <v>-1.0816555156666665</v>
      </c>
      <c r="V18" s="22"/>
      <c r="W18" s="23"/>
      <c r="X18" s="9"/>
      <c r="Y18" s="21">
        <v>1.74973</v>
      </c>
      <c r="Z18" s="21">
        <v>14.4381</v>
      </c>
      <c r="AA18" s="21">
        <v>9.1339100000000003E-3</v>
      </c>
      <c r="AB18" s="21">
        <v>8</v>
      </c>
      <c r="AC18" s="21">
        <v>1.7489600000000001</v>
      </c>
      <c r="AD18">
        <f t="shared" si="4"/>
        <v>-11.276432098765431</v>
      </c>
      <c r="AE18">
        <f t="shared" si="5"/>
        <v>-19.730711536172837</v>
      </c>
      <c r="AF18" s="9"/>
      <c r="AG18" s="21">
        <v>-5.9661899999999997E-2</v>
      </c>
      <c r="AH18" s="21">
        <v>18.237100000000002</v>
      </c>
      <c r="AI18" s="21">
        <v>-1.4688100000000001E-2</v>
      </c>
      <c r="AJ18" s="21">
        <v>8</v>
      </c>
      <c r="AK18" s="21">
        <v>-6.0150099999999998E-2</v>
      </c>
      <c r="AL18">
        <f t="shared" si="6"/>
        <v>18.133456790123457</v>
      </c>
      <c r="AM18">
        <f t="shared" si="7"/>
        <v>-1.0818764856666667</v>
      </c>
      <c r="AP18" s="9"/>
      <c r="AQ18" s="21">
        <v>1.74973</v>
      </c>
      <c r="AR18" s="21">
        <v>23.6753</v>
      </c>
      <c r="AS18" s="21">
        <v>7.0983900000000004E-3</v>
      </c>
      <c r="AT18" s="21">
        <v>8</v>
      </c>
      <c r="AU18" s="21">
        <v>1.7489600000000001</v>
      </c>
      <c r="AV18">
        <f t="shared" si="8"/>
        <v>-8.7634444444444455</v>
      </c>
      <c r="AW18">
        <f t="shared" si="9"/>
        <v>-15.333661647777779</v>
      </c>
      <c r="AX18" s="9"/>
      <c r="AY18" s="21">
        <v>-5.9661899999999997E-2</v>
      </c>
      <c r="AZ18" s="21">
        <v>27.474399999999999</v>
      </c>
      <c r="BA18" s="21">
        <v>-1.46179E-2</v>
      </c>
      <c r="BB18" s="21">
        <v>8</v>
      </c>
      <c r="BC18" s="21">
        <v>-6.0150099999999998E-2</v>
      </c>
      <c r="BD18">
        <f t="shared" si="10"/>
        <v>18.046790123456791</v>
      </c>
      <c r="BE18">
        <f t="shared" si="11"/>
        <v>-1.0767057876666666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5.0869600000000004</v>
      </c>
      <c r="I19" s="21">
        <v>6.8450899999999999E-3</v>
      </c>
      <c r="J19" s="21">
        <v>9</v>
      </c>
      <c r="K19" s="21">
        <v>1.74438</v>
      </c>
      <c r="L19">
        <f t="shared" si="0"/>
        <v>-8.4507283950617271</v>
      </c>
      <c r="M19">
        <f t="shared" si="1"/>
        <v>-14.743901323580245</v>
      </c>
      <c r="N19" s="9"/>
      <c r="O19" s="21">
        <v>-5.4626500000000001E-2</v>
      </c>
      <c r="P19" s="21">
        <v>8.8860100000000006</v>
      </c>
      <c r="Q19" s="21">
        <v>-1.4688100000000001E-2</v>
      </c>
      <c r="R19" s="21">
        <v>9</v>
      </c>
      <c r="S19" s="21">
        <v>-5.5114700000000003E-2</v>
      </c>
      <c r="T19">
        <f t="shared" si="2"/>
        <v>18.133456790123457</v>
      </c>
      <c r="U19">
        <f t="shared" si="3"/>
        <v>-0.99056727734567906</v>
      </c>
      <c r="V19" s="22"/>
      <c r="W19" s="23"/>
      <c r="X19" s="9"/>
      <c r="Y19" s="21">
        <v>1.7446900000000001</v>
      </c>
      <c r="Z19" s="21">
        <v>14.4481</v>
      </c>
      <c r="AA19" s="21">
        <v>7.2174099999999996E-3</v>
      </c>
      <c r="AB19" s="21">
        <v>9</v>
      </c>
      <c r="AC19" s="21">
        <v>1.7440800000000001</v>
      </c>
      <c r="AD19">
        <f t="shared" si="4"/>
        <v>-8.91038271604938</v>
      </c>
      <c r="AE19">
        <f t="shared" si="5"/>
        <v>-15.545855620864193</v>
      </c>
      <c r="AF19" s="9"/>
      <c r="AG19" s="21">
        <v>-5.4626500000000001E-2</v>
      </c>
      <c r="AH19" s="21">
        <v>18.247199999999999</v>
      </c>
      <c r="AI19" s="21">
        <v>-1.46759E-2</v>
      </c>
      <c r="AJ19" s="21">
        <v>9</v>
      </c>
      <c r="AK19" s="21">
        <v>-5.50842E-2</v>
      </c>
      <c r="AL19">
        <f t="shared" si="6"/>
        <v>18.118395061728396</v>
      </c>
      <c r="AM19">
        <f t="shared" si="7"/>
        <v>-0.98974450783950629</v>
      </c>
      <c r="AP19" s="9"/>
      <c r="AQ19" s="21">
        <v>1.7446900000000001</v>
      </c>
      <c r="AR19" s="21">
        <v>23.685400000000001</v>
      </c>
      <c r="AS19" s="21">
        <v>5.7220500000000002E-3</v>
      </c>
      <c r="AT19" s="21">
        <v>9</v>
      </c>
      <c r="AU19" s="21">
        <v>1.74377</v>
      </c>
      <c r="AV19">
        <f t="shared" si="8"/>
        <v>-7.0642592592592592</v>
      </c>
      <c r="AW19">
        <f t="shared" si="9"/>
        <v>-12.324942487037038</v>
      </c>
      <c r="AX19" s="9"/>
      <c r="AY19" s="21">
        <v>-5.4626500000000001E-2</v>
      </c>
      <c r="AZ19" s="21">
        <v>27.484400000000001</v>
      </c>
      <c r="BA19" s="21">
        <v>-1.4621E-2</v>
      </c>
      <c r="BB19" s="21">
        <v>9</v>
      </c>
      <c r="BC19" s="21">
        <v>-5.50842E-2</v>
      </c>
      <c r="BD19">
        <f t="shared" si="10"/>
        <v>18.050617283950618</v>
      </c>
      <c r="BE19">
        <f t="shared" si="11"/>
        <v>-0.98604204506172843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5.0970300000000002</v>
      </c>
      <c r="I20" s="21">
        <v>4.92889E-3</v>
      </c>
      <c r="J20" s="21">
        <v>10</v>
      </c>
      <c r="K20" s="21">
        <v>1.7395</v>
      </c>
      <c r="L20">
        <f t="shared" si="0"/>
        <v>-6.0850493827160497</v>
      </c>
      <c r="M20">
        <f t="shared" si="1"/>
        <v>-10.585856158641976</v>
      </c>
      <c r="N20" s="9"/>
      <c r="O20" s="21">
        <v>-4.9591099999999999E-2</v>
      </c>
      <c r="P20" s="21">
        <v>8.8960799999999995</v>
      </c>
      <c r="Q20" s="21">
        <v>-1.4682000000000001E-2</v>
      </c>
      <c r="R20" s="21">
        <v>10</v>
      </c>
      <c r="S20" s="21">
        <v>-5.00793E-2</v>
      </c>
      <c r="T20">
        <f t="shared" si="2"/>
        <v>18.125925925925923</v>
      </c>
      <c r="U20">
        <f t="shared" si="3"/>
        <v>-0.89888460518518498</v>
      </c>
      <c r="V20" s="22"/>
      <c r="W20" s="23"/>
      <c r="X20" s="9"/>
      <c r="Y20" s="21">
        <v>1.7396499999999999</v>
      </c>
      <c r="Z20" s="21">
        <v>14.4582</v>
      </c>
      <c r="AA20" s="21">
        <v>5.3680400000000001E-3</v>
      </c>
      <c r="AB20" s="21">
        <v>10</v>
      </c>
      <c r="AC20" s="21">
        <v>1.73889</v>
      </c>
      <c r="AD20">
        <f t="shared" si="4"/>
        <v>-6.6272098765432101</v>
      </c>
      <c r="AE20">
        <f t="shared" si="5"/>
        <v>-11.529025661728395</v>
      </c>
      <c r="AF20" s="9"/>
      <c r="AG20" s="21">
        <v>-4.9591099999999999E-2</v>
      </c>
      <c r="AH20" s="21">
        <v>18.257300000000001</v>
      </c>
      <c r="AI20" s="21">
        <v>-1.4672899999999999E-2</v>
      </c>
      <c r="AJ20" s="21">
        <v>10</v>
      </c>
      <c r="AK20" s="21">
        <v>-5.0109899999999999E-2</v>
      </c>
      <c r="AL20">
        <f t="shared" si="6"/>
        <v>18.11469135802469</v>
      </c>
      <c r="AM20">
        <f t="shared" si="7"/>
        <v>-0.89832747060493812</v>
      </c>
      <c r="AP20" s="9"/>
      <c r="AQ20" s="21">
        <v>1.7396499999999999</v>
      </c>
      <c r="AR20" s="21">
        <v>23.695499999999999</v>
      </c>
      <c r="AS20" s="21">
        <v>4.3945299999999998E-3</v>
      </c>
      <c r="AT20" s="21">
        <v>10</v>
      </c>
      <c r="AU20" s="21">
        <v>1.7395</v>
      </c>
      <c r="AV20">
        <f t="shared" si="8"/>
        <v>-5.4253456790123451</v>
      </c>
      <c r="AW20">
        <f t="shared" si="9"/>
        <v>-9.4382026104938266</v>
      </c>
      <c r="AX20" s="9"/>
      <c r="AY20" s="21">
        <v>-4.9591099999999999E-2</v>
      </c>
      <c r="AZ20" s="21">
        <v>27.494499999999999</v>
      </c>
      <c r="BA20" s="21">
        <v>-1.4624E-2</v>
      </c>
      <c r="BB20" s="21">
        <v>10</v>
      </c>
      <c r="BC20" s="21">
        <v>-5.00793E-2</v>
      </c>
      <c r="BD20">
        <f t="shared" si="10"/>
        <v>18.054320987654318</v>
      </c>
      <c r="BE20">
        <f t="shared" si="11"/>
        <v>-0.89533363753086403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5.1071</v>
      </c>
      <c r="I21" s="21">
        <v>3.1167600000000001E-3</v>
      </c>
      <c r="J21" s="21">
        <v>11</v>
      </c>
      <c r="K21" s="21">
        <v>1.7337</v>
      </c>
      <c r="L21">
        <f t="shared" si="0"/>
        <v>-3.8478518518518521</v>
      </c>
      <c r="M21">
        <f t="shared" si="1"/>
        <v>-6.6745607792592603</v>
      </c>
      <c r="N21" s="9"/>
      <c r="O21" s="21">
        <v>-4.4555699999999997E-2</v>
      </c>
      <c r="P21" s="21">
        <v>8.9061500000000002</v>
      </c>
      <c r="Q21" s="21">
        <v>-1.4682000000000001E-2</v>
      </c>
      <c r="R21" s="21">
        <v>11</v>
      </c>
      <c r="S21" s="21">
        <v>-4.4873000000000003E-2</v>
      </c>
      <c r="T21">
        <f t="shared" si="2"/>
        <v>18.125925925925923</v>
      </c>
      <c r="U21">
        <f t="shared" si="3"/>
        <v>-0.80761331777777756</v>
      </c>
      <c r="V21" s="22"/>
      <c r="W21" s="23"/>
      <c r="X21" s="9"/>
      <c r="Y21" s="21">
        <v>1.7346200000000001</v>
      </c>
      <c r="Z21" s="21">
        <v>14.468299999999999</v>
      </c>
      <c r="AA21" s="21">
        <v>3.6142000000000001E-3</v>
      </c>
      <c r="AB21" s="21">
        <v>11</v>
      </c>
      <c r="AC21" s="21">
        <v>1.7346200000000001</v>
      </c>
      <c r="AD21">
        <f t="shared" si="4"/>
        <v>-4.4619753086419749</v>
      </c>
      <c r="AE21">
        <f t="shared" si="5"/>
        <v>-7.7398316098765427</v>
      </c>
      <c r="AF21" s="9"/>
      <c r="AG21" s="21">
        <v>-4.4555699999999997E-2</v>
      </c>
      <c r="AH21" s="21">
        <v>18.267299999999999</v>
      </c>
      <c r="AI21" s="21">
        <v>-1.46667E-2</v>
      </c>
      <c r="AJ21" s="21">
        <v>11</v>
      </c>
      <c r="AK21" s="21">
        <v>-4.4860799999999999E-2</v>
      </c>
      <c r="AL21">
        <f t="shared" si="6"/>
        <v>18.107037037037035</v>
      </c>
      <c r="AM21">
        <f t="shared" si="7"/>
        <v>-0.80677171011111093</v>
      </c>
      <c r="AP21" s="9"/>
      <c r="AQ21" s="21">
        <v>1.7346200000000001</v>
      </c>
      <c r="AR21" s="21">
        <v>23.705500000000001</v>
      </c>
      <c r="AS21" s="21">
        <v>3.1045500000000002E-3</v>
      </c>
      <c r="AT21" s="21">
        <v>11</v>
      </c>
      <c r="AU21" s="21">
        <v>1.7340100000000001</v>
      </c>
      <c r="AV21">
        <f t="shared" si="8"/>
        <v>-3.8327777777777778</v>
      </c>
      <c r="AW21">
        <f t="shared" si="9"/>
        <v>-6.6484129888888894</v>
      </c>
      <c r="AX21" s="9"/>
      <c r="AY21" s="21">
        <v>-4.4555699999999997E-2</v>
      </c>
      <c r="AZ21" s="21">
        <v>27.5046</v>
      </c>
      <c r="BA21" s="21">
        <v>-1.46301E-2</v>
      </c>
      <c r="BB21" s="21">
        <v>11</v>
      </c>
      <c r="BC21" s="21">
        <v>-4.4863899999999998E-2</v>
      </c>
      <c r="BD21">
        <f t="shared" si="10"/>
        <v>18.061851851851848</v>
      </c>
      <c r="BE21">
        <f t="shared" si="11"/>
        <v>-0.80475845255555534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5.1171699999999998</v>
      </c>
      <c r="I22" s="21">
        <v>1.41632E-3</v>
      </c>
      <c r="J22" s="21">
        <v>12</v>
      </c>
      <c r="K22" s="21">
        <v>1.72882</v>
      </c>
      <c r="L22">
        <f t="shared" si="0"/>
        <v>-1.748543209876543</v>
      </c>
      <c r="M22">
        <f t="shared" si="1"/>
        <v>-3.0242453649382712</v>
      </c>
      <c r="N22" s="9"/>
      <c r="O22" s="21">
        <v>-3.9520300000000001E-2</v>
      </c>
      <c r="P22" s="21">
        <v>8.9162199999999991</v>
      </c>
      <c r="Q22" s="21">
        <v>-1.4672899999999999E-2</v>
      </c>
      <c r="R22" s="21">
        <v>12</v>
      </c>
      <c r="S22" s="21">
        <v>-3.98407E-2</v>
      </c>
      <c r="T22">
        <f t="shared" si="2"/>
        <v>18.11469135802469</v>
      </c>
      <c r="U22">
        <f t="shared" si="3"/>
        <v>-0.71589803687654319</v>
      </c>
      <c r="V22" s="22"/>
      <c r="W22" s="23"/>
      <c r="X22" s="9"/>
      <c r="Y22" s="21">
        <v>1.7295799999999999</v>
      </c>
      <c r="Z22" s="21">
        <v>14.478400000000001</v>
      </c>
      <c r="AA22" s="21">
        <v>1.9555699999999998E-3</v>
      </c>
      <c r="AB22" s="21">
        <v>12</v>
      </c>
      <c r="AC22" s="21">
        <v>1.72882</v>
      </c>
      <c r="AD22">
        <f t="shared" si="4"/>
        <v>-2.4142839506172833</v>
      </c>
      <c r="AE22">
        <f t="shared" si="5"/>
        <v>-4.1756972353086406</v>
      </c>
      <c r="AF22" s="9"/>
      <c r="AG22" s="21">
        <v>-3.9520300000000001E-2</v>
      </c>
      <c r="AH22" s="21">
        <v>18.2774</v>
      </c>
      <c r="AI22" s="21">
        <v>-1.46637E-2</v>
      </c>
      <c r="AJ22" s="21">
        <v>12</v>
      </c>
      <c r="AK22" s="21">
        <v>-3.9822400000000001E-2</v>
      </c>
      <c r="AL22">
        <f t="shared" si="6"/>
        <v>18.103333333333332</v>
      </c>
      <c r="AM22">
        <f t="shared" si="7"/>
        <v>-0.71544916433333328</v>
      </c>
      <c r="AP22" s="9"/>
      <c r="AQ22" s="21">
        <v>1.7295799999999999</v>
      </c>
      <c r="AR22" s="21">
        <v>23.715599999999998</v>
      </c>
      <c r="AS22" s="21">
        <v>1.85272E-3</v>
      </c>
      <c r="AT22" s="21">
        <v>12</v>
      </c>
      <c r="AU22" s="21">
        <v>1.72882</v>
      </c>
      <c r="AV22">
        <f t="shared" si="8"/>
        <v>-2.2873086419753084</v>
      </c>
      <c r="AW22">
        <f t="shared" si="9"/>
        <v>-3.9560832809876536</v>
      </c>
      <c r="AX22" s="9"/>
      <c r="AY22" s="21">
        <v>-3.9520300000000001E-2</v>
      </c>
      <c r="AZ22" s="21">
        <v>27.514600000000002</v>
      </c>
      <c r="BA22" s="21">
        <v>-1.4627100000000001E-2</v>
      </c>
      <c r="BB22" s="21">
        <v>12</v>
      </c>
      <c r="BC22" s="21">
        <v>-3.9901699999999998E-2</v>
      </c>
      <c r="BD22">
        <f t="shared" si="10"/>
        <v>18.058148148148145</v>
      </c>
      <c r="BE22">
        <f t="shared" si="11"/>
        <v>-0.71366343225925921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5.1272500000000001</v>
      </c>
      <c r="I23" s="21">
        <v>-1.1856100000000001E-4</v>
      </c>
      <c r="J23" s="21">
        <v>13</v>
      </c>
      <c r="K23" s="21">
        <v>1.72394</v>
      </c>
      <c r="L23">
        <f t="shared" si="0"/>
        <v>0.14637160493827162</v>
      </c>
      <c r="M23">
        <f t="shared" si="1"/>
        <v>0.25242515129629634</v>
      </c>
      <c r="N23" s="9"/>
      <c r="O23" s="21">
        <v>-3.4484899999999999E-2</v>
      </c>
      <c r="P23" s="21">
        <v>8.9262899999999998</v>
      </c>
      <c r="Q23" s="21">
        <v>-1.46667E-2</v>
      </c>
      <c r="R23" s="21">
        <v>13</v>
      </c>
      <c r="S23" s="21">
        <v>-3.47839E-2</v>
      </c>
      <c r="T23">
        <f t="shared" si="2"/>
        <v>18.107037037037035</v>
      </c>
      <c r="U23">
        <f t="shared" si="3"/>
        <v>-0.6244193615185184</v>
      </c>
      <c r="V23" s="22"/>
      <c r="W23" s="23"/>
      <c r="X23" s="9"/>
      <c r="Y23" s="21">
        <v>1.72455</v>
      </c>
      <c r="Z23" s="21">
        <v>14.4884</v>
      </c>
      <c r="AA23" s="21">
        <v>4.2703199999999999E-4</v>
      </c>
      <c r="AB23" s="21">
        <v>13</v>
      </c>
      <c r="AC23" s="21">
        <v>1.72394</v>
      </c>
      <c r="AD23">
        <f t="shared" si="4"/>
        <v>-0.52719999999999989</v>
      </c>
      <c r="AE23">
        <f t="shared" si="5"/>
        <v>-0.90918275999999987</v>
      </c>
      <c r="AF23" s="9"/>
      <c r="AG23" s="21">
        <v>-3.4484899999999999E-2</v>
      </c>
      <c r="AH23" s="21">
        <v>18.287500000000001</v>
      </c>
      <c r="AI23" s="21">
        <v>-1.4654500000000001E-2</v>
      </c>
      <c r="AJ23" s="21">
        <v>13</v>
      </c>
      <c r="AK23" s="21">
        <v>-3.4774800000000002E-2</v>
      </c>
      <c r="AL23">
        <f t="shared" si="6"/>
        <v>18.091975308641977</v>
      </c>
      <c r="AM23">
        <f t="shared" si="7"/>
        <v>-0.62389995932098774</v>
      </c>
      <c r="AP23" s="9"/>
      <c r="AQ23" s="21">
        <v>1.72455</v>
      </c>
      <c r="AR23" s="21">
        <v>23.7257</v>
      </c>
      <c r="AS23" s="21">
        <v>6.6101099999999998E-4</v>
      </c>
      <c r="AT23" s="21">
        <v>13</v>
      </c>
      <c r="AU23" s="21">
        <v>1.72394</v>
      </c>
      <c r="AV23">
        <f t="shared" si="8"/>
        <v>-0.81606296296296288</v>
      </c>
      <c r="AW23">
        <f t="shared" si="9"/>
        <v>-1.4073413827777776</v>
      </c>
      <c r="AX23" s="9"/>
      <c r="AY23" s="21">
        <v>-3.4484899999999999E-2</v>
      </c>
      <c r="AZ23" s="21">
        <v>27.524699999999999</v>
      </c>
      <c r="BA23" s="21">
        <v>-1.4627100000000001E-2</v>
      </c>
      <c r="BB23" s="21">
        <v>13</v>
      </c>
      <c r="BC23" s="21">
        <v>-3.4726E-2</v>
      </c>
      <c r="BD23">
        <f t="shared" si="10"/>
        <v>18.058148148148145</v>
      </c>
      <c r="BE23">
        <f t="shared" si="11"/>
        <v>-0.62273343307407392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5.1373199999999999</v>
      </c>
      <c r="I24" s="21">
        <v>-1.4712499999999999E-3</v>
      </c>
      <c r="J24" s="21">
        <v>14</v>
      </c>
      <c r="K24" s="21">
        <v>1.71875</v>
      </c>
      <c r="L24">
        <f t="shared" si="0"/>
        <v>1.8163580246913578</v>
      </c>
      <c r="M24">
        <f t="shared" si="1"/>
        <v>3.1232457870370367</v>
      </c>
      <c r="N24" s="9"/>
      <c r="O24" s="21">
        <v>-2.94495E-2</v>
      </c>
      <c r="P24" s="21">
        <v>8.9363600000000005</v>
      </c>
      <c r="Q24" s="21">
        <v>-1.46667E-2</v>
      </c>
      <c r="R24" s="21">
        <v>14</v>
      </c>
      <c r="S24" s="21">
        <v>-2.9714999999999998E-2</v>
      </c>
      <c r="T24">
        <f t="shared" si="2"/>
        <v>18.107037037037035</v>
      </c>
      <c r="U24">
        <f t="shared" si="3"/>
        <v>-0.53324318722222219</v>
      </c>
      <c r="V24" s="22"/>
      <c r="W24" s="23"/>
      <c r="X24" s="9"/>
      <c r="Y24" s="21">
        <v>1.7195100000000001</v>
      </c>
      <c r="Z24" s="21">
        <v>14.4985</v>
      </c>
      <c r="AA24" s="21">
        <v>-9.3719500000000004E-4</v>
      </c>
      <c r="AB24" s="21">
        <v>14</v>
      </c>
      <c r="AC24" s="21">
        <v>1.71906</v>
      </c>
      <c r="AD24">
        <f t="shared" si="4"/>
        <v>1.1570308641975309</v>
      </c>
      <c r="AE24">
        <f t="shared" si="5"/>
        <v>1.9895261412962963</v>
      </c>
      <c r="AF24" s="9"/>
      <c r="AG24" s="21">
        <v>-2.94495E-2</v>
      </c>
      <c r="AH24" s="21">
        <v>18.297599999999999</v>
      </c>
      <c r="AI24" s="21">
        <v>-1.4648400000000001E-2</v>
      </c>
      <c r="AJ24" s="21">
        <v>14</v>
      </c>
      <c r="AK24" s="21">
        <v>-2.9748500000000001E-2</v>
      </c>
      <c r="AL24">
        <f t="shared" si="6"/>
        <v>18.084444444444443</v>
      </c>
      <c r="AM24">
        <f t="shared" si="7"/>
        <v>-0.53257784666666663</v>
      </c>
      <c r="AP24" s="9"/>
      <c r="AQ24" s="21">
        <v>1.7195100000000001</v>
      </c>
      <c r="AR24" s="21">
        <v>23.735700000000001</v>
      </c>
      <c r="AS24" s="21">
        <v>-4.6350100000000001E-4</v>
      </c>
      <c r="AT24" s="21">
        <v>14</v>
      </c>
      <c r="AU24" s="21">
        <v>1.71906</v>
      </c>
      <c r="AV24">
        <f t="shared" si="8"/>
        <v>0.57222345679012343</v>
      </c>
      <c r="AW24">
        <f t="shared" si="9"/>
        <v>0.98394395618518515</v>
      </c>
      <c r="AX24" s="9"/>
      <c r="AY24" s="21">
        <v>-2.94495E-2</v>
      </c>
      <c r="AZ24" s="21">
        <v>27.534800000000001</v>
      </c>
      <c r="BA24" s="21">
        <v>-1.46362E-2</v>
      </c>
      <c r="BB24" s="21">
        <v>14</v>
      </c>
      <c r="BC24" s="21">
        <v>-2.97363E-2</v>
      </c>
      <c r="BD24">
        <f t="shared" si="10"/>
        <v>18.069382716049383</v>
      </c>
      <c r="BE24">
        <f t="shared" si="11"/>
        <v>-0.53213428629629633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5.1473899999999997</v>
      </c>
      <c r="I25" s="21">
        <v>-2.6889000000000001E-3</v>
      </c>
      <c r="J25" s="21">
        <v>15</v>
      </c>
      <c r="K25" s="21">
        <v>1.71387</v>
      </c>
      <c r="L25">
        <f t="shared" si="0"/>
        <v>3.3196296296296293</v>
      </c>
      <c r="M25">
        <f t="shared" si="1"/>
        <v>5.6914386074074068</v>
      </c>
      <c r="N25" s="9"/>
      <c r="O25" s="21">
        <v>-2.4414100000000001E-2</v>
      </c>
      <c r="P25" s="21">
        <v>8.9464400000000008</v>
      </c>
      <c r="Q25" s="21">
        <v>-1.46576E-2</v>
      </c>
      <c r="R25" s="21">
        <v>15</v>
      </c>
      <c r="S25" s="21">
        <v>-2.46521E-2</v>
      </c>
      <c r="T25">
        <f t="shared" si="2"/>
        <v>18.095802469135801</v>
      </c>
      <c r="U25">
        <f t="shared" si="3"/>
        <v>-0.44179273106172839</v>
      </c>
      <c r="V25" s="22"/>
      <c r="W25" s="23"/>
      <c r="X25" s="9"/>
      <c r="Y25" s="21">
        <v>1.71448</v>
      </c>
      <c r="Z25" s="21">
        <v>14.508599999999999</v>
      </c>
      <c r="AA25" s="21">
        <v>-2.1707200000000001E-3</v>
      </c>
      <c r="AB25" s="21">
        <v>15</v>
      </c>
      <c r="AC25" s="21">
        <v>1.71356</v>
      </c>
      <c r="AD25">
        <f t="shared" si="4"/>
        <v>2.6799012345679012</v>
      </c>
      <c r="AE25">
        <f t="shared" si="5"/>
        <v>4.5946370686419753</v>
      </c>
      <c r="AF25" s="9"/>
      <c r="AG25" s="21">
        <v>-2.4414100000000001E-2</v>
      </c>
      <c r="AH25" s="21">
        <v>18.307600000000001</v>
      </c>
      <c r="AI25" s="21">
        <v>-1.4645399999999999E-2</v>
      </c>
      <c r="AJ25" s="21">
        <v>15</v>
      </c>
      <c r="AK25" s="21">
        <v>-2.4777199999999999E-2</v>
      </c>
      <c r="AL25">
        <f t="shared" si="6"/>
        <v>18.080740740740737</v>
      </c>
      <c r="AM25">
        <f t="shared" si="7"/>
        <v>-0.44142501251851846</v>
      </c>
      <c r="AP25" s="9"/>
      <c r="AQ25" s="21">
        <v>1.71448</v>
      </c>
      <c r="AR25" s="21">
        <v>23.745799999999999</v>
      </c>
      <c r="AS25" s="21">
        <v>-1.50208E-3</v>
      </c>
      <c r="AT25" s="21">
        <v>15</v>
      </c>
      <c r="AU25" s="21">
        <v>1.71356</v>
      </c>
      <c r="AV25">
        <f t="shared" si="8"/>
        <v>1.8544197530864197</v>
      </c>
      <c r="AW25">
        <f t="shared" si="9"/>
        <v>3.179365578271605</v>
      </c>
      <c r="AX25" s="9"/>
      <c r="AY25" s="21">
        <v>-2.4414100000000001E-2</v>
      </c>
      <c r="AZ25" s="21">
        <v>27.544899999999998</v>
      </c>
      <c r="BA25" s="21">
        <v>-1.46362E-2</v>
      </c>
      <c r="BB25" s="21">
        <v>15</v>
      </c>
      <c r="BC25" s="21">
        <v>-2.46094E-2</v>
      </c>
      <c r="BD25">
        <f t="shared" si="10"/>
        <v>18.069382716049383</v>
      </c>
      <c r="BE25">
        <f t="shared" si="11"/>
        <v>-0.44114771656790125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5.1574600000000004</v>
      </c>
      <c r="I26" s="21">
        <v>-3.72894E-3</v>
      </c>
      <c r="J26" s="21">
        <v>16</v>
      </c>
      <c r="K26" s="21">
        <v>1.7089799999999999</v>
      </c>
      <c r="L26">
        <f t="shared" si="0"/>
        <v>4.6036296296296291</v>
      </c>
      <c r="M26">
        <f t="shared" si="1"/>
        <v>7.8696286340740738</v>
      </c>
      <c r="N26" s="9"/>
      <c r="O26" s="21">
        <v>-1.9378699999999999E-2</v>
      </c>
      <c r="P26" s="21">
        <v>8.9565099999999997</v>
      </c>
      <c r="Q26" s="21">
        <v>-1.4660599999999999E-2</v>
      </c>
      <c r="R26" s="21">
        <v>16</v>
      </c>
      <c r="S26" s="21">
        <v>-1.9653299999999999E-2</v>
      </c>
      <c r="T26">
        <f t="shared" si="2"/>
        <v>18.099506172839504</v>
      </c>
      <c r="U26">
        <f t="shared" si="3"/>
        <v>-0.35074490027160488</v>
      </c>
      <c r="V26" s="22"/>
      <c r="W26" s="23"/>
      <c r="X26" s="9"/>
      <c r="Y26" s="21">
        <v>1.7094400000000001</v>
      </c>
      <c r="Z26" s="21">
        <v>14.518599999999999</v>
      </c>
      <c r="AA26" s="21">
        <v>-3.2272300000000002E-3</v>
      </c>
      <c r="AB26" s="21">
        <v>16</v>
      </c>
      <c r="AC26" s="21">
        <v>1.7089799999999999</v>
      </c>
      <c r="AD26">
        <f t="shared" si="4"/>
        <v>3.9842345679012343</v>
      </c>
      <c r="AE26">
        <f t="shared" si="5"/>
        <v>6.8108099397530859</v>
      </c>
      <c r="AF26" s="9"/>
      <c r="AG26" s="21">
        <v>-1.9378699999999999E-2</v>
      </c>
      <c r="AH26" s="21">
        <v>18.317699999999999</v>
      </c>
      <c r="AI26" s="21">
        <v>-1.4639299999999999E-2</v>
      </c>
      <c r="AJ26" s="21">
        <v>16</v>
      </c>
      <c r="AK26" s="21">
        <v>-1.9656400000000001E-2</v>
      </c>
      <c r="AL26">
        <f t="shared" si="6"/>
        <v>18.07320987654321</v>
      </c>
      <c r="AM26">
        <f t="shared" si="7"/>
        <v>-0.35023531223456789</v>
      </c>
      <c r="AP26" s="9"/>
      <c r="AQ26" s="21">
        <v>1.7094400000000001</v>
      </c>
      <c r="AR26" s="21">
        <v>23.7559</v>
      </c>
      <c r="AS26" s="21">
        <v>-2.45422E-3</v>
      </c>
      <c r="AT26" s="21">
        <v>16</v>
      </c>
      <c r="AU26" s="21">
        <v>1.70868</v>
      </c>
      <c r="AV26">
        <f t="shared" si="8"/>
        <v>3.0299012345679008</v>
      </c>
      <c r="AW26">
        <f t="shared" si="9"/>
        <v>5.1794343664197529</v>
      </c>
      <c r="AX26" s="9"/>
      <c r="AY26" s="21">
        <v>-1.9378699999999999E-2</v>
      </c>
      <c r="AZ26" s="21">
        <v>27.5549</v>
      </c>
      <c r="BA26" s="21">
        <v>-1.4639299999999999E-2</v>
      </c>
      <c r="BB26" s="21">
        <v>16</v>
      </c>
      <c r="BC26" s="21">
        <v>-1.9534300000000001E-2</v>
      </c>
      <c r="BD26">
        <f t="shared" si="10"/>
        <v>18.07320987654321</v>
      </c>
      <c r="BE26">
        <f t="shared" si="11"/>
        <v>-0.35023531223456789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5.1675300000000002</v>
      </c>
      <c r="I27" s="21">
        <v>-4.6191399999999999E-3</v>
      </c>
      <c r="J27" s="21">
        <v>17</v>
      </c>
      <c r="K27" s="21">
        <v>1.70319</v>
      </c>
      <c r="L27">
        <f t="shared" si="0"/>
        <v>5.7026419753086417</v>
      </c>
      <c r="M27">
        <f t="shared" si="1"/>
        <v>9.7196400091358015</v>
      </c>
      <c r="N27" s="9"/>
      <c r="O27" s="21">
        <v>-1.43433E-2</v>
      </c>
      <c r="P27" s="21">
        <v>8.9665800000000004</v>
      </c>
      <c r="Q27" s="21">
        <v>-1.46515E-2</v>
      </c>
      <c r="R27" s="21">
        <v>17</v>
      </c>
      <c r="S27" s="21">
        <v>-1.46027E-2</v>
      </c>
      <c r="T27">
        <f t="shared" si="2"/>
        <v>18.088271604938271</v>
      </c>
      <c r="U27">
        <f t="shared" si="3"/>
        <v>-0.25944550611111111</v>
      </c>
      <c r="X27" s="9"/>
      <c r="Y27" s="21">
        <v>1.70441</v>
      </c>
      <c r="Z27" s="21">
        <v>14.528700000000001</v>
      </c>
      <c r="AA27" s="21">
        <v>-4.1339100000000002E-3</v>
      </c>
      <c r="AB27" s="21">
        <v>17</v>
      </c>
      <c r="AC27" s="21">
        <v>1.7034899999999999</v>
      </c>
      <c r="AD27">
        <f t="shared" si="4"/>
        <v>5.1035925925925927</v>
      </c>
      <c r="AE27">
        <f t="shared" si="5"/>
        <v>8.6986142507407411</v>
      </c>
      <c r="AF27" s="9"/>
      <c r="AG27" s="21">
        <v>-1.43433E-2</v>
      </c>
      <c r="AH27" s="21">
        <v>18.3278</v>
      </c>
      <c r="AI27" s="21">
        <v>-1.4633200000000001E-2</v>
      </c>
      <c r="AJ27" s="21">
        <v>17</v>
      </c>
      <c r="AK27" s="21">
        <v>-1.45386E-2</v>
      </c>
      <c r="AL27">
        <f t="shared" si="6"/>
        <v>18.065679012345679</v>
      </c>
      <c r="AM27">
        <f t="shared" si="7"/>
        <v>-0.25912145377777779</v>
      </c>
      <c r="AP27" s="9"/>
      <c r="AQ27" s="21">
        <v>1.70441</v>
      </c>
      <c r="AR27" s="21">
        <v>23.765899999999998</v>
      </c>
      <c r="AS27" s="21">
        <v>-3.3120699999999999E-3</v>
      </c>
      <c r="AT27" s="21">
        <v>17</v>
      </c>
      <c r="AU27" s="21">
        <v>1.7038</v>
      </c>
      <c r="AV27">
        <f t="shared" si="8"/>
        <v>4.0889753086419747</v>
      </c>
      <c r="AW27">
        <f t="shared" si="9"/>
        <v>6.9692904058024681</v>
      </c>
      <c r="AX27" s="9"/>
      <c r="AY27" s="21">
        <v>-1.43433E-2</v>
      </c>
      <c r="AZ27" s="21">
        <v>27.565000000000001</v>
      </c>
      <c r="BA27" s="21">
        <v>-1.46362E-2</v>
      </c>
      <c r="BB27" s="21">
        <v>17</v>
      </c>
      <c r="BC27" s="21">
        <v>-1.45538E-2</v>
      </c>
      <c r="BD27">
        <f t="shared" si="10"/>
        <v>18.069382716049383</v>
      </c>
      <c r="BE27">
        <f t="shared" si="11"/>
        <v>-0.25917457711111108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5.1776</v>
      </c>
      <c r="I28" s="21">
        <v>-5.3741500000000003E-3</v>
      </c>
      <c r="J28" s="21">
        <v>18</v>
      </c>
      <c r="K28" s="21">
        <v>1.6982999999999999</v>
      </c>
      <c r="L28">
        <f t="shared" si="0"/>
        <v>6.634753086419753</v>
      </c>
      <c r="M28">
        <f t="shared" si="1"/>
        <v>11.274900352469135</v>
      </c>
      <c r="N28" s="9"/>
      <c r="O28" s="21">
        <v>-9.3078599999999994E-3</v>
      </c>
      <c r="P28" s="21">
        <v>8.9766499999999994</v>
      </c>
      <c r="Q28" s="21">
        <v>-1.4645399999999999E-2</v>
      </c>
      <c r="R28" s="21">
        <v>18</v>
      </c>
      <c r="S28" s="21">
        <v>-9.4329800000000005E-3</v>
      </c>
      <c r="T28">
        <f t="shared" si="2"/>
        <v>18.080740740740737</v>
      </c>
      <c r="U28">
        <f t="shared" si="3"/>
        <v>-0.16829300351111107</v>
      </c>
      <c r="X28" s="9"/>
      <c r="Y28" s="21">
        <v>1.69937</v>
      </c>
      <c r="Z28" s="21">
        <v>14.5388</v>
      </c>
      <c r="AA28" s="21">
        <v>-4.93591E-3</v>
      </c>
      <c r="AB28" s="21">
        <v>18</v>
      </c>
      <c r="AC28" s="21">
        <v>1.6989099999999999</v>
      </c>
      <c r="AD28">
        <f t="shared" si="4"/>
        <v>6.0937160493827154</v>
      </c>
      <c r="AE28">
        <f t="shared" si="5"/>
        <v>10.355478242839505</v>
      </c>
      <c r="AF28" s="9"/>
      <c r="AG28" s="21">
        <v>-9.3078599999999994E-3</v>
      </c>
      <c r="AH28" s="21">
        <v>18.337800000000001</v>
      </c>
      <c r="AI28" s="21">
        <v>-1.4627100000000001E-2</v>
      </c>
      <c r="AJ28" s="21">
        <v>18</v>
      </c>
      <c r="AK28" s="21">
        <v>-9.5275900000000007E-3</v>
      </c>
      <c r="AL28">
        <f t="shared" si="6"/>
        <v>18.058148148148145</v>
      </c>
      <c r="AM28">
        <f t="shared" si="7"/>
        <v>-0.16808271482222217</v>
      </c>
      <c r="AP28" s="9"/>
      <c r="AQ28" s="21">
        <v>1.69937</v>
      </c>
      <c r="AR28" s="21">
        <v>23.776</v>
      </c>
      <c r="AS28" s="21">
        <v>-4.0975999999999999E-3</v>
      </c>
      <c r="AT28" s="21">
        <v>18</v>
      </c>
      <c r="AU28" s="21">
        <v>1.69861</v>
      </c>
      <c r="AV28">
        <f t="shared" si="8"/>
        <v>5.0587654320987649</v>
      </c>
      <c r="AW28">
        <f t="shared" si="9"/>
        <v>8.5967142123456792</v>
      </c>
      <c r="AX28" s="9"/>
      <c r="AY28" s="21">
        <v>-9.3078599999999994E-3</v>
      </c>
      <c r="AZ28" s="21">
        <v>27.575099999999999</v>
      </c>
      <c r="BA28" s="21">
        <v>-1.46301E-2</v>
      </c>
      <c r="BB28" s="21">
        <v>18</v>
      </c>
      <c r="BC28" s="21">
        <v>-9.5275900000000007E-3</v>
      </c>
      <c r="BD28">
        <f t="shared" si="10"/>
        <v>18.061851851851848</v>
      </c>
      <c r="BE28">
        <f t="shared" si="11"/>
        <v>-0.16811718837777773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5.1876699999999998</v>
      </c>
      <c r="I29" s="21">
        <v>-6.0394300000000001E-3</v>
      </c>
      <c r="J29" s="21">
        <v>19</v>
      </c>
      <c r="K29" s="21">
        <v>1.69373</v>
      </c>
      <c r="L29">
        <f t="shared" si="0"/>
        <v>7.4560864197530865</v>
      </c>
      <c r="M29">
        <f t="shared" si="1"/>
        <v>12.633145464444445</v>
      </c>
      <c r="N29" s="9"/>
      <c r="O29" s="21">
        <v>-4.2724599999999996E-3</v>
      </c>
      <c r="P29" s="21">
        <v>8.98672</v>
      </c>
      <c r="Q29" s="21">
        <v>-1.46362E-2</v>
      </c>
      <c r="R29" s="21">
        <v>19</v>
      </c>
      <c r="S29" s="21">
        <v>-4.4860799999999999E-3</v>
      </c>
      <c r="T29">
        <f t="shared" si="2"/>
        <v>18.069382716049383</v>
      </c>
      <c r="U29">
        <f t="shared" si="3"/>
        <v>-7.7200714879012339E-2</v>
      </c>
      <c r="X29" s="9"/>
      <c r="Y29" s="21">
        <v>1.69434</v>
      </c>
      <c r="Z29" s="21">
        <v>14.5489</v>
      </c>
      <c r="AA29" s="21">
        <v>-5.62744E-3</v>
      </c>
      <c r="AB29" s="21">
        <v>19</v>
      </c>
      <c r="AC29" s="21">
        <v>1.6940299999999999</v>
      </c>
      <c r="AD29">
        <f t="shared" si="4"/>
        <v>6.9474567901234563</v>
      </c>
      <c r="AE29">
        <f t="shared" si="5"/>
        <v>11.771353937777777</v>
      </c>
      <c r="AF29" s="9"/>
      <c r="AG29" s="21">
        <v>-4.2724599999999996E-3</v>
      </c>
      <c r="AH29" s="21">
        <v>18.347899999999999</v>
      </c>
      <c r="AI29" s="21">
        <v>-1.46179E-2</v>
      </c>
      <c r="AJ29" s="21">
        <v>19</v>
      </c>
      <c r="AK29" s="21">
        <v>-4.57764E-3</v>
      </c>
      <c r="AL29">
        <f t="shared" si="6"/>
        <v>18.046790123456791</v>
      </c>
      <c r="AM29">
        <f t="shared" si="7"/>
        <v>-7.7104188930864195E-2</v>
      </c>
      <c r="AP29" s="9"/>
      <c r="AQ29" s="21">
        <v>1.69434</v>
      </c>
      <c r="AR29" s="21">
        <v>23.786100000000001</v>
      </c>
      <c r="AS29" s="21">
        <v>-4.7994999999999999E-3</v>
      </c>
      <c r="AT29" s="21">
        <v>19</v>
      </c>
      <c r="AU29" s="21">
        <v>1.6934199999999999</v>
      </c>
      <c r="AV29">
        <f t="shared" si="8"/>
        <v>5.9253086419753078</v>
      </c>
      <c r="AW29">
        <f t="shared" si="9"/>
        <v>10.039487444444443</v>
      </c>
      <c r="AX29" s="9"/>
      <c r="AY29" s="21">
        <v>-4.2724599999999996E-3</v>
      </c>
      <c r="AZ29" s="21">
        <v>27.585100000000001</v>
      </c>
      <c r="BA29" s="21">
        <v>-1.4627100000000001E-2</v>
      </c>
      <c r="BB29" s="21">
        <v>19</v>
      </c>
      <c r="BC29" s="21">
        <v>-4.5318600000000004E-3</v>
      </c>
      <c r="BD29">
        <f t="shared" si="10"/>
        <v>18.058148148148145</v>
      </c>
      <c r="BE29">
        <f t="shared" si="11"/>
        <v>-7.7152715637037017E-2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5.1977399999999996</v>
      </c>
      <c r="I30" s="21">
        <v>-6.61621E-3</v>
      </c>
      <c r="J30" s="21">
        <v>20</v>
      </c>
      <c r="K30" s="21">
        <v>1.6885399999999999</v>
      </c>
      <c r="L30">
        <f t="shared" si="0"/>
        <v>8.1681604938271608</v>
      </c>
      <c r="M30">
        <f t="shared" si="1"/>
        <v>13.798473522222222</v>
      </c>
      <c r="N30" s="9"/>
      <c r="O30" s="21">
        <v>7.6293900000000002E-4</v>
      </c>
      <c r="P30" s="21">
        <v>8.9967900000000007</v>
      </c>
      <c r="Q30" s="21">
        <v>-1.46301E-2</v>
      </c>
      <c r="R30" s="21">
        <v>20</v>
      </c>
      <c r="S30" s="21">
        <v>6.2866199999999999E-4</v>
      </c>
      <c r="T30">
        <f t="shared" si="2"/>
        <v>18.061851851851848</v>
      </c>
      <c r="U30">
        <f t="shared" si="3"/>
        <v>1.3780091189999998E-2</v>
      </c>
      <c r="X30" s="9"/>
      <c r="Y30" s="21">
        <v>1.6893</v>
      </c>
      <c r="Z30" s="21">
        <v>14.5589</v>
      </c>
      <c r="AA30" s="21">
        <v>-6.23779E-3</v>
      </c>
      <c r="AB30" s="21">
        <v>20</v>
      </c>
      <c r="AC30" s="21">
        <v>1.6885399999999999</v>
      </c>
      <c r="AD30">
        <f t="shared" si="4"/>
        <v>7.7009753086419748</v>
      </c>
      <c r="AE30">
        <f t="shared" si="5"/>
        <v>13.009257588888888</v>
      </c>
      <c r="AF30" s="9"/>
      <c r="AG30" s="21">
        <v>7.6293900000000002E-4</v>
      </c>
      <c r="AH30" s="21">
        <v>18.358000000000001</v>
      </c>
      <c r="AI30" s="21">
        <v>-1.46088E-2</v>
      </c>
      <c r="AJ30" s="21">
        <v>20</v>
      </c>
      <c r="AK30" s="21">
        <v>6.0119600000000002E-4</v>
      </c>
      <c r="AL30">
        <f t="shared" si="6"/>
        <v>18.035555555555554</v>
      </c>
      <c r="AM30">
        <f t="shared" si="7"/>
        <v>1.3760028719999999E-2</v>
      </c>
      <c r="AP30" s="9"/>
      <c r="AQ30" s="21">
        <v>1.6893</v>
      </c>
      <c r="AR30" s="21">
        <v>23.796199999999999</v>
      </c>
      <c r="AS30" s="21">
        <v>-5.4260300000000001E-3</v>
      </c>
      <c r="AT30" s="21">
        <v>20</v>
      </c>
      <c r="AU30" s="21">
        <v>1.6879299999999999</v>
      </c>
      <c r="AV30">
        <f t="shared" si="8"/>
        <v>6.6988024691358028</v>
      </c>
      <c r="AW30">
        <f t="shared" si="9"/>
        <v>11.316287011111111</v>
      </c>
      <c r="AX30" s="9"/>
      <c r="AY30" s="21">
        <v>7.6293900000000002E-4</v>
      </c>
      <c r="AZ30" s="21">
        <v>27.595199999999998</v>
      </c>
      <c r="BA30" s="21">
        <v>-1.46149E-2</v>
      </c>
      <c r="BB30" s="21">
        <v>20</v>
      </c>
      <c r="BC30" s="21">
        <v>6.1950700000000004E-4</v>
      </c>
      <c r="BD30">
        <f t="shared" si="10"/>
        <v>18.043086419753088</v>
      </c>
      <c r="BE30">
        <f t="shared" si="11"/>
        <v>1.3765774310000001E-2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5.2078100000000003</v>
      </c>
      <c r="I31" s="21">
        <v>-7.1167000000000001E-3</v>
      </c>
      <c r="J31" s="21">
        <v>21</v>
      </c>
      <c r="K31" s="21">
        <v>1.6836500000000001</v>
      </c>
      <c r="L31">
        <f t="shared" si="0"/>
        <v>8.7860493827160493</v>
      </c>
      <c r="M31">
        <f t="shared" si="1"/>
        <v>14.798079393827161</v>
      </c>
      <c r="N31" s="9"/>
      <c r="O31" s="21">
        <v>5.7983399999999999E-3</v>
      </c>
      <c r="P31" s="21">
        <v>9.0068599999999996</v>
      </c>
      <c r="Q31" s="21">
        <v>-1.4624E-2</v>
      </c>
      <c r="R31" s="21">
        <v>21</v>
      </c>
      <c r="S31" s="21">
        <v>5.56946E-3</v>
      </c>
      <c r="T31">
        <f t="shared" si="2"/>
        <v>18.054320987654318</v>
      </c>
      <c r="U31">
        <f t="shared" si="3"/>
        <v>0.10468509155555554</v>
      </c>
      <c r="X31" s="9"/>
      <c r="Y31" s="21">
        <v>1.6842699999999999</v>
      </c>
      <c r="Z31" s="21">
        <v>14.569000000000001</v>
      </c>
      <c r="AA31" s="21">
        <v>-6.7688000000000002E-3</v>
      </c>
      <c r="AB31" s="21">
        <v>21</v>
      </c>
      <c r="AC31" s="21">
        <v>1.6836500000000001</v>
      </c>
      <c r="AD31">
        <f t="shared" si="4"/>
        <v>8.3565432098765431</v>
      </c>
      <c r="AE31">
        <f t="shared" si="5"/>
        <v>14.074675032098765</v>
      </c>
      <c r="AF31" s="9"/>
      <c r="AG31" s="21">
        <v>5.7983399999999999E-3</v>
      </c>
      <c r="AH31" s="21">
        <v>18.367999999999999</v>
      </c>
      <c r="AI31" s="21">
        <v>-1.46027E-2</v>
      </c>
      <c r="AJ31" s="21">
        <v>21</v>
      </c>
      <c r="AK31" s="21">
        <v>5.6304900000000001E-3</v>
      </c>
      <c r="AL31">
        <f t="shared" si="6"/>
        <v>18.028024691358024</v>
      </c>
      <c r="AM31">
        <f t="shared" si="7"/>
        <v>0.10453261668888889</v>
      </c>
      <c r="AP31" s="9"/>
      <c r="AQ31" s="21">
        <v>1.6842699999999999</v>
      </c>
      <c r="AR31" s="21">
        <v>23.8062</v>
      </c>
      <c r="AS31" s="21">
        <v>-5.9783900000000001E-3</v>
      </c>
      <c r="AT31" s="21">
        <v>21</v>
      </c>
      <c r="AU31" s="21">
        <v>1.6833499999999999</v>
      </c>
      <c r="AV31">
        <f t="shared" si="8"/>
        <v>7.3807283950617277</v>
      </c>
      <c r="AW31">
        <f t="shared" si="9"/>
        <v>12.431139413950616</v>
      </c>
      <c r="AX31" s="9"/>
      <c r="AY31" s="21">
        <v>5.7983399999999999E-3</v>
      </c>
      <c r="AZ31" s="21">
        <v>27.6053</v>
      </c>
      <c r="BA31" s="21">
        <v>-1.46027E-2</v>
      </c>
      <c r="BB31" s="21">
        <v>21</v>
      </c>
      <c r="BC31" s="21">
        <v>5.6152299999999997E-3</v>
      </c>
      <c r="BD31">
        <f t="shared" si="10"/>
        <v>18.028024691358024</v>
      </c>
      <c r="BE31">
        <f t="shared" si="11"/>
        <v>0.10453261668888889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5.2178800000000001</v>
      </c>
      <c r="I32" s="21">
        <v>-7.5622600000000003E-3</v>
      </c>
      <c r="J32" s="21">
        <v>22</v>
      </c>
      <c r="K32" s="21">
        <v>1.6784699999999999</v>
      </c>
      <c r="L32">
        <f t="shared" si="0"/>
        <v>9.3361234567901228</v>
      </c>
      <c r="M32">
        <f t="shared" si="1"/>
        <v>15.677498592345678</v>
      </c>
      <c r="N32" s="9"/>
      <c r="O32" s="21">
        <v>1.08337E-2</v>
      </c>
      <c r="P32" s="21">
        <v>9.0169300000000003</v>
      </c>
      <c r="Q32" s="21">
        <v>-1.46179E-2</v>
      </c>
      <c r="R32" s="21">
        <v>22</v>
      </c>
      <c r="S32" s="21">
        <v>1.0632300000000001E-2</v>
      </c>
      <c r="T32">
        <f t="shared" si="2"/>
        <v>18.046790123456791</v>
      </c>
      <c r="U32">
        <f t="shared" si="3"/>
        <v>0.19551351016049384</v>
      </c>
      <c r="X32" s="9"/>
      <c r="Y32" s="21">
        <v>1.67923</v>
      </c>
      <c r="Z32" s="21">
        <v>14.5791</v>
      </c>
      <c r="AA32" s="21">
        <v>-7.2448699999999996E-3</v>
      </c>
      <c r="AB32" s="21">
        <v>22</v>
      </c>
      <c r="AC32" s="21">
        <v>1.6787700000000001</v>
      </c>
      <c r="AD32">
        <f t="shared" si="4"/>
        <v>8.9442839506172831</v>
      </c>
      <c r="AE32">
        <f t="shared" si="5"/>
        <v>15.019509938395061</v>
      </c>
      <c r="AF32" s="9"/>
      <c r="AG32" s="21">
        <v>1.08337E-2</v>
      </c>
      <c r="AH32" s="21">
        <v>18.3781</v>
      </c>
      <c r="AI32" s="21">
        <v>-1.46027E-2</v>
      </c>
      <c r="AJ32" s="21">
        <v>22</v>
      </c>
      <c r="AK32" s="21">
        <v>1.0671999999999999E-2</v>
      </c>
      <c r="AL32">
        <f t="shared" si="6"/>
        <v>18.028024691358024</v>
      </c>
      <c r="AM32">
        <f t="shared" si="7"/>
        <v>0.19531021109876542</v>
      </c>
      <c r="AP32" s="9"/>
      <c r="AQ32" s="21">
        <v>1.67923</v>
      </c>
      <c r="AR32" s="21">
        <v>23.816299999999998</v>
      </c>
      <c r="AS32" s="21">
        <v>-6.4941399999999998E-3</v>
      </c>
      <c r="AT32" s="21">
        <v>22</v>
      </c>
      <c r="AU32" s="21">
        <v>1.6781600000000001</v>
      </c>
      <c r="AV32">
        <f t="shared" si="8"/>
        <v>8.0174567901234557</v>
      </c>
      <c r="AW32">
        <f t="shared" si="9"/>
        <v>13.463153965679011</v>
      </c>
      <c r="AX32" s="9"/>
      <c r="AY32" s="21">
        <v>1.08337E-2</v>
      </c>
      <c r="AZ32" s="21">
        <v>27.615300000000001</v>
      </c>
      <c r="BA32" s="21">
        <v>-1.4599600000000001E-2</v>
      </c>
      <c r="BB32" s="21">
        <v>22</v>
      </c>
      <c r="BC32" s="21">
        <v>1.0665900000000001E-2</v>
      </c>
      <c r="BD32">
        <f t="shared" si="10"/>
        <v>18.0241975308642</v>
      </c>
      <c r="BE32">
        <f t="shared" si="11"/>
        <v>0.19526874879012349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5.2279600000000004</v>
      </c>
      <c r="I33" s="21">
        <v>-7.9620400000000001E-3</v>
      </c>
      <c r="J33" s="21">
        <v>23</v>
      </c>
      <c r="K33" s="21">
        <v>1.6735800000000001</v>
      </c>
      <c r="L33">
        <f t="shared" si="0"/>
        <v>9.8296790123456788</v>
      </c>
      <c r="M33">
        <f t="shared" si="1"/>
        <v>16.456750305679012</v>
      </c>
      <c r="N33" s="9"/>
      <c r="O33" s="21">
        <v>1.5869100000000001E-2</v>
      </c>
      <c r="P33" s="21">
        <v>9.0269999999999992</v>
      </c>
      <c r="Q33" s="21">
        <v>-1.4599600000000001E-2</v>
      </c>
      <c r="R33" s="21">
        <v>23</v>
      </c>
      <c r="S33" s="21">
        <v>1.57745E-2</v>
      </c>
      <c r="T33">
        <f t="shared" si="2"/>
        <v>18.0241975308642</v>
      </c>
      <c r="U33">
        <f t="shared" si="3"/>
        <v>0.28602779303703707</v>
      </c>
      <c r="X33" s="9"/>
      <c r="Y33" s="21">
        <v>1.6741900000000001</v>
      </c>
      <c r="Z33" s="21">
        <v>14.5891</v>
      </c>
      <c r="AA33" s="21">
        <v>-7.6690700000000001E-3</v>
      </c>
      <c r="AB33" s="21">
        <v>23</v>
      </c>
      <c r="AC33" s="21">
        <v>1.6729700000000001</v>
      </c>
      <c r="AD33">
        <f t="shared" si="4"/>
        <v>9.4679876543209875</v>
      </c>
      <c r="AE33">
        <f t="shared" si="5"/>
        <v>15.851210250987656</v>
      </c>
      <c r="AF33" s="9"/>
      <c r="AG33" s="21">
        <v>1.5869100000000001E-2</v>
      </c>
      <c r="AH33" s="21">
        <v>18.388200000000001</v>
      </c>
      <c r="AI33" s="21">
        <v>-1.45966E-2</v>
      </c>
      <c r="AJ33" s="21">
        <v>23</v>
      </c>
      <c r="AK33" s="21">
        <v>1.5701300000000001E-2</v>
      </c>
      <c r="AL33">
        <f t="shared" si="6"/>
        <v>18.020493827160493</v>
      </c>
      <c r="AM33">
        <f t="shared" si="7"/>
        <v>0.28596901859259261</v>
      </c>
      <c r="AP33" s="9"/>
      <c r="AQ33" s="21">
        <v>1.6741900000000001</v>
      </c>
      <c r="AR33" s="21">
        <v>23.8264</v>
      </c>
      <c r="AS33" s="21">
        <v>-6.9641099999999999E-3</v>
      </c>
      <c r="AT33" s="21">
        <v>23</v>
      </c>
      <c r="AU33" s="21">
        <v>1.6732800000000001</v>
      </c>
      <c r="AV33">
        <f t="shared" si="8"/>
        <v>8.597666666666667</v>
      </c>
      <c r="AW33">
        <f t="shared" si="9"/>
        <v>14.394127556666668</v>
      </c>
      <c r="AX33" s="9"/>
      <c r="AY33" s="21">
        <v>1.5869100000000001E-2</v>
      </c>
      <c r="AZ33" s="21">
        <v>27.625399999999999</v>
      </c>
      <c r="BA33" s="21">
        <v>-1.4599600000000001E-2</v>
      </c>
      <c r="BB33" s="21">
        <v>23</v>
      </c>
      <c r="BC33" s="21">
        <v>1.56647E-2</v>
      </c>
      <c r="BD33">
        <f t="shared" si="10"/>
        <v>18.0241975308642</v>
      </c>
      <c r="BE33">
        <f t="shared" si="11"/>
        <v>0.28602779303703707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5.2380300000000002</v>
      </c>
      <c r="I34" s="21">
        <v>-8.3251999999999996E-3</v>
      </c>
      <c r="J34" s="21">
        <v>24</v>
      </c>
      <c r="K34" s="21">
        <v>1.6687000000000001</v>
      </c>
      <c r="L34">
        <f t="shared" si="0"/>
        <v>10.278024691358024</v>
      </c>
      <c r="M34">
        <f t="shared" si="1"/>
        <v>17.155667693827159</v>
      </c>
      <c r="N34" s="9"/>
      <c r="O34" s="21">
        <v>2.0904499999999999E-2</v>
      </c>
      <c r="P34" s="21">
        <v>9.0370699999999999</v>
      </c>
      <c r="Q34" s="21">
        <v>-1.4599600000000001E-2</v>
      </c>
      <c r="R34" s="21">
        <v>24</v>
      </c>
      <c r="S34" s="21">
        <v>2.0834399999999999E-2</v>
      </c>
      <c r="T34">
        <f t="shared" si="2"/>
        <v>18.0241975308642</v>
      </c>
      <c r="U34">
        <f t="shared" si="3"/>
        <v>0.37678683728395063</v>
      </c>
      <c r="X34" s="9"/>
      <c r="Y34" s="21">
        <v>1.66916</v>
      </c>
      <c r="Z34" s="21">
        <v>14.5992</v>
      </c>
      <c r="AA34" s="21">
        <v>-8.0505400000000001E-3</v>
      </c>
      <c r="AB34" s="21">
        <v>24</v>
      </c>
      <c r="AC34" s="21">
        <v>1.6684000000000001</v>
      </c>
      <c r="AD34">
        <f t="shared" si="4"/>
        <v>9.9389382716049379</v>
      </c>
      <c r="AE34">
        <f t="shared" si="5"/>
        <v>16.589678205432097</v>
      </c>
      <c r="AF34" s="9"/>
      <c r="AG34" s="21">
        <v>2.0904499999999999E-2</v>
      </c>
      <c r="AH34" s="21">
        <v>18.398299999999999</v>
      </c>
      <c r="AI34" s="21">
        <v>-1.4605699999999999E-2</v>
      </c>
      <c r="AJ34" s="21">
        <v>24</v>
      </c>
      <c r="AK34" s="21">
        <v>2.07642E-2</v>
      </c>
      <c r="AL34">
        <f t="shared" si="6"/>
        <v>18.031728395061727</v>
      </c>
      <c r="AM34">
        <f t="shared" si="7"/>
        <v>0.37694426623456784</v>
      </c>
      <c r="AP34" s="9"/>
      <c r="AQ34" s="21">
        <v>1.66916</v>
      </c>
      <c r="AR34" s="21">
        <v>23.836400000000001</v>
      </c>
      <c r="AS34" s="21">
        <v>-7.3944099999999997E-3</v>
      </c>
      <c r="AT34" s="21">
        <v>24</v>
      </c>
      <c r="AU34" s="21">
        <v>1.6680900000000001</v>
      </c>
      <c r="AV34">
        <f t="shared" si="8"/>
        <v>9.1289012345679001</v>
      </c>
      <c r="AW34">
        <f t="shared" si="9"/>
        <v>15.237596784691355</v>
      </c>
      <c r="AX34" s="9"/>
      <c r="AY34" s="21">
        <v>2.0904499999999999E-2</v>
      </c>
      <c r="AZ34" s="21">
        <v>27.6355</v>
      </c>
      <c r="BA34" s="21">
        <v>-1.4590499999999999E-2</v>
      </c>
      <c r="BB34" s="21">
        <v>24</v>
      </c>
      <c r="BC34" s="21">
        <v>2.0834399999999999E-2</v>
      </c>
      <c r="BD34">
        <f t="shared" si="10"/>
        <v>18.012962962962959</v>
      </c>
      <c r="BE34">
        <f t="shared" si="11"/>
        <v>0.37655198425925918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5.2481</v>
      </c>
      <c r="I35" s="21">
        <v>-8.6486800000000006E-3</v>
      </c>
      <c r="J35" s="21">
        <v>25</v>
      </c>
      <c r="K35" s="21">
        <v>1.66351</v>
      </c>
      <c r="L35">
        <f t="shared" si="0"/>
        <v>10.677382716049381</v>
      </c>
      <c r="M35">
        <f t="shared" si="1"/>
        <v>17.768446125432096</v>
      </c>
      <c r="N35" s="9"/>
      <c r="O35" s="21">
        <v>2.5939899999999998E-2</v>
      </c>
      <c r="P35" s="21">
        <v>9.0471500000000002</v>
      </c>
      <c r="Q35" s="21">
        <v>-1.4599600000000001E-2</v>
      </c>
      <c r="R35" s="21">
        <v>25</v>
      </c>
      <c r="S35" s="21">
        <v>2.5814799999999999E-2</v>
      </c>
      <c r="T35">
        <f t="shared" si="2"/>
        <v>18.0241975308642</v>
      </c>
      <c r="U35">
        <f t="shared" si="3"/>
        <v>0.46754588153086424</v>
      </c>
      <c r="X35" s="9"/>
      <c r="Y35" s="21">
        <v>1.66412</v>
      </c>
      <c r="Z35" s="21">
        <v>14.609299999999999</v>
      </c>
      <c r="AA35" s="21">
        <v>-8.3984400000000001E-3</v>
      </c>
      <c r="AB35" s="21">
        <v>25</v>
      </c>
      <c r="AC35" s="21">
        <v>1.66351</v>
      </c>
      <c r="AD35">
        <f t="shared" si="4"/>
        <v>10.368444444444444</v>
      </c>
      <c r="AE35">
        <f t="shared" si="5"/>
        <v>17.25433576888889</v>
      </c>
      <c r="AF35" s="9"/>
      <c r="AG35" s="21">
        <v>2.5939899999999998E-2</v>
      </c>
      <c r="AH35" s="21">
        <v>18.408300000000001</v>
      </c>
      <c r="AI35" s="21">
        <v>-1.46088E-2</v>
      </c>
      <c r="AJ35" s="21">
        <v>25</v>
      </c>
      <c r="AK35" s="21">
        <v>2.5622599999999999E-2</v>
      </c>
      <c r="AL35">
        <f t="shared" si="6"/>
        <v>18.035555555555554</v>
      </c>
      <c r="AM35">
        <f t="shared" si="7"/>
        <v>0.46784050755555551</v>
      </c>
      <c r="AP35" s="9"/>
      <c r="AQ35" s="21">
        <v>1.66412</v>
      </c>
      <c r="AR35" s="21">
        <v>23.846499999999999</v>
      </c>
      <c r="AS35" s="21">
        <v>-7.78198E-3</v>
      </c>
      <c r="AT35" s="21">
        <v>25</v>
      </c>
      <c r="AU35" s="21">
        <v>1.6632100000000001</v>
      </c>
      <c r="AV35">
        <f t="shared" si="8"/>
        <v>9.6073827160493828</v>
      </c>
      <c r="AW35">
        <f t="shared" si="9"/>
        <v>15.987837725432099</v>
      </c>
      <c r="AX35" s="9"/>
      <c r="AY35" s="21">
        <v>2.5939899999999998E-2</v>
      </c>
      <c r="AZ35" s="21">
        <v>27.645600000000002</v>
      </c>
      <c r="BA35" s="21">
        <v>-1.4578199999999999E-2</v>
      </c>
      <c r="BB35" s="21">
        <v>25</v>
      </c>
      <c r="BC35" s="21">
        <v>2.57965E-2</v>
      </c>
      <c r="BD35">
        <f t="shared" si="10"/>
        <v>17.997777777777777</v>
      </c>
      <c r="BE35">
        <f t="shared" si="11"/>
        <v>0.46686055577777774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5.2581699999999998</v>
      </c>
      <c r="I36" s="21">
        <v>-8.9477500000000008E-3</v>
      </c>
      <c r="J36" s="21">
        <v>26</v>
      </c>
      <c r="K36" s="21">
        <v>1.65802</v>
      </c>
      <c r="L36">
        <f t="shared" si="0"/>
        <v>11.046604938271606</v>
      </c>
      <c r="M36">
        <f t="shared" si="1"/>
        <v>18.32731178703704</v>
      </c>
      <c r="N36" s="9"/>
      <c r="O36" s="21">
        <v>3.0975300000000001E-2</v>
      </c>
      <c r="P36" s="21">
        <v>9.0572199999999992</v>
      </c>
      <c r="Q36" s="21">
        <v>-1.4599600000000001E-2</v>
      </c>
      <c r="R36" s="21">
        <v>26</v>
      </c>
      <c r="S36" s="21">
        <v>3.0956999999999998E-2</v>
      </c>
      <c r="T36">
        <f t="shared" si="2"/>
        <v>18.0241975308642</v>
      </c>
      <c r="U36">
        <f t="shared" si="3"/>
        <v>0.55830492577777791</v>
      </c>
      <c r="X36" s="9"/>
      <c r="Y36" s="21">
        <v>1.65909</v>
      </c>
      <c r="Z36" s="21">
        <v>14.619400000000001</v>
      </c>
      <c r="AA36" s="21">
        <v>-8.7036100000000005E-3</v>
      </c>
      <c r="AB36" s="21">
        <v>26</v>
      </c>
      <c r="AC36" s="21">
        <v>1.65863</v>
      </c>
      <c r="AD36">
        <f t="shared" si="4"/>
        <v>10.745197530864198</v>
      </c>
      <c r="AE36">
        <f t="shared" si="5"/>
        <v>17.827249771481483</v>
      </c>
      <c r="AF36" s="9"/>
      <c r="AG36" s="21">
        <v>3.0975300000000001E-2</v>
      </c>
      <c r="AH36" s="21">
        <v>18.418399999999998</v>
      </c>
      <c r="AI36" s="21">
        <v>-1.46027E-2</v>
      </c>
      <c r="AJ36" s="21">
        <v>26</v>
      </c>
      <c r="AK36" s="21">
        <v>3.0902099999999998E-2</v>
      </c>
      <c r="AL36">
        <f t="shared" si="6"/>
        <v>18.028024691358024</v>
      </c>
      <c r="AM36">
        <f t="shared" si="7"/>
        <v>0.55842347322222219</v>
      </c>
      <c r="AP36" s="9"/>
      <c r="AQ36" s="21">
        <v>1.65909</v>
      </c>
      <c r="AR36" s="21">
        <v>23.8566</v>
      </c>
      <c r="AS36" s="21">
        <v>-8.1359899999999992E-3</v>
      </c>
      <c r="AT36" s="21">
        <v>26</v>
      </c>
      <c r="AU36" s="21">
        <v>1.65771</v>
      </c>
      <c r="AV36">
        <f t="shared" si="8"/>
        <v>10.04443209876543</v>
      </c>
      <c r="AW36">
        <f t="shared" si="9"/>
        <v>16.664616850740735</v>
      </c>
      <c r="AX36" s="9"/>
      <c r="AY36" s="21">
        <v>3.0975300000000001E-2</v>
      </c>
      <c r="AZ36" s="21">
        <v>27.6556</v>
      </c>
      <c r="BA36" s="21">
        <v>-1.4566000000000001E-2</v>
      </c>
      <c r="BB36" s="21">
        <v>26</v>
      </c>
      <c r="BC36" s="21">
        <v>3.08136E-2</v>
      </c>
      <c r="BD36">
        <f t="shared" si="10"/>
        <v>17.982716049382717</v>
      </c>
      <c r="BE36">
        <f t="shared" si="11"/>
        <v>0.55702002444444443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5.2682399999999996</v>
      </c>
      <c r="I37" s="21">
        <v>-9.2285200000000005E-3</v>
      </c>
      <c r="J37" s="21">
        <v>27</v>
      </c>
      <c r="K37" s="21">
        <v>1.6531400000000001</v>
      </c>
      <c r="L37">
        <f t="shared" si="0"/>
        <v>11.393234567901235</v>
      </c>
      <c r="M37">
        <f t="shared" si="1"/>
        <v>18.844979637037039</v>
      </c>
      <c r="N37" s="9"/>
      <c r="O37" s="21">
        <v>3.60107E-2</v>
      </c>
      <c r="P37" s="21">
        <v>9.0672899999999998</v>
      </c>
      <c r="Q37" s="21">
        <v>-1.4593500000000001E-2</v>
      </c>
      <c r="R37" s="21">
        <v>27</v>
      </c>
      <c r="S37" s="21">
        <v>3.5897800000000001E-2</v>
      </c>
      <c r="T37">
        <f t="shared" si="2"/>
        <v>18.016666666666666</v>
      </c>
      <c r="U37">
        <f t="shared" si="3"/>
        <v>0.64879277833333326</v>
      </c>
      <c r="X37" s="9"/>
      <c r="Y37" s="21">
        <v>1.65405</v>
      </c>
      <c r="Z37" s="21">
        <v>14.6294</v>
      </c>
      <c r="AA37" s="21">
        <v>-8.9965800000000005E-3</v>
      </c>
      <c r="AB37" s="21">
        <v>27</v>
      </c>
      <c r="AC37" s="21">
        <v>1.65344</v>
      </c>
      <c r="AD37">
        <f t="shared" si="4"/>
        <v>11.106888888888889</v>
      </c>
      <c r="AE37">
        <f t="shared" si="5"/>
        <v>18.371349566666666</v>
      </c>
      <c r="AF37" s="9"/>
      <c r="AG37" s="21">
        <v>3.60107E-2</v>
      </c>
      <c r="AH37" s="21">
        <v>18.4285</v>
      </c>
      <c r="AI37" s="21">
        <v>-1.4605699999999999E-2</v>
      </c>
      <c r="AJ37" s="21">
        <v>27</v>
      </c>
      <c r="AK37" s="21">
        <v>3.5885599999999997E-2</v>
      </c>
      <c r="AL37">
        <f t="shared" si="6"/>
        <v>18.031728395061727</v>
      </c>
      <c r="AM37">
        <f t="shared" si="7"/>
        <v>0.64933516171604932</v>
      </c>
      <c r="AP37" s="9"/>
      <c r="AQ37" s="21">
        <v>1.65405</v>
      </c>
      <c r="AR37" s="21">
        <v>23.866700000000002</v>
      </c>
      <c r="AS37" s="21">
        <v>-8.4503200000000007E-3</v>
      </c>
      <c r="AT37" s="21">
        <v>27</v>
      </c>
      <c r="AU37" s="21">
        <v>1.6531400000000001</v>
      </c>
      <c r="AV37">
        <f t="shared" si="8"/>
        <v>10.432493827160494</v>
      </c>
      <c r="AW37">
        <f t="shared" si="9"/>
        <v>17.255866414814815</v>
      </c>
      <c r="AX37" s="9"/>
      <c r="AY37" s="21">
        <v>3.60107E-2</v>
      </c>
      <c r="AZ37" s="21">
        <v>27.665700000000001</v>
      </c>
      <c r="BA37" s="21">
        <v>-1.4559900000000001E-2</v>
      </c>
      <c r="BB37" s="21">
        <v>27</v>
      </c>
      <c r="BC37" s="21">
        <v>3.5903900000000002E-2</v>
      </c>
      <c r="BD37">
        <f t="shared" si="10"/>
        <v>17.975185185185186</v>
      </c>
      <c r="BE37">
        <f t="shared" si="11"/>
        <v>0.6472990011481482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5.2783100000000003</v>
      </c>
      <c r="I38" s="21">
        <v>-9.4695999999999999E-3</v>
      </c>
      <c r="J38" s="21">
        <v>28</v>
      </c>
      <c r="K38" s="21">
        <v>1.64825</v>
      </c>
      <c r="L38">
        <f t="shared" si="0"/>
        <v>11.690864197530864</v>
      </c>
      <c r="M38">
        <f t="shared" si="1"/>
        <v>19.278468879012344</v>
      </c>
      <c r="N38" s="9"/>
      <c r="O38" s="21">
        <v>4.1046100000000002E-2</v>
      </c>
      <c r="P38" s="21">
        <v>9.0773600000000005</v>
      </c>
      <c r="Q38" s="21">
        <v>-1.4590499999999999E-2</v>
      </c>
      <c r="R38" s="21">
        <v>28</v>
      </c>
      <c r="S38" s="21">
        <v>4.1006500000000001E-2</v>
      </c>
      <c r="T38">
        <f t="shared" si="2"/>
        <v>18.012962962962959</v>
      </c>
      <c r="U38">
        <f t="shared" si="3"/>
        <v>0.73936187907407391</v>
      </c>
      <c r="X38" s="9"/>
      <c r="Y38" s="21">
        <v>1.6490199999999999</v>
      </c>
      <c r="Z38" s="21">
        <v>14.6395</v>
      </c>
      <c r="AA38" s="21">
        <v>-9.27124E-3</v>
      </c>
      <c r="AB38" s="21">
        <v>28</v>
      </c>
      <c r="AC38" s="21">
        <v>1.64825</v>
      </c>
      <c r="AD38">
        <f t="shared" si="4"/>
        <v>11.445975308641975</v>
      </c>
      <c r="AE38">
        <f t="shared" si="5"/>
        <v>18.874642203456787</v>
      </c>
      <c r="AF38" s="9"/>
      <c r="AG38" s="21">
        <v>4.1046100000000002E-2</v>
      </c>
      <c r="AH38" s="21">
        <v>18.438500000000001</v>
      </c>
      <c r="AI38" s="21">
        <v>-1.4611799999999999E-2</v>
      </c>
      <c r="AJ38" s="21">
        <v>28</v>
      </c>
      <c r="AK38" s="21">
        <v>4.1030900000000002E-2</v>
      </c>
      <c r="AL38">
        <f t="shared" si="6"/>
        <v>18.039259259259257</v>
      </c>
      <c r="AM38">
        <f t="shared" si="7"/>
        <v>0.74044123948148144</v>
      </c>
      <c r="AP38" s="9"/>
      <c r="AQ38" s="21">
        <v>1.6490199999999999</v>
      </c>
      <c r="AR38" s="21">
        <v>23.8767</v>
      </c>
      <c r="AS38" s="21">
        <v>-8.7402299999999999E-3</v>
      </c>
      <c r="AT38" s="21">
        <v>28</v>
      </c>
      <c r="AU38" s="21">
        <v>1.64825</v>
      </c>
      <c r="AV38">
        <f t="shared" si="8"/>
        <v>10.790407407407406</v>
      </c>
      <c r="AW38">
        <f t="shared" si="9"/>
        <v>17.79359762296296</v>
      </c>
      <c r="AX38" s="9"/>
      <c r="AY38" s="21">
        <v>4.1046100000000002E-2</v>
      </c>
      <c r="AZ38" s="21">
        <v>27.675799999999999</v>
      </c>
      <c r="BA38" s="21">
        <v>-1.4550799999999999E-2</v>
      </c>
      <c r="BB38" s="21">
        <v>28</v>
      </c>
      <c r="BC38" s="21">
        <v>4.1000399999999999E-2</v>
      </c>
      <c r="BD38">
        <f t="shared" si="10"/>
        <v>17.963950617283949</v>
      </c>
      <c r="BE38">
        <f t="shared" si="11"/>
        <v>0.73735011343209877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5.2883800000000001</v>
      </c>
      <c r="I39" s="21">
        <v>-9.6862800000000002E-3</v>
      </c>
      <c r="J39" s="21">
        <v>29</v>
      </c>
      <c r="K39" s="21">
        <v>1.64307</v>
      </c>
      <c r="L39">
        <f t="shared" si="0"/>
        <v>11.958370370370369</v>
      </c>
      <c r="M39">
        <f t="shared" si="1"/>
        <v>19.659321721481479</v>
      </c>
      <c r="N39" s="9"/>
      <c r="O39" s="21">
        <v>4.6081499999999997E-2</v>
      </c>
      <c r="P39" s="21">
        <v>9.0874299999999995</v>
      </c>
      <c r="Q39" s="21">
        <v>-1.4590499999999999E-2</v>
      </c>
      <c r="R39" s="21">
        <v>29</v>
      </c>
      <c r="S39" s="21">
        <v>4.5925899999999999E-2</v>
      </c>
      <c r="T39">
        <f t="shared" si="2"/>
        <v>18.012962962962959</v>
      </c>
      <c r="U39">
        <f t="shared" si="3"/>
        <v>0.83006435277777757</v>
      </c>
      <c r="X39" s="9"/>
      <c r="Y39" s="21">
        <v>1.64398</v>
      </c>
      <c r="Z39" s="21">
        <v>14.6496</v>
      </c>
      <c r="AA39" s="21">
        <v>-9.5092800000000002E-3</v>
      </c>
      <c r="AB39" s="21">
        <v>29</v>
      </c>
      <c r="AC39" s="21">
        <v>1.64307</v>
      </c>
      <c r="AD39">
        <f t="shared" si="4"/>
        <v>11.739851851851853</v>
      </c>
      <c r="AE39">
        <f t="shared" si="5"/>
        <v>19.30008164740741</v>
      </c>
      <c r="AF39" s="9"/>
      <c r="AG39" s="21">
        <v>4.6081499999999997E-2</v>
      </c>
      <c r="AH39" s="21">
        <v>18.448599999999999</v>
      </c>
      <c r="AI39" s="21">
        <v>-1.4611799999999999E-2</v>
      </c>
      <c r="AJ39" s="21">
        <v>29</v>
      </c>
      <c r="AK39" s="21">
        <v>4.5980800000000002E-2</v>
      </c>
      <c r="AL39">
        <f t="shared" si="6"/>
        <v>18.039259259259257</v>
      </c>
      <c r="AM39">
        <f t="shared" si="7"/>
        <v>0.83127612555555541</v>
      </c>
      <c r="AP39" s="9"/>
      <c r="AQ39" s="21">
        <v>1.64398</v>
      </c>
      <c r="AR39" s="21">
        <v>23.886800000000001</v>
      </c>
      <c r="AS39" s="21">
        <v>-9.0057399999999999E-3</v>
      </c>
      <c r="AT39" s="21">
        <v>29</v>
      </c>
      <c r="AU39" s="21">
        <v>1.64398</v>
      </c>
      <c r="AV39">
        <f t="shared" si="8"/>
        <v>11.118197530864196</v>
      </c>
      <c r="AW39">
        <f t="shared" si="9"/>
        <v>18.278094376790119</v>
      </c>
      <c r="AX39" s="9"/>
      <c r="AY39" s="21">
        <v>4.6081499999999997E-2</v>
      </c>
      <c r="AZ39" s="21">
        <v>27.6858</v>
      </c>
      <c r="BA39" s="21">
        <v>-1.45386E-2</v>
      </c>
      <c r="BB39" s="21">
        <v>29</v>
      </c>
      <c r="BC39" s="21">
        <v>4.6017500000000003E-2</v>
      </c>
      <c r="BD39">
        <f t="shared" si="10"/>
        <v>17.948888888888888</v>
      </c>
      <c r="BE39">
        <f t="shared" si="11"/>
        <v>0.82711172333333327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5.2984499999999999</v>
      </c>
      <c r="I40" s="21">
        <v>-9.8937999999999995E-3</v>
      </c>
      <c r="J40" s="21">
        <v>30</v>
      </c>
      <c r="K40" s="21">
        <v>1.63818</v>
      </c>
      <c r="L40">
        <f t="shared" si="0"/>
        <v>12.214567901234567</v>
      </c>
      <c r="M40">
        <f t="shared" si="1"/>
        <v>20.019066061728392</v>
      </c>
      <c r="N40" s="9"/>
      <c r="O40" s="21">
        <v>5.11169E-2</v>
      </c>
      <c r="P40" s="21">
        <v>9.0975000000000001</v>
      </c>
      <c r="Q40" s="21">
        <v>-1.4593500000000001E-2</v>
      </c>
      <c r="R40" s="21">
        <v>30</v>
      </c>
      <c r="S40" s="21">
        <v>5.1043699999999997E-2</v>
      </c>
      <c r="T40">
        <f t="shared" si="2"/>
        <v>18.016666666666666</v>
      </c>
      <c r="U40">
        <f t="shared" si="3"/>
        <v>0.92095614833333328</v>
      </c>
      <c r="X40" s="9"/>
      <c r="Y40" s="21">
        <v>1.6389499999999999</v>
      </c>
      <c r="Z40" s="21">
        <v>14.659599999999999</v>
      </c>
      <c r="AA40" s="21">
        <v>-9.7320600000000007E-3</v>
      </c>
      <c r="AB40" s="21">
        <v>30</v>
      </c>
      <c r="AC40" s="21">
        <v>1.63818</v>
      </c>
      <c r="AD40">
        <f t="shared" si="4"/>
        <v>12.014888888888889</v>
      </c>
      <c r="AE40">
        <f t="shared" si="5"/>
        <v>19.691802144444441</v>
      </c>
      <c r="AF40" s="9"/>
      <c r="AG40" s="21">
        <v>5.11169E-2</v>
      </c>
      <c r="AH40" s="21">
        <v>18.4587</v>
      </c>
      <c r="AI40" s="21">
        <v>-1.46088E-2</v>
      </c>
      <c r="AJ40" s="21">
        <v>30</v>
      </c>
      <c r="AK40" s="21">
        <v>5.1040599999999998E-2</v>
      </c>
      <c r="AL40">
        <f t="shared" si="6"/>
        <v>18.035555555555554</v>
      </c>
      <c r="AM40">
        <f t="shared" si="7"/>
        <v>0.92192168977777766</v>
      </c>
      <c r="AP40" s="9"/>
      <c r="AQ40" s="21">
        <v>1.6389499999999999</v>
      </c>
      <c r="AR40" s="21">
        <v>23.896899999999999</v>
      </c>
      <c r="AS40" s="21">
        <v>-9.2590299999999997E-3</v>
      </c>
      <c r="AT40" s="21">
        <v>30</v>
      </c>
      <c r="AU40" s="21">
        <v>1.63818</v>
      </c>
      <c r="AV40">
        <f t="shared" si="8"/>
        <v>11.4309012345679</v>
      </c>
      <c r="AW40">
        <f t="shared" si="9"/>
        <v>18.734675578395059</v>
      </c>
      <c r="AX40" s="9"/>
      <c r="AY40" s="21">
        <v>5.11169E-2</v>
      </c>
      <c r="AZ40" s="21">
        <v>27.695900000000002</v>
      </c>
      <c r="BA40" s="21">
        <v>-1.45355E-2</v>
      </c>
      <c r="BB40" s="21">
        <v>30</v>
      </c>
      <c r="BC40" s="21">
        <v>5.0997899999999999E-2</v>
      </c>
      <c r="BD40">
        <f t="shared" si="10"/>
        <v>17.945061728395061</v>
      </c>
      <c r="BE40">
        <f t="shared" si="11"/>
        <v>0.9172959258641975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5.3085199999999997</v>
      </c>
      <c r="I41" s="21">
        <v>-1.00891E-2</v>
      </c>
      <c r="J41" s="21">
        <v>31</v>
      </c>
      <c r="K41" s="21">
        <v>1.6333</v>
      </c>
      <c r="L41">
        <f t="shared" si="0"/>
        <v>12.455679012345678</v>
      </c>
      <c r="M41">
        <f t="shared" si="1"/>
        <v>20.351458495061728</v>
      </c>
      <c r="N41" s="9"/>
      <c r="O41" s="21">
        <v>5.6152300000000002E-2</v>
      </c>
      <c r="P41" s="21">
        <v>9.1075700000000008</v>
      </c>
      <c r="Q41" s="21">
        <v>-1.45874E-2</v>
      </c>
      <c r="R41" s="21">
        <v>31</v>
      </c>
      <c r="S41" s="21">
        <v>5.5633500000000002E-2</v>
      </c>
      <c r="T41">
        <f t="shared" si="2"/>
        <v>18.009135802469135</v>
      </c>
      <c r="U41">
        <f t="shared" si="3"/>
        <v>1.0112543963209877</v>
      </c>
      <c r="X41" s="9"/>
      <c r="Y41" s="21">
        <v>1.63391</v>
      </c>
      <c r="Z41" s="21">
        <v>14.669700000000001</v>
      </c>
      <c r="AA41" s="21">
        <v>-9.9395799999999999E-3</v>
      </c>
      <c r="AB41" s="21">
        <v>31</v>
      </c>
      <c r="AC41" s="21">
        <v>1.6333</v>
      </c>
      <c r="AD41">
        <f t="shared" si="4"/>
        <v>12.271086419753086</v>
      </c>
      <c r="AE41">
        <f t="shared" si="5"/>
        <v>20.049850812098764</v>
      </c>
      <c r="AF41" s="9"/>
      <c r="AG41" s="21">
        <v>5.6152300000000002E-2</v>
      </c>
      <c r="AH41" s="21">
        <v>18.468800000000002</v>
      </c>
      <c r="AI41" s="21">
        <v>-1.46149E-2</v>
      </c>
      <c r="AJ41" s="21">
        <v>31</v>
      </c>
      <c r="AK41" s="21">
        <v>5.5694599999999997E-2</v>
      </c>
      <c r="AL41">
        <f t="shared" si="6"/>
        <v>18.043086419753088</v>
      </c>
      <c r="AM41">
        <f t="shared" si="7"/>
        <v>1.0131608015679014</v>
      </c>
      <c r="AP41" s="9"/>
      <c r="AQ41" s="21">
        <v>1.63391</v>
      </c>
      <c r="AR41" s="21">
        <v>23.9069</v>
      </c>
      <c r="AS41" s="21">
        <v>-9.4879200000000004E-3</v>
      </c>
      <c r="AT41" s="21">
        <v>31</v>
      </c>
      <c r="AU41" s="21">
        <v>1.633</v>
      </c>
      <c r="AV41">
        <f t="shared" si="8"/>
        <v>11.71348148148148</v>
      </c>
      <c r="AW41">
        <f t="shared" si="9"/>
        <v>19.138774527407406</v>
      </c>
      <c r="AX41" s="9"/>
      <c r="AY41" s="21">
        <v>5.6152300000000002E-2</v>
      </c>
      <c r="AZ41" s="21">
        <v>27.706</v>
      </c>
      <c r="BA41" s="21">
        <v>-1.45416E-2</v>
      </c>
      <c r="BB41" s="21">
        <v>31</v>
      </c>
      <c r="BC41" s="21">
        <v>5.5664100000000001E-2</v>
      </c>
      <c r="BD41">
        <f t="shared" si="10"/>
        <v>17.952592592592595</v>
      </c>
      <c r="BE41">
        <f t="shared" si="11"/>
        <v>1.0080793650370372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5.3185900000000004</v>
      </c>
      <c r="I42" s="21">
        <v>-1.0269199999999999E-2</v>
      </c>
      <c r="J42" s="21">
        <v>32</v>
      </c>
      <c r="K42" s="21">
        <v>1.6281099999999999</v>
      </c>
      <c r="L42">
        <f t="shared" si="0"/>
        <v>12.678024691358022</v>
      </c>
      <c r="M42">
        <f t="shared" si="1"/>
        <v>20.650980859259256</v>
      </c>
      <c r="N42" s="9"/>
      <c r="O42" s="21">
        <v>6.1187699999999998E-2</v>
      </c>
      <c r="P42" s="21">
        <v>9.1176399999999997</v>
      </c>
      <c r="Q42" s="21">
        <v>-1.45813E-2</v>
      </c>
      <c r="R42" s="21">
        <v>32</v>
      </c>
      <c r="S42" s="21">
        <v>6.0607899999999999E-2</v>
      </c>
      <c r="T42">
        <f t="shared" si="2"/>
        <v>18.001604938271605</v>
      </c>
      <c r="U42">
        <f t="shared" si="3"/>
        <v>1.1014768024814814</v>
      </c>
      <c r="X42" s="9"/>
      <c r="Y42" s="21">
        <v>1.6288800000000001</v>
      </c>
      <c r="Z42" s="21">
        <v>14.6798</v>
      </c>
      <c r="AA42" s="21">
        <v>-1.0134900000000001E-2</v>
      </c>
      <c r="AB42" s="21">
        <v>32</v>
      </c>
      <c r="AC42" s="21">
        <v>1.6281099999999999</v>
      </c>
      <c r="AD42">
        <f t="shared" si="4"/>
        <v>12.512222222222221</v>
      </c>
      <c r="AE42">
        <f t="shared" si="5"/>
        <v>20.380908533333333</v>
      </c>
      <c r="AF42" s="9"/>
      <c r="AG42" s="21">
        <v>6.1187699999999998E-2</v>
      </c>
      <c r="AH42" s="21">
        <v>18.4788</v>
      </c>
      <c r="AI42" s="21">
        <v>-1.4621E-2</v>
      </c>
      <c r="AJ42" s="21">
        <v>32</v>
      </c>
      <c r="AK42" s="21">
        <v>6.0638400000000002E-2</v>
      </c>
      <c r="AL42">
        <f t="shared" si="6"/>
        <v>18.050617283950618</v>
      </c>
      <c r="AM42">
        <f t="shared" si="7"/>
        <v>1.1044757551851851</v>
      </c>
      <c r="AP42" s="9"/>
      <c r="AQ42" s="21">
        <v>1.6288800000000001</v>
      </c>
      <c r="AR42" s="21">
        <v>23.917000000000002</v>
      </c>
      <c r="AS42" s="21">
        <v>-9.7045900000000008E-3</v>
      </c>
      <c r="AT42" s="21">
        <v>32</v>
      </c>
      <c r="AU42" s="21">
        <v>1.62842</v>
      </c>
      <c r="AV42">
        <f t="shared" si="8"/>
        <v>11.980975308641977</v>
      </c>
      <c r="AW42">
        <f t="shared" si="9"/>
        <v>19.515571060740744</v>
      </c>
      <c r="AX42" s="9"/>
      <c r="AY42" s="21">
        <v>6.1187699999999998E-2</v>
      </c>
      <c r="AZ42" s="21">
        <v>27.716100000000001</v>
      </c>
      <c r="BA42" s="21">
        <v>-1.45355E-2</v>
      </c>
      <c r="BB42" s="21">
        <v>32</v>
      </c>
      <c r="BC42" s="21">
        <v>6.0668899999999998E-2</v>
      </c>
      <c r="BD42">
        <f t="shared" si="10"/>
        <v>17.945061728395061</v>
      </c>
      <c r="BE42">
        <f t="shared" si="11"/>
        <v>1.0980170535185183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5.3286699999999998</v>
      </c>
      <c r="I43" s="21">
        <v>-1.0434000000000001E-2</v>
      </c>
      <c r="J43" s="21">
        <v>33</v>
      </c>
      <c r="K43" s="21">
        <v>1.6229199999999999</v>
      </c>
      <c r="L43">
        <f t="shared" si="0"/>
        <v>12.881481481481481</v>
      </c>
      <c r="M43">
        <f t="shared" si="1"/>
        <v>20.917464888888887</v>
      </c>
      <c r="N43" s="9"/>
      <c r="O43" s="21">
        <v>6.6223099999999993E-2</v>
      </c>
      <c r="P43" s="21">
        <v>9.1277100000000004</v>
      </c>
      <c r="Q43" s="21">
        <v>-1.4572099999999999E-2</v>
      </c>
      <c r="R43" s="21">
        <v>33</v>
      </c>
      <c r="S43" s="21">
        <v>6.5704299999999993E-2</v>
      </c>
      <c r="T43">
        <f t="shared" si="2"/>
        <v>17.990246913580243</v>
      </c>
      <c r="U43">
        <f t="shared" si="3"/>
        <v>1.1913699203827157</v>
      </c>
      <c r="X43" s="9"/>
      <c r="Y43" s="21">
        <v>1.62384</v>
      </c>
      <c r="Z43" s="21">
        <v>14.6899</v>
      </c>
      <c r="AA43" s="21">
        <v>-1.0311900000000001E-2</v>
      </c>
      <c r="AB43" s="21">
        <v>33</v>
      </c>
      <c r="AC43" s="21">
        <v>1.62262</v>
      </c>
      <c r="AD43">
        <f t="shared" si="4"/>
        <v>12.730740740740741</v>
      </c>
      <c r="AE43">
        <f t="shared" si="5"/>
        <v>20.672686044444443</v>
      </c>
      <c r="AF43" s="9"/>
      <c r="AG43" s="21">
        <v>6.6223099999999993E-2</v>
      </c>
      <c r="AH43" s="21">
        <v>18.488900000000001</v>
      </c>
      <c r="AI43" s="21">
        <v>-1.4627100000000001E-2</v>
      </c>
      <c r="AJ43" s="21">
        <v>33</v>
      </c>
      <c r="AK43" s="21">
        <v>6.5643300000000002E-2</v>
      </c>
      <c r="AL43">
        <f t="shared" si="6"/>
        <v>18.058148148148145</v>
      </c>
      <c r="AM43">
        <f t="shared" si="7"/>
        <v>1.1958665506296293</v>
      </c>
      <c r="AP43" s="9"/>
      <c r="AQ43" s="21">
        <v>1.62384</v>
      </c>
      <c r="AR43" s="21">
        <v>23.927099999999999</v>
      </c>
      <c r="AS43" s="21">
        <v>-9.8998999999999997E-3</v>
      </c>
      <c r="AT43" s="21">
        <v>33</v>
      </c>
      <c r="AU43" s="21">
        <v>1.62323</v>
      </c>
      <c r="AV43">
        <f t="shared" si="8"/>
        <v>12.222098765432097</v>
      </c>
      <c r="AW43">
        <f t="shared" si="9"/>
        <v>19.846732859259255</v>
      </c>
      <c r="AX43" s="9"/>
      <c r="AY43" s="21">
        <v>6.6223099999999993E-2</v>
      </c>
      <c r="AZ43" s="21">
        <v>27.726099999999999</v>
      </c>
      <c r="BA43" s="21">
        <v>-1.45294E-2</v>
      </c>
      <c r="BB43" s="21">
        <v>33</v>
      </c>
      <c r="BC43" s="21">
        <v>6.5887500000000002E-2</v>
      </c>
      <c r="BD43">
        <f t="shared" si="10"/>
        <v>17.93753086419753</v>
      </c>
      <c r="BE43">
        <f t="shared" si="11"/>
        <v>1.1878789001728394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5.3387399999999996</v>
      </c>
      <c r="I44" s="21">
        <v>-1.05804E-2</v>
      </c>
      <c r="J44" s="21">
        <v>34</v>
      </c>
      <c r="K44" s="21">
        <v>1.61835</v>
      </c>
      <c r="L44">
        <f t="shared" si="0"/>
        <v>13.062222222222221</v>
      </c>
      <c r="M44">
        <f t="shared" si="1"/>
        <v>21.145125333333333</v>
      </c>
      <c r="N44" s="9"/>
      <c r="O44" s="21">
        <v>7.1258500000000002E-2</v>
      </c>
      <c r="P44" s="21">
        <v>9.1377799999999993</v>
      </c>
      <c r="Q44" s="21">
        <v>-1.45691E-2</v>
      </c>
      <c r="R44" s="21">
        <v>34</v>
      </c>
      <c r="S44" s="21">
        <v>7.0678699999999997E-2</v>
      </c>
      <c r="T44">
        <f t="shared" si="2"/>
        <v>17.98654320987654</v>
      </c>
      <c r="U44">
        <f t="shared" si="3"/>
        <v>1.2816940893209874</v>
      </c>
      <c r="X44" s="9"/>
      <c r="Y44" s="21">
        <v>1.6188</v>
      </c>
      <c r="Z44" s="21">
        <v>14.6999</v>
      </c>
      <c r="AA44" s="21">
        <v>-1.04645E-2</v>
      </c>
      <c r="AB44" s="21">
        <v>34</v>
      </c>
      <c r="AC44" s="21">
        <v>1.61835</v>
      </c>
      <c r="AD44">
        <f t="shared" si="4"/>
        <v>12.919135802469135</v>
      </c>
      <c r="AE44">
        <f t="shared" si="5"/>
        <v>20.913497037037036</v>
      </c>
      <c r="AF44" s="9"/>
      <c r="AG44" s="21">
        <v>7.1258500000000002E-2</v>
      </c>
      <c r="AH44" s="21">
        <v>18.498999999999999</v>
      </c>
      <c r="AI44" s="21">
        <v>-1.4627100000000001E-2</v>
      </c>
      <c r="AJ44" s="21">
        <v>34</v>
      </c>
      <c r="AK44" s="21">
        <v>7.07092E-2</v>
      </c>
      <c r="AL44">
        <f t="shared" si="6"/>
        <v>18.058148148148145</v>
      </c>
      <c r="AM44">
        <f t="shared" si="7"/>
        <v>1.2867965498148146</v>
      </c>
      <c r="AP44" s="9"/>
      <c r="AQ44" s="21">
        <v>1.6188</v>
      </c>
      <c r="AR44" s="21">
        <v>23.937200000000001</v>
      </c>
      <c r="AS44" s="21">
        <v>-1.00769E-2</v>
      </c>
      <c r="AT44" s="21">
        <v>34</v>
      </c>
      <c r="AU44" s="21">
        <v>1.6174299999999999</v>
      </c>
      <c r="AV44">
        <f t="shared" si="8"/>
        <v>12.440617283950616</v>
      </c>
      <c r="AW44">
        <f t="shared" si="9"/>
        <v>20.138871259259258</v>
      </c>
      <c r="AX44" s="9"/>
      <c r="AY44" s="21">
        <v>7.1258500000000002E-2</v>
      </c>
      <c r="AZ44" s="21">
        <v>27.7362</v>
      </c>
      <c r="BA44" s="21">
        <v>-1.45264E-2</v>
      </c>
      <c r="BB44" s="21">
        <v>34</v>
      </c>
      <c r="BC44" s="21">
        <v>7.0770299999999994E-2</v>
      </c>
      <c r="BD44">
        <f t="shared" si="10"/>
        <v>17.933827160493827</v>
      </c>
      <c r="BE44">
        <f t="shared" si="11"/>
        <v>1.2779376227160495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5.3488100000000003</v>
      </c>
      <c r="I45" s="21">
        <v>-1.07086E-2</v>
      </c>
      <c r="J45" s="21">
        <v>35</v>
      </c>
      <c r="K45" s="21">
        <v>1.6137699999999999</v>
      </c>
      <c r="L45">
        <f t="shared" si="0"/>
        <v>13.220493827160492</v>
      </c>
      <c r="M45">
        <f t="shared" si="1"/>
        <v>21.334836323456788</v>
      </c>
      <c r="N45" s="9"/>
      <c r="O45" s="21">
        <v>7.6293899999999998E-2</v>
      </c>
      <c r="P45" s="21">
        <v>9.1478599999999997</v>
      </c>
      <c r="Q45" s="21">
        <v>-1.4556899999999999E-2</v>
      </c>
      <c r="R45" s="21">
        <v>35</v>
      </c>
      <c r="S45" s="21">
        <v>7.5805700000000004E-2</v>
      </c>
      <c r="T45">
        <f t="shared" si="2"/>
        <v>17.971481481481479</v>
      </c>
      <c r="U45">
        <f t="shared" si="3"/>
        <v>1.3711144109999998</v>
      </c>
      <c r="X45" s="9"/>
      <c r="Y45" s="21">
        <v>1.6137699999999999</v>
      </c>
      <c r="Z45" s="21">
        <v>14.71</v>
      </c>
      <c r="AA45" s="21">
        <v>-1.0617100000000001E-2</v>
      </c>
      <c r="AB45" s="21">
        <v>35</v>
      </c>
      <c r="AC45" s="21">
        <v>1.6134599999999999</v>
      </c>
      <c r="AD45">
        <f t="shared" si="4"/>
        <v>13.10753086419753</v>
      </c>
      <c r="AE45">
        <f t="shared" si="5"/>
        <v>21.152540082716047</v>
      </c>
      <c r="AF45" s="9"/>
      <c r="AG45" s="21">
        <v>7.6293899999999998E-2</v>
      </c>
      <c r="AH45" s="21">
        <v>18.509</v>
      </c>
      <c r="AI45" s="21">
        <v>-1.46179E-2</v>
      </c>
      <c r="AJ45" s="21">
        <v>35</v>
      </c>
      <c r="AK45" s="21">
        <v>7.5775099999999998E-2</v>
      </c>
      <c r="AL45">
        <f t="shared" si="6"/>
        <v>18.046790123456791</v>
      </c>
      <c r="AM45">
        <f t="shared" si="7"/>
        <v>1.3768600010000001</v>
      </c>
      <c r="AP45" s="9"/>
      <c r="AQ45" s="21">
        <v>1.6137699999999999</v>
      </c>
      <c r="AR45" s="21">
        <v>23.947199999999999</v>
      </c>
      <c r="AS45" s="21">
        <v>-1.02448E-2</v>
      </c>
      <c r="AT45" s="21">
        <v>35</v>
      </c>
      <c r="AU45" s="21">
        <v>1.6131599999999999</v>
      </c>
      <c r="AV45">
        <f t="shared" si="8"/>
        <v>12.6479012345679</v>
      </c>
      <c r="AW45">
        <f t="shared" si="9"/>
        <v>20.410803575308641</v>
      </c>
      <c r="AX45" s="9"/>
      <c r="AY45" s="21">
        <v>7.6293899999999998E-2</v>
      </c>
      <c r="AZ45" s="21">
        <v>27.746300000000002</v>
      </c>
      <c r="BA45" s="21">
        <v>-1.4523299999999999E-2</v>
      </c>
      <c r="BB45" s="21">
        <v>35</v>
      </c>
      <c r="BC45" s="21">
        <v>7.5622599999999998E-2</v>
      </c>
      <c r="BD45">
        <f t="shared" si="10"/>
        <v>17.93</v>
      </c>
      <c r="BE45">
        <f t="shared" si="11"/>
        <v>1.367949627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5.3588800000000001</v>
      </c>
      <c r="I46" s="21">
        <v>-1.08521E-2</v>
      </c>
      <c r="J46" s="21">
        <v>36</v>
      </c>
      <c r="K46" s="21">
        <v>1.6076699999999999</v>
      </c>
      <c r="L46">
        <f t="shared" si="0"/>
        <v>13.397654320987654</v>
      </c>
      <c r="M46">
        <f t="shared" si="1"/>
        <v>21.553208435802468</v>
      </c>
      <c r="N46" s="9"/>
      <c r="O46" s="21">
        <v>8.1329299999999993E-2</v>
      </c>
      <c r="P46" s="21">
        <v>9.1579300000000003</v>
      </c>
      <c r="Q46" s="21">
        <v>-1.4559900000000001E-2</v>
      </c>
      <c r="R46" s="21">
        <v>36</v>
      </c>
      <c r="S46" s="21">
        <v>8.0871600000000002E-2</v>
      </c>
      <c r="T46">
        <f t="shared" si="2"/>
        <v>17.975185185185186</v>
      </c>
      <c r="U46">
        <f t="shared" si="3"/>
        <v>1.4619092284814814</v>
      </c>
      <c r="X46" s="9"/>
      <c r="Y46" s="21">
        <v>1.60873</v>
      </c>
      <c r="Z46" s="21">
        <v>14.7201</v>
      </c>
      <c r="AA46" s="21">
        <v>-1.07513E-2</v>
      </c>
      <c r="AB46" s="21">
        <v>36</v>
      </c>
      <c r="AC46" s="21">
        <v>1.6082799999999999</v>
      </c>
      <c r="AD46">
        <f t="shared" si="4"/>
        <v>13.273209876543209</v>
      </c>
      <c r="AE46">
        <f t="shared" si="5"/>
        <v>21.353010924691358</v>
      </c>
      <c r="AF46" s="9"/>
      <c r="AG46" s="21">
        <v>8.1329299999999993E-2</v>
      </c>
      <c r="AH46" s="21">
        <v>18.519100000000002</v>
      </c>
      <c r="AI46" s="21">
        <v>-1.4605699999999999E-2</v>
      </c>
      <c r="AJ46" s="21">
        <v>36</v>
      </c>
      <c r="AK46" s="21">
        <v>8.0810499999999993E-2</v>
      </c>
      <c r="AL46">
        <f t="shared" si="6"/>
        <v>18.031728395061727</v>
      </c>
      <c r="AM46">
        <f t="shared" si="7"/>
        <v>1.4665078481604936</v>
      </c>
      <c r="AP46" s="9"/>
      <c r="AQ46" s="21">
        <v>1.60873</v>
      </c>
      <c r="AR46" s="21">
        <v>23.9573</v>
      </c>
      <c r="AS46" s="21">
        <v>-1.03973E-2</v>
      </c>
      <c r="AT46" s="21">
        <v>36</v>
      </c>
      <c r="AU46" s="21">
        <v>1.6082799999999999</v>
      </c>
      <c r="AV46">
        <f t="shared" si="8"/>
        <v>12.836172839506172</v>
      </c>
      <c r="AW46">
        <f t="shared" si="9"/>
        <v>20.649936332098765</v>
      </c>
      <c r="AX46" s="9"/>
      <c r="AY46" s="21">
        <v>8.1329299999999993E-2</v>
      </c>
      <c r="AZ46" s="21">
        <v>27.7563</v>
      </c>
      <c r="BA46" s="21">
        <v>-1.4523299999999999E-2</v>
      </c>
      <c r="BB46" s="21">
        <v>36</v>
      </c>
      <c r="BC46" s="21">
        <v>8.0902100000000005E-2</v>
      </c>
      <c r="BD46">
        <f t="shared" si="10"/>
        <v>17.93</v>
      </c>
      <c r="BE46">
        <f t="shared" si="11"/>
        <v>1.4582343489999998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5.3689499999999999</v>
      </c>
      <c r="I47" s="21">
        <v>-1.0977199999999999E-2</v>
      </c>
      <c r="J47" s="21">
        <v>37</v>
      </c>
      <c r="K47" s="21">
        <v>1.6030899999999999</v>
      </c>
      <c r="L47">
        <f t="shared" si="0"/>
        <v>13.552098765432097</v>
      </c>
      <c r="M47">
        <f t="shared" si="1"/>
        <v>21.733500790123454</v>
      </c>
      <c r="N47" s="9"/>
      <c r="O47" s="21">
        <v>8.6364700000000003E-2</v>
      </c>
      <c r="P47" s="21">
        <v>9.1679999999999993</v>
      </c>
      <c r="Q47" s="21">
        <v>-1.45477E-2</v>
      </c>
      <c r="R47" s="21">
        <v>37</v>
      </c>
      <c r="S47" s="21">
        <v>8.5968000000000003E-2</v>
      </c>
      <c r="T47">
        <f t="shared" si="2"/>
        <v>17.960123456790122</v>
      </c>
      <c r="U47">
        <f t="shared" si="3"/>
        <v>1.5511206743086419</v>
      </c>
      <c r="X47" s="9"/>
      <c r="Y47" s="21">
        <v>1.6036999999999999</v>
      </c>
      <c r="Z47" s="21">
        <v>14.7301</v>
      </c>
      <c r="AA47" s="21">
        <v>-1.08856E-2</v>
      </c>
      <c r="AB47" s="21">
        <v>37</v>
      </c>
      <c r="AC47" s="21">
        <v>1.6027800000000001</v>
      </c>
      <c r="AD47">
        <f t="shared" si="4"/>
        <v>13.439012345679012</v>
      </c>
      <c r="AE47">
        <f t="shared" si="5"/>
        <v>21.552144098765432</v>
      </c>
      <c r="AF47" s="9"/>
      <c r="AG47" s="21">
        <v>8.6364700000000003E-2</v>
      </c>
      <c r="AH47" s="21">
        <v>18.529199999999999</v>
      </c>
      <c r="AI47" s="21">
        <v>-1.45966E-2</v>
      </c>
      <c r="AJ47" s="21">
        <v>37</v>
      </c>
      <c r="AK47" s="21">
        <v>8.58154E-2</v>
      </c>
      <c r="AL47">
        <f t="shared" si="6"/>
        <v>18.020493827160493</v>
      </c>
      <c r="AM47">
        <f t="shared" si="7"/>
        <v>1.5563345432345679</v>
      </c>
      <c r="AP47" s="9"/>
      <c r="AQ47" s="21">
        <v>1.6036999999999999</v>
      </c>
      <c r="AR47" s="21">
        <v>23.967400000000001</v>
      </c>
      <c r="AS47" s="21">
        <v>-1.05469E-2</v>
      </c>
      <c r="AT47" s="21">
        <v>37</v>
      </c>
      <c r="AU47" s="21">
        <v>1.6033900000000001</v>
      </c>
      <c r="AV47">
        <f t="shared" si="8"/>
        <v>13.020864197530864</v>
      </c>
      <c r="AW47">
        <f t="shared" si="9"/>
        <v>20.881559913580247</v>
      </c>
      <c r="AX47" s="9"/>
      <c r="AY47" s="21">
        <v>8.6364700000000003E-2</v>
      </c>
      <c r="AZ47" s="21">
        <v>27.766400000000001</v>
      </c>
      <c r="BA47" s="21">
        <v>-1.4511100000000001E-2</v>
      </c>
      <c r="BB47" s="21">
        <v>37</v>
      </c>
      <c r="BC47" s="21">
        <v>8.5876499999999995E-2</v>
      </c>
      <c r="BD47">
        <f t="shared" si="10"/>
        <v>17.914938271604939</v>
      </c>
      <c r="BE47">
        <f t="shared" si="11"/>
        <v>1.5472182693456791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5.3790199999999997</v>
      </c>
      <c r="I48" s="21">
        <v>-1.1102300000000001E-2</v>
      </c>
      <c r="J48" s="21">
        <v>38</v>
      </c>
      <c r="K48" s="21">
        <v>1.5979000000000001</v>
      </c>
      <c r="L48">
        <f t="shared" si="0"/>
        <v>13.706543209876543</v>
      </c>
      <c r="M48">
        <f t="shared" si="1"/>
        <v>21.912102367901234</v>
      </c>
      <c r="N48" s="9"/>
      <c r="O48" s="21">
        <v>9.1400099999999998E-2</v>
      </c>
      <c r="P48" s="21">
        <v>9.17807</v>
      </c>
      <c r="Q48" s="21">
        <v>-1.45355E-2</v>
      </c>
      <c r="R48" s="21">
        <v>38</v>
      </c>
      <c r="S48" s="21">
        <v>9.0881299999999998E-2</v>
      </c>
      <c r="T48">
        <f t="shared" si="2"/>
        <v>17.945061728395061</v>
      </c>
      <c r="U48">
        <f t="shared" si="3"/>
        <v>1.6401804364814814</v>
      </c>
      <c r="X48" s="9"/>
      <c r="Y48" s="21">
        <v>1.59866</v>
      </c>
      <c r="Z48" s="21">
        <v>14.7402</v>
      </c>
      <c r="AA48" s="21">
        <v>-1.10107E-2</v>
      </c>
      <c r="AB48" s="21">
        <v>38</v>
      </c>
      <c r="AC48" s="21">
        <v>1.5979000000000001</v>
      </c>
      <c r="AD48">
        <f t="shared" si="4"/>
        <v>13.593456790123456</v>
      </c>
      <c r="AE48">
        <f t="shared" si="5"/>
        <v>21.731315632098763</v>
      </c>
      <c r="AF48" s="9"/>
      <c r="AG48" s="21">
        <v>9.1400099999999998E-2</v>
      </c>
      <c r="AH48" s="21">
        <v>18.539300000000001</v>
      </c>
      <c r="AI48" s="21">
        <v>-1.4590499999999999E-2</v>
      </c>
      <c r="AJ48" s="21">
        <v>38</v>
      </c>
      <c r="AK48" s="21">
        <v>9.0881299999999998E-2</v>
      </c>
      <c r="AL48">
        <f t="shared" si="6"/>
        <v>18.012962962962959</v>
      </c>
      <c r="AM48">
        <f t="shared" si="7"/>
        <v>1.6463866161111107</v>
      </c>
      <c r="AP48" s="9"/>
      <c r="AQ48" s="21">
        <v>1.59866</v>
      </c>
      <c r="AR48" s="21">
        <v>23.977399999999999</v>
      </c>
      <c r="AS48" s="21">
        <v>-1.0699500000000001E-2</v>
      </c>
      <c r="AT48" s="21">
        <v>38</v>
      </c>
      <c r="AU48" s="21">
        <v>1.5979000000000001</v>
      </c>
      <c r="AV48">
        <f t="shared" si="8"/>
        <v>13.209259259259259</v>
      </c>
      <c r="AW48">
        <f t="shared" si="9"/>
        <v>21.117114407407406</v>
      </c>
      <c r="AX48" s="9"/>
      <c r="AY48" s="21">
        <v>9.1400099999999998E-2</v>
      </c>
      <c r="AZ48" s="21">
        <v>27.776499999999999</v>
      </c>
      <c r="BA48" s="21">
        <v>-1.4505000000000001E-2</v>
      </c>
      <c r="BB48" s="21">
        <v>38</v>
      </c>
      <c r="BC48" s="21">
        <v>9.0972899999999995E-2</v>
      </c>
      <c r="BD48">
        <f t="shared" si="10"/>
        <v>17.907407407407408</v>
      </c>
      <c r="BE48">
        <f t="shared" si="11"/>
        <v>1.6367388277777779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5.3890900000000004</v>
      </c>
      <c r="I49" s="21">
        <v>-1.1224400000000001E-2</v>
      </c>
      <c r="J49" s="21">
        <v>39</v>
      </c>
      <c r="K49" s="21">
        <v>1.5927100000000001</v>
      </c>
      <c r="L49">
        <f t="shared" si="0"/>
        <v>13.857283950617285</v>
      </c>
      <c r="M49">
        <f t="shared" si="1"/>
        <v>22.083383422222226</v>
      </c>
      <c r="N49" s="9"/>
      <c r="O49" s="21">
        <v>9.6435499999999993E-2</v>
      </c>
      <c r="P49" s="21">
        <v>9.1881400000000006</v>
      </c>
      <c r="Q49" s="21">
        <v>-1.45203E-2</v>
      </c>
      <c r="R49" s="21">
        <v>39</v>
      </c>
      <c r="S49" s="21">
        <v>9.5886200000000005E-2</v>
      </c>
      <c r="T49">
        <f t="shared" si="2"/>
        <v>17.926296296296293</v>
      </c>
      <c r="U49">
        <f t="shared" si="3"/>
        <v>1.7287313464814811</v>
      </c>
      <c r="X49" s="9"/>
      <c r="Y49" s="21">
        <v>1.5936300000000001</v>
      </c>
      <c r="Z49" s="21">
        <v>14.750299999999999</v>
      </c>
      <c r="AA49" s="21">
        <v>-1.1135900000000001E-2</v>
      </c>
      <c r="AB49" s="21">
        <v>39</v>
      </c>
      <c r="AC49" s="21">
        <v>1.5936300000000001</v>
      </c>
      <c r="AD49">
        <f t="shared" si="4"/>
        <v>13.748024691358024</v>
      </c>
      <c r="AE49">
        <f t="shared" si="5"/>
        <v>21.909264588888888</v>
      </c>
      <c r="AF49" s="9"/>
      <c r="AG49" s="21">
        <v>9.6435499999999993E-2</v>
      </c>
      <c r="AH49" s="21">
        <v>18.549299999999999</v>
      </c>
      <c r="AI49" s="21">
        <v>-1.4578199999999999E-2</v>
      </c>
      <c r="AJ49" s="21">
        <v>39</v>
      </c>
      <c r="AK49" s="21">
        <v>9.5886200000000005E-2</v>
      </c>
      <c r="AL49">
        <f t="shared" si="6"/>
        <v>17.997777777777777</v>
      </c>
      <c r="AM49">
        <f t="shared" si="7"/>
        <v>1.7356246988888888</v>
      </c>
      <c r="AP49" s="9"/>
      <c r="AQ49" s="21">
        <v>1.5936300000000001</v>
      </c>
      <c r="AR49" s="21">
        <v>23.987500000000001</v>
      </c>
      <c r="AS49" s="21">
        <v>-1.08459E-2</v>
      </c>
      <c r="AT49" s="21">
        <v>39</v>
      </c>
      <c r="AU49" s="21">
        <v>1.5927100000000001</v>
      </c>
      <c r="AV49">
        <f t="shared" si="8"/>
        <v>13.389999999999999</v>
      </c>
      <c r="AW49">
        <f t="shared" si="9"/>
        <v>21.338705699999998</v>
      </c>
      <c r="AX49" s="9"/>
      <c r="AY49" s="21">
        <v>9.6435499999999993E-2</v>
      </c>
      <c r="AZ49" s="21">
        <v>27.7866</v>
      </c>
      <c r="BA49" s="21">
        <v>-1.44989E-2</v>
      </c>
      <c r="BB49" s="21">
        <v>39</v>
      </c>
      <c r="BC49" s="21">
        <v>9.5916699999999994E-2</v>
      </c>
      <c r="BD49">
        <f t="shared" si="10"/>
        <v>17.899876543209874</v>
      </c>
      <c r="BE49">
        <f t="shared" si="11"/>
        <v>1.7261835443827158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5.3991600000000002</v>
      </c>
      <c r="I50" s="21">
        <v>-1.1334199999999999E-2</v>
      </c>
      <c r="J50" s="21">
        <v>40</v>
      </c>
      <c r="K50" s="21">
        <v>1.58752</v>
      </c>
      <c r="L50">
        <f t="shared" si="0"/>
        <v>13.992839506172839</v>
      </c>
      <c r="M50">
        <f t="shared" si="1"/>
        <v>22.228884911111109</v>
      </c>
      <c r="N50" s="9"/>
      <c r="O50" s="21">
        <v>0.10147100000000001</v>
      </c>
      <c r="P50" s="21">
        <v>9.1982099999999996</v>
      </c>
      <c r="Q50" s="21">
        <v>-1.4517199999999999E-2</v>
      </c>
      <c r="R50" s="21">
        <v>40</v>
      </c>
      <c r="S50" s="21">
        <v>0.100983</v>
      </c>
      <c r="T50">
        <f t="shared" si="2"/>
        <v>17.922469135802466</v>
      </c>
      <c r="U50">
        <f t="shared" si="3"/>
        <v>1.8186108656790121</v>
      </c>
      <c r="X50" s="9"/>
      <c r="Y50" s="21">
        <v>1.5885899999999999</v>
      </c>
      <c r="Z50" s="21">
        <v>14.760400000000001</v>
      </c>
      <c r="AA50" s="21">
        <v>-1.12549E-2</v>
      </c>
      <c r="AB50" s="21">
        <v>40</v>
      </c>
      <c r="AC50" s="21">
        <v>1.5878300000000001</v>
      </c>
      <c r="AD50">
        <f t="shared" si="4"/>
        <v>13.894938271604937</v>
      </c>
      <c r="AE50">
        <f t="shared" si="5"/>
        <v>22.073359988888885</v>
      </c>
      <c r="AF50" s="9"/>
      <c r="AG50" s="21">
        <v>0.10147100000000001</v>
      </c>
      <c r="AH50" s="21">
        <v>18.5594</v>
      </c>
      <c r="AI50" s="21">
        <v>-1.4563E-2</v>
      </c>
      <c r="AJ50" s="21">
        <v>40</v>
      </c>
      <c r="AK50" s="21">
        <v>0.100922</v>
      </c>
      <c r="AL50">
        <f t="shared" si="6"/>
        <v>17.979012345679013</v>
      </c>
      <c r="AM50">
        <f t="shared" si="7"/>
        <v>1.8243483617283953</v>
      </c>
      <c r="AP50" s="9"/>
      <c r="AQ50" s="21">
        <v>1.5885899999999999</v>
      </c>
      <c r="AR50" s="21">
        <v>23.997599999999998</v>
      </c>
      <c r="AS50" s="21">
        <v>-1.0974100000000001E-2</v>
      </c>
      <c r="AT50" s="21">
        <v>40</v>
      </c>
      <c r="AU50" s="21">
        <v>1.5878300000000001</v>
      </c>
      <c r="AV50">
        <f t="shared" si="8"/>
        <v>13.548271604938272</v>
      </c>
      <c r="AW50">
        <f t="shared" si="9"/>
        <v>21.522648788888887</v>
      </c>
      <c r="AX50" s="9"/>
      <c r="AY50" s="21">
        <v>0.10147100000000001</v>
      </c>
      <c r="AZ50" s="21">
        <v>27.796600000000002</v>
      </c>
      <c r="BA50" s="21">
        <v>-1.44867E-2</v>
      </c>
      <c r="BB50" s="21">
        <v>40</v>
      </c>
      <c r="BC50" s="21">
        <v>0.100952</v>
      </c>
      <c r="BD50">
        <f t="shared" si="10"/>
        <v>17.884814814814817</v>
      </c>
      <c r="BE50">
        <f t="shared" si="11"/>
        <v>1.8147900440740743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5.40923</v>
      </c>
      <c r="I51" s="21">
        <v>-1.1428799999999999E-2</v>
      </c>
      <c r="J51" s="21">
        <v>41</v>
      </c>
      <c r="K51" s="21">
        <v>1.5823400000000001</v>
      </c>
      <c r="L51">
        <f t="shared" si="0"/>
        <v>14.109629629629628</v>
      </c>
      <c r="M51">
        <f t="shared" si="1"/>
        <v>22.343445096296296</v>
      </c>
      <c r="N51" s="9"/>
      <c r="O51" s="21">
        <v>0.106506</v>
      </c>
      <c r="P51" s="21">
        <v>9.2082800000000002</v>
      </c>
      <c r="Q51" s="21">
        <v>-1.45142E-2</v>
      </c>
      <c r="R51" s="21">
        <v>41</v>
      </c>
      <c r="S51" s="21">
        <v>0.105957</v>
      </c>
      <c r="T51">
        <f t="shared" si="2"/>
        <v>17.918765432098763</v>
      </c>
      <c r="U51">
        <f t="shared" si="3"/>
        <v>1.908456031111111</v>
      </c>
      <c r="X51" s="9"/>
      <c r="Y51" s="21">
        <v>1.5835600000000001</v>
      </c>
      <c r="Z51" s="21">
        <v>14.7704</v>
      </c>
      <c r="AA51" s="21">
        <v>-1.13586E-2</v>
      </c>
      <c r="AB51" s="21">
        <v>41</v>
      </c>
      <c r="AC51" s="21">
        <v>1.5823400000000001</v>
      </c>
      <c r="AD51">
        <f t="shared" si="4"/>
        <v>14.022962962962962</v>
      </c>
      <c r="AE51">
        <f t="shared" si="5"/>
        <v>22.206203229629629</v>
      </c>
      <c r="AF51" s="9"/>
      <c r="AG51" s="21">
        <v>0.106506</v>
      </c>
      <c r="AH51" s="21">
        <v>18.569500000000001</v>
      </c>
      <c r="AI51" s="21">
        <v>-1.45538E-2</v>
      </c>
      <c r="AJ51" s="21">
        <v>41</v>
      </c>
      <c r="AK51" s="21">
        <v>0.106018</v>
      </c>
      <c r="AL51">
        <f t="shared" si="6"/>
        <v>17.967654320987652</v>
      </c>
      <c r="AM51">
        <f t="shared" si="7"/>
        <v>1.9136629911111109</v>
      </c>
      <c r="AP51" s="9"/>
      <c r="AQ51" s="21">
        <v>1.5835600000000001</v>
      </c>
      <c r="AR51" s="21">
        <v>24.0077</v>
      </c>
      <c r="AS51" s="21">
        <v>-1.1084E-2</v>
      </c>
      <c r="AT51" s="21">
        <v>41</v>
      </c>
      <c r="AU51" s="21">
        <v>1.5829500000000001</v>
      </c>
      <c r="AV51">
        <f t="shared" si="8"/>
        <v>13.68395061728395</v>
      </c>
      <c r="AW51">
        <f t="shared" si="9"/>
        <v>21.669356839506172</v>
      </c>
      <c r="AX51" s="9"/>
      <c r="AY51" s="21">
        <v>0.106506</v>
      </c>
      <c r="AZ51" s="21">
        <v>27.806699999999999</v>
      </c>
      <c r="BA51" s="21">
        <v>-1.4477500000000001E-2</v>
      </c>
      <c r="BB51" s="21">
        <v>41</v>
      </c>
      <c r="BC51" s="21">
        <v>0.10607900000000001</v>
      </c>
      <c r="BD51">
        <f t="shared" si="10"/>
        <v>17.873456790123456</v>
      </c>
      <c r="BE51">
        <f t="shared" si="11"/>
        <v>1.9036303888888888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5.4192999999999998</v>
      </c>
      <c r="I52" s="21">
        <v>-1.15234E-2</v>
      </c>
      <c r="J52" s="21">
        <v>42</v>
      </c>
      <c r="K52" s="21">
        <v>1.57745</v>
      </c>
      <c r="L52">
        <f t="shared" si="0"/>
        <v>14.226419753086418</v>
      </c>
      <c r="M52">
        <f t="shared" si="1"/>
        <v>22.45668810864197</v>
      </c>
      <c r="N52" s="9"/>
      <c r="O52" s="21">
        <v>0.111542</v>
      </c>
      <c r="P52" s="21">
        <v>9.2183499999999992</v>
      </c>
      <c r="Q52" s="21">
        <v>-1.45142E-2</v>
      </c>
      <c r="R52" s="21">
        <v>42</v>
      </c>
      <c r="S52" s="21">
        <v>0.111053</v>
      </c>
      <c r="T52">
        <f t="shared" si="2"/>
        <v>17.918765432098763</v>
      </c>
      <c r="U52">
        <f t="shared" si="3"/>
        <v>1.9986949338271602</v>
      </c>
      <c r="X52" s="9"/>
      <c r="Y52" s="21">
        <v>1.5785199999999999</v>
      </c>
      <c r="Z52" s="21">
        <v>14.7805</v>
      </c>
      <c r="AA52" s="21">
        <v>-1.14594E-2</v>
      </c>
      <c r="AB52" s="21">
        <v>42</v>
      </c>
      <c r="AC52" s="21">
        <v>1.5777600000000001</v>
      </c>
      <c r="AD52">
        <f t="shared" si="4"/>
        <v>14.147407407407405</v>
      </c>
      <c r="AE52">
        <f t="shared" si="5"/>
        <v>22.331965540740736</v>
      </c>
      <c r="AF52" s="9"/>
      <c r="AG52" s="21">
        <v>0.111542</v>
      </c>
      <c r="AH52" s="21">
        <v>18.579499999999999</v>
      </c>
      <c r="AI52" s="21">
        <v>-1.45538E-2</v>
      </c>
      <c r="AJ52" s="21">
        <v>42</v>
      </c>
      <c r="AK52" s="21">
        <v>0.111053</v>
      </c>
      <c r="AL52">
        <f t="shared" si="6"/>
        <v>17.967654320987652</v>
      </c>
      <c r="AM52">
        <f t="shared" si="7"/>
        <v>2.0041480982716049</v>
      </c>
      <c r="AP52" s="9"/>
      <c r="AQ52" s="21">
        <v>1.5785199999999999</v>
      </c>
      <c r="AR52" s="21">
        <v>24.017700000000001</v>
      </c>
      <c r="AS52" s="21">
        <v>-1.12E-2</v>
      </c>
      <c r="AT52" s="21">
        <v>42</v>
      </c>
      <c r="AU52" s="21">
        <v>1.5777600000000001</v>
      </c>
      <c r="AV52">
        <f t="shared" si="8"/>
        <v>13.82716049382716</v>
      </c>
      <c r="AW52">
        <f t="shared" si="9"/>
        <v>21.826449382716046</v>
      </c>
      <c r="AX52" s="9"/>
      <c r="AY52" s="21">
        <v>0.111542</v>
      </c>
      <c r="AZ52" s="21">
        <v>27.816800000000001</v>
      </c>
      <c r="BA52" s="21">
        <v>-1.4462300000000001E-2</v>
      </c>
      <c r="BB52" s="21">
        <v>42</v>
      </c>
      <c r="BC52" s="21">
        <v>0.111053</v>
      </c>
      <c r="BD52">
        <f t="shared" si="10"/>
        <v>17.854691358024692</v>
      </c>
      <c r="BE52">
        <f t="shared" si="11"/>
        <v>1.9915479834567902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5.4293800000000001</v>
      </c>
      <c r="I53" s="21">
        <v>-1.1615E-2</v>
      </c>
      <c r="J53" s="21">
        <v>43</v>
      </c>
      <c r="K53" s="21">
        <v>1.57318</v>
      </c>
      <c r="L53">
        <f t="shared" si="0"/>
        <v>14.339506172839505</v>
      </c>
      <c r="M53">
        <f t="shared" si="1"/>
        <v>22.563069567901234</v>
      </c>
      <c r="N53" s="9"/>
      <c r="O53" s="21">
        <v>0.116577</v>
      </c>
      <c r="P53" s="21">
        <v>9.2284199999999998</v>
      </c>
      <c r="Q53" s="21">
        <v>-1.4517199999999999E-2</v>
      </c>
      <c r="R53" s="21">
        <v>43</v>
      </c>
      <c r="S53" s="21">
        <v>0.116089</v>
      </c>
      <c r="T53">
        <f t="shared" si="2"/>
        <v>17.922469135802466</v>
      </c>
      <c r="U53">
        <f t="shared" si="3"/>
        <v>2.0893476844444439</v>
      </c>
      <c r="X53" s="9"/>
      <c r="Y53" s="21">
        <v>1.5734900000000001</v>
      </c>
      <c r="Z53" s="21">
        <v>14.7906</v>
      </c>
      <c r="AA53" s="21">
        <v>-1.1550899999999999E-2</v>
      </c>
      <c r="AB53" s="21">
        <v>43</v>
      </c>
      <c r="AC53" s="21">
        <v>1.57257</v>
      </c>
      <c r="AD53">
        <f t="shared" si="4"/>
        <v>14.260370370370369</v>
      </c>
      <c r="AE53">
        <f t="shared" si="5"/>
        <v>22.438550174074074</v>
      </c>
      <c r="AF53" s="9"/>
      <c r="AG53" s="21">
        <v>0.116577</v>
      </c>
      <c r="AH53" s="21">
        <v>18.589600000000001</v>
      </c>
      <c r="AI53" s="21">
        <v>-1.4556899999999999E-2</v>
      </c>
      <c r="AJ53" s="21">
        <v>43</v>
      </c>
      <c r="AK53" s="21">
        <v>0.11605799999999999</v>
      </c>
      <c r="AL53">
        <f t="shared" si="6"/>
        <v>17.971481481481479</v>
      </c>
      <c r="AM53">
        <f t="shared" si="7"/>
        <v>2.0950613966666665</v>
      </c>
      <c r="AP53" s="9"/>
      <c r="AQ53" s="21">
        <v>1.5734900000000001</v>
      </c>
      <c r="AR53" s="21">
        <v>24.027799999999999</v>
      </c>
      <c r="AS53" s="21">
        <v>-1.1318999999999999E-2</v>
      </c>
      <c r="AT53" s="21">
        <v>43</v>
      </c>
      <c r="AU53" s="21">
        <v>1.5728800000000001</v>
      </c>
      <c r="AV53">
        <f t="shared" si="8"/>
        <v>13.974074074074073</v>
      </c>
      <c r="AW53">
        <f t="shared" si="9"/>
        <v>21.988065814814814</v>
      </c>
      <c r="AX53" s="9"/>
      <c r="AY53" s="21">
        <v>0.116577</v>
      </c>
      <c r="AZ53" s="21">
        <v>27.826799999999999</v>
      </c>
      <c r="BA53" s="21">
        <v>-1.4456200000000001E-2</v>
      </c>
      <c r="BB53" s="21">
        <v>43</v>
      </c>
      <c r="BC53" s="21">
        <v>0.116119</v>
      </c>
      <c r="BD53">
        <f t="shared" si="10"/>
        <v>17.847160493827161</v>
      </c>
      <c r="BE53">
        <f t="shared" si="11"/>
        <v>2.0805684288888888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5.4394499999999999</v>
      </c>
      <c r="I54" s="21">
        <v>-1.17004E-2</v>
      </c>
      <c r="J54" s="21">
        <v>44</v>
      </c>
      <c r="K54" s="21">
        <v>1.56738</v>
      </c>
      <c r="L54">
        <f t="shared" si="0"/>
        <v>14.444938271604938</v>
      </c>
      <c r="M54">
        <f t="shared" si="1"/>
        <v>22.656163432098765</v>
      </c>
      <c r="N54" s="9"/>
      <c r="O54" s="21">
        <v>0.121613</v>
      </c>
      <c r="P54" s="21">
        <v>9.2384900000000005</v>
      </c>
      <c r="Q54" s="21">
        <v>-1.45203E-2</v>
      </c>
      <c r="R54" s="21">
        <v>44</v>
      </c>
      <c r="S54" s="21">
        <v>0.121002</v>
      </c>
      <c r="T54">
        <f t="shared" si="2"/>
        <v>17.926296296296293</v>
      </c>
      <c r="U54">
        <f t="shared" si="3"/>
        <v>2.1800706714814813</v>
      </c>
      <c r="X54" s="9"/>
      <c r="Y54" s="21">
        <v>1.5684499999999999</v>
      </c>
      <c r="Z54" s="21">
        <v>14.800599999999999</v>
      </c>
      <c r="AA54" s="21">
        <v>-1.1639399999999999E-2</v>
      </c>
      <c r="AB54" s="21">
        <v>44</v>
      </c>
      <c r="AC54" s="21">
        <v>1.56708</v>
      </c>
      <c r="AD54">
        <f t="shared" si="4"/>
        <v>14.369629629629628</v>
      </c>
      <c r="AE54">
        <f t="shared" si="5"/>
        <v>22.538045592592589</v>
      </c>
      <c r="AF54" s="9"/>
      <c r="AG54" s="21">
        <v>0.121613</v>
      </c>
      <c r="AH54" s="21">
        <v>18.599699999999999</v>
      </c>
      <c r="AI54" s="21">
        <v>-1.4556899999999999E-2</v>
      </c>
      <c r="AJ54" s="21">
        <v>44</v>
      </c>
      <c r="AK54" s="21">
        <v>0.121033</v>
      </c>
      <c r="AL54">
        <f t="shared" si="6"/>
        <v>17.971481481481479</v>
      </c>
      <c r="AM54">
        <f t="shared" si="7"/>
        <v>2.1855657774074073</v>
      </c>
      <c r="AP54" s="9"/>
      <c r="AQ54" s="21">
        <v>1.5684499999999999</v>
      </c>
      <c r="AR54" s="21">
        <v>24.0379</v>
      </c>
      <c r="AS54" s="21">
        <v>-1.14197E-2</v>
      </c>
      <c r="AT54" s="21">
        <v>44</v>
      </c>
      <c r="AU54" s="21">
        <v>1.56799</v>
      </c>
      <c r="AV54">
        <f t="shared" si="8"/>
        <v>14.098395061728393</v>
      </c>
      <c r="AW54">
        <f t="shared" si="9"/>
        <v>22.112627734567898</v>
      </c>
      <c r="AX54" s="9"/>
      <c r="AY54" s="21">
        <v>0.121613</v>
      </c>
      <c r="AZ54" s="21">
        <v>27.8369</v>
      </c>
      <c r="BA54" s="21">
        <v>-1.4447E-2</v>
      </c>
      <c r="BB54" s="21">
        <v>44</v>
      </c>
      <c r="BC54" s="21">
        <v>0.121124</v>
      </c>
      <c r="BD54">
        <f t="shared" si="10"/>
        <v>17.8358024691358</v>
      </c>
      <c r="BE54">
        <f t="shared" si="11"/>
        <v>2.1690654456790122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5.4495199999999997</v>
      </c>
      <c r="I55" s="21">
        <v>-1.17828E-2</v>
      </c>
      <c r="J55" s="21">
        <v>45</v>
      </c>
      <c r="K55" s="21">
        <v>1.56281</v>
      </c>
      <c r="L55">
        <f t="shared" si="0"/>
        <v>14.546666666666665</v>
      </c>
      <c r="M55">
        <f t="shared" si="1"/>
        <v>22.742549599999997</v>
      </c>
      <c r="N55" s="9"/>
      <c r="O55" s="21">
        <v>0.12664800000000001</v>
      </c>
      <c r="P55" s="21">
        <v>9.2485700000000008</v>
      </c>
      <c r="Q55" s="21">
        <v>-1.45142E-2</v>
      </c>
      <c r="R55" s="21">
        <v>45</v>
      </c>
      <c r="S55" s="21">
        <v>0.12600700000000001</v>
      </c>
      <c r="T55">
        <f t="shared" si="2"/>
        <v>17.918765432098763</v>
      </c>
      <c r="U55">
        <f t="shared" si="3"/>
        <v>2.2693758044444441</v>
      </c>
      <c r="X55" s="9"/>
      <c r="Y55" s="21">
        <v>1.56342</v>
      </c>
      <c r="Z55" s="21">
        <v>14.810700000000001</v>
      </c>
      <c r="AA55" s="21">
        <v>-1.1721799999999999E-2</v>
      </c>
      <c r="AB55" s="21">
        <v>45</v>
      </c>
      <c r="AC55" s="21">
        <v>1.5625</v>
      </c>
      <c r="AD55">
        <f t="shared" si="4"/>
        <v>14.471358024691357</v>
      </c>
      <c r="AE55">
        <f t="shared" si="5"/>
        <v>22.624810562962963</v>
      </c>
      <c r="AF55" s="9"/>
      <c r="AG55" s="21">
        <v>0.12664800000000001</v>
      </c>
      <c r="AH55" s="21">
        <v>18.6098</v>
      </c>
      <c r="AI55" s="21">
        <v>-1.4563E-2</v>
      </c>
      <c r="AJ55" s="21">
        <v>45</v>
      </c>
      <c r="AK55" s="21">
        <v>0.12612899999999999</v>
      </c>
      <c r="AL55">
        <f t="shared" si="6"/>
        <v>17.979012345679013</v>
      </c>
      <c r="AM55">
        <f t="shared" si="7"/>
        <v>2.277005955555556</v>
      </c>
      <c r="AP55" s="9"/>
      <c r="AQ55" s="21">
        <v>1.56342</v>
      </c>
      <c r="AR55" s="21">
        <v>24.047899999999998</v>
      </c>
      <c r="AS55" s="21">
        <v>-1.15082E-2</v>
      </c>
      <c r="AT55" s="21">
        <v>45</v>
      </c>
      <c r="AU55" s="21">
        <v>1.56281</v>
      </c>
      <c r="AV55">
        <f t="shared" si="8"/>
        <v>14.207654320987654</v>
      </c>
      <c r="AW55">
        <f t="shared" si="9"/>
        <v>22.212530918518517</v>
      </c>
      <c r="AX55" s="9"/>
      <c r="AY55" s="21">
        <v>0.12664800000000001</v>
      </c>
      <c r="AZ55" s="21">
        <v>27.847000000000001</v>
      </c>
      <c r="BA55" s="21">
        <v>-1.44409E-2</v>
      </c>
      <c r="BB55" s="21">
        <v>45</v>
      </c>
      <c r="BC55" s="21">
        <v>0.12619</v>
      </c>
      <c r="BD55">
        <f t="shared" si="10"/>
        <v>17.828271604938269</v>
      </c>
      <c r="BE55">
        <f t="shared" si="11"/>
        <v>2.257914942222222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5.4595900000000004</v>
      </c>
      <c r="I56" s="21">
        <v>-1.1853000000000001E-2</v>
      </c>
      <c r="J56" s="21">
        <v>46</v>
      </c>
      <c r="K56" s="21">
        <v>1.55762</v>
      </c>
      <c r="L56">
        <f t="shared" si="0"/>
        <v>14.633333333333333</v>
      </c>
      <c r="M56">
        <f t="shared" si="1"/>
        <v>22.804294000000002</v>
      </c>
      <c r="N56" s="9"/>
      <c r="O56" s="21">
        <v>0.13168299999999999</v>
      </c>
      <c r="P56" s="21">
        <v>9.2586399999999998</v>
      </c>
      <c r="Q56" s="21">
        <v>-1.4511100000000001E-2</v>
      </c>
      <c r="R56" s="21">
        <v>46</v>
      </c>
      <c r="S56" s="21">
        <v>0.13122600000000001</v>
      </c>
      <c r="T56">
        <f t="shared" si="2"/>
        <v>17.914938271604939</v>
      </c>
      <c r="U56">
        <f t="shared" si="3"/>
        <v>2.3590928164197531</v>
      </c>
      <c r="X56" s="9"/>
      <c r="Y56" s="21">
        <v>1.5583800000000001</v>
      </c>
      <c r="Z56" s="21">
        <v>14.8208</v>
      </c>
      <c r="AA56" s="21">
        <v>-1.1804200000000001E-2</v>
      </c>
      <c r="AB56" s="21">
        <v>46</v>
      </c>
      <c r="AC56" s="21">
        <v>1.55762</v>
      </c>
      <c r="AD56">
        <f t="shared" si="4"/>
        <v>14.573086419753087</v>
      </c>
      <c r="AE56">
        <f t="shared" si="5"/>
        <v>22.710406414814816</v>
      </c>
      <c r="AF56" s="9"/>
      <c r="AG56" s="21">
        <v>0.13168299999999999</v>
      </c>
      <c r="AH56" s="21">
        <v>18.619800000000001</v>
      </c>
      <c r="AI56" s="21">
        <v>-1.4566000000000001E-2</v>
      </c>
      <c r="AJ56" s="21">
        <v>46</v>
      </c>
      <c r="AK56" s="21">
        <v>0.13098099999999999</v>
      </c>
      <c r="AL56">
        <f t="shared" si="6"/>
        <v>17.982716049382717</v>
      </c>
      <c r="AM56">
        <f t="shared" si="7"/>
        <v>2.3680179975308642</v>
      </c>
      <c r="AP56" s="9"/>
      <c r="AQ56" s="21">
        <v>1.5583800000000001</v>
      </c>
      <c r="AR56" s="21">
        <v>24.058</v>
      </c>
      <c r="AS56" s="21">
        <v>-1.1593600000000001E-2</v>
      </c>
      <c r="AT56" s="21">
        <v>46</v>
      </c>
      <c r="AU56" s="21">
        <v>1.55731</v>
      </c>
      <c r="AV56">
        <f t="shared" si="8"/>
        <v>14.313086419753086</v>
      </c>
      <c r="AW56">
        <f t="shared" si="9"/>
        <v>22.305227614814815</v>
      </c>
      <c r="AX56" s="9"/>
      <c r="AY56" s="21">
        <v>0.13168299999999999</v>
      </c>
      <c r="AZ56" s="21">
        <v>27.857099999999999</v>
      </c>
      <c r="BA56" s="21">
        <v>-1.44501E-2</v>
      </c>
      <c r="BB56" s="21">
        <v>46</v>
      </c>
      <c r="BC56" s="21">
        <v>0.131134</v>
      </c>
      <c r="BD56">
        <f t="shared" si="10"/>
        <v>17.839629629629631</v>
      </c>
      <c r="BE56">
        <f t="shared" si="11"/>
        <v>2.3491759485185186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5.4696600000000002</v>
      </c>
      <c r="I57" s="21">
        <v>-1.19232E-2</v>
      </c>
      <c r="J57" s="21">
        <v>47</v>
      </c>
      <c r="K57" s="21">
        <v>1.55243</v>
      </c>
      <c r="L57">
        <f t="shared" si="0"/>
        <v>14.719999999999999</v>
      </c>
      <c r="M57">
        <f t="shared" si="1"/>
        <v>22.865164799999999</v>
      </c>
      <c r="N57" s="9"/>
      <c r="O57" s="21">
        <v>0.13671900000000001</v>
      </c>
      <c r="P57" s="21">
        <v>9.2687100000000004</v>
      </c>
      <c r="Q57" s="21">
        <v>-1.44989E-2</v>
      </c>
      <c r="R57" s="21">
        <v>47</v>
      </c>
      <c r="S57" s="21">
        <v>0.13610800000000001</v>
      </c>
      <c r="T57">
        <f t="shared" si="2"/>
        <v>17.899876543209874</v>
      </c>
      <c r="U57">
        <f t="shared" si="3"/>
        <v>2.4472532211111111</v>
      </c>
      <c r="X57" s="9"/>
      <c r="Y57" s="21">
        <v>1.5533399999999999</v>
      </c>
      <c r="Z57" s="21">
        <v>14.8308</v>
      </c>
      <c r="AA57" s="21">
        <v>-1.18835E-2</v>
      </c>
      <c r="AB57" s="21">
        <v>47</v>
      </c>
      <c r="AC57" s="21">
        <v>1.5521199999999999</v>
      </c>
      <c r="AD57">
        <f t="shared" si="4"/>
        <v>14.670987654320987</v>
      </c>
      <c r="AE57">
        <f t="shared" si="5"/>
        <v>22.789031962962962</v>
      </c>
      <c r="AF57" s="9"/>
      <c r="AG57" s="21">
        <v>0.13671900000000001</v>
      </c>
      <c r="AH57" s="21">
        <v>18.629899999999999</v>
      </c>
      <c r="AI57" s="21">
        <v>-1.4559900000000001E-2</v>
      </c>
      <c r="AJ57" s="21">
        <v>47</v>
      </c>
      <c r="AK57" s="21">
        <v>0.13613900000000001</v>
      </c>
      <c r="AL57">
        <f t="shared" si="6"/>
        <v>17.975185185185186</v>
      </c>
      <c r="AM57">
        <f t="shared" si="7"/>
        <v>2.4575493433333335</v>
      </c>
      <c r="AP57" s="9"/>
      <c r="AQ57" s="21">
        <v>1.5533399999999999</v>
      </c>
      <c r="AR57" s="21">
        <v>24.068100000000001</v>
      </c>
      <c r="AS57" s="21">
        <v>-1.1666899999999999E-2</v>
      </c>
      <c r="AT57" s="21">
        <v>47</v>
      </c>
      <c r="AU57" s="21">
        <v>1.55243</v>
      </c>
      <c r="AV57">
        <f t="shared" si="8"/>
        <v>14.403580246913579</v>
      </c>
      <c r="AW57">
        <f t="shared" si="9"/>
        <v>22.373657340740738</v>
      </c>
      <c r="AX57" s="9"/>
      <c r="AY57" s="21">
        <v>0.13671900000000001</v>
      </c>
      <c r="AZ57" s="21">
        <v>27.867100000000001</v>
      </c>
      <c r="BA57" s="21">
        <v>-1.44501E-2</v>
      </c>
      <c r="BB57" s="21">
        <v>47</v>
      </c>
      <c r="BC57" s="21">
        <v>0.13622999999999999</v>
      </c>
      <c r="BD57">
        <f t="shared" si="10"/>
        <v>17.839629629629631</v>
      </c>
      <c r="BE57">
        <f t="shared" si="11"/>
        <v>2.4390163233333335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5.47973</v>
      </c>
      <c r="I58" s="21">
        <v>-1.19934E-2</v>
      </c>
      <c r="J58" s="21">
        <v>48</v>
      </c>
      <c r="K58" s="21">
        <v>1.54755</v>
      </c>
      <c r="L58">
        <f t="shared" si="0"/>
        <v>14.806666666666667</v>
      </c>
      <c r="M58">
        <f t="shared" si="1"/>
        <v>22.925310066666668</v>
      </c>
      <c r="N58" s="9"/>
      <c r="O58" s="21">
        <v>0.14175399999999999</v>
      </c>
      <c r="P58" s="21">
        <v>9.2787799999999994</v>
      </c>
      <c r="Q58" s="21">
        <v>-1.44867E-2</v>
      </c>
      <c r="R58" s="21">
        <v>48</v>
      </c>
      <c r="S58" s="21">
        <v>0.14117399999999999</v>
      </c>
      <c r="T58">
        <f t="shared" si="2"/>
        <v>17.884814814814817</v>
      </c>
      <c r="U58">
        <f t="shared" si="3"/>
        <v>2.5352440392592595</v>
      </c>
      <c r="X58" s="9"/>
      <c r="Y58" s="21">
        <v>1.5483100000000001</v>
      </c>
      <c r="Z58" s="21">
        <v>14.8409</v>
      </c>
      <c r="AA58" s="21">
        <v>-1.19507E-2</v>
      </c>
      <c r="AB58" s="21">
        <v>48</v>
      </c>
      <c r="AC58" s="21">
        <v>1.5472399999999999</v>
      </c>
      <c r="AD58">
        <f t="shared" si="4"/>
        <v>14.75395061728395</v>
      </c>
      <c r="AE58">
        <f t="shared" si="5"/>
        <v>22.843689280246913</v>
      </c>
      <c r="AF58" s="9"/>
      <c r="AG58" s="21">
        <v>0.14175399999999999</v>
      </c>
      <c r="AH58" s="21">
        <v>18.64</v>
      </c>
      <c r="AI58" s="21">
        <v>-1.4556899999999999E-2</v>
      </c>
      <c r="AJ58" s="21">
        <v>48</v>
      </c>
      <c r="AK58" s="21">
        <v>0.14117399999999999</v>
      </c>
      <c r="AL58">
        <f t="shared" si="6"/>
        <v>17.971481481481479</v>
      </c>
      <c r="AM58">
        <f t="shared" si="7"/>
        <v>2.5475293859259254</v>
      </c>
      <c r="AP58" s="9"/>
      <c r="AQ58" s="21">
        <v>1.5483100000000001</v>
      </c>
      <c r="AR58" s="21">
        <v>24.078099999999999</v>
      </c>
      <c r="AS58" s="21">
        <v>-1.1743200000000001E-2</v>
      </c>
      <c r="AT58" s="21">
        <v>48</v>
      </c>
      <c r="AU58" s="21">
        <v>1.5478499999999999</v>
      </c>
      <c r="AV58">
        <f t="shared" si="8"/>
        <v>14.497777777777777</v>
      </c>
      <c r="AW58">
        <f t="shared" si="9"/>
        <v>22.447054311111113</v>
      </c>
      <c r="AX58" s="9"/>
      <c r="AY58" s="21">
        <v>0.14175399999999999</v>
      </c>
      <c r="AZ58" s="21">
        <v>27.877199999999998</v>
      </c>
      <c r="BA58" s="21">
        <v>-1.4456200000000001E-2</v>
      </c>
      <c r="BB58" s="21">
        <v>48</v>
      </c>
      <c r="BC58" s="21">
        <v>0.141235</v>
      </c>
      <c r="BD58">
        <f t="shared" si="10"/>
        <v>17.847160493827161</v>
      </c>
      <c r="BE58">
        <f t="shared" si="11"/>
        <v>2.529906388641975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5.4897999999999998</v>
      </c>
      <c r="I59" s="21">
        <v>-1.2063600000000001E-2</v>
      </c>
      <c r="J59" s="21">
        <v>49</v>
      </c>
      <c r="K59" s="21">
        <v>1.5426599999999999</v>
      </c>
      <c r="L59">
        <f t="shared" si="0"/>
        <v>14.893333333333333</v>
      </c>
      <c r="M59">
        <f t="shared" si="1"/>
        <v>22.984434533333332</v>
      </c>
      <c r="N59" s="9"/>
      <c r="O59" s="21">
        <v>0.14679</v>
      </c>
      <c r="P59" s="21">
        <v>9.2888500000000001</v>
      </c>
      <c r="Q59" s="21">
        <v>-1.44806E-2</v>
      </c>
      <c r="R59" s="21">
        <v>49</v>
      </c>
      <c r="S59" s="21">
        <v>0.14627100000000001</v>
      </c>
      <c r="T59">
        <f t="shared" si="2"/>
        <v>17.877283950617283</v>
      </c>
      <c r="U59">
        <f t="shared" si="3"/>
        <v>2.6242065111111113</v>
      </c>
      <c r="X59" s="9"/>
      <c r="Y59" s="21">
        <v>1.5432699999999999</v>
      </c>
      <c r="Z59" s="21">
        <v>14.851000000000001</v>
      </c>
      <c r="AA59" s="21">
        <v>-1.2020899999999999E-2</v>
      </c>
      <c r="AB59" s="21">
        <v>49</v>
      </c>
      <c r="AC59" s="21">
        <v>1.54236</v>
      </c>
      <c r="AD59">
        <f t="shared" si="4"/>
        <v>14.840617283950616</v>
      </c>
      <c r="AE59">
        <f t="shared" si="5"/>
        <v>22.903079435802464</v>
      </c>
      <c r="AF59" s="9"/>
      <c r="AG59" s="21">
        <v>0.14679</v>
      </c>
      <c r="AH59" s="21">
        <v>18.649999999999999</v>
      </c>
      <c r="AI59" s="21">
        <v>-1.45477E-2</v>
      </c>
      <c r="AJ59" s="21">
        <v>49</v>
      </c>
      <c r="AK59" s="21">
        <v>0.146179</v>
      </c>
      <c r="AL59">
        <f t="shared" si="6"/>
        <v>17.960123456790122</v>
      </c>
      <c r="AM59">
        <f t="shared" si="7"/>
        <v>2.6363665222222221</v>
      </c>
      <c r="AP59" s="9"/>
      <c r="AQ59" s="21">
        <v>1.5432699999999999</v>
      </c>
      <c r="AR59" s="21">
        <v>24.088200000000001</v>
      </c>
      <c r="AS59" s="21">
        <v>-1.18225E-2</v>
      </c>
      <c r="AT59" s="21">
        <v>49</v>
      </c>
      <c r="AU59" s="21">
        <v>1.5420499999999999</v>
      </c>
      <c r="AV59">
        <f t="shared" si="8"/>
        <v>14.595679012345677</v>
      </c>
      <c r="AW59">
        <f t="shared" si="9"/>
        <v>22.525073549382711</v>
      </c>
      <c r="AX59" s="9"/>
      <c r="AY59" s="21">
        <v>0.14679</v>
      </c>
      <c r="AZ59" s="21">
        <v>27.8873</v>
      </c>
      <c r="BA59" s="21">
        <v>-1.44409E-2</v>
      </c>
      <c r="BB59" s="21">
        <v>49</v>
      </c>
      <c r="BC59" s="21">
        <v>0.14627100000000001</v>
      </c>
      <c r="BD59">
        <f t="shared" si="10"/>
        <v>17.828271604938269</v>
      </c>
      <c r="BE59">
        <f t="shared" si="11"/>
        <v>2.6170119888888888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5.4998699999999996</v>
      </c>
      <c r="I60" s="21">
        <v>-1.21368E-2</v>
      </c>
      <c r="J60" s="21">
        <v>50</v>
      </c>
      <c r="K60" s="21">
        <v>1.53748</v>
      </c>
      <c r="L60">
        <f t="shared" si="0"/>
        <v>14.983703703703702</v>
      </c>
      <c r="M60">
        <f t="shared" si="1"/>
        <v>23.048532385185183</v>
      </c>
      <c r="N60" s="9"/>
      <c r="O60" s="21">
        <v>0.15182499999999999</v>
      </c>
      <c r="P60" s="21">
        <v>9.2989200000000007</v>
      </c>
      <c r="Q60" s="21">
        <v>-1.44806E-2</v>
      </c>
      <c r="R60" s="21">
        <v>50</v>
      </c>
      <c r="S60" s="21">
        <v>0.151337</v>
      </c>
      <c r="T60">
        <f t="shared" si="2"/>
        <v>17.877283950617283</v>
      </c>
      <c r="U60">
        <f t="shared" si="3"/>
        <v>2.7142186358024687</v>
      </c>
      <c r="X60" s="9"/>
      <c r="Y60" s="21">
        <v>1.5382400000000001</v>
      </c>
      <c r="Z60" s="21">
        <v>14.8611</v>
      </c>
      <c r="AA60" s="21">
        <v>-1.20789E-2</v>
      </c>
      <c r="AB60" s="21">
        <v>50</v>
      </c>
      <c r="AC60" s="21">
        <v>1.5377799999999999</v>
      </c>
      <c r="AD60">
        <f t="shared" si="4"/>
        <v>14.912222222222221</v>
      </c>
      <c r="AE60">
        <f t="shared" si="5"/>
        <v>22.938576711111111</v>
      </c>
      <c r="AF60" s="9"/>
      <c r="AG60" s="21">
        <v>0.15182499999999999</v>
      </c>
      <c r="AH60" s="21">
        <v>18.6601</v>
      </c>
      <c r="AI60" s="21">
        <v>-1.45386E-2</v>
      </c>
      <c r="AJ60" s="21">
        <v>50</v>
      </c>
      <c r="AK60" s="21">
        <v>0.15124499999999999</v>
      </c>
      <c r="AL60">
        <f t="shared" si="6"/>
        <v>17.948888888888888</v>
      </c>
      <c r="AM60">
        <f t="shared" si="7"/>
        <v>2.7250900555555551</v>
      </c>
      <c r="AP60" s="9"/>
      <c r="AQ60" s="21">
        <v>1.5382400000000001</v>
      </c>
      <c r="AR60" s="21">
        <v>24.098299999999998</v>
      </c>
      <c r="AS60" s="21">
        <v>-1.1892700000000001E-2</v>
      </c>
      <c r="AT60" s="21">
        <v>50</v>
      </c>
      <c r="AU60" s="21">
        <v>1.53748</v>
      </c>
      <c r="AV60">
        <f t="shared" si="8"/>
        <v>14.682345679012347</v>
      </c>
      <c r="AW60">
        <f t="shared" si="9"/>
        <v>22.584971417283953</v>
      </c>
      <c r="AX60" s="9"/>
      <c r="AY60" s="21">
        <v>0.15182499999999999</v>
      </c>
      <c r="AZ60" s="21">
        <v>27.897300000000001</v>
      </c>
      <c r="BA60" s="21">
        <v>-1.4434799999999999E-2</v>
      </c>
      <c r="BB60" s="21">
        <v>50</v>
      </c>
      <c r="BC60" s="21">
        <v>0.15127599999999999</v>
      </c>
      <c r="BD60">
        <f t="shared" si="10"/>
        <v>17.820740740740739</v>
      </c>
      <c r="BE60">
        <f t="shared" si="11"/>
        <v>2.7056339629629624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5.5099400000000003</v>
      </c>
      <c r="I61" s="21">
        <v>-1.21948E-2</v>
      </c>
      <c r="J61" s="21">
        <v>51</v>
      </c>
      <c r="K61" s="21">
        <v>1.5322899999999999</v>
      </c>
      <c r="L61">
        <f t="shared" si="0"/>
        <v>15.055308641975309</v>
      </c>
      <c r="M61">
        <f t="shared" si="1"/>
        <v>23.082799209876541</v>
      </c>
      <c r="N61" s="9"/>
      <c r="O61" s="21">
        <v>0.15686</v>
      </c>
      <c r="P61" s="21">
        <v>9.3089899999999997</v>
      </c>
      <c r="Q61" s="21">
        <v>-1.4477500000000001E-2</v>
      </c>
      <c r="R61" s="21">
        <v>51</v>
      </c>
      <c r="S61" s="21">
        <v>0.15634200000000001</v>
      </c>
      <c r="T61">
        <f t="shared" si="2"/>
        <v>17.873456790123456</v>
      </c>
      <c r="U61">
        <f t="shared" si="3"/>
        <v>2.8036304320987653</v>
      </c>
      <c r="X61" s="9"/>
      <c r="Y61" s="21">
        <v>1.5331999999999999</v>
      </c>
      <c r="Z61" s="21">
        <v>14.8711</v>
      </c>
      <c r="AA61" s="21">
        <v>-1.2146000000000001E-2</v>
      </c>
      <c r="AB61" s="21">
        <v>51</v>
      </c>
      <c r="AC61" s="21">
        <v>1.5322899999999999</v>
      </c>
      <c r="AD61">
        <f t="shared" si="4"/>
        <v>14.995061728395061</v>
      </c>
      <c r="AE61">
        <f t="shared" si="5"/>
        <v>22.990428641975306</v>
      </c>
      <c r="AF61" s="9"/>
      <c r="AG61" s="21">
        <v>0.15686</v>
      </c>
      <c r="AH61" s="21">
        <v>18.670200000000001</v>
      </c>
      <c r="AI61" s="21">
        <v>-1.45386E-2</v>
      </c>
      <c r="AJ61" s="21">
        <v>51</v>
      </c>
      <c r="AK61" s="21">
        <v>0.15631100000000001</v>
      </c>
      <c r="AL61">
        <f t="shared" si="6"/>
        <v>17.948888888888888</v>
      </c>
      <c r="AM61">
        <f t="shared" si="7"/>
        <v>2.815462711111111</v>
      </c>
      <c r="AP61" s="9"/>
      <c r="AQ61" s="21">
        <v>1.5331999999999999</v>
      </c>
      <c r="AR61" s="21">
        <v>24.1084</v>
      </c>
      <c r="AS61" s="21">
        <v>-1.19629E-2</v>
      </c>
      <c r="AT61" s="21">
        <v>51</v>
      </c>
      <c r="AU61" s="21">
        <v>1.5325899999999999</v>
      </c>
      <c r="AV61">
        <f t="shared" si="8"/>
        <v>14.769012345679011</v>
      </c>
      <c r="AW61">
        <f t="shared" si="9"/>
        <v>22.643849728395057</v>
      </c>
      <c r="AX61" s="9"/>
      <c r="AY61" s="21">
        <v>0.15686</v>
      </c>
      <c r="AZ61" s="21">
        <v>27.907399999999999</v>
      </c>
      <c r="BA61" s="21">
        <v>-1.44318E-2</v>
      </c>
      <c r="BB61" s="21">
        <v>51</v>
      </c>
      <c r="BC61" s="21">
        <v>0.156281</v>
      </c>
      <c r="BD61">
        <f t="shared" si="10"/>
        <v>17.817037037037036</v>
      </c>
      <c r="BE61">
        <f t="shared" si="11"/>
        <v>2.7947804296296295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5.5200100000000001</v>
      </c>
      <c r="I62" s="21">
        <v>-1.22498E-2</v>
      </c>
      <c r="J62" s="21">
        <v>52</v>
      </c>
      <c r="K62" s="21">
        <v>1.5280199999999999</v>
      </c>
      <c r="L62">
        <f t="shared" si="0"/>
        <v>15.123209876543209</v>
      </c>
      <c r="M62">
        <f t="shared" si="1"/>
        <v>23.110835637037034</v>
      </c>
      <c r="N62" s="9"/>
      <c r="O62" s="21">
        <v>0.16189600000000001</v>
      </c>
      <c r="P62" s="21">
        <v>9.3190600000000003</v>
      </c>
      <c r="Q62" s="21">
        <v>-1.4477500000000001E-2</v>
      </c>
      <c r="R62" s="21">
        <v>52</v>
      </c>
      <c r="S62" s="21">
        <v>0.16128500000000001</v>
      </c>
      <c r="T62">
        <f t="shared" si="2"/>
        <v>17.873456790123456</v>
      </c>
      <c r="U62">
        <f t="shared" si="3"/>
        <v>2.8936411604938272</v>
      </c>
      <c r="X62" s="9"/>
      <c r="Y62" s="21">
        <v>1.52817</v>
      </c>
      <c r="Z62" s="21">
        <v>14.8812</v>
      </c>
      <c r="AA62" s="21">
        <v>-1.2213099999999999E-2</v>
      </c>
      <c r="AB62" s="21">
        <v>52</v>
      </c>
      <c r="AC62" s="21">
        <v>1.5274000000000001</v>
      </c>
      <c r="AD62">
        <f t="shared" si="4"/>
        <v>15.0779012345679</v>
      </c>
      <c r="AE62">
        <f t="shared" si="5"/>
        <v>23.041596329629627</v>
      </c>
      <c r="AF62" s="9"/>
      <c r="AG62" s="21">
        <v>0.16189600000000001</v>
      </c>
      <c r="AH62" s="21">
        <v>18.680199999999999</v>
      </c>
      <c r="AI62" s="21">
        <v>-1.45294E-2</v>
      </c>
      <c r="AJ62" s="21">
        <v>52</v>
      </c>
      <c r="AK62" s="21">
        <v>0.16131599999999999</v>
      </c>
      <c r="AL62">
        <f t="shared" si="6"/>
        <v>17.93753086419753</v>
      </c>
      <c r="AM62">
        <f t="shared" si="7"/>
        <v>2.9040144967901234</v>
      </c>
      <c r="AP62" s="9"/>
      <c r="AQ62" s="21">
        <v>1.52817</v>
      </c>
      <c r="AR62" s="21">
        <v>24.118400000000001</v>
      </c>
      <c r="AS62" s="21">
        <v>-1.2023900000000001E-2</v>
      </c>
      <c r="AT62" s="21">
        <v>52</v>
      </c>
      <c r="AU62" s="21">
        <v>1.5277099999999999</v>
      </c>
      <c r="AV62">
        <f t="shared" si="8"/>
        <v>14.844320987654321</v>
      </c>
      <c r="AW62">
        <f t="shared" si="9"/>
        <v>22.684646003703705</v>
      </c>
      <c r="AX62" s="9"/>
      <c r="AY62" s="21">
        <v>0.16189600000000001</v>
      </c>
      <c r="AZ62" s="21">
        <v>27.9175</v>
      </c>
      <c r="BA62" s="21">
        <v>-1.4428699999999999E-2</v>
      </c>
      <c r="BB62" s="21">
        <v>52</v>
      </c>
      <c r="BC62" s="21">
        <v>0.16131599999999999</v>
      </c>
      <c r="BD62">
        <f t="shared" si="10"/>
        <v>17.813209876543205</v>
      </c>
      <c r="BE62">
        <f t="shared" si="11"/>
        <v>2.8838874261728389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5.5300900000000004</v>
      </c>
      <c r="I63" s="21">
        <v>-1.2301599999999999E-2</v>
      </c>
      <c r="J63" s="21">
        <v>53</v>
      </c>
      <c r="K63" s="21">
        <v>1.5222199999999999</v>
      </c>
      <c r="L63">
        <f t="shared" si="0"/>
        <v>15.187160493827157</v>
      </c>
      <c r="M63">
        <f t="shared" si="1"/>
        <v>23.132019762962958</v>
      </c>
      <c r="N63" s="9"/>
      <c r="O63" s="21">
        <v>0.166931</v>
      </c>
      <c r="P63" s="21">
        <v>9.3291299999999993</v>
      </c>
      <c r="Q63" s="21">
        <v>-1.4468399999999999E-2</v>
      </c>
      <c r="R63" s="21">
        <v>53</v>
      </c>
      <c r="S63" s="21">
        <v>0.16647300000000001</v>
      </c>
      <c r="T63">
        <f t="shared" si="2"/>
        <v>17.862222222222222</v>
      </c>
      <c r="U63">
        <f t="shared" si="3"/>
        <v>2.9817586177777775</v>
      </c>
      <c r="X63" s="9"/>
      <c r="Y63" s="21">
        <v>1.5231300000000001</v>
      </c>
      <c r="Z63" s="21">
        <v>14.891299999999999</v>
      </c>
      <c r="AA63" s="21">
        <v>-1.2268100000000001E-2</v>
      </c>
      <c r="AB63" s="21">
        <v>53</v>
      </c>
      <c r="AC63" s="21">
        <v>1.5228299999999999</v>
      </c>
      <c r="AD63">
        <f t="shared" si="4"/>
        <v>15.145802469135802</v>
      </c>
      <c r="AE63">
        <f t="shared" si="5"/>
        <v>23.069026114814815</v>
      </c>
      <c r="AF63" s="9"/>
      <c r="AG63" s="21">
        <v>0.166931</v>
      </c>
      <c r="AH63" s="21">
        <v>18.690300000000001</v>
      </c>
      <c r="AI63" s="21">
        <v>-1.45203E-2</v>
      </c>
      <c r="AJ63" s="21">
        <v>53</v>
      </c>
      <c r="AK63" s="21">
        <v>0.166382</v>
      </c>
      <c r="AL63">
        <f t="shared" si="6"/>
        <v>17.926296296296293</v>
      </c>
      <c r="AM63">
        <f t="shared" si="7"/>
        <v>2.9924545670370364</v>
      </c>
      <c r="AP63" s="9"/>
      <c r="AQ63" s="21">
        <v>1.5231300000000001</v>
      </c>
      <c r="AR63" s="21">
        <v>24.128499999999999</v>
      </c>
      <c r="AS63" s="21">
        <v>-1.20911E-2</v>
      </c>
      <c r="AT63" s="21">
        <v>53</v>
      </c>
      <c r="AU63" s="21">
        <v>1.5225200000000001</v>
      </c>
      <c r="AV63">
        <f t="shared" si="8"/>
        <v>14.927283950617284</v>
      </c>
      <c r="AW63">
        <f t="shared" si="9"/>
        <v>22.736194003703705</v>
      </c>
      <c r="AX63" s="9"/>
      <c r="AY63" s="21">
        <v>0.166931</v>
      </c>
      <c r="AZ63" s="21">
        <v>27.927499999999998</v>
      </c>
      <c r="BA63" s="21">
        <v>-1.44379E-2</v>
      </c>
      <c r="BB63" s="21">
        <v>53</v>
      </c>
      <c r="BC63" s="21">
        <v>0.166351</v>
      </c>
      <c r="BD63">
        <f t="shared" si="10"/>
        <v>17.824567901234566</v>
      </c>
      <c r="BE63">
        <f t="shared" si="11"/>
        <v>2.9754729443209871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5.5401600000000002</v>
      </c>
      <c r="I64" s="21">
        <v>-1.2341299999999999E-2</v>
      </c>
      <c r="J64" s="21">
        <v>54</v>
      </c>
      <c r="K64" s="21">
        <v>1.5173300000000001</v>
      </c>
      <c r="L64">
        <f t="shared" si="0"/>
        <v>15.236172839506171</v>
      </c>
      <c r="M64">
        <f t="shared" si="1"/>
        <v>23.130033987654318</v>
      </c>
      <c r="N64" s="9"/>
      <c r="O64" s="21">
        <v>0.17196700000000001</v>
      </c>
      <c r="P64" s="21">
        <v>9.3391999999999999</v>
      </c>
      <c r="Q64" s="21">
        <v>-1.44592E-2</v>
      </c>
      <c r="R64" s="21">
        <v>54</v>
      </c>
      <c r="S64" s="21">
        <v>0.17141700000000001</v>
      </c>
      <c r="T64">
        <f t="shared" si="2"/>
        <v>17.850864197530864</v>
      </c>
      <c r="U64">
        <f t="shared" si="3"/>
        <v>3.0697595634567905</v>
      </c>
      <c r="X64" s="9"/>
      <c r="Y64" s="21">
        <v>1.5181</v>
      </c>
      <c r="Z64" s="21">
        <v>14.901300000000001</v>
      </c>
      <c r="AA64" s="21">
        <v>-1.2323000000000001E-2</v>
      </c>
      <c r="AB64" s="21">
        <v>54</v>
      </c>
      <c r="AC64" s="21">
        <v>1.5176400000000001</v>
      </c>
      <c r="AD64">
        <f t="shared" si="4"/>
        <v>15.213580246913581</v>
      </c>
      <c r="AE64">
        <f t="shared" si="5"/>
        <v>23.095736172839509</v>
      </c>
      <c r="AF64" s="9"/>
      <c r="AG64" s="21">
        <v>0.17196700000000001</v>
      </c>
      <c r="AH64" s="21">
        <v>18.700399999999998</v>
      </c>
      <c r="AI64" s="21">
        <v>-1.4508099999999999E-2</v>
      </c>
      <c r="AJ64" s="21">
        <v>54</v>
      </c>
      <c r="AK64" s="21">
        <v>0.17132600000000001</v>
      </c>
      <c r="AL64">
        <f t="shared" si="6"/>
        <v>17.911234567901232</v>
      </c>
      <c r="AM64">
        <f t="shared" si="7"/>
        <v>3.0801412749382715</v>
      </c>
      <c r="AP64" s="9"/>
      <c r="AQ64" s="21">
        <v>1.5181</v>
      </c>
      <c r="AR64" s="21">
        <v>24.1386</v>
      </c>
      <c r="AS64" s="21">
        <v>-1.21613E-2</v>
      </c>
      <c r="AT64" s="21">
        <v>54</v>
      </c>
      <c r="AU64" s="21">
        <v>1.5176400000000001</v>
      </c>
      <c r="AV64">
        <f t="shared" si="8"/>
        <v>15.01395061728395</v>
      </c>
      <c r="AW64">
        <f t="shared" si="9"/>
        <v>22.792678432098764</v>
      </c>
      <c r="AX64" s="9"/>
      <c r="AY64" s="21">
        <v>0.17196700000000001</v>
      </c>
      <c r="AZ64" s="21">
        <v>27.9376</v>
      </c>
      <c r="BA64" s="21">
        <v>-1.44318E-2</v>
      </c>
      <c r="BB64" s="21">
        <v>54</v>
      </c>
      <c r="BC64" s="21">
        <v>0.17138700000000001</v>
      </c>
      <c r="BD64">
        <f t="shared" si="10"/>
        <v>17.817037037037036</v>
      </c>
      <c r="BE64">
        <f t="shared" si="11"/>
        <v>3.0639424081481481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5.55023</v>
      </c>
      <c r="I65" s="21">
        <v>-1.23871E-2</v>
      </c>
      <c r="J65" s="21">
        <v>55</v>
      </c>
      <c r="K65" s="21">
        <v>1.5121500000000001</v>
      </c>
      <c r="L65">
        <f t="shared" si="0"/>
        <v>15.292716049382715</v>
      </c>
      <c r="M65">
        <f t="shared" si="1"/>
        <v>23.138796945679012</v>
      </c>
      <c r="N65" s="9"/>
      <c r="O65" s="21">
        <v>0.17700199999999999</v>
      </c>
      <c r="P65" s="21">
        <v>9.3492800000000003</v>
      </c>
      <c r="Q65" s="21">
        <v>-1.44501E-2</v>
      </c>
      <c r="R65" s="21">
        <v>55</v>
      </c>
      <c r="S65" s="21">
        <v>0.176514</v>
      </c>
      <c r="T65">
        <f t="shared" si="2"/>
        <v>17.839629629629631</v>
      </c>
      <c r="U65">
        <f t="shared" si="3"/>
        <v>3.1576501237037036</v>
      </c>
      <c r="X65" s="9"/>
      <c r="Y65" s="21">
        <v>1.5130600000000001</v>
      </c>
      <c r="Z65" s="21">
        <v>14.9114</v>
      </c>
      <c r="AA65" s="21">
        <v>-1.23657E-2</v>
      </c>
      <c r="AB65" s="21">
        <v>55</v>
      </c>
      <c r="AC65" s="21">
        <v>1.5124500000000001</v>
      </c>
      <c r="AD65">
        <f t="shared" si="4"/>
        <v>15.266296296296295</v>
      </c>
      <c r="AE65">
        <f t="shared" si="5"/>
        <v>23.098822274074074</v>
      </c>
      <c r="AF65" s="9"/>
      <c r="AG65" s="21">
        <v>0.17700199999999999</v>
      </c>
      <c r="AH65" s="21">
        <v>18.7105</v>
      </c>
      <c r="AI65" s="21">
        <v>-1.4501999999999999E-2</v>
      </c>
      <c r="AJ65" s="21">
        <v>55</v>
      </c>
      <c r="AK65" s="21">
        <v>0.176422</v>
      </c>
      <c r="AL65">
        <f t="shared" si="6"/>
        <v>17.903703703703702</v>
      </c>
      <c r="AM65">
        <f t="shared" si="7"/>
        <v>3.1689913629629625</v>
      </c>
      <c r="AP65" s="9"/>
      <c r="AQ65" s="21">
        <v>1.5130600000000001</v>
      </c>
      <c r="AR65" s="21">
        <v>24.148599999999998</v>
      </c>
      <c r="AS65" s="21">
        <v>-1.22253E-2</v>
      </c>
      <c r="AT65" s="21">
        <v>55</v>
      </c>
      <c r="AU65" s="21">
        <v>1.5127600000000001</v>
      </c>
      <c r="AV65">
        <f t="shared" si="8"/>
        <v>15.092962962962961</v>
      </c>
      <c r="AW65">
        <f t="shared" si="9"/>
        <v>22.836558540740739</v>
      </c>
      <c r="AX65" s="9"/>
      <c r="AY65" s="21">
        <v>0.17700199999999999</v>
      </c>
      <c r="AZ65" s="21">
        <v>27.947700000000001</v>
      </c>
      <c r="BA65" s="21">
        <v>-1.4428699999999999E-2</v>
      </c>
      <c r="BB65" s="21">
        <v>55</v>
      </c>
      <c r="BC65" s="21">
        <v>0.176453</v>
      </c>
      <c r="BD65">
        <f t="shared" si="10"/>
        <v>17.813209876543205</v>
      </c>
      <c r="BE65">
        <f t="shared" si="11"/>
        <v>3.1529737745679003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5.5602999999999998</v>
      </c>
      <c r="I66" s="21">
        <v>-1.2442E-2</v>
      </c>
      <c r="J66" s="21">
        <v>56</v>
      </c>
      <c r="K66" s="21">
        <v>1.50726</v>
      </c>
      <c r="L66">
        <f t="shared" si="0"/>
        <v>15.360493827160493</v>
      </c>
      <c r="M66">
        <f t="shared" si="1"/>
        <v>23.164085506172839</v>
      </c>
      <c r="N66" s="9"/>
      <c r="O66" s="21">
        <v>0.182037</v>
      </c>
      <c r="P66" s="21">
        <v>9.3593499999999992</v>
      </c>
      <c r="Q66" s="21">
        <v>-1.4444E-2</v>
      </c>
      <c r="R66" s="21">
        <v>56</v>
      </c>
      <c r="S66" s="21">
        <v>0.181427</v>
      </c>
      <c r="T66">
        <f t="shared" si="2"/>
        <v>17.832098765432097</v>
      </c>
      <c r="U66">
        <f t="shared" si="3"/>
        <v>3.2461017629629625</v>
      </c>
      <c r="X66" s="9"/>
      <c r="Y66" s="21">
        <v>1.50803</v>
      </c>
      <c r="Z66" s="21">
        <v>14.9215</v>
      </c>
      <c r="AA66" s="21">
        <v>-1.23993E-2</v>
      </c>
      <c r="AB66" s="21">
        <v>56</v>
      </c>
      <c r="AC66" s="21">
        <v>1.50726</v>
      </c>
      <c r="AD66">
        <f t="shared" si="4"/>
        <v>15.307777777777778</v>
      </c>
      <c r="AE66">
        <f t="shared" si="5"/>
        <v>23.084588122222222</v>
      </c>
      <c r="AF66" s="9"/>
      <c r="AG66" s="21">
        <v>0.182037</v>
      </c>
      <c r="AH66" s="21">
        <v>18.720500000000001</v>
      </c>
      <c r="AI66" s="21">
        <v>-1.44958E-2</v>
      </c>
      <c r="AJ66" s="21">
        <v>56</v>
      </c>
      <c r="AK66" s="21">
        <v>0.181702</v>
      </c>
      <c r="AL66">
        <f t="shared" si="6"/>
        <v>17.896049382716047</v>
      </c>
      <c r="AM66">
        <f t="shared" si="7"/>
        <v>3.2577431414814813</v>
      </c>
      <c r="AP66" s="9"/>
      <c r="AQ66" s="21">
        <v>1.50803</v>
      </c>
      <c r="AR66" s="21">
        <v>24.1587</v>
      </c>
      <c r="AS66" s="21">
        <v>-1.22833E-2</v>
      </c>
      <c r="AT66" s="21">
        <v>56</v>
      </c>
      <c r="AU66" s="21">
        <v>1.50726</v>
      </c>
      <c r="AV66">
        <f t="shared" si="8"/>
        <v>15.164567901234568</v>
      </c>
      <c r="AW66">
        <f t="shared" si="9"/>
        <v>22.868623332098764</v>
      </c>
      <c r="AX66" s="9"/>
      <c r="AY66" s="21">
        <v>0.182037</v>
      </c>
      <c r="AZ66" s="21">
        <v>27.957799999999999</v>
      </c>
      <c r="BA66" s="21">
        <v>-1.44257E-2</v>
      </c>
      <c r="BB66" s="21">
        <v>56</v>
      </c>
      <c r="BC66" s="21">
        <v>0.181427</v>
      </c>
      <c r="BD66">
        <f t="shared" si="10"/>
        <v>17.809506172839505</v>
      </c>
      <c r="BE66">
        <f t="shared" si="11"/>
        <v>3.241989075185185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5.5703699999999996</v>
      </c>
      <c r="I67" s="21">
        <v>-1.24939E-2</v>
      </c>
      <c r="J67" s="21">
        <v>57</v>
      </c>
      <c r="K67" s="21">
        <v>1.50238</v>
      </c>
      <c r="L67">
        <f t="shared" si="0"/>
        <v>15.424567901234568</v>
      </c>
      <c r="M67">
        <f t="shared" si="1"/>
        <v>23.182971309876542</v>
      </c>
      <c r="N67" s="9"/>
      <c r="O67" s="21">
        <v>0.18707299999999999</v>
      </c>
      <c r="P67" s="21">
        <v>9.3694199999999999</v>
      </c>
      <c r="Q67" s="21">
        <v>-1.4444E-2</v>
      </c>
      <c r="R67" s="21">
        <v>57</v>
      </c>
      <c r="S67" s="21">
        <v>0.186554</v>
      </c>
      <c r="T67">
        <f t="shared" si="2"/>
        <v>17.832098765432097</v>
      </c>
      <c r="U67">
        <f t="shared" si="3"/>
        <v>3.3359042123456786</v>
      </c>
      <c r="X67" s="9"/>
      <c r="Y67" s="21">
        <v>1.50299</v>
      </c>
      <c r="Z67" s="21">
        <v>14.9316</v>
      </c>
      <c r="AA67" s="21">
        <v>-1.2439E-2</v>
      </c>
      <c r="AB67" s="21">
        <v>57</v>
      </c>
      <c r="AC67" s="21">
        <v>1.5026900000000001</v>
      </c>
      <c r="AD67">
        <f t="shared" si="4"/>
        <v>15.35679012345679</v>
      </c>
      <c r="AE67">
        <f t="shared" si="5"/>
        <v>23.081101987654321</v>
      </c>
      <c r="AF67" s="9"/>
      <c r="AG67" s="21">
        <v>0.18707299999999999</v>
      </c>
      <c r="AH67" s="21">
        <v>18.730599999999999</v>
      </c>
      <c r="AI67" s="21">
        <v>-1.44928E-2</v>
      </c>
      <c r="AJ67" s="21">
        <v>57</v>
      </c>
      <c r="AK67" s="21">
        <v>0.18664600000000001</v>
      </c>
      <c r="AL67">
        <f t="shared" si="6"/>
        <v>17.892345679012344</v>
      </c>
      <c r="AM67">
        <f t="shared" si="7"/>
        <v>3.3471747832098759</v>
      </c>
      <c r="AP67" s="9"/>
      <c r="AQ67" s="21">
        <v>1.50299</v>
      </c>
      <c r="AR67" s="21">
        <v>24.168800000000001</v>
      </c>
      <c r="AS67" s="21">
        <v>-1.23383E-2</v>
      </c>
      <c r="AT67" s="21">
        <v>57</v>
      </c>
      <c r="AU67" s="21">
        <v>1.50238</v>
      </c>
      <c r="AV67">
        <f t="shared" si="8"/>
        <v>15.232469135802468</v>
      </c>
      <c r="AW67">
        <f t="shared" si="9"/>
        <v>22.894248786419752</v>
      </c>
      <c r="AX67" s="9"/>
      <c r="AY67" s="21">
        <v>0.18707299999999999</v>
      </c>
      <c r="AZ67" s="21">
        <v>27.9678</v>
      </c>
      <c r="BA67" s="21">
        <v>-1.4422600000000001E-2</v>
      </c>
      <c r="BB67" s="21">
        <v>57</v>
      </c>
      <c r="BC67" s="21">
        <v>0.18646199999999999</v>
      </c>
      <c r="BD67">
        <f t="shared" si="10"/>
        <v>17.805679012345678</v>
      </c>
      <c r="BE67">
        <f t="shared" si="11"/>
        <v>3.3309617898765427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5.5804400000000003</v>
      </c>
      <c r="I68" s="21">
        <v>-1.25366E-2</v>
      </c>
      <c r="J68" s="21">
        <v>58</v>
      </c>
      <c r="K68" s="21">
        <v>1.4978</v>
      </c>
      <c r="L68">
        <f t="shared" si="0"/>
        <v>15.477283950617283</v>
      </c>
      <c r="M68">
        <f t="shared" si="1"/>
        <v>23.184352266666664</v>
      </c>
      <c r="N68" s="9"/>
      <c r="O68" s="21">
        <v>0.192108</v>
      </c>
      <c r="P68" s="21">
        <v>9.3794900000000005</v>
      </c>
      <c r="Q68" s="21">
        <v>-1.4444E-2</v>
      </c>
      <c r="R68" s="21">
        <v>58</v>
      </c>
      <c r="S68" s="21">
        <v>0.19155900000000001</v>
      </c>
      <c r="T68">
        <f t="shared" si="2"/>
        <v>17.832098765432097</v>
      </c>
      <c r="U68">
        <f t="shared" si="3"/>
        <v>3.4256888296296291</v>
      </c>
      <c r="X68" s="9"/>
      <c r="Y68" s="21">
        <v>1.49796</v>
      </c>
      <c r="Z68" s="21">
        <v>14.941599999999999</v>
      </c>
      <c r="AA68" s="21">
        <v>-1.24878E-2</v>
      </c>
      <c r="AB68" s="21">
        <v>58</v>
      </c>
      <c r="AC68" s="21">
        <v>1.4975000000000001</v>
      </c>
      <c r="AD68">
        <f t="shared" si="4"/>
        <v>15.417037037037037</v>
      </c>
      <c r="AE68">
        <f t="shared" si="5"/>
        <v>23.0941048</v>
      </c>
      <c r="AF68" s="9"/>
      <c r="AG68" s="21">
        <v>0.192108</v>
      </c>
      <c r="AH68" s="21">
        <v>18.7407</v>
      </c>
      <c r="AI68" s="21">
        <v>-1.44958E-2</v>
      </c>
      <c r="AJ68" s="21">
        <v>58</v>
      </c>
      <c r="AK68" s="21">
        <v>0.191528</v>
      </c>
      <c r="AL68">
        <f t="shared" si="6"/>
        <v>17.896049382716047</v>
      </c>
      <c r="AM68">
        <f t="shared" si="7"/>
        <v>3.4379742548148142</v>
      </c>
      <c r="AP68" s="9"/>
      <c r="AQ68" s="21">
        <v>1.49796</v>
      </c>
      <c r="AR68" s="21">
        <v>24.178899999999999</v>
      </c>
      <c r="AS68" s="21">
        <v>-1.23993E-2</v>
      </c>
      <c r="AT68" s="21">
        <v>58</v>
      </c>
      <c r="AU68" s="21">
        <v>1.49719</v>
      </c>
      <c r="AV68">
        <f t="shared" si="8"/>
        <v>15.307777777777778</v>
      </c>
      <c r="AW68">
        <f t="shared" si="9"/>
        <v>22.930438800000001</v>
      </c>
      <c r="AX68" s="9"/>
      <c r="AY68" s="21">
        <v>0.192108</v>
      </c>
      <c r="AZ68" s="21">
        <v>27.977900000000002</v>
      </c>
      <c r="BA68" s="21">
        <v>-1.44257E-2</v>
      </c>
      <c r="BB68" s="21">
        <v>58</v>
      </c>
      <c r="BC68" s="21">
        <v>0.19158900000000001</v>
      </c>
      <c r="BD68">
        <f t="shared" si="10"/>
        <v>17.809506172839505</v>
      </c>
      <c r="BE68">
        <f t="shared" si="11"/>
        <v>3.4213486118518519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5.5905100000000001</v>
      </c>
      <c r="I69" s="21">
        <v>-1.25641E-2</v>
      </c>
      <c r="J69" s="21">
        <v>59</v>
      </c>
      <c r="K69" s="21">
        <v>1.492</v>
      </c>
      <c r="L69">
        <f t="shared" si="0"/>
        <v>15.511234567901234</v>
      </c>
      <c r="M69">
        <f t="shared" si="1"/>
        <v>23.157032311111109</v>
      </c>
      <c r="N69" s="9"/>
      <c r="O69" s="21">
        <v>0.19714400000000001</v>
      </c>
      <c r="P69" s="21">
        <v>9.3895599999999995</v>
      </c>
      <c r="Q69" s="21">
        <v>-1.44531E-2</v>
      </c>
      <c r="R69" s="21">
        <v>59</v>
      </c>
      <c r="S69" s="21">
        <v>0.19659399999999999</v>
      </c>
      <c r="T69">
        <f t="shared" si="2"/>
        <v>17.843333333333334</v>
      </c>
      <c r="U69">
        <f t="shared" si="3"/>
        <v>3.5177061066666671</v>
      </c>
      <c r="X69" s="9"/>
      <c r="Y69" s="21">
        <v>1.49292</v>
      </c>
      <c r="Z69" s="21">
        <v>14.951700000000001</v>
      </c>
      <c r="AA69" s="21">
        <v>-1.25366E-2</v>
      </c>
      <c r="AB69" s="21">
        <v>59</v>
      </c>
      <c r="AC69" s="21">
        <v>1.492</v>
      </c>
      <c r="AD69">
        <f t="shared" si="4"/>
        <v>15.477283950617283</v>
      </c>
      <c r="AE69">
        <f t="shared" si="5"/>
        <v>23.106346755555553</v>
      </c>
      <c r="AF69" s="9"/>
      <c r="AG69" s="21">
        <v>0.19714400000000001</v>
      </c>
      <c r="AH69" s="21">
        <v>18.750699999999998</v>
      </c>
      <c r="AI69" s="21">
        <v>-1.4489699999999999E-2</v>
      </c>
      <c r="AJ69" s="21">
        <v>59</v>
      </c>
      <c r="AK69" s="21">
        <v>0.196655</v>
      </c>
      <c r="AL69">
        <f t="shared" si="6"/>
        <v>17.888518518518516</v>
      </c>
      <c r="AM69">
        <f t="shared" si="7"/>
        <v>3.5266140948148146</v>
      </c>
      <c r="AP69" s="9"/>
      <c r="AQ69" s="21">
        <v>1.49292</v>
      </c>
      <c r="AR69" s="21">
        <v>24.1889</v>
      </c>
      <c r="AS69" s="21">
        <v>-1.2457299999999999E-2</v>
      </c>
      <c r="AT69" s="21">
        <v>59</v>
      </c>
      <c r="AU69" s="21">
        <v>1.49231</v>
      </c>
      <c r="AV69">
        <f t="shared" si="8"/>
        <v>15.379382716049379</v>
      </c>
      <c r="AW69">
        <f t="shared" si="9"/>
        <v>22.96018804444444</v>
      </c>
      <c r="AX69" s="9"/>
      <c r="AY69" s="21">
        <v>0.19714400000000001</v>
      </c>
      <c r="AZ69" s="21">
        <v>27.988</v>
      </c>
      <c r="BA69" s="21">
        <v>-1.4422600000000001E-2</v>
      </c>
      <c r="BB69" s="21">
        <v>59</v>
      </c>
      <c r="BC69" s="21">
        <v>0.196655</v>
      </c>
      <c r="BD69">
        <f t="shared" si="10"/>
        <v>17.805679012345678</v>
      </c>
      <c r="BE69">
        <f t="shared" si="11"/>
        <v>3.5102827832098766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5.6005799999999999</v>
      </c>
      <c r="I70" s="21">
        <v>-1.25977E-2</v>
      </c>
      <c r="J70" s="21">
        <v>60</v>
      </c>
      <c r="K70" s="21">
        <v>1.48712</v>
      </c>
      <c r="L70">
        <f t="shared" si="0"/>
        <v>15.552716049382715</v>
      </c>
      <c r="M70">
        <f t="shared" si="1"/>
        <v>23.140575155555556</v>
      </c>
      <c r="N70" s="9"/>
      <c r="O70" s="21">
        <v>0.202179</v>
      </c>
      <c r="P70" s="21">
        <v>9.3996300000000002</v>
      </c>
      <c r="Q70" s="21">
        <v>-1.44653E-2</v>
      </c>
      <c r="R70" s="21">
        <v>60</v>
      </c>
      <c r="S70" s="21">
        <v>0.20150799999999999</v>
      </c>
      <c r="T70">
        <f t="shared" si="2"/>
        <v>17.858395061728395</v>
      </c>
      <c r="U70">
        <f t="shared" si="3"/>
        <v>3.6105924551851851</v>
      </c>
      <c r="X70" s="9"/>
      <c r="Y70" s="21">
        <v>1.4878800000000001</v>
      </c>
      <c r="Z70" s="21">
        <v>14.9618</v>
      </c>
      <c r="AA70" s="21">
        <v>-1.2582400000000001E-2</v>
      </c>
      <c r="AB70" s="21">
        <v>60</v>
      </c>
      <c r="AC70" s="21">
        <v>1.48712</v>
      </c>
      <c r="AD70">
        <f t="shared" si="4"/>
        <v>15.533827160493827</v>
      </c>
      <c r="AE70">
        <f t="shared" si="5"/>
        <v>23.112470755555556</v>
      </c>
      <c r="AF70" s="9"/>
      <c r="AG70" s="21">
        <v>0.202179</v>
      </c>
      <c r="AH70" s="21">
        <v>18.7608</v>
      </c>
      <c r="AI70" s="21">
        <v>-1.44958E-2</v>
      </c>
      <c r="AJ70" s="21">
        <v>60</v>
      </c>
      <c r="AK70" s="21">
        <v>0.20153799999999999</v>
      </c>
      <c r="AL70">
        <f t="shared" si="6"/>
        <v>17.896049382716047</v>
      </c>
      <c r="AM70">
        <f t="shared" si="7"/>
        <v>3.6182053681481476</v>
      </c>
      <c r="AP70" s="9"/>
      <c r="AQ70" s="21">
        <v>1.4878800000000001</v>
      </c>
      <c r="AR70" s="21">
        <v>24.199000000000002</v>
      </c>
      <c r="AS70" s="21">
        <v>-1.25153E-2</v>
      </c>
      <c r="AT70" s="21">
        <v>60</v>
      </c>
      <c r="AU70" s="21">
        <v>1.48773</v>
      </c>
      <c r="AV70">
        <f t="shared" si="8"/>
        <v>15.450987654320988</v>
      </c>
      <c r="AW70">
        <f t="shared" si="9"/>
        <v>22.989215511111112</v>
      </c>
      <c r="AX70" s="9"/>
      <c r="AY70" s="21">
        <v>0.202179</v>
      </c>
      <c r="AZ70" s="21">
        <v>27.998000000000001</v>
      </c>
      <c r="BA70" s="21">
        <v>-1.4422600000000001E-2</v>
      </c>
      <c r="BB70" s="21">
        <v>60</v>
      </c>
      <c r="BC70" s="21">
        <v>0.20153799999999999</v>
      </c>
      <c r="BD70">
        <f t="shared" si="10"/>
        <v>17.805679012345678</v>
      </c>
      <c r="BE70">
        <f t="shared" si="11"/>
        <v>3.5999343770370369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5.6106499999999997</v>
      </c>
      <c r="I71" s="21">
        <v>-1.2622100000000001E-2</v>
      </c>
      <c r="J71" s="21">
        <v>61</v>
      </c>
      <c r="K71" s="21">
        <v>1.48254</v>
      </c>
      <c r="L71">
        <f t="shared" si="0"/>
        <v>15.582839506172839</v>
      </c>
      <c r="M71">
        <f t="shared" si="1"/>
        <v>23.107013561728394</v>
      </c>
      <c r="N71" s="9"/>
      <c r="O71" s="21">
        <v>0.20721400000000001</v>
      </c>
      <c r="P71" s="21">
        <v>9.4097000000000008</v>
      </c>
      <c r="Q71" s="21">
        <v>-1.4471400000000001E-2</v>
      </c>
      <c r="R71" s="21">
        <v>61</v>
      </c>
      <c r="S71" s="21">
        <v>0.20666499999999999</v>
      </c>
      <c r="T71">
        <f t="shared" si="2"/>
        <v>17.865925925925925</v>
      </c>
      <c r="U71">
        <f t="shared" si="3"/>
        <v>3.7020699748148149</v>
      </c>
      <c r="X71" s="9"/>
      <c r="Y71" s="21">
        <v>1.48285</v>
      </c>
      <c r="Z71" s="21">
        <v>14.9718</v>
      </c>
      <c r="AA71" s="21">
        <v>-1.2637300000000001E-2</v>
      </c>
      <c r="AB71" s="21">
        <v>61</v>
      </c>
      <c r="AC71" s="21">
        <v>1.48224</v>
      </c>
      <c r="AD71">
        <f t="shared" si="4"/>
        <v>15.601604938271604</v>
      </c>
      <c r="AE71">
        <f t="shared" si="5"/>
        <v>23.134839882716047</v>
      </c>
      <c r="AF71" s="9"/>
      <c r="AG71" s="21">
        <v>0.20721400000000001</v>
      </c>
      <c r="AH71" s="21">
        <v>18.770900000000001</v>
      </c>
      <c r="AI71" s="21">
        <v>-1.4505000000000001E-2</v>
      </c>
      <c r="AJ71" s="21">
        <v>61</v>
      </c>
      <c r="AK71" s="21">
        <v>0.20660400000000001</v>
      </c>
      <c r="AL71">
        <f t="shared" si="6"/>
        <v>17.907407407407408</v>
      </c>
      <c r="AM71">
        <f t="shared" si="7"/>
        <v>3.7106655185185189</v>
      </c>
      <c r="AP71" s="9"/>
      <c r="AQ71" s="21">
        <v>1.48285</v>
      </c>
      <c r="AR71" s="21">
        <v>24.209099999999999</v>
      </c>
      <c r="AS71" s="21">
        <v>-1.2554900000000001E-2</v>
      </c>
      <c r="AT71" s="21">
        <v>61</v>
      </c>
      <c r="AU71" s="21">
        <v>1.48193</v>
      </c>
      <c r="AV71">
        <f t="shared" si="8"/>
        <v>15.499876543209876</v>
      </c>
      <c r="AW71">
        <f t="shared" si="9"/>
        <v>22.983991932098764</v>
      </c>
      <c r="AX71" s="9"/>
      <c r="AY71" s="21">
        <v>0.20721400000000001</v>
      </c>
      <c r="AZ71" s="21">
        <v>28.008099999999999</v>
      </c>
      <c r="BA71" s="21">
        <v>-1.4419599999999999E-2</v>
      </c>
      <c r="BB71" s="21">
        <v>61</v>
      </c>
      <c r="BC71" s="21">
        <v>0.20666499999999999</v>
      </c>
      <c r="BD71">
        <f t="shared" si="10"/>
        <v>17.801975308641975</v>
      </c>
      <c r="BE71">
        <f t="shared" si="11"/>
        <v>3.6888185116049383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5.6207200000000004</v>
      </c>
      <c r="I72" s="21">
        <v>-1.26648E-2</v>
      </c>
      <c r="J72" s="21">
        <v>62</v>
      </c>
      <c r="K72" s="21">
        <v>1.47705</v>
      </c>
      <c r="L72">
        <f t="shared" si="0"/>
        <v>15.635555555555555</v>
      </c>
      <c r="M72">
        <f t="shared" si="1"/>
        <v>23.106380355555558</v>
      </c>
      <c r="N72" s="9"/>
      <c r="O72" s="21">
        <v>0.21224999999999999</v>
      </c>
      <c r="P72" s="21">
        <v>9.4197699999999998</v>
      </c>
      <c r="Q72" s="21">
        <v>-1.44653E-2</v>
      </c>
      <c r="R72" s="21">
        <v>62</v>
      </c>
      <c r="S72" s="21">
        <v>0.211731</v>
      </c>
      <c r="T72">
        <f t="shared" si="2"/>
        <v>17.858395061728395</v>
      </c>
      <c r="U72">
        <f t="shared" si="3"/>
        <v>3.7904443518518516</v>
      </c>
      <c r="X72" s="9"/>
      <c r="Y72" s="21">
        <v>1.4778100000000001</v>
      </c>
      <c r="Z72" s="21">
        <v>14.9819</v>
      </c>
      <c r="AA72" s="21">
        <v>-1.2670900000000001E-2</v>
      </c>
      <c r="AB72" s="21">
        <v>62</v>
      </c>
      <c r="AC72" s="21">
        <v>1.47736</v>
      </c>
      <c r="AD72">
        <f t="shared" si="4"/>
        <v>15.643086419753088</v>
      </c>
      <c r="AE72">
        <f t="shared" si="5"/>
        <v>23.117509541975313</v>
      </c>
      <c r="AF72" s="9"/>
      <c r="AG72" s="21">
        <v>0.21224999999999999</v>
      </c>
      <c r="AH72" s="21">
        <v>18.780999999999999</v>
      </c>
      <c r="AI72" s="21">
        <v>-1.4505000000000001E-2</v>
      </c>
      <c r="AJ72" s="21">
        <v>62</v>
      </c>
      <c r="AK72" s="21">
        <v>0.21167</v>
      </c>
      <c r="AL72">
        <f t="shared" si="6"/>
        <v>17.907407407407408</v>
      </c>
      <c r="AM72">
        <f t="shared" si="7"/>
        <v>3.8008472222222225</v>
      </c>
      <c r="AP72" s="9"/>
      <c r="AQ72" s="21">
        <v>1.4778100000000001</v>
      </c>
      <c r="AR72" s="21">
        <v>24.219100000000001</v>
      </c>
      <c r="AS72" s="21">
        <v>-1.2600699999999999E-2</v>
      </c>
      <c r="AT72" s="21">
        <v>62</v>
      </c>
      <c r="AU72" s="21">
        <v>1.47675</v>
      </c>
      <c r="AV72">
        <f t="shared" si="8"/>
        <v>15.556419753086418</v>
      </c>
      <c r="AW72">
        <f t="shared" si="9"/>
        <v>22.989432675308642</v>
      </c>
      <c r="AX72" s="9"/>
      <c r="AY72" s="21">
        <v>0.21224999999999999</v>
      </c>
      <c r="AZ72" s="21">
        <v>28.0182</v>
      </c>
      <c r="BA72" s="21">
        <v>-1.4419599999999999E-2</v>
      </c>
      <c r="BB72" s="21">
        <v>62</v>
      </c>
      <c r="BC72" s="21">
        <v>0.21157799999999999</v>
      </c>
      <c r="BD72">
        <f t="shared" si="10"/>
        <v>17.801975308641975</v>
      </c>
      <c r="BE72">
        <f t="shared" si="11"/>
        <v>3.7784692592592592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5.6307999999999998</v>
      </c>
      <c r="I73" s="21">
        <v>-1.2704500000000001E-2</v>
      </c>
      <c r="J73" s="21">
        <v>63</v>
      </c>
      <c r="K73" s="21">
        <v>1.4724699999999999</v>
      </c>
      <c r="L73">
        <f t="shared" si="0"/>
        <v>15.684567901234566</v>
      </c>
      <c r="M73">
        <f t="shared" si="1"/>
        <v>23.099917913580242</v>
      </c>
      <c r="N73" s="9"/>
      <c r="O73" s="21">
        <v>0.21728500000000001</v>
      </c>
      <c r="P73" s="21">
        <v>9.4298400000000004</v>
      </c>
      <c r="Q73" s="21">
        <v>-1.4468399999999999E-2</v>
      </c>
      <c r="R73" s="21">
        <v>63</v>
      </c>
      <c r="S73" s="21">
        <v>0.21698000000000001</v>
      </c>
      <c r="T73">
        <f t="shared" si="2"/>
        <v>17.862222222222222</v>
      </c>
      <c r="U73">
        <f t="shared" si="3"/>
        <v>3.8811929555555555</v>
      </c>
      <c r="X73" s="9"/>
      <c r="Y73" s="21">
        <v>1.47278</v>
      </c>
      <c r="Z73" s="21">
        <v>14.992000000000001</v>
      </c>
      <c r="AA73" s="21">
        <v>-1.27136E-2</v>
      </c>
      <c r="AB73" s="21">
        <v>63</v>
      </c>
      <c r="AC73" s="21">
        <v>1.47217</v>
      </c>
      <c r="AD73">
        <f t="shared" si="4"/>
        <v>15.695802469135801</v>
      </c>
      <c r="AE73">
        <f t="shared" si="5"/>
        <v>23.116463960493824</v>
      </c>
      <c r="AF73" s="9"/>
      <c r="AG73" s="21">
        <v>0.21728500000000001</v>
      </c>
      <c r="AH73" s="21">
        <v>18.791</v>
      </c>
      <c r="AI73" s="21">
        <v>-1.4501999999999999E-2</v>
      </c>
      <c r="AJ73" s="21">
        <v>63</v>
      </c>
      <c r="AK73" s="21">
        <v>0.21673600000000001</v>
      </c>
      <c r="AL73">
        <f t="shared" si="6"/>
        <v>17.903703703703702</v>
      </c>
      <c r="AM73">
        <f t="shared" si="7"/>
        <v>3.890206259259259</v>
      </c>
      <c r="AP73" s="9"/>
      <c r="AQ73" s="21">
        <v>1.47278</v>
      </c>
      <c r="AR73" s="21">
        <v>24.229199999999999</v>
      </c>
      <c r="AS73" s="21">
        <v>-1.26465E-2</v>
      </c>
      <c r="AT73" s="21">
        <v>63</v>
      </c>
      <c r="AU73" s="21">
        <v>1.4724699999999999</v>
      </c>
      <c r="AV73">
        <f t="shared" si="8"/>
        <v>15.612962962962962</v>
      </c>
      <c r="AW73">
        <f t="shared" si="9"/>
        <v>22.994459592592591</v>
      </c>
      <c r="AX73" s="9"/>
      <c r="AY73" s="21">
        <v>0.21728500000000001</v>
      </c>
      <c r="AZ73" s="21">
        <v>28.028300000000002</v>
      </c>
      <c r="BA73" s="21">
        <v>-1.4413499999999999E-2</v>
      </c>
      <c r="BB73" s="21">
        <v>63</v>
      </c>
      <c r="BC73" s="21">
        <v>0.21676599999999999</v>
      </c>
      <c r="BD73">
        <f t="shared" si="10"/>
        <v>17.794444444444444</v>
      </c>
      <c r="BE73">
        <f t="shared" si="11"/>
        <v>3.8664658611111111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5.6408699999999996</v>
      </c>
      <c r="I74" s="21">
        <v>-1.27411E-2</v>
      </c>
      <c r="J74" s="21">
        <v>64</v>
      </c>
      <c r="K74" s="21">
        <v>1.46759</v>
      </c>
      <c r="L74">
        <f t="shared" si="0"/>
        <v>15.729753086419752</v>
      </c>
      <c r="M74">
        <f t="shared" si="1"/>
        <v>23.087187795061727</v>
      </c>
      <c r="N74" s="9"/>
      <c r="O74" s="21">
        <v>0.22232099999999999</v>
      </c>
      <c r="P74" s="21">
        <v>9.4399099999999994</v>
      </c>
      <c r="Q74" s="21">
        <v>-1.4468399999999999E-2</v>
      </c>
      <c r="R74" s="21">
        <v>64</v>
      </c>
      <c r="S74" s="21">
        <v>0.22161900000000001</v>
      </c>
      <c r="T74">
        <f t="shared" si="2"/>
        <v>17.862222222222222</v>
      </c>
      <c r="U74">
        <f t="shared" si="3"/>
        <v>3.9711471066666664</v>
      </c>
      <c r="X74" s="9"/>
      <c r="Y74" s="21">
        <v>1.46774</v>
      </c>
      <c r="Z74" s="21">
        <v>15.0021</v>
      </c>
      <c r="AA74" s="21">
        <v>-1.27441E-2</v>
      </c>
      <c r="AB74" s="21">
        <v>64</v>
      </c>
      <c r="AC74" s="21">
        <v>1.46729</v>
      </c>
      <c r="AD74">
        <f t="shared" si="4"/>
        <v>15.733456790123457</v>
      </c>
      <c r="AE74">
        <f t="shared" si="5"/>
        <v>23.092623869135803</v>
      </c>
      <c r="AF74" s="9"/>
      <c r="AG74" s="21">
        <v>0.22232099999999999</v>
      </c>
      <c r="AH74" s="21">
        <v>18.801100000000002</v>
      </c>
      <c r="AI74" s="21">
        <v>-1.44958E-2</v>
      </c>
      <c r="AJ74" s="21">
        <v>64</v>
      </c>
      <c r="AK74" s="21">
        <v>0.221771</v>
      </c>
      <c r="AL74">
        <f t="shared" si="6"/>
        <v>17.896049382716047</v>
      </c>
      <c r="AM74">
        <f t="shared" si="7"/>
        <v>3.978667594814814</v>
      </c>
      <c r="AP74" s="9"/>
      <c r="AQ74" s="21">
        <v>1.46774</v>
      </c>
      <c r="AR74" s="21">
        <v>24.2393</v>
      </c>
      <c r="AS74" s="21">
        <v>-1.26801E-2</v>
      </c>
      <c r="AT74" s="21">
        <v>64</v>
      </c>
      <c r="AU74" s="21">
        <v>1.46698</v>
      </c>
      <c r="AV74">
        <f t="shared" si="8"/>
        <v>15.654444444444444</v>
      </c>
      <c r="AW74">
        <f t="shared" si="9"/>
        <v>22.976654288888888</v>
      </c>
      <c r="AX74" s="9"/>
      <c r="AY74" s="21">
        <v>0.22232099999999999</v>
      </c>
      <c r="AZ74" s="21">
        <v>28.0383</v>
      </c>
      <c r="BA74" s="21">
        <v>-1.4401199999999999E-2</v>
      </c>
      <c r="BB74" s="21">
        <v>64</v>
      </c>
      <c r="BC74" s="21">
        <v>0.221832</v>
      </c>
      <c r="BD74">
        <f t="shared" si="10"/>
        <v>17.779259259259259</v>
      </c>
      <c r="BE74">
        <f t="shared" si="11"/>
        <v>3.9527026977777777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5.6509400000000003</v>
      </c>
      <c r="I75" s="21">
        <v>-1.27747E-2</v>
      </c>
      <c r="J75" s="21">
        <v>65</v>
      </c>
      <c r="K75" s="21">
        <v>1.4621</v>
      </c>
      <c r="L75">
        <f t="shared" si="0"/>
        <v>15.771234567901235</v>
      </c>
      <c r="M75">
        <f t="shared" si="1"/>
        <v>23.068742514814815</v>
      </c>
      <c r="N75" s="9"/>
      <c r="O75" s="21">
        <v>0.227356</v>
      </c>
      <c r="P75" s="21">
        <v>9.4499899999999997</v>
      </c>
      <c r="Q75" s="21">
        <v>-1.4456200000000001E-2</v>
      </c>
      <c r="R75" s="21">
        <v>65</v>
      </c>
      <c r="S75" s="21">
        <v>0.22665399999999999</v>
      </c>
      <c r="T75">
        <f t="shared" si="2"/>
        <v>17.847160493827161</v>
      </c>
      <c r="U75">
        <f t="shared" si="3"/>
        <v>4.057659021234568</v>
      </c>
      <c r="X75" s="9"/>
      <c r="Y75" s="21">
        <v>1.46271</v>
      </c>
      <c r="Z75" s="21">
        <v>15.0121</v>
      </c>
      <c r="AA75" s="21">
        <v>-1.27747E-2</v>
      </c>
      <c r="AB75" s="21">
        <v>65</v>
      </c>
      <c r="AC75" s="21">
        <v>1.4621</v>
      </c>
      <c r="AD75">
        <f t="shared" si="4"/>
        <v>15.771234567901235</v>
      </c>
      <c r="AE75">
        <f t="shared" si="5"/>
        <v>23.068742514814815</v>
      </c>
      <c r="AF75" s="9"/>
      <c r="AG75" s="21">
        <v>0.227356</v>
      </c>
      <c r="AH75" s="21">
        <v>18.811199999999999</v>
      </c>
      <c r="AI75" s="21">
        <v>-1.44867E-2</v>
      </c>
      <c r="AJ75" s="21">
        <v>65</v>
      </c>
      <c r="AK75" s="21">
        <v>0.22665399999999999</v>
      </c>
      <c r="AL75">
        <f t="shared" si="6"/>
        <v>17.884814814814817</v>
      </c>
      <c r="AM75">
        <f t="shared" si="7"/>
        <v>4.0662199570370374</v>
      </c>
      <c r="AP75" s="9"/>
      <c r="AQ75" s="21">
        <v>1.46271</v>
      </c>
      <c r="AR75" s="21">
        <v>24.249400000000001</v>
      </c>
      <c r="AS75" s="21">
        <v>-1.2710600000000001E-2</v>
      </c>
      <c r="AT75" s="21">
        <v>65</v>
      </c>
      <c r="AU75" s="21">
        <v>1.4617899999999999</v>
      </c>
      <c r="AV75">
        <f t="shared" si="8"/>
        <v>15.692098765432098</v>
      </c>
      <c r="AW75">
        <f t="shared" si="9"/>
        <v>22.952989785185181</v>
      </c>
      <c r="AX75" s="9"/>
      <c r="AY75" s="21">
        <v>0.227356</v>
      </c>
      <c r="AZ75" s="21">
        <v>28.048400000000001</v>
      </c>
      <c r="BA75" s="21">
        <v>-1.4385999999999999E-2</v>
      </c>
      <c r="BB75" s="21">
        <v>65</v>
      </c>
      <c r="BC75" s="21">
        <v>0.226715</v>
      </c>
      <c r="BD75">
        <f t="shared" si="10"/>
        <v>17.760493827160492</v>
      </c>
      <c r="BE75">
        <f t="shared" si="11"/>
        <v>4.0379548345679011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5.6610100000000001</v>
      </c>
      <c r="I76" s="21">
        <v>-1.2805199999999999E-2</v>
      </c>
      <c r="J76" s="21">
        <v>66</v>
      </c>
      <c r="K76" s="21">
        <v>1.4569099999999999</v>
      </c>
      <c r="L76">
        <f t="shared" ref="L76:L139" si="12">-I76/$F$2*1000</f>
        <v>15.808888888888886</v>
      </c>
      <c r="M76">
        <f t="shared" ref="M76:M139" si="13">L76*G76</f>
        <v>23.044143066666663</v>
      </c>
      <c r="N76" s="9"/>
      <c r="O76" s="21">
        <v>0.23239099999999999</v>
      </c>
      <c r="P76" s="21">
        <v>9.4600600000000004</v>
      </c>
      <c r="Q76" s="21">
        <v>-1.44531E-2</v>
      </c>
      <c r="R76" s="21">
        <v>66</v>
      </c>
      <c r="S76" s="21">
        <v>0.231873</v>
      </c>
      <c r="T76">
        <f t="shared" ref="T76:T139" si="14">-Q76/$F$2*1000</f>
        <v>17.843333333333334</v>
      </c>
      <c r="U76">
        <f t="shared" ref="U76:U139" si="15">T76*O76</f>
        <v>4.1466300766666668</v>
      </c>
      <c r="X76" s="9"/>
      <c r="Y76" s="21">
        <v>1.45767</v>
      </c>
      <c r="Z76" s="21">
        <v>15.0222</v>
      </c>
      <c r="AA76" s="21">
        <v>-1.2811299999999999E-2</v>
      </c>
      <c r="AB76" s="21">
        <v>66</v>
      </c>
      <c r="AC76" s="21">
        <v>1.4569099999999999</v>
      </c>
      <c r="AD76">
        <f t="shared" ref="AD76:AD139" si="16">-AA76/$F$2*1000</f>
        <v>15.816419753086418</v>
      </c>
      <c r="AE76">
        <f t="shared" ref="AE76:AE139" si="17">AD76*Y76</f>
        <v>23.055120581481479</v>
      </c>
      <c r="AF76" s="9"/>
      <c r="AG76" s="21">
        <v>0.23239099999999999</v>
      </c>
      <c r="AH76" s="21">
        <v>18.821200000000001</v>
      </c>
      <c r="AI76" s="21">
        <v>-1.4483599999999999E-2</v>
      </c>
      <c r="AJ76" s="21">
        <v>66</v>
      </c>
      <c r="AK76" s="21">
        <v>0.23178099999999999</v>
      </c>
      <c r="AL76">
        <f t="shared" ref="AL76:AL139" si="18">-AI76/$F$2*1000</f>
        <v>17.880987654320986</v>
      </c>
      <c r="AM76">
        <f t="shared" ref="AM76:AM139" si="19">AL76*AG76</f>
        <v>4.1553806019753079</v>
      </c>
      <c r="AP76" s="9"/>
      <c r="AQ76" s="21">
        <v>1.45767</v>
      </c>
      <c r="AR76" s="21">
        <v>24.259399999999999</v>
      </c>
      <c r="AS76" s="21">
        <v>-1.2737999999999999E-2</v>
      </c>
      <c r="AT76" s="21">
        <v>66</v>
      </c>
      <c r="AU76" s="21">
        <v>1.4565999999999999</v>
      </c>
      <c r="AV76">
        <f t="shared" ref="AV76:AV139" si="20">-AS76/$F$2*1000</f>
        <v>15.725925925925925</v>
      </c>
      <c r="AW76">
        <f t="shared" ref="AW76:AW139" si="21">AV76*AQ76</f>
        <v>22.923210444444443</v>
      </c>
      <c r="AX76" s="9"/>
      <c r="AY76" s="21">
        <v>0.23239099999999999</v>
      </c>
      <c r="AZ76" s="21">
        <v>28.058499999999999</v>
      </c>
      <c r="BA76" s="21">
        <v>-1.4373800000000001E-2</v>
      </c>
      <c r="BB76" s="21">
        <v>66</v>
      </c>
      <c r="BC76" s="21">
        <v>0.23184199999999999</v>
      </c>
      <c r="BD76">
        <f t="shared" ref="BD76:BD139" si="22">-BA76/$F$2*1000</f>
        <v>17.745432098765431</v>
      </c>
      <c r="BE76">
        <f t="shared" ref="BE76:BE139" si="23">BD76*AY76</f>
        <v>4.1238787108641972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5.6710799999999999</v>
      </c>
      <c r="I77" s="21">
        <v>-1.28326E-2</v>
      </c>
      <c r="J77" s="21">
        <v>67</v>
      </c>
      <c r="K77" s="21">
        <v>1.4520299999999999</v>
      </c>
      <c r="L77">
        <f t="shared" si="12"/>
        <v>15.842716049382712</v>
      </c>
      <c r="M77">
        <f t="shared" si="13"/>
        <v>23.013763041975302</v>
      </c>
      <c r="N77" s="9"/>
      <c r="O77" s="21">
        <v>0.237427</v>
      </c>
      <c r="P77" s="21">
        <v>9.4701299999999993</v>
      </c>
      <c r="Q77" s="21">
        <v>-1.44501E-2</v>
      </c>
      <c r="R77" s="21">
        <v>67</v>
      </c>
      <c r="S77" s="21">
        <v>0.23690800000000001</v>
      </c>
      <c r="T77">
        <f t="shared" si="14"/>
        <v>17.839629629629631</v>
      </c>
      <c r="U77">
        <f t="shared" si="15"/>
        <v>4.2356097440740745</v>
      </c>
      <c r="X77" s="9"/>
      <c r="Y77" s="21">
        <v>1.4526399999999999</v>
      </c>
      <c r="Z77" s="21">
        <v>15.032299999999999</v>
      </c>
      <c r="AA77" s="21">
        <v>-1.28387E-2</v>
      </c>
      <c r="AB77" s="21">
        <v>67</v>
      </c>
      <c r="AC77" s="21">
        <v>1.4517199999999999</v>
      </c>
      <c r="AD77">
        <f t="shared" si="16"/>
        <v>15.850246913580245</v>
      </c>
      <c r="AE77">
        <f t="shared" si="17"/>
        <v>23.024702676543207</v>
      </c>
      <c r="AF77" s="9"/>
      <c r="AG77" s="21">
        <v>0.237427</v>
      </c>
      <c r="AH77" s="21">
        <v>18.831299999999999</v>
      </c>
      <c r="AI77" s="21">
        <v>-1.4483599999999999E-2</v>
      </c>
      <c r="AJ77" s="21">
        <v>67</v>
      </c>
      <c r="AK77" s="21">
        <v>0.236847</v>
      </c>
      <c r="AL77">
        <f t="shared" si="18"/>
        <v>17.880987654320986</v>
      </c>
      <c r="AM77">
        <f t="shared" si="19"/>
        <v>4.2454292558024687</v>
      </c>
      <c r="AP77" s="9"/>
      <c r="AQ77" s="21">
        <v>1.4526399999999999</v>
      </c>
      <c r="AR77" s="21">
        <v>24.269500000000001</v>
      </c>
      <c r="AS77" s="21">
        <v>-1.2771599999999999E-2</v>
      </c>
      <c r="AT77" s="21">
        <v>67</v>
      </c>
      <c r="AU77" s="21">
        <v>1.4520299999999999</v>
      </c>
      <c r="AV77">
        <f t="shared" si="20"/>
        <v>15.767407407407408</v>
      </c>
      <c r="AW77">
        <f t="shared" si="21"/>
        <v>22.904366696296297</v>
      </c>
      <c r="AX77" s="9"/>
      <c r="AY77" s="21">
        <v>0.237427</v>
      </c>
      <c r="AZ77" s="21">
        <v>28.0685</v>
      </c>
      <c r="BA77" s="21">
        <v>-1.4373800000000001E-2</v>
      </c>
      <c r="BB77" s="21">
        <v>67</v>
      </c>
      <c r="BC77" s="21">
        <v>0.23702999999999999</v>
      </c>
      <c r="BD77">
        <f t="shared" si="22"/>
        <v>17.745432098765431</v>
      </c>
      <c r="BE77">
        <f t="shared" si="23"/>
        <v>4.2132447069135797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5.6811499999999997</v>
      </c>
      <c r="I78" s="21">
        <v>-1.2860099999999999E-2</v>
      </c>
      <c r="J78" s="21">
        <v>68</v>
      </c>
      <c r="K78" s="21">
        <v>1.4468399999999999</v>
      </c>
      <c r="L78">
        <f t="shared" si="12"/>
        <v>15.876666666666663</v>
      </c>
      <c r="M78">
        <f t="shared" si="13"/>
        <v>22.983062666666662</v>
      </c>
      <c r="N78" s="9"/>
      <c r="O78" s="21">
        <v>0.24246200000000001</v>
      </c>
      <c r="P78" s="21">
        <v>9.4802</v>
      </c>
      <c r="Q78" s="21">
        <v>-1.4444E-2</v>
      </c>
      <c r="R78" s="21">
        <v>68</v>
      </c>
      <c r="S78" s="21">
        <v>0.24185200000000001</v>
      </c>
      <c r="T78">
        <f t="shared" si="14"/>
        <v>17.832098765432097</v>
      </c>
      <c r="U78">
        <f t="shared" si="15"/>
        <v>4.3236063308641972</v>
      </c>
      <c r="X78" s="9"/>
      <c r="Y78" s="21">
        <v>1.4476</v>
      </c>
      <c r="Z78" s="21">
        <v>15.042299999999999</v>
      </c>
      <c r="AA78" s="21">
        <v>-1.28632E-2</v>
      </c>
      <c r="AB78" s="21">
        <v>68</v>
      </c>
      <c r="AC78" s="21">
        <v>1.4465300000000001</v>
      </c>
      <c r="AD78">
        <f t="shared" si="16"/>
        <v>15.880493827160493</v>
      </c>
      <c r="AE78">
        <f t="shared" si="17"/>
        <v>22.988602864197528</v>
      </c>
      <c r="AF78" s="9"/>
      <c r="AG78" s="21">
        <v>0.24246200000000001</v>
      </c>
      <c r="AH78" s="21">
        <v>18.8414</v>
      </c>
      <c r="AI78" s="21">
        <v>-1.4483599999999999E-2</v>
      </c>
      <c r="AJ78" s="21">
        <v>68</v>
      </c>
      <c r="AK78" s="21">
        <v>0.24188200000000001</v>
      </c>
      <c r="AL78">
        <f t="shared" si="18"/>
        <v>17.880987654320986</v>
      </c>
      <c r="AM78">
        <f t="shared" si="19"/>
        <v>4.3354600286419753</v>
      </c>
      <c r="AP78" s="9"/>
      <c r="AQ78" s="21">
        <v>1.4476</v>
      </c>
      <c r="AR78" s="21">
        <v>24.279599999999999</v>
      </c>
      <c r="AS78" s="21">
        <v>-1.2811299999999999E-2</v>
      </c>
      <c r="AT78" s="21">
        <v>68</v>
      </c>
      <c r="AU78" s="21">
        <v>1.4462299999999999</v>
      </c>
      <c r="AV78">
        <f t="shared" si="20"/>
        <v>15.816419753086418</v>
      </c>
      <c r="AW78">
        <f t="shared" si="21"/>
        <v>22.895849234567898</v>
      </c>
      <c r="AX78" s="9"/>
      <c r="AY78" s="21">
        <v>0.24246200000000001</v>
      </c>
      <c r="AZ78" s="21">
        <v>28.078600000000002</v>
      </c>
      <c r="BA78" s="21">
        <v>-1.43707E-2</v>
      </c>
      <c r="BB78" s="21">
        <v>68</v>
      </c>
      <c r="BC78" s="21">
        <v>0.24188200000000001</v>
      </c>
      <c r="BD78">
        <f t="shared" si="22"/>
        <v>17.741604938271603</v>
      </c>
      <c r="BE78">
        <f t="shared" si="23"/>
        <v>4.3016650165432093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5.6912200000000004</v>
      </c>
      <c r="I79" s="21">
        <v>-1.28906E-2</v>
      </c>
      <c r="J79" s="21">
        <v>69</v>
      </c>
      <c r="K79" s="21">
        <v>1.4419599999999999</v>
      </c>
      <c r="L79">
        <f t="shared" si="12"/>
        <v>15.914320987654323</v>
      </c>
      <c r="M79">
        <f t="shared" si="13"/>
        <v>22.957522027160493</v>
      </c>
      <c r="N79" s="9"/>
      <c r="O79" s="21">
        <v>0.247498</v>
      </c>
      <c r="P79" s="21">
        <v>9.4902700000000006</v>
      </c>
      <c r="Q79" s="21">
        <v>-1.44379E-2</v>
      </c>
      <c r="R79" s="21">
        <v>69</v>
      </c>
      <c r="S79" s="21">
        <v>0.246948</v>
      </c>
      <c r="T79">
        <f t="shared" si="14"/>
        <v>17.824567901234566</v>
      </c>
      <c r="U79">
        <f t="shared" si="15"/>
        <v>4.4115449064197527</v>
      </c>
      <c r="X79" s="9"/>
      <c r="Y79" s="21">
        <v>1.4425699999999999</v>
      </c>
      <c r="Z79" s="21">
        <v>15.0524</v>
      </c>
      <c r="AA79" s="21">
        <v>-1.2893699999999999E-2</v>
      </c>
      <c r="AB79" s="21">
        <v>69</v>
      </c>
      <c r="AC79" s="21">
        <v>1.4416500000000001</v>
      </c>
      <c r="AD79">
        <f t="shared" si="16"/>
        <v>15.918148148148147</v>
      </c>
      <c r="AE79">
        <f t="shared" si="17"/>
        <v>22.963042974074071</v>
      </c>
      <c r="AF79" s="9"/>
      <c r="AG79" s="21">
        <v>0.247498</v>
      </c>
      <c r="AH79" s="21">
        <v>18.851500000000001</v>
      </c>
      <c r="AI79" s="21">
        <v>-1.44867E-2</v>
      </c>
      <c r="AJ79" s="21">
        <v>69</v>
      </c>
      <c r="AK79" s="21">
        <v>0.246948</v>
      </c>
      <c r="AL79">
        <f t="shared" si="18"/>
        <v>17.884814814814817</v>
      </c>
      <c r="AM79">
        <f t="shared" si="19"/>
        <v>4.4264558970370373</v>
      </c>
      <c r="AP79" s="9"/>
      <c r="AQ79" s="21">
        <v>1.4425699999999999</v>
      </c>
      <c r="AR79" s="21">
        <v>24.2896</v>
      </c>
      <c r="AS79" s="21">
        <v>-1.28326E-2</v>
      </c>
      <c r="AT79" s="21">
        <v>69</v>
      </c>
      <c r="AU79" s="21">
        <v>1.4413499999999999</v>
      </c>
      <c r="AV79">
        <f t="shared" si="20"/>
        <v>15.842716049382712</v>
      </c>
      <c r="AW79">
        <f t="shared" si="21"/>
        <v>22.854226891358017</v>
      </c>
      <c r="AX79" s="9"/>
      <c r="AY79" s="21">
        <v>0.247498</v>
      </c>
      <c r="AZ79" s="21">
        <v>28.088699999999999</v>
      </c>
      <c r="BA79" s="21">
        <v>-1.43707E-2</v>
      </c>
      <c r="BB79" s="21">
        <v>69</v>
      </c>
      <c r="BC79" s="21">
        <v>0.24700900000000001</v>
      </c>
      <c r="BD79">
        <f t="shared" si="22"/>
        <v>17.741604938271603</v>
      </c>
      <c r="BE79">
        <f t="shared" si="23"/>
        <v>4.3910117390123453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5.7012900000000002</v>
      </c>
      <c r="I80" s="21">
        <v>-1.2914999999999999E-2</v>
      </c>
      <c r="J80" s="21">
        <v>70</v>
      </c>
      <c r="K80" s="21">
        <v>1.4367700000000001</v>
      </c>
      <c r="L80">
        <f t="shared" si="12"/>
        <v>15.944444444444441</v>
      </c>
      <c r="M80">
        <f t="shared" si="13"/>
        <v>22.920617222222216</v>
      </c>
      <c r="N80" s="9"/>
      <c r="O80" s="21">
        <v>0.25253300000000001</v>
      </c>
      <c r="P80" s="21">
        <v>9.5003399999999996</v>
      </c>
      <c r="Q80" s="21">
        <v>-1.4422600000000001E-2</v>
      </c>
      <c r="R80" s="21">
        <v>70</v>
      </c>
      <c r="S80" s="21">
        <v>0.25186199999999997</v>
      </c>
      <c r="T80">
        <f t="shared" si="14"/>
        <v>17.805679012345678</v>
      </c>
      <c r="U80">
        <f t="shared" si="15"/>
        <v>4.496521538024691</v>
      </c>
      <c r="X80" s="9"/>
      <c r="Y80" s="21">
        <v>1.43753</v>
      </c>
      <c r="Z80" s="21">
        <v>15.0625</v>
      </c>
      <c r="AA80" s="21">
        <v>-1.29059E-2</v>
      </c>
      <c r="AB80" s="21">
        <v>70</v>
      </c>
      <c r="AC80" s="21">
        <v>1.4370700000000001</v>
      </c>
      <c r="AD80">
        <f t="shared" si="16"/>
        <v>15.933209876543209</v>
      </c>
      <c r="AE80">
        <f t="shared" si="17"/>
        <v>22.904467193827159</v>
      </c>
      <c r="AF80" s="9"/>
      <c r="AG80" s="21">
        <v>0.25253300000000001</v>
      </c>
      <c r="AH80" s="21">
        <v>18.861499999999999</v>
      </c>
      <c r="AI80" s="21">
        <v>-1.44928E-2</v>
      </c>
      <c r="AJ80" s="21">
        <v>70</v>
      </c>
      <c r="AK80" s="21">
        <v>0.25195299999999998</v>
      </c>
      <c r="AL80">
        <f t="shared" si="18"/>
        <v>17.892345679012344</v>
      </c>
      <c r="AM80">
        <f t="shared" si="19"/>
        <v>4.5184077313580246</v>
      </c>
      <c r="AP80" s="9"/>
      <c r="AQ80" s="21">
        <v>1.43753</v>
      </c>
      <c r="AR80" s="21">
        <v>24.299700000000001</v>
      </c>
      <c r="AS80" s="21">
        <v>-1.2860099999999999E-2</v>
      </c>
      <c r="AT80" s="21">
        <v>70</v>
      </c>
      <c r="AU80" s="21">
        <v>1.4370700000000001</v>
      </c>
      <c r="AV80">
        <f t="shared" si="20"/>
        <v>15.876666666666663</v>
      </c>
      <c r="AW80">
        <f t="shared" si="21"/>
        <v>22.823184633333327</v>
      </c>
      <c r="AX80" s="9"/>
      <c r="AY80" s="21">
        <v>0.25253300000000001</v>
      </c>
      <c r="AZ80" s="21">
        <v>28.098800000000001</v>
      </c>
      <c r="BA80" s="21">
        <v>-1.43707E-2</v>
      </c>
      <c r="BB80" s="21">
        <v>70</v>
      </c>
      <c r="BC80" s="21">
        <v>0.25198399999999999</v>
      </c>
      <c r="BD80">
        <f t="shared" si="22"/>
        <v>17.741604938271603</v>
      </c>
      <c r="BE80">
        <f t="shared" si="23"/>
        <v>4.4803407198765433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5.71136</v>
      </c>
      <c r="I81" s="21">
        <v>-1.29456E-2</v>
      </c>
      <c r="J81" s="21">
        <v>71</v>
      </c>
      <c r="K81" s="21">
        <v>1.4315800000000001</v>
      </c>
      <c r="L81">
        <f t="shared" si="12"/>
        <v>15.982222222222221</v>
      </c>
      <c r="M81">
        <f t="shared" si="13"/>
        <v>22.894533333333335</v>
      </c>
      <c r="N81" s="9"/>
      <c r="O81" s="21">
        <v>0.25756800000000002</v>
      </c>
      <c r="P81" s="21">
        <v>9.5104100000000003</v>
      </c>
      <c r="Q81" s="21">
        <v>-1.4413499999999999E-2</v>
      </c>
      <c r="R81" s="21">
        <v>71</v>
      </c>
      <c r="S81" s="21">
        <v>0.25692700000000002</v>
      </c>
      <c r="T81">
        <f t="shared" si="14"/>
        <v>17.794444444444444</v>
      </c>
      <c r="U81">
        <f t="shared" si="15"/>
        <v>4.5832794666666672</v>
      </c>
      <c r="X81" s="9"/>
      <c r="Y81" s="21">
        <v>1.4325000000000001</v>
      </c>
      <c r="Z81" s="21">
        <v>15.0726</v>
      </c>
      <c r="AA81" s="21">
        <v>-1.29211E-2</v>
      </c>
      <c r="AB81" s="21">
        <v>71</v>
      </c>
      <c r="AC81" s="21">
        <v>1.43188</v>
      </c>
      <c r="AD81">
        <f t="shared" si="16"/>
        <v>15.951975308641973</v>
      </c>
      <c r="AE81">
        <f t="shared" si="17"/>
        <v>22.851204629629628</v>
      </c>
      <c r="AF81" s="9"/>
      <c r="AG81" s="21">
        <v>0.25756800000000002</v>
      </c>
      <c r="AH81" s="21">
        <v>18.871600000000001</v>
      </c>
      <c r="AI81" s="21">
        <v>-1.44989E-2</v>
      </c>
      <c r="AJ81" s="21">
        <v>71</v>
      </c>
      <c r="AK81" s="21">
        <v>0.25695800000000002</v>
      </c>
      <c r="AL81">
        <f t="shared" si="18"/>
        <v>17.899876543209874</v>
      </c>
      <c r="AM81">
        <f t="shared" si="19"/>
        <v>4.6104354014814817</v>
      </c>
      <c r="AP81" s="9"/>
      <c r="AQ81" s="21">
        <v>1.4325000000000001</v>
      </c>
      <c r="AR81" s="21">
        <v>24.309799999999999</v>
      </c>
      <c r="AS81" s="21">
        <v>-1.2887600000000001E-2</v>
      </c>
      <c r="AT81" s="21">
        <v>71</v>
      </c>
      <c r="AU81" s="21">
        <v>1.43188</v>
      </c>
      <c r="AV81">
        <f t="shared" si="20"/>
        <v>15.910617283950618</v>
      </c>
      <c r="AW81">
        <f t="shared" si="21"/>
        <v>22.791959259259261</v>
      </c>
      <c r="AX81" s="9"/>
      <c r="AY81" s="21">
        <v>0.25756800000000002</v>
      </c>
      <c r="AZ81" s="21">
        <v>28.108799999999999</v>
      </c>
      <c r="BA81" s="21">
        <v>-1.43646E-2</v>
      </c>
      <c r="BB81" s="21">
        <v>71</v>
      </c>
      <c r="BC81" s="21">
        <v>0.25698900000000002</v>
      </c>
      <c r="BD81">
        <f t="shared" si="22"/>
        <v>17.734074074074073</v>
      </c>
      <c r="BE81">
        <f t="shared" si="23"/>
        <v>4.5677299911111113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5.7214299999999998</v>
      </c>
      <c r="I82" s="21">
        <v>-1.29669E-2</v>
      </c>
      <c r="J82" s="21">
        <v>72</v>
      </c>
      <c r="K82" s="21">
        <v>1.4267000000000001</v>
      </c>
      <c r="L82">
        <f t="shared" si="12"/>
        <v>16.008518518518514</v>
      </c>
      <c r="M82">
        <f t="shared" si="13"/>
        <v>22.851519844444436</v>
      </c>
      <c r="N82" s="9"/>
      <c r="O82" s="21">
        <v>0.262604</v>
      </c>
      <c r="P82" s="21">
        <v>9.5204799999999992</v>
      </c>
      <c r="Q82" s="21">
        <v>-1.44073E-2</v>
      </c>
      <c r="R82" s="21">
        <v>72</v>
      </c>
      <c r="S82" s="21">
        <v>0.26190200000000002</v>
      </c>
      <c r="T82">
        <f t="shared" si="14"/>
        <v>17.78679012345679</v>
      </c>
      <c r="U82">
        <f t="shared" si="15"/>
        <v>4.6708822335802465</v>
      </c>
      <c r="X82" s="9"/>
      <c r="Y82" s="21">
        <v>1.42746</v>
      </c>
      <c r="Z82" s="21">
        <v>15.082599999999999</v>
      </c>
      <c r="AA82" s="21">
        <v>-1.29395E-2</v>
      </c>
      <c r="AB82" s="21">
        <v>72</v>
      </c>
      <c r="AC82" s="21">
        <v>1.42639</v>
      </c>
      <c r="AD82">
        <f t="shared" si="16"/>
        <v>15.974691358024689</v>
      </c>
      <c r="AE82">
        <f t="shared" si="17"/>
        <v>22.803232925925922</v>
      </c>
      <c r="AF82" s="9"/>
      <c r="AG82" s="21">
        <v>0.262604</v>
      </c>
      <c r="AH82" s="21">
        <v>18.881699999999999</v>
      </c>
      <c r="AI82" s="21">
        <v>-1.4505000000000001E-2</v>
      </c>
      <c r="AJ82" s="21">
        <v>72</v>
      </c>
      <c r="AK82" s="21">
        <v>0.26199299999999998</v>
      </c>
      <c r="AL82">
        <f t="shared" si="18"/>
        <v>17.907407407407408</v>
      </c>
      <c r="AM82">
        <f t="shared" si="19"/>
        <v>4.7025568148148151</v>
      </c>
      <c r="AP82" s="9"/>
      <c r="AQ82" s="21">
        <v>1.42746</v>
      </c>
      <c r="AR82" s="21">
        <v>24.319900000000001</v>
      </c>
      <c r="AS82" s="21">
        <v>-1.2912E-2</v>
      </c>
      <c r="AT82" s="21">
        <v>72</v>
      </c>
      <c r="AU82" s="21">
        <v>1.42639</v>
      </c>
      <c r="AV82">
        <f t="shared" si="20"/>
        <v>15.940740740740738</v>
      </c>
      <c r="AW82">
        <f t="shared" si="21"/>
        <v>22.754769777777774</v>
      </c>
      <c r="AX82" s="9"/>
      <c r="AY82" s="21">
        <v>0.262604</v>
      </c>
      <c r="AZ82" s="21">
        <v>28.1189</v>
      </c>
      <c r="BA82" s="21">
        <v>-1.43585E-2</v>
      </c>
      <c r="BB82" s="21">
        <v>72</v>
      </c>
      <c r="BC82" s="21">
        <v>0.26202399999999998</v>
      </c>
      <c r="BD82">
        <f t="shared" si="22"/>
        <v>17.726543209876542</v>
      </c>
      <c r="BE82">
        <f t="shared" si="23"/>
        <v>4.6550611530864199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5.7315100000000001</v>
      </c>
      <c r="I83" s="21">
        <v>-1.2985200000000001E-2</v>
      </c>
      <c r="J83" s="21">
        <v>73</v>
      </c>
      <c r="K83" s="21">
        <v>1.4215100000000001</v>
      </c>
      <c r="L83">
        <f t="shared" si="12"/>
        <v>16.031111111111109</v>
      </c>
      <c r="M83">
        <f t="shared" si="13"/>
        <v>22.802973066666663</v>
      </c>
      <c r="N83" s="9"/>
      <c r="O83" s="21">
        <v>0.26763900000000002</v>
      </c>
      <c r="P83" s="21">
        <v>9.5305499999999999</v>
      </c>
      <c r="Q83" s="21">
        <v>-1.4401199999999999E-2</v>
      </c>
      <c r="R83" s="21">
        <v>73</v>
      </c>
      <c r="S83" s="21">
        <v>0.26712000000000002</v>
      </c>
      <c r="T83">
        <f t="shared" si="14"/>
        <v>17.779259259259259</v>
      </c>
      <c r="U83">
        <f t="shared" si="15"/>
        <v>4.7584231688888892</v>
      </c>
      <c r="X83" s="9"/>
      <c r="Y83" s="21">
        <v>1.42242</v>
      </c>
      <c r="Z83" s="21">
        <v>15.092700000000001</v>
      </c>
      <c r="AA83" s="21">
        <v>-1.29517E-2</v>
      </c>
      <c r="AB83" s="21">
        <v>73</v>
      </c>
      <c r="AC83" s="21">
        <v>1.4215100000000001</v>
      </c>
      <c r="AD83">
        <f t="shared" si="16"/>
        <v>15.989753086419752</v>
      </c>
      <c r="AE83">
        <f t="shared" si="17"/>
        <v>22.744144585185182</v>
      </c>
      <c r="AF83" s="9"/>
      <c r="AG83" s="21">
        <v>0.26763900000000002</v>
      </c>
      <c r="AH83" s="21">
        <v>18.8917</v>
      </c>
      <c r="AI83" s="21">
        <v>-1.4505000000000001E-2</v>
      </c>
      <c r="AJ83" s="21">
        <v>73</v>
      </c>
      <c r="AK83" s="21">
        <v>0.26699800000000001</v>
      </c>
      <c r="AL83">
        <f t="shared" si="18"/>
        <v>17.907407407407408</v>
      </c>
      <c r="AM83">
        <f t="shared" si="19"/>
        <v>4.792720611111112</v>
      </c>
      <c r="AP83" s="9"/>
      <c r="AQ83" s="21">
        <v>1.42242</v>
      </c>
      <c r="AR83" s="21">
        <v>24.329899999999999</v>
      </c>
      <c r="AS83" s="21">
        <v>-1.29333E-2</v>
      </c>
      <c r="AT83" s="21">
        <v>73</v>
      </c>
      <c r="AU83" s="21">
        <v>1.4215100000000001</v>
      </c>
      <c r="AV83">
        <f t="shared" si="20"/>
        <v>15.967037037037036</v>
      </c>
      <c r="AW83">
        <f t="shared" si="21"/>
        <v>22.71183282222222</v>
      </c>
      <c r="AX83" s="9"/>
      <c r="AY83" s="21">
        <v>0.26763900000000002</v>
      </c>
      <c r="AZ83" s="21">
        <v>28.129000000000001</v>
      </c>
      <c r="BA83" s="21">
        <v>-1.43433E-2</v>
      </c>
      <c r="BB83" s="21">
        <v>73</v>
      </c>
      <c r="BC83" s="21">
        <v>0.26708999999999999</v>
      </c>
      <c r="BD83">
        <f t="shared" si="22"/>
        <v>17.707777777777778</v>
      </c>
      <c r="BE83">
        <f t="shared" si="23"/>
        <v>4.7392919366666675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5.7415799999999999</v>
      </c>
      <c r="I84" s="21">
        <v>-1.30066E-2</v>
      </c>
      <c r="J84" s="21">
        <v>74</v>
      </c>
      <c r="K84" s="21">
        <v>1.41632</v>
      </c>
      <c r="L84">
        <f t="shared" si="12"/>
        <v>16.057530864197531</v>
      </c>
      <c r="M84">
        <f t="shared" si="13"/>
        <v>22.759783671604939</v>
      </c>
      <c r="N84" s="9"/>
      <c r="O84" s="21">
        <v>0.272675</v>
      </c>
      <c r="P84" s="21">
        <v>9.5406200000000005</v>
      </c>
      <c r="Q84" s="21">
        <v>-1.43982E-2</v>
      </c>
      <c r="R84" s="21">
        <v>74</v>
      </c>
      <c r="S84" s="21">
        <v>0.272034</v>
      </c>
      <c r="T84">
        <f t="shared" si="14"/>
        <v>17.775555555555556</v>
      </c>
      <c r="U84">
        <f t="shared" si="15"/>
        <v>4.8469496111111114</v>
      </c>
      <c r="X84" s="9"/>
      <c r="Y84" s="21">
        <v>1.4173899999999999</v>
      </c>
      <c r="Z84" s="21">
        <v>15.1028</v>
      </c>
      <c r="AA84" s="21">
        <v>-1.29608E-2</v>
      </c>
      <c r="AB84" s="21">
        <v>74</v>
      </c>
      <c r="AC84" s="21">
        <v>1.4166300000000001</v>
      </c>
      <c r="AD84">
        <f t="shared" si="16"/>
        <v>16.000987654320987</v>
      </c>
      <c r="AE84">
        <f t="shared" si="17"/>
        <v>22.679639891358022</v>
      </c>
      <c r="AF84" s="9"/>
      <c r="AG84" s="21">
        <v>0.272675</v>
      </c>
      <c r="AH84" s="21">
        <v>18.901800000000001</v>
      </c>
      <c r="AI84" s="21">
        <v>-1.44958E-2</v>
      </c>
      <c r="AJ84" s="21">
        <v>74</v>
      </c>
      <c r="AK84" s="21">
        <v>0.27209499999999998</v>
      </c>
      <c r="AL84">
        <f t="shared" si="18"/>
        <v>17.896049382716047</v>
      </c>
      <c r="AM84">
        <f t="shared" si="19"/>
        <v>4.8798052654320978</v>
      </c>
      <c r="AP84" s="9"/>
      <c r="AQ84" s="21">
        <v>1.4173899999999999</v>
      </c>
      <c r="AR84" s="21">
        <v>24.34</v>
      </c>
      <c r="AS84" s="21">
        <v>-1.29578E-2</v>
      </c>
      <c r="AT84" s="21">
        <v>74</v>
      </c>
      <c r="AU84" s="21">
        <v>1.4166300000000001</v>
      </c>
      <c r="AV84">
        <f t="shared" si="20"/>
        <v>15.997283950617284</v>
      </c>
      <c r="AW84">
        <f t="shared" si="21"/>
        <v>22.674390298765431</v>
      </c>
      <c r="AX84" s="9"/>
      <c r="AY84" s="21">
        <v>0.272675</v>
      </c>
      <c r="AZ84" s="21">
        <v>28.138999999999999</v>
      </c>
      <c r="BA84" s="21">
        <v>-1.4340200000000001E-2</v>
      </c>
      <c r="BB84" s="21">
        <v>74</v>
      </c>
      <c r="BC84" s="21">
        <v>0.27215600000000001</v>
      </c>
      <c r="BD84">
        <f t="shared" si="22"/>
        <v>17.703950617283951</v>
      </c>
      <c r="BE84">
        <f t="shared" si="23"/>
        <v>4.8274247345679013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5.7516499999999997</v>
      </c>
      <c r="I85" s="21">
        <v>-1.3024900000000001E-2</v>
      </c>
      <c r="J85" s="21">
        <v>75</v>
      </c>
      <c r="K85" s="21">
        <v>1.41052</v>
      </c>
      <c r="L85">
        <f t="shared" si="12"/>
        <v>16.080123456790126</v>
      </c>
      <c r="M85">
        <f t="shared" si="13"/>
        <v>22.710762364197535</v>
      </c>
      <c r="N85" s="9"/>
      <c r="O85" s="21">
        <v>0.27771000000000001</v>
      </c>
      <c r="P85" s="21">
        <v>9.5507000000000009</v>
      </c>
      <c r="Q85" s="21">
        <v>-1.4395099999999999E-2</v>
      </c>
      <c r="R85" s="21">
        <v>75</v>
      </c>
      <c r="S85" s="21">
        <v>0.27710000000000001</v>
      </c>
      <c r="T85">
        <f t="shared" si="14"/>
        <v>17.771728395061729</v>
      </c>
      <c r="U85">
        <f t="shared" si="15"/>
        <v>4.9353866925925924</v>
      </c>
      <c r="X85" s="9"/>
      <c r="Y85" s="21">
        <v>1.41235</v>
      </c>
      <c r="Z85" s="21">
        <v>15.1128</v>
      </c>
      <c r="AA85" s="21">
        <v>-1.2976100000000001E-2</v>
      </c>
      <c r="AB85" s="21">
        <v>75</v>
      </c>
      <c r="AC85" s="21">
        <v>1.41144</v>
      </c>
      <c r="AD85">
        <f t="shared" si="16"/>
        <v>16.019876543209875</v>
      </c>
      <c r="AE85">
        <f t="shared" si="17"/>
        <v>22.625672635802466</v>
      </c>
      <c r="AF85" s="9"/>
      <c r="AG85" s="21">
        <v>0.27771000000000001</v>
      </c>
      <c r="AH85" s="21">
        <v>18.911899999999999</v>
      </c>
      <c r="AI85" s="21">
        <v>-1.4489699999999999E-2</v>
      </c>
      <c r="AJ85" s="21">
        <v>75</v>
      </c>
      <c r="AK85" s="21">
        <v>0.27719100000000002</v>
      </c>
      <c r="AL85">
        <f t="shared" si="18"/>
        <v>17.888518518518516</v>
      </c>
      <c r="AM85">
        <f t="shared" si="19"/>
        <v>4.967820477777777</v>
      </c>
      <c r="AP85" s="9"/>
      <c r="AQ85" s="21">
        <v>1.41235</v>
      </c>
      <c r="AR85" s="21">
        <v>24.350100000000001</v>
      </c>
      <c r="AS85" s="21">
        <v>-1.2982199999999999E-2</v>
      </c>
      <c r="AT85" s="21">
        <v>75</v>
      </c>
      <c r="AU85" s="21">
        <v>1.41205</v>
      </c>
      <c r="AV85">
        <f t="shared" si="20"/>
        <v>16.027407407407406</v>
      </c>
      <c r="AW85">
        <f t="shared" si="21"/>
        <v>22.636308851851851</v>
      </c>
      <c r="AX85" s="9"/>
      <c r="AY85" s="21">
        <v>0.27771000000000001</v>
      </c>
      <c r="AZ85" s="21">
        <v>28.149100000000001</v>
      </c>
      <c r="BA85" s="21">
        <v>-1.4334100000000001E-2</v>
      </c>
      <c r="BB85" s="21">
        <v>75</v>
      </c>
      <c r="BC85" s="21">
        <v>0.27716099999999999</v>
      </c>
      <c r="BD85">
        <f t="shared" si="22"/>
        <v>17.69641975308642</v>
      </c>
      <c r="BE85">
        <f t="shared" si="23"/>
        <v>4.9144727296296304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5.7617200000000004</v>
      </c>
      <c r="I86" s="21">
        <v>-1.30432E-2</v>
      </c>
      <c r="J86" s="21">
        <v>76</v>
      </c>
      <c r="K86" s="21">
        <v>1.40594</v>
      </c>
      <c r="L86">
        <f t="shared" si="12"/>
        <v>16.102716049382714</v>
      </c>
      <c r="M86">
        <f t="shared" si="13"/>
        <v>22.661674350617279</v>
      </c>
      <c r="N86" s="9"/>
      <c r="O86" s="21">
        <v>0.28274500000000002</v>
      </c>
      <c r="P86" s="21">
        <v>9.5607699999999998</v>
      </c>
      <c r="Q86" s="21">
        <v>-1.44073E-2</v>
      </c>
      <c r="R86" s="21">
        <v>76</v>
      </c>
      <c r="S86" s="21">
        <v>0.28213500000000002</v>
      </c>
      <c r="T86">
        <f t="shared" si="14"/>
        <v>17.78679012345679</v>
      </c>
      <c r="U86">
        <f t="shared" si="15"/>
        <v>5.0291259734567904</v>
      </c>
      <c r="X86" s="9"/>
      <c r="Y86" s="21">
        <v>1.4073199999999999</v>
      </c>
      <c r="Z86" s="21">
        <v>15.1229</v>
      </c>
      <c r="AA86" s="21">
        <v>-1.30005E-2</v>
      </c>
      <c r="AB86" s="21">
        <v>76</v>
      </c>
      <c r="AC86" s="21">
        <v>1.40656</v>
      </c>
      <c r="AD86">
        <f t="shared" si="16"/>
        <v>16.049999999999997</v>
      </c>
      <c r="AE86">
        <f t="shared" si="17"/>
        <v>22.587485999999995</v>
      </c>
      <c r="AF86" s="9"/>
      <c r="AG86" s="21">
        <v>0.28274500000000002</v>
      </c>
      <c r="AH86" s="21">
        <v>18.922000000000001</v>
      </c>
      <c r="AI86" s="21">
        <v>-1.44806E-2</v>
      </c>
      <c r="AJ86" s="21">
        <v>76</v>
      </c>
      <c r="AK86" s="21">
        <v>0.28216599999999997</v>
      </c>
      <c r="AL86">
        <f t="shared" si="18"/>
        <v>17.877283950617283</v>
      </c>
      <c r="AM86">
        <f t="shared" si="19"/>
        <v>5.0547126506172839</v>
      </c>
      <c r="AP86" s="9"/>
      <c r="AQ86" s="21">
        <v>1.4073199999999999</v>
      </c>
      <c r="AR86" s="21">
        <v>24.360099999999999</v>
      </c>
      <c r="AS86" s="21">
        <v>-1.30005E-2</v>
      </c>
      <c r="AT86" s="21">
        <v>76</v>
      </c>
      <c r="AU86" s="21">
        <v>1.40564</v>
      </c>
      <c r="AV86">
        <f t="shared" si="20"/>
        <v>16.049999999999997</v>
      </c>
      <c r="AW86">
        <f t="shared" si="21"/>
        <v>22.587485999999995</v>
      </c>
      <c r="AX86" s="9"/>
      <c r="AY86" s="21">
        <v>0.28274500000000002</v>
      </c>
      <c r="AZ86" s="21">
        <v>28.159199999999998</v>
      </c>
      <c r="BA86" s="21">
        <v>-1.4324999999999999E-2</v>
      </c>
      <c r="BB86" s="21">
        <v>76</v>
      </c>
      <c r="BC86" s="21">
        <v>0.28216599999999997</v>
      </c>
      <c r="BD86">
        <f t="shared" si="22"/>
        <v>17.685185185185183</v>
      </c>
      <c r="BE86">
        <f t="shared" si="23"/>
        <v>5.0003976851851855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5.7717900000000002</v>
      </c>
      <c r="I87" s="21">
        <v>-1.30676E-2</v>
      </c>
      <c r="J87" s="21">
        <v>77</v>
      </c>
      <c r="K87" s="21">
        <v>1.40167</v>
      </c>
      <c r="L87">
        <f t="shared" si="12"/>
        <v>16.132839506172839</v>
      </c>
      <c r="M87">
        <f t="shared" si="13"/>
        <v>22.622758182716048</v>
      </c>
      <c r="N87" s="9"/>
      <c r="O87" s="21">
        <v>0.28778100000000001</v>
      </c>
      <c r="P87" s="21">
        <v>9.5708400000000005</v>
      </c>
      <c r="Q87" s="21">
        <v>-1.4413499999999999E-2</v>
      </c>
      <c r="R87" s="21">
        <v>77</v>
      </c>
      <c r="S87" s="21">
        <v>0.28726200000000002</v>
      </c>
      <c r="T87">
        <f t="shared" si="14"/>
        <v>17.794444444444444</v>
      </c>
      <c r="U87">
        <f t="shared" si="15"/>
        <v>5.1209030166666665</v>
      </c>
      <c r="X87" s="9"/>
      <c r="Y87" s="21">
        <v>1.40228</v>
      </c>
      <c r="Z87" s="21">
        <v>15.132999999999999</v>
      </c>
      <c r="AA87" s="21">
        <v>-1.30096E-2</v>
      </c>
      <c r="AB87" s="21">
        <v>77</v>
      </c>
      <c r="AC87" s="21">
        <v>1.40167</v>
      </c>
      <c r="AD87">
        <f t="shared" si="16"/>
        <v>16.061234567901234</v>
      </c>
      <c r="AE87">
        <f t="shared" si="17"/>
        <v>22.522348009876541</v>
      </c>
      <c r="AF87" s="9"/>
      <c r="AG87" s="21">
        <v>0.28778100000000001</v>
      </c>
      <c r="AH87" s="21">
        <v>18.931999999999999</v>
      </c>
      <c r="AI87" s="21">
        <v>-1.4471400000000001E-2</v>
      </c>
      <c r="AJ87" s="21">
        <v>77</v>
      </c>
      <c r="AK87" s="21">
        <v>0.28716999999999998</v>
      </c>
      <c r="AL87">
        <f t="shared" si="18"/>
        <v>17.865925925925925</v>
      </c>
      <c r="AM87">
        <f t="shared" si="19"/>
        <v>5.1414740288888892</v>
      </c>
      <c r="AP87" s="9"/>
      <c r="AQ87" s="21">
        <v>1.40228</v>
      </c>
      <c r="AR87" s="21">
        <v>24.370200000000001</v>
      </c>
      <c r="AS87" s="21">
        <v>-1.3024900000000001E-2</v>
      </c>
      <c r="AT87" s="21">
        <v>77</v>
      </c>
      <c r="AU87" s="21">
        <v>1.40137</v>
      </c>
      <c r="AV87">
        <f t="shared" si="20"/>
        <v>16.080123456790126</v>
      </c>
      <c r="AW87">
        <f t="shared" si="21"/>
        <v>22.548835520987659</v>
      </c>
      <c r="AX87" s="9"/>
      <c r="AY87" s="21">
        <v>0.28778100000000001</v>
      </c>
      <c r="AZ87" s="21">
        <v>28.1693</v>
      </c>
      <c r="BA87" s="21">
        <v>-1.43219E-2</v>
      </c>
      <c r="BB87" s="21">
        <v>77</v>
      </c>
      <c r="BC87" s="21">
        <v>0.28720099999999998</v>
      </c>
      <c r="BD87">
        <f t="shared" si="22"/>
        <v>17.68135802469136</v>
      </c>
      <c r="BE87">
        <f t="shared" si="23"/>
        <v>5.0883588937037043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5.78186</v>
      </c>
      <c r="I88" s="21">
        <v>-1.3085899999999999E-2</v>
      </c>
      <c r="J88" s="21">
        <v>78</v>
      </c>
      <c r="K88" s="21">
        <v>1.39679</v>
      </c>
      <c r="L88">
        <f t="shared" si="12"/>
        <v>16.155432098765431</v>
      </c>
      <c r="M88">
        <f t="shared" si="13"/>
        <v>22.5731775</v>
      </c>
      <c r="N88" s="9"/>
      <c r="O88" s="21">
        <v>0.29281600000000002</v>
      </c>
      <c r="P88" s="21">
        <v>9.5809099999999994</v>
      </c>
      <c r="Q88" s="21">
        <v>-1.4422600000000001E-2</v>
      </c>
      <c r="R88" s="21">
        <v>78</v>
      </c>
      <c r="S88" s="21">
        <v>0.29217500000000002</v>
      </c>
      <c r="T88">
        <f t="shared" si="14"/>
        <v>17.805679012345678</v>
      </c>
      <c r="U88">
        <f t="shared" si="15"/>
        <v>5.2137877056790121</v>
      </c>
      <c r="X88" s="9"/>
      <c r="Y88" s="21">
        <v>1.3972500000000001</v>
      </c>
      <c r="Z88" s="21">
        <v>15.143000000000001</v>
      </c>
      <c r="AA88" s="21">
        <v>-1.3028E-2</v>
      </c>
      <c r="AB88" s="21">
        <v>78</v>
      </c>
      <c r="AC88" s="21">
        <v>1.3970899999999999</v>
      </c>
      <c r="AD88">
        <f t="shared" si="16"/>
        <v>16.08395061728395</v>
      </c>
      <c r="AE88">
        <f t="shared" si="17"/>
        <v>22.473300000000002</v>
      </c>
      <c r="AF88" s="9"/>
      <c r="AG88" s="21">
        <v>0.29281600000000002</v>
      </c>
      <c r="AH88" s="21">
        <v>18.9421</v>
      </c>
      <c r="AI88" s="21">
        <v>-1.4462300000000001E-2</v>
      </c>
      <c r="AJ88" s="21">
        <v>78</v>
      </c>
      <c r="AK88" s="21">
        <v>0.29220600000000002</v>
      </c>
      <c r="AL88">
        <f t="shared" si="18"/>
        <v>17.854691358024692</v>
      </c>
      <c r="AM88">
        <f t="shared" si="19"/>
        <v>5.228139304691358</v>
      </c>
      <c r="AP88" s="9"/>
      <c r="AQ88" s="21">
        <v>1.3972500000000001</v>
      </c>
      <c r="AR88" s="21">
        <v>24.380299999999998</v>
      </c>
      <c r="AS88" s="21">
        <v>-1.3037099999999999E-2</v>
      </c>
      <c r="AT88" s="21">
        <v>78</v>
      </c>
      <c r="AU88" s="21">
        <v>1.39618</v>
      </c>
      <c r="AV88">
        <f t="shared" si="20"/>
        <v>16.095185185185183</v>
      </c>
      <c r="AW88">
        <f t="shared" si="21"/>
        <v>22.4889975</v>
      </c>
      <c r="AX88" s="9"/>
      <c r="AY88" s="21">
        <v>0.29281600000000002</v>
      </c>
      <c r="AZ88" s="21">
        <v>28.179300000000001</v>
      </c>
      <c r="BA88" s="21">
        <v>-1.43188E-2</v>
      </c>
      <c r="BB88" s="21">
        <v>78</v>
      </c>
      <c r="BC88" s="21">
        <v>0.292236</v>
      </c>
      <c r="BD88">
        <f t="shared" si="22"/>
        <v>17.677530864197529</v>
      </c>
      <c r="BE88">
        <f t="shared" si="23"/>
        <v>5.1762638775308636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5.7919299999999998</v>
      </c>
      <c r="I89" s="21">
        <v>-1.3110399999999999E-2</v>
      </c>
      <c r="J89" s="21">
        <v>79</v>
      </c>
      <c r="K89" s="21">
        <v>1.3915999999999999</v>
      </c>
      <c r="L89">
        <f t="shared" si="12"/>
        <v>16.185679012345677</v>
      </c>
      <c r="M89">
        <f t="shared" si="13"/>
        <v>22.533864177777772</v>
      </c>
      <c r="N89" s="9"/>
      <c r="O89" s="21">
        <v>0.29785200000000001</v>
      </c>
      <c r="P89" s="21">
        <v>9.5909800000000001</v>
      </c>
      <c r="Q89" s="21">
        <v>-1.4419599999999999E-2</v>
      </c>
      <c r="R89" s="21">
        <v>79</v>
      </c>
      <c r="S89" s="21">
        <v>0.29724099999999998</v>
      </c>
      <c r="T89">
        <f t="shared" si="14"/>
        <v>17.801975308641975</v>
      </c>
      <c r="U89">
        <f t="shared" si="15"/>
        <v>5.3023539496296292</v>
      </c>
      <c r="X89" s="9"/>
      <c r="Y89" s="21">
        <v>1.3922099999999999</v>
      </c>
      <c r="Z89" s="21">
        <v>15.1531</v>
      </c>
      <c r="AA89" s="21">
        <v>-1.30524E-2</v>
      </c>
      <c r="AB89" s="21">
        <v>79</v>
      </c>
      <c r="AC89" s="21">
        <v>1.3913</v>
      </c>
      <c r="AD89">
        <f t="shared" si="16"/>
        <v>16.114074074074072</v>
      </c>
      <c r="AE89">
        <f t="shared" si="17"/>
        <v>22.434175066666661</v>
      </c>
      <c r="AF89" s="9"/>
      <c r="AG89" s="21">
        <v>0.29785200000000001</v>
      </c>
      <c r="AH89" s="21">
        <v>18.952200000000001</v>
      </c>
      <c r="AI89" s="21">
        <v>-1.4447E-2</v>
      </c>
      <c r="AJ89" s="21">
        <v>79</v>
      </c>
      <c r="AK89" s="21">
        <v>0.29733300000000001</v>
      </c>
      <c r="AL89">
        <f t="shared" si="18"/>
        <v>17.8358024691358</v>
      </c>
      <c r="AM89">
        <f t="shared" si="19"/>
        <v>5.3124294370370366</v>
      </c>
      <c r="AP89" s="9"/>
      <c r="AQ89" s="21">
        <v>1.3922099999999999</v>
      </c>
      <c r="AR89" s="21">
        <v>24.3903</v>
      </c>
      <c r="AS89" s="21">
        <v>-1.30615E-2</v>
      </c>
      <c r="AT89" s="21">
        <v>79</v>
      </c>
      <c r="AU89" s="21">
        <v>1.3909899999999999</v>
      </c>
      <c r="AV89">
        <f t="shared" si="20"/>
        <v>16.125308641975309</v>
      </c>
      <c r="AW89">
        <f t="shared" si="21"/>
        <v>22.449815944444445</v>
      </c>
      <c r="AX89" s="9"/>
      <c r="AY89" s="21">
        <v>0.29785200000000001</v>
      </c>
      <c r="AZ89" s="21">
        <v>28.189399999999999</v>
      </c>
      <c r="BA89" s="21">
        <v>-1.43188E-2</v>
      </c>
      <c r="BB89" s="21">
        <v>79</v>
      </c>
      <c r="BC89" s="21">
        <v>0.29733300000000001</v>
      </c>
      <c r="BD89">
        <f t="shared" si="22"/>
        <v>17.677530864197529</v>
      </c>
      <c r="BE89">
        <f t="shared" si="23"/>
        <v>5.2652879229629628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5.8019999999999996</v>
      </c>
      <c r="I90" s="21">
        <v>-1.31287E-2</v>
      </c>
      <c r="J90" s="21">
        <v>80</v>
      </c>
      <c r="K90" s="21">
        <v>1.3864099999999999</v>
      </c>
      <c r="L90">
        <f t="shared" si="12"/>
        <v>16.208271604938268</v>
      </c>
      <c r="M90">
        <f t="shared" si="13"/>
        <v>22.48379020493827</v>
      </c>
      <c r="N90" s="9"/>
      <c r="O90" s="21">
        <v>0.30288700000000002</v>
      </c>
      <c r="P90" s="21">
        <v>9.6010500000000008</v>
      </c>
      <c r="Q90" s="21">
        <v>-1.4401199999999999E-2</v>
      </c>
      <c r="R90" s="21">
        <v>80</v>
      </c>
      <c r="S90" s="21">
        <v>0.30224600000000001</v>
      </c>
      <c r="T90">
        <f t="shared" si="14"/>
        <v>17.779259259259259</v>
      </c>
      <c r="U90">
        <f t="shared" si="15"/>
        <v>5.3851064992592592</v>
      </c>
      <c r="X90" s="9"/>
      <c r="Y90" s="21">
        <v>1.3871800000000001</v>
      </c>
      <c r="Z90" s="21">
        <v>15.1632</v>
      </c>
      <c r="AA90" s="21">
        <v>-1.3079800000000001E-2</v>
      </c>
      <c r="AB90" s="21">
        <v>80</v>
      </c>
      <c r="AC90" s="21">
        <v>1.3864099999999999</v>
      </c>
      <c r="AD90">
        <f t="shared" si="16"/>
        <v>16.147901234567904</v>
      </c>
      <c r="AE90">
        <f t="shared" si="17"/>
        <v>22.400045634567906</v>
      </c>
      <c r="AF90" s="9"/>
      <c r="AG90" s="21">
        <v>0.30288700000000002</v>
      </c>
      <c r="AH90" s="21">
        <v>18.962199999999999</v>
      </c>
      <c r="AI90" s="21">
        <v>-1.4447E-2</v>
      </c>
      <c r="AJ90" s="21">
        <v>80</v>
      </c>
      <c r="AK90" s="21">
        <v>0.30221599999999998</v>
      </c>
      <c r="AL90">
        <f t="shared" si="18"/>
        <v>17.8358024691358</v>
      </c>
      <c r="AM90">
        <f t="shared" si="19"/>
        <v>5.402232702469135</v>
      </c>
      <c r="AP90" s="9"/>
      <c r="AQ90" s="21">
        <v>1.3871800000000001</v>
      </c>
      <c r="AR90" s="21">
        <v>24.400400000000001</v>
      </c>
      <c r="AS90" s="21">
        <v>-1.31012E-2</v>
      </c>
      <c r="AT90" s="21">
        <v>80</v>
      </c>
      <c r="AU90" s="21">
        <v>1.38611</v>
      </c>
      <c r="AV90">
        <f t="shared" si="20"/>
        <v>16.174320987654323</v>
      </c>
      <c r="AW90">
        <f t="shared" si="21"/>
        <v>22.436694587654326</v>
      </c>
      <c r="AX90" s="9"/>
      <c r="AY90" s="21">
        <v>0.30288700000000002</v>
      </c>
      <c r="AZ90" s="21">
        <v>28.1995</v>
      </c>
      <c r="BA90" s="21">
        <v>-1.4306599999999999E-2</v>
      </c>
      <c r="BB90" s="21">
        <v>80</v>
      </c>
      <c r="BC90" s="21">
        <v>0.30218499999999998</v>
      </c>
      <c r="BD90">
        <f t="shared" si="22"/>
        <v>17.662469135802468</v>
      </c>
      <c r="BE90">
        <f t="shared" si="23"/>
        <v>5.3497322891358019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5.8120700000000003</v>
      </c>
      <c r="I91" s="21">
        <v>-1.31439E-2</v>
      </c>
      <c r="J91" s="21">
        <v>81</v>
      </c>
      <c r="K91" s="21">
        <v>1.38184</v>
      </c>
      <c r="L91">
        <f t="shared" si="12"/>
        <v>16.227037037037036</v>
      </c>
      <c r="M91">
        <f t="shared" si="13"/>
        <v>22.428036970370368</v>
      </c>
      <c r="N91" s="9"/>
      <c r="O91" s="21">
        <v>0.30792199999999997</v>
      </c>
      <c r="P91" s="21">
        <v>9.6111199999999997</v>
      </c>
      <c r="Q91" s="21">
        <v>-1.4395099999999999E-2</v>
      </c>
      <c r="R91" s="21">
        <v>81</v>
      </c>
      <c r="S91" s="21">
        <v>0.30737300000000001</v>
      </c>
      <c r="T91">
        <f t="shared" si="14"/>
        <v>17.771728395061729</v>
      </c>
      <c r="U91">
        <f t="shared" si="15"/>
        <v>5.4723061508641972</v>
      </c>
      <c r="X91" s="9"/>
      <c r="Y91" s="21">
        <v>1.3821399999999999</v>
      </c>
      <c r="Z91" s="21">
        <v>15.173299999999999</v>
      </c>
      <c r="AA91" s="21">
        <v>-1.31012E-2</v>
      </c>
      <c r="AB91" s="21">
        <v>81</v>
      </c>
      <c r="AC91" s="21">
        <v>1.38123</v>
      </c>
      <c r="AD91">
        <f t="shared" si="16"/>
        <v>16.174320987654323</v>
      </c>
      <c r="AE91">
        <f t="shared" si="17"/>
        <v>22.355176009876544</v>
      </c>
      <c r="AF91" s="9"/>
      <c r="AG91" s="21">
        <v>0.30792199999999997</v>
      </c>
      <c r="AH91" s="21">
        <v>18.972300000000001</v>
      </c>
      <c r="AI91" s="21">
        <v>-1.4444E-2</v>
      </c>
      <c r="AJ91" s="21">
        <v>81</v>
      </c>
      <c r="AK91" s="21">
        <v>0.30731199999999997</v>
      </c>
      <c r="AL91">
        <f t="shared" si="18"/>
        <v>17.832098765432097</v>
      </c>
      <c r="AM91">
        <f t="shared" si="19"/>
        <v>5.490895516049382</v>
      </c>
      <c r="AP91" s="9"/>
      <c r="AQ91" s="21">
        <v>1.3821399999999999</v>
      </c>
      <c r="AR91" s="21">
        <v>24.410499999999999</v>
      </c>
      <c r="AS91" s="21">
        <v>-1.31409E-2</v>
      </c>
      <c r="AT91" s="21">
        <v>81</v>
      </c>
      <c r="AU91" s="21">
        <v>1.38123</v>
      </c>
      <c r="AV91">
        <f t="shared" si="20"/>
        <v>16.223333333333333</v>
      </c>
      <c r="AW91">
        <f t="shared" si="21"/>
        <v>22.422917933333331</v>
      </c>
      <c r="AX91" s="9"/>
      <c r="AY91" s="21">
        <v>0.30792199999999997</v>
      </c>
      <c r="AZ91" s="21">
        <v>28.209499999999998</v>
      </c>
      <c r="BA91" s="21">
        <v>-1.4294400000000001E-2</v>
      </c>
      <c r="BB91" s="21">
        <v>81</v>
      </c>
      <c r="BC91" s="21">
        <v>0.30737300000000001</v>
      </c>
      <c r="BD91">
        <f t="shared" si="22"/>
        <v>17.647407407407407</v>
      </c>
      <c r="BE91">
        <f t="shared" si="23"/>
        <v>5.4340249837037033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5.8221400000000001</v>
      </c>
      <c r="I92" s="21">
        <v>-1.3159199999999999E-2</v>
      </c>
      <c r="J92" s="21">
        <v>82</v>
      </c>
      <c r="K92" s="21">
        <v>1.3757299999999999</v>
      </c>
      <c r="L92">
        <f t="shared" si="12"/>
        <v>16.245925925925924</v>
      </c>
      <c r="M92">
        <f t="shared" si="13"/>
        <v>22.372427051851851</v>
      </c>
      <c r="N92" s="9"/>
      <c r="O92" s="21">
        <v>0.31295800000000001</v>
      </c>
      <c r="P92" s="21">
        <v>9.6211900000000004</v>
      </c>
      <c r="Q92" s="21">
        <v>-1.4389000000000001E-2</v>
      </c>
      <c r="R92" s="21">
        <v>82</v>
      </c>
      <c r="S92" s="21">
        <v>0.312469</v>
      </c>
      <c r="T92">
        <f t="shared" si="14"/>
        <v>17.764197530864198</v>
      </c>
      <c r="U92">
        <f t="shared" si="15"/>
        <v>5.5594477308641981</v>
      </c>
      <c r="X92" s="9"/>
      <c r="Y92" s="21">
        <v>1.3771100000000001</v>
      </c>
      <c r="Z92" s="21">
        <v>15.183299999999999</v>
      </c>
      <c r="AA92" s="21">
        <v>-1.3125599999999999E-2</v>
      </c>
      <c r="AB92" s="21">
        <v>82</v>
      </c>
      <c r="AC92" s="21">
        <v>1.3763399999999999</v>
      </c>
      <c r="AD92">
        <f t="shared" si="16"/>
        <v>16.204444444444441</v>
      </c>
      <c r="AE92">
        <f t="shared" si="17"/>
        <v>22.315302488888886</v>
      </c>
      <c r="AF92" s="9"/>
      <c r="AG92" s="21">
        <v>0.31295800000000001</v>
      </c>
      <c r="AH92" s="21">
        <v>18.982399999999998</v>
      </c>
      <c r="AI92" s="21">
        <v>-1.4434799999999999E-2</v>
      </c>
      <c r="AJ92" s="21">
        <v>82</v>
      </c>
      <c r="AK92" s="21">
        <v>0.31240800000000002</v>
      </c>
      <c r="AL92">
        <f t="shared" si="18"/>
        <v>17.820740740740739</v>
      </c>
      <c r="AM92">
        <f t="shared" si="19"/>
        <v>5.5771433807407407</v>
      </c>
      <c r="AP92" s="9"/>
      <c r="AQ92" s="21">
        <v>1.3771100000000001</v>
      </c>
      <c r="AR92" s="21">
        <v>24.4206</v>
      </c>
      <c r="AS92" s="21">
        <v>-1.31561E-2</v>
      </c>
      <c r="AT92" s="21">
        <v>82</v>
      </c>
      <c r="AU92" s="21">
        <v>1.3757299999999999</v>
      </c>
      <c r="AV92">
        <f t="shared" si="20"/>
        <v>16.2420987654321</v>
      </c>
      <c r="AW92">
        <f t="shared" si="21"/>
        <v>22.367156630864201</v>
      </c>
      <c r="AX92" s="9"/>
      <c r="AY92" s="21">
        <v>0.31295800000000001</v>
      </c>
      <c r="AZ92" s="21">
        <v>28.2196</v>
      </c>
      <c r="BA92" s="21">
        <v>-1.42822E-2</v>
      </c>
      <c r="BB92" s="21">
        <v>82</v>
      </c>
      <c r="BC92" s="21">
        <v>0.31240800000000002</v>
      </c>
      <c r="BD92">
        <f t="shared" si="22"/>
        <v>17.632345679012342</v>
      </c>
      <c r="BE92">
        <f t="shared" si="23"/>
        <v>5.5181836390123449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5.8322200000000004</v>
      </c>
      <c r="I93" s="21">
        <v>-1.31653E-2</v>
      </c>
      <c r="J93" s="21">
        <v>83</v>
      </c>
      <c r="K93" s="21">
        <v>1.3711500000000001</v>
      </c>
      <c r="L93">
        <f t="shared" si="12"/>
        <v>16.253456790123455</v>
      </c>
      <c r="M93">
        <f t="shared" si="13"/>
        <v>22.300880458024686</v>
      </c>
      <c r="N93" s="9"/>
      <c r="O93" s="21">
        <v>0.31799300000000003</v>
      </c>
      <c r="P93" s="21">
        <v>9.6312599999999993</v>
      </c>
      <c r="Q93" s="21">
        <v>-1.4379899999999999E-2</v>
      </c>
      <c r="R93" s="21">
        <v>83</v>
      </c>
      <c r="S93" s="21">
        <v>0.31735200000000002</v>
      </c>
      <c r="T93">
        <f t="shared" si="14"/>
        <v>17.752962962962961</v>
      </c>
      <c r="U93">
        <f t="shared" si="15"/>
        <v>5.6453179514814815</v>
      </c>
      <c r="X93" s="9"/>
      <c r="Y93" s="21">
        <v>1.3720699999999999</v>
      </c>
      <c r="Z93" s="21">
        <v>15.1934</v>
      </c>
      <c r="AA93" s="21">
        <v>-1.3153099999999999E-2</v>
      </c>
      <c r="AB93" s="21">
        <v>83</v>
      </c>
      <c r="AC93" s="21">
        <v>1.3717699999999999</v>
      </c>
      <c r="AD93">
        <f t="shared" si="16"/>
        <v>16.238395061728394</v>
      </c>
      <c r="AE93">
        <f t="shared" si="17"/>
        <v>22.280214712345675</v>
      </c>
      <c r="AF93" s="9"/>
      <c r="AG93" s="21">
        <v>0.31799300000000003</v>
      </c>
      <c r="AH93" s="21">
        <v>18.9924</v>
      </c>
      <c r="AI93" s="21">
        <v>-1.44257E-2</v>
      </c>
      <c r="AJ93" s="21">
        <v>83</v>
      </c>
      <c r="AK93" s="21">
        <v>0.31753500000000001</v>
      </c>
      <c r="AL93">
        <f t="shared" si="18"/>
        <v>17.809506172839505</v>
      </c>
      <c r="AM93">
        <f t="shared" si="19"/>
        <v>5.6632982964197529</v>
      </c>
      <c r="AP93" s="9"/>
      <c r="AQ93" s="21">
        <v>1.3720699999999999</v>
      </c>
      <c r="AR93" s="21">
        <v>24.430599999999998</v>
      </c>
      <c r="AS93" s="21">
        <v>-1.31714E-2</v>
      </c>
      <c r="AT93" s="21">
        <v>83</v>
      </c>
      <c r="AU93" s="21">
        <v>1.3717699999999999</v>
      </c>
      <c r="AV93">
        <f t="shared" si="20"/>
        <v>16.260987654320989</v>
      </c>
      <c r="AW93">
        <f t="shared" si="21"/>
        <v>22.311213330864199</v>
      </c>
      <c r="AX93" s="9"/>
      <c r="AY93" s="21">
        <v>0.31799300000000003</v>
      </c>
      <c r="AZ93" s="21">
        <v>28.229700000000001</v>
      </c>
      <c r="BA93" s="21">
        <v>-1.427E-2</v>
      </c>
      <c r="BB93" s="21">
        <v>83</v>
      </c>
      <c r="BC93" s="21">
        <v>0.31738300000000003</v>
      </c>
      <c r="BD93">
        <f t="shared" si="22"/>
        <v>17.617283950617285</v>
      </c>
      <c r="BE93">
        <f t="shared" si="23"/>
        <v>5.6021729753086431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5.8422900000000002</v>
      </c>
      <c r="I94" s="21">
        <v>-1.31836E-2</v>
      </c>
      <c r="J94" s="21">
        <v>84</v>
      </c>
      <c r="K94" s="21">
        <v>1.3662700000000001</v>
      </c>
      <c r="L94">
        <f t="shared" si="12"/>
        <v>16.276049382716046</v>
      </c>
      <c r="M94">
        <f t="shared" si="13"/>
        <v>22.249847787654314</v>
      </c>
      <c r="N94" s="9"/>
      <c r="O94" s="21">
        <v>0.32302900000000001</v>
      </c>
      <c r="P94" s="21">
        <v>9.64133</v>
      </c>
      <c r="Q94" s="21">
        <v>-1.43646E-2</v>
      </c>
      <c r="R94" s="21">
        <v>84</v>
      </c>
      <c r="S94" s="21">
        <v>0.32241799999999998</v>
      </c>
      <c r="T94">
        <f t="shared" si="14"/>
        <v>17.734074074074073</v>
      </c>
      <c r="U94">
        <f t="shared" si="15"/>
        <v>5.7286202140740734</v>
      </c>
      <c r="X94" s="9"/>
      <c r="Y94" s="21">
        <v>1.36703</v>
      </c>
      <c r="Z94" s="21">
        <v>15.2035</v>
      </c>
      <c r="AA94" s="21">
        <v>-1.31775E-2</v>
      </c>
      <c r="AB94" s="21">
        <v>84</v>
      </c>
      <c r="AC94" s="21">
        <v>1.3659699999999999</v>
      </c>
      <c r="AD94">
        <f t="shared" si="16"/>
        <v>16.268518518518519</v>
      </c>
      <c r="AE94">
        <f t="shared" si="17"/>
        <v>22.239552870370371</v>
      </c>
      <c r="AF94" s="9"/>
      <c r="AG94" s="21">
        <v>0.32302900000000001</v>
      </c>
      <c r="AH94" s="21">
        <v>19.002500000000001</v>
      </c>
      <c r="AI94" s="21">
        <v>-1.44165E-2</v>
      </c>
      <c r="AJ94" s="21">
        <v>84</v>
      </c>
      <c r="AK94" s="21">
        <v>0.322357</v>
      </c>
      <c r="AL94">
        <f t="shared" si="18"/>
        <v>17.798148148148147</v>
      </c>
      <c r="AM94">
        <f t="shared" si="19"/>
        <v>5.7493179981481477</v>
      </c>
      <c r="AP94" s="9"/>
      <c r="AQ94" s="21">
        <v>1.36703</v>
      </c>
      <c r="AR94" s="21">
        <v>24.4407</v>
      </c>
      <c r="AS94" s="21">
        <v>-1.31927E-2</v>
      </c>
      <c r="AT94" s="21">
        <v>84</v>
      </c>
      <c r="AU94" s="21">
        <v>1.3659699999999999</v>
      </c>
      <c r="AV94">
        <f t="shared" si="20"/>
        <v>16.287283950617283</v>
      </c>
      <c r="AW94">
        <f t="shared" si="21"/>
        <v>22.265205779012344</v>
      </c>
      <c r="AX94" s="9"/>
      <c r="AY94" s="21">
        <v>0.32302900000000001</v>
      </c>
      <c r="AZ94" s="21">
        <v>28.239799999999999</v>
      </c>
      <c r="BA94" s="21">
        <v>-1.42609E-2</v>
      </c>
      <c r="BB94" s="21">
        <v>84</v>
      </c>
      <c r="BC94" s="21">
        <v>0.32244899999999999</v>
      </c>
      <c r="BD94">
        <f t="shared" si="22"/>
        <v>17.606049382716048</v>
      </c>
      <c r="BE94">
        <f t="shared" si="23"/>
        <v>5.6872645260493826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5.85236</v>
      </c>
      <c r="I95" s="21">
        <v>-1.31897E-2</v>
      </c>
      <c r="J95" s="21">
        <v>85</v>
      </c>
      <c r="K95" s="21">
        <v>1.3610800000000001</v>
      </c>
      <c r="L95">
        <f t="shared" si="12"/>
        <v>16.28358024691358</v>
      </c>
      <c r="M95">
        <f t="shared" si="13"/>
        <v>22.178236296296298</v>
      </c>
      <c r="N95" s="9"/>
      <c r="O95" s="21">
        <v>0.32806400000000002</v>
      </c>
      <c r="P95" s="21">
        <v>9.6514100000000003</v>
      </c>
      <c r="Q95" s="21">
        <v>-1.43555E-2</v>
      </c>
      <c r="R95" s="21">
        <v>85</v>
      </c>
      <c r="S95" s="21">
        <v>0.32739299999999999</v>
      </c>
      <c r="T95">
        <f t="shared" si="14"/>
        <v>17.722839506172836</v>
      </c>
      <c r="U95">
        <f t="shared" si="15"/>
        <v>5.8142256197530857</v>
      </c>
      <c r="X95" s="9"/>
      <c r="Y95" s="21">
        <v>1.3620000000000001</v>
      </c>
      <c r="Z95" s="21">
        <v>15.2135</v>
      </c>
      <c r="AA95" s="21">
        <v>-1.31989E-2</v>
      </c>
      <c r="AB95" s="21">
        <v>85</v>
      </c>
      <c r="AC95" s="21">
        <v>1.3613900000000001</v>
      </c>
      <c r="AD95">
        <f t="shared" si="16"/>
        <v>16.294938271604938</v>
      </c>
      <c r="AE95">
        <f t="shared" si="17"/>
        <v>22.193705925925926</v>
      </c>
      <c r="AF95" s="9"/>
      <c r="AG95" s="21">
        <v>0.32806400000000002</v>
      </c>
      <c r="AH95" s="21">
        <v>19.012599999999999</v>
      </c>
      <c r="AI95" s="21">
        <v>-1.44043E-2</v>
      </c>
      <c r="AJ95" s="21">
        <v>85</v>
      </c>
      <c r="AK95" s="21">
        <v>0.32745400000000002</v>
      </c>
      <c r="AL95">
        <f t="shared" si="18"/>
        <v>17.783086419753086</v>
      </c>
      <c r="AM95">
        <f t="shared" si="19"/>
        <v>5.8339904632098767</v>
      </c>
      <c r="AP95" s="9"/>
      <c r="AQ95" s="21">
        <v>1.3620000000000001</v>
      </c>
      <c r="AR95" s="21">
        <v>24.450800000000001</v>
      </c>
      <c r="AS95" s="21">
        <v>-1.3205E-2</v>
      </c>
      <c r="AT95" s="21">
        <v>85</v>
      </c>
      <c r="AU95" s="21">
        <v>1.3610800000000001</v>
      </c>
      <c r="AV95">
        <f t="shared" si="20"/>
        <v>16.302469135802468</v>
      </c>
      <c r="AW95">
        <f t="shared" si="21"/>
        <v>22.203962962962965</v>
      </c>
      <c r="AX95" s="9"/>
      <c r="AY95" s="21">
        <v>0.32806400000000002</v>
      </c>
      <c r="AZ95" s="21">
        <v>28.2498</v>
      </c>
      <c r="BA95" s="21">
        <v>-1.4251700000000001E-2</v>
      </c>
      <c r="BB95" s="21">
        <v>85</v>
      </c>
      <c r="BC95" s="21">
        <v>0.32739299999999999</v>
      </c>
      <c r="BD95">
        <f t="shared" si="22"/>
        <v>17.594691358024694</v>
      </c>
      <c r="BE95">
        <f t="shared" si="23"/>
        <v>5.7721848256790134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5.8624299999999998</v>
      </c>
      <c r="I96" s="21">
        <v>-1.3201900000000001E-2</v>
      </c>
      <c r="J96" s="21">
        <v>86</v>
      </c>
      <c r="K96" s="21">
        <v>1.3565100000000001</v>
      </c>
      <c r="L96">
        <f t="shared" si="12"/>
        <v>16.298641975308641</v>
      </c>
      <c r="M96">
        <f t="shared" si="13"/>
        <v>22.116605214814811</v>
      </c>
      <c r="N96" s="9"/>
      <c r="O96" s="21">
        <v>0.33309899999999998</v>
      </c>
      <c r="P96" s="21">
        <v>9.6614799999999992</v>
      </c>
      <c r="Q96" s="21">
        <v>-1.4346299999999999E-2</v>
      </c>
      <c r="R96" s="21">
        <v>86</v>
      </c>
      <c r="S96" s="21">
        <v>0.33248899999999998</v>
      </c>
      <c r="T96">
        <f t="shared" si="14"/>
        <v>17.711481481481481</v>
      </c>
      <c r="U96">
        <f t="shared" si="15"/>
        <v>5.8996767699999992</v>
      </c>
      <c r="X96" s="9"/>
      <c r="Y96" s="21">
        <v>1.3569599999999999</v>
      </c>
      <c r="Z96" s="21">
        <v>15.223599999999999</v>
      </c>
      <c r="AA96" s="21">
        <v>-1.32172E-2</v>
      </c>
      <c r="AB96" s="21">
        <v>86</v>
      </c>
      <c r="AC96" s="21">
        <v>1.3565100000000001</v>
      </c>
      <c r="AD96">
        <f t="shared" si="16"/>
        <v>16.317530864197529</v>
      </c>
      <c r="AE96">
        <f t="shared" si="17"/>
        <v>22.142236681481478</v>
      </c>
      <c r="AF96" s="9"/>
      <c r="AG96" s="21">
        <v>0.33309899999999998</v>
      </c>
      <c r="AH96" s="21">
        <v>19.0227</v>
      </c>
      <c r="AI96" s="21">
        <v>-1.4379899999999999E-2</v>
      </c>
      <c r="AJ96" s="21">
        <v>86</v>
      </c>
      <c r="AK96" s="21">
        <v>0.33251999999999998</v>
      </c>
      <c r="AL96">
        <f t="shared" si="18"/>
        <v>17.752962962962961</v>
      </c>
      <c r="AM96">
        <f t="shared" si="19"/>
        <v>5.9134942099999988</v>
      </c>
      <c r="AP96" s="9"/>
      <c r="AQ96" s="21">
        <v>1.3569599999999999</v>
      </c>
      <c r="AR96" s="21">
        <v>24.460799999999999</v>
      </c>
      <c r="AS96" s="21">
        <v>-1.32202E-2</v>
      </c>
      <c r="AT96" s="21">
        <v>86</v>
      </c>
      <c r="AU96" s="21">
        <v>1.3562000000000001</v>
      </c>
      <c r="AV96">
        <f t="shared" si="20"/>
        <v>16.321234567901232</v>
      </c>
      <c r="AW96">
        <f t="shared" si="21"/>
        <v>22.147262459259256</v>
      </c>
      <c r="AX96" s="9"/>
      <c r="AY96" s="21">
        <v>0.33309899999999998</v>
      </c>
      <c r="AZ96" s="21">
        <v>28.259899999999998</v>
      </c>
      <c r="BA96" s="21">
        <v>-1.42487E-2</v>
      </c>
      <c r="BB96" s="21">
        <v>86</v>
      </c>
      <c r="BC96" s="21">
        <v>0.33251999999999998</v>
      </c>
      <c r="BD96">
        <f t="shared" si="22"/>
        <v>17.590987654320987</v>
      </c>
      <c r="BE96">
        <f t="shared" si="23"/>
        <v>5.8595403966666657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5.8724999999999996</v>
      </c>
      <c r="I97" s="21">
        <v>-1.32111E-2</v>
      </c>
      <c r="J97" s="21">
        <v>87</v>
      </c>
      <c r="K97" s="21">
        <v>1.3513200000000001</v>
      </c>
      <c r="L97">
        <f t="shared" si="12"/>
        <v>16.309999999999999</v>
      </c>
      <c r="M97">
        <f t="shared" si="13"/>
        <v>22.049978299999999</v>
      </c>
      <c r="N97" s="9"/>
      <c r="O97" s="21">
        <v>0.33813500000000002</v>
      </c>
      <c r="P97" s="21">
        <v>9.6715499999999999</v>
      </c>
      <c r="Q97" s="21">
        <v>-1.43494E-2</v>
      </c>
      <c r="R97" s="21">
        <v>87</v>
      </c>
      <c r="S97" s="21">
        <v>0.33752399999999999</v>
      </c>
      <c r="T97">
        <f t="shared" si="14"/>
        <v>17.715308641975309</v>
      </c>
      <c r="U97">
        <f t="shared" si="15"/>
        <v>5.9901658876543218</v>
      </c>
      <c r="X97" s="9"/>
      <c r="Y97" s="21">
        <v>1.3519300000000001</v>
      </c>
      <c r="Z97" s="21">
        <v>15.233700000000001</v>
      </c>
      <c r="AA97" s="21">
        <v>-1.32233E-2</v>
      </c>
      <c r="AB97" s="21">
        <v>87</v>
      </c>
      <c r="AC97" s="21">
        <v>1.35101</v>
      </c>
      <c r="AD97">
        <f t="shared" si="16"/>
        <v>16.32506172839506</v>
      </c>
      <c r="AE97">
        <f t="shared" si="17"/>
        <v>22.070340702469135</v>
      </c>
      <c r="AF97" s="9"/>
      <c r="AG97" s="21">
        <v>0.33813500000000002</v>
      </c>
      <c r="AH97" s="21">
        <v>19.032699999999998</v>
      </c>
      <c r="AI97" s="21">
        <v>-1.4379899999999999E-2</v>
      </c>
      <c r="AJ97" s="21">
        <v>87</v>
      </c>
      <c r="AK97" s="21">
        <v>0.33746300000000001</v>
      </c>
      <c r="AL97">
        <f t="shared" si="18"/>
        <v>17.752962962962961</v>
      </c>
      <c r="AM97">
        <f t="shared" si="19"/>
        <v>6.0028981314814809</v>
      </c>
      <c r="AP97" s="9"/>
      <c r="AQ97" s="21">
        <v>1.3519300000000001</v>
      </c>
      <c r="AR97" s="21">
        <v>24.4709</v>
      </c>
      <c r="AS97" s="21">
        <v>-1.3250700000000001E-2</v>
      </c>
      <c r="AT97" s="21">
        <v>87</v>
      </c>
      <c r="AU97" s="21">
        <v>1.3513200000000001</v>
      </c>
      <c r="AV97">
        <f t="shared" si="20"/>
        <v>16.358888888888888</v>
      </c>
      <c r="AW97">
        <f t="shared" si="21"/>
        <v>22.116072655555556</v>
      </c>
      <c r="AX97" s="9"/>
      <c r="AY97" s="21">
        <v>0.33813500000000002</v>
      </c>
      <c r="AZ97" s="21">
        <v>28.27</v>
      </c>
      <c r="BA97" s="21">
        <v>-1.42487E-2</v>
      </c>
      <c r="BB97" s="21">
        <v>87</v>
      </c>
      <c r="BC97" s="21">
        <v>0.337341</v>
      </c>
      <c r="BD97">
        <f t="shared" si="22"/>
        <v>17.590987654320987</v>
      </c>
      <c r="BE97">
        <f t="shared" si="23"/>
        <v>5.9481286104938276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5.8825700000000003</v>
      </c>
      <c r="I98" s="21">
        <v>-1.32233E-2</v>
      </c>
      <c r="J98" s="21">
        <v>88</v>
      </c>
      <c r="K98" s="21">
        <v>1.3458300000000001</v>
      </c>
      <c r="L98">
        <f t="shared" si="12"/>
        <v>16.32506172839506</v>
      </c>
      <c r="M98">
        <f t="shared" si="13"/>
        <v>21.988062391358021</v>
      </c>
      <c r="N98" s="9"/>
      <c r="O98" s="21">
        <v>0.34316999999999998</v>
      </c>
      <c r="P98" s="21">
        <v>9.6816200000000006</v>
      </c>
      <c r="Q98" s="21">
        <v>-1.43433E-2</v>
      </c>
      <c r="R98" s="21">
        <v>88</v>
      </c>
      <c r="S98" s="21">
        <v>0.34255999999999998</v>
      </c>
      <c r="T98">
        <f t="shared" si="14"/>
        <v>17.707777777777778</v>
      </c>
      <c r="U98">
        <f t="shared" si="15"/>
        <v>6.0767780999999994</v>
      </c>
      <c r="X98" s="9"/>
      <c r="Y98" s="21">
        <v>1.3468899999999999</v>
      </c>
      <c r="Z98" s="21">
        <v>15.2438</v>
      </c>
      <c r="AA98" s="21">
        <v>-1.32385E-2</v>
      </c>
      <c r="AB98" s="21">
        <v>88</v>
      </c>
      <c r="AC98" s="21">
        <v>1.34613</v>
      </c>
      <c r="AD98">
        <f t="shared" si="16"/>
        <v>16.343827160493824</v>
      </c>
      <c r="AE98">
        <f t="shared" si="17"/>
        <v>22.013337364197525</v>
      </c>
      <c r="AF98" s="9"/>
      <c r="AG98" s="21">
        <v>0.34316999999999998</v>
      </c>
      <c r="AH98" s="21">
        <v>19.0428</v>
      </c>
      <c r="AI98" s="21">
        <v>-1.4379899999999999E-2</v>
      </c>
      <c r="AJ98" s="21">
        <v>88</v>
      </c>
      <c r="AK98" s="21">
        <v>0.34240700000000002</v>
      </c>
      <c r="AL98">
        <f t="shared" si="18"/>
        <v>17.752962962962961</v>
      </c>
      <c r="AM98">
        <f t="shared" si="19"/>
        <v>6.0922842999999993</v>
      </c>
      <c r="AP98" s="9"/>
      <c r="AQ98" s="21">
        <v>1.3468899999999999</v>
      </c>
      <c r="AR98" s="21">
        <v>24.481000000000002</v>
      </c>
      <c r="AS98" s="21">
        <v>-1.32751E-2</v>
      </c>
      <c r="AT98" s="21">
        <v>88</v>
      </c>
      <c r="AU98" s="21">
        <v>1.3464400000000001</v>
      </c>
      <c r="AV98">
        <f t="shared" si="20"/>
        <v>16.38901234567901</v>
      </c>
      <c r="AW98">
        <f t="shared" si="21"/>
        <v>22.0741968382716</v>
      </c>
      <c r="AX98" s="9"/>
      <c r="AY98" s="21">
        <v>0.34316999999999998</v>
      </c>
      <c r="AZ98" s="21">
        <v>28.28</v>
      </c>
      <c r="BA98" s="21">
        <v>-1.4263899999999999E-2</v>
      </c>
      <c r="BB98" s="21">
        <v>88</v>
      </c>
      <c r="BC98" s="21">
        <v>0.34246799999999999</v>
      </c>
      <c r="BD98">
        <f t="shared" si="22"/>
        <v>17.609753086419751</v>
      </c>
      <c r="BE98">
        <f t="shared" si="23"/>
        <v>6.0431389666666657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5.8926400000000001</v>
      </c>
      <c r="I99" s="21">
        <v>-1.3241599999999999E-2</v>
      </c>
      <c r="J99" s="21">
        <v>89</v>
      </c>
      <c r="K99" s="21">
        <v>1.34094</v>
      </c>
      <c r="L99">
        <f t="shared" si="12"/>
        <v>16.347654320987651</v>
      </c>
      <c r="M99">
        <f t="shared" si="13"/>
        <v>21.93626342716049</v>
      </c>
      <c r="N99" s="9"/>
      <c r="O99" s="21">
        <v>0.34820600000000002</v>
      </c>
      <c r="P99" s="21">
        <v>9.6916899999999995</v>
      </c>
      <c r="Q99" s="21">
        <v>-1.4334100000000001E-2</v>
      </c>
      <c r="R99" s="21">
        <v>89</v>
      </c>
      <c r="S99" s="21">
        <v>0.34756500000000001</v>
      </c>
      <c r="T99">
        <f t="shared" si="14"/>
        <v>17.69641975308642</v>
      </c>
      <c r="U99">
        <f t="shared" si="15"/>
        <v>6.1619995365432105</v>
      </c>
      <c r="X99" s="9"/>
      <c r="Y99" s="21">
        <v>1.3418600000000001</v>
      </c>
      <c r="Z99" s="21">
        <v>15.2538</v>
      </c>
      <c r="AA99" s="21">
        <v>-1.3247699999999999E-2</v>
      </c>
      <c r="AB99" s="21">
        <v>89</v>
      </c>
      <c r="AC99" s="21">
        <v>1.34094</v>
      </c>
      <c r="AD99">
        <f t="shared" si="16"/>
        <v>16.355185185185185</v>
      </c>
      <c r="AE99">
        <f t="shared" si="17"/>
        <v>21.946368792592594</v>
      </c>
      <c r="AF99" s="9"/>
      <c r="AG99" s="21">
        <v>0.34820600000000002</v>
      </c>
      <c r="AH99" s="21">
        <v>19.052900000000001</v>
      </c>
      <c r="AI99" s="21">
        <v>-1.43768E-2</v>
      </c>
      <c r="AJ99" s="21">
        <v>89</v>
      </c>
      <c r="AK99" s="21">
        <v>0.34759499999999999</v>
      </c>
      <c r="AL99">
        <f t="shared" si="18"/>
        <v>17.749135802469137</v>
      </c>
      <c r="AM99">
        <f t="shared" si="19"/>
        <v>6.1803555812345685</v>
      </c>
      <c r="AP99" s="9"/>
      <c r="AQ99" s="21">
        <v>1.3418600000000001</v>
      </c>
      <c r="AR99" s="21">
        <v>24.491099999999999</v>
      </c>
      <c r="AS99" s="21">
        <v>-1.32996E-2</v>
      </c>
      <c r="AT99" s="21">
        <v>89</v>
      </c>
      <c r="AU99" s="21">
        <v>1.3406400000000001</v>
      </c>
      <c r="AV99">
        <f t="shared" si="20"/>
        <v>16.41925925925926</v>
      </c>
      <c r="AW99">
        <f t="shared" si="21"/>
        <v>22.032347229629632</v>
      </c>
      <c r="AX99" s="9"/>
      <c r="AY99" s="21">
        <v>0.34820600000000002</v>
      </c>
      <c r="AZ99" s="21">
        <v>28.290099999999999</v>
      </c>
      <c r="BA99" s="21">
        <v>-1.4257799999999999E-2</v>
      </c>
      <c r="BB99" s="21">
        <v>89</v>
      </c>
      <c r="BC99" s="21">
        <v>0.34750399999999998</v>
      </c>
      <c r="BD99">
        <f t="shared" si="22"/>
        <v>17.60222222222222</v>
      </c>
      <c r="BE99">
        <f t="shared" si="23"/>
        <v>6.1291993911111105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5.9027099999999999</v>
      </c>
      <c r="I100" s="21">
        <v>-1.3256799999999999E-2</v>
      </c>
      <c r="J100" s="21">
        <v>90</v>
      </c>
      <c r="K100" s="21">
        <v>1.33606</v>
      </c>
      <c r="L100">
        <f t="shared" si="12"/>
        <v>16.366419753086415</v>
      </c>
      <c r="M100">
        <f t="shared" si="13"/>
        <v>21.87895725432098</v>
      </c>
      <c r="N100" s="9"/>
      <c r="O100" s="21">
        <v>0.35324100000000003</v>
      </c>
      <c r="P100" s="21">
        <v>9.7017600000000002</v>
      </c>
      <c r="Q100" s="21">
        <v>-1.43219E-2</v>
      </c>
      <c r="R100" s="21">
        <v>90</v>
      </c>
      <c r="S100" s="21">
        <v>0.35260000000000002</v>
      </c>
      <c r="T100">
        <f t="shared" si="14"/>
        <v>17.68135802469136</v>
      </c>
      <c r="U100">
        <f t="shared" si="15"/>
        <v>6.2457805900000007</v>
      </c>
      <c r="X100" s="9"/>
      <c r="Y100" s="21">
        <v>1.3368199999999999</v>
      </c>
      <c r="Z100" s="21">
        <v>15.2639</v>
      </c>
      <c r="AA100" s="21">
        <v>-1.3269E-2</v>
      </c>
      <c r="AB100" s="21">
        <v>90</v>
      </c>
      <c r="AC100" s="21">
        <v>1.33575</v>
      </c>
      <c r="AD100">
        <f t="shared" si="16"/>
        <v>16.38148148148148</v>
      </c>
      <c r="AE100">
        <f t="shared" si="17"/>
        <v>21.899092074074069</v>
      </c>
      <c r="AF100" s="9"/>
      <c r="AG100" s="21">
        <v>0.35324100000000003</v>
      </c>
      <c r="AH100" s="21">
        <v>19.062899999999999</v>
      </c>
      <c r="AI100" s="21">
        <v>-1.43616E-2</v>
      </c>
      <c r="AJ100" s="21">
        <v>90</v>
      </c>
      <c r="AK100" s="21">
        <v>0.35260000000000002</v>
      </c>
      <c r="AL100">
        <f t="shared" si="18"/>
        <v>17.73037037037037</v>
      </c>
      <c r="AM100">
        <f t="shared" si="19"/>
        <v>6.2630937600000003</v>
      </c>
      <c r="AP100" s="9"/>
      <c r="AQ100" s="21">
        <v>1.3368199999999999</v>
      </c>
      <c r="AR100" s="21">
        <v>24.501100000000001</v>
      </c>
      <c r="AS100" s="21">
        <v>-1.33148E-2</v>
      </c>
      <c r="AT100" s="21">
        <v>90</v>
      </c>
      <c r="AU100" s="21">
        <v>1.33636</v>
      </c>
      <c r="AV100">
        <f t="shared" si="20"/>
        <v>16.438024691358024</v>
      </c>
      <c r="AW100">
        <f t="shared" si="21"/>
        <v>21.97468016790123</v>
      </c>
      <c r="AX100" s="9"/>
      <c r="AY100" s="21">
        <v>0.35324100000000003</v>
      </c>
      <c r="AZ100" s="21">
        <v>28.3002</v>
      </c>
      <c r="BA100" s="21">
        <v>-1.42487E-2</v>
      </c>
      <c r="BB100" s="21">
        <v>90</v>
      </c>
      <c r="BC100" s="21">
        <v>0.35269200000000001</v>
      </c>
      <c r="BD100">
        <f t="shared" si="22"/>
        <v>17.590987654320987</v>
      </c>
      <c r="BE100">
        <f t="shared" si="23"/>
        <v>6.2138580700000006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5.9127799999999997</v>
      </c>
      <c r="I101" s="21">
        <v>-1.32721E-2</v>
      </c>
      <c r="J101" s="21">
        <v>91</v>
      </c>
      <c r="K101" s="21">
        <v>1.33087</v>
      </c>
      <c r="L101">
        <f t="shared" si="12"/>
        <v>16.385308641975307</v>
      </c>
      <c r="M101">
        <f t="shared" si="13"/>
        <v>21.821790196296295</v>
      </c>
      <c r="N101" s="9"/>
      <c r="O101" s="21">
        <v>0.35827599999999998</v>
      </c>
      <c r="P101" s="21">
        <v>9.7118300000000009</v>
      </c>
      <c r="Q101" s="21">
        <v>-1.43158E-2</v>
      </c>
      <c r="R101" s="21">
        <v>91</v>
      </c>
      <c r="S101" s="21">
        <v>0.35772700000000002</v>
      </c>
      <c r="T101">
        <f t="shared" si="14"/>
        <v>17.673827160493826</v>
      </c>
      <c r="U101">
        <f t="shared" si="15"/>
        <v>6.3321080997530856</v>
      </c>
      <c r="X101" s="9"/>
      <c r="Y101" s="21">
        <v>1.33179</v>
      </c>
      <c r="Z101" s="21">
        <v>15.273999999999999</v>
      </c>
      <c r="AA101" s="21">
        <v>-1.32782E-2</v>
      </c>
      <c r="AB101" s="21">
        <v>91</v>
      </c>
      <c r="AC101" s="21">
        <v>1.33057</v>
      </c>
      <c r="AD101">
        <f t="shared" si="16"/>
        <v>16.392839506172837</v>
      </c>
      <c r="AE101">
        <f t="shared" si="17"/>
        <v>21.831819725925925</v>
      </c>
      <c r="AF101" s="9"/>
      <c r="AG101" s="21">
        <v>0.35827599999999998</v>
      </c>
      <c r="AH101" s="21">
        <v>19.073</v>
      </c>
      <c r="AI101" s="21">
        <v>-1.43524E-2</v>
      </c>
      <c r="AJ101" s="21">
        <v>91</v>
      </c>
      <c r="AK101" s="21">
        <v>0.35778799999999999</v>
      </c>
      <c r="AL101">
        <f t="shared" si="18"/>
        <v>17.719012345679008</v>
      </c>
      <c r="AM101">
        <f t="shared" si="19"/>
        <v>6.3482968671604922</v>
      </c>
      <c r="AP101" s="9"/>
      <c r="AQ101" s="21">
        <v>1.33179</v>
      </c>
      <c r="AR101" s="21">
        <v>24.511199999999999</v>
      </c>
      <c r="AS101" s="21">
        <v>-1.33209E-2</v>
      </c>
      <c r="AT101" s="21">
        <v>91</v>
      </c>
      <c r="AU101" s="21">
        <v>1.33118</v>
      </c>
      <c r="AV101">
        <f t="shared" si="20"/>
        <v>16.445555555555554</v>
      </c>
      <c r="AW101">
        <f t="shared" si="21"/>
        <v>21.902026433333333</v>
      </c>
      <c r="AX101" s="9"/>
      <c r="AY101" s="21">
        <v>0.35827599999999998</v>
      </c>
      <c r="AZ101" s="21">
        <v>28.310199999999998</v>
      </c>
      <c r="BA101" s="21">
        <v>-1.42548E-2</v>
      </c>
      <c r="BB101" s="21">
        <v>91</v>
      </c>
      <c r="BC101" s="21">
        <v>0.35751300000000003</v>
      </c>
      <c r="BD101">
        <f t="shared" si="22"/>
        <v>17.598518518518517</v>
      </c>
      <c r="BE101">
        <f t="shared" si="23"/>
        <v>6.3051268207407398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5.9228500000000004</v>
      </c>
      <c r="I102" s="21">
        <v>-1.3284300000000001E-2</v>
      </c>
      <c r="J102" s="21">
        <v>92</v>
      </c>
      <c r="K102" s="21">
        <v>1.32599</v>
      </c>
      <c r="L102">
        <f t="shared" si="12"/>
        <v>16.400370370370371</v>
      </c>
      <c r="M102">
        <f t="shared" si="13"/>
        <v>21.75919138888889</v>
      </c>
      <c r="N102" s="9"/>
      <c r="O102" s="21">
        <v>0.36331200000000002</v>
      </c>
      <c r="P102" s="21">
        <v>9.7218999999999998</v>
      </c>
      <c r="Q102" s="21">
        <v>-1.4312699999999999E-2</v>
      </c>
      <c r="R102" s="21">
        <v>92</v>
      </c>
      <c r="S102" s="21">
        <v>0.36276199999999997</v>
      </c>
      <c r="T102">
        <f t="shared" si="14"/>
        <v>17.669999999999998</v>
      </c>
      <c r="U102">
        <f t="shared" si="15"/>
        <v>6.41972304</v>
      </c>
      <c r="X102" s="9"/>
      <c r="Y102" s="21">
        <v>1.3267500000000001</v>
      </c>
      <c r="Z102" s="21">
        <v>15.284000000000001</v>
      </c>
      <c r="AA102" s="21">
        <v>-1.3296499999999999E-2</v>
      </c>
      <c r="AB102" s="21">
        <v>92</v>
      </c>
      <c r="AC102" s="21">
        <v>1.32629</v>
      </c>
      <c r="AD102">
        <f t="shared" si="16"/>
        <v>16.415432098765429</v>
      </c>
      <c r="AE102">
        <f t="shared" si="17"/>
        <v>21.779174537037033</v>
      </c>
      <c r="AF102" s="9"/>
      <c r="AG102" s="21">
        <v>0.36331200000000002</v>
      </c>
      <c r="AH102" s="21">
        <v>19.083100000000002</v>
      </c>
      <c r="AI102" s="21">
        <v>-1.43585E-2</v>
      </c>
      <c r="AJ102" s="21">
        <v>92</v>
      </c>
      <c r="AK102" s="21">
        <v>0.36260999999999999</v>
      </c>
      <c r="AL102">
        <f t="shared" si="18"/>
        <v>17.726543209876542</v>
      </c>
      <c r="AM102">
        <f t="shared" si="19"/>
        <v>6.4402658666666666</v>
      </c>
      <c r="AP102" s="9"/>
      <c r="AQ102" s="21">
        <v>1.3267500000000001</v>
      </c>
      <c r="AR102" s="21">
        <v>24.5213</v>
      </c>
      <c r="AS102" s="21">
        <v>-1.3333100000000001E-2</v>
      </c>
      <c r="AT102" s="21">
        <v>92</v>
      </c>
      <c r="AU102" s="21">
        <v>1.32568</v>
      </c>
      <c r="AV102">
        <f t="shared" si="20"/>
        <v>16.460617283950615</v>
      </c>
      <c r="AW102">
        <f t="shared" si="21"/>
        <v>21.839123981481482</v>
      </c>
      <c r="AX102" s="9"/>
      <c r="AY102" s="21">
        <v>0.36331200000000002</v>
      </c>
      <c r="AZ102" s="21">
        <v>28.3203</v>
      </c>
      <c r="BA102" s="21">
        <v>-1.4251700000000001E-2</v>
      </c>
      <c r="BB102" s="21">
        <v>92</v>
      </c>
      <c r="BC102" s="21">
        <v>0.362732</v>
      </c>
      <c r="BD102">
        <f t="shared" si="22"/>
        <v>17.594691358024694</v>
      </c>
      <c r="BE102">
        <f t="shared" si="23"/>
        <v>6.3923625066666681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5.9329299999999998</v>
      </c>
      <c r="I103" s="21">
        <v>-1.32996E-2</v>
      </c>
      <c r="J103" s="21">
        <v>93</v>
      </c>
      <c r="K103" s="21">
        <v>1.32202</v>
      </c>
      <c r="L103">
        <f t="shared" si="12"/>
        <v>16.41925925925926</v>
      </c>
      <c r="M103">
        <f t="shared" si="13"/>
        <v>21.701663348148148</v>
      </c>
      <c r="N103" s="9"/>
      <c r="O103" s="21">
        <v>0.36834699999999998</v>
      </c>
      <c r="P103" s="21">
        <v>9.7319700000000005</v>
      </c>
      <c r="Q103" s="21">
        <v>-1.4300500000000001E-2</v>
      </c>
      <c r="R103" s="21">
        <v>93</v>
      </c>
      <c r="S103" s="21">
        <v>0.36773699999999998</v>
      </c>
      <c r="T103">
        <f t="shared" si="14"/>
        <v>17.654938271604937</v>
      </c>
      <c r="U103">
        <f t="shared" si="15"/>
        <v>6.5031435475308639</v>
      </c>
      <c r="X103" s="9"/>
      <c r="Y103" s="21">
        <v>1.32172</v>
      </c>
      <c r="Z103" s="21">
        <v>15.2941</v>
      </c>
      <c r="AA103" s="21">
        <v>-1.32996E-2</v>
      </c>
      <c r="AB103" s="21">
        <v>93</v>
      </c>
      <c r="AC103" s="21">
        <v>1.32111</v>
      </c>
      <c r="AD103">
        <f t="shared" si="16"/>
        <v>16.41925925925926</v>
      </c>
      <c r="AE103">
        <f t="shared" si="17"/>
        <v>21.701663348148148</v>
      </c>
      <c r="AF103" s="9"/>
      <c r="AG103" s="21">
        <v>0.36834699999999998</v>
      </c>
      <c r="AH103" s="21">
        <v>19.0932</v>
      </c>
      <c r="AI103" s="21">
        <v>-1.43585E-2</v>
      </c>
      <c r="AJ103" s="21">
        <v>93</v>
      </c>
      <c r="AK103" s="21">
        <v>0.36773699999999998</v>
      </c>
      <c r="AL103">
        <f t="shared" si="18"/>
        <v>17.726543209876542</v>
      </c>
      <c r="AM103">
        <f t="shared" si="19"/>
        <v>6.5295190117283948</v>
      </c>
      <c r="AP103" s="9"/>
      <c r="AQ103" s="21">
        <v>1.32172</v>
      </c>
      <c r="AR103" s="21">
        <v>24.531300000000002</v>
      </c>
      <c r="AS103" s="21">
        <v>-1.3336199999999999E-2</v>
      </c>
      <c r="AT103" s="21">
        <v>93</v>
      </c>
      <c r="AU103" s="21">
        <v>1.32141</v>
      </c>
      <c r="AV103">
        <f t="shared" si="20"/>
        <v>16.464444444444442</v>
      </c>
      <c r="AW103">
        <f t="shared" si="21"/>
        <v>21.761385511111108</v>
      </c>
      <c r="AX103" s="9"/>
      <c r="AY103" s="21">
        <v>0.36834699999999998</v>
      </c>
      <c r="AZ103" s="21">
        <v>28.330400000000001</v>
      </c>
      <c r="BA103" s="21">
        <v>-1.4236499999999999E-2</v>
      </c>
      <c r="BB103" s="21">
        <v>93</v>
      </c>
      <c r="BC103" s="21">
        <v>0.36776700000000001</v>
      </c>
      <c r="BD103">
        <f t="shared" si="22"/>
        <v>17.575925925925926</v>
      </c>
      <c r="BE103">
        <f t="shared" si="23"/>
        <v>6.4740395870370371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5.9429999999999996</v>
      </c>
      <c r="I104" s="21">
        <v>-1.3317900000000001E-2</v>
      </c>
      <c r="J104" s="21">
        <v>94</v>
      </c>
      <c r="K104" s="21">
        <v>1.3156099999999999</v>
      </c>
      <c r="L104">
        <f t="shared" si="12"/>
        <v>16.441851851851851</v>
      </c>
      <c r="M104">
        <f t="shared" si="13"/>
        <v>21.648657496296295</v>
      </c>
      <c r="N104" s="9"/>
      <c r="O104" s="21">
        <v>0.37338300000000002</v>
      </c>
      <c r="P104" s="21">
        <v>9.7420399999999994</v>
      </c>
      <c r="Q104" s="21">
        <v>-1.4291399999999999E-2</v>
      </c>
      <c r="R104" s="21">
        <v>94</v>
      </c>
      <c r="S104" s="21">
        <v>0.37277199999999999</v>
      </c>
      <c r="T104">
        <f t="shared" si="14"/>
        <v>17.643703703703704</v>
      </c>
      <c r="U104">
        <f t="shared" si="15"/>
        <v>6.5878590200000007</v>
      </c>
      <c r="X104" s="9"/>
      <c r="Y104" s="21">
        <v>1.3166800000000001</v>
      </c>
      <c r="Z104" s="21">
        <v>15.3042</v>
      </c>
      <c r="AA104" s="21">
        <v>-1.33118E-2</v>
      </c>
      <c r="AB104" s="21">
        <v>94</v>
      </c>
      <c r="AC104" s="21">
        <v>1.3162199999999999</v>
      </c>
      <c r="AD104">
        <f t="shared" si="16"/>
        <v>16.434320987654321</v>
      </c>
      <c r="AE104">
        <f t="shared" si="17"/>
        <v>21.638741758024693</v>
      </c>
      <c r="AF104" s="9"/>
      <c r="AG104" s="21">
        <v>0.37338300000000002</v>
      </c>
      <c r="AH104" s="21">
        <v>19.103200000000001</v>
      </c>
      <c r="AI104" s="21">
        <v>-1.43616E-2</v>
      </c>
      <c r="AJ104" s="21">
        <v>94</v>
      </c>
      <c r="AK104" s="21">
        <v>0.37274200000000002</v>
      </c>
      <c r="AL104">
        <f t="shared" si="18"/>
        <v>17.73037037037037</v>
      </c>
      <c r="AM104">
        <f t="shared" si="19"/>
        <v>6.6202188800000004</v>
      </c>
      <c r="AP104" s="9"/>
      <c r="AQ104" s="21">
        <v>1.3166800000000001</v>
      </c>
      <c r="AR104" s="21">
        <v>24.541399999999999</v>
      </c>
      <c r="AS104" s="21">
        <v>-1.3339200000000001E-2</v>
      </c>
      <c r="AT104" s="21">
        <v>94</v>
      </c>
      <c r="AU104" s="21">
        <v>1.3156099999999999</v>
      </c>
      <c r="AV104">
        <f t="shared" si="20"/>
        <v>16.468148148148149</v>
      </c>
      <c r="AW104">
        <f t="shared" si="21"/>
        <v>21.683281303703705</v>
      </c>
      <c r="AX104" s="9"/>
      <c r="AY104" s="21">
        <v>0.37338300000000002</v>
      </c>
      <c r="AZ104" s="21">
        <v>28.340499999999999</v>
      </c>
      <c r="BA104" s="21">
        <v>-1.42303E-2</v>
      </c>
      <c r="BB104" s="21">
        <v>94</v>
      </c>
      <c r="BC104" s="21">
        <v>0.37268099999999998</v>
      </c>
      <c r="BD104">
        <f t="shared" si="22"/>
        <v>17.568271604938271</v>
      </c>
      <c r="BE104">
        <f t="shared" si="23"/>
        <v>6.559693956666667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5.9530700000000003</v>
      </c>
      <c r="I105" s="21">
        <v>-1.3336199999999999E-2</v>
      </c>
      <c r="J105" s="21">
        <v>95</v>
      </c>
      <c r="K105" s="21">
        <v>1.3104199999999999</v>
      </c>
      <c r="L105">
        <f t="shared" si="12"/>
        <v>16.464444444444442</v>
      </c>
      <c r="M105">
        <f t="shared" si="13"/>
        <v>21.595588555555551</v>
      </c>
      <c r="N105" s="9"/>
      <c r="O105" s="21">
        <v>0.37841799999999998</v>
      </c>
      <c r="P105" s="21">
        <v>9.7521199999999997</v>
      </c>
      <c r="Q105" s="21">
        <v>-1.4291399999999999E-2</v>
      </c>
      <c r="R105" s="21">
        <v>95</v>
      </c>
      <c r="S105" s="21">
        <v>0.37780799999999998</v>
      </c>
      <c r="T105">
        <f t="shared" si="14"/>
        <v>17.643703703703704</v>
      </c>
      <c r="U105">
        <f t="shared" si="15"/>
        <v>6.6766950681481481</v>
      </c>
      <c r="X105" s="9"/>
      <c r="Y105" s="21">
        <v>1.31165</v>
      </c>
      <c r="Z105" s="21">
        <v>15.314299999999999</v>
      </c>
      <c r="AA105" s="21">
        <v>-1.3330099999999999E-2</v>
      </c>
      <c r="AB105" s="21">
        <v>95</v>
      </c>
      <c r="AC105" s="21">
        <v>1.31073</v>
      </c>
      <c r="AD105">
        <f t="shared" si="16"/>
        <v>16.456913580246912</v>
      </c>
      <c r="AE105">
        <f t="shared" si="17"/>
        <v>21.58571069753086</v>
      </c>
      <c r="AF105" s="9"/>
      <c r="AG105" s="21">
        <v>0.37841799999999998</v>
      </c>
      <c r="AH105" s="21">
        <v>19.113299999999999</v>
      </c>
      <c r="AI105" s="21">
        <v>-1.43646E-2</v>
      </c>
      <c r="AJ105" s="21">
        <v>95</v>
      </c>
      <c r="AK105" s="21">
        <v>0.37789899999999998</v>
      </c>
      <c r="AL105">
        <f t="shared" si="18"/>
        <v>17.734074074074073</v>
      </c>
      <c r="AM105">
        <f t="shared" si="19"/>
        <v>6.710892842962962</v>
      </c>
      <c r="AP105" s="9"/>
      <c r="AQ105" s="21">
        <v>1.31165</v>
      </c>
      <c r="AR105" s="21">
        <v>24.551500000000001</v>
      </c>
      <c r="AS105" s="21">
        <v>-1.3345299999999999E-2</v>
      </c>
      <c r="AT105" s="21">
        <v>95</v>
      </c>
      <c r="AU105" s="21">
        <v>1.3104199999999999</v>
      </c>
      <c r="AV105">
        <f t="shared" si="20"/>
        <v>16.475679012345676</v>
      </c>
      <c r="AW105">
        <f t="shared" si="21"/>
        <v>21.610324376543204</v>
      </c>
      <c r="AX105" s="9"/>
      <c r="AY105" s="21">
        <v>0.37841799999999998</v>
      </c>
      <c r="AZ105" s="21">
        <v>28.3505</v>
      </c>
      <c r="BA105" s="21">
        <v>-1.42212E-2</v>
      </c>
      <c r="BB105" s="21">
        <v>95</v>
      </c>
      <c r="BC105" s="21">
        <v>0.37783800000000001</v>
      </c>
      <c r="BD105">
        <f t="shared" si="22"/>
        <v>17.557037037037034</v>
      </c>
      <c r="BE105">
        <f t="shared" si="23"/>
        <v>6.6438988414814801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5.9631400000000001</v>
      </c>
      <c r="I106" s="21">
        <v>-1.33484E-2</v>
      </c>
      <c r="J106" s="21">
        <v>96</v>
      </c>
      <c r="K106" s="21">
        <v>1.3055399999999999</v>
      </c>
      <c r="L106">
        <f t="shared" si="12"/>
        <v>16.479506172839503</v>
      </c>
      <c r="M106">
        <f t="shared" si="13"/>
        <v>21.532287560493824</v>
      </c>
      <c r="N106" s="9"/>
      <c r="O106" s="21">
        <v>0.38345299999999999</v>
      </c>
      <c r="P106" s="21">
        <v>9.7621900000000004</v>
      </c>
      <c r="Q106" s="21">
        <v>-1.4294400000000001E-2</v>
      </c>
      <c r="R106" s="21">
        <v>96</v>
      </c>
      <c r="S106" s="21">
        <v>0.38287399999999999</v>
      </c>
      <c r="T106">
        <f t="shared" si="14"/>
        <v>17.647407407407407</v>
      </c>
      <c r="U106">
        <f t="shared" si="15"/>
        <v>6.7669513125925924</v>
      </c>
      <c r="X106" s="9"/>
      <c r="Y106" s="21">
        <v>1.30661</v>
      </c>
      <c r="Z106" s="21">
        <v>15.324299999999999</v>
      </c>
      <c r="AA106" s="21">
        <v>-1.3345299999999999E-2</v>
      </c>
      <c r="AB106" s="21">
        <v>96</v>
      </c>
      <c r="AC106" s="21">
        <v>1.30524</v>
      </c>
      <c r="AD106">
        <f t="shared" si="16"/>
        <v>16.475679012345676</v>
      </c>
      <c r="AE106">
        <f t="shared" si="17"/>
        <v>21.527286954320985</v>
      </c>
      <c r="AF106" s="9"/>
      <c r="AG106" s="21">
        <v>0.38345299999999999</v>
      </c>
      <c r="AH106" s="21">
        <v>19.1234</v>
      </c>
      <c r="AI106" s="21">
        <v>-1.43646E-2</v>
      </c>
      <c r="AJ106" s="21">
        <v>96</v>
      </c>
      <c r="AK106" s="21">
        <v>0.38284299999999999</v>
      </c>
      <c r="AL106">
        <f t="shared" si="18"/>
        <v>17.734074074074073</v>
      </c>
      <c r="AM106">
        <f t="shared" si="19"/>
        <v>6.800183905925925</v>
      </c>
      <c r="AP106" s="9"/>
      <c r="AQ106" s="21">
        <v>1.30661</v>
      </c>
      <c r="AR106" s="21">
        <v>24.561599999999999</v>
      </c>
      <c r="AS106" s="21">
        <v>-1.3345299999999999E-2</v>
      </c>
      <c r="AT106" s="21">
        <v>96</v>
      </c>
      <c r="AU106" s="21">
        <v>1.3061499999999999</v>
      </c>
      <c r="AV106">
        <f t="shared" si="20"/>
        <v>16.475679012345676</v>
      </c>
      <c r="AW106">
        <f t="shared" si="21"/>
        <v>21.527286954320985</v>
      </c>
      <c r="AX106" s="9"/>
      <c r="AY106" s="21">
        <v>0.38345299999999999</v>
      </c>
      <c r="AZ106" s="21">
        <v>28.360600000000002</v>
      </c>
      <c r="BA106" s="21">
        <v>-1.4218099999999999E-2</v>
      </c>
      <c r="BB106" s="21">
        <v>96</v>
      </c>
      <c r="BC106" s="21">
        <v>0.38287399999999999</v>
      </c>
      <c r="BD106">
        <f t="shared" si="22"/>
        <v>17.553209876543207</v>
      </c>
      <c r="BE106">
        <f t="shared" si="23"/>
        <v>6.7308309867901217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5.9732099999999999</v>
      </c>
      <c r="I107" s="21">
        <v>-1.33667E-2</v>
      </c>
      <c r="J107" s="21">
        <v>97</v>
      </c>
      <c r="K107" s="21">
        <v>1.3006599999999999</v>
      </c>
      <c r="L107">
        <f t="shared" si="12"/>
        <v>16.502098765432098</v>
      </c>
      <c r="M107">
        <f t="shared" si="13"/>
        <v>21.478636690123455</v>
      </c>
      <c r="N107" s="9"/>
      <c r="O107" s="21">
        <v>0.38848899999999997</v>
      </c>
      <c r="P107" s="21">
        <v>9.7722599999999993</v>
      </c>
      <c r="Q107" s="21">
        <v>-1.4297499999999999E-2</v>
      </c>
      <c r="R107" s="21">
        <v>97</v>
      </c>
      <c r="S107" s="21">
        <v>0.38793899999999998</v>
      </c>
      <c r="T107">
        <f t="shared" si="14"/>
        <v>17.651234567901231</v>
      </c>
      <c r="U107">
        <f t="shared" si="15"/>
        <v>6.8573104660493804</v>
      </c>
      <c r="X107" s="9"/>
      <c r="Y107" s="21">
        <v>1.3015699999999999</v>
      </c>
      <c r="Z107" s="21">
        <v>15.3344</v>
      </c>
      <c r="AA107" s="21">
        <v>-1.3372800000000001E-2</v>
      </c>
      <c r="AB107" s="21">
        <v>97</v>
      </c>
      <c r="AC107" s="21">
        <v>1.3009599999999999</v>
      </c>
      <c r="AD107">
        <f t="shared" si="16"/>
        <v>16.509629629629632</v>
      </c>
      <c r="AE107">
        <f t="shared" si="17"/>
        <v>21.488438637037039</v>
      </c>
      <c r="AF107" s="9"/>
      <c r="AG107" s="21">
        <v>0.38848899999999997</v>
      </c>
      <c r="AH107" s="21">
        <v>19.133400000000002</v>
      </c>
      <c r="AI107" s="21">
        <v>-1.43646E-2</v>
      </c>
      <c r="AJ107" s="21">
        <v>97</v>
      </c>
      <c r="AK107" s="21">
        <v>0.387909</v>
      </c>
      <c r="AL107">
        <f t="shared" si="18"/>
        <v>17.734074074074073</v>
      </c>
      <c r="AM107">
        <f t="shared" si="19"/>
        <v>6.8894927029629622</v>
      </c>
      <c r="AP107" s="9"/>
      <c r="AQ107" s="21">
        <v>1.3015699999999999</v>
      </c>
      <c r="AR107" s="21">
        <v>24.5716</v>
      </c>
      <c r="AS107" s="21">
        <v>-1.33575E-2</v>
      </c>
      <c r="AT107" s="21">
        <v>97</v>
      </c>
      <c r="AU107" s="21">
        <v>1.3009599999999999</v>
      </c>
      <c r="AV107">
        <f t="shared" si="20"/>
        <v>16.49074074074074</v>
      </c>
      <c r="AW107">
        <f t="shared" si="21"/>
        <v>21.463853425925922</v>
      </c>
      <c r="AX107" s="9"/>
      <c r="AY107" s="21">
        <v>0.38848899999999997</v>
      </c>
      <c r="AZ107" s="21">
        <v>28.370699999999999</v>
      </c>
      <c r="BA107" s="21">
        <v>-1.42059E-2</v>
      </c>
      <c r="BB107" s="21">
        <v>97</v>
      </c>
      <c r="BC107" s="21">
        <v>0.38793899999999998</v>
      </c>
      <c r="BD107">
        <f t="shared" si="22"/>
        <v>17.538148148148146</v>
      </c>
      <c r="BE107">
        <f t="shared" si="23"/>
        <v>6.8133776359259244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5.9832799999999997</v>
      </c>
      <c r="I108" s="21">
        <v>-1.3378900000000001E-2</v>
      </c>
      <c r="J108" s="21">
        <v>98</v>
      </c>
      <c r="K108" s="21">
        <v>1.2954699999999999</v>
      </c>
      <c r="L108">
        <f t="shared" si="12"/>
        <v>16.517160493827159</v>
      </c>
      <c r="M108">
        <f t="shared" si="13"/>
        <v>21.415159266666667</v>
      </c>
      <c r="N108" s="9"/>
      <c r="O108" s="21">
        <v>0.39352399999999998</v>
      </c>
      <c r="P108" s="21">
        <v>9.78233</v>
      </c>
      <c r="Q108" s="21">
        <v>-1.4294400000000001E-2</v>
      </c>
      <c r="R108" s="21">
        <v>98</v>
      </c>
      <c r="S108" s="21">
        <v>0.39300499999999999</v>
      </c>
      <c r="T108">
        <f t="shared" si="14"/>
        <v>17.647407407407407</v>
      </c>
      <c r="U108">
        <f t="shared" si="15"/>
        <v>6.9446783525925921</v>
      </c>
      <c r="X108" s="9"/>
      <c r="Y108" s="21">
        <v>1.29654</v>
      </c>
      <c r="Z108" s="21">
        <v>15.3445</v>
      </c>
      <c r="AA108" s="21">
        <v>-1.33911E-2</v>
      </c>
      <c r="AB108" s="21">
        <v>98</v>
      </c>
      <c r="AC108" s="21">
        <v>1.2957799999999999</v>
      </c>
      <c r="AD108">
        <f t="shared" si="16"/>
        <v>16.53222222222222</v>
      </c>
      <c r="AE108">
        <f t="shared" si="17"/>
        <v>21.434687399999998</v>
      </c>
      <c r="AF108" s="9"/>
      <c r="AG108" s="21">
        <v>0.39352399999999998</v>
      </c>
      <c r="AH108" s="21">
        <v>19.1435</v>
      </c>
      <c r="AI108" s="21">
        <v>-1.43585E-2</v>
      </c>
      <c r="AJ108" s="21">
        <v>98</v>
      </c>
      <c r="AK108" s="21">
        <v>0.39300499999999999</v>
      </c>
      <c r="AL108">
        <f t="shared" si="18"/>
        <v>17.726543209876542</v>
      </c>
      <c r="AM108">
        <f t="shared" si="19"/>
        <v>6.9758201901234562</v>
      </c>
      <c r="AP108" s="9"/>
      <c r="AQ108" s="21">
        <v>1.29654</v>
      </c>
      <c r="AR108" s="21">
        <v>24.581700000000001</v>
      </c>
      <c r="AS108" s="21">
        <v>-1.3382E-2</v>
      </c>
      <c r="AT108" s="21">
        <v>98</v>
      </c>
      <c r="AU108" s="21">
        <v>1.2957799999999999</v>
      </c>
      <c r="AV108">
        <f t="shared" si="20"/>
        <v>16.520987654320987</v>
      </c>
      <c r="AW108">
        <f t="shared" si="21"/>
        <v>21.420121333333331</v>
      </c>
      <c r="AX108" s="9"/>
      <c r="AY108" s="21">
        <v>0.39352399999999998</v>
      </c>
      <c r="AZ108" s="21">
        <v>28.380700000000001</v>
      </c>
      <c r="BA108" s="21">
        <v>-1.41998E-2</v>
      </c>
      <c r="BB108" s="21">
        <v>98</v>
      </c>
      <c r="BC108" s="21">
        <v>0.39294400000000002</v>
      </c>
      <c r="BD108">
        <f t="shared" si="22"/>
        <v>17.530617283950615</v>
      </c>
      <c r="BE108">
        <f t="shared" si="23"/>
        <v>6.8987186360493817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5.9933500000000004</v>
      </c>
      <c r="I109" s="21">
        <v>-1.33911E-2</v>
      </c>
      <c r="J109" s="21">
        <v>99</v>
      </c>
      <c r="K109" s="21">
        <v>1.2902800000000001</v>
      </c>
      <c r="L109">
        <f t="shared" si="12"/>
        <v>16.53222222222222</v>
      </c>
      <c r="M109">
        <f t="shared" si="13"/>
        <v>21.351364999999998</v>
      </c>
      <c r="N109" s="9"/>
      <c r="O109" s="21">
        <v>0.39856000000000003</v>
      </c>
      <c r="P109" s="21">
        <v>9.7924000000000007</v>
      </c>
      <c r="Q109" s="21">
        <v>-1.4297499999999999E-2</v>
      </c>
      <c r="R109" s="21">
        <v>99</v>
      </c>
      <c r="S109" s="21">
        <v>0.39785799999999999</v>
      </c>
      <c r="T109">
        <f t="shared" si="14"/>
        <v>17.651234567901231</v>
      </c>
      <c r="U109">
        <f t="shared" si="15"/>
        <v>7.0350760493827149</v>
      </c>
      <c r="X109" s="9"/>
      <c r="Y109" s="21">
        <v>1.2915000000000001</v>
      </c>
      <c r="Z109" s="21">
        <v>15.3545</v>
      </c>
      <c r="AA109" s="21">
        <v>-1.34033E-2</v>
      </c>
      <c r="AB109" s="21">
        <v>99</v>
      </c>
      <c r="AC109" s="21">
        <v>1.2908900000000001</v>
      </c>
      <c r="AD109">
        <f t="shared" si="16"/>
        <v>16.547283950617281</v>
      </c>
      <c r="AE109">
        <f t="shared" si="17"/>
        <v>21.370817222222222</v>
      </c>
      <c r="AF109" s="9"/>
      <c r="AG109" s="21">
        <v>0.39856000000000003</v>
      </c>
      <c r="AH109" s="21">
        <v>19.153600000000001</v>
      </c>
      <c r="AI109" s="21">
        <v>-1.43555E-2</v>
      </c>
      <c r="AJ109" s="21">
        <v>99</v>
      </c>
      <c r="AK109" s="21">
        <v>0.39800999999999997</v>
      </c>
      <c r="AL109">
        <f t="shared" si="18"/>
        <v>17.722839506172836</v>
      </c>
      <c r="AM109">
        <f t="shared" si="19"/>
        <v>7.0636149135802455</v>
      </c>
      <c r="AP109" s="9"/>
      <c r="AQ109" s="21">
        <v>1.2915000000000001</v>
      </c>
      <c r="AR109" s="21">
        <v>24.591799999999999</v>
      </c>
      <c r="AS109" s="21">
        <v>-1.3406400000000001E-2</v>
      </c>
      <c r="AT109" s="21">
        <v>99</v>
      </c>
      <c r="AU109" s="21">
        <v>1.2905899999999999</v>
      </c>
      <c r="AV109">
        <f t="shared" si="20"/>
        <v>16.551111111111108</v>
      </c>
      <c r="AW109">
        <f t="shared" si="21"/>
        <v>21.37576</v>
      </c>
      <c r="AX109" s="9"/>
      <c r="AY109" s="21">
        <v>0.39856000000000003</v>
      </c>
      <c r="AZ109" s="21">
        <v>28.390799999999999</v>
      </c>
      <c r="BA109" s="21">
        <v>-1.4196800000000001E-2</v>
      </c>
      <c r="BB109" s="21">
        <v>99</v>
      </c>
      <c r="BC109" s="21">
        <v>0.397949</v>
      </c>
      <c r="BD109">
        <f t="shared" si="22"/>
        <v>17.526913580246916</v>
      </c>
      <c r="BE109">
        <f t="shared" si="23"/>
        <v>6.9855266765432109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6.0034200000000002</v>
      </c>
      <c r="I110" s="21">
        <v>-1.33972E-2</v>
      </c>
      <c r="J110" s="21">
        <v>100</v>
      </c>
      <c r="K110" s="21">
        <v>1.2854000000000001</v>
      </c>
      <c r="L110">
        <f t="shared" si="12"/>
        <v>16.539753086419751</v>
      </c>
      <c r="M110">
        <f t="shared" si="13"/>
        <v>21.277896153086417</v>
      </c>
      <c r="N110" s="9"/>
      <c r="O110" s="21">
        <v>0.40359499999999998</v>
      </c>
      <c r="P110" s="21">
        <v>9.8024699999999996</v>
      </c>
      <c r="Q110" s="21">
        <v>-1.43036E-2</v>
      </c>
      <c r="R110" s="21">
        <v>100</v>
      </c>
      <c r="S110" s="21">
        <v>0.402924</v>
      </c>
      <c r="T110">
        <f t="shared" si="14"/>
        <v>17.658765432098765</v>
      </c>
      <c r="U110">
        <f t="shared" si="15"/>
        <v>7.1269894345679008</v>
      </c>
      <c r="X110" s="9"/>
      <c r="Y110" s="21">
        <v>1.28647</v>
      </c>
      <c r="Z110" s="21">
        <v>15.364599999999999</v>
      </c>
      <c r="AA110" s="21">
        <v>-1.3412500000000001E-2</v>
      </c>
      <c r="AB110" s="21">
        <v>100</v>
      </c>
      <c r="AC110" s="21">
        <v>1.2857099999999999</v>
      </c>
      <c r="AD110">
        <f t="shared" si="16"/>
        <v>16.558641975308642</v>
      </c>
      <c r="AE110">
        <f t="shared" si="17"/>
        <v>21.302196141975308</v>
      </c>
      <c r="AF110" s="9"/>
      <c r="AG110" s="21">
        <v>0.40359499999999998</v>
      </c>
      <c r="AH110" s="21">
        <v>19.163699999999999</v>
      </c>
      <c r="AI110" s="21">
        <v>-1.4340200000000001E-2</v>
      </c>
      <c r="AJ110" s="21">
        <v>100</v>
      </c>
      <c r="AK110" s="21">
        <v>0.40310699999999999</v>
      </c>
      <c r="AL110">
        <f t="shared" si="18"/>
        <v>17.703950617283951</v>
      </c>
      <c r="AM110">
        <f t="shared" si="19"/>
        <v>7.1452259493827155</v>
      </c>
      <c r="AP110" s="9"/>
      <c r="AQ110" s="21">
        <v>1.28647</v>
      </c>
      <c r="AR110" s="21">
        <v>24.601800000000001</v>
      </c>
      <c r="AS110" s="21">
        <v>-1.3427700000000001E-2</v>
      </c>
      <c r="AT110" s="21">
        <v>100</v>
      </c>
      <c r="AU110" s="21">
        <v>1.2863199999999999</v>
      </c>
      <c r="AV110">
        <f t="shared" si="20"/>
        <v>16.57740740740741</v>
      </c>
      <c r="AW110">
        <f t="shared" si="21"/>
        <v>21.32633730740741</v>
      </c>
      <c r="AX110" s="9"/>
      <c r="AY110" s="21">
        <v>0.40359499999999998</v>
      </c>
      <c r="AZ110" s="21">
        <v>28.4009</v>
      </c>
      <c r="BA110" s="21">
        <v>-1.41937E-2</v>
      </c>
      <c r="BB110" s="21">
        <v>100</v>
      </c>
      <c r="BC110" s="21">
        <v>0.40307599999999999</v>
      </c>
      <c r="BD110">
        <f t="shared" si="22"/>
        <v>17.523086419753085</v>
      </c>
      <c r="BE110">
        <f t="shared" si="23"/>
        <v>7.0722300635802462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6.01349</v>
      </c>
      <c r="I111" s="21">
        <v>-1.34155E-2</v>
      </c>
      <c r="J111" s="21">
        <v>101</v>
      </c>
      <c r="K111" s="21">
        <v>1.2808200000000001</v>
      </c>
      <c r="L111">
        <f t="shared" si="12"/>
        <v>16.562345679012346</v>
      </c>
      <c r="M111">
        <f t="shared" si="13"/>
        <v>21.22348662345679</v>
      </c>
      <c r="N111" s="9"/>
      <c r="O111" s="21">
        <v>0.40862999999999999</v>
      </c>
      <c r="P111" s="21">
        <v>9.8125400000000003</v>
      </c>
      <c r="Q111" s="21">
        <v>-1.4297499999999999E-2</v>
      </c>
      <c r="R111" s="21">
        <v>101</v>
      </c>
      <c r="S111" s="21">
        <v>0.408051</v>
      </c>
      <c r="T111">
        <f t="shared" si="14"/>
        <v>17.651234567901231</v>
      </c>
      <c r="U111">
        <f t="shared" si="15"/>
        <v>7.2128239814814794</v>
      </c>
      <c r="X111" s="9"/>
      <c r="Y111" s="21">
        <v>1.2814300000000001</v>
      </c>
      <c r="Z111" s="21">
        <v>15.374700000000001</v>
      </c>
      <c r="AA111" s="21">
        <v>-1.3421600000000001E-2</v>
      </c>
      <c r="AB111" s="21">
        <v>101</v>
      </c>
      <c r="AC111" s="21">
        <v>1.2808200000000001</v>
      </c>
      <c r="AD111">
        <f t="shared" si="16"/>
        <v>16.569876543209876</v>
      </c>
      <c r="AE111">
        <f t="shared" si="17"/>
        <v>21.233136898765434</v>
      </c>
      <c r="AF111" s="9"/>
      <c r="AG111" s="21">
        <v>0.40862999999999999</v>
      </c>
      <c r="AH111" s="21">
        <v>19.1737</v>
      </c>
      <c r="AI111" s="21">
        <v>-1.43219E-2</v>
      </c>
      <c r="AJ111" s="21">
        <v>101</v>
      </c>
      <c r="AK111" s="21">
        <v>0.408051</v>
      </c>
      <c r="AL111">
        <f t="shared" si="18"/>
        <v>17.68135802469136</v>
      </c>
      <c r="AM111">
        <f t="shared" si="19"/>
        <v>7.2251333296296298</v>
      </c>
      <c r="AP111" s="9"/>
      <c r="AQ111" s="21">
        <v>1.2814300000000001</v>
      </c>
      <c r="AR111" s="21">
        <v>24.611899999999999</v>
      </c>
      <c r="AS111" s="21">
        <v>-1.34308E-2</v>
      </c>
      <c r="AT111" s="21">
        <v>101</v>
      </c>
      <c r="AU111" s="21">
        <v>1.2808200000000001</v>
      </c>
      <c r="AV111">
        <f t="shared" si="20"/>
        <v>16.581234567901234</v>
      </c>
      <c r="AW111">
        <f t="shared" si="21"/>
        <v>21.247691412345681</v>
      </c>
      <c r="AX111" s="9"/>
      <c r="AY111" s="21">
        <v>0.40862999999999999</v>
      </c>
      <c r="AZ111" s="21">
        <v>28.411000000000001</v>
      </c>
      <c r="BA111" s="21">
        <v>-1.41937E-2</v>
      </c>
      <c r="BB111" s="21">
        <v>101</v>
      </c>
      <c r="BC111" s="21">
        <v>0.40801999999999999</v>
      </c>
      <c r="BD111">
        <f t="shared" si="22"/>
        <v>17.523086419753085</v>
      </c>
      <c r="BE111">
        <f t="shared" si="23"/>
        <v>7.1604588037037029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6.0235599999999998</v>
      </c>
      <c r="I112" s="21">
        <v>-1.34308E-2</v>
      </c>
      <c r="J112" s="21">
        <v>102</v>
      </c>
      <c r="K112" s="21">
        <v>1.2753300000000001</v>
      </c>
      <c r="L112">
        <f t="shared" si="12"/>
        <v>16.581234567901234</v>
      </c>
      <c r="M112">
        <f t="shared" si="13"/>
        <v>21.164287802469133</v>
      </c>
      <c r="N112" s="9"/>
      <c r="O112" s="21">
        <v>0.41366599999999998</v>
      </c>
      <c r="P112" s="21">
        <v>9.8226099999999992</v>
      </c>
      <c r="Q112" s="21">
        <v>-1.4285300000000001E-2</v>
      </c>
      <c r="R112" s="21">
        <v>102</v>
      </c>
      <c r="S112" s="21">
        <v>0.41302499999999998</v>
      </c>
      <c r="T112">
        <f t="shared" si="14"/>
        <v>17.636172839506173</v>
      </c>
      <c r="U112">
        <f t="shared" si="15"/>
        <v>7.2954850738271606</v>
      </c>
      <c r="X112" s="9"/>
      <c r="Y112" s="21">
        <v>1.2764</v>
      </c>
      <c r="Z112" s="21">
        <v>15.3848</v>
      </c>
      <c r="AA112" s="21">
        <v>-1.3427700000000001E-2</v>
      </c>
      <c r="AB112" s="21">
        <v>102</v>
      </c>
      <c r="AC112" s="21">
        <v>1.27563</v>
      </c>
      <c r="AD112">
        <f t="shared" si="16"/>
        <v>16.57740740740741</v>
      </c>
      <c r="AE112">
        <f t="shared" si="17"/>
        <v>21.159402814814818</v>
      </c>
      <c r="AF112" s="9"/>
      <c r="AG112" s="21">
        <v>0.41366599999999998</v>
      </c>
      <c r="AH112" s="21">
        <v>19.183800000000002</v>
      </c>
      <c r="AI112" s="21">
        <v>-1.4312699999999999E-2</v>
      </c>
      <c r="AJ112" s="21">
        <v>102</v>
      </c>
      <c r="AK112" s="21">
        <v>0.41311599999999998</v>
      </c>
      <c r="AL112">
        <f t="shared" si="18"/>
        <v>17.669999999999998</v>
      </c>
      <c r="AM112">
        <f t="shared" si="19"/>
        <v>7.309478219999999</v>
      </c>
      <c r="AP112" s="9"/>
      <c r="AQ112" s="21">
        <v>1.2764</v>
      </c>
      <c r="AR112" s="21">
        <v>24.622</v>
      </c>
      <c r="AS112" s="21">
        <v>-1.3427700000000001E-2</v>
      </c>
      <c r="AT112" s="21">
        <v>102</v>
      </c>
      <c r="AU112" s="21">
        <v>1.27563</v>
      </c>
      <c r="AV112">
        <f t="shared" si="20"/>
        <v>16.57740740740741</v>
      </c>
      <c r="AW112">
        <f t="shared" si="21"/>
        <v>21.159402814814818</v>
      </c>
      <c r="AX112" s="9"/>
      <c r="AY112" s="21">
        <v>0.41366599999999998</v>
      </c>
      <c r="AZ112" s="21">
        <v>28.420999999999999</v>
      </c>
      <c r="BA112" s="21">
        <v>-1.4196800000000001E-2</v>
      </c>
      <c r="BB112" s="21">
        <v>102</v>
      </c>
      <c r="BC112" s="21">
        <v>0.41308600000000001</v>
      </c>
      <c r="BD112">
        <f t="shared" si="22"/>
        <v>17.526913580246916</v>
      </c>
      <c r="BE112">
        <f t="shared" si="23"/>
        <v>7.2502882330864207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6.0336400000000001</v>
      </c>
      <c r="I113" s="21">
        <v>-1.34521E-2</v>
      </c>
      <c r="J113" s="21">
        <v>103</v>
      </c>
      <c r="K113" s="21">
        <v>1.27075</v>
      </c>
      <c r="L113">
        <f t="shared" si="12"/>
        <v>16.607530864197528</v>
      </c>
      <c r="M113">
        <f t="shared" si="13"/>
        <v>21.114150439506169</v>
      </c>
      <c r="N113" s="9"/>
      <c r="O113" s="21">
        <v>0.41870099999999999</v>
      </c>
      <c r="P113" s="21">
        <v>9.8326799999999999</v>
      </c>
      <c r="Q113" s="21">
        <v>-1.4285300000000001E-2</v>
      </c>
      <c r="R113" s="21">
        <v>103</v>
      </c>
      <c r="S113" s="21">
        <v>0.41799900000000001</v>
      </c>
      <c r="T113">
        <f t="shared" si="14"/>
        <v>17.636172839506173</v>
      </c>
      <c r="U113">
        <f t="shared" si="15"/>
        <v>7.384283204074074</v>
      </c>
      <c r="X113" s="9"/>
      <c r="Y113" s="21">
        <v>1.27136</v>
      </c>
      <c r="Z113" s="21">
        <v>15.3948</v>
      </c>
      <c r="AA113" s="21">
        <v>-1.3427700000000001E-2</v>
      </c>
      <c r="AB113" s="21">
        <v>103</v>
      </c>
      <c r="AC113" s="21">
        <v>1.27075</v>
      </c>
      <c r="AD113">
        <f t="shared" si="16"/>
        <v>16.57740740740741</v>
      </c>
      <c r="AE113">
        <f t="shared" si="17"/>
        <v>21.075852681481486</v>
      </c>
      <c r="AF113" s="9"/>
      <c r="AG113" s="21">
        <v>0.41870099999999999</v>
      </c>
      <c r="AH113" s="21">
        <v>19.193899999999999</v>
      </c>
      <c r="AI113" s="21">
        <v>-1.4312699999999999E-2</v>
      </c>
      <c r="AJ113" s="21">
        <v>103</v>
      </c>
      <c r="AK113" s="21">
        <v>0.41812100000000002</v>
      </c>
      <c r="AL113">
        <f t="shared" si="18"/>
        <v>17.669999999999998</v>
      </c>
      <c r="AM113">
        <f t="shared" si="19"/>
        <v>7.3984466699999993</v>
      </c>
      <c r="AP113" s="9"/>
      <c r="AQ113" s="21">
        <v>1.27136</v>
      </c>
      <c r="AR113" s="21">
        <v>24.632100000000001</v>
      </c>
      <c r="AS113" s="21">
        <v>-1.34369E-2</v>
      </c>
      <c r="AT113" s="21">
        <v>103</v>
      </c>
      <c r="AU113" s="21">
        <v>1.26953</v>
      </c>
      <c r="AV113">
        <f t="shared" si="20"/>
        <v>16.588765432098764</v>
      </c>
      <c r="AW113">
        <f t="shared" si="21"/>
        <v>21.090292819753085</v>
      </c>
      <c r="AX113" s="9"/>
      <c r="AY113" s="21">
        <v>0.41870099999999999</v>
      </c>
      <c r="AZ113" s="21">
        <v>28.431100000000001</v>
      </c>
      <c r="BA113" s="21">
        <v>-1.41937E-2</v>
      </c>
      <c r="BB113" s="21">
        <v>103</v>
      </c>
      <c r="BC113" s="21">
        <v>0.41805999999999999</v>
      </c>
      <c r="BD113">
        <f t="shared" si="22"/>
        <v>17.523086419753085</v>
      </c>
      <c r="BE113">
        <f t="shared" si="23"/>
        <v>7.3369338070370365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6.0437099999999999</v>
      </c>
      <c r="I114" s="21">
        <v>-1.3461300000000001E-2</v>
      </c>
      <c r="J114" s="21">
        <v>104</v>
      </c>
      <c r="K114" s="21">
        <v>1.26495</v>
      </c>
      <c r="L114">
        <f t="shared" si="12"/>
        <v>16.618888888888886</v>
      </c>
      <c r="M114">
        <f t="shared" si="13"/>
        <v>21.044997566666662</v>
      </c>
      <c r="N114" s="9"/>
      <c r="O114" s="21">
        <v>0.42373699999999997</v>
      </c>
      <c r="P114" s="21">
        <v>9.8427500000000006</v>
      </c>
      <c r="Q114" s="21">
        <v>-1.42761E-2</v>
      </c>
      <c r="R114" s="21">
        <v>104</v>
      </c>
      <c r="S114" s="21">
        <v>0.423126</v>
      </c>
      <c r="T114">
        <f t="shared" si="14"/>
        <v>17.624814814814812</v>
      </c>
      <c r="U114">
        <f t="shared" si="15"/>
        <v>7.4682861551851838</v>
      </c>
      <c r="X114" s="9"/>
      <c r="Y114" s="21">
        <v>1.26633</v>
      </c>
      <c r="Z114" s="21">
        <v>15.4049</v>
      </c>
      <c r="AA114" s="21">
        <v>-1.34369E-2</v>
      </c>
      <c r="AB114" s="21">
        <v>104</v>
      </c>
      <c r="AC114" s="21">
        <v>1.26556</v>
      </c>
      <c r="AD114">
        <f t="shared" si="16"/>
        <v>16.588765432098764</v>
      </c>
      <c r="AE114">
        <f t="shared" si="17"/>
        <v>21.006851329629626</v>
      </c>
      <c r="AF114" s="9"/>
      <c r="AG114" s="21">
        <v>0.42373699999999997</v>
      </c>
      <c r="AH114" s="21">
        <v>19.203900000000001</v>
      </c>
      <c r="AI114" s="21">
        <v>-1.4306599999999999E-2</v>
      </c>
      <c r="AJ114" s="21">
        <v>104</v>
      </c>
      <c r="AK114" s="21">
        <v>0.42309600000000003</v>
      </c>
      <c r="AL114">
        <f t="shared" si="18"/>
        <v>17.662469135802468</v>
      </c>
      <c r="AM114">
        <f t="shared" si="19"/>
        <v>7.4842416841975297</v>
      </c>
      <c r="AP114" s="9"/>
      <c r="AQ114" s="21">
        <v>1.26633</v>
      </c>
      <c r="AR114" s="21">
        <v>24.642099999999999</v>
      </c>
      <c r="AS114" s="21">
        <v>-1.3446E-2</v>
      </c>
      <c r="AT114" s="21">
        <v>104</v>
      </c>
      <c r="AU114" s="21">
        <v>1.26556</v>
      </c>
      <c r="AV114">
        <f t="shared" si="20"/>
        <v>16.599999999999998</v>
      </c>
      <c r="AW114">
        <f t="shared" si="21"/>
        <v>21.021077999999996</v>
      </c>
      <c r="AX114" s="9"/>
      <c r="AY114" s="21">
        <v>0.42373699999999997</v>
      </c>
      <c r="AZ114" s="21">
        <v>28.441199999999998</v>
      </c>
      <c r="BA114" s="21">
        <v>-1.4190700000000001E-2</v>
      </c>
      <c r="BB114" s="21">
        <v>104</v>
      </c>
      <c r="BC114" s="21">
        <v>0.42306500000000002</v>
      </c>
      <c r="BD114">
        <f t="shared" si="22"/>
        <v>17.519382716049382</v>
      </c>
      <c r="BE114">
        <f t="shared" si="23"/>
        <v>7.4236106739506162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6.0537799999999997</v>
      </c>
      <c r="I115" s="21">
        <v>-1.3473499999999999E-2</v>
      </c>
      <c r="J115" s="21">
        <v>105</v>
      </c>
      <c r="K115" s="21">
        <v>1.26068</v>
      </c>
      <c r="L115">
        <f t="shared" si="12"/>
        <v>16.633950617283947</v>
      </c>
      <c r="M115">
        <f t="shared" si="13"/>
        <v>20.980235574074069</v>
      </c>
      <c r="N115" s="9"/>
      <c r="O115" s="21">
        <v>0.42877199999999999</v>
      </c>
      <c r="P115" s="21">
        <v>9.8528300000000009</v>
      </c>
      <c r="Q115" s="21">
        <v>-1.42731E-2</v>
      </c>
      <c r="R115" s="21">
        <v>105</v>
      </c>
      <c r="S115" s="21">
        <v>0.42813099999999998</v>
      </c>
      <c r="T115">
        <f t="shared" si="14"/>
        <v>17.621111111111112</v>
      </c>
      <c r="U115">
        <f t="shared" si="15"/>
        <v>7.555439053333334</v>
      </c>
      <c r="X115" s="9"/>
      <c r="Y115" s="21">
        <v>1.26129</v>
      </c>
      <c r="Z115" s="21">
        <v>15.414999999999999</v>
      </c>
      <c r="AA115" s="21">
        <v>-1.34369E-2</v>
      </c>
      <c r="AB115" s="21">
        <v>105</v>
      </c>
      <c r="AC115" s="21">
        <v>1.2603800000000001</v>
      </c>
      <c r="AD115">
        <f t="shared" si="16"/>
        <v>16.588765432098764</v>
      </c>
      <c r="AE115">
        <f t="shared" si="17"/>
        <v>20.923243951851852</v>
      </c>
      <c r="AF115" s="9"/>
      <c r="AG115" s="21">
        <v>0.42877199999999999</v>
      </c>
      <c r="AH115" s="21">
        <v>19.213999999999999</v>
      </c>
      <c r="AI115" s="21">
        <v>-1.4297499999999999E-2</v>
      </c>
      <c r="AJ115" s="21">
        <v>105</v>
      </c>
      <c r="AK115" s="21">
        <v>0.42825299999999999</v>
      </c>
      <c r="AL115">
        <f t="shared" si="18"/>
        <v>17.651234567901231</v>
      </c>
      <c r="AM115">
        <f t="shared" si="19"/>
        <v>7.5683551481481466</v>
      </c>
      <c r="AP115" s="9"/>
      <c r="AQ115" s="21">
        <v>1.26129</v>
      </c>
      <c r="AR115" s="21">
        <v>24.652200000000001</v>
      </c>
      <c r="AS115" s="21">
        <v>-1.3461300000000001E-2</v>
      </c>
      <c r="AT115" s="21">
        <v>105</v>
      </c>
      <c r="AU115" s="21">
        <v>1.26068</v>
      </c>
      <c r="AV115">
        <f t="shared" si="20"/>
        <v>16.618888888888886</v>
      </c>
      <c r="AW115">
        <f t="shared" si="21"/>
        <v>20.961238366666663</v>
      </c>
      <c r="AX115" s="9"/>
      <c r="AY115" s="21">
        <v>0.42877199999999999</v>
      </c>
      <c r="AZ115" s="21">
        <v>28.4512</v>
      </c>
      <c r="BA115" s="21">
        <v>-1.41937E-2</v>
      </c>
      <c r="BB115" s="21">
        <v>105</v>
      </c>
      <c r="BC115" s="21">
        <v>0.42819200000000002</v>
      </c>
      <c r="BD115">
        <f t="shared" si="22"/>
        <v>17.523086419753085</v>
      </c>
      <c r="BE115">
        <f t="shared" si="23"/>
        <v>7.5134088103703691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6.0638500000000004</v>
      </c>
      <c r="I116" s="21">
        <v>-1.34888E-2</v>
      </c>
      <c r="J116" s="21">
        <v>106</v>
      </c>
      <c r="K116" s="21">
        <v>1.25549</v>
      </c>
      <c r="L116">
        <f t="shared" si="12"/>
        <v>16.652839506172839</v>
      </c>
      <c r="M116">
        <f t="shared" si="13"/>
        <v>20.920296158024691</v>
      </c>
      <c r="N116" s="9"/>
      <c r="O116" s="21">
        <v>0.433807</v>
      </c>
      <c r="P116" s="21">
        <v>9.8628999999999998</v>
      </c>
      <c r="Q116" s="21">
        <v>-1.42609E-2</v>
      </c>
      <c r="R116" s="21">
        <v>106</v>
      </c>
      <c r="S116" s="21">
        <v>0.433197</v>
      </c>
      <c r="T116">
        <f t="shared" si="14"/>
        <v>17.606049382716048</v>
      </c>
      <c r="U116">
        <f t="shared" si="15"/>
        <v>7.6376274645679008</v>
      </c>
      <c r="X116" s="9"/>
      <c r="Y116" s="21">
        <v>1.2562599999999999</v>
      </c>
      <c r="Z116" s="21">
        <v>15.425000000000001</v>
      </c>
      <c r="AA116" s="21">
        <v>-1.34491E-2</v>
      </c>
      <c r="AB116" s="21">
        <v>106</v>
      </c>
      <c r="AC116" s="21">
        <v>1.2561</v>
      </c>
      <c r="AD116">
        <f t="shared" si="16"/>
        <v>16.603827160493829</v>
      </c>
      <c r="AE116">
        <f t="shared" si="17"/>
        <v>20.858723908641977</v>
      </c>
      <c r="AF116" s="9"/>
      <c r="AG116" s="21">
        <v>0.433807</v>
      </c>
      <c r="AH116" s="21">
        <v>19.2241</v>
      </c>
      <c r="AI116" s="21">
        <v>-1.4291399999999999E-2</v>
      </c>
      <c r="AJ116" s="21">
        <v>106</v>
      </c>
      <c r="AK116" s="21">
        <v>0.43325799999999998</v>
      </c>
      <c r="AL116">
        <f t="shared" si="18"/>
        <v>17.643703703703704</v>
      </c>
      <c r="AM116">
        <f t="shared" si="19"/>
        <v>7.6539621725925926</v>
      </c>
      <c r="AP116" s="9"/>
      <c r="AQ116" s="21">
        <v>1.2562599999999999</v>
      </c>
      <c r="AR116" s="21">
        <v>24.662299999999998</v>
      </c>
      <c r="AS116" s="21">
        <v>-1.34796E-2</v>
      </c>
      <c r="AT116" s="21">
        <v>106</v>
      </c>
      <c r="AU116" s="21">
        <v>1.25519</v>
      </c>
      <c r="AV116">
        <f t="shared" si="20"/>
        <v>16.641481481481478</v>
      </c>
      <c r="AW116">
        <f t="shared" si="21"/>
        <v>20.906027525925921</v>
      </c>
      <c r="AX116" s="9"/>
      <c r="AY116" s="21">
        <v>0.433807</v>
      </c>
      <c r="AZ116" s="21">
        <v>28.461300000000001</v>
      </c>
      <c r="BA116" s="21">
        <v>-1.41846E-2</v>
      </c>
      <c r="BB116" s="21">
        <v>106</v>
      </c>
      <c r="BC116" s="21">
        <v>0.433197</v>
      </c>
      <c r="BD116">
        <f t="shared" si="22"/>
        <v>17.511851851851851</v>
      </c>
      <c r="BE116">
        <f t="shared" si="23"/>
        <v>7.5967639162962959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6.0739200000000002</v>
      </c>
      <c r="I117" s="21">
        <v>-1.3494900000000001E-2</v>
      </c>
      <c r="J117" s="21">
        <v>107</v>
      </c>
      <c r="K117" s="21">
        <v>1.25092</v>
      </c>
      <c r="L117">
        <f t="shared" si="12"/>
        <v>16.660370370370369</v>
      </c>
      <c r="M117">
        <f t="shared" si="13"/>
        <v>20.845788614814815</v>
      </c>
      <c r="N117" s="9"/>
      <c r="O117" s="21">
        <v>0.43884299999999998</v>
      </c>
      <c r="P117" s="21">
        <v>9.8729700000000005</v>
      </c>
      <c r="Q117" s="21">
        <v>-1.42487E-2</v>
      </c>
      <c r="R117" s="21">
        <v>107</v>
      </c>
      <c r="S117" s="21">
        <v>0.43823200000000001</v>
      </c>
      <c r="T117">
        <f t="shared" si="14"/>
        <v>17.590987654320987</v>
      </c>
      <c r="U117">
        <f t="shared" si="15"/>
        <v>7.7196817951851848</v>
      </c>
      <c r="X117" s="9"/>
      <c r="Y117" s="21">
        <v>1.25122</v>
      </c>
      <c r="Z117" s="21">
        <v>15.4351</v>
      </c>
      <c r="AA117" s="21">
        <v>-1.3458299999999999E-2</v>
      </c>
      <c r="AB117" s="21">
        <v>107</v>
      </c>
      <c r="AC117" s="21">
        <v>1.25092</v>
      </c>
      <c r="AD117">
        <f t="shared" si="16"/>
        <v>16.615185185185183</v>
      </c>
      <c r="AE117">
        <f t="shared" si="17"/>
        <v>20.789252007407406</v>
      </c>
      <c r="AF117" s="9"/>
      <c r="AG117" s="21">
        <v>0.43884299999999998</v>
      </c>
      <c r="AH117" s="21">
        <v>19.234200000000001</v>
      </c>
      <c r="AI117" s="21">
        <v>-1.42822E-2</v>
      </c>
      <c r="AJ117" s="21">
        <v>107</v>
      </c>
      <c r="AK117" s="21">
        <v>0.438141</v>
      </c>
      <c r="AL117">
        <f t="shared" si="18"/>
        <v>17.632345679012342</v>
      </c>
      <c r="AM117">
        <f t="shared" si="19"/>
        <v>7.7378314748148131</v>
      </c>
      <c r="AP117" s="9"/>
      <c r="AQ117" s="21">
        <v>1.25122</v>
      </c>
      <c r="AR117" s="21">
        <v>24.6723</v>
      </c>
      <c r="AS117" s="21">
        <v>-1.34888E-2</v>
      </c>
      <c r="AT117" s="21">
        <v>107</v>
      </c>
      <c r="AU117" s="21">
        <v>1.25061</v>
      </c>
      <c r="AV117">
        <f t="shared" si="20"/>
        <v>16.652839506172839</v>
      </c>
      <c r="AW117">
        <f t="shared" si="21"/>
        <v>20.83636584691358</v>
      </c>
      <c r="AX117" s="9"/>
      <c r="AY117" s="21">
        <v>0.43884299999999998</v>
      </c>
      <c r="AZ117" s="21">
        <v>28.471399999999999</v>
      </c>
      <c r="BA117" s="21">
        <v>-1.41785E-2</v>
      </c>
      <c r="BB117" s="21">
        <v>107</v>
      </c>
      <c r="BC117" s="21">
        <v>0.43820199999999998</v>
      </c>
      <c r="BD117">
        <f t="shared" si="22"/>
        <v>17.504320987654321</v>
      </c>
      <c r="BE117">
        <f t="shared" si="23"/>
        <v>7.6816487351851848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6.08399</v>
      </c>
      <c r="I118" s="21">
        <v>-1.3507099999999999E-2</v>
      </c>
      <c r="J118" s="21">
        <v>108</v>
      </c>
      <c r="K118" s="21">
        <v>1.24512</v>
      </c>
      <c r="L118">
        <f t="shared" si="12"/>
        <v>16.67543209876543</v>
      </c>
      <c r="M118">
        <f t="shared" si="13"/>
        <v>20.78075672716049</v>
      </c>
      <c r="N118" s="9"/>
      <c r="O118" s="21">
        <v>0.44387799999999999</v>
      </c>
      <c r="P118" s="21">
        <v>9.8830399999999994</v>
      </c>
      <c r="Q118" s="21">
        <v>-1.4242599999999999E-2</v>
      </c>
      <c r="R118" s="21">
        <v>108</v>
      </c>
      <c r="S118" s="21">
        <v>0.443268</v>
      </c>
      <c r="T118">
        <f t="shared" si="14"/>
        <v>17.583456790123453</v>
      </c>
      <c r="U118">
        <f t="shared" si="15"/>
        <v>7.8049096330864183</v>
      </c>
      <c r="X118" s="9"/>
      <c r="Y118" s="21">
        <v>1.2461899999999999</v>
      </c>
      <c r="Z118" s="21">
        <v>15.4452</v>
      </c>
      <c r="AA118" s="21">
        <v>-1.3467399999999999E-2</v>
      </c>
      <c r="AB118" s="21">
        <v>108</v>
      </c>
      <c r="AC118" s="21">
        <v>1.24542</v>
      </c>
      <c r="AD118">
        <f t="shared" si="16"/>
        <v>16.626419753086417</v>
      </c>
      <c r="AE118">
        <f t="shared" si="17"/>
        <v>20.719678032098759</v>
      </c>
      <c r="AF118" s="9"/>
      <c r="AG118" s="21">
        <v>0.44387799999999999</v>
      </c>
      <c r="AH118" s="21">
        <v>19.244199999999999</v>
      </c>
      <c r="AI118" s="21">
        <v>-1.42761E-2</v>
      </c>
      <c r="AJ118" s="21">
        <v>108</v>
      </c>
      <c r="AK118" s="21">
        <v>0.44320700000000002</v>
      </c>
      <c r="AL118">
        <f t="shared" si="18"/>
        <v>17.624814814814812</v>
      </c>
      <c r="AM118">
        <f t="shared" si="19"/>
        <v>7.8232675503703692</v>
      </c>
      <c r="AP118" s="9"/>
      <c r="AQ118" s="21">
        <v>1.2461899999999999</v>
      </c>
      <c r="AR118" s="21">
        <v>24.682400000000001</v>
      </c>
      <c r="AS118" s="21">
        <v>-1.34918E-2</v>
      </c>
      <c r="AT118" s="21">
        <v>108</v>
      </c>
      <c r="AU118" s="21">
        <v>1.24603</v>
      </c>
      <c r="AV118">
        <f t="shared" si="20"/>
        <v>16.656543209876542</v>
      </c>
      <c r="AW118">
        <f t="shared" si="21"/>
        <v>20.757217582716045</v>
      </c>
      <c r="AX118" s="9"/>
      <c r="AY118" s="21">
        <v>0.44387799999999999</v>
      </c>
      <c r="AZ118" s="21">
        <v>28.4815</v>
      </c>
      <c r="BA118" s="21">
        <v>-1.41846E-2</v>
      </c>
      <c r="BB118" s="21">
        <v>108</v>
      </c>
      <c r="BC118" s="21">
        <v>0.44329800000000003</v>
      </c>
      <c r="BD118">
        <f t="shared" si="22"/>
        <v>17.511851851851851</v>
      </c>
      <c r="BE118">
        <f t="shared" si="23"/>
        <v>7.773125776296296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6.0940599999999998</v>
      </c>
      <c r="I119" s="21">
        <v>-1.3522299999999999E-2</v>
      </c>
      <c r="J119" s="21">
        <v>109</v>
      </c>
      <c r="K119" s="21">
        <v>1.23993</v>
      </c>
      <c r="L119">
        <f t="shared" si="12"/>
        <v>16.694197530864194</v>
      </c>
      <c r="M119">
        <f t="shared" si="13"/>
        <v>20.720003265432094</v>
      </c>
      <c r="N119" s="9"/>
      <c r="O119" s="21">
        <v>0.44891399999999998</v>
      </c>
      <c r="P119" s="21">
        <v>9.8931100000000001</v>
      </c>
      <c r="Q119" s="21">
        <v>-1.4242599999999999E-2</v>
      </c>
      <c r="R119" s="21">
        <v>109</v>
      </c>
      <c r="S119" s="21">
        <v>0.44827299999999998</v>
      </c>
      <c r="T119">
        <f t="shared" si="14"/>
        <v>17.583456790123453</v>
      </c>
      <c r="U119">
        <f t="shared" si="15"/>
        <v>7.8934599214814796</v>
      </c>
      <c r="X119" s="9"/>
      <c r="Y119" s="21">
        <v>1.24115</v>
      </c>
      <c r="Z119" s="21">
        <v>15.4552</v>
      </c>
      <c r="AA119" s="21">
        <v>-1.3473499999999999E-2</v>
      </c>
      <c r="AB119" s="21">
        <v>109</v>
      </c>
      <c r="AC119" s="21">
        <v>1.23993</v>
      </c>
      <c r="AD119">
        <f t="shared" si="16"/>
        <v>16.633950617283947</v>
      </c>
      <c r="AE119">
        <f t="shared" si="17"/>
        <v>20.64522780864197</v>
      </c>
      <c r="AF119" s="9"/>
      <c r="AG119" s="21">
        <v>0.44891399999999998</v>
      </c>
      <c r="AH119" s="21">
        <v>19.254300000000001</v>
      </c>
      <c r="AI119" s="21">
        <v>-1.4279200000000001E-2</v>
      </c>
      <c r="AJ119" s="21">
        <v>109</v>
      </c>
      <c r="AK119" s="21">
        <v>0.44836399999999998</v>
      </c>
      <c r="AL119">
        <f t="shared" si="18"/>
        <v>17.628641975308639</v>
      </c>
      <c r="AM119">
        <f t="shared" si="19"/>
        <v>7.9137441837037024</v>
      </c>
      <c r="AP119" s="9"/>
      <c r="AQ119" s="21">
        <v>1.24115</v>
      </c>
      <c r="AR119" s="21">
        <v>24.692499999999999</v>
      </c>
      <c r="AS119" s="21">
        <v>-1.34979E-2</v>
      </c>
      <c r="AT119" s="21">
        <v>109</v>
      </c>
      <c r="AU119" s="21">
        <v>1.2402299999999999</v>
      </c>
      <c r="AV119">
        <f t="shared" si="20"/>
        <v>16.664074074074072</v>
      </c>
      <c r="AW119">
        <f t="shared" si="21"/>
        <v>20.682615537037034</v>
      </c>
      <c r="AX119" s="9"/>
      <c r="AY119" s="21">
        <v>0.44891399999999998</v>
      </c>
      <c r="AZ119" s="21">
        <v>28.491499999999998</v>
      </c>
      <c r="BA119" s="21">
        <v>-1.41785E-2</v>
      </c>
      <c r="BB119" s="21">
        <v>109</v>
      </c>
      <c r="BC119" s="21">
        <v>0.448181</v>
      </c>
      <c r="BD119">
        <f t="shared" si="22"/>
        <v>17.504320987654321</v>
      </c>
      <c r="BE119">
        <f t="shared" si="23"/>
        <v>7.8579347518518512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6.1041299999999996</v>
      </c>
      <c r="I120" s="21">
        <v>-1.35406E-2</v>
      </c>
      <c r="J120" s="21">
        <v>110</v>
      </c>
      <c r="K120" s="21">
        <v>1.23505</v>
      </c>
      <c r="L120">
        <f t="shared" si="12"/>
        <v>16.716790123456789</v>
      </c>
      <c r="M120">
        <f t="shared" si="13"/>
        <v>20.663791439506173</v>
      </c>
      <c r="N120" s="9"/>
      <c r="O120" s="21">
        <v>0.45394899999999999</v>
      </c>
      <c r="P120" s="21">
        <v>9.9031800000000008</v>
      </c>
      <c r="Q120" s="21">
        <v>-1.4242599999999999E-2</v>
      </c>
      <c r="R120" s="21">
        <v>110</v>
      </c>
      <c r="S120" s="21">
        <v>0.45333899999999999</v>
      </c>
      <c r="T120">
        <f t="shared" si="14"/>
        <v>17.583456790123453</v>
      </c>
      <c r="U120">
        <f t="shared" si="15"/>
        <v>7.9819926264197507</v>
      </c>
      <c r="X120" s="9"/>
      <c r="Y120" s="21">
        <v>1.23611</v>
      </c>
      <c r="Z120" s="21">
        <v>15.465299999999999</v>
      </c>
      <c r="AA120" s="21">
        <v>-1.34766E-2</v>
      </c>
      <c r="AB120" s="21">
        <v>110</v>
      </c>
      <c r="AC120" s="21">
        <v>1.2353499999999999</v>
      </c>
      <c r="AD120">
        <f t="shared" si="16"/>
        <v>16.637777777777774</v>
      </c>
      <c r="AE120">
        <f t="shared" si="17"/>
        <v>20.566123488888884</v>
      </c>
      <c r="AF120" s="9"/>
      <c r="AG120" s="21">
        <v>0.45394899999999999</v>
      </c>
      <c r="AH120" s="21">
        <v>19.264399999999998</v>
      </c>
      <c r="AI120" s="21">
        <v>-1.427E-2</v>
      </c>
      <c r="AJ120" s="21">
        <v>110</v>
      </c>
      <c r="AK120" s="21">
        <v>0.45336900000000002</v>
      </c>
      <c r="AL120">
        <f t="shared" si="18"/>
        <v>17.617283950617285</v>
      </c>
      <c r="AM120">
        <f t="shared" si="19"/>
        <v>7.9973484320987653</v>
      </c>
      <c r="AP120" s="9"/>
      <c r="AQ120" s="21">
        <v>1.23611</v>
      </c>
      <c r="AR120" s="21">
        <v>24.7026</v>
      </c>
      <c r="AS120" s="21">
        <v>-1.3504E-2</v>
      </c>
      <c r="AT120" s="21">
        <v>110</v>
      </c>
      <c r="AU120" s="21">
        <v>1.23505</v>
      </c>
      <c r="AV120">
        <f t="shared" si="20"/>
        <v>16.671604938271606</v>
      </c>
      <c r="AW120">
        <f t="shared" si="21"/>
        <v>20.607937580246915</v>
      </c>
      <c r="AX120" s="9"/>
      <c r="AY120" s="21">
        <v>0.45394899999999999</v>
      </c>
      <c r="AZ120" s="21">
        <v>28.5016</v>
      </c>
      <c r="BA120" s="21">
        <v>-1.41846E-2</v>
      </c>
      <c r="BB120" s="21">
        <v>110</v>
      </c>
      <c r="BC120" s="21">
        <v>0.45333899999999999</v>
      </c>
      <c r="BD120">
        <f t="shared" si="22"/>
        <v>17.511851851851851</v>
      </c>
      <c r="BE120">
        <f t="shared" si="23"/>
        <v>7.9494876362962961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6.1142000000000003</v>
      </c>
      <c r="I121" s="21">
        <v>-1.3549800000000001E-2</v>
      </c>
      <c r="J121" s="21">
        <v>111</v>
      </c>
      <c r="K121" s="21">
        <v>1.22986</v>
      </c>
      <c r="L121">
        <f t="shared" si="12"/>
        <v>16.728148148148147</v>
      </c>
      <c r="M121">
        <f t="shared" si="13"/>
        <v>20.593688622222221</v>
      </c>
      <c r="N121" s="9"/>
      <c r="O121" s="21">
        <v>0.458984</v>
      </c>
      <c r="P121" s="21">
        <v>9.9132499999999997</v>
      </c>
      <c r="Q121" s="21">
        <v>-1.4236499999999999E-2</v>
      </c>
      <c r="R121" s="21">
        <v>111</v>
      </c>
      <c r="S121" s="21">
        <v>0.458374</v>
      </c>
      <c r="T121">
        <f t="shared" si="14"/>
        <v>17.575925925925926</v>
      </c>
      <c r="U121">
        <f t="shared" si="15"/>
        <v>8.0670687851851852</v>
      </c>
      <c r="X121" s="9"/>
      <c r="Y121" s="21">
        <v>1.23108</v>
      </c>
      <c r="Z121" s="21">
        <v>15.4754</v>
      </c>
      <c r="AA121" s="21">
        <v>-1.34857E-2</v>
      </c>
      <c r="AB121" s="21">
        <v>111</v>
      </c>
      <c r="AC121" s="21">
        <v>1.23047</v>
      </c>
      <c r="AD121">
        <f t="shared" si="16"/>
        <v>16.649012345679012</v>
      </c>
      <c r="AE121">
        <f t="shared" si="17"/>
        <v>20.496266118518516</v>
      </c>
      <c r="AF121" s="9"/>
      <c r="AG121" s="21">
        <v>0.458984</v>
      </c>
      <c r="AH121" s="21">
        <v>19.2744</v>
      </c>
      <c r="AI121" s="21">
        <v>-1.42609E-2</v>
      </c>
      <c r="AJ121" s="21">
        <v>111</v>
      </c>
      <c r="AK121" s="21">
        <v>0.45840500000000001</v>
      </c>
      <c r="AL121">
        <f t="shared" si="18"/>
        <v>17.606049382716048</v>
      </c>
      <c r="AM121">
        <f t="shared" si="19"/>
        <v>8.0808949698765424</v>
      </c>
      <c r="AP121" s="9"/>
      <c r="AQ121" s="21">
        <v>1.23108</v>
      </c>
      <c r="AR121" s="21">
        <v>24.712599999999998</v>
      </c>
      <c r="AS121" s="21">
        <v>-1.35193E-2</v>
      </c>
      <c r="AT121" s="21">
        <v>111</v>
      </c>
      <c r="AU121" s="21">
        <v>1.2301599999999999</v>
      </c>
      <c r="AV121">
        <f t="shared" si="20"/>
        <v>16.690493827160495</v>
      </c>
      <c r="AW121">
        <f t="shared" si="21"/>
        <v>20.54733314074074</v>
      </c>
      <c r="AX121" s="9"/>
      <c r="AY121" s="21">
        <v>0.458984</v>
      </c>
      <c r="AZ121" s="21">
        <v>28.511700000000001</v>
      </c>
      <c r="BA121" s="21">
        <v>-1.41998E-2</v>
      </c>
      <c r="BB121" s="21">
        <v>111</v>
      </c>
      <c r="BC121" s="21">
        <v>0.45840500000000001</v>
      </c>
      <c r="BD121">
        <f t="shared" si="22"/>
        <v>17.530617283950615</v>
      </c>
      <c r="BE121">
        <f t="shared" si="23"/>
        <v>8.0462728434567889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6.1242700000000001</v>
      </c>
      <c r="I122" s="21">
        <v>-1.3561999999999999E-2</v>
      </c>
      <c r="J122" s="21">
        <v>112</v>
      </c>
      <c r="K122" s="21">
        <v>1.2252799999999999</v>
      </c>
      <c r="L122">
        <f t="shared" si="12"/>
        <v>16.743209876543208</v>
      </c>
      <c r="M122">
        <f t="shared" si="13"/>
        <v>20.527845037037036</v>
      </c>
      <c r="N122" s="9"/>
      <c r="O122" s="21">
        <v>0.46401999999999999</v>
      </c>
      <c r="P122" s="21">
        <v>9.9233200000000004</v>
      </c>
      <c r="Q122" s="21">
        <v>-1.42334E-2</v>
      </c>
      <c r="R122" s="21">
        <v>112</v>
      </c>
      <c r="S122" s="21">
        <v>0.46337899999999999</v>
      </c>
      <c r="T122">
        <f t="shared" si="14"/>
        <v>17.572098765432099</v>
      </c>
      <c r="U122">
        <f t="shared" si="15"/>
        <v>8.1538052691358018</v>
      </c>
      <c r="X122" s="9"/>
      <c r="Y122" s="21">
        <v>1.22604</v>
      </c>
      <c r="Z122" s="21">
        <v>15.4855</v>
      </c>
      <c r="AA122" s="21">
        <v>-1.34888E-2</v>
      </c>
      <c r="AB122" s="21">
        <v>112</v>
      </c>
      <c r="AC122" s="21">
        <v>1.22498</v>
      </c>
      <c r="AD122">
        <f t="shared" si="16"/>
        <v>16.652839506172839</v>
      </c>
      <c r="AE122">
        <f t="shared" si="17"/>
        <v>20.417047348148149</v>
      </c>
      <c r="AF122" s="9"/>
      <c r="AG122" s="21">
        <v>0.46401999999999999</v>
      </c>
      <c r="AH122" s="21">
        <v>19.284500000000001</v>
      </c>
      <c r="AI122" s="21">
        <v>-1.4257799999999999E-2</v>
      </c>
      <c r="AJ122" s="21">
        <v>112</v>
      </c>
      <c r="AK122" s="21">
        <v>0.46356199999999997</v>
      </c>
      <c r="AL122">
        <f t="shared" si="18"/>
        <v>17.60222222222222</v>
      </c>
      <c r="AM122">
        <f t="shared" si="19"/>
        <v>8.1677831555555542</v>
      </c>
      <c r="AP122" s="9"/>
      <c r="AQ122" s="21">
        <v>1.22604</v>
      </c>
      <c r="AR122" s="21">
        <v>24.7227</v>
      </c>
      <c r="AS122" s="21">
        <v>-1.35254E-2</v>
      </c>
      <c r="AT122" s="21">
        <v>112</v>
      </c>
      <c r="AU122" s="21">
        <v>1.2252799999999999</v>
      </c>
      <c r="AV122">
        <f t="shared" si="20"/>
        <v>16.698024691358025</v>
      </c>
      <c r="AW122">
        <f t="shared" si="21"/>
        <v>20.472446192592592</v>
      </c>
      <c r="AX122" s="9"/>
      <c r="AY122" s="21">
        <v>0.46401999999999999</v>
      </c>
      <c r="AZ122" s="21">
        <v>28.521699999999999</v>
      </c>
      <c r="BA122" s="21">
        <v>-1.41998E-2</v>
      </c>
      <c r="BB122" s="21">
        <v>112</v>
      </c>
      <c r="BC122" s="21">
        <v>0.46346999999999999</v>
      </c>
      <c r="BD122">
        <f t="shared" si="22"/>
        <v>17.530617283950615</v>
      </c>
      <c r="BE122">
        <f t="shared" si="23"/>
        <v>8.1345570320987637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6.1343500000000004</v>
      </c>
      <c r="I123" s="21">
        <v>-1.35773E-2</v>
      </c>
      <c r="J123" s="21">
        <v>113</v>
      </c>
      <c r="K123" s="21">
        <v>1.2200899999999999</v>
      </c>
      <c r="L123">
        <f t="shared" si="12"/>
        <v>16.7620987654321</v>
      </c>
      <c r="M123">
        <f t="shared" si="13"/>
        <v>20.466690213580247</v>
      </c>
      <c r="N123" s="9"/>
      <c r="O123" s="21">
        <v>0.469055</v>
      </c>
      <c r="P123" s="21">
        <v>9.9333899999999993</v>
      </c>
      <c r="Q123" s="21">
        <v>-1.42334E-2</v>
      </c>
      <c r="R123" s="21">
        <v>113</v>
      </c>
      <c r="S123" s="21">
        <v>0.468445</v>
      </c>
      <c r="T123">
        <f t="shared" si="14"/>
        <v>17.572098765432099</v>
      </c>
      <c r="U123">
        <f t="shared" si="15"/>
        <v>8.2422807864197534</v>
      </c>
      <c r="X123" s="9"/>
      <c r="Y123" s="21">
        <v>1.2210099999999999</v>
      </c>
      <c r="Z123" s="21">
        <v>15.4955</v>
      </c>
      <c r="AA123" s="21">
        <v>-1.34796E-2</v>
      </c>
      <c r="AB123" s="21">
        <v>113</v>
      </c>
      <c r="AC123" s="21">
        <v>1.2203999999999999</v>
      </c>
      <c r="AD123">
        <f t="shared" si="16"/>
        <v>16.641481481481478</v>
      </c>
      <c r="AE123">
        <f t="shared" si="17"/>
        <v>20.319415303703696</v>
      </c>
      <c r="AF123" s="9"/>
      <c r="AG123" s="21">
        <v>0.469055</v>
      </c>
      <c r="AH123" s="21">
        <v>19.294599999999999</v>
      </c>
      <c r="AI123" s="21">
        <v>-1.4263899999999999E-2</v>
      </c>
      <c r="AJ123" s="21">
        <v>113</v>
      </c>
      <c r="AK123" s="21">
        <v>0.46856700000000001</v>
      </c>
      <c r="AL123">
        <f t="shared" si="18"/>
        <v>17.609753086419751</v>
      </c>
      <c r="AM123">
        <f t="shared" si="19"/>
        <v>8.2599427339506164</v>
      </c>
      <c r="AP123" s="9"/>
      <c r="AQ123" s="21">
        <v>1.2210099999999999</v>
      </c>
      <c r="AR123" s="21">
        <v>24.732800000000001</v>
      </c>
      <c r="AS123" s="21">
        <v>-1.35406E-2</v>
      </c>
      <c r="AT123" s="21">
        <v>113</v>
      </c>
      <c r="AU123" s="21">
        <v>1.2200899999999999</v>
      </c>
      <c r="AV123">
        <f t="shared" si="20"/>
        <v>16.716790123456789</v>
      </c>
      <c r="AW123">
        <f t="shared" si="21"/>
        <v>20.411367908641974</v>
      </c>
      <c r="AX123" s="9"/>
      <c r="AY123" s="21">
        <v>0.469055</v>
      </c>
      <c r="AZ123" s="21">
        <v>28.5318</v>
      </c>
      <c r="BA123" s="21">
        <v>-1.4190700000000001E-2</v>
      </c>
      <c r="BB123" s="21">
        <v>113</v>
      </c>
      <c r="BC123" s="21">
        <v>0.46859699999999999</v>
      </c>
      <c r="BD123">
        <f t="shared" si="22"/>
        <v>17.519382716049382</v>
      </c>
      <c r="BE123">
        <f t="shared" si="23"/>
        <v>8.2175540598765426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6.1444200000000002</v>
      </c>
      <c r="I124" s="21">
        <v>-1.3589499999999999E-2</v>
      </c>
      <c r="J124" s="21">
        <v>114</v>
      </c>
      <c r="K124" s="21">
        <v>1.2149000000000001</v>
      </c>
      <c r="L124">
        <f t="shared" si="12"/>
        <v>16.777160493827161</v>
      </c>
      <c r="M124">
        <f t="shared" si="13"/>
        <v>20.400523845679011</v>
      </c>
      <c r="N124" s="9"/>
      <c r="O124" s="21">
        <v>0.47409099999999998</v>
      </c>
      <c r="P124" s="21">
        <v>9.94346</v>
      </c>
      <c r="Q124" s="21">
        <v>-1.42303E-2</v>
      </c>
      <c r="R124" s="21">
        <v>114</v>
      </c>
      <c r="S124" s="21">
        <v>0.47341899999999998</v>
      </c>
      <c r="T124">
        <f t="shared" si="14"/>
        <v>17.568271604938271</v>
      </c>
      <c r="U124">
        <f t="shared" si="15"/>
        <v>8.3289594534567897</v>
      </c>
      <c r="X124" s="9"/>
      <c r="Y124" s="21">
        <v>1.21597</v>
      </c>
      <c r="Z124" s="21">
        <v>15.505599999999999</v>
      </c>
      <c r="AA124" s="21">
        <v>-1.3473499999999999E-2</v>
      </c>
      <c r="AB124" s="21">
        <v>114</v>
      </c>
      <c r="AC124" s="21">
        <v>1.2145999999999999</v>
      </c>
      <c r="AD124">
        <f t="shared" si="16"/>
        <v>16.633950617283947</v>
      </c>
      <c r="AE124">
        <f t="shared" si="17"/>
        <v>20.22638493209876</v>
      </c>
      <c r="AF124" s="9"/>
      <c r="AG124" s="21">
        <v>0.47409099999999998</v>
      </c>
      <c r="AH124" s="21">
        <v>19.3047</v>
      </c>
      <c r="AI124" s="21">
        <v>-1.42731E-2</v>
      </c>
      <c r="AJ124" s="21">
        <v>114</v>
      </c>
      <c r="AK124" s="21">
        <v>0.47344999999999998</v>
      </c>
      <c r="AL124">
        <f t="shared" si="18"/>
        <v>17.621111111111112</v>
      </c>
      <c r="AM124">
        <f t="shared" si="19"/>
        <v>8.3540101877777779</v>
      </c>
      <c r="AP124" s="9"/>
      <c r="AQ124" s="21">
        <v>1.21597</v>
      </c>
      <c r="AR124" s="21">
        <v>24.742799999999999</v>
      </c>
      <c r="AS124" s="21">
        <v>-1.3559E-2</v>
      </c>
      <c r="AT124" s="21">
        <v>114</v>
      </c>
      <c r="AU124" s="21">
        <v>1.2152099999999999</v>
      </c>
      <c r="AV124">
        <f t="shared" si="20"/>
        <v>16.739506172839505</v>
      </c>
      <c r="AW124">
        <f t="shared" si="21"/>
        <v>20.354737320987653</v>
      </c>
      <c r="AX124" s="9"/>
      <c r="AY124" s="21">
        <v>0.47409099999999998</v>
      </c>
      <c r="AZ124" s="21">
        <v>28.541899999999998</v>
      </c>
      <c r="BA124" s="21">
        <v>-1.4175399999999999E-2</v>
      </c>
      <c r="BB124" s="21">
        <v>114</v>
      </c>
      <c r="BC124" s="21">
        <v>0.47341899999999998</v>
      </c>
      <c r="BD124">
        <f t="shared" si="22"/>
        <v>17.500493827160494</v>
      </c>
      <c r="BE124">
        <f t="shared" si="23"/>
        <v>8.2968266190123448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6.15449</v>
      </c>
      <c r="I125" s="21">
        <v>-1.3598600000000001E-2</v>
      </c>
      <c r="J125" s="21">
        <v>115</v>
      </c>
      <c r="K125" s="21">
        <v>1.2100200000000001</v>
      </c>
      <c r="L125">
        <f t="shared" si="12"/>
        <v>16.788395061728394</v>
      </c>
      <c r="M125">
        <f t="shared" si="13"/>
        <v>20.329739116049382</v>
      </c>
      <c r="N125" s="9"/>
      <c r="O125" s="21">
        <v>0.479126</v>
      </c>
      <c r="P125" s="21">
        <v>9.9535400000000003</v>
      </c>
      <c r="Q125" s="21">
        <v>-1.42303E-2</v>
      </c>
      <c r="R125" s="21">
        <v>115</v>
      </c>
      <c r="S125" s="21">
        <v>0.47848499999999999</v>
      </c>
      <c r="T125">
        <f t="shared" si="14"/>
        <v>17.568271604938271</v>
      </c>
      <c r="U125">
        <f t="shared" si="15"/>
        <v>8.4174157009876538</v>
      </c>
      <c r="X125" s="9"/>
      <c r="Y125" s="21">
        <v>1.2109399999999999</v>
      </c>
      <c r="Z125" s="21">
        <v>15.515700000000001</v>
      </c>
      <c r="AA125" s="21">
        <v>-1.34766E-2</v>
      </c>
      <c r="AB125" s="21">
        <v>115</v>
      </c>
      <c r="AC125" s="21">
        <v>1.2106300000000001</v>
      </c>
      <c r="AD125">
        <f t="shared" si="16"/>
        <v>16.637777777777774</v>
      </c>
      <c r="AE125">
        <f t="shared" si="17"/>
        <v>20.147350622222216</v>
      </c>
      <c r="AF125" s="9"/>
      <c r="AG125" s="21">
        <v>0.479126</v>
      </c>
      <c r="AH125" s="21">
        <v>19.314699999999998</v>
      </c>
      <c r="AI125" s="21">
        <v>-1.4267E-2</v>
      </c>
      <c r="AJ125" s="21">
        <v>115</v>
      </c>
      <c r="AK125" s="21">
        <v>0.47845500000000002</v>
      </c>
      <c r="AL125">
        <f t="shared" si="18"/>
        <v>17.613580246913582</v>
      </c>
      <c r="AM125">
        <f t="shared" si="19"/>
        <v>8.4391242493827168</v>
      </c>
      <c r="AP125" s="9"/>
      <c r="AQ125" s="21">
        <v>1.2109399999999999</v>
      </c>
      <c r="AR125" s="21">
        <v>24.7529</v>
      </c>
      <c r="AS125" s="21">
        <v>-1.35681E-2</v>
      </c>
      <c r="AT125" s="21">
        <v>115</v>
      </c>
      <c r="AU125" s="21">
        <v>1.2091099999999999</v>
      </c>
      <c r="AV125">
        <f t="shared" si="20"/>
        <v>16.750740740740738</v>
      </c>
      <c r="AW125">
        <f t="shared" si="21"/>
        <v>20.284141992592588</v>
      </c>
      <c r="AX125" s="9"/>
      <c r="AY125" s="21">
        <v>0.479126</v>
      </c>
      <c r="AZ125" s="21">
        <v>28.552</v>
      </c>
      <c r="BA125" s="21">
        <v>-1.41602E-2</v>
      </c>
      <c r="BB125" s="21">
        <v>115</v>
      </c>
      <c r="BC125" s="21">
        <v>0.478516</v>
      </c>
      <c r="BD125">
        <f t="shared" si="22"/>
        <v>17.481728395061729</v>
      </c>
      <c r="BE125">
        <f t="shared" si="23"/>
        <v>8.3759505990123468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6.1645599999999998</v>
      </c>
      <c r="I126" s="21">
        <v>-1.36078E-2</v>
      </c>
      <c r="J126" s="21">
        <v>116</v>
      </c>
      <c r="K126" s="21">
        <v>1.2051400000000001</v>
      </c>
      <c r="L126">
        <f t="shared" si="12"/>
        <v>16.799753086419752</v>
      </c>
      <c r="M126">
        <f t="shared" si="13"/>
        <v>20.258822246913578</v>
      </c>
      <c r="N126" s="9"/>
      <c r="O126" s="21">
        <v>0.48416100000000001</v>
      </c>
      <c r="P126" s="21">
        <v>9.9636099999999992</v>
      </c>
      <c r="Q126" s="21">
        <v>-1.42334E-2</v>
      </c>
      <c r="R126" s="21">
        <v>116</v>
      </c>
      <c r="S126" s="21">
        <v>0.48352099999999998</v>
      </c>
      <c r="T126">
        <f t="shared" si="14"/>
        <v>17.572098765432099</v>
      </c>
      <c r="U126">
        <f t="shared" si="15"/>
        <v>8.5077249103703707</v>
      </c>
      <c r="X126" s="9"/>
      <c r="Y126" s="21">
        <v>1.2059</v>
      </c>
      <c r="Z126" s="21">
        <v>15.525700000000001</v>
      </c>
      <c r="AA126" s="21">
        <v>-1.34918E-2</v>
      </c>
      <c r="AB126" s="21">
        <v>116</v>
      </c>
      <c r="AC126" s="21">
        <v>1.2048300000000001</v>
      </c>
      <c r="AD126">
        <f t="shared" si="16"/>
        <v>16.656543209876542</v>
      </c>
      <c r="AE126">
        <f t="shared" si="17"/>
        <v>20.086125456790121</v>
      </c>
      <c r="AF126" s="9"/>
      <c r="AG126" s="21">
        <v>0.48416100000000001</v>
      </c>
      <c r="AH126" s="21">
        <v>19.3248</v>
      </c>
      <c r="AI126" s="21">
        <v>-1.42548E-2</v>
      </c>
      <c r="AJ126" s="21">
        <v>116</v>
      </c>
      <c r="AK126" s="21">
        <v>0.48345900000000003</v>
      </c>
      <c r="AL126">
        <f t="shared" si="18"/>
        <v>17.598518518518517</v>
      </c>
      <c r="AM126">
        <f t="shared" si="19"/>
        <v>8.5205163244444435</v>
      </c>
      <c r="AP126" s="9"/>
      <c r="AQ126" s="21">
        <v>1.2059</v>
      </c>
      <c r="AR126" s="21">
        <v>24.763000000000002</v>
      </c>
      <c r="AS126" s="21">
        <v>-1.3583400000000001E-2</v>
      </c>
      <c r="AT126" s="21">
        <v>116</v>
      </c>
      <c r="AU126" s="21">
        <v>1.2048300000000001</v>
      </c>
      <c r="AV126">
        <f t="shared" si="20"/>
        <v>16.76962962962963</v>
      </c>
      <c r="AW126">
        <f t="shared" si="21"/>
        <v>20.222496370370372</v>
      </c>
      <c r="AX126" s="9"/>
      <c r="AY126" s="21">
        <v>0.48416100000000001</v>
      </c>
      <c r="AZ126" s="21">
        <v>28.562000000000001</v>
      </c>
      <c r="BA126" s="21">
        <v>-1.41479E-2</v>
      </c>
      <c r="BB126" s="21">
        <v>116</v>
      </c>
      <c r="BC126" s="21">
        <v>0.483429</v>
      </c>
      <c r="BD126">
        <f t="shared" si="22"/>
        <v>17.466543209876541</v>
      </c>
      <c r="BE126">
        <f t="shared" si="23"/>
        <v>8.4566190270370356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6.1746299999999996</v>
      </c>
      <c r="I127" s="21">
        <v>-1.3610799999999999E-2</v>
      </c>
      <c r="J127" s="21">
        <v>117</v>
      </c>
      <c r="K127" s="21">
        <v>1.1999500000000001</v>
      </c>
      <c r="L127">
        <f t="shared" si="12"/>
        <v>16.803456790123455</v>
      </c>
      <c r="M127">
        <f t="shared" si="13"/>
        <v>20.178767155555555</v>
      </c>
      <c r="N127" s="9"/>
      <c r="O127" s="21">
        <v>0.48919699999999999</v>
      </c>
      <c r="P127" s="21">
        <v>9.9736799999999999</v>
      </c>
      <c r="Q127" s="21">
        <v>-1.42334E-2</v>
      </c>
      <c r="R127" s="21">
        <v>117</v>
      </c>
      <c r="S127" s="21">
        <v>0.48855599999999999</v>
      </c>
      <c r="T127">
        <f t="shared" si="14"/>
        <v>17.572098765432099</v>
      </c>
      <c r="U127">
        <f t="shared" si="15"/>
        <v>8.5962179997530868</v>
      </c>
      <c r="X127" s="9"/>
      <c r="Y127" s="21">
        <v>1.2008700000000001</v>
      </c>
      <c r="Z127" s="21">
        <v>15.5358</v>
      </c>
      <c r="AA127" s="21">
        <v>-1.3510100000000001E-2</v>
      </c>
      <c r="AB127" s="21">
        <v>117</v>
      </c>
      <c r="AC127" s="21">
        <v>1.2002600000000001</v>
      </c>
      <c r="AD127">
        <f t="shared" si="16"/>
        <v>16.679135802469133</v>
      </c>
      <c r="AE127">
        <f t="shared" si="17"/>
        <v>20.02947381111111</v>
      </c>
      <c r="AF127" s="9"/>
      <c r="AG127" s="21">
        <v>0.48919699999999999</v>
      </c>
      <c r="AH127" s="21">
        <v>19.334900000000001</v>
      </c>
      <c r="AI127" s="21">
        <v>-1.4242599999999999E-2</v>
      </c>
      <c r="AJ127" s="21">
        <v>117</v>
      </c>
      <c r="AK127" s="21">
        <v>0.48858600000000002</v>
      </c>
      <c r="AL127">
        <f t="shared" si="18"/>
        <v>17.583456790123453</v>
      </c>
      <c r="AM127">
        <f t="shared" si="19"/>
        <v>8.6017743113580227</v>
      </c>
      <c r="AP127" s="9"/>
      <c r="AQ127" s="21">
        <v>1.2008700000000001</v>
      </c>
      <c r="AR127" s="21">
        <v>24.773</v>
      </c>
      <c r="AS127" s="21">
        <v>-1.3589499999999999E-2</v>
      </c>
      <c r="AT127" s="21">
        <v>117</v>
      </c>
      <c r="AU127" s="21">
        <v>1.1996500000000001</v>
      </c>
      <c r="AV127">
        <f t="shared" si="20"/>
        <v>16.777160493827161</v>
      </c>
      <c r="AW127">
        <f t="shared" si="21"/>
        <v>20.147188722222225</v>
      </c>
      <c r="AX127" s="9"/>
      <c r="AY127" s="21">
        <v>0.48919699999999999</v>
      </c>
      <c r="AZ127" s="21">
        <v>28.572099999999999</v>
      </c>
      <c r="BA127" s="21">
        <v>-1.4135699999999999E-2</v>
      </c>
      <c r="BB127" s="21">
        <v>117</v>
      </c>
      <c r="BC127" s="21">
        <v>0.48873899999999998</v>
      </c>
      <c r="BD127">
        <f t="shared" si="22"/>
        <v>17.45148148148148</v>
      </c>
      <c r="BE127">
        <f t="shared" si="23"/>
        <v>8.5372123862962948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6.1847000000000003</v>
      </c>
      <c r="I128" s="21">
        <v>-1.3623E-2</v>
      </c>
      <c r="J128" s="21">
        <v>118</v>
      </c>
      <c r="K128" s="21">
        <v>1.19476</v>
      </c>
      <c r="L128">
        <f t="shared" si="12"/>
        <v>16.818518518518516</v>
      </c>
      <c r="M128">
        <f t="shared" si="13"/>
        <v>20.112088999999997</v>
      </c>
      <c r="N128" s="9"/>
      <c r="O128" s="21">
        <v>0.494232</v>
      </c>
      <c r="P128" s="21">
        <v>9.9837500000000006</v>
      </c>
      <c r="Q128" s="21">
        <v>-1.42334E-2</v>
      </c>
      <c r="R128" s="21">
        <v>118</v>
      </c>
      <c r="S128" s="21">
        <v>0.49368299999999998</v>
      </c>
      <c r="T128">
        <f t="shared" si="14"/>
        <v>17.572098765432099</v>
      </c>
      <c r="U128">
        <f t="shared" si="15"/>
        <v>8.6846935170370365</v>
      </c>
      <c r="X128" s="9"/>
      <c r="Y128" s="21">
        <v>1.1958299999999999</v>
      </c>
      <c r="Z128" s="21">
        <v>15.5459</v>
      </c>
      <c r="AA128" s="21">
        <v>-1.3528399999999999E-2</v>
      </c>
      <c r="AB128" s="21">
        <v>118</v>
      </c>
      <c r="AC128" s="21">
        <v>1.1944600000000001</v>
      </c>
      <c r="AD128">
        <f t="shared" si="16"/>
        <v>16.701728395061725</v>
      </c>
      <c r="AE128">
        <f t="shared" si="17"/>
        <v>19.97242786666666</v>
      </c>
      <c r="AF128" s="9"/>
      <c r="AG128" s="21">
        <v>0.494232</v>
      </c>
      <c r="AH128" s="21">
        <v>19.344899999999999</v>
      </c>
      <c r="AI128" s="21">
        <v>-1.4236499999999999E-2</v>
      </c>
      <c r="AJ128" s="21">
        <v>118</v>
      </c>
      <c r="AK128" s="21">
        <v>0.49356100000000003</v>
      </c>
      <c r="AL128">
        <f t="shared" si="18"/>
        <v>17.575925925925926</v>
      </c>
      <c r="AM128">
        <f t="shared" si="19"/>
        <v>8.6865850222222232</v>
      </c>
      <c r="AP128" s="9"/>
      <c r="AQ128" s="21">
        <v>1.1958299999999999</v>
      </c>
      <c r="AR128" s="21">
        <v>24.783100000000001</v>
      </c>
      <c r="AS128" s="21">
        <v>-1.36139E-2</v>
      </c>
      <c r="AT128" s="21">
        <v>118</v>
      </c>
      <c r="AU128" s="21">
        <v>1.1950700000000001</v>
      </c>
      <c r="AV128">
        <f t="shared" si="20"/>
        <v>16.807283950617283</v>
      </c>
      <c r="AW128">
        <f t="shared" si="21"/>
        <v>20.098654366666665</v>
      </c>
      <c r="AX128" s="9"/>
      <c r="AY128" s="21">
        <v>0.494232</v>
      </c>
      <c r="AZ128" s="21">
        <v>28.5822</v>
      </c>
      <c r="BA128" s="21">
        <v>-1.4135699999999999E-2</v>
      </c>
      <c r="BB128" s="21">
        <v>118</v>
      </c>
      <c r="BC128" s="21">
        <v>0.49371300000000001</v>
      </c>
      <c r="BD128">
        <f t="shared" si="22"/>
        <v>17.45148148148148</v>
      </c>
      <c r="BE128">
        <f t="shared" si="23"/>
        <v>8.6250805955555556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6.1947700000000001</v>
      </c>
      <c r="I129" s="21">
        <v>-1.36261E-2</v>
      </c>
      <c r="J129" s="21">
        <v>119</v>
      </c>
      <c r="K129" s="21">
        <v>1.1895800000000001</v>
      </c>
      <c r="L129">
        <f t="shared" si="12"/>
        <v>16.822345679012344</v>
      </c>
      <c r="M129">
        <f t="shared" si="13"/>
        <v>20.0320492345679</v>
      </c>
      <c r="N129" s="9"/>
      <c r="O129" s="21">
        <v>0.49926799999999999</v>
      </c>
      <c r="P129" s="21">
        <v>9.9938199999999995</v>
      </c>
      <c r="Q129" s="21">
        <v>-1.42303E-2</v>
      </c>
      <c r="R129" s="21">
        <v>119</v>
      </c>
      <c r="S129" s="21">
        <v>0.49862699999999999</v>
      </c>
      <c r="T129">
        <f t="shared" si="14"/>
        <v>17.568271604938271</v>
      </c>
      <c r="U129">
        <f t="shared" si="15"/>
        <v>8.7712758276543212</v>
      </c>
      <c r="X129" s="9"/>
      <c r="Y129" s="21">
        <v>1.1908000000000001</v>
      </c>
      <c r="Z129" s="21">
        <v>15.555999999999999</v>
      </c>
      <c r="AA129" s="21">
        <v>-1.3546799999999999E-2</v>
      </c>
      <c r="AB129" s="21">
        <v>119</v>
      </c>
      <c r="AC129" s="21">
        <v>1.1901900000000001</v>
      </c>
      <c r="AD129">
        <f t="shared" si="16"/>
        <v>16.72444444444444</v>
      </c>
      <c r="AE129">
        <f t="shared" si="17"/>
        <v>19.915468444444443</v>
      </c>
      <c r="AF129" s="9"/>
      <c r="AG129" s="21">
        <v>0.49926799999999999</v>
      </c>
      <c r="AH129" s="21">
        <v>19.355</v>
      </c>
      <c r="AI129" s="21">
        <v>-1.4236499999999999E-2</v>
      </c>
      <c r="AJ129" s="21">
        <v>119</v>
      </c>
      <c r="AK129" s="21">
        <v>0.49868800000000002</v>
      </c>
      <c r="AL129">
        <f t="shared" si="18"/>
        <v>17.575925925925926</v>
      </c>
      <c r="AM129">
        <f t="shared" si="19"/>
        <v>8.7750973851851857</v>
      </c>
      <c r="AP129" s="9"/>
      <c r="AQ129" s="21">
        <v>1.1908000000000001</v>
      </c>
      <c r="AR129" s="21">
        <v>24.793199999999999</v>
      </c>
      <c r="AS129" s="21">
        <v>-1.3632200000000001E-2</v>
      </c>
      <c r="AT129" s="21">
        <v>119</v>
      </c>
      <c r="AU129" s="21">
        <v>1.18988</v>
      </c>
      <c r="AV129">
        <f t="shared" si="20"/>
        <v>16.829876543209878</v>
      </c>
      <c r="AW129">
        <f t="shared" si="21"/>
        <v>20.041016987654324</v>
      </c>
      <c r="AX129" s="9"/>
      <c r="AY129" s="21">
        <v>0.49926799999999999</v>
      </c>
      <c r="AZ129" s="21">
        <v>28.592199999999998</v>
      </c>
      <c r="BA129" s="21">
        <v>-1.41388E-2</v>
      </c>
      <c r="BB129" s="21">
        <v>119</v>
      </c>
      <c r="BC129" s="21">
        <v>0.49859599999999998</v>
      </c>
      <c r="BD129">
        <f t="shared" si="22"/>
        <v>17.455308641975307</v>
      </c>
      <c r="BE129">
        <f t="shared" si="23"/>
        <v>8.7148770350617273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6.2048399999999999</v>
      </c>
      <c r="I130" s="21">
        <v>-1.362E-2</v>
      </c>
      <c r="J130" s="21">
        <v>120</v>
      </c>
      <c r="K130" s="21">
        <v>1.18408</v>
      </c>
      <c r="L130">
        <f t="shared" si="12"/>
        <v>16.814814814814813</v>
      </c>
      <c r="M130">
        <f t="shared" si="13"/>
        <v>19.938334814814812</v>
      </c>
      <c r="N130" s="9"/>
      <c r="O130" s="21">
        <v>0.50430299999999995</v>
      </c>
      <c r="P130" s="21">
        <v>10.0039</v>
      </c>
      <c r="Q130" s="21">
        <v>-1.4218099999999999E-2</v>
      </c>
      <c r="R130" s="21">
        <v>120</v>
      </c>
      <c r="S130" s="21">
        <v>0.50375400000000004</v>
      </c>
      <c r="T130">
        <f t="shared" si="14"/>
        <v>17.553209876543207</v>
      </c>
      <c r="U130">
        <f t="shared" si="15"/>
        <v>8.8521364003703678</v>
      </c>
      <c r="X130" s="9"/>
      <c r="Y130" s="21">
        <v>1.1857599999999999</v>
      </c>
      <c r="Z130" s="21">
        <v>15.566000000000001</v>
      </c>
      <c r="AA130" s="21">
        <v>-1.3561999999999999E-2</v>
      </c>
      <c r="AB130" s="21">
        <v>120</v>
      </c>
      <c r="AC130" s="21">
        <v>1.1850000000000001</v>
      </c>
      <c r="AD130">
        <f t="shared" si="16"/>
        <v>16.743209876543208</v>
      </c>
      <c r="AE130">
        <f t="shared" si="17"/>
        <v>19.853428543209873</v>
      </c>
      <c r="AF130" s="9"/>
      <c r="AG130" s="21">
        <v>0.50430299999999995</v>
      </c>
      <c r="AH130" s="21">
        <v>19.365100000000002</v>
      </c>
      <c r="AI130" s="21">
        <v>-1.42334E-2</v>
      </c>
      <c r="AJ130" s="21">
        <v>120</v>
      </c>
      <c r="AK130" s="21">
        <v>0.50363199999999997</v>
      </c>
      <c r="AL130">
        <f t="shared" si="18"/>
        <v>17.572098765432099</v>
      </c>
      <c r="AM130">
        <f t="shared" si="19"/>
        <v>8.8616621237037023</v>
      </c>
      <c r="AP130" s="9"/>
      <c r="AQ130" s="21">
        <v>1.1857599999999999</v>
      </c>
      <c r="AR130" s="21">
        <v>24.8033</v>
      </c>
      <c r="AS130" s="21">
        <v>-1.3644399999999999E-2</v>
      </c>
      <c r="AT130" s="21">
        <v>120</v>
      </c>
      <c r="AU130" s="21">
        <v>1.1853</v>
      </c>
      <c r="AV130">
        <f t="shared" si="20"/>
        <v>16.844938271604939</v>
      </c>
      <c r="AW130">
        <f t="shared" si="21"/>
        <v>19.974054004938271</v>
      </c>
      <c r="AX130" s="9"/>
      <c r="AY130" s="21">
        <v>0.50430299999999995</v>
      </c>
      <c r="AZ130" s="21">
        <v>28.6023</v>
      </c>
      <c r="BA130" s="21">
        <v>-1.4157100000000001E-2</v>
      </c>
      <c r="BB130" s="21">
        <v>120</v>
      </c>
      <c r="BC130" s="21">
        <v>0.50372300000000003</v>
      </c>
      <c r="BD130">
        <f t="shared" si="22"/>
        <v>17.477901234567902</v>
      </c>
      <c r="BE130">
        <f t="shared" si="23"/>
        <v>8.8141580262962957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6.2149099999999997</v>
      </c>
      <c r="I131" s="21">
        <v>-1.36261E-2</v>
      </c>
      <c r="J131" s="21">
        <v>121</v>
      </c>
      <c r="K131" s="21">
        <v>1.17981</v>
      </c>
      <c r="L131">
        <f t="shared" si="12"/>
        <v>16.822345679012344</v>
      </c>
      <c r="M131">
        <f t="shared" si="13"/>
        <v>19.862648213580247</v>
      </c>
      <c r="N131" s="9"/>
      <c r="O131" s="21">
        <v>0.50933799999999996</v>
      </c>
      <c r="P131" s="21">
        <v>10.013999999999999</v>
      </c>
      <c r="Q131" s="21">
        <v>-1.42151E-2</v>
      </c>
      <c r="R131" s="21">
        <v>121</v>
      </c>
      <c r="S131" s="21">
        <v>0.50863599999999998</v>
      </c>
      <c r="T131">
        <f t="shared" si="14"/>
        <v>17.549506172839507</v>
      </c>
      <c r="U131">
        <f t="shared" si="15"/>
        <v>8.9386303750617273</v>
      </c>
      <c r="X131" s="9"/>
      <c r="Y131" s="21">
        <v>1.1807300000000001</v>
      </c>
      <c r="Z131" s="21">
        <v>15.5761</v>
      </c>
      <c r="AA131" s="21">
        <v>-1.35773E-2</v>
      </c>
      <c r="AB131" s="21">
        <v>121</v>
      </c>
      <c r="AC131" s="21">
        <v>1.1807300000000001</v>
      </c>
      <c r="AD131">
        <f t="shared" si="16"/>
        <v>16.7620987654321</v>
      </c>
      <c r="AE131">
        <f t="shared" si="17"/>
        <v>19.791512875308644</v>
      </c>
      <c r="AF131" s="9"/>
      <c r="AG131" s="21">
        <v>0.50933799999999996</v>
      </c>
      <c r="AH131" s="21">
        <v>19.3751</v>
      </c>
      <c r="AI131" s="21">
        <v>-1.4218099999999999E-2</v>
      </c>
      <c r="AJ131" s="21">
        <v>121</v>
      </c>
      <c r="AK131" s="21">
        <v>0.50869799999999998</v>
      </c>
      <c r="AL131">
        <f t="shared" si="18"/>
        <v>17.553209876543207</v>
      </c>
      <c r="AM131">
        <f t="shared" si="19"/>
        <v>8.9405168120987639</v>
      </c>
      <c r="AP131" s="9"/>
      <c r="AQ131" s="21">
        <v>1.1807300000000001</v>
      </c>
      <c r="AR131" s="21">
        <v>24.813300000000002</v>
      </c>
      <c r="AS131" s="21">
        <v>-1.36475E-2</v>
      </c>
      <c r="AT131" s="21">
        <v>121</v>
      </c>
      <c r="AU131" s="21">
        <v>1.18011</v>
      </c>
      <c r="AV131">
        <f t="shared" si="20"/>
        <v>16.848765432098766</v>
      </c>
      <c r="AW131">
        <f t="shared" si="21"/>
        <v>19.893842808641978</v>
      </c>
      <c r="AX131" s="9"/>
      <c r="AY131" s="21">
        <v>0.50933799999999996</v>
      </c>
      <c r="AZ131" s="21">
        <v>28.612400000000001</v>
      </c>
      <c r="BA131" s="21">
        <v>-1.41479E-2</v>
      </c>
      <c r="BB131" s="21">
        <v>121</v>
      </c>
      <c r="BC131" s="21">
        <v>0.50869799999999998</v>
      </c>
      <c r="BD131">
        <f t="shared" si="22"/>
        <v>17.466543209876541</v>
      </c>
      <c r="BE131">
        <f t="shared" si="23"/>
        <v>8.8963741854320961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6.2249800000000004</v>
      </c>
      <c r="I132" s="21">
        <v>-1.3632200000000001E-2</v>
      </c>
      <c r="J132" s="21">
        <v>122</v>
      </c>
      <c r="K132" s="21">
        <v>1.17432</v>
      </c>
      <c r="L132">
        <f t="shared" si="12"/>
        <v>16.829876543209878</v>
      </c>
      <c r="M132">
        <f t="shared" si="13"/>
        <v>19.786717553086419</v>
      </c>
      <c r="N132" s="9"/>
      <c r="O132" s="21">
        <v>0.514374</v>
      </c>
      <c r="P132" s="21">
        <v>10.023999999999999</v>
      </c>
      <c r="Q132" s="21">
        <v>-1.4224199999999999E-2</v>
      </c>
      <c r="R132" s="21">
        <v>122</v>
      </c>
      <c r="S132" s="21">
        <v>0.51367200000000002</v>
      </c>
      <c r="T132">
        <f t="shared" si="14"/>
        <v>17.560740740740737</v>
      </c>
      <c r="U132">
        <f t="shared" si="15"/>
        <v>9.0327884577777766</v>
      </c>
      <c r="X132" s="9"/>
      <c r="Y132" s="21">
        <v>1.1756899999999999</v>
      </c>
      <c r="Z132" s="21">
        <v>15.5862</v>
      </c>
      <c r="AA132" s="21">
        <v>-1.3598600000000001E-2</v>
      </c>
      <c r="AB132" s="21">
        <v>122</v>
      </c>
      <c r="AC132" s="21">
        <v>1.17493</v>
      </c>
      <c r="AD132">
        <f t="shared" si="16"/>
        <v>16.788395061728394</v>
      </c>
      <c r="AE132">
        <f t="shared" si="17"/>
        <v>19.737948190123454</v>
      </c>
      <c r="AF132" s="9"/>
      <c r="AG132" s="21">
        <v>0.514374</v>
      </c>
      <c r="AH132" s="21">
        <v>19.385200000000001</v>
      </c>
      <c r="AI132" s="21">
        <v>-1.42059E-2</v>
      </c>
      <c r="AJ132" s="21">
        <v>122</v>
      </c>
      <c r="AK132" s="21">
        <v>0.513733</v>
      </c>
      <c r="AL132">
        <f t="shared" si="18"/>
        <v>17.538148148148146</v>
      </c>
      <c r="AM132">
        <f t="shared" si="19"/>
        <v>9.0211674155555546</v>
      </c>
      <c r="AP132" s="9"/>
      <c r="AQ132" s="21">
        <v>1.1756899999999999</v>
      </c>
      <c r="AR132" s="21">
        <v>24.823399999999999</v>
      </c>
      <c r="AS132" s="21">
        <v>-1.36566E-2</v>
      </c>
      <c r="AT132" s="21">
        <v>122</v>
      </c>
      <c r="AU132" s="21">
        <v>1.17493</v>
      </c>
      <c r="AV132">
        <f t="shared" si="20"/>
        <v>16.86</v>
      </c>
      <c r="AW132">
        <f t="shared" si="21"/>
        <v>19.822133399999998</v>
      </c>
      <c r="AX132" s="9"/>
      <c r="AY132" s="21">
        <v>0.514374</v>
      </c>
      <c r="AZ132" s="21">
        <v>28.622399999999999</v>
      </c>
      <c r="BA132" s="21">
        <v>-1.41449E-2</v>
      </c>
      <c r="BB132" s="21">
        <v>122</v>
      </c>
      <c r="BC132" s="21">
        <v>0.513733</v>
      </c>
      <c r="BD132">
        <f t="shared" si="22"/>
        <v>17.462839506172838</v>
      </c>
      <c r="BE132">
        <f t="shared" si="23"/>
        <v>8.9824306081481478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6.2350599999999998</v>
      </c>
      <c r="I133" s="21">
        <v>-1.3629199999999999E-2</v>
      </c>
      <c r="J133" s="21">
        <v>123</v>
      </c>
      <c r="K133" s="21">
        <v>1.16943</v>
      </c>
      <c r="L133">
        <f t="shared" si="12"/>
        <v>16.826172839506171</v>
      </c>
      <c r="M133">
        <f t="shared" si="13"/>
        <v>19.697559234567898</v>
      </c>
      <c r="N133" s="9"/>
      <c r="O133" s="21">
        <v>0.51940900000000001</v>
      </c>
      <c r="P133" s="21">
        <v>10.0341</v>
      </c>
      <c r="Q133" s="21">
        <v>-1.4224199999999999E-2</v>
      </c>
      <c r="R133" s="21">
        <v>123</v>
      </c>
      <c r="S133" s="21">
        <v>0.51876800000000001</v>
      </c>
      <c r="T133">
        <f t="shared" si="14"/>
        <v>17.560740740740737</v>
      </c>
      <c r="U133">
        <f t="shared" si="15"/>
        <v>9.1212067874074059</v>
      </c>
      <c r="X133" s="9"/>
      <c r="Y133" s="21">
        <v>1.17065</v>
      </c>
      <c r="Z133" s="21">
        <v>15.5962</v>
      </c>
      <c r="AA133" s="21">
        <v>-1.3610799999999999E-2</v>
      </c>
      <c r="AB133" s="21">
        <v>123</v>
      </c>
      <c r="AC133" s="21">
        <v>1.16913</v>
      </c>
      <c r="AD133">
        <f t="shared" si="16"/>
        <v>16.803456790123455</v>
      </c>
      <c r="AE133">
        <f t="shared" si="17"/>
        <v>19.670966691358021</v>
      </c>
      <c r="AF133" s="9"/>
      <c r="AG133" s="21">
        <v>0.51940900000000001</v>
      </c>
      <c r="AH133" s="21">
        <v>19.395299999999999</v>
      </c>
      <c r="AI133" s="21">
        <v>-1.4196800000000001E-2</v>
      </c>
      <c r="AJ133" s="21">
        <v>123</v>
      </c>
      <c r="AK133" s="21">
        <v>0.51858499999999996</v>
      </c>
      <c r="AL133">
        <f t="shared" si="18"/>
        <v>17.526913580246916</v>
      </c>
      <c r="AM133">
        <f t="shared" si="19"/>
        <v>9.1036366558024699</v>
      </c>
      <c r="AP133" s="9"/>
      <c r="AQ133" s="21">
        <v>1.17065</v>
      </c>
      <c r="AR133" s="21">
        <v>24.833500000000001</v>
      </c>
      <c r="AS133" s="21">
        <v>-1.36627E-2</v>
      </c>
      <c r="AT133" s="21">
        <v>123</v>
      </c>
      <c r="AU133" s="21">
        <v>1.16974</v>
      </c>
      <c r="AV133">
        <f t="shared" si="20"/>
        <v>16.86753086419753</v>
      </c>
      <c r="AW133">
        <f t="shared" si="21"/>
        <v>19.745975006172838</v>
      </c>
      <c r="AX133" s="9"/>
      <c r="AY133" s="21">
        <v>0.51940900000000001</v>
      </c>
      <c r="AZ133" s="21">
        <v>28.6325</v>
      </c>
      <c r="BA133" s="21">
        <v>-1.41418E-2</v>
      </c>
      <c r="BB133" s="21">
        <v>123</v>
      </c>
      <c r="BC133" s="21">
        <v>0.51873800000000003</v>
      </c>
      <c r="BD133">
        <f t="shared" si="22"/>
        <v>17.45901234567901</v>
      </c>
      <c r="BE133">
        <f t="shared" si="23"/>
        <v>9.0683681434567891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6.2451299999999996</v>
      </c>
      <c r="I134" s="21">
        <v>-1.3629199999999999E-2</v>
      </c>
      <c r="J134" s="21">
        <v>124</v>
      </c>
      <c r="K134" s="21">
        <v>1.16486</v>
      </c>
      <c r="L134">
        <f t="shared" si="12"/>
        <v>16.826172839506171</v>
      </c>
      <c r="M134">
        <f t="shared" si="13"/>
        <v>19.612923585185186</v>
      </c>
      <c r="N134" s="9"/>
      <c r="O134" s="21">
        <v>0.52444500000000005</v>
      </c>
      <c r="P134" s="21">
        <v>10.0442</v>
      </c>
      <c r="Q134" s="21">
        <v>-1.4224199999999999E-2</v>
      </c>
      <c r="R134" s="21">
        <v>124</v>
      </c>
      <c r="S134" s="21">
        <v>0.52374299999999996</v>
      </c>
      <c r="T134">
        <f t="shared" si="14"/>
        <v>17.560740740740737</v>
      </c>
      <c r="U134">
        <f t="shared" si="15"/>
        <v>9.2096426777777776</v>
      </c>
      <c r="X134" s="9"/>
      <c r="Y134" s="21">
        <v>1.1656200000000001</v>
      </c>
      <c r="Z134" s="21">
        <v>15.606299999999999</v>
      </c>
      <c r="AA134" s="21">
        <v>-1.3629199999999999E-2</v>
      </c>
      <c r="AB134" s="21">
        <v>124</v>
      </c>
      <c r="AC134" s="21">
        <v>1.16486</v>
      </c>
      <c r="AD134">
        <f t="shared" si="16"/>
        <v>16.826172839506171</v>
      </c>
      <c r="AE134">
        <f t="shared" si="17"/>
        <v>19.612923585185186</v>
      </c>
      <c r="AF134" s="9"/>
      <c r="AG134" s="21">
        <v>0.52444500000000005</v>
      </c>
      <c r="AH134" s="21">
        <v>19.4054</v>
      </c>
      <c r="AI134" s="21">
        <v>-1.4190700000000001E-2</v>
      </c>
      <c r="AJ134" s="21">
        <v>124</v>
      </c>
      <c r="AK134" s="21">
        <v>0.52374299999999996</v>
      </c>
      <c r="AL134">
        <f t="shared" si="18"/>
        <v>17.519382716049382</v>
      </c>
      <c r="AM134">
        <f t="shared" si="19"/>
        <v>9.1879526685185198</v>
      </c>
      <c r="AP134" s="9"/>
      <c r="AQ134" s="21">
        <v>1.1656200000000001</v>
      </c>
      <c r="AR134" s="21">
        <v>24.843499999999999</v>
      </c>
      <c r="AS134" s="21">
        <v>-1.36627E-2</v>
      </c>
      <c r="AT134" s="21">
        <v>124</v>
      </c>
      <c r="AU134" s="21">
        <v>1.16455</v>
      </c>
      <c r="AV134">
        <f t="shared" si="20"/>
        <v>16.86753086419753</v>
      </c>
      <c r="AW134">
        <f t="shared" si="21"/>
        <v>19.661131325925925</v>
      </c>
      <c r="AX134" s="9"/>
      <c r="AY134" s="21">
        <v>0.52444500000000005</v>
      </c>
      <c r="AZ134" s="21">
        <v>28.642600000000002</v>
      </c>
      <c r="BA134" s="21">
        <v>-1.41479E-2</v>
      </c>
      <c r="BB134" s="21">
        <v>124</v>
      </c>
      <c r="BC134" s="21">
        <v>0.52374299999999996</v>
      </c>
      <c r="BD134">
        <f t="shared" si="22"/>
        <v>17.466543209876541</v>
      </c>
      <c r="BE134">
        <f t="shared" si="23"/>
        <v>9.1602412537037026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6.2552000000000003</v>
      </c>
      <c r="I135" s="21">
        <v>-1.3629199999999999E-2</v>
      </c>
      <c r="J135" s="21">
        <v>125</v>
      </c>
      <c r="K135" s="21">
        <v>1.16028</v>
      </c>
      <c r="L135">
        <f t="shared" si="12"/>
        <v>16.826172839506171</v>
      </c>
      <c r="M135">
        <f t="shared" si="13"/>
        <v>19.52811967407407</v>
      </c>
      <c r="N135" s="9"/>
      <c r="O135" s="21">
        <v>0.52947999999999995</v>
      </c>
      <c r="P135" s="21">
        <v>10.0542</v>
      </c>
      <c r="Q135" s="21">
        <v>-1.42151E-2</v>
      </c>
      <c r="R135" s="21">
        <v>125</v>
      </c>
      <c r="S135" s="21">
        <v>0.528748</v>
      </c>
      <c r="T135">
        <f t="shared" si="14"/>
        <v>17.549506172839507</v>
      </c>
      <c r="U135">
        <f t="shared" si="15"/>
        <v>9.2921125283950605</v>
      </c>
      <c r="X135" s="9"/>
      <c r="Y135" s="21">
        <v>1.1605799999999999</v>
      </c>
      <c r="Z135" s="21">
        <v>15.616400000000001</v>
      </c>
      <c r="AA135" s="21">
        <v>-1.3629199999999999E-2</v>
      </c>
      <c r="AB135" s="21">
        <v>125</v>
      </c>
      <c r="AC135" s="21">
        <v>1.1593599999999999</v>
      </c>
      <c r="AD135">
        <f t="shared" si="16"/>
        <v>16.826172839506171</v>
      </c>
      <c r="AE135">
        <f t="shared" si="17"/>
        <v>19.52811967407407</v>
      </c>
      <c r="AF135" s="9"/>
      <c r="AG135" s="21">
        <v>0.52947999999999995</v>
      </c>
      <c r="AH135" s="21">
        <v>19.415400000000002</v>
      </c>
      <c r="AI135" s="21">
        <v>-1.4196800000000001E-2</v>
      </c>
      <c r="AJ135" s="21">
        <v>125</v>
      </c>
      <c r="AK135" s="21">
        <v>0.528748</v>
      </c>
      <c r="AL135">
        <f t="shared" si="18"/>
        <v>17.526913580246916</v>
      </c>
      <c r="AM135">
        <f t="shared" si="19"/>
        <v>9.2801502024691356</v>
      </c>
      <c r="AP135" s="9"/>
      <c r="AQ135" s="21">
        <v>1.1605799999999999</v>
      </c>
      <c r="AR135" s="21">
        <v>24.8536</v>
      </c>
      <c r="AS135" s="21">
        <v>-1.3671900000000001E-2</v>
      </c>
      <c r="AT135" s="21">
        <v>125</v>
      </c>
      <c r="AU135" s="21">
        <v>1.1599699999999999</v>
      </c>
      <c r="AV135">
        <f t="shared" si="20"/>
        <v>16.878888888888888</v>
      </c>
      <c r="AW135">
        <f t="shared" si="21"/>
        <v>19.589300866666665</v>
      </c>
      <c r="AX135" s="9"/>
      <c r="AY135" s="21">
        <v>0.52947999999999995</v>
      </c>
      <c r="AZ135" s="21">
        <v>28.652699999999999</v>
      </c>
      <c r="BA135" s="21">
        <v>-1.41449E-2</v>
      </c>
      <c r="BB135" s="21">
        <v>125</v>
      </c>
      <c r="BC135" s="21">
        <v>0.52865600000000001</v>
      </c>
      <c r="BD135">
        <f t="shared" si="22"/>
        <v>17.462839506172838</v>
      </c>
      <c r="BE135">
        <f t="shared" si="23"/>
        <v>9.2462242617283934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6.2652700000000001</v>
      </c>
      <c r="I136" s="21">
        <v>-1.3623E-2</v>
      </c>
      <c r="J136" s="21">
        <v>126</v>
      </c>
      <c r="K136" s="21">
        <v>1.15448</v>
      </c>
      <c r="L136">
        <f t="shared" si="12"/>
        <v>16.818518518518516</v>
      </c>
      <c r="M136">
        <f t="shared" si="13"/>
        <v>19.434639074074074</v>
      </c>
      <c r="N136" s="9"/>
      <c r="O136" s="21">
        <v>0.53451499999999996</v>
      </c>
      <c r="P136" s="21">
        <v>10.064299999999999</v>
      </c>
      <c r="Q136" s="21">
        <v>-1.4196800000000001E-2</v>
      </c>
      <c r="R136" s="21">
        <v>126</v>
      </c>
      <c r="S136" s="21">
        <v>0.53387499999999999</v>
      </c>
      <c r="T136">
        <f t="shared" si="14"/>
        <v>17.526913580246916</v>
      </c>
      <c r="U136">
        <f t="shared" si="15"/>
        <v>9.3683982123456797</v>
      </c>
      <c r="X136" s="9"/>
      <c r="Y136" s="21">
        <v>1.1555500000000001</v>
      </c>
      <c r="Z136" s="21">
        <v>15.6265</v>
      </c>
      <c r="AA136" s="21">
        <v>-1.3632200000000001E-2</v>
      </c>
      <c r="AB136" s="21">
        <v>126</v>
      </c>
      <c r="AC136" s="21">
        <v>1.15448</v>
      </c>
      <c r="AD136">
        <f t="shared" si="16"/>
        <v>16.829876543209878</v>
      </c>
      <c r="AE136">
        <f t="shared" si="17"/>
        <v>19.447763839506177</v>
      </c>
      <c r="AF136" s="9"/>
      <c r="AG136" s="21">
        <v>0.53451499999999996</v>
      </c>
      <c r="AH136" s="21">
        <v>19.4255</v>
      </c>
      <c r="AI136" s="21">
        <v>-1.4190700000000001E-2</v>
      </c>
      <c r="AJ136" s="21">
        <v>126</v>
      </c>
      <c r="AK136" s="21">
        <v>0.53372200000000003</v>
      </c>
      <c r="AL136">
        <f t="shared" si="18"/>
        <v>17.519382716049382</v>
      </c>
      <c r="AM136">
        <f t="shared" si="19"/>
        <v>9.3643728524691348</v>
      </c>
      <c r="AP136" s="9"/>
      <c r="AQ136" s="21">
        <v>1.1555500000000001</v>
      </c>
      <c r="AR136" s="21">
        <v>24.863700000000001</v>
      </c>
      <c r="AS136" s="21">
        <v>-1.3681E-2</v>
      </c>
      <c r="AT136" s="21">
        <v>126</v>
      </c>
      <c r="AU136" s="21">
        <v>1.1541699999999999</v>
      </c>
      <c r="AV136">
        <f t="shared" si="20"/>
        <v>16.890123456790121</v>
      </c>
      <c r="AW136">
        <f t="shared" si="21"/>
        <v>19.517382160493828</v>
      </c>
      <c r="AX136" s="9"/>
      <c r="AY136" s="21">
        <v>0.53451499999999996</v>
      </c>
      <c r="AZ136" s="21">
        <v>28.662700000000001</v>
      </c>
      <c r="BA136" s="21">
        <v>-1.41418E-2</v>
      </c>
      <c r="BB136" s="21">
        <v>126</v>
      </c>
      <c r="BC136" s="21">
        <v>0.53387499999999999</v>
      </c>
      <c r="BD136">
        <f t="shared" si="22"/>
        <v>17.45901234567901</v>
      </c>
      <c r="BE136">
        <f t="shared" si="23"/>
        <v>9.3321039839506152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6.2753399999999999</v>
      </c>
      <c r="I137" s="21">
        <v>-1.3623E-2</v>
      </c>
      <c r="J137" s="21">
        <v>127</v>
      </c>
      <c r="K137" s="21">
        <v>1.1498999999999999</v>
      </c>
      <c r="L137">
        <f t="shared" si="12"/>
        <v>16.818518518518516</v>
      </c>
      <c r="M137">
        <f t="shared" si="13"/>
        <v>19.349873740740737</v>
      </c>
      <c r="N137" s="9"/>
      <c r="O137" s="21">
        <v>0.539551</v>
      </c>
      <c r="P137" s="21">
        <v>10.074400000000001</v>
      </c>
      <c r="Q137" s="21">
        <v>-1.4190700000000001E-2</v>
      </c>
      <c r="R137" s="21">
        <v>127</v>
      </c>
      <c r="S137" s="21">
        <v>0.53881800000000002</v>
      </c>
      <c r="T137">
        <f t="shared" si="14"/>
        <v>17.519382716049382</v>
      </c>
      <c r="U137">
        <f t="shared" si="15"/>
        <v>9.4526004638271601</v>
      </c>
      <c r="X137" s="9"/>
      <c r="Y137" s="21">
        <v>1.1505099999999999</v>
      </c>
      <c r="Z137" s="21">
        <v>15.6365</v>
      </c>
      <c r="AA137" s="21">
        <v>-1.36261E-2</v>
      </c>
      <c r="AB137" s="21">
        <v>127</v>
      </c>
      <c r="AC137" s="21">
        <v>1.1492899999999999</v>
      </c>
      <c r="AD137">
        <f t="shared" si="16"/>
        <v>16.822345679012344</v>
      </c>
      <c r="AE137">
        <f t="shared" si="17"/>
        <v>19.354276927160491</v>
      </c>
      <c r="AF137" s="9"/>
      <c r="AG137" s="21">
        <v>0.539551</v>
      </c>
      <c r="AH137" s="21">
        <v>19.435600000000001</v>
      </c>
      <c r="AI137" s="21">
        <v>-1.41815E-2</v>
      </c>
      <c r="AJ137" s="21">
        <v>127</v>
      </c>
      <c r="AK137" s="21">
        <v>0.538879</v>
      </c>
      <c r="AL137">
        <f t="shared" si="18"/>
        <v>17.508024691358024</v>
      </c>
      <c r="AM137">
        <f t="shared" si="19"/>
        <v>9.4464722302469131</v>
      </c>
      <c r="AP137" s="9"/>
      <c r="AQ137" s="21">
        <v>1.1505099999999999</v>
      </c>
      <c r="AR137" s="21">
        <v>24.873799999999999</v>
      </c>
      <c r="AS137" s="21">
        <v>-1.36902E-2</v>
      </c>
      <c r="AT137" s="21">
        <v>127</v>
      </c>
      <c r="AU137" s="21">
        <v>1.1498999999999999</v>
      </c>
      <c r="AV137">
        <f t="shared" si="20"/>
        <v>16.901481481481479</v>
      </c>
      <c r="AW137">
        <f t="shared" si="21"/>
        <v>19.445323459259257</v>
      </c>
      <c r="AX137" s="9"/>
      <c r="AY137" s="21">
        <v>0.539551</v>
      </c>
      <c r="AZ137" s="21">
        <v>28.672799999999999</v>
      </c>
      <c r="BA137" s="21">
        <v>-1.41418E-2</v>
      </c>
      <c r="BB137" s="21">
        <v>127</v>
      </c>
      <c r="BC137" s="21">
        <v>0.538879</v>
      </c>
      <c r="BD137">
        <f t="shared" si="22"/>
        <v>17.45901234567901</v>
      </c>
      <c r="BE137">
        <f t="shared" si="23"/>
        <v>9.4200275701234553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6.2854099999999997</v>
      </c>
      <c r="I138" s="21">
        <v>-1.3629199999999999E-2</v>
      </c>
      <c r="J138" s="21">
        <v>128</v>
      </c>
      <c r="K138" s="21">
        <v>1.1447099999999999</v>
      </c>
      <c r="L138">
        <f t="shared" si="12"/>
        <v>16.826172839506171</v>
      </c>
      <c r="M138">
        <f t="shared" si="13"/>
        <v>19.27404446419753</v>
      </c>
      <c r="N138" s="9"/>
      <c r="O138" s="21">
        <v>0.54458600000000001</v>
      </c>
      <c r="P138" s="21">
        <v>10.0845</v>
      </c>
      <c r="Q138" s="21">
        <v>-1.4175399999999999E-2</v>
      </c>
      <c r="R138" s="21">
        <v>128</v>
      </c>
      <c r="S138" s="21">
        <v>0.54391500000000004</v>
      </c>
      <c r="T138">
        <f t="shared" si="14"/>
        <v>17.500493827160494</v>
      </c>
      <c r="U138">
        <f t="shared" si="15"/>
        <v>9.5305239313580241</v>
      </c>
      <c r="X138" s="9"/>
      <c r="Y138" s="21">
        <v>1.1454800000000001</v>
      </c>
      <c r="Z138" s="21">
        <v>15.646599999999999</v>
      </c>
      <c r="AA138" s="21">
        <v>-1.3638300000000001E-2</v>
      </c>
      <c r="AB138" s="21">
        <v>128</v>
      </c>
      <c r="AC138" s="21">
        <v>1.1453199999999999</v>
      </c>
      <c r="AD138">
        <f t="shared" si="16"/>
        <v>16.837407407407408</v>
      </c>
      <c r="AE138">
        <f t="shared" si="17"/>
        <v>19.28691343703704</v>
      </c>
      <c r="AF138" s="9"/>
      <c r="AG138" s="21">
        <v>0.54458600000000001</v>
      </c>
      <c r="AH138" s="21">
        <v>19.445599999999999</v>
      </c>
      <c r="AI138" s="21">
        <v>-1.41785E-2</v>
      </c>
      <c r="AJ138" s="21">
        <v>128</v>
      </c>
      <c r="AK138" s="21">
        <v>0.54394500000000001</v>
      </c>
      <c r="AL138">
        <f t="shared" si="18"/>
        <v>17.504320987654321</v>
      </c>
      <c r="AM138">
        <f t="shared" si="19"/>
        <v>9.5326081493827157</v>
      </c>
      <c r="AP138" s="9"/>
      <c r="AQ138" s="21">
        <v>1.1454800000000001</v>
      </c>
      <c r="AR138" s="21">
        <v>24.883800000000001</v>
      </c>
      <c r="AS138" s="21">
        <v>-1.37024E-2</v>
      </c>
      <c r="AT138" s="21">
        <v>128</v>
      </c>
      <c r="AU138" s="21">
        <v>1.1444099999999999</v>
      </c>
      <c r="AV138">
        <f t="shared" si="20"/>
        <v>16.916543209876544</v>
      </c>
      <c r="AW138">
        <f t="shared" si="21"/>
        <v>19.377561916049384</v>
      </c>
      <c r="AX138" s="9"/>
      <c r="AY138" s="21">
        <v>0.54458600000000001</v>
      </c>
      <c r="AZ138" s="21">
        <v>28.6829</v>
      </c>
      <c r="BA138" s="21">
        <v>-1.4123500000000001E-2</v>
      </c>
      <c r="BB138" s="21">
        <v>128</v>
      </c>
      <c r="BC138" s="21">
        <v>0.54400599999999999</v>
      </c>
      <c r="BD138">
        <f t="shared" si="22"/>
        <v>17.436419753086419</v>
      </c>
      <c r="BE138">
        <f t="shared" si="23"/>
        <v>9.4956300876543214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6.2954800000000004</v>
      </c>
      <c r="I139" s="21">
        <v>-1.3650499999999999E-2</v>
      </c>
      <c r="J139" s="21">
        <v>129</v>
      </c>
      <c r="K139" s="21">
        <v>1.1395299999999999</v>
      </c>
      <c r="L139">
        <f t="shared" si="12"/>
        <v>16.852469135802469</v>
      </c>
      <c r="M139">
        <f t="shared" si="13"/>
        <v>19.219229901234566</v>
      </c>
      <c r="N139" s="9"/>
      <c r="O139" s="21">
        <v>0.54962200000000005</v>
      </c>
      <c r="P139" s="21">
        <v>10.0945</v>
      </c>
      <c r="Q139" s="21">
        <v>-1.41785E-2</v>
      </c>
      <c r="R139" s="21">
        <v>129</v>
      </c>
      <c r="S139" s="21">
        <v>0.54898100000000005</v>
      </c>
      <c r="T139">
        <f t="shared" si="14"/>
        <v>17.504320987654321</v>
      </c>
      <c r="U139">
        <f t="shared" si="15"/>
        <v>9.6207599098765435</v>
      </c>
      <c r="X139" s="9"/>
      <c r="Y139" s="21">
        <v>1.1404399999999999</v>
      </c>
      <c r="Z139" s="21">
        <v>15.656700000000001</v>
      </c>
      <c r="AA139" s="21">
        <v>-1.3650499999999999E-2</v>
      </c>
      <c r="AB139" s="21">
        <v>129</v>
      </c>
      <c r="AC139" s="21">
        <v>1.1398299999999999</v>
      </c>
      <c r="AD139">
        <f t="shared" si="16"/>
        <v>16.852469135802469</v>
      </c>
      <c r="AE139">
        <f t="shared" si="17"/>
        <v>19.219229901234566</v>
      </c>
      <c r="AF139" s="9"/>
      <c r="AG139" s="21">
        <v>0.54962200000000005</v>
      </c>
      <c r="AH139" s="21">
        <v>19.4557</v>
      </c>
      <c r="AI139" s="21">
        <v>-1.41663E-2</v>
      </c>
      <c r="AJ139" s="21">
        <v>129</v>
      </c>
      <c r="AK139" s="21">
        <v>0.54879800000000001</v>
      </c>
      <c r="AL139">
        <f t="shared" si="18"/>
        <v>17.489259259259256</v>
      </c>
      <c r="AM139">
        <f t="shared" si="19"/>
        <v>9.6124816525925922</v>
      </c>
      <c r="AP139" s="9"/>
      <c r="AQ139" s="21">
        <v>1.1404399999999999</v>
      </c>
      <c r="AR139" s="21">
        <v>24.893899999999999</v>
      </c>
      <c r="AS139" s="21">
        <v>-1.3726800000000001E-2</v>
      </c>
      <c r="AT139" s="21">
        <v>129</v>
      </c>
      <c r="AU139" s="21">
        <v>1.1398299999999999</v>
      </c>
      <c r="AV139">
        <f t="shared" si="20"/>
        <v>16.946666666666665</v>
      </c>
      <c r="AW139">
        <f t="shared" si="21"/>
        <v>19.326656533333331</v>
      </c>
      <c r="AX139" s="9"/>
      <c r="AY139" s="21">
        <v>0.54962200000000005</v>
      </c>
      <c r="AZ139" s="21">
        <v>28.692900000000002</v>
      </c>
      <c r="BA139" s="21">
        <v>-1.41113E-2</v>
      </c>
      <c r="BB139" s="21">
        <v>129</v>
      </c>
      <c r="BC139" s="21">
        <v>0.54898100000000005</v>
      </c>
      <c r="BD139">
        <f t="shared" si="22"/>
        <v>17.421358024691358</v>
      </c>
      <c r="BE139">
        <f t="shared" si="23"/>
        <v>9.5751616402469146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6.3055500000000002</v>
      </c>
      <c r="I140" s="21">
        <v>-1.3665800000000001E-2</v>
      </c>
      <c r="J140" s="21">
        <v>130</v>
      </c>
      <c r="K140" s="21">
        <v>1.1343399999999999</v>
      </c>
      <c r="L140">
        <f t="shared" ref="L140:L203" si="24">-I140/$F$2*1000</f>
        <v>16.871358024691357</v>
      </c>
      <c r="M140">
        <f t="shared" ref="M140:M203" si="25">L140*G140</f>
        <v>19.155908614814816</v>
      </c>
      <c r="N140" s="9"/>
      <c r="O140" s="21">
        <v>0.55465699999999996</v>
      </c>
      <c r="P140" s="21">
        <v>10.1046</v>
      </c>
      <c r="Q140" s="21">
        <v>-1.41846E-2</v>
      </c>
      <c r="R140" s="21">
        <v>130</v>
      </c>
      <c r="S140" s="21">
        <v>0.55407700000000004</v>
      </c>
      <c r="T140">
        <f t="shared" ref="T140:T203" si="26">-Q140/$F$2*1000</f>
        <v>17.511851851851851</v>
      </c>
      <c r="U140">
        <f t="shared" ref="U140:U203" si="27">T140*O140</f>
        <v>9.7130712125925918</v>
      </c>
      <c r="X140" s="9"/>
      <c r="Y140" s="21">
        <v>1.13541</v>
      </c>
      <c r="Z140" s="21">
        <v>15.666700000000001</v>
      </c>
      <c r="AA140" s="21">
        <v>-1.36627E-2</v>
      </c>
      <c r="AB140" s="21">
        <v>130</v>
      </c>
      <c r="AC140" s="21">
        <v>1.1349499999999999</v>
      </c>
      <c r="AD140">
        <f t="shared" ref="AD140:AD203" si="28">-AA140/$F$2*1000</f>
        <v>16.86753086419753</v>
      </c>
      <c r="AE140">
        <f t="shared" ref="AE140:AE203" si="29">AD140*Y140</f>
        <v>19.151563218518518</v>
      </c>
      <c r="AF140" s="9"/>
      <c r="AG140" s="21">
        <v>0.55465699999999996</v>
      </c>
      <c r="AH140" s="21">
        <v>19.465800000000002</v>
      </c>
      <c r="AI140" s="21">
        <v>-1.41663E-2</v>
      </c>
      <c r="AJ140" s="21">
        <v>130</v>
      </c>
      <c r="AK140" s="21">
        <v>0.55398599999999998</v>
      </c>
      <c r="AL140">
        <f t="shared" ref="AL140:AL203" si="30">-AI140/$F$2*1000</f>
        <v>17.489259259259256</v>
      </c>
      <c r="AM140">
        <f t="shared" ref="AM140:AM203" si="31">AL140*AG140</f>
        <v>9.7005400729629603</v>
      </c>
      <c r="AP140" s="9"/>
      <c r="AQ140" s="21">
        <v>1.13541</v>
      </c>
      <c r="AR140" s="21">
        <v>24.904</v>
      </c>
      <c r="AS140" s="21">
        <v>-1.3736E-2</v>
      </c>
      <c r="AT140" s="21">
        <v>130</v>
      </c>
      <c r="AU140" s="21">
        <v>1.1349499999999999</v>
      </c>
      <c r="AV140">
        <f t="shared" ref="AV140:AV203" si="32">-AS140/$F$2*1000</f>
        <v>16.958024691358023</v>
      </c>
      <c r="AW140">
        <f t="shared" ref="AW140:AW203" si="33">AV140*AQ140</f>
        <v>19.254310814814815</v>
      </c>
      <c r="AX140" s="9"/>
      <c r="AY140" s="21">
        <v>0.55465699999999996</v>
      </c>
      <c r="AZ140" s="21">
        <v>28.702999999999999</v>
      </c>
      <c r="BA140" s="21">
        <v>-1.4093E-2</v>
      </c>
      <c r="BB140" s="21">
        <v>130</v>
      </c>
      <c r="BC140" s="21">
        <v>0.55401599999999995</v>
      </c>
      <c r="BD140">
        <f t="shared" ref="BD140:BD203" si="34">-BA140/$F$2*1000</f>
        <v>17.398765432098763</v>
      </c>
      <c r="BE140">
        <f t="shared" ref="BE140:BE203" si="35">BD140*AY140</f>
        <v>9.6503470382716028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6.31562</v>
      </c>
      <c r="I141" s="21">
        <v>-1.36688E-2</v>
      </c>
      <c r="J141" s="21">
        <v>131</v>
      </c>
      <c r="K141" s="21">
        <v>1.1297600000000001</v>
      </c>
      <c r="L141">
        <f t="shared" si="24"/>
        <v>16.87506172839506</v>
      </c>
      <c r="M141">
        <f t="shared" si="25"/>
        <v>19.075063525925927</v>
      </c>
      <c r="N141" s="9"/>
      <c r="O141" s="21">
        <v>0.55969199999999997</v>
      </c>
      <c r="P141" s="21">
        <v>10.114699999999999</v>
      </c>
      <c r="Q141" s="21">
        <v>-1.4175399999999999E-2</v>
      </c>
      <c r="R141" s="21">
        <v>131</v>
      </c>
      <c r="S141" s="21">
        <v>0.55908199999999997</v>
      </c>
      <c r="T141">
        <f t="shared" si="26"/>
        <v>17.500493827160494</v>
      </c>
      <c r="U141">
        <f t="shared" si="27"/>
        <v>9.7948863911111097</v>
      </c>
      <c r="X141" s="9"/>
      <c r="Y141" s="21">
        <v>1.1303700000000001</v>
      </c>
      <c r="Z141" s="21">
        <v>15.6768</v>
      </c>
      <c r="AA141" s="21">
        <v>-1.3681E-2</v>
      </c>
      <c r="AB141" s="21">
        <v>131</v>
      </c>
      <c r="AC141" s="21">
        <v>1.1294599999999999</v>
      </c>
      <c r="AD141">
        <f t="shared" si="28"/>
        <v>16.890123456790121</v>
      </c>
      <c r="AE141">
        <f t="shared" si="29"/>
        <v>19.092088851851852</v>
      </c>
      <c r="AF141" s="9"/>
      <c r="AG141" s="21">
        <v>0.55969199999999997</v>
      </c>
      <c r="AH141" s="21">
        <v>19.475899999999999</v>
      </c>
      <c r="AI141" s="21">
        <v>-1.41663E-2</v>
      </c>
      <c r="AJ141" s="21">
        <v>131</v>
      </c>
      <c r="AK141" s="21">
        <v>0.55908199999999997</v>
      </c>
      <c r="AL141">
        <f t="shared" si="30"/>
        <v>17.489259259259256</v>
      </c>
      <c r="AM141">
        <f t="shared" si="31"/>
        <v>9.7885984933333319</v>
      </c>
      <c r="AP141" s="9"/>
      <c r="AQ141" s="21">
        <v>1.1303700000000001</v>
      </c>
      <c r="AR141" s="21">
        <v>24.914000000000001</v>
      </c>
      <c r="AS141" s="21">
        <v>-1.3736E-2</v>
      </c>
      <c r="AT141" s="21">
        <v>131</v>
      </c>
      <c r="AU141" s="21">
        <v>1.1291500000000001</v>
      </c>
      <c r="AV141">
        <f t="shared" si="32"/>
        <v>16.958024691358023</v>
      </c>
      <c r="AW141">
        <f t="shared" si="33"/>
        <v>19.168842370370371</v>
      </c>
      <c r="AX141" s="9"/>
      <c r="AY141" s="21">
        <v>0.55969199999999997</v>
      </c>
      <c r="AZ141" s="21">
        <v>28.713100000000001</v>
      </c>
      <c r="BA141" s="21">
        <v>-1.4080799999999999E-2</v>
      </c>
      <c r="BB141" s="21">
        <v>131</v>
      </c>
      <c r="BC141" s="21">
        <v>0.55902099999999999</v>
      </c>
      <c r="BD141">
        <f t="shared" si="34"/>
        <v>17.383703703703702</v>
      </c>
      <c r="BE141">
        <f t="shared" si="35"/>
        <v>9.7295198933333324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6.3256899999999998</v>
      </c>
      <c r="I142" s="21">
        <v>-1.3677999999999999E-2</v>
      </c>
      <c r="J142" s="21">
        <v>132</v>
      </c>
      <c r="K142" s="21">
        <v>1.1245700000000001</v>
      </c>
      <c r="L142">
        <f t="shared" si="24"/>
        <v>16.886419753086418</v>
      </c>
      <c r="M142">
        <f t="shared" si="25"/>
        <v>19.00296360493827</v>
      </c>
      <c r="N142" s="9"/>
      <c r="O142" s="21">
        <v>0.56472800000000001</v>
      </c>
      <c r="P142" s="21">
        <v>10.124700000000001</v>
      </c>
      <c r="Q142" s="21">
        <v>-1.4157100000000001E-2</v>
      </c>
      <c r="R142" s="21">
        <v>132</v>
      </c>
      <c r="S142" s="21">
        <v>0.56402600000000003</v>
      </c>
      <c r="T142">
        <f t="shared" si="26"/>
        <v>17.477901234567902</v>
      </c>
      <c r="U142">
        <f t="shared" si="27"/>
        <v>9.870260208395063</v>
      </c>
      <c r="X142" s="9"/>
      <c r="Y142" s="21">
        <v>1.12534</v>
      </c>
      <c r="Z142" s="21">
        <v>15.6869</v>
      </c>
      <c r="AA142" s="21">
        <v>-1.3687100000000001E-2</v>
      </c>
      <c r="AB142" s="21">
        <v>132</v>
      </c>
      <c r="AC142" s="21">
        <v>1.1239600000000001</v>
      </c>
      <c r="AD142">
        <f t="shared" si="28"/>
        <v>16.897654320987655</v>
      </c>
      <c r="AE142">
        <f t="shared" si="29"/>
        <v>19.01560631358025</v>
      </c>
      <c r="AF142" s="9"/>
      <c r="AG142" s="21">
        <v>0.56472800000000001</v>
      </c>
      <c r="AH142" s="21">
        <v>19.485900000000001</v>
      </c>
      <c r="AI142" s="21">
        <v>-1.41602E-2</v>
      </c>
      <c r="AJ142" s="21">
        <v>132</v>
      </c>
      <c r="AK142" s="21">
        <v>0.564056</v>
      </c>
      <c r="AL142">
        <f t="shared" si="30"/>
        <v>17.481728395061729</v>
      </c>
      <c r="AM142">
        <f t="shared" si="31"/>
        <v>9.8724215130864206</v>
      </c>
      <c r="AP142" s="9"/>
      <c r="AQ142" s="21">
        <v>1.12534</v>
      </c>
      <c r="AR142" s="21">
        <v>24.924099999999999</v>
      </c>
      <c r="AS142" s="21">
        <v>-1.37421E-2</v>
      </c>
      <c r="AT142" s="21">
        <v>132</v>
      </c>
      <c r="AU142" s="21">
        <v>1.1248800000000001</v>
      </c>
      <c r="AV142">
        <f t="shared" si="32"/>
        <v>16.965555555555554</v>
      </c>
      <c r="AW142">
        <f t="shared" si="33"/>
        <v>19.092018288888887</v>
      </c>
      <c r="AX142" s="9"/>
      <c r="AY142" s="21">
        <v>0.56472800000000001</v>
      </c>
      <c r="AZ142" s="21">
        <v>28.723199999999999</v>
      </c>
      <c r="BA142" s="21">
        <v>-1.4086899999999999E-2</v>
      </c>
      <c r="BB142" s="21">
        <v>132</v>
      </c>
      <c r="BC142" s="21">
        <v>0.56384299999999998</v>
      </c>
      <c r="BD142">
        <f t="shared" si="34"/>
        <v>17.391234567901233</v>
      </c>
      <c r="BE142">
        <f t="shared" si="35"/>
        <v>9.8213171150617278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6.3357700000000001</v>
      </c>
      <c r="I143" s="21">
        <v>-1.3684099999999999E-2</v>
      </c>
      <c r="J143" s="21">
        <v>133</v>
      </c>
      <c r="K143" s="21">
        <v>1.1196900000000001</v>
      </c>
      <c r="L143">
        <f t="shared" si="24"/>
        <v>16.893950617283949</v>
      </c>
      <c r="M143">
        <f t="shared" si="25"/>
        <v>18.926292876543208</v>
      </c>
      <c r="N143" s="9"/>
      <c r="O143" s="21">
        <v>0.56976300000000002</v>
      </c>
      <c r="P143" s="21">
        <v>10.1348</v>
      </c>
      <c r="Q143" s="21">
        <v>-1.4151E-2</v>
      </c>
      <c r="R143" s="21">
        <v>133</v>
      </c>
      <c r="S143" s="21">
        <v>0.56899999999999995</v>
      </c>
      <c r="T143">
        <f t="shared" si="26"/>
        <v>17.470370370370368</v>
      </c>
      <c r="U143">
        <f t="shared" si="27"/>
        <v>9.9539706333333324</v>
      </c>
      <c r="X143" s="9"/>
      <c r="Y143" s="21">
        <v>1.1203000000000001</v>
      </c>
      <c r="Z143" s="21">
        <v>15.696999999999999</v>
      </c>
      <c r="AA143" s="21">
        <v>-1.3687100000000001E-2</v>
      </c>
      <c r="AB143" s="21">
        <v>133</v>
      </c>
      <c r="AC143" s="21">
        <v>1.11938</v>
      </c>
      <c r="AD143">
        <f t="shared" si="28"/>
        <v>16.897654320987655</v>
      </c>
      <c r="AE143">
        <f t="shared" si="29"/>
        <v>18.930442135802473</v>
      </c>
      <c r="AF143" s="9"/>
      <c r="AG143" s="21">
        <v>0.56976300000000002</v>
      </c>
      <c r="AH143" s="21">
        <v>19.495999999999999</v>
      </c>
      <c r="AI143" s="21">
        <v>-1.4157100000000001E-2</v>
      </c>
      <c r="AJ143" s="21">
        <v>133</v>
      </c>
      <c r="AK143" s="21">
        <v>0.56899999999999995</v>
      </c>
      <c r="AL143">
        <f t="shared" si="30"/>
        <v>17.477901234567902</v>
      </c>
      <c r="AM143">
        <f t="shared" si="31"/>
        <v>9.9582614411111123</v>
      </c>
      <c r="AP143" s="9"/>
      <c r="AQ143" s="21">
        <v>1.1203000000000001</v>
      </c>
      <c r="AR143" s="21">
        <v>24.934200000000001</v>
      </c>
      <c r="AS143" s="21">
        <v>-1.37451E-2</v>
      </c>
      <c r="AT143" s="21">
        <v>133</v>
      </c>
      <c r="AU143" s="21">
        <v>1.1190800000000001</v>
      </c>
      <c r="AV143">
        <f t="shared" si="32"/>
        <v>16.969259259259257</v>
      </c>
      <c r="AW143">
        <f t="shared" si="33"/>
        <v>19.010661148148145</v>
      </c>
      <c r="AX143" s="9"/>
      <c r="AY143" s="21">
        <v>0.56976300000000002</v>
      </c>
      <c r="AZ143" s="21">
        <v>28.7332</v>
      </c>
      <c r="BA143" s="21">
        <v>-1.40778E-2</v>
      </c>
      <c r="BB143" s="21">
        <v>133</v>
      </c>
      <c r="BC143" s="21">
        <v>0.56915300000000002</v>
      </c>
      <c r="BD143">
        <f t="shared" si="34"/>
        <v>17.38</v>
      </c>
      <c r="BE143">
        <f t="shared" si="35"/>
        <v>9.9024809400000002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6.3458399999999999</v>
      </c>
      <c r="I144" s="21">
        <v>-1.3687100000000001E-2</v>
      </c>
      <c r="J144" s="21">
        <v>134</v>
      </c>
      <c r="K144" s="21">
        <v>1.1145</v>
      </c>
      <c r="L144">
        <f t="shared" si="24"/>
        <v>16.897654320987655</v>
      </c>
      <c r="M144">
        <f t="shared" si="25"/>
        <v>18.845277958024692</v>
      </c>
      <c r="N144" s="9"/>
      <c r="O144" s="21">
        <v>0.57479899999999995</v>
      </c>
      <c r="P144" s="21">
        <v>10.1449</v>
      </c>
      <c r="Q144" s="21">
        <v>-1.41479E-2</v>
      </c>
      <c r="R144" s="21">
        <v>134</v>
      </c>
      <c r="S144" s="21">
        <v>0.57424900000000001</v>
      </c>
      <c r="T144">
        <f t="shared" si="26"/>
        <v>17.466543209876541</v>
      </c>
      <c r="U144">
        <f t="shared" si="27"/>
        <v>10.039751570493825</v>
      </c>
      <c r="X144" s="9"/>
      <c r="Y144" s="21">
        <v>1.1152599999999999</v>
      </c>
      <c r="Z144" s="21">
        <v>15.707000000000001</v>
      </c>
      <c r="AA144" s="21">
        <v>-1.36902E-2</v>
      </c>
      <c r="AB144" s="21">
        <v>134</v>
      </c>
      <c r="AC144" s="21">
        <v>1.11389</v>
      </c>
      <c r="AD144">
        <f t="shared" si="28"/>
        <v>16.901481481481479</v>
      </c>
      <c r="AE144">
        <f t="shared" si="29"/>
        <v>18.849546237037032</v>
      </c>
      <c r="AF144" s="9"/>
      <c r="AG144" s="21">
        <v>0.57479899999999995</v>
      </c>
      <c r="AH144" s="21">
        <v>19.5061</v>
      </c>
      <c r="AI144" s="21">
        <v>-1.41602E-2</v>
      </c>
      <c r="AJ144" s="21">
        <v>134</v>
      </c>
      <c r="AK144" s="21">
        <v>0.57406599999999997</v>
      </c>
      <c r="AL144">
        <f t="shared" si="30"/>
        <v>17.481728395061729</v>
      </c>
      <c r="AM144">
        <f t="shared" si="31"/>
        <v>10.048479999753086</v>
      </c>
      <c r="AP144" s="9"/>
      <c r="AQ144" s="21">
        <v>1.1152599999999999</v>
      </c>
      <c r="AR144" s="21">
        <v>24.944299999999998</v>
      </c>
      <c r="AS144" s="21">
        <v>-1.37421E-2</v>
      </c>
      <c r="AT144" s="21">
        <v>134</v>
      </c>
      <c r="AU144" s="21">
        <v>1.1142000000000001</v>
      </c>
      <c r="AV144">
        <f t="shared" si="32"/>
        <v>16.965555555555554</v>
      </c>
      <c r="AW144">
        <f t="shared" si="33"/>
        <v>18.921005488888884</v>
      </c>
      <c r="AX144" s="9"/>
      <c r="AY144" s="21">
        <v>0.57479899999999995</v>
      </c>
      <c r="AZ144" s="21">
        <v>28.743300000000001</v>
      </c>
      <c r="BA144" s="21">
        <v>-1.409E-2</v>
      </c>
      <c r="BB144" s="21">
        <v>134</v>
      </c>
      <c r="BC144" s="21">
        <v>0.57412700000000005</v>
      </c>
      <c r="BD144">
        <f t="shared" si="34"/>
        <v>17.39506172839506</v>
      </c>
      <c r="BE144">
        <f t="shared" si="35"/>
        <v>9.9986640864197511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6.3559099999999997</v>
      </c>
      <c r="I145" s="21">
        <v>-1.3699299999999999E-2</v>
      </c>
      <c r="J145" s="21">
        <v>135</v>
      </c>
      <c r="K145" s="21">
        <v>1.10931</v>
      </c>
      <c r="L145">
        <f t="shared" si="24"/>
        <v>16.912716049382716</v>
      </c>
      <c r="M145">
        <f t="shared" si="25"/>
        <v>18.777004739506175</v>
      </c>
      <c r="N145" s="9"/>
      <c r="O145" s="21">
        <v>0.57983399999999996</v>
      </c>
      <c r="P145" s="21">
        <v>10.154999999999999</v>
      </c>
      <c r="Q145" s="21">
        <v>-1.41327E-2</v>
      </c>
      <c r="R145" s="21">
        <v>135</v>
      </c>
      <c r="S145" s="21">
        <v>0.57916299999999998</v>
      </c>
      <c r="T145">
        <f t="shared" si="26"/>
        <v>17.447777777777777</v>
      </c>
      <c r="U145">
        <f t="shared" si="27"/>
        <v>10.116814779999999</v>
      </c>
      <c r="X145" s="9"/>
      <c r="Y145" s="21">
        <v>1.1102300000000001</v>
      </c>
      <c r="Z145" s="21">
        <v>15.7171</v>
      </c>
      <c r="AA145" s="21">
        <v>-1.3693200000000001E-2</v>
      </c>
      <c r="AB145" s="21">
        <v>135</v>
      </c>
      <c r="AC145" s="21">
        <v>1.1096200000000001</v>
      </c>
      <c r="AD145">
        <f t="shared" si="28"/>
        <v>16.905185185185186</v>
      </c>
      <c r="AE145">
        <f t="shared" si="29"/>
        <v>18.768643748148151</v>
      </c>
      <c r="AF145" s="9"/>
      <c r="AG145" s="21">
        <v>0.57983399999999996</v>
      </c>
      <c r="AH145" s="21">
        <v>19.516100000000002</v>
      </c>
      <c r="AI145" s="21">
        <v>-1.41663E-2</v>
      </c>
      <c r="AJ145" s="21">
        <v>135</v>
      </c>
      <c r="AK145" s="21">
        <v>0.57922399999999996</v>
      </c>
      <c r="AL145">
        <f t="shared" si="30"/>
        <v>17.489259259259256</v>
      </c>
      <c r="AM145">
        <f t="shared" si="31"/>
        <v>10.14086715333333</v>
      </c>
      <c r="AP145" s="9"/>
      <c r="AQ145" s="21">
        <v>1.1102300000000001</v>
      </c>
      <c r="AR145" s="21">
        <v>24.9543</v>
      </c>
      <c r="AS145" s="21">
        <v>-1.3738999999999999E-2</v>
      </c>
      <c r="AT145" s="21">
        <v>135</v>
      </c>
      <c r="AU145" s="21">
        <v>1.10931</v>
      </c>
      <c r="AV145">
        <f t="shared" si="32"/>
        <v>16.961728395061726</v>
      </c>
      <c r="AW145">
        <f t="shared" si="33"/>
        <v>18.831419716049382</v>
      </c>
      <c r="AX145" s="9"/>
      <c r="AY145" s="21">
        <v>0.57983399999999996</v>
      </c>
      <c r="AZ145" s="21">
        <v>28.753399999999999</v>
      </c>
      <c r="BA145" s="21">
        <v>-1.41052E-2</v>
      </c>
      <c r="BB145" s="21">
        <v>135</v>
      </c>
      <c r="BC145" s="21">
        <v>0.57940700000000001</v>
      </c>
      <c r="BD145">
        <f t="shared" si="34"/>
        <v>17.413827160493828</v>
      </c>
      <c r="BE145">
        <f t="shared" si="35"/>
        <v>10.097129057777778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6.3659800000000004</v>
      </c>
      <c r="I146" s="21">
        <v>-1.37115E-2</v>
      </c>
      <c r="J146" s="21">
        <v>136</v>
      </c>
      <c r="K146" s="21">
        <v>1.10443</v>
      </c>
      <c r="L146">
        <f t="shared" si="24"/>
        <v>16.927777777777777</v>
      </c>
      <c r="M146">
        <f t="shared" si="25"/>
        <v>18.708410722222219</v>
      </c>
      <c r="N146" s="9"/>
      <c r="O146" s="21">
        <v>0.58486899999999997</v>
      </c>
      <c r="P146" s="21">
        <v>10.164999999999999</v>
      </c>
      <c r="Q146" s="21">
        <v>-1.4129600000000001E-2</v>
      </c>
      <c r="R146" s="21">
        <v>136</v>
      </c>
      <c r="S146" s="21">
        <v>0.58425899999999997</v>
      </c>
      <c r="T146">
        <f t="shared" si="26"/>
        <v>17.443950617283949</v>
      </c>
      <c r="U146">
        <f t="shared" si="27"/>
        <v>10.202425953580246</v>
      </c>
      <c r="X146" s="9"/>
      <c r="Y146" s="21">
        <v>1.1051899999999999</v>
      </c>
      <c r="Z146" s="21">
        <v>15.7272</v>
      </c>
      <c r="AA146" s="21">
        <v>-1.3699299999999999E-2</v>
      </c>
      <c r="AB146" s="21">
        <v>136</v>
      </c>
      <c r="AC146" s="21">
        <v>1.1041300000000001</v>
      </c>
      <c r="AD146">
        <f t="shared" si="28"/>
        <v>16.912716049382716</v>
      </c>
      <c r="AE146">
        <f t="shared" si="29"/>
        <v>18.691764650617284</v>
      </c>
      <c r="AF146" s="9"/>
      <c r="AG146" s="21">
        <v>0.58486899999999997</v>
      </c>
      <c r="AH146" s="21">
        <v>19.526199999999999</v>
      </c>
      <c r="AI146" s="21">
        <v>-1.4154099999999999E-2</v>
      </c>
      <c r="AJ146" s="21">
        <v>136</v>
      </c>
      <c r="AK146" s="21">
        <v>0.584229</v>
      </c>
      <c r="AL146">
        <f t="shared" si="30"/>
        <v>17.474197530864195</v>
      </c>
      <c r="AM146">
        <f t="shared" si="31"/>
        <v>10.22011643567901</v>
      </c>
      <c r="AP146" s="9"/>
      <c r="AQ146" s="21">
        <v>1.1051899999999999</v>
      </c>
      <c r="AR146" s="21">
        <v>24.964400000000001</v>
      </c>
      <c r="AS146" s="21">
        <v>-1.3738999999999999E-2</v>
      </c>
      <c r="AT146" s="21">
        <v>136</v>
      </c>
      <c r="AU146" s="21">
        <v>1.10382</v>
      </c>
      <c r="AV146">
        <f t="shared" si="32"/>
        <v>16.961728395061726</v>
      </c>
      <c r="AW146">
        <f t="shared" si="33"/>
        <v>18.745932604938268</v>
      </c>
      <c r="AX146" s="9"/>
      <c r="AY146" s="21">
        <v>0.58486899999999997</v>
      </c>
      <c r="AZ146" s="21">
        <v>28.763400000000001</v>
      </c>
      <c r="BA146" s="21">
        <v>-1.41022E-2</v>
      </c>
      <c r="BB146" s="21">
        <v>136</v>
      </c>
      <c r="BC146" s="21">
        <v>0.584229</v>
      </c>
      <c r="BD146">
        <f t="shared" si="34"/>
        <v>17.410123456790124</v>
      </c>
      <c r="BE146">
        <f t="shared" si="35"/>
        <v>10.182641496049383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6.3760500000000002</v>
      </c>
      <c r="I147" s="21">
        <v>-1.3726800000000001E-2</v>
      </c>
      <c r="J147" s="21">
        <v>137</v>
      </c>
      <c r="K147" s="21">
        <v>1.09894</v>
      </c>
      <c r="L147">
        <f t="shared" si="24"/>
        <v>16.946666666666665</v>
      </c>
      <c r="M147">
        <f t="shared" si="25"/>
        <v>18.6440448</v>
      </c>
      <c r="N147" s="9"/>
      <c r="O147" s="21">
        <v>0.58990500000000001</v>
      </c>
      <c r="P147" s="21">
        <v>10.1751</v>
      </c>
      <c r="Q147" s="21">
        <v>-1.41266E-2</v>
      </c>
      <c r="R147" s="21">
        <v>137</v>
      </c>
      <c r="S147" s="21">
        <v>0.58929399999999998</v>
      </c>
      <c r="T147">
        <f t="shared" si="26"/>
        <v>17.440246913580246</v>
      </c>
      <c r="U147">
        <f t="shared" si="27"/>
        <v>10.288088855555555</v>
      </c>
      <c r="X147" s="9"/>
      <c r="Y147" s="21">
        <v>1.10016</v>
      </c>
      <c r="Z147" s="21">
        <v>15.7372</v>
      </c>
      <c r="AA147" s="21">
        <v>-1.37024E-2</v>
      </c>
      <c r="AB147" s="21">
        <v>137</v>
      </c>
      <c r="AC147" s="21">
        <v>1.09894</v>
      </c>
      <c r="AD147">
        <f t="shared" si="28"/>
        <v>16.916543209876544</v>
      </c>
      <c r="AE147">
        <f t="shared" si="29"/>
        <v>18.61090417777778</v>
      </c>
      <c r="AF147" s="9"/>
      <c r="AG147" s="21">
        <v>0.58990500000000001</v>
      </c>
      <c r="AH147" s="21">
        <v>19.536300000000001</v>
      </c>
      <c r="AI147" s="21">
        <v>-1.41479E-2</v>
      </c>
      <c r="AJ147" s="21">
        <v>137</v>
      </c>
      <c r="AK147" s="21">
        <v>0.58932499999999999</v>
      </c>
      <c r="AL147">
        <f t="shared" si="30"/>
        <v>17.466543209876541</v>
      </c>
      <c r="AM147">
        <f t="shared" si="31"/>
        <v>10.303601172222221</v>
      </c>
      <c r="AP147" s="9"/>
      <c r="AQ147" s="21">
        <v>1.10016</v>
      </c>
      <c r="AR147" s="21">
        <v>24.974499999999999</v>
      </c>
      <c r="AS147" s="21">
        <v>-1.37451E-2</v>
      </c>
      <c r="AT147" s="21">
        <v>137</v>
      </c>
      <c r="AU147" s="21">
        <v>1.09955</v>
      </c>
      <c r="AV147">
        <f t="shared" si="32"/>
        <v>16.969259259259257</v>
      </c>
      <c r="AW147">
        <f t="shared" si="33"/>
        <v>18.668900266666665</v>
      </c>
      <c r="AX147" s="9"/>
      <c r="AY147" s="21">
        <v>0.58990500000000001</v>
      </c>
      <c r="AZ147" s="21">
        <v>28.773499999999999</v>
      </c>
      <c r="BA147" s="21">
        <v>-1.41022E-2</v>
      </c>
      <c r="BB147" s="21">
        <v>137</v>
      </c>
      <c r="BC147" s="21">
        <v>0.58926400000000001</v>
      </c>
      <c r="BD147">
        <f t="shared" si="34"/>
        <v>17.410123456790124</v>
      </c>
      <c r="BE147">
        <f t="shared" si="35"/>
        <v>10.270318877777779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6.38612</v>
      </c>
      <c r="I148" s="21">
        <v>-1.3732899999999999E-2</v>
      </c>
      <c r="J148" s="21">
        <v>138</v>
      </c>
      <c r="K148" s="21">
        <v>1.09436</v>
      </c>
      <c r="L148">
        <f t="shared" si="24"/>
        <v>16.954197530864196</v>
      </c>
      <c r="M148">
        <f t="shared" si="25"/>
        <v>18.5668808</v>
      </c>
      <c r="N148" s="9"/>
      <c r="O148" s="21">
        <v>0.59494000000000002</v>
      </c>
      <c r="P148" s="21">
        <v>10.1852</v>
      </c>
      <c r="Q148" s="21">
        <v>-1.41266E-2</v>
      </c>
      <c r="R148" s="21">
        <v>138</v>
      </c>
      <c r="S148" s="21">
        <v>0.59426900000000005</v>
      </c>
      <c r="T148">
        <f t="shared" si="26"/>
        <v>17.440246913580246</v>
      </c>
      <c r="U148">
        <f t="shared" si="27"/>
        <v>10.375900498765432</v>
      </c>
      <c r="X148" s="9"/>
      <c r="Y148" s="21">
        <v>1.0951200000000001</v>
      </c>
      <c r="Z148" s="21">
        <v>15.747299999999999</v>
      </c>
      <c r="AA148" s="21">
        <v>-1.3699299999999999E-2</v>
      </c>
      <c r="AB148" s="21">
        <v>138</v>
      </c>
      <c r="AC148" s="21">
        <v>1.09375</v>
      </c>
      <c r="AD148">
        <f t="shared" si="28"/>
        <v>16.912716049382716</v>
      </c>
      <c r="AE148">
        <f t="shared" si="29"/>
        <v>18.521453600000001</v>
      </c>
      <c r="AF148" s="9"/>
      <c r="AG148" s="21">
        <v>0.59494000000000002</v>
      </c>
      <c r="AH148" s="21">
        <v>19.546399999999998</v>
      </c>
      <c r="AI148" s="21">
        <v>-1.4129600000000001E-2</v>
      </c>
      <c r="AJ148" s="21">
        <v>138</v>
      </c>
      <c r="AK148" s="21">
        <v>0.59433000000000002</v>
      </c>
      <c r="AL148">
        <f t="shared" si="30"/>
        <v>17.443950617283949</v>
      </c>
      <c r="AM148">
        <f t="shared" si="31"/>
        <v>10.378103980246912</v>
      </c>
      <c r="AP148" s="9"/>
      <c r="AQ148" s="21">
        <v>1.0951200000000001</v>
      </c>
      <c r="AR148" s="21">
        <v>24.984500000000001</v>
      </c>
      <c r="AS148" s="21">
        <v>-1.37421E-2</v>
      </c>
      <c r="AT148" s="21">
        <v>138</v>
      </c>
      <c r="AU148" s="21">
        <v>1.09406</v>
      </c>
      <c r="AV148">
        <f t="shared" si="32"/>
        <v>16.965555555555554</v>
      </c>
      <c r="AW148">
        <f t="shared" si="33"/>
        <v>18.5793192</v>
      </c>
      <c r="AX148" s="9"/>
      <c r="AY148" s="21">
        <v>0.59494000000000002</v>
      </c>
      <c r="AZ148" s="21">
        <v>28.7836</v>
      </c>
      <c r="BA148" s="21">
        <v>-1.41052E-2</v>
      </c>
      <c r="BB148" s="21">
        <v>138</v>
      </c>
      <c r="BC148" s="21">
        <v>0.59442099999999998</v>
      </c>
      <c r="BD148">
        <f t="shared" si="34"/>
        <v>17.413827160493828</v>
      </c>
      <c r="BE148">
        <f t="shared" si="35"/>
        <v>10.360182330864198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6.3961899999999998</v>
      </c>
      <c r="I149" s="21">
        <v>-1.3736E-2</v>
      </c>
      <c r="J149" s="21">
        <v>139</v>
      </c>
      <c r="K149" s="21">
        <v>1.08887</v>
      </c>
      <c r="L149">
        <f t="shared" si="24"/>
        <v>16.958024691358023</v>
      </c>
      <c r="M149">
        <f t="shared" si="25"/>
        <v>18.485773135802468</v>
      </c>
      <c r="N149" s="9"/>
      <c r="O149" s="21">
        <v>0.59997599999999995</v>
      </c>
      <c r="P149" s="21">
        <v>10.1952</v>
      </c>
      <c r="Q149" s="21">
        <v>-1.41266E-2</v>
      </c>
      <c r="R149" s="21">
        <v>139</v>
      </c>
      <c r="S149" s="21">
        <v>0.59942600000000001</v>
      </c>
      <c r="T149">
        <f t="shared" si="26"/>
        <v>17.440246913580246</v>
      </c>
      <c r="U149">
        <f t="shared" si="27"/>
        <v>10.463729582222221</v>
      </c>
      <c r="X149" s="9"/>
      <c r="Y149" s="21">
        <v>1.09009</v>
      </c>
      <c r="Z149" s="21">
        <v>15.757400000000001</v>
      </c>
      <c r="AA149" s="21">
        <v>-1.3693200000000001E-2</v>
      </c>
      <c r="AB149" s="21">
        <v>139</v>
      </c>
      <c r="AC149" s="21">
        <v>1.08948</v>
      </c>
      <c r="AD149">
        <f t="shared" si="28"/>
        <v>16.905185185185186</v>
      </c>
      <c r="AE149">
        <f t="shared" si="29"/>
        <v>18.428173318518517</v>
      </c>
      <c r="AF149" s="9"/>
      <c r="AG149" s="21">
        <v>0.59997599999999995</v>
      </c>
      <c r="AH149" s="21">
        <v>19.5564</v>
      </c>
      <c r="AI149" s="21">
        <v>-1.4120499999999999E-2</v>
      </c>
      <c r="AJ149" s="21">
        <v>139</v>
      </c>
      <c r="AK149" s="21">
        <v>0.59936500000000004</v>
      </c>
      <c r="AL149">
        <f t="shared" si="30"/>
        <v>17.432716049382716</v>
      </c>
      <c r="AM149">
        <f t="shared" si="31"/>
        <v>10.459211244444443</v>
      </c>
      <c r="AP149" s="9"/>
      <c r="AQ149" s="21">
        <v>1.09009</v>
      </c>
      <c r="AR149" s="21">
        <v>24.994599999999998</v>
      </c>
      <c r="AS149" s="21">
        <v>-1.37299E-2</v>
      </c>
      <c r="AT149" s="21">
        <v>139</v>
      </c>
      <c r="AU149" s="21">
        <v>1.08917</v>
      </c>
      <c r="AV149">
        <f t="shared" si="32"/>
        <v>16.950493827160493</v>
      </c>
      <c r="AW149">
        <f t="shared" si="33"/>
        <v>18.477563816049383</v>
      </c>
      <c r="AX149" s="9"/>
      <c r="AY149" s="21">
        <v>0.59997599999999995</v>
      </c>
      <c r="AZ149" s="21">
        <v>28.793700000000001</v>
      </c>
      <c r="BA149" s="21">
        <v>-1.40961E-2</v>
      </c>
      <c r="BB149" s="21">
        <v>139</v>
      </c>
      <c r="BC149" s="21">
        <v>0.59936500000000004</v>
      </c>
      <c r="BD149">
        <f t="shared" si="34"/>
        <v>17.40259259259259</v>
      </c>
      <c r="BE149">
        <f t="shared" si="35"/>
        <v>10.441137893333332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6.4062599999999996</v>
      </c>
      <c r="I150" s="21">
        <v>-1.37421E-2</v>
      </c>
      <c r="J150" s="21">
        <v>140</v>
      </c>
      <c r="K150" s="21">
        <v>1.08429</v>
      </c>
      <c r="L150">
        <f t="shared" si="24"/>
        <v>16.965555555555554</v>
      </c>
      <c r="M150">
        <f t="shared" si="25"/>
        <v>18.408476055555553</v>
      </c>
      <c r="N150" s="9"/>
      <c r="O150" s="21">
        <v>0.60501099999999997</v>
      </c>
      <c r="P150" s="21">
        <v>10.205299999999999</v>
      </c>
      <c r="Q150" s="21">
        <v>-1.41174E-2</v>
      </c>
      <c r="R150" s="21">
        <v>140</v>
      </c>
      <c r="S150" s="21">
        <v>0.60436999999999996</v>
      </c>
      <c r="T150">
        <f t="shared" si="26"/>
        <v>17.428888888888888</v>
      </c>
      <c r="U150">
        <f t="shared" si="27"/>
        <v>10.544669495555555</v>
      </c>
      <c r="X150" s="9"/>
      <c r="Y150" s="21">
        <v>1.0850500000000001</v>
      </c>
      <c r="Z150" s="21">
        <v>15.7675</v>
      </c>
      <c r="AA150" s="21">
        <v>-1.3693200000000001E-2</v>
      </c>
      <c r="AB150" s="21">
        <v>140</v>
      </c>
      <c r="AC150" s="21">
        <v>1.0839799999999999</v>
      </c>
      <c r="AD150">
        <f t="shared" si="28"/>
        <v>16.905185185185186</v>
      </c>
      <c r="AE150">
        <f t="shared" si="29"/>
        <v>18.342971185185188</v>
      </c>
      <c r="AF150" s="9"/>
      <c r="AG150" s="21">
        <v>0.60501099999999997</v>
      </c>
      <c r="AH150" s="21">
        <v>19.566500000000001</v>
      </c>
      <c r="AI150" s="21">
        <v>-1.4120499999999999E-2</v>
      </c>
      <c r="AJ150" s="21">
        <v>140</v>
      </c>
      <c r="AK150" s="21">
        <v>0.60433999999999999</v>
      </c>
      <c r="AL150">
        <f t="shared" si="30"/>
        <v>17.432716049382716</v>
      </c>
      <c r="AM150">
        <f t="shared" si="31"/>
        <v>10.546984969753085</v>
      </c>
      <c r="AP150" s="9"/>
      <c r="AQ150" s="21">
        <v>1.0850500000000001</v>
      </c>
      <c r="AR150" s="21">
        <v>25.0047</v>
      </c>
      <c r="AS150" s="21">
        <v>-1.3726800000000001E-2</v>
      </c>
      <c r="AT150" s="21">
        <v>140</v>
      </c>
      <c r="AU150" s="21">
        <v>1.0839799999999999</v>
      </c>
      <c r="AV150">
        <f t="shared" si="32"/>
        <v>16.946666666666665</v>
      </c>
      <c r="AW150">
        <f t="shared" si="33"/>
        <v>18.387980666666667</v>
      </c>
      <c r="AX150" s="9"/>
      <c r="AY150" s="21">
        <v>0.60501099999999997</v>
      </c>
      <c r="AZ150" s="21">
        <v>28.803699999999999</v>
      </c>
      <c r="BA150" s="21">
        <v>-1.40778E-2</v>
      </c>
      <c r="BB150" s="21">
        <v>140</v>
      </c>
      <c r="BC150" s="21">
        <v>0.60424800000000001</v>
      </c>
      <c r="BD150">
        <f t="shared" si="34"/>
        <v>17.38</v>
      </c>
      <c r="BE150">
        <f t="shared" si="35"/>
        <v>10.515091179999999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6.4163300000000003</v>
      </c>
      <c r="I151" s="21">
        <v>-1.37299E-2</v>
      </c>
      <c r="J151" s="21">
        <v>141</v>
      </c>
      <c r="K151" s="21">
        <v>1.0784899999999999</v>
      </c>
      <c r="L151">
        <f t="shared" si="24"/>
        <v>16.950493827160493</v>
      </c>
      <c r="M151">
        <f t="shared" si="25"/>
        <v>18.306872343209875</v>
      </c>
      <c r="N151" s="9"/>
      <c r="O151" s="21">
        <v>0.61004599999999998</v>
      </c>
      <c r="P151" s="21">
        <v>10.215400000000001</v>
      </c>
      <c r="Q151" s="21">
        <v>-1.41022E-2</v>
      </c>
      <c r="R151" s="21">
        <v>141</v>
      </c>
      <c r="S151" s="21">
        <v>0.609406</v>
      </c>
      <c r="T151">
        <f t="shared" si="26"/>
        <v>17.410123456790124</v>
      </c>
      <c r="U151">
        <f t="shared" si="27"/>
        <v>10.620976174320989</v>
      </c>
      <c r="X151" s="9"/>
      <c r="Y151" s="21">
        <v>1.08002</v>
      </c>
      <c r="Z151" s="21">
        <v>15.7775</v>
      </c>
      <c r="AA151" s="21">
        <v>-1.3687100000000001E-2</v>
      </c>
      <c r="AB151" s="21">
        <v>141</v>
      </c>
      <c r="AC151" s="21">
        <v>1.0784899999999999</v>
      </c>
      <c r="AD151">
        <f t="shared" si="28"/>
        <v>16.897654320987655</v>
      </c>
      <c r="AE151">
        <f t="shared" si="29"/>
        <v>18.249804619753085</v>
      </c>
      <c r="AF151" s="9"/>
      <c r="AG151" s="21">
        <v>0.61004599999999998</v>
      </c>
      <c r="AH151" s="21">
        <v>19.576599999999999</v>
      </c>
      <c r="AI151" s="21">
        <v>-1.41113E-2</v>
      </c>
      <c r="AJ151" s="21">
        <v>141</v>
      </c>
      <c r="AK151" s="21">
        <v>0.609344</v>
      </c>
      <c r="AL151">
        <f t="shared" si="30"/>
        <v>17.421358024691358</v>
      </c>
      <c r="AM151">
        <f t="shared" si="31"/>
        <v>10.627829777530863</v>
      </c>
      <c r="AP151" s="9"/>
      <c r="AQ151" s="21">
        <v>1.08002</v>
      </c>
      <c r="AR151" s="21">
        <v>25.014800000000001</v>
      </c>
      <c r="AS151" s="21">
        <v>-1.3736E-2</v>
      </c>
      <c r="AT151" s="21">
        <v>141</v>
      </c>
      <c r="AU151" s="21">
        <v>1.0790999999999999</v>
      </c>
      <c r="AV151">
        <f t="shared" si="32"/>
        <v>16.958024691358023</v>
      </c>
      <c r="AW151">
        <f t="shared" si="33"/>
        <v>18.315005827160491</v>
      </c>
      <c r="AX151" s="9"/>
      <c r="AY151" s="21">
        <v>0.61004599999999998</v>
      </c>
      <c r="AZ151" s="21">
        <v>28.813800000000001</v>
      </c>
      <c r="BA151" s="21">
        <v>-1.4071699999999999E-2</v>
      </c>
      <c r="BB151" s="21">
        <v>141</v>
      </c>
      <c r="BC151" s="21">
        <v>0.60943599999999998</v>
      </c>
      <c r="BD151">
        <f t="shared" si="34"/>
        <v>17.372469135802469</v>
      </c>
      <c r="BE151">
        <f t="shared" si="35"/>
        <v>10.598005306419752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6.4264000000000001</v>
      </c>
      <c r="I152" s="21">
        <v>-1.37238E-2</v>
      </c>
      <c r="J152" s="21">
        <v>142</v>
      </c>
      <c r="K152" s="21">
        <v>1.0739099999999999</v>
      </c>
      <c r="L152">
        <f t="shared" si="24"/>
        <v>16.942962962962962</v>
      </c>
      <c r="M152">
        <f t="shared" si="25"/>
        <v>18.213346325925926</v>
      </c>
      <c r="N152" s="9"/>
      <c r="O152" s="21">
        <v>0.61508200000000002</v>
      </c>
      <c r="P152" s="21">
        <v>10.2255</v>
      </c>
      <c r="Q152" s="21">
        <v>-1.40991E-2</v>
      </c>
      <c r="R152" s="21">
        <v>142</v>
      </c>
      <c r="S152" s="21">
        <v>0.61441000000000001</v>
      </c>
      <c r="T152">
        <f t="shared" si="26"/>
        <v>17.406296296296293</v>
      </c>
      <c r="U152">
        <f t="shared" si="27"/>
        <v>10.706299538518516</v>
      </c>
      <c r="X152" s="9"/>
      <c r="Y152" s="21">
        <v>1.07498</v>
      </c>
      <c r="Z152" s="21">
        <v>15.787599999999999</v>
      </c>
      <c r="AA152" s="21">
        <v>-1.3681E-2</v>
      </c>
      <c r="AB152" s="21">
        <v>142</v>
      </c>
      <c r="AC152" s="21">
        <v>1.0739099999999999</v>
      </c>
      <c r="AD152">
        <f t="shared" si="28"/>
        <v>16.890123456790121</v>
      </c>
      <c r="AE152">
        <f t="shared" si="29"/>
        <v>18.156544913580245</v>
      </c>
      <c r="AF152" s="9"/>
      <c r="AG152" s="21">
        <v>0.61508200000000002</v>
      </c>
      <c r="AH152" s="21">
        <v>19.586600000000001</v>
      </c>
      <c r="AI152" s="21">
        <v>-1.4114399999999999E-2</v>
      </c>
      <c r="AJ152" s="21">
        <v>142</v>
      </c>
      <c r="AK152" s="21">
        <v>0.61438000000000004</v>
      </c>
      <c r="AL152">
        <f t="shared" si="30"/>
        <v>17.425185185185182</v>
      </c>
      <c r="AM152">
        <f t="shared" si="31"/>
        <v>10.717917754074072</v>
      </c>
      <c r="AP152" s="9"/>
      <c r="AQ152" s="21">
        <v>1.07498</v>
      </c>
      <c r="AR152" s="21">
        <v>25.024799999999999</v>
      </c>
      <c r="AS152" s="21">
        <v>-1.3738999999999999E-2</v>
      </c>
      <c r="AT152" s="21">
        <v>142</v>
      </c>
      <c r="AU152" s="21">
        <v>1.0739099999999999</v>
      </c>
      <c r="AV152">
        <f t="shared" si="32"/>
        <v>16.961728395061726</v>
      </c>
      <c r="AW152">
        <f t="shared" si="33"/>
        <v>18.233518790123455</v>
      </c>
      <c r="AX152" s="9"/>
      <c r="AY152" s="21">
        <v>0.61508200000000002</v>
      </c>
      <c r="AZ152" s="21">
        <v>28.823899999999998</v>
      </c>
      <c r="BA152" s="21">
        <v>-1.40625E-2</v>
      </c>
      <c r="BB152" s="21">
        <v>142</v>
      </c>
      <c r="BC152" s="21">
        <v>0.61434900000000003</v>
      </c>
      <c r="BD152">
        <f t="shared" si="34"/>
        <v>17.361111111111111</v>
      </c>
      <c r="BE152">
        <f t="shared" si="35"/>
        <v>10.678506944444445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6.4364800000000004</v>
      </c>
      <c r="I153" s="21">
        <v>-1.37238E-2</v>
      </c>
      <c r="J153" s="21">
        <v>143</v>
      </c>
      <c r="K153" s="21">
        <v>1.06934</v>
      </c>
      <c r="L153">
        <f t="shared" si="24"/>
        <v>16.942962962962962</v>
      </c>
      <c r="M153">
        <f t="shared" si="25"/>
        <v>18.128123222222222</v>
      </c>
      <c r="N153" s="9"/>
      <c r="O153" s="21">
        <v>0.62011700000000003</v>
      </c>
      <c r="P153" s="21">
        <v>10.2355</v>
      </c>
      <c r="Q153" s="21">
        <v>-1.40961E-2</v>
      </c>
      <c r="R153" s="21">
        <v>143</v>
      </c>
      <c r="S153" s="21">
        <v>0.61938499999999996</v>
      </c>
      <c r="T153">
        <f t="shared" si="26"/>
        <v>17.40259259259259</v>
      </c>
      <c r="U153">
        <f t="shared" si="27"/>
        <v>10.791643510740739</v>
      </c>
      <c r="X153" s="9"/>
      <c r="Y153" s="21">
        <v>1.06995</v>
      </c>
      <c r="Z153" s="21">
        <v>15.797700000000001</v>
      </c>
      <c r="AA153" s="21">
        <v>-1.3681E-2</v>
      </c>
      <c r="AB153" s="21">
        <v>143</v>
      </c>
      <c r="AC153" s="21">
        <v>1.06873</v>
      </c>
      <c r="AD153">
        <f t="shared" si="28"/>
        <v>16.890123456790121</v>
      </c>
      <c r="AE153">
        <f t="shared" si="29"/>
        <v>18.071587592592589</v>
      </c>
      <c r="AF153" s="9"/>
      <c r="AG153" s="21">
        <v>0.62011700000000003</v>
      </c>
      <c r="AH153" s="21">
        <v>19.596699999999998</v>
      </c>
      <c r="AI153" s="21">
        <v>-1.41266E-2</v>
      </c>
      <c r="AJ153" s="21">
        <v>143</v>
      </c>
      <c r="AK153" s="21">
        <v>0.61941500000000005</v>
      </c>
      <c r="AL153">
        <f t="shared" si="30"/>
        <v>17.440246913580246</v>
      </c>
      <c r="AM153">
        <f t="shared" si="31"/>
        <v>10.814993595308643</v>
      </c>
      <c r="AP153" s="9"/>
      <c r="AQ153" s="21">
        <v>1.06995</v>
      </c>
      <c r="AR153" s="21">
        <v>25.0349</v>
      </c>
      <c r="AS153" s="21">
        <v>-1.37451E-2</v>
      </c>
      <c r="AT153" s="21">
        <v>143</v>
      </c>
      <c r="AU153" s="21">
        <v>1.0690299999999999</v>
      </c>
      <c r="AV153">
        <f t="shared" si="32"/>
        <v>16.969259259259257</v>
      </c>
      <c r="AW153">
        <f t="shared" si="33"/>
        <v>18.156258944444442</v>
      </c>
      <c r="AX153" s="9"/>
      <c r="AY153" s="21">
        <v>0.62011700000000003</v>
      </c>
      <c r="AZ153" s="21">
        <v>28.8339</v>
      </c>
      <c r="BA153" s="21">
        <v>-1.40594E-2</v>
      </c>
      <c r="BB153" s="21">
        <v>143</v>
      </c>
      <c r="BC153" s="21">
        <v>0.61950700000000003</v>
      </c>
      <c r="BD153">
        <f t="shared" si="34"/>
        <v>17.357283950617283</v>
      </c>
      <c r="BE153">
        <f t="shared" si="35"/>
        <v>10.763546851604939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6.4465500000000002</v>
      </c>
      <c r="I154" s="21">
        <v>-1.37299E-2</v>
      </c>
      <c r="J154" s="21">
        <v>144</v>
      </c>
      <c r="K154" s="21">
        <v>1.0638399999999999</v>
      </c>
      <c r="L154">
        <f t="shared" si="24"/>
        <v>16.950493827160493</v>
      </c>
      <c r="M154">
        <f t="shared" si="25"/>
        <v>18.050750381481482</v>
      </c>
      <c r="N154" s="9"/>
      <c r="O154" s="21">
        <v>0.62515299999999996</v>
      </c>
      <c r="P154" s="21">
        <v>10.2456</v>
      </c>
      <c r="Q154" s="21">
        <v>-1.4086899999999999E-2</v>
      </c>
      <c r="R154" s="21">
        <v>144</v>
      </c>
      <c r="S154" s="21">
        <v>0.62451199999999996</v>
      </c>
      <c r="T154">
        <f t="shared" si="26"/>
        <v>17.391234567901233</v>
      </c>
      <c r="U154">
        <f t="shared" si="27"/>
        <v>10.872182463827158</v>
      </c>
      <c r="X154" s="9"/>
      <c r="Y154" s="21">
        <v>1.06491</v>
      </c>
      <c r="Z154" s="21">
        <v>15.807700000000001</v>
      </c>
      <c r="AA154" s="21">
        <v>-1.3687100000000001E-2</v>
      </c>
      <c r="AB154" s="21">
        <v>144</v>
      </c>
      <c r="AC154" s="21">
        <v>1.0638399999999999</v>
      </c>
      <c r="AD154">
        <f t="shared" si="28"/>
        <v>16.897654320987655</v>
      </c>
      <c r="AE154">
        <f t="shared" si="29"/>
        <v>17.994481062962965</v>
      </c>
      <c r="AF154" s="9"/>
      <c r="AG154" s="21">
        <v>0.62515299999999996</v>
      </c>
      <c r="AH154" s="21">
        <v>19.6068</v>
      </c>
      <c r="AI154" s="21">
        <v>-1.4123500000000001E-2</v>
      </c>
      <c r="AJ154" s="21">
        <v>144</v>
      </c>
      <c r="AK154" s="21">
        <v>0.62441999999999998</v>
      </c>
      <c r="AL154">
        <f t="shared" si="30"/>
        <v>17.436419753086419</v>
      </c>
      <c r="AM154">
        <f t="shared" si="31"/>
        <v>10.900430117901234</v>
      </c>
      <c r="AP154" s="9"/>
      <c r="AQ154" s="21">
        <v>1.06491</v>
      </c>
      <c r="AR154" s="21">
        <v>25.045000000000002</v>
      </c>
      <c r="AS154" s="21">
        <v>-1.37573E-2</v>
      </c>
      <c r="AT154" s="21">
        <v>144</v>
      </c>
      <c r="AU154" s="21">
        <v>1.0632299999999999</v>
      </c>
      <c r="AV154">
        <f t="shared" si="32"/>
        <v>16.984320987654321</v>
      </c>
      <c r="AW154">
        <f t="shared" si="33"/>
        <v>18.086773262962964</v>
      </c>
      <c r="AX154" s="9"/>
      <c r="AY154" s="21">
        <v>0.62515299999999996</v>
      </c>
      <c r="AZ154" s="21">
        <v>28.844000000000001</v>
      </c>
      <c r="BA154" s="21">
        <v>-1.4065599999999999E-2</v>
      </c>
      <c r="BB154" s="21">
        <v>144</v>
      </c>
      <c r="BC154" s="21">
        <v>0.62454200000000004</v>
      </c>
      <c r="BD154">
        <f t="shared" si="34"/>
        <v>17.364938271604938</v>
      </c>
      <c r="BE154">
        <f t="shared" si="35"/>
        <v>10.85574325530864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6.45662</v>
      </c>
      <c r="I155" s="21">
        <v>-1.3738999999999999E-2</v>
      </c>
      <c r="J155" s="21">
        <v>145</v>
      </c>
      <c r="K155" s="21">
        <v>1.0586500000000001</v>
      </c>
      <c r="L155">
        <f t="shared" si="24"/>
        <v>16.961728395061726</v>
      </c>
      <c r="M155">
        <f t="shared" si="25"/>
        <v>17.97739669135802</v>
      </c>
      <c r="N155" s="9"/>
      <c r="O155" s="21">
        <v>0.63018799999999997</v>
      </c>
      <c r="P155" s="21">
        <v>10.255699999999999</v>
      </c>
      <c r="Q155" s="21">
        <v>-1.4086899999999999E-2</v>
      </c>
      <c r="R155" s="21">
        <v>145</v>
      </c>
      <c r="S155" s="21">
        <v>0.62954699999999997</v>
      </c>
      <c r="T155">
        <f t="shared" si="26"/>
        <v>17.391234567901233</v>
      </c>
      <c r="U155">
        <f t="shared" si="27"/>
        <v>10.959747329876542</v>
      </c>
      <c r="X155" s="9"/>
      <c r="Y155" s="21">
        <v>1.0598799999999999</v>
      </c>
      <c r="Z155" s="21">
        <v>15.8178</v>
      </c>
      <c r="AA155" s="21">
        <v>-1.37054E-2</v>
      </c>
      <c r="AB155" s="21">
        <v>145</v>
      </c>
      <c r="AC155" s="21">
        <v>1.0589599999999999</v>
      </c>
      <c r="AD155">
        <f t="shared" si="28"/>
        <v>16.920246913580247</v>
      </c>
      <c r="AE155">
        <f t="shared" si="29"/>
        <v>17.933431298765431</v>
      </c>
      <c r="AF155" s="9"/>
      <c r="AG155" s="21">
        <v>0.63018799999999997</v>
      </c>
      <c r="AH155" s="21">
        <v>19.616900000000001</v>
      </c>
      <c r="AI155" s="21">
        <v>-1.41327E-2</v>
      </c>
      <c r="AJ155" s="21">
        <v>145</v>
      </c>
      <c r="AK155" s="21">
        <v>0.62945600000000002</v>
      </c>
      <c r="AL155">
        <f t="shared" si="30"/>
        <v>17.447777777777777</v>
      </c>
      <c r="AM155">
        <f t="shared" si="31"/>
        <v>10.99538018222222</v>
      </c>
      <c r="AP155" s="9"/>
      <c r="AQ155" s="21">
        <v>1.0598799999999999</v>
      </c>
      <c r="AR155" s="21">
        <v>25.055</v>
      </c>
      <c r="AS155" s="21">
        <v>-1.3766499999999999E-2</v>
      </c>
      <c r="AT155" s="21">
        <v>145</v>
      </c>
      <c r="AU155" s="21">
        <v>1.0589599999999999</v>
      </c>
      <c r="AV155">
        <f t="shared" si="32"/>
        <v>16.995679012345676</v>
      </c>
      <c r="AW155">
        <f t="shared" si="33"/>
        <v>18.013380271604934</v>
      </c>
      <c r="AX155" s="9"/>
      <c r="AY155" s="21">
        <v>0.63018799999999997</v>
      </c>
      <c r="AZ155" s="21">
        <v>28.854099999999999</v>
      </c>
      <c r="BA155" s="21">
        <v>-1.4074700000000001E-2</v>
      </c>
      <c r="BB155" s="21">
        <v>145</v>
      </c>
      <c r="BC155" s="21">
        <v>0.62945600000000002</v>
      </c>
      <c r="BD155">
        <f t="shared" si="34"/>
        <v>17.376172839506172</v>
      </c>
      <c r="BE155">
        <f t="shared" si="35"/>
        <v>10.950255609382715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6.4666899999999998</v>
      </c>
      <c r="I156" s="21">
        <v>-1.37451E-2</v>
      </c>
      <c r="J156" s="21">
        <v>146</v>
      </c>
      <c r="K156" s="21">
        <v>1.0537700000000001</v>
      </c>
      <c r="L156">
        <f t="shared" si="24"/>
        <v>16.969259259259257</v>
      </c>
      <c r="M156">
        <f t="shared" si="25"/>
        <v>17.899853437037034</v>
      </c>
      <c r="N156" s="9"/>
      <c r="O156" s="21">
        <v>0.63522299999999998</v>
      </c>
      <c r="P156" s="21">
        <v>10.265700000000001</v>
      </c>
      <c r="Q156" s="21">
        <v>-1.4086899999999999E-2</v>
      </c>
      <c r="R156" s="21">
        <v>146</v>
      </c>
      <c r="S156" s="21">
        <v>0.63464399999999999</v>
      </c>
      <c r="T156">
        <f t="shared" si="26"/>
        <v>17.391234567901233</v>
      </c>
      <c r="U156">
        <f t="shared" si="27"/>
        <v>11.047312195925924</v>
      </c>
      <c r="X156" s="9"/>
      <c r="Y156" s="21">
        <v>1.05484</v>
      </c>
      <c r="Z156" s="21">
        <v>15.8279</v>
      </c>
      <c r="AA156" s="21">
        <v>-1.37299E-2</v>
      </c>
      <c r="AB156" s="21">
        <v>146</v>
      </c>
      <c r="AC156" s="21">
        <v>1.0540799999999999</v>
      </c>
      <c r="AD156">
        <f t="shared" si="28"/>
        <v>16.950493827160493</v>
      </c>
      <c r="AE156">
        <f t="shared" si="29"/>
        <v>17.880058908641974</v>
      </c>
      <c r="AF156" s="9"/>
      <c r="AG156" s="21">
        <v>0.63522299999999998</v>
      </c>
      <c r="AH156" s="21">
        <v>19.626899999999999</v>
      </c>
      <c r="AI156" s="21">
        <v>-1.4120499999999999E-2</v>
      </c>
      <c r="AJ156" s="21">
        <v>146</v>
      </c>
      <c r="AK156" s="21">
        <v>0.63464399999999999</v>
      </c>
      <c r="AL156">
        <f t="shared" si="30"/>
        <v>17.432716049382716</v>
      </c>
      <c r="AM156">
        <f t="shared" si="31"/>
        <v>11.073662187037037</v>
      </c>
      <c r="AP156" s="9"/>
      <c r="AQ156" s="21">
        <v>1.05484</v>
      </c>
      <c r="AR156" s="21">
        <v>25.065100000000001</v>
      </c>
      <c r="AS156" s="21">
        <v>-1.3772599999999999E-2</v>
      </c>
      <c r="AT156" s="21">
        <v>146</v>
      </c>
      <c r="AU156" s="21">
        <v>1.0537700000000001</v>
      </c>
      <c r="AV156">
        <f t="shared" si="32"/>
        <v>17.00320987654321</v>
      </c>
      <c r="AW156">
        <f t="shared" si="33"/>
        <v>17.93566590617284</v>
      </c>
      <c r="AX156" s="9"/>
      <c r="AY156" s="21">
        <v>0.63522299999999998</v>
      </c>
      <c r="AZ156" s="21">
        <v>28.8642</v>
      </c>
      <c r="BA156" s="21">
        <v>-1.4074700000000001E-2</v>
      </c>
      <c r="BB156" s="21">
        <v>146</v>
      </c>
      <c r="BC156" s="21">
        <v>0.63461299999999998</v>
      </c>
      <c r="BD156">
        <f t="shared" si="34"/>
        <v>17.376172839506172</v>
      </c>
      <c r="BE156">
        <f t="shared" si="35"/>
        <v>11.037744639629629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6.4767599999999996</v>
      </c>
      <c r="I157" s="21">
        <v>-1.37512E-2</v>
      </c>
      <c r="J157" s="21">
        <v>147</v>
      </c>
      <c r="K157" s="21">
        <v>1.0488900000000001</v>
      </c>
      <c r="L157">
        <f t="shared" si="24"/>
        <v>16.976790123456787</v>
      </c>
      <c r="M157">
        <f t="shared" si="25"/>
        <v>17.822234271604938</v>
      </c>
      <c r="N157" s="9"/>
      <c r="O157" s="21">
        <v>0.64025900000000002</v>
      </c>
      <c r="P157" s="21">
        <v>10.2758</v>
      </c>
      <c r="Q157" s="21">
        <v>-1.4093E-2</v>
      </c>
      <c r="R157" s="21">
        <v>147</v>
      </c>
      <c r="S157" s="21">
        <v>0.63964799999999999</v>
      </c>
      <c r="T157">
        <f t="shared" si="26"/>
        <v>17.398765432098763</v>
      </c>
      <c r="U157">
        <f t="shared" si="27"/>
        <v>11.139716156790122</v>
      </c>
      <c r="X157" s="9"/>
      <c r="Y157" s="21">
        <v>1.0498000000000001</v>
      </c>
      <c r="Z157" s="21">
        <v>15.837899999999999</v>
      </c>
      <c r="AA157" s="21">
        <v>-1.37512E-2</v>
      </c>
      <c r="AB157" s="21">
        <v>147</v>
      </c>
      <c r="AC157" s="21">
        <v>1.0491900000000001</v>
      </c>
      <c r="AD157">
        <f t="shared" si="28"/>
        <v>16.976790123456787</v>
      </c>
      <c r="AE157">
        <f t="shared" si="29"/>
        <v>17.822234271604938</v>
      </c>
      <c r="AF157" s="9"/>
      <c r="AG157" s="21">
        <v>0.64025900000000002</v>
      </c>
      <c r="AH157" s="21">
        <v>19.637</v>
      </c>
      <c r="AI157" s="21">
        <v>-1.4114399999999999E-2</v>
      </c>
      <c r="AJ157" s="21">
        <v>147</v>
      </c>
      <c r="AK157" s="21">
        <v>0.63964799999999999</v>
      </c>
      <c r="AL157">
        <f t="shared" si="30"/>
        <v>17.425185185185182</v>
      </c>
      <c r="AM157">
        <f t="shared" si="31"/>
        <v>11.15663164148148</v>
      </c>
      <c r="AP157" s="9"/>
      <c r="AQ157" s="21">
        <v>1.0498000000000001</v>
      </c>
      <c r="AR157" s="21">
        <v>25.075199999999999</v>
      </c>
      <c r="AS157" s="21">
        <v>-1.3781699999999999E-2</v>
      </c>
      <c r="AT157" s="21">
        <v>147</v>
      </c>
      <c r="AU157" s="21">
        <v>1.0488900000000001</v>
      </c>
      <c r="AV157">
        <f t="shared" si="32"/>
        <v>17.014444444444443</v>
      </c>
      <c r="AW157">
        <f t="shared" si="33"/>
        <v>17.861763777777778</v>
      </c>
      <c r="AX157" s="9"/>
      <c r="AY157" s="21">
        <v>0.64025900000000002</v>
      </c>
      <c r="AZ157" s="21">
        <v>28.874199999999998</v>
      </c>
      <c r="BA157" s="21">
        <v>-1.40594E-2</v>
      </c>
      <c r="BB157" s="21">
        <v>147</v>
      </c>
      <c r="BC157" s="21">
        <v>0.63973999999999998</v>
      </c>
      <c r="BD157">
        <f t="shared" si="34"/>
        <v>17.357283950617283</v>
      </c>
      <c r="BE157">
        <f t="shared" si="35"/>
        <v>11.113157264938271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6.4868300000000003</v>
      </c>
      <c r="I158" s="21">
        <v>-1.37573E-2</v>
      </c>
      <c r="J158" s="21">
        <v>148</v>
      </c>
      <c r="K158" s="21">
        <v>1.0437000000000001</v>
      </c>
      <c r="L158">
        <f t="shared" si="24"/>
        <v>16.984320987654321</v>
      </c>
      <c r="M158">
        <f t="shared" si="25"/>
        <v>17.744709038271605</v>
      </c>
      <c r="N158" s="9"/>
      <c r="O158" s="21">
        <v>0.64529400000000003</v>
      </c>
      <c r="P158" s="21">
        <v>10.2859</v>
      </c>
      <c r="Q158" s="21">
        <v>-1.4093E-2</v>
      </c>
      <c r="R158" s="21">
        <v>148</v>
      </c>
      <c r="S158" s="21">
        <v>0.64471400000000001</v>
      </c>
      <c r="T158">
        <f t="shared" si="26"/>
        <v>17.398765432098763</v>
      </c>
      <c r="U158">
        <f t="shared" si="27"/>
        <v>11.227318940740739</v>
      </c>
      <c r="X158" s="9"/>
      <c r="Y158" s="21">
        <v>1.04477</v>
      </c>
      <c r="Z158" s="21">
        <v>15.848000000000001</v>
      </c>
      <c r="AA158" s="21">
        <v>-1.37512E-2</v>
      </c>
      <c r="AB158" s="21">
        <v>148</v>
      </c>
      <c r="AC158" s="21">
        <v>1.0437000000000001</v>
      </c>
      <c r="AD158">
        <f t="shared" si="28"/>
        <v>16.976790123456787</v>
      </c>
      <c r="AE158">
        <f t="shared" si="29"/>
        <v>17.736841017283947</v>
      </c>
      <c r="AF158" s="9"/>
      <c r="AG158" s="21">
        <v>0.64529400000000003</v>
      </c>
      <c r="AH158" s="21">
        <v>19.647099999999998</v>
      </c>
      <c r="AI158" s="21">
        <v>-1.41052E-2</v>
      </c>
      <c r="AJ158" s="21">
        <v>148</v>
      </c>
      <c r="AK158" s="21">
        <v>0.64456199999999997</v>
      </c>
      <c r="AL158">
        <f t="shared" si="30"/>
        <v>17.413827160493828</v>
      </c>
      <c r="AM158">
        <f t="shared" si="31"/>
        <v>11.237038183703705</v>
      </c>
      <c r="AP158" s="9"/>
      <c r="AQ158" s="21">
        <v>1.04477</v>
      </c>
      <c r="AR158" s="21">
        <v>25.0852</v>
      </c>
      <c r="AS158" s="21">
        <v>-1.37939E-2</v>
      </c>
      <c r="AT158" s="21">
        <v>148</v>
      </c>
      <c r="AU158" s="21">
        <v>1.0437000000000001</v>
      </c>
      <c r="AV158">
        <f t="shared" si="32"/>
        <v>17.029506172839504</v>
      </c>
      <c r="AW158">
        <f t="shared" si="33"/>
        <v>17.791917164197528</v>
      </c>
      <c r="AX158" s="9"/>
      <c r="AY158" s="21">
        <v>0.64529400000000003</v>
      </c>
      <c r="AZ158" s="21">
        <v>28.8843</v>
      </c>
      <c r="BA158" s="21">
        <v>-1.40564E-2</v>
      </c>
      <c r="BB158" s="21">
        <v>148</v>
      </c>
      <c r="BC158" s="21">
        <v>0.64468400000000003</v>
      </c>
      <c r="BD158">
        <f t="shared" si="34"/>
        <v>17.35358024691358</v>
      </c>
      <c r="BE158">
        <f t="shared" si="35"/>
        <v>11.198161211851852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6.4969000000000001</v>
      </c>
      <c r="I159" s="21">
        <v>-1.3766499999999999E-2</v>
      </c>
      <c r="J159" s="21">
        <v>149</v>
      </c>
      <c r="K159" s="21">
        <v>1.0388200000000001</v>
      </c>
      <c r="L159">
        <f t="shared" si="24"/>
        <v>16.995679012345676</v>
      </c>
      <c r="M159">
        <f t="shared" si="25"/>
        <v>17.670917339506168</v>
      </c>
      <c r="N159" s="9"/>
      <c r="O159" s="21">
        <v>0.65032999999999996</v>
      </c>
      <c r="P159" s="21">
        <v>10.2959</v>
      </c>
      <c r="Q159" s="21">
        <v>-1.40991E-2</v>
      </c>
      <c r="R159" s="21">
        <v>149</v>
      </c>
      <c r="S159" s="21">
        <v>0.64962799999999998</v>
      </c>
      <c r="T159">
        <f t="shared" si="26"/>
        <v>17.406296296296293</v>
      </c>
      <c r="U159">
        <f t="shared" si="27"/>
        <v>11.319836670370368</v>
      </c>
      <c r="X159" s="9"/>
      <c r="Y159" s="21">
        <v>1.03973</v>
      </c>
      <c r="Z159" s="21">
        <v>15.8581</v>
      </c>
      <c r="AA159" s="21">
        <v>-1.3754300000000001E-2</v>
      </c>
      <c r="AB159" s="21">
        <v>149</v>
      </c>
      <c r="AC159" s="21">
        <v>1.03912</v>
      </c>
      <c r="AD159">
        <f t="shared" si="28"/>
        <v>16.980617283950615</v>
      </c>
      <c r="AE159">
        <f t="shared" si="29"/>
        <v>17.655257208641974</v>
      </c>
      <c r="AF159" s="9"/>
      <c r="AG159" s="21">
        <v>0.65032999999999996</v>
      </c>
      <c r="AH159" s="21">
        <v>19.6571</v>
      </c>
      <c r="AI159" s="21">
        <v>-1.41113E-2</v>
      </c>
      <c r="AJ159" s="21">
        <v>149</v>
      </c>
      <c r="AK159" s="21">
        <v>0.64965799999999996</v>
      </c>
      <c r="AL159">
        <f t="shared" si="30"/>
        <v>17.421358024691358</v>
      </c>
      <c r="AM159">
        <f t="shared" si="31"/>
        <v>11.329631764197531</v>
      </c>
      <c r="AP159" s="9"/>
      <c r="AQ159" s="21">
        <v>1.03973</v>
      </c>
      <c r="AR159" s="21">
        <v>25.095300000000002</v>
      </c>
      <c r="AS159" s="21">
        <v>-1.38031E-2</v>
      </c>
      <c r="AT159" s="21">
        <v>149</v>
      </c>
      <c r="AU159" s="21">
        <v>1.03851</v>
      </c>
      <c r="AV159">
        <f t="shared" si="32"/>
        <v>17.040864197530862</v>
      </c>
      <c r="AW159">
        <f t="shared" si="33"/>
        <v>17.717897732098763</v>
      </c>
      <c r="AX159" s="9"/>
      <c r="AY159" s="21">
        <v>0.65032999999999996</v>
      </c>
      <c r="AZ159" s="21">
        <v>28.894400000000001</v>
      </c>
      <c r="BA159" s="21">
        <v>-1.4047199999999999E-2</v>
      </c>
      <c r="BB159" s="21">
        <v>149</v>
      </c>
      <c r="BC159" s="21">
        <v>0.64965799999999996</v>
      </c>
      <c r="BD159">
        <f t="shared" si="34"/>
        <v>17.342222222222222</v>
      </c>
      <c r="BE159">
        <f t="shared" si="35"/>
        <v>11.278167377777777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6.5069699999999999</v>
      </c>
      <c r="I160" s="21">
        <v>-1.3775600000000001E-2</v>
      </c>
      <c r="J160" s="21">
        <v>150</v>
      </c>
      <c r="K160" s="21">
        <v>1.03363</v>
      </c>
      <c r="L160">
        <f t="shared" si="24"/>
        <v>17.006913580246916</v>
      </c>
      <c r="M160">
        <f t="shared" si="25"/>
        <v>17.597053481481485</v>
      </c>
      <c r="N160" s="9"/>
      <c r="O160" s="21">
        <v>0.65536499999999998</v>
      </c>
      <c r="P160" s="21">
        <v>10.305999999999999</v>
      </c>
      <c r="Q160" s="21">
        <v>-1.40991E-2</v>
      </c>
      <c r="R160" s="21">
        <v>150</v>
      </c>
      <c r="S160" s="21">
        <v>0.65481599999999995</v>
      </c>
      <c r="T160">
        <f t="shared" si="26"/>
        <v>17.406296296296293</v>
      </c>
      <c r="U160">
        <f t="shared" si="27"/>
        <v>11.407477372222219</v>
      </c>
      <c r="X160" s="9"/>
      <c r="Y160" s="21">
        <v>1.0347</v>
      </c>
      <c r="Z160" s="21">
        <v>15.8682</v>
      </c>
      <c r="AA160" s="21">
        <v>-1.37634E-2</v>
      </c>
      <c r="AB160" s="21">
        <v>150</v>
      </c>
      <c r="AC160" s="21">
        <v>1.0339400000000001</v>
      </c>
      <c r="AD160">
        <f t="shared" si="28"/>
        <v>16.991851851851852</v>
      </c>
      <c r="AE160">
        <f t="shared" si="29"/>
        <v>17.581469111111112</v>
      </c>
      <c r="AF160" s="9"/>
      <c r="AG160" s="21">
        <v>0.65536499999999998</v>
      </c>
      <c r="AH160" s="21">
        <v>19.667200000000001</v>
      </c>
      <c r="AI160" s="21">
        <v>-1.4129600000000001E-2</v>
      </c>
      <c r="AJ160" s="21">
        <v>150</v>
      </c>
      <c r="AK160" s="21">
        <v>0.65472399999999997</v>
      </c>
      <c r="AL160">
        <f t="shared" si="30"/>
        <v>17.443950617283949</v>
      </c>
      <c r="AM160">
        <f t="shared" si="31"/>
        <v>11.432154696296296</v>
      </c>
      <c r="AP160" s="9"/>
      <c r="AQ160" s="21">
        <v>1.0347</v>
      </c>
      <c r="AR160" s="21">
        <v>25.105399999999999</v>
      </c>
      <c r="AS160" s="21">
        <v>-1.3806199999999999E-2</v>
      </c>
      <c r="AT160" s="21">
        <v>150</v>
      </c>
      <c r="AU160" s="21">
        <v>1.03363</v>
      </c>
      <c r="AV160">
        <f t="shared" si="32"/>
        <v>17.044691358024689</v>
      </c>
      <c r="AW160">
        <f t="shared" si="33"/>
        <v>17.636142148148146</v>
      </c>
      <c r="AX160" s="9"/>
      <c r="AY160" s="21">
        <v>0.65536499999999998</v>
      </c>
      <c r="AZ160" s="21">
        <v>28.904399999999999</v>
      </c>
      <c r="BA160" s="21">
        <v>-1.4041100000000001E-2</v>
      </c>
      <c r="BB160" s="21">
        <v>150</v>
      </c>
      <c r="BC160" s="21">
        <v>0.65481599999999995</v>
      </c>
      <c r="BD160">
        <f t="shared" si="34"/>
        <v>17.334691358024692</v>
      </c>
      <c r="BE160">
        <f t="shared" si="35"/>
        <v>11.360550001851852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6.5170399999999997</v>
      </c>
      <c r="I161" s="21">
        <v>-1.3775600000000001E-2</v>
      </c>
      <c r="J161" s="21">
        <v>151</v>
      </c>
      <c r="K161" s="21">
        <v>1.02905</v>
      </c>
      <c r="L161">
        <f t="shared" si="24"/>
        <v>17.006913580246916</v>
      </c>
      <c r="M161">
        <f t="shared" si="25"/>
        <v>17.511338637037039</v>
      </c>
      <c r="N161" s="9"/>
      <c r="O161" s="21">
        <v>0.66039999999999999</v>
      </c>
      <c r="P161" s="21">
        <v>10.3161</v>
      </c>
      <c r="Q161" s="21">
        <v>-1.41052E-2</v>
      </c>
      <c r="R161" s="21">
        <v>151</v>
      </c>
      <c r="S161" s="21">
        <v>0.65976000000000001</v>
      </c>
      <c r="T161">
        <f t="shared" si="26"/>
        <v>17.413827160493828</v>
      </c>
      <c r="U161">
        <f t="shared" si="27"/>
        <v>11.500091456790123</v>
      </c>
      <c r="X161" s="9"/>
      <c r="Y161" s="21">
        <v>1.02966</v>
      </c>
      <c r="Z161" s="21">
        <v>15.8782</v>
      </c>
      <c r="AA161" s="21">
        <v>-1.3775600000000001E-2</v>
      </c>
      <c r="AB161" s="21">
        <v>151</v>
      </c>
      <c r="AC161" s="21">
        <v>1.0281400000000001</v>
      </c>
      <c r="AD161">
        <f t="shared" si="28"/>
        <v>17.006913580246916</v>
      </c>
      <c r="AE161">
        <f t="shared" si="29"/>
        <v>17.511338637037039</v>
      </c>
      <c r="AF161" s="9"/>
      <c r="AG161" s="21">
        <v>0.66039999999999999</v>
      </c>
      <c r="AH161" s="21">
        <v>19.677299999999999</v>
      </c>
      <c r="AI161" s="21">
        <v>-1.41174E-2</v>
      </c>
      <c r="AJ161" s="21">
        <v>151</v>
      </c>
      <c r="AK161" s="21">
        <v>0.65978999999999999</v>
      </c>
      <c r="AL161">
        <f t="shared" si="30"/>
        <v>17.428888888888888</v>
      </c>
      <c r="AM161">
        <f t="shared" si="31"/>
        <v>11.510038222222221</v>
      </c>
      <c r="AP161" s="9"/>
      <c r="AQ161" s="21">
        <v>1.02966</v>
      </c>
      <c r="AR161" s="21">
        <v>25.115500000000001</v>
      </c>
      <c r="AS161" s="21">
        <v>-1.38184E-2</v>
      </c>
      <c r="AT161" s="21">
        <v>151</v>
      </c>
      <c r="AU161" s="21">
        <v>1.0287500000000001</v>
      </c>
      <c r="AV161">
        <f t="shared" si="32"/>
        <v>17.05975308641975</v>
      </c>
      <c r="AW161">
        <f t="shared" si="33"/>
        <v>17.565745362962961</v>
      </c>
      <c r="AX161" s="9"/>
      <c r="AY161" s="21">
        <v>0.66039999999999999</v>
      </c>
      <c r="AZ161" s="21">
        <v>28.9145</v>
      </c>
      <c r="BA161" s="21">
        <v>-1.4041100000000001E-2</v>
      </c>
      <c r="BB161" s="21">
        <v>151</v>
      </c>
      <c r="BC161" s="21">
        <v>0.65972900000000001</v>
      </c>
      <c r="BD161">
        <f t="shared" si="34"/>
        <v>17.334691358024692</v>
      </c>
      <c r="BE161">
        <f t="shared" si="35"/>
        <v>11.447830172839506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6.5271100000000004</v>
      </c>
      <c r="I162" s="21">
        <v>-1.3766499999999999E-2</v>
      </c>
      <c r="J162" s="21">
        <v>152</v>
      </c>
      <c r="K162" s="21">
        <v>1.02356</v>
      </c>
      <c r="L162">
        <f t="shared" si="24"/>
        <v>16.995679012345676</v>
      </c>
      <c r="M162">
        <f t="shared" si="25"/>
        <v>17.414282586419748</v>
      </c>
      <c r="N162" s="9"/>
      <c r="O162" s="21">
        <v>0.66543600000000003</v>
      </c>
      <c r="P162" s="21">
        <v>10.3262</v>
      </c>
      <c r="Q162" s="21">
        <v>-1.4108300000000001E-2</v>
      </c>
      <c r="R162" s="21">
        <v>152</v>
      </c>
      <c r="S162" s="21">
        <v>0.664825</v>
      </c>
      <c r="T162">
        <f t="shared" si="26"/>
        <v>17.417654320987655</v>
      </c>
      <c r="U162">
        <f t="shared" si="27"/>
        <v>11.590334220740742</v>
      </c>
      <c r="X162" s="9"/>
      <c r="Y162" s="21">
        <v>1.0246299999999999</v>
      </c>
      <c r="Z162" s="21">
        <v>15.888299999999999</v>
      </c>
      <c r="AA162" s="21">
        <v>-1.3797E-2</v>
      </c>
      <c r="AB162" s="21">
        <v>152</v>
      </c>
      <c r="AC162" s="21">
        <v>1.02386</v>
      </c>
      <c r="AD162">
        <f t="shared" si="28"/>
        <v>17.033333333333331</v>
      </c>
      <c r="AE162">
        <f t="shared" si="29"/>
        <v>17.452864333333331</v>
      </c>
      <c r="AF162" s="9"/>
      <c r="AG162" s="21">
        <v>0.66543600000000003</v>
      </c>
      <c r="AH162" s="21">
        <v>19.6873</v>
      </c>
      <c r="AI162" s="21">
        <v>-1.41052E-2</v>
      </c>
      <c r="AJ162" s="21">
        <v>152</v>
      </c>
      <c r="AK162" s="21">
        <v>0.66479500000000002</v>
      </c>
      <c r="AL162">
        <f t="shared" si="30"/>
        <v>17.413827160493828</v>
      </c>
      <c r="AM162">
        <f t="shared" si="31"/>
        <v>11.587787490370371</v>
      </c>
      <c r="AP162" s="9"/>
      <c r="AQ162" s="21">
        <v>1.0246299999999999</v>
      </c>
      <c r="AR162" s="21">
        <v>25.125499999999999</v>
      </c>
      <c r="AS162" s="21">
        <v>-1.38367E-2</v>
      </c>
      <c r="AT162" s="21">
        <v>152</v>
      </c>
      <c r="AU162" s="21">
        <v>1.02325</v>
      </c>
      <c r="AV162">
        <f t="shared" si="32"/>
        <v>17.082345679012345</v>
      </c>
      <c r="AW162">
        <f t="shared" si="33"/>
        <v>17.503083853086419</v>
      </c>
      <c r="AX162" s="9"/>
      <c r="AY162" s="21">
        <v>0.66543600000000003</v>
      </c>
      <c r="AZ162" s="21">
        <v>28.924600000000002</v>
      </c>
      <c r="BA162" s="21">
        <v>-1.4035000000000001E-2</v>
      </c>
      <c r="BB162" s="21">
        <v>152</v>
      </c>
      <c r="BC162" s="21">
        <v>0.66479500000000002</v>
      </c>
      <c r="BD162">
        <f t="shared" si="34"/>
        <v>17.327160493827162</v>
      </c>
      <c r="BE162">
        <f t="shared" si="35"/>
        <v>11.530116370370372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6.5371899999999998</v>
      </c>
      <c r="I163" s="21">
        <v>-1.37573E-2</v>
      </c>
      <c r="J163" s="21">
        <v>153</v>
      </c>
      <c r="K163" s="21">
        <v>1.01807</v>
      </c>
      <c r="L163">
        <f t="shared" si="24"/>
        <v>16.984320987654321</v>
      </c>
      <c r="M163">
        <f t="shared" si="25"/>
        <v>17.317043835802469</v>
      </c>
      <c r="N163" s="9"/>
      <c r="O163" s="21">
        <v>0.67047100000000004</v>
      </c>
      <c r="P163" s="21">
        <v>10.3362</v>
      </c>
      <c r="Q163" s="21">
        <v>-1.4108300000000001E-2</v>
      </c>
      <c r="R163" s="21">
        <v>153</v>
      </c>
      <c r="S163" s="21">
        <v>0.66983000000000004</v>
      </c>
      <c r="T163">
        <f t="shared" si="26"/>
        <v>17.417654320987655</v>
      </c>
      <c r="U163">
        <f t="shared" si="27"/>
        <v>11.678032110246914</v>
      </c>
      <c r="X163" s="9"/>
      <c r="Y163" s="21">
        <v>1.01959</v>
      </c>
      <c r="Z163" s="21">
        <v>15.898400000000001</v>
      </c>
      <c r="AA163" s="21">
        <v>-1.38123E-2</v>
      </c>
      <c r="AB163" s="21">
        <v>153</v>
      </c>
      <c r="AC163" s="21">
        <v>1.01837</v>
      </c>
      <c r="AD163">
        <f t="shared" si="28"/>
        <v>17.052222222222223</v>
      </c>
      <c r="AE163">
        <f t="shared" si="29"/>
        <v>17.386275255555557</v>
      </c>
      <c r="AF163" s="9"/>
      <c r="AG163" s="21">
        <v>0.67047100000000004</v>
      </c>
      <c r="AH163" s="21">
        <v>19.697399999999998</v>
      </c>
      <c r="AI163" s="21">
        <v>-1.409E-2</v>
      </c>
      <c r="AJ163" s="21">
        <v>153</v>
      </c>
      <c r="AK163" s="21">
        <v>0.66961700000000002</v>
      </c>
      <c r="AL163">
        <f t="shared" si="30"/>
        <v>17.39506172839506</v>
      </c>
      <c r="AM163">
        <f t="shared" si="31"/>
        <v>11.662884432098766</v>
      </c>
      <c r="AP163" s="9"/>
      <c r="AQ163" s="21">
        <v>1.01959</v>
      </c>
      <c r="AR163" s="21">
        <v>25.1356</v>
      </c>
      <c r="AS163" s="21">
        <v>-1.3848900000000001E-2</v>
      </c>
      <c r="AT163" s="21">
        <v>153</v>
      </c>
      <c r="AU163" s="21">
        <v>1.01898</v>
      </c>
      <c r="AV163">
        <f t="shared" si="32"/>
        <v>17.09740740740741</v>
      </c>
      <c r="AW163">
        <f t="shared" si="33"/>
        <v>17.432345618518521</v>
      </c>
      <c r="AX163" s="9"/>
      <c r="AY163" s="21">
        <v>0.67047100000000004</v>
      </c>
      <c r="AZ163" s="21">
        <v>28.9346</v>
      </c>
      <c r="BA163" s="21">
        <v>-1.4031999999999999E-2</v>
      </c>
      <c r="BB163" s="21">
        <v>153</v>
      </c>
      <c r="BC163" s="21">
        <v>0.66973899999999997</v>
      </c>
      <c r="BD163">
        <f t="shared" si="34"/>
        <v>17.323456790123455</v>
      </c>
      <c r="BE163">
        <f t="shared" si="35"/>
        <v>11.614875397530863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6.5472599999999996</v>
      </c>
      <c r="I164" s="21">
        <v>-1.37482E-2</v>
      </c>
      <c r="J164" s="21">
        <v>154</v>
      </c>
      <c r="K164" s="21">
        <v>1.01379</v>
      </c>
      <c r="L164">
        <f t="shared" si="24"/>
        <v>16.973086419753084</v>
      </c>
      <c r="M164">
        <f t="shared" si="25"/>
        <v>17.220214558024686</v>
      </c>
      <c r="N164" s="9"/>
      <c r="O164" s="21">
        <v>0.67550699999999997</v>
      </c>
      <c r="P164" s="21">
        <v>10.346299999999999</v>
      </c>
      <c r="Q164" s="21">
        <v>-1.41022E-2</v>
      </c>
      <c r="R164" s="21">
        <v>154</v>
      </c>
      <c r="S164" s="21">
        <v>0.67480499999999999</v>
      </c>
      <c r="T164">
        <f t="shared" si="26"/>
        <v>17.410123456790124</v>
      </c>
      <c r="U164">
        <f t="shared" si="27"/>
        <v>11.760660265925926</v>
      </c>
      <c r="X164" s="9"/>
      <c r="Y164" s="21">
        <v>1.0145599999999999</v>
      </c>
      <c r="Z164" s="21">
        <v>15.9084</v>
      </c>
      <c r="AA164" s="21">
        <v>-1.3815300000000001E-2</v>
      </c>
      <c r="AB164" s="21">
        <v>154</v>
      </c>
      <c r="AC164" s="21">
        <v>1.01318</v>
      </c>
      <c r="AD164">
        <f t="shared" si="28"/>
        <v>17.055925925925926</v>
      </c>
      <c r="AE164">
        <f t="shared" si="29"/>
        <v>17.304260207407406</v>
      </c>
      <c r="AF164" s="9"/>
      <c r="AG164" s="21">
        <v>0.67550699999999997</v>
      </c>
      <c r="AH164" s="21">
        <v>19.7075</v>
      </c>
      <c r="AI164" s="21">
        <v>-1.4086899999999999E-2</v>
      </c>
      <c r="AJ164" s="21">
        <v>154</v>
      </c>
      <c r="AK164" s="21">
        <v>0.67483499999999996</v>
      </c>
      <c r="AL164">
        <f t="shared" si="30"/>
        <v>17.391234567901233</v>
      </c>
      <c r="AM164">
        <f t="shared" si="31"/>
        <v>11.747900689259257</v>
      </c>
      <c r="AP164" s="9"/>
      <c r="AQ164" s="21">
        <v>1.0145599999999999</v>
      </c>
      <c r="AR164" s="21">
        <v>25.145700000000001</v>
      </c>
      <c r="AS164" s="21">
        <v>-1.3858000000000001E-2</v>
      </c>
      <c r="AT164" s="21">
        <v>154</v>
      </c>
      <c r="AU164" s="21">
        <v>1.01349</v>
      </c>
      <c r="AV164">
        <f t="shared" si="32"/>
        <v>17.10864197530864</v>
      </c>
      <c r="AW164">
        <f t="shared" si="33"/>
        <v>17.35774380246913</v>
      </c>
      <c r="AX164" s="9"/>
      <c r="AY164" s="21">
        <v>0.67550699999999997</v>
      </c>
      <c r="AZ164" s="21">
        <v>28.944700000000001</v>
      </c>
      <c r="BA164" s="21">
        <v>-1.4019800000000001E-2</v>
      </c>
      <c r="BB164" s="21">
        <v>154</v>
      </c>
      <c r="BC164" s="21">
        <v>0.67483499999999996</v>
      </c>
      <c r="BD164">
        <f t="shared" si="34"/>
        <v>17.308395061728394</v>
      </c>
      <c r="BE164">
        <f t="shared" si="35"/>
        <v>11.691942022962962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6.5573300000000003</v>
      </c>
      <c r="I165" s="21">
        <v>-1.37482E-2</v>
      </c>
      <c r="J165" s="21">
        <v>155</v>
      </c>
      <c r="K165" s="21">
        <v>1.00861</v>
      </c>
      <c r="L165">
        <f t="shared" si="24"/>
        <v>16.973086419753084</v>
      </c>
      <c r="M165">
        <f t="shared" si="25"/>
        <v>17.134670202469135</v>
      </c>
      <c r="N165" s="9"/>
      <c r="O165" s="21">
        <v>0.68054199999999998</v>
      </c>
      <c r="P165" s="21">
        <v>10.356400000000001</v>
      </c>
      <c r="Q165" s="21">
        <v>-1.40961E-2</v>
      </c>
      <c r="R165" s="21">
        <v>155</v>
      </c>
      <c r="S165" s="21">
        <v>0.67974900000000005</v>
      </c>
      <c r="T165">
        <f t="shared" si="26"/>
        <v>17.40259259259259</v>
      </c>
      <c r="U165">
        <f t="shared" si="27"/>
        <v>11.843195168148146</v>
      </c>
      <c r="X165" s="9"/>
      <c r="Y165" s="21">
        <v>1.00952</v>
      </c>
      <c r="Z165" s="21">
        <v>15.9185</v>
      </c>
      <c r="AA165" s="21">
        <v>-1.3815300000000001E-2</v>
      </c>
      <c r="AB165" s="21">
        <v>155</v>
      </c>
      <c r="AC165" s="21">
        <v>1.00861</v>
      </c>
      <c r="AD165">
        <f t="shared" si="28"/>
        <v>17.055925925925926</v>
      </c>
      <c r="AE165">
        <f t="shared" si="29"/>
        <v>17.218298340740741</v>
      </c>
      <c r="AF165" s="9"/>
      <c r="AG165" s="21">
        <v>0.68054199999999998</v>
      </c>
      <c r="AH165" s="21">
        <v>19.717600000000001</v>
      </c>
      <c r="AI165" s="21">
        <v>-1.4080799999999999E-2</v>
      </c>
      <c r="AJ165" s="21">
        <v>155</v>
      </c>
      <c r="AK165" s="21">
        <v>0.679871</v>
      </c>
      <c r="AL165">
        <f t="shared" si="30"/>
        <v>17.383703703703702</v>
      </c>
      <c r="AM165">
        <f t="shared" si="31"/>
        <v>11.830340485925925</v>
      </c>
      <c r="AP165" s="9"/>
      <c r="AQ165" s="21">
        <v>1.00952</v>
      </c>
      <c r="AR165" s="21">
        <v>25.1557</v>
      </c>
      <c r="AS165" s="21">
        <v>-1.3858000000000001E-2</v>
      </c>
      <c r="AT165" s="21">
        <v>155</v>
      </c>
      <c r="AU165" s="21">
        <v>1.00891</v>
      </c>
      <c r="AV165">
        <f t="shared" si="32"/>
        <v>17.10864197530864</v>
      </c>
      <c r="AW165">
        <f t="shared" si="33"/>
        <v>17.271516246913578</v>
      </c>
      <c r="AX165" s="9"/>
      <c r="AY165" s="21">
        <v>0.68054199999999998</v>
      </c>
      <c r="AZ165" s="21">
        <v>28.954799999999999</v>
      </c>
      <c r="BA165" s="21">
        <v>-1.40106E-2</v>
      </c>
      <c r="BB165" s="21">
        <v>155</v>
      </c>
      <c r="BC165" s="21">
        <v>0.67984</v>
      </c>
      <c r="BD165">
        <f t="shared" si="34"/>
        <v>17.297037037037036</v>
      </c>
      <c r="BE165">
        <f t="shared" si="35"/>
        <v>11.771360179259258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6.5674000000000001</v>
      </c>
      <c r="I166" s="21">
        <v>-1.3760400000000001E-2</v>
      </c>
      <c r="J166" s="21">
        <v>156</v>
      </c>
      <c r="K166" s="21">
        <v>1.0037199999999999</v>
      </c>
      <c r="L166">
        <f t="shared" si="24"/>
        <v>16.988148148148149</v>
      </c>
      <c r="M166">
        <f t="shared" si="25"/>
        <v>17.064424933333335</v>
      </c>
      <c r="N166" s="9"/>
      <c r="O166" s="21">
        <v>0.68557699999999999</v>
      </c>
      <c r="P166" s="21">
        <v>10.366400000000001</v>
      </c>
      <c r="Q166" s="21">
        <v>-1.4093E-2</v>
      </c>
      <c r="R166" s="21">
        <v>156</v>
      </c>
      <c r="S166" s="21">
        <v>0.68475299999999995</v>
      </c>
      <c r="T166">
        <f t="shared" si="26"/>
        <v>17.398765432098763</v>
      </c>
      <c r="U166">
        <f t="shared" si="27"/>
        <v>11.928193408641974</v>
      </c>
      <c r="X166" s="9"/>
      <c r="Y166" s="21">
        <v>1.0044900000000001</v>
      </c>
      <c r="Z166" s="21">
        <v>15.928599999999999</v>
      </c>
      <c r="AA166" s="21">
        <v>-1.38123E-2</v>
      </c>
      <c r="AB166" s="21">
        <v>156</v>
      </c>
      <c r="AC166" s="21">
        <v>1.00342</v>
      </c>
      <c r="AD166">
        <f t="shared" si="28"/>
        <v>17.052222222222223</v>
      </c>
      <c r="AE166">
        <f t="shared" si="29"/>
        <v>17.128786700000003</v>
      </c>
      <c r="AF166" s="9"/>
      <c r="AG166" s="21">
        <v>0.68557699999999999</v>
      </c>
      <c r="AH166" s="21">
        <v>19.727599999999999</v>
      </c>
      <c r="AI166" s="21">
        <v>-1.4086899999999999E-2</v>
      </c>
      <c r="AJ166" s="21">
        <v>156</v>
      </c>
      <c r="AK166" s="21">
        <v>0.68511999999999995</v>
      </c>
      <c r="AL166">
        <f t="shared" si="30"/>
        <v>17.391234567901233</v>
      </c>
      <c r="AM166">
        <f t="shared" si="31"/>
        <v>11.923030421358023</v>
      </c>
      <c r="AP166" s="9"/>
      <c r="AQ166" s="21">
        <v>1.0044900000000001</v>
      </c>
      <c r="AR166" s="21">
        <v>25.165800000000001</v>
      </c>
      <c r="AS166" s="21">
        <v>-1.3858000000000001E-2</v>
      </c>
      <c r="AT166" s="21">
        <v>156</v>
      </c>
      <c r="AU166" s="21">
        <v>1.0031099999999999</v>
      </c>
      <c r="AV166">
        <f t="shared" si="32"/>
        <v>17.10864197530864</v>
      </c>
      <c r="AW166">
        <f t="shared" si="33"/>
        <v>17.185459777777776</v>
      </c>
      <c r="AX166" s="9"/>
      <c r="AY166" s="21">
        <v>0.68557699999999999</v>
      </c>
      <c r="AZ166" s="21">
        <v>28.9649</v>
      </c>
      <c r="BA166" s="21">
        <v>-1.39954E-2</v>
      </c>
      <c r="BB166" s="21">
        <v>156</v>
      </c>
      <c r="BC166" s="21">
        <v>0.684998</v>
      </c>
      <c r="BD166">
        <f t="shared" si="34"/>
        <v>17.278271604938272</v>
      </c>
      <c r="BE166">
        <f t="shared" si="35"/>
        <v>11.845585612098766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6.5774699999999999</v>
      </c>
      <c r="I167" s="21">
        <v>-1.3766499999999999E-2</v>
      </c>
      <c r="J167" s="21">
        <v>157</v>
      </c>
      <c r="K167" s="21">
        <v>0.99792499999999995</v>
      </c>
      <c r="L167">
        <f t="shared" si="24"/>
        <v>16.995679012345676</v>
      </c>
      <c r="M167">
        <f t="shared" si="25"/>
        <v>16.986348384567897</v>
      </c>
      <c r="N167" s="9"/>
      <c r="O167" s="21">
        <v>0.69061300000000003</v>
      </c>
      <c r="P167" s="21">
        <v>10.3765</v>
      </c>
      <c r="Q167" s="21">
        <v>-1.4093E-2</v>
      </c>
      <c r="R167" s="21">
        <v>157</v>
      </c>
      <c r="S167" s="21">
        <v>0.68994100000000003</v>
      </c>
      <c r="T167">
        <f t="shared" si="26"/>
        <v>17.398765432098763</v>
      </c>
      <c r="U167">
        <f t="shared" si="27"/>
        <v>12.015813591358024</v>
      </c>
      <c r="X167" s="9"/>
      <c r="Y167" s="21">
        <v>0.99945099999999998</v>
      </c>
      <c r="Z167" s="21">
        <v>15.938700000000001</v>
      </c>
      <c r="AA167" s="21">
        <v>-1.3809200000000001E-2</v>
      </c>
      <c r="AB167" s="21">
        <v>157</v>
      </c>
      <c r="AC167" s="21">
        <v>0.99883999999999995</v>
      </c>
      <c r="AD167">
        <f t="shared" si="28"/>
        <v>17.048395061728392</v>
      </c>
      <c r="AE167">
        <f t="shared" si="29"/>
        <v>17.039035492839503</v>
      </c>
      <c r="AF167" s="9"/>
      <c r="AG167" s="21">
        <v>0.69061300000000003</v>
      </c>
      <c r="AH167" s="21">
        <v>19.7377</v>
      </c>
      <c r="AI167" s="21">
        <v>-1.4080799999999999E-2</v>
      </c>
      <c r="AJ167" s="21">
        <v>157</v>
      </c>
      <c r="AK167" s="21">
        <v>0.690002</v>
      </c>
      <c r="AL167">
        <f t="shared" si="30"/>
        <v>17.383703703703702</v>
      </c>
      <c r="AM167">
        <f t="shared" si="31"/>
        <v>12.005411765925926</v>
      </c>
      <c r="AP167" s="9"/>
      <c r="AQ167" s="21">
        <v>0.99945099999999998</v>
      </c>
      <c r="AR167" s="21">
        <v>25.175899999999999</v>
      </c>
      <c r="AS167" s="21">
        <v>-1.3854999999999999E-2</v>
      </c>
      <c r="AT167" s="21">
        <v>157</v>
      </c>
      <c r="AU167" s="21">
        <v>0.99853499999999995</v>
      </c>
      <c r="AV167">
        <f t="shared" si="32"/>
        <v>17.104938271604937</v>
      </c>
      <c r="AW167">
        <f t="shared" si="33"/>
        <v>17.095547660493825</v>
      </c>
      <c r="AX167" s="9"/>
      <c r="AY167" s="21">
        <v>0.69061300000000003</v>
      </c>
      <c r="AZ167" s="21">
        <v>28.974900000000002</v>
      </c>
      <c r="BA167" s="21">
        <v>-1.3986200000000001E-2</v>
      </c>
      <c r="BB167" s="21">
        <v>157</v>
      </c>
      <c r="BC167" s="21">
        <v>0.69009399999999999</v>
      </c>
      <c r="BD167">
        <f t="shared" si="34"/>
        <v>17.266913580246914</v>
      </c>
      <c r="BE167">
        <f t="shared" si="35"/>
        <v>11.924754988395062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6.5875399999999997</v>
      </c>
      <c r="I168" s="21">
        <v>-1.3772599999999999E-2</v>
      </c>
      <c r="J168" s="21">
        <v>158</v>
      </c>
      <c r="K168" s="21">
        <v>0.99365199999999998</v>
      </c>
      <c r="L168">
        <f t="shared" si="24"/>
        <v>17.00320987654321</v>
      </c>
      <c r="M168">
        <f t="shared" si="25"/>
        <v>16.908246949382718</v>
      </c>
      <c r="N168" s="9"/>
      <c r="O168" s="21">
        <v>0.69564800000000004</v>
      </c>
      <c r="P168" s="21">
        <v>10.3866</v>
      </c>
      <c r="Q168" s="21">
        <v>-1.40839E-2</v>
      </c>
      <c r="R168" s="21">
        <v>158</v>
      </c>
      <c r="S168" s="21">
        <v>0.69500700000000004</v>
      </c>
      <c r="T168">
        <f t="shared" si="26"/>
        <v>17.387530864197529</v>
      </c>
      <c r="U168">
        <f t="shared" si="27"/>
        <v>12.095601070617283</v>
      </c>
      <c r="X168" s="9"/>
      <c r="Y168" s="21">
        <v>0.99441500000000005</v>
      </c>
      <c r="Z168" s="21">
        <v>15.948700000000001</v>
      </c>
      <c r="AA168" s="21">
        <v>-1.3821399999999999E-2</v>
      </c>
      <c r="AB168" s="21">
        <v>158</v>
      </c>
      <c r="AC168" s="21">
        <v>0.99304199999999998</v>
      </c>
      <c r="AD168">
        <f t="shared" si="28"/>
        <v>17.063456790123453</v>
      </c>
      <c r="AE168">
        <f t="shared" si="29"/>
        <v>16.968157383950615</v>
      </c>
      <c r="AF168" s="9"/>
      <c r="AG168" s="21">
        <v>0.69564800000000004</v>
      </c>
      <c r="AH168" s="21">
        <v>19.747800000000002</v>
      </c>
      <c r="AI168" s="21">
        <v>-1.40778E-2</v>
      </c>
      <c r="AJ168" s="21">
        <v>158</v>
      </c>
      <c r="AK168" s="21">
        <v>0.69494599999999995</v>
      </c>
      <c r="AL168">
        <f t="shared" si="30"/>
        <v>17.38</v>
      </c>
      <c r="AM168">
        <f t="shared" si="31"/>
        <v>12.090362239999999</v>
      </c>
      <c r="AP168" s="9"/>
      <c r="AQ168" s="21">
        <v>0.99441500000000005</v>
      </c>
      <c r="AR168" s="21">
        <v>25.186</v>
      </c>
      <c r="AS168" s="21">
        <v>-1.3864100000000001E-2</v>
      </c>
      <c r="AT168" s="21">
        <v>158</v>
      </c>
      <c r="AU168" s="21">
        <v>0.99334699999999998</v>
      </c>
      <c r="AV168">
        <f t="shared" si="32"/>
        <v>17.11617283950617</v>
      </c>
      <c r="AW168">
        <f t="shared" si="33"/>
        <v>17.02057901419753</v>
      </c>
      <c r="AX168" s="9"/>
      <c r="AY168" s="21">
        <v>0.69564800000000004</v>
      </c>
      <c r="AZ168" s="21">
        <v>28.984999999999999</v>
      </c>
      <c r="BA168" s="21">
        <v>-1.39893E-2</v>
      </c>
      <c r="BB168" s="21">
        <v>158</v>
      </c>
      <c r="BC168" s="21">
        <v>0.69497699999999996</v>
      </c>
      <c r="BD168">
        <f t="shared" si="34"/>
        <v>17.270740740740738</v>
      </c>
      <c r="BE168">
        <f t="shared" si="35"/>
        <v>12.014356254814814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6.5976100000000004</v>
      </c>
      <c r="I169" s="21">
        <v>-1.3781699999999999E-2</v>
      </c>
      <c r="J169" s="21">
        <v>159</v>
      </c>
      <c r="K169" s="21">
        <v>0.98907500000000004</v>
      </c>
      <c r="L169">
        <f t="shared" si="24"/>
        <v>17.014444444444443</v>
      </c>
      <c r="M169">
        <f t="shared" si="25"/>
        <v>16.833751044444444</v>
      </c>
      <c r="N169" s="9"/>
      <c r="O169" s="21">
        <v>0.70068399999999997</v>
      </c>
      <c r="P169" s="21">
        <v>10.396699999999999</v>
      </c>
      <c r="Q169" s="21">
        <v>-1.40778E-2</v>
      </c>
      <c r="R169" s="21">
        <v>159</v>
      </c>
      <c r="S169" s="21">
        <v>0.70004299999999997</v>
      </c>
      <c r="T169">
        <f t="shared" si="26"/>
        <v>17.38</v>
      </c>
      <c r="U169">
        <f t="shared" si="27"/>
        <v>12.177887919999998</v>
      </c>
      <c r="X169" s="9"/>
      <c r="Y169" s="21">
        <v>0.98938000000000004</v>
      </c>
      <c r="Z169" s="21">
        <v>15.9588</v>
      </c>
      <c r="AA169" s="21">
        <v>-1.38336E-2</v>
      </c>
      <c r="AB169" s="21">
        <v>159</v>
      </c>
      <c r="AC169" s="21">
        <v>0.98846400000000001</v>
      </c>
      <c r="AD169">
        <f t="shared" si="28"/>
        <v>17.078518518518518</v>
      </c>
      <c r="AE169">
        <f t="shared" si="29"/>
        <v>16.897144651851853</v>
      </c>
      <c r="AF169" s="9"/>
      <c r="AG169" s="21">
        <v>0.70068399999999997</v>
      </c>
      <c r="AH169" s="21">
        <v>19.7578</v>
      </c>
      <c r="AI169" s="21">
        <v>-1.4080799999999999E-2</v>
      </c>
      <c r="AJ169" s="21">
        <v>159</v>
      </c>
      <c r="AK169" s="21">
        <v>0.70001199999999997</v>
      </c>
      <c r="AL169">
        <f t="shared" si="30"/>
        <v>17.383703703703702</v>
      </c>
      <c r="AM169">
        <f t="shared" si="31"/>
        <v>12.180483045925925</v>
      </c>
      <c r="AP169" s="9"/>
      <c r="AQ169" s="21">
        <v>0.98938000000000004</v>
      </c>
      <c r="AR169" s="21">
        <v>25.196000000000002</v>
      </c>
      <c r="AS169" s="21">
        <v>-1.3864100000000001E-2</v>
      </c>
      <c r="AT169" s="21">
        <v>159</v>
      </c>
      <c r="AU169" s="21">
        <v>0.98815900000000001</v>
      </c>
      <c r="AV169">
        <f t="shared" si="32"/>
        <v>17.11617283950617</v>
      </c>
      <c r="AW169">
        <f t="shared" si="33"/>
        <v>16.934399083950616</v>
      </c>
      <c r="AX169" s="9"/>
      <c r="AY169" s="21">
        <v>0.70068399999999997</v>
      </c>
      <c r="AZ169" s="21">
        <v>28.995100000000001</v>
      </c>
      <c r="BA169" s="21">
        <v>-1.39893E-2</v>
      </c>
      <c r="BB169" s="21">
        <v>159</v>
      </c>
      <c r="BC169" s="21">
        <v>0.69995099999999999</v>
      </c>
      <c r="BD169">
        <f t="shared" si="34"/>
        <v>17.270740740740738</v>
      </c>
      <c r="BE169">
        <f t="shared" si="35"/>
        <v>12.101331705185183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6.6076800000000002</v>
      </c>
      <c r="I170" s="21">
        <v>-1.37939E-2</v>
      </c>
      <c r="J170" s="21">
        <v>160</v>
      </c>
      <c r="K170" s="21">
        <v>0.98297100000000004</v>
      </c>
      <c r="L170">
        <f t="shared" si="24"/>
        <v>17.029506172839504</v>
      </c>
      <c r="M170">
        <f t="shared" si="25"/>
        <v>16.762892224197529</v>
      </c>
      <c r="N170" s="9"/>
      <c r="O170" s="21">
        <v>0.70571899999999999</v>
      </c>
      <c r="P170" s="21">
        <v>10.406700000000001</v>
      </c>
      <c r="Q170" s="21">
        <v>-1.40625E-2</v>
      </c>
      <c r="R170" s="21">
        <v>160</v>
      </c>
      <c r="S170" s="21">
        <v>0.70510899999999999</v>
      </c>
      <c r="T170">
        <f t="shared" si="26"/>
        <v>17.361111111111111</v>
      </c>
      <c r="U170">
        <f t="shared" si="27"/>
        <v>12.252065972222221</v>
      </c>
      <c r="X170" s="9"/>
      <c r="Y170" s="21">
        <v>0.984344</v>
      </c>
      <c r="Z170" s="21">
        <v>15.9689</v>
      </c>
      <c r="AA170" s="21">
        <v>-1.38367E-2</v>
      </c>
      <c r="AB170" s="21">
        <v>160</v>
      </c>
      <c r="AC170" s="21">
        <v>0.98327600000000004</v>
      </c>
      <c r="AD170">
        <f t="shared" si="28"/>
        <v>17.082345679012345</v>
      </c>
      <c r="AE170">
        <f t="shared" si="29"/>
        <v>16.814904475061727</v>
      </c>
      <c r="AF170" s="9"/>
      <c r="AG170" s="21">
        <v>0.70571899999999999</v>
      </c>
      <c r="AH170" s="21">
        <v>19.767900000000001</v>
      </c>
      <c r="AI170" s="21">
        <v>-1.40839E-2</v>
      </c>
      <c r="AJ170" s="21">
        <v>160</v>
      </c>
      <c r="AK170" s="21">
        <v>0.70504800000000001</v>
      </c>
      <c r="AL170">
        <f t="shared" si="30"/>
        <v>17.387530864197529</v>
      </c>
      <c r="AM170">
        <f t="shared" si="31"/>
        <v>12.270710893950616</v>
      </c>
      <c r="AP170" s="9"/>
      <c r="AQ170" s="21">
        <v>0.984344</v>
      </c>
      <c r="AR170" s="21">
        <v>25.206099999999999</v>
      </c>
      <c r="AS170" s="21">
        <v>-1.3861099999999999E-2</v>
      </c>
      <c r="AT170" s="21">
        <v>160</v>
      </c>
      <c r="AU170" s="21">
        <v>0.98358199999999996</v>
      </c>
      <c r="AV170">
        <f t="shared" si="32"/>
        <v>17.112469135802467</v>
      </c>
      <c r="AW170">
        <f t="shared" si="33"/>
        <v>16.844556319012344</v>
      </c>
      <c r="AX170" s="9"/>
      <c r="AY170" s="21">
        <v>0.70571899999999999</v>
      </c>
      <c r="AZ170" s="21">
        <v>29.005099999999999</v>
      </c>
      <c r="BA170" s="21">
        <v>-1.3986200000000001E-2</v>
      </c>
      <c r="BB170" s="21">
        <v>160</v>
      </c>
      <c r="BC170" s="21">
        <v>0.70516999999999996</v>
      </c>
      <c r="BD170">
        <f t="shared" si="34"/>
        <v>17.266913580246914</v>
      </c>
      <c r="BE170">
        <f t="shared" si="35"/>
        <v>12.185588984938272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6.61775</v>
      </c>
      <c r="I171" s="21">
        <v>-1.37909E-2</v>
      </c>
      <c r="J171" s="21">
        <v>161</v>
      </c>
      <c r="K171" s="21">
        <v>0.97869899999999999</v>
      </c>
      <c r="L171">
        <f t="shared" si="24"/>
        <v>17.025802469135801</v>
      </c>
      <c r="M171">
        <f t="shared" si="25"/>
        <v>16.673521590246914</v>
      </c>
      <c r="N171" s="9"/>
      <c r="O171" s="21">
        <v>0.710754</v>
      </c>
      <c r="P171" s="21">
        <v>10.4168</v>
      </c>
      <c r="Q171" s="21">
        <v>-1.4053299999999999E-2</v>
      </c>
      <c r="R171" s="21">
        <v>161</v>
      </c>
      <c r="S171" s="21">
        <v>0.71011400000000002</v>
      </c>
      <c r="T171">
        <f t="shared" si="26"/>
        <v>17.349753086419753</v>
      </c>
      <c r="U171">
        <f t="shared" si="27"/>
        <v>12.331406405185184</v>
      </c>
      <c r="X171" s="9"/>
      <c r="Y171" s="21">
        <v>0.97930899999999999</v>
      </c>
      <c r="Z171" s="21">
        <v>15.978899999999999</v>
      </c>
      <c r="AA171" s="21">
        <v>-1.38519E-2</v>
      </c>
      <c r="AB171" s="21">
        <v>161</v>
      </c>
      <c r="AC171" s="21">
        <v>0.97869899999999999</v>
      </c>
      <c r="AD171">
        <f t="shared" si="28"/>
        <v>17.101111111111113</v>
      </c>
      <c r="AE171">
        <f t="shared" si="29"/>
        <v>16.747272021111112</v>
      </c>
      <c r="AF171" s="9"/>
      <c r="AG171" s="21">
        <v>0.710754</v>
      </c>
      <c r="AH171" s="21">
        <v>19.777999999999999</v>
      </c>
      <c r="AI171" s="21">
        <v>-1.409E-2</v>
      </c>
      <c r="AJ171" s="21">
        <v>161</v>
      </c>
      <c r="AK171" s="21">
        <v>0.71011400000000002</v>
      </c>
      <c r="AL171">
        <f t="shared" si="30"/>
        <v>17.39506172839506</v>
      </c>
      <c r="AM171">
        <f t="shared" si="31"/>
        <v>12.363609703703702</v>
      </c>
      <c r="AP171" s="9"/>
      <c r="AQ171" s="21">
        <v>0.97930899999999999</v>
      </c>
      <c r="AR171" s="21">
        <v>25.216200000000001</v>
      </c>
      <c r="AS171" s="21">
        <v>-1.3864100000000001E-2</v>
      </c>
      <c r="AT171" s="21">
        <v>161</v>
      </c>
      <c r="AU171" s="21">
        <v>0.97839399999999999</v>
      </c>
      <c r="AV171">
        <f t="shared" si="32"/>
        <v>17.11617283950617</v>
      </c>
      <c r="AW171">
        <f t="shared" si="33"/>
        <v>16.762022107283947</v>
      </c>
      <c r="AX171" s="9"/>
      <c r="AY171" s="21">
        <v>0.710754</v>
      </c>
      <c r="AZ171" s="21">
        <v>29.0152</v>
      </c>
      <c r="BA171" s="21">
        <v>-1.39893E-2</v>
      </c>
      <c r="BB171" s="21">
        <v>161</v>
      </c>
      <c r="BC171" s="21">
        <v>0.71011400000000002</v>
      </c>
      <c r="BD171">
        <f t="shared" si="34"/>
        <v>17.270740740740738</v>
      </c>
      <c r="BE171">
        <f t="shared" si="35"/>
        <v>12.275248064444442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6.6278199999999998</v>
      </c>
      <c r="I172" s="21">
        <v>-1.3781699999999999E-2</v>
      </c>
      <c r="J172" s="21">
        <v>162</v>
      </c>
      <c r="K172" s="21">
        <v>0.97351100000000002</v>
      </c>
      <c r="L172">
        <f t="shared" si="24"/>
        <v>17.014444444444443</v>
      </c>
      <c r="M172">
        <f t="shared" si="25"/>
        <v>16.576730846666663</v>
      </c>
      <c r="N172" s="9"/>
      <c r="O172" s="21">
        <v>0.71579000000000004</v>
      </c>
      <c r="P172" s="21">
        <v>10.4269</v>
      </c>
      <c r="Q172" s="21">
        <v>-1.4047199999999999E-2</v>
      </c>
      <c r="R172" s="21">
        <v>162</v>
      </c>
      <c r="S172" s="21">
        <v>0.71523999999999999</v>
      </c>
      <c r="T172">
        <f t="shared" si="26"/>
        <v>17.342222222222222</v>
      </c>
      <c r="U172">
        <f t="shared" si="27"/>
        <v>12.413389244444446</v>
      </c>
      <c r="X172" s="9"/>
      <c r="Y172" s="21">
        <v>0.97427399999999997</v>
      </c>
      <c r="Z172" s="21">
        <v>15.989000000000001</v>
      </c>
      <c r="AA172" s="21">
        <v>-1.38733E-2</v>
      </c>
      <c r="AB172" s="21">
        <v>162</v>
      </c>
      <c r="AC172" s="21">
        <v>0.97259499999999999</v>
      </c>
      <c r="AD172">
        <f t="shared" si="28"/>
        <v>17.127530864197528</v>
      </c>
      <c r="AE172">
        <f t="shared" si="29"/>
        <v>16.686908005185181</v>
      </c>
      <c r="AF172" s="9"/>
      <c r="AG172" s="21">
        <v>0.71579000000000004</v>
      </c>
      <c r="AH172" s="21">
        <v>19.7881</v>
      </c>
      <c r="AI172" s="21">
        <v>-1.4080799999999999E-2</v>
      </c>
      <c r="AJ172" s="21">
        <v>162</v>
      </c>
      <c r="AK172" s="21">
        <v>0.71517900000000001</v>
      </c>
      <c r="AL172">
        <f t="shared" si="30"/>
        <v>17.383703703703702</v>
      </c>
      <c r="AM172">
        <f t="shared" si="31"/>
        <v>12.443081274074073</v>
      </c>
      <c r="AP172" s="9"/>
      <c r="AQ172" s="21">
        <v>0.97427399999999997</v>
      </c>
      <c r="AR172" s="21">
        <v>25.226199999999999</v>
      </c>
      <c r="AS172" s="21">
        <v>-1.3864100000000001E-2</v>
      </c>
      <c r="AT172" s="21">
        <v>162</v>
      </c>
      <c r="AU172" s="21">
        <v>0.97381600000000001</v>
      </c>
      <c r="AV172">
        <f t="shared" si="32"/>
        <v>17.11617283950617</v>
      </c>
      <c r="AW172">
        <f t="shared" si="33"/>
        <v>16.675842177037033</v>
      </c>
      <c r="AX172" s="9"/>
      <c r="AY172" s="21">
        <v>0.71579000000000004</v>
      </c>
      <c r="AZ172" s="21">
        <v>29.025300000000001</v>
      </c>
      <c r="BA172" s="21">
        <v>-1.39954E-2</v>
      </c>
      <c r="BB172" s="21">
        <v>162</v>
      </c>
      <c r="BC172" s="21">
        <v>0.71517900000000001</v>
      </c>
      <c r="BD172">
        <f t="shared" si="34"/>
        <v>17.278271604938272</v>
      </c>
      <c r="BE172">
        <f t="shared" si="35"/>
        <v>12.367614032098766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6.6379000000000001</v>
      </c>
      <c r="I173" s="21">
        <v>-1.3781699999999999E-2</v>
      </c>
      <c r="J173" s="21">
        <v>163</v>
      </c>
      <c r="K173" s="21">
        <v>0.96893300000000004</v>
      </c>
      <c r="L173">
        <f t="shared" si="24"/>
        <v>17.014444444444443</v>
      </c>
      <c r="M173">
        <f t="shared" si="25"/>
        <v>16.491046104444443</v>
      </c>
      <c r="N173" s="9"/>
      <c r="O173" s="21">
        <v>0.72082500000000005</v>
      </c>
      <c r="P173" s="21">
        <v>10.4369</v>
      </c>
      <c r="Q173" s="21">
        <v>-1.4035000000000001E-2</v>
      </c>
      <c r="R173" s="21">
        <v>163</v>
      </c>
      <c r="S173" s="21">
        <v>0.72012299999999996</v>
      </c>
      <c r="T173">
        <f t="shared" si="26"/>
        <v>17.327160493827162</v>
      </c>
      <c r="U173">
        <f t="shared" si="27"/>
        <v>12.489850462962965</v>
      </c>
      <c r="X173" s="9"/>
      <c r="Y173" s="21">
        <v>0.96923800000000004</v>
      </c>
      <c r="Z173" s="21">
        <v>15.9991</v>
      </c>
      <c r="AA173" s="21">
        <v>-1.38824E-2</v>
      </c>
      <c r="AB173" s="21">
        <v>163</v>
      </c>
      <c r="AC173" s="21">
        <v>0.96862800000000004</v>
      </c>
      <c r="AD173">
        <f t="shared" si="28"/>
        <v>17.138765432098765</v>
      </c>
      <c r="AE173">
        <f t="shared" si="29"/>
        <v>16.611542729876543</v>
      </c>
      <c r="AF173" s="9"/>
      <c r="AG173" s="21">
        <v>0.72082500000000005</v>
      </c>
      <c r="AH173" s="21">
        <v>19.798100000000002</v>
      </c>
      <c r="AI173" s="21">
        <v>-1.4080799999999999E-2</v>
      </c>
      <c r="AJ173" s="21">
        <v>163</v>
      </c>
      <c r="AK173" s="21">
        <v>0.72009299999999998</v>
      </c>
      <c r="AL173">
        <f t="shared" si="30"/>
        <v>17.383703703703702</v>
      </c>
      <c r="AM173">
        <f t="shared" si="31"/>
        <v>12.530608222222222</v>
      </c>
      <c r="AP173" s="9"/>
      <c r="AQ173" s="21">
        <v>0.96923800000000004</v>
      </c>
      <c r="AR173" s="21">
        <v>25.2363</v>
      </c>
      <c r="AS173" s="21">
        <v>-1.38672E-2</v>
      </c>
      <c r="AT173" s="21">
        <v>163</v>
      </c>
      <c r="AU173" s="21">
        <v>0.96771200000000002</v>
      </c>
      <c r="AV173">
        <f t="shared" si="32"/>
        <v>17.12</v>
      </c>
      <c r="AW173">
        <f t="shared" si="33"/>
        <v>16.593354560000002</v>
      </c>
      <c r="AX173" s="9"/>
      <c r="AY173" s="21">
        <v>0.72082500000000005</v>
      </c>
      <c r="AZ173" s="21">
        <v>29.035399999999999</v>
      </c>
      <c r="BA173" s="21">
        <v>-1.3998399999999999E-2</v>
      </c>
      <c r="BB173" s="21">
        <v>163</v>
      </c>
      <c r="BC173" s="21">
        <v>0.72021500000000005</v>
      </c>
      <c r="BD173">
        <f t="shared" si="34"/>
        <v>17.281975308641975</v>
      </c>
      <c r="BE173">
        <f t="shared" si="35"/>
        <v>12.457279851851853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6.6479699999999999</v>
      </c>
      <c r="I174" s="21">
        <v>-1.3781699999999999E-2</v>
      </c>
      <c r="J174" s="21">
        <v>164</v>
      </c>
      <c r="K174" s="21">
        <v>0.96313499999999996</v>
      </c>
      <c r="L174">
        <f t="shared" si="24"/>
        <v>17.014444444444443</v>
      </c>
      <c r="M174">
        <f t="shared" si="25"/>
        <v>16.405378376666665</v>
      </c>
      <c r="N174" s="9"/>
      <c r="O174" s="21">
        <v>0.72586099999999998</v>
      </c>
      <c r="P174" s="21">
        <v>10.446999999999999</v>
      </c>
      <c r="Q174" s="21">
        <v>-1.40289E-2</v>
      </c>
      <c r="R174" s="21">
        <v>164</v>
      </c>
      <c r="S174" s="21">
        <v>0.72521999999999998</v>
      </c>
      <c r="T174">
        <f t="shared" si="26"/>
        <v>17.319629629629631</v>
      </c>
      <c r="U174">
        <f t="shared" si="27"/>
        <v>12.571643682592594</v>
      </c>
      <c r="X174" s="9"/>
      <c r="Y174" s="21">
        <v>0.96420300000000003</v>
      </c>
      <c r="Z174" s="21">
        <v>16.0092</v>
      </c>
      <c r="AA174" s="21">
        <v>-1.3897700000000001E-2</v>
      </c>
      <c r="AB174" s="21">
        <v>164</v>
      </c>
      <c r="AC174" s="21">
        <v>0.96374499999999996</v>
      </c>
      <c r="AD174">
        <f t="shared" si="28"/>
        <v>17.157654320987653</v>
      </c>
      <c r="AE174">
        <f t="shared" si="29"/>
        <v>16.54346176925926</v>
      </c>
      <c r="AF174" s="9"/>
      <c r="AG174" s="21">
        <v>0.72586099999999998</v>
      </c>
      <c r="AH174" s="21">
        <v>19.808199999999999</v>
      </c>
      <c r="AI174" s="21">
        <v>-1.4074700000000001E-2</v>
      </c>
      <c r="AJ174" s="21">
        <v>164</v>
      </c>
      <c r="AK174" s="21">
        <v>0.72509800000000002</v>
      </c>
      <c r="AL174">
        <f t="shared" si="30"/>
        <v>17.376172839506172</v>
      </c>
      <c r="AM174">
        <f t="shared" si="31"/>
        <v>12.612686193456788</v>
      </c>
      <c r="AP174" s="9"/>
      <c r="AQ174" s="21">
        <v>0.96420300000000003</v>
      </c>
      <c r="AR174" s="21">
        <v>25.246400000000001</v>
      </c>
      <c r="AS174" s="21">
        <v>-1.38672E-2</v>
      </c>
      <c r="AT174" s="21">
        <v>164</v>
      </c>
      <c r="AU174" s="21">
        <v>0.96374499999999996</v>
      </c>
      <c r="AV174">
        <f t="shared" si="32"/>
        <v>17.12</v>
      </c>
      <c r="AW174">
        <f t="shared" si="33"/>
        <v>16.507155360000002</v>
      </c>
      <c r="AX174" s="9"/>
      <c r="AY174" s="21">
        <v>0.72586099999999998</v>
      </c>
      <c r="AZ174" s="21">
        <v>29.045400000000001</v>
      </c>
      <c r="BA174" s="21">
        <v>-1.3983199999999999E-2</v>
      </c>
      <c r="BB174" s="21">
        <v>164</v>
      </c>
      <c r="BC174" s="21">
        <v>0.72518899999999997</v>
      </c>
      <c r="BD174">
        <f t="shared" si="34"/>
        <v>17.263209876543208</v>
      </c>
      <c r="BE174">
        <f t="shared" si="35"/>
        <v>12.530690784197528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6.6580399999999997</v>
      </c>
      <c r="I175" s="21">
        <v>-1.37848E-2</v>
      </c>
      <c r="J175" s="21">
        <v>165</v>
      </c>
      <c r="K175" s="21">
        <v>0.95764199999999999</v>
      </c>
      <c r="L175">
        <f t="shared" si="24"/>
        <v>17.018271604938271</v>
      </c>
      <c r="M175">
        <f t="shared" si="25"/>
        <v>16.323364520493826</v>
      </c>
      <c r="N175" s="9"/>
      <c r="O175" s="21">
        <v>0.73089599999999999</v>
      </c>
      <c r="P175" s="21">
        <v>10.457100000000001</v>
      </c>
      <c r="Q175" s="21">
        <v>-1.4025900000000001E-2</v>
      </c>
      <c r="R175" s="21">
        <v>165</v>
      </c>
      <c r="S175" s="21">
        <v>0.73034699999999997</v>
      </c>
      <c r="T175">
        <f t="shared" si="26"/>
        <v>17.315925925925924</v>
      </c>
      <c r="U175">
        <f t="shared" si="27"/>
        <v>12.656140995555555</v>
      </c>
      <c r="X175" s="9"/>
      <c r="Y175" s="21">
        <v>0.95916699999999999</v>
      </c>
      <c r="Z175" s="21">
        <v>16.019200000000001</v>
      </c>
      <c r="AA175" s="21">
        <v>-1.39008E-2</v>
      </c>
      <c r="AB175" s="21">
        <v>165</v>
      </c>
      <c r="AC175" s="21">
        <v>0.95794699999999999</v>
      </c>
      <c r="AD175">
        <f t="shared" si="28"/>
        <v>17.161481481481481</v>
      </c>
      <c r="AE175">
        <f t="shared" si="29"/>
        <v>16.460726708148147</v>
      </c>
      <c r="AF175" s="9"/>
      <c r="AG175" s="21">
        <v>0.73089599999999999</v>
      </c>
      <c r="AH175" s="21">
        <v>19.818300000000001</v>
      </c>
      <c r="AI175" s="21">
        <v>-1.40625E-2</v>
      </c>
      <c r="AJ175" s="21">
        <v>165</v>
      </c>
      <c r="AK175" s="21">
        <v>0.73013300000000003</v>
      </c>
      <c r="AL175">
        <f t="shared" si="30"/>
        <v>17.361111111111111</v>
      </c>
      <c r="AM175">
        <f t="shared" si="31"/>
        <v>12.689166666666667</v>
      </c>
      <c r="AP175" s="9"/>
      <c r="AQ175" s="21">
        <v>0.95916699999999999</v>
      </c>
      <c r="AR175" s="21">
        <v>25.256499999999999</v>
      </c>
      <c r="AS175" s="21">
        <v>-1.3858000000000001E-2</v>
      </c>
      <c r="AT175" s="21">
        <v>165</v>
      </c>
      <c r="AU175" s="21">
        <v>0.95825199999999999</v>
      </c>
      <c r="AV175">
        <f t="shared" si="32"/>
        <v>17.10864197530864</v>
      </c>
      <c r="AW175">
        <f t="shared" si="33"/>
        <v>16.410044797530862</v>
      </c>
      <c r="AX175" s="9"/>
      <c r="AY175" s="21">
        <v>0.73089599999999999</v>
      </c>
      <c r="AZ175" s="21">
        <v>29.055499999999999</v>
      </c>
      <c r="BA175" s="21">
        <v>-1.3977099999999999E-2</v>
      </c>
      <c r="BB175" s="21">
        <v>165</v>
      </c>
      <c r="BC175" s="21">
        <v>0.73031599999999997</v>
      </c>
      <c r="BD175">
        <f t="shared" si="34"/>
        <v>17.255679012345677</v>
      </c>
      <c r="BE175">
        <f t="shared" si="35"/>
        <v>12.612106767407406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6.6681100000000004</v>
      </c>
      <c r="I176" s="21">
        <v>-1.3797E-2</v>
      </c>
      <c r="J176" s="21">
        <v>166</v>
      </c>
      <c r="K176" s="21">
        <v>0.95275900000000002</v>
      </c>
      <c r="L176">
        <f t="shared" si="24"/>
        <v>17.033333333333331</v>
      </c>
      <c r="M176">
        <f t="shared" si="25"/>
        <v>16.2520484</v>
      </c>
      <c r="N176" s="9"/>
      <c r="O176" s="21">
        <v>0.735931</v>
      </c>
      <c r="P176" s="21">
        <v>10.4672</v>
      </c>
      <c r="Q176" s="21">
        <v>-1.4031999999999999E-2</v>
      </c>
      <c r="R176" s="21">
        <v>166</v>
      </c>
      <c r="S176" s="21">
        <v>0.73519900000000005</v>
      </c>
      <c r="T176">
        <f t="shared" si="26"/>
        <v>17.323456790123455</v>
      </c>
      <c r="U176">
        <f t="shared" si="27"/>
        <v>12.748868879012344</v>
      </c>
      <c r="X176" s="9"/>
      <c r="Y176" s="21">
        <v>0.95413199999999998</v>
      </c>
      <c r="Z176" s="21">
        <v>16.029299999999999</v>
      </c>
      <c r="AA176" s="21">
        <v>-1.3913E-2</v>
      </c>
      <c r="AB176" s="21">
        <v>166</v>
      </c>
      <c r="AC176" s="21">
        <v>0.95336900000000002</v>
      </c>
      <c r="AD176">
        <f t="shared" si="28"/>
        <v>17.176543209876542</v>
      </c>
      <c r="AE176">
        <f t="shared" si="29"/>
        <v>16.388689525925923</v>
      </c>
      <c r="AF176" s="9"/>
      <c r="AG176" s="21">
        <v>0.735931</v>
      </c>
      <c r="AH176" s="21">
        <v>19.828299999999999</v>
      </c>
      <c r="AI176" s="21">
        <v>-1.40564E-2</v>
      </c>
      <c r="AJ176" s="21">
        <v>166</v>
      </c>
      <c r="AK176" s="21">
        <v>0.73526000000000002</v>
      </c>
      <c r="AL176">
        <f t="shared" si="30"/>
        <v>17.35358024691358</v>
      </c>
      <c r="AM176">
        <f t="shared" si="31"/>
        <v>12.771037664691358</v>
      </c>
      <c r="AP176" s="9"/>
      <c r="AQ176" s="21">
        <v>0.95413199999999998</v>
      </c>
      <c r="AR176" s="21">
        <v>25.266500000000001</v>
      </c>
      <c r="AS176" s="21">
        <v>-1.3858000000000001E-2</v>
      </c>
      <c r="AT176" s="21">
        <v>166</v>
      </c>
      <c r="AU176" s="21">
        <v>0.95336900000000002</v>
      </c>
      <c r="AV176">
        <f t="shared" si="32"/>
        <v>17.10864197530864</v>
      </c>
      <c r="AW176">
        <f t="shared" si="33"/>
        <v>16.323902785185183</v>
      </c>
      <c r="AX176" s="9"/>
      <c r="AY176" s="21">
        <v>0.735931</v>
      </c>
      <c r="AZ176" s="21">
        <v>29.0656</v>
      </c>
      <c r="BA176" s="21">
        <v>-1.3977099999999999E-2</v>
      </c>
      <c r="BB176" s="21">
        <v>166</v>
      </c>
      <c r="BC176" s="21">
        <v>0.73522900000000002</v>
      </c>
      <c r="BD176">
        <f t="shared" si="34"/>
        <v>17.255679012345677</v>
      </c>
      <c r="BE176">
        <f t="shared" si="35"/>
        <v>12.698989111234567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6.6781800000000002</v>
      </c>
      <c r="I177" s="21">
        <v>-1.38E-2</v>
      </c>
      <c r="J177" s="21">
        <v>167</v>
      </c>
      <c r="K177" s="21">
        <v>0.94818100000000005</v>
      </c>
      <c r="L177">
        <f t="shared" si="24"/>
        <v>17.037037037037035</v>
      </c>
      <c r="M177">
        <f t="shared" si="25"/>
        <v>16.169800740740737</v>
      </c>
      <c r="N177" s="9"/>
      <c r="O177" s="21">
        <v>0.74096700000000004</v>
      </c>
      <c r="P177" s="21">
        <v>10.4772</v>
      </c>
      <c r="Q177" s="21">
        <v>-1.40381E-2</v>
      </c>
      <c r="R177" s="21">
        <v>167</v>
      </c>
      <c r="S177" s="21">
        <v>0.74029500000000004</v>
      </c>
      <c r="T177">
        <f t="shared" si="26"/>
        <v>17.330987654320985</v>
      </c>
      <c r="U177">
        <f t="shared" si="27"/>
        <v>12.841689929259259</v>
      </c>
      <c r="X177" s="9"/>
      <c r="Y177" s="21">
        <v>0.94909699999999997</v>
      </c>
      <c r="Z177" s="21">
        <v>16.039400000000001</v>
      </c>
      <c r="AA177" s="21">
        <v>-1.39252E-2</v>
      </c>
      <c r="AB177" s="21">
        <v>167</v>
      </c>
      <c r="AC177" s="21">
        <v>0.94818100000000005</v>
      </c>
      <c r="AD177">
        <f t="shared" si="28"/>
        <v>17.191604938271606</v>
      </c>
      <c r="AE177">
        <f t="shared" si="29"/>
        <v>16.316500672098766</v>
      </c>
      <c r="AF177" s="9"/>
      <c r="AG177" s="21">
        <v>0.74096700000000004</v>
      </c>
      <c r="AH177" s="21">
        <v>19.8384</v>
      </c>
      <c r="AI177" s="21">
        <v>-1.40503E-2</v>
      </c>
      <c r="AJ177" s="21">
        <v>167</v>
      </c>
      <c r="AK177" s="21">
        <v>0.74032600000000004</v>
      </c>
      <c r="AL177">
        <f t="shared" si="30"/>
        <v>17.34604938271605</v>
      </c>
      <c r="AM177">
        <f t="shared" si="31"/>
        <v>12.852850172962963</v>
      </c>
      <c r="AP177" s="9"/>
      <c r="AQ177" s="21">
        <v>0.94909699999999997</v>
      </c>
      <c r="AR177" s="21">
        <v>25.276599999999998</v>
      </c>
      <c r="AS177" s="21">
        <v>-1.3854999999999999E-2</v>
      </c>
      <c r="AT177" s="21">
        <v>167</v>
      </c>
      <c r="AU177" s="21">
        <v>0.94818100000000005</v>
      </c>
      <c r="AV177">
        <f t="shared" si="32"/>
        <v>17.104938271604937</v>
      </c>
      <c r="AW177">
        <f t="shared" si="33"/>
        <v>16.23424559876543</v>
      </c>
      <c r="AX177" s="9"/>
      <c r="AY177" s="21">
        <v>0.74096700000000004</v>
      </c>
      <c r="AZ177" s="21">
        <v>29.075600000000001</v>
      </c>
      <c r="BA177" s="21">
        <v>-1.3974E-2</v>
      </c>
      <c r="BB177" s="21">
        <v>167</v>
      </c>
      <c r="BC177" s="21">
        <v>0.74029500000000004</v>
      </c>
      <c r="BD177">
        <f t="shared" si="34"/>
        <v>17.251851851851853</v>
      </c>
      <c r="BE177">
        <f t="shared" si="35"/>
        <v>12.783052911111113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6.68825</v>
      </c>
      <c r="I178" s="21">
        <v>-1.38031E-2</v>
      </c>
      <c r="J178" s="21">
        <v>168</v>
      </c>
      <c r="K178" s="21">
        <v>0.94329799999999997</v>
      </c>
      <c r="L178">
        <f t="shared" si="24"/>
        <v>17.040864197530862</v>
      </c>
      <c r="M178">
        <f t="shared" si="25"/>
        <v>16.087615295185184</v>
      </c>
      <c r="N178" s="9"/>
      <c r="O178" s="21">
        <v>0.74600200000000005</v>
      </c>
      <c r="P178" s="21">
        <v>10.487299999999999</v>
      </c>
      <c r="Q178" s="21">
        <v>-1.4035000000000001E-2</v>
      </c>
      <c r="R178" s="21">
        <v>168</v>
      </c>
      <c r="S178" s="21">
        <v>0.74542200000000003</v>
      </c>
      <c r="T178">
        <f t="shared" si="26"/>
        <v>17.327160493827162</v>
      </c>
      <c r="U178">
        <f t="shared" si="27"/>
        <v>12.92609638271605</v>
      </c>
      <c r="X178" s="9"/>
      <c r="Y178" s="21">
        <v>0.94406100000000004</v>
      </c>
      <c r="Z178" s="21">
        <v>16.049399999999999</v>
      </c>
      <c r="AA178" s="21">
        <v>-1.3937400000000001E-2</v>
      </c>
      <c r="AB178" s="21">
        <v>168</v>
      </c>
      <c r="AC178" s="21">
        <v>0.94299299999999997</v>
      </c>
      <c r="AD178">
        <f t="shared" si="28"/>
        <v>17.206666666666667</v>
      </c>
      <c r="AE178">
        <f t="shared" si="29"/>
        <v>16.24414294</v>
      </c>
      <c r="AF178" s="9"/>
      <c r="AG178" s="21">
        <v>0.74600200000000005</v>
      </c>
      <c r="AH178" s="21">
        <v>19.848500000000001</v>
      </c>
      <c r="AI178" s="21">
        <v>-1.40503E-2</v>
      </c>
      <c r="AJ178" s="21">
        <v>168</v>
      </c>
      <c r="AK178" s="21">
        <v>0.74536100000000005</v>
      </c>
      <c r="AL178">
        <f t="shared" si="30"/>
        <v>17.34604938271605</v>
      </c>
      <c r="AM178">
        <f t="shared" si="31"/>
        <v>12.94018753160494</v>
      </c>
      <c r="AP178" s="9"/>
      <c r="AQ178" s="21">
        <v>0.94406100000000004</v>
      </c>
      <c r="AR178" s="21">
        <v>25.2867</v>
      </c>
      <c r="AS178" s="21">
        <v>-1.38733E-2</v>
      </c>
      <c r="AT178" s="21">
        <v>168</v>
      </c>
      <c r="AU178" s="21">
        <v>0.94329799999999997</v>
      </c>
      <c r="AV178">
        <f t="shared" si="32"/>
        <v>17.127530864197528</v>
      </c>
      <c r="AW178">
        <f t="shared" si="33"/>
        <v>16.169433915185184</v>
      </c>
      <c r="AX178" s="9"/>
      <c r="AY178" s="21">
        <v>0.74600200000000005</v>
      </c>
      <c r="AZ178" s="21">
        <v>29.085699999999999</v>
      </c>
      <c r="BA178" s="21">
        <v>-1.39679E-2</v>
      </c>
      <c r="BB178" s="21">
        <v>168</v>
      </c>
      <c r="BC178" s="21">
        <v>0.74536100000000005</v>
      </c>
      <c r="BD178">
        <f t="shared" si="34"/>
        <v>17.244320987654319</v>
      </c>
      <c r="BE178">
        <f t="shared" si="35"/>
        <v>12.864297945432098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6.6983199999999998</v>
      </c>
      <c r="I179" s="21">
        <v>-1.38184E-2</v>
      </c>
      <c r="J179" s="21">
        <v>169</v>
      </c>
      <c r="K179" s="21">
        <v>0.937805</v>
      </c>
      <c r="L179">
        <f t="shared" si="24"/>
        <v>17.05975308641975</v>
      </c>
      <c r="M179">
        <f t="shared" si="25"/>
        <v>16.019551701728393</v>
      </c>
      <c r="N179" s="9"/>
      <c r="O179" s="21">
        <v>0.75103799999999998</v>
      </c>
      <c r="P179" s="21">
        <v>10.497400000000001</v>
      </c>
      <c r="Q179" s="21">
        <v>-1.4025900000000001E-2</v>
      </c>
      <c r="R179" s="21">
        <v>169</v>
      </c>
      <c r="S179" s="21">
        <v>0.75042699999999996</v>
      </c>
      <c r="T179">
        <f t="shared" si="26"/>
        <v>17.315925925925924</v>
      </c>
      <c r="U179">
        <f t="shared" si="27"/>
        <v>13.004918375555555</v>
      </c>
      <c r="X179" s="9"/>
      <c r="Y179" s="21">
        <v>0.93902600000000003</v>
      </c>
      <c r="Z179" s="21">
        <v>16.0595</v>
      </c>
      <c r="AA179" s="21">
        <v>-1.3946500000000001E-2</v>
      </c>
      <c r="AB179" s="21">
        <v>169</v>
      </c>
      <c r="AC179" s="21">
        <v>0.93872100000000003</v>
      </c>
      <c r="AD179">
        <f t="shared" si="28"/>
        <v>17.217901234567901</v>
      </c>
      <c r="AE179">
        <f t="shared" si="29"/>
        <v>16.168056924691356</v>
      </c>
      <c r="AF179" s="9"/>
      <c r="AG179" s="21">
        <v>0.75103799999999998</v>
      </c>
      <c r="AH179" s="21">
        <v>19.858599999999999</v>
      </c>
      <c r="AI179" s="21">
        <v>-1.40381E-2</v>
      </c>
      <c r="AJ179" s="21">
        <v>169</v>
      </c>
      <c r="AK179" s="21">
        <v>0.75036599999999998</v>
      </c>
      <c r="AL179">
        <f t="shared" si="30"/>
        <v>17.330987654320985</v>
      </c>
      <c r="AM179">
        <f t="shared" si="31"/>
        <v>13.016230305925923</v>
      </c>
      <c r="AP179" s="9"/>
      <c r="AQ179" s="21">
        <v>0.93902600000000003</v>
      </c>
      <c r="AR179" s="21">
        <v>25.296700000000001</v>
      </c>
      <c r="AS179" s="21">
        <v>-1.3897700000000001E-2</v>
      </c>
      <c r="AT179" s="21">
        <v>169</v>
      </c>
      <c r="AU179" s="21">
        <v>0.937805</v>
      </c>
      <c r="AV179">
        <f t="shared" si="32"/>
        <v>17.157654320987653</v>
      </c>
      <c r="AW179">
        <f t="shared" si="33"/>
        <v>16.111483506419752</v>
      </c>
      <c r="AX179" s="9"/>
      <c r="AY179" s="21">
        <v>0.75103799999999998</v>
      </c>
      <c r="AZ179" s="21">
        <v>29.095800000000001</v>
      </c>
      <c r="BA179" s="21">
        <v>-1.3958699999999999E-2</v>
      </c>
      <c r="BB179" s="21">
        <v>169</v>
      </c>
      <c r="BC179" s="21">
        <v>0.75048800000000004</v>
      </c>
      <c r="BD179">
        <f t="shared" si="34"/>
        <v>17.232962962962961</v>
      </c>
      <c r="BE179">
        <f t="shared" si="35"/>
        <v>12.942610037777776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6.7083899999999996</v>
      </c>
      <c r="I180" s="21">
        <v>-1.38367E-2</v>
      </c>
      <c r="J180" s="21">
        <v>170</v>
      </c>
      <c r="K180" s="21">
        <v>0.93292200000000003</v>
      </c>
      <c r="L180">
        <f t="shared" si="24"/>
        <v>17.082345679012345</v>
      </c>
      <c r="M180">
        <f t="shared" si="25"/>
        <v>15.95474004074074</v>
      </c>
      <c r="N180" s="9"/>
      <c r="O180" s="21">
        <v>0.756073</v>
      </c>
      <c r="P180" s="21">
        <v>10.507400000000001</v>
      </c>
      <c r="Q180" s="21">
        <v>-1.40076E-2</v>
      </c>
      <c r="R180" s="21">
        <v>170</v>
      </c>
      <c r="S180" s="21">
        <v>0.75561500000000004</v>
      </c>
      <c r="T180">
        <f t="shared" si="26"/>
        <v>17.293333333333333</v>
      </c>
      <c r="U180">
        <f t="shared" si="27"/>
        <v>13.075022413333333</v>
      </c>
      <c r="X180" s="9"/>
      <c r="Y180" s="21">
        <v>0.93398999999999999</v>
      </c>
      <c r="Z180" s="21">
        <v>16.069600000000001</v>
      </c>
      <c r="AA180" s="21">
        <v>-1.39404E-2</v>
      </c>
      <c r="AB180" s="21">
        <v>170</v>
      </c>
      <c r="AC180" s="21">
        <v>0.93292200000000003</v>
      </c>
      <c r="AD180">
        <f t="shared" si="28"/>
        <v>17.21037037037037</v>
      </c>
      <c r="AE180">
        <f t="shared" si="29"/>
        <v>16.074313822222223</v>
      </c>
      <c r="AF180" s="9"/>
      <c r="AG180" s="21">
        <v>0.756073</v>
      </c>
      <c r="AH180" s="21">
        <v>19.868600000000001</v>
      </c>
      <c r="AI180" s="21">
        <v>-1.40228E-2</v>
      </c>
      <c r="AJ180" s="21">
        <v>170</v>
      </c>
      <c r="AK180" s="21">
        <v>0.75561500000000004</v>
      </c>
      <c r="AL180">
        <f t="shared" si="30"/>
        <v>17.312098765432097</v>
      </c>
      <c r="AM180">
        <f t="shared" si="31"/>
        <v>13.089210449876543</v>
      </c>
      <c r="AP180" s="9"/>
      <c r="AQ180" s="21">
        <v>0.93398999999999999</v>
      </c>
      <c r="AR180" s="21">
        <v>25.306799999999999</v>
      </c>
      <c r="AS180" s="21">
        <v>-1.3913E-2</v>
      </c>
      <c r="AT180" s="21">
        <v>170</v>
      </c>
      <c r="AU180" s="21">
        <v>0.93292200000000003</v>
      </c>
      <c r="AV180">
        <f t="shared" si="32"/>
        <v>17.176543209876542</v>
      </c>
      <c r="AW180">
        <f t="shared" si="33"/>
        <v>16.04271959259259</v>
      </c>
      <c r="AX180" s="9"/>
      <c r="AY180" s="21">
        <v>0.756073</v>
      </c>
      <c r="AZ180" s="21">
        <v>29.105899999999998</v>
      </c>
      <c r="BA180" s="21">
        <v>-1.39557E-2</v>
      </c>
      <c r="BB180" s="21">
        <v>170</v>
      </c>
      <c r="BC180" s="21">
        <v>0.75561500000000004</v>
      </c>
      <c r="BD180">
        <f t="shared" si="34"/>
        <v>17.229259259259258</v>
      </c>
      <c r="BE180">
        <f t="shared" si="35"/>
        <v>13.026577735925926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6.7184600000000003</v>
      </c>
      <c r="I181" s="21">
        <v>-1.3848900000000001E-2</v>
      </c>
      <c r="J181" s="21">
        <v>171</v>
      </c>
      <c r="K181" s="21">
        <v>0.92773399999999995</v>
      </c>
      <c r="L181">
        <f t="shared" si="24"/>
        <v>17.09740740740741</v>
      </c>
      <c r="M181">
        <f t="shared" si="25"/>
        <v>15.88272209814815</v>
      </c>
      <c r="N181" s="9"/>
      <c r="O181" s="21">
        <v>0.76110800000000001</v>
      </c>
      <c r="P181" s="21">
        <v>10.5175</v>
      </c>
      <c r="Q181" s="21">
        <v>-1.40015E-2</v>
      </c>
      <c r="R181" s="21">
        <v>171</v>
      </c>
      <c r="S181" s="21">
        <v>0.76019300000000001</v>
      </c>
      <c r="T181">
        <f t="shared" si="26"/>
        <v>17.285802469135803</v>
      </c>
      <c r="U181">
        <f t="shared" si="27"/>
        <v>13.156362545679013</v>
      </c>
      <c r="X181" s="9"/>
      <c r="Y181" s="21">
        <v>0.92895499999999998</v>
      </c>
      <c r="Z181" s="21">
        <v>16.079699999999999</v>
      </c>
      <c r="AA181" s="21">
        <v>-1.3943499999999999E-2</v>
      </c>
      <c r="AB181" s="21">
        <v>171</v>
      </c>
      <c r="AC181" s="21">
        <v>0.92773399999999995</v>
      </c>
      <c r="AD181">
        <f t="shared" si="28"/>
        <v>17.214197530864197</v>
      </c>
      <c r="AE181">
        <f t="shared" si="29"/>
        <v>15.991214867283951</v>
      </c>
      <c r="AF181" s="9"/>
      <c r="AG181" s="21">
        <v>0.76110800000000001</v>
      </c>
      <c r="AH181" s="21">
        <v>19.878699999999998</v>
      </c>
      <c r="AI181" s="21">
        <v>-1.40106E-2</v>
      </c>
      <c r="AJ181" s="21">
        <v>171</v>
      </c>
      <c r="AK181" s="21">
        <v>0.76019300000000001</v>
      </c>
      <c r="AL181">
        <f t="shared" si="30"/>
        <v>17.297037037037036</v>
      </c>
      <c r="AM181">
        <f t="shared" si="31"/>
        <v>13.164913265185184</v>
      </c>
      <c r="AP181" s="9"/>
      <c r="AQ181" s="21">
        <v>0.92895499999999998</v>
      </c>
      <c r="AR181" s="21">
        <v>25.3169</v>
      </c>
      <c r="AS181" s="21">
        <v>-1.39252E-2</v>
      </c>
      <c r="AT181" s="21">
        <v>171</v>
      </c>
      <c r="AU181" s="21">
        <v>0.92834499999999998</v>
      </c>
      <c r="AV181">
        <f t="shared" si="32"/>
        <v>17.191604938271606</v>
      </c>
      <c r="AW181">
        <f t="shared" si="33"/>
        <v>15.9702273654321</v>
      </c>
      <c r="AX181" s="9"/>
      <c r="AY181" s="21">
        <v>0.76110800000000001</v>
      </c>
      <c r="AZ181" s="21">
        <v>29.1159</v>
      </c>
      <c r="BA181" s="21">
        <v>-1.39496E-2</v>
      </c>
      <c r="BB181" s="21">
        <v>171</v>
      </c>
      <c r="BC181" s="21">
        <v>0.76019300000000001</v>
      </c>
      <c r="BD181">
        <f t="shared" si="34"/>
        <v>17.221728395061724</v>
      </c>
      <c r="BE181">
        <f t="shared" si="35"/>
        <v>13.10759525530864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6.7285300000000001</v>
      </c>
      <c r="I182" s="21">
        <v>-1.3861099999999999E-2</v>
      </c>
      <c r="J182" s="21">
        <v>172</v>
      </c>
      <c r="K182" s="21">
        <v>0.92285200000000001</v>
      </c>
      <c r="L182">
        <f t="shared" si="24"/>
        <v>17.112469135802467</v>
      </c>
      <c r="M182">
        <f t="shared" si="25"/>
        <v>15.810552483950614</v>
      </c>
      <c r="N182" s="9"/>
      <c r="O182" s="21">
        <v>0.76614400000000005</v>
      </c>
      <c r="P182" s="21">
        <v>10.5276</v>
      </c>
      <c r="Q182" s="21">
        <v>-1.3998399999999999E-2</v>
      </c>
      <c r="R182" s="21">
        <v>172</v>
      </c>
      <c r="S182" s="21">
        <v>0.76507599999999998</v>
      </c>
      <c r="T182">
        <f t="shared" si="26"/>
        <v>17.281975308641975</v>
      </c>
      <c r="U182">
        <f t="shared" si="27"/>
        <v>13.240481690864199</v>
      </c>
      <c r="X182" s="9"/>
      <c r="Y182" s="21">
        <v>0.92391999999999996</v>
      </c>
      <c r="Z182" s="21">
        <v>16.089700000000001</v>
      </c>
      <c r="AA182" s="21">
        <v>-1.3943499999999999E-2</v>
      </c>
      <c r="AB182" s="21">
        <v>172</v>
      </c>
      <c r="AC182" s="21">
        <v>0.92285200000000001</v>
      </c>
      <c r="AD182">
        <f t="shared" si="28"/>
        <v>17.214197530864197</v>
      </c>
      <c r="AE182">
        <f t="shared" si="29"/>
        <v>15.904541382716049</v>
      </c>
      <c r="AF182" s="9"/>
      <c r="AG182" s="21">
        <v>0.76614400000000005</v>
      </c>
      <c r="AH182" s="21">
        <v>19.8888</v>
      </c>
      <c r="AI182" s="21">
        <v>-1.40076E-2</v>
      </c>
      <c r="AJ182" s="21">
        <v>172</v>
      </c>
      <c r="AK182" s="21">
        <v>0.76568599999999998</v>
      </c>
      <c r="AL182">
        <f t="shared" si="30"/>
        <v>17.293333333333333</v>
      </c>
      <c r="AM182">
        <f t="shared" si="31"/>
        <v>13.249183573333333</v>
      </c>
      <c r="AP182" s="9"/>
      <c r="AQ182" s="21">
        <v>0.92391999999999996</v>
      </c>
      <c r="AR182" s="21">
        <v>25.327000000000002</v>
      </c>
      <c r="AS182" s="21">
        <v>-1.39343E-2</v>
      </c>
      <c r="AT182" s="21">
        <v>172</v>
      </c>
      <c r="AU182" s="21">
        <v>0.92285200000000001</v>
      </c>
      <c r="AV182">
        <f t="shared" si="32"/>
        <v>17.202839506172836</v>
      </c>
      <c r="AW182">
        <f t="shared" si="33"/>
        <v>15.894047476543205</v>
      </c>
      <c r="AX182" s="9"/>
      <c r="AY182" s="21">
        <v>0.76614400000000005</v>
      </c>
      <c r="AZ182" s="21">
        <v>29.126000000000001</v>
      </c>
      <c r="BA182" s="21">
        <v>-1.3946500000000001E-2</v>
      </c>
      <c r="BB182" s="21">
        <v>172</v>
      </c>
      <c r="BC182" s="21">
        <v>0.76538099999999998</v>
      </c>
      <c r="BD182">
        <f t="shared" si="34"/>
        <v>17.217901234567901</v>
      </c>
      <c r="BE182">
        <f t="shared" si="35"/>
        <v>13.191391723456791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6.7386100000000004</v>
      </c>
      <c r="I183" s="21">
        <v>-1.3861099999999999E-2</v>
      </c>
      <c r="J183" s="21">
        <v>173</v>
      </c>
      <c r="K183" s="21">
        <v>0.91827400000000003</v>
      </c>
      <c r="L183">
        <f t="shared" si="24"/>
        <v>17.112469135802467</v>
      </c>
      <c r="M183">
        <f t="shared" si="25"/>
        <v>15.724374089382716</v>
      </c>
      <c r="N183" s="9"/>
      <c r="O183" s="21">
        <v>0.77117899999999995</v>
      </c>
      <c r="P183" s="21">
        <v>10.537699999999999</v>
      </c>
      <c r="Q183" s="21">
        <v>-1.39954E-2</v>
      </c>
      <c r="R183" s="21">
        <v>173</v>
      </c>
      <c r="S183" s="21">
        <v>0.77026399999999995</v>
      </c>
      <c r="T183">
        <f t="shared" si="26"/>
        <v>17.278271604938272</v>
      </c>
      <c r="U183">
        <f t="shared" si="27"/>
        <v>13.32464021802469</v>
      </c>
      <c r="X183" s="9"/>
      <c r="Y183" s="21">
        <v>0.91888400000000003</v>
      </c>
      <c r="Z183" s="21">
        <v>16.099799999999998</v>
      </c>
      <c r="AA183" s="21">
        <v>-1.3943499999999999E-2</v>
      </c>
      <c r="AB183" s="21">
        <v>173</v>
      </c>
      <c r="AC183" s="21">
        <v>0.91796900000000003</v>
      </c>
      <c r="AD183">
        <f t="shared" si="28"/>
        <v>17.214197530864197</v>
      </c>
      <c r="AE183">
        <f t="shared" si="29"/>
        <v>15.817850683950617</v>
      </c>
      <c r="AF183" s="9"/>
      <c r="AG183" s="21">
        <v>0.77117899999999995</v>
      </c>
      <c r="AH183" s="21">
        <v>19.898800000000001</v>
      </c>
      <c r="AI183" s="21">
        <v>-1.40076E-2</v>
      </c>
      <c r="AJ183" s="21">
        <v>173</v>
      </c>
      <c r="AK183" s="21">
        <v>0.77056899999999995</v>
      </c>
      <c r="AL183">
        <f t="shared" si="30"/>
        <v>17.293333333333333</v>
      </c>
      <c r="AM183">
        <f t="shared" si="31"/>
        <v>13.336255506666665</v>
      </c>
      <c r="AP183" s="9"/>
      <c r="AQ183" s="21">
        <v>0.91888400000000003</v>
      </c>
      <c r="AR183" s="21">
        <v>25.337</v>
      </c>
      <c r="AS183" s="21">
        <v>-1.3943499999999999E-2</v>
      </c>
      <c r="AT183" s="21">
        <v>173</v>
      </c>
      <c r="AU183" s="21">
        <v>0.91796900000000003</v>
      </c>
      <c r="AV183">
        <f t="shared" si="32"/>
        <v>17.214197530864197</v>
      </c>
      <c r="AW183">
        <f t="shared" si="33"/>
        <v>15.817850683950617</v>
      </c>
      <c r="AX183" s="9"/>
      <c r="AY183" s="21">
        <v>0.77117899999999995</v>
      </c>
      <c r="AZ183" s="21">
        <v>29.136099999999999</v>
      </c>
      <c r="BA183" s="21">
        <v>-1.3946500000000001E-2</v>
      </c>
      <c r="BB183" s="21">
        <v>173</v>
      </c>
      <c r="BC183" s="21">
        <v>0.77056899999999995</v>
      </c>
      <c r="BD183">
        <f t="shared" si="34"/>
        <v>17.217901234567901</v>
      </c>
      <c r="BE183">
        <f t="shared" si="35"/>
        <v>13.278083856172838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6.7486800000000002</v>
      </c>
      <c r="I184" s="21">
        <v>-1.3854999999999999E-2</v>
      </c>
      <c r="J184" s="21">
        <v>174</v>
      </c>
      <c r="K184" s="21">
        <v>0.91339099999999995</v>
      </c>
      <c r="L184">
        <f t="shared" si="24"/>
        <v>17.104938271604937</v>
      </c>
      <c r="M184">
        <f t="shared" si="25"/>
        <v>15.6313307345679</v>
      </c>
      <c r="N184" s="9"/>
      <c r="O184" s="21">
        <v>0.77621499999999999</v>
      </c>
      <c r="P184" s="21">
        <v>10.547700000000001</v>
      </c>
      <c r="Q184" s="21">
        <v>-1.39954E-2</v>
      </c>
      <c r="R184" s="21">
        <v>174</v>
      </c>
      <c r="S184" s="21">
        <v>0.77575700000000003</v>
      </c>
      <c r="T184">
        <f t="shared" si="26"/>
        <v>17.278271604938272</v>
      </c>
      <c r="U184">
        <f t="shared" si="27"/>
        <v>13.411653593827161</v>
      </c>
      <c r="X184" s="9"/>
      <c r="Y184" s="21">
        <v>0.91384900000000002</v>
      </c>
      <c r="Z184" s="21">
        <v>16.1099</v>
      </c>
      <c r="AA184" s="21">
        <v>-1.3946500000000001E-2</v>
      </c>
      <c r="AB184" s="21">
        <v>174</v>
      </c>
      <c r="AC184" s="21">
        <v>0.91308599999999995</v>
      </c>
      <c r="AD184">
        <f t="shared" si="28"/>
        <v>17.217901234567901</v>
      </c>
      <c r="AE184">
        <f t="shared" si="29"/>
        <v>15.734561825308642</v>
      </c>
      <c r="AF184" s="9"/>
      <c r="AG184" s="21">
        <v>0.77621499999999999</v>
      </c>
      <c r="AH184" s="21">
        <v>19.908899999999999</v>
      </c>
      <c r="AI184" s="21">
        <v>-1.40015E-2</v>
      </c>
      <c r="AJ184" s="21">
        <v>174</v>
      </c>
      <c r="AK184" s="21">
        <v>0.774841</v>
      </c>
      <c r="AL184">
        <f t="shared" si="30"/>
        <v>17.285802469135803</v>
      </c>
      <c r="AM184">
        <f t="shared" si="31"/>
        <v>13.417499163580247</v>
      </c>
      <c r="AP184" s="9"/>
      <c r="AQ184" s="21">
        <v>0.91384900000000002</v>
      </c>
      <c r="AR184" s="21">
        <v>25.347100000000001</v>
      </c>
      <c r="AS184" s="21">
        <v>-1.3943499999999999E-2</v>
      </c>
      <c r="AT184" s="21">
        <v>174</v>
      </c>
      <c r="AU184" s="21">
        <v>0.91278099999999995</v>
      </c>
      <c r="AV184">
        <f t="shared" si="32"/>
        <v>17.214197530864197</v>
      </c>
      <c r="AW184">
        <f t="shared" si="33"/>
        <v>15.731177199382717</v>
      </c>
      <c r="AX184" s="9"/>
      <c r="AY184" s="21">
        <v>0.77621499999999999</v>
      </c>
      <c r="AZ184" s="21">
        <v>29.146100000000001</v>
      </c>
      <c r="BA184" s="21">
        <v>-1.39343E-2</v>
      </c>
      <c r="BB184" s="21">
        <v>174</v>
      </c>
      <c r="BC184" s="21">
        <v>0.77575700000000003</v>
      </c>
      <c r="BD184">
        <f t="shared" si="34"/>
        <v>17.202839506172836</v>
      </c>
      <c r="BE184">
        <f t="shared" si="35"/>
        <v>13.353102067283947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6.75875</v>
      </c>
      <c r="I185" s="21">
        <v>-1.38672E-2</v>
      </c>
      <c r="J185" s="21">
        <v>175</v>
      </c>
      <c r="K185" s="21">
        <v>0.90759299999999998</v>
      </c>
      <c r="L185">
        <f t="shared" si="24"/>
        <v>17.12</v>
      </c>
      <c r="M185">
        <f t="shared" si="25"/>
        <v>15.55887856</v>
      </c>
      <c r="N185" s="9"/>
      <c r="O185" s="21">
        <v>0.78125</v>
      </c>
      <c r="P185" s="21">
        <v>10.5578</v>
      </c>
      <c r="Q185" s="21">
        <v>-1.3983199999999999E-2</v>
      </c>
      <c r="R185" s="21">
        <v>175</v>
      </c>
      <c r="S185" s="21">
        <v>0.780945</v>
      </c>
      <c r="T185">
        <f t="shared" si="26"/>
        <v>17.263209876543208</v>
      </c>
      <c r="U185">
        <f t="shared" si="27"/>
        <v>13.486882716049381</v>
      </c>
      <c r="X185" s="9"/>
      <c r="Y185" s="21">
        <v>0.90881299999999998</v>
      </c>
      <c r="Z185" s="21">
        <v>16.119900000000001</v>
      </c>
      <c r="AA185" s="21">
        <v>-1.3943499999999999E-2</v>
      </c>
      <c r="AB185" s="21">
        <v>175</v>
      </c>
      <c r="AC185" s="21">
        <v>0.90820299999999998</v>
      </c>
      <c r="AD185">
        <f t="shared" si="28"/>
        <v>17.214197530864197</v>
      </c>
      <c r="AE185">
        <f t="shared" si="29"/>
        <v>15.644486500617283</v>
      </c>
      <c r="AF185" s="9"/>
      <c r="AG185" s="21">
        <v>0.78125</v>
      </c>
      <c r="AH185" s="21">
        <v>19.919</v>
      </c>
      <c r="AI185" s="21">
        <v>-1.40045E-2</v>
      </c>
      <c r="AJ185" s="21">
        <v>175</v>
      </c>
      <c r="AK185" s="21">
        <v>0.78064</v>
      </c>
      <c r="AL185">
        <f t="shared" si="30"/>
        <v>17.289506172839506</v>
      </c>
      <c r="AM185">
        <f t="shared" si="31"/>
        <v>13.507426697530864</v>
      </c>
      <c r="AP185" s="9"/>
      <c r="AQ185" s="21">
        <v>0.90881299999999998</v>
      </c>
      <c r="AR185" s="21">
        <v>25.357199999999999</v>
      </c>
      <c r="AS185" s="21">
        <v>-1.3952600000000001E-2</v>
      </c>
      <c r="AT185" s="21">
        <v>175</v>
      </c>
      <c r="AU185" s="21">
        <v>0.90759299999999998</v>
      </c>
      <c r="AV185">
        <f t="shared" si="32"/>
        <v>17.225432098765431</v>
      </c>
      <c r="AW185">
        <f t="shared" si="33"/>
        <v>15.654696621975308</v>
      </c>
      <c r="AX185" s="9"/>
      <c r="AY185" s="21">
        <v>0.78125</v>
      </c>
      <c r="AZ185" s="21">
        <v>29.156199999999998</v>
      </c>
      <c r="BA185" s="21">
        <v>-1.39282E-2</v>
      </c>
      <c r="BB185" s="21">
        <v>175</v>
      </c>
      <c r="BC185" s="21">
        <v>0.78033399999999997</v>
      </c>
      <c r="BD185">
        <f t="shared" si="34"/>
        <v>17.195308641975309</v>
      </c>
      <c r="BE185">
        <f t="shared" si="35"/>
        <v>13.433834876543211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6.7688199999999998</v>
      </c>
      <c r="I186" s="21">
        <v>-1.38733E-2</v>
      </c>
      <c r="J186" s="21">
        <v>176</v>
      </c>
      <c r="K186" s="21">
        <v>0.90271000000000001</v>
      </c>
      <c r="L186">
        <f t="shared" si="24"/>
        <v>17.127530864197528</v>
      </c>
      <c r="M186">
        <f t="shared" si="25"/>
        <v>15.479485589382714</v>
      </c>
      <c r="N186" s="9"/>
      <c r="O186" s="21">
        <v>0.78628500000000001</v>
      </c>
      <c r="P186" s="21">
        <v>10.5679</v>
      </c>
      <c r="Q186" s="21">
        <v>-1.3977099999999999E-2</v>
      </c>
      <c r="R186" s="21">
        <v>176</v>
      </c>
      <c r="S186" s="21">
        <v>0.78552200000000005</v>
      </c>
      <c r="T186">
        <f t="shared" si="26"/>
        <v>17.255679012345677</v>
      </c>
      <c r="U186">
        <f t="shared" si="27"/>
        <v>13.567881572222221</v>
      </c>
      <c r="X186" s="9"/>
      <c r="Y186" s="21">
        <v>0.90377799999999997</v>
      </c>
      <c r="Z186" s="21">
        <v>16.13</v>
      </c>
      <c r="AA186" s="21">
        <v>-1.3943499999999999E-2</v>
      </c>
      <c r="AB186" s="21">
        <v>176</v>
      </c>
      <c r="AC186" s="21">
        <v>0.90301500000000001</v>
      </c>
      <c r="AD186">
        <f t="shared" si="28"/>
        <v>17.214197530864197</v>
      </c>
      <c r="AE186">
        <f t="shared" si="29"/>
        <v>15.557813016049382</v>
      </c>
      <c r="AF186" s="9"/>
      <c r="AG186" s="21">
        <v>0.78628500000000001</v>
      </c>
      <c r="AH186" s="21">
        <v>19.929099999999998</v>
      </c>
      <c r="AI186" s="21">
        <v>-1.40137E-2</v>
      </c>
      <c r="AJ186" s="21">
        <v>176</v>
      </c>
      <c r="AK186" s="21">
        <v>0.78552200000000005</v>
      </c>
      <c r="AL186">
        <f t="shared" si="30"/>
        <v>17.300864197530863</v>
      </c>
      <c r="AM186">
        <f t="shared" si="31"/>
        <v>13.603410005555554</v>
      </c>
      <c r="AP186" s="9"/>
      <c r="AQ186" s="21">
        <v>0.90377799999999997</v>
      </c>
      <c r="AR186" s="21">
        <v>25.3672</v>
      </c>
      <c r="AS186" s="21">
        <v>-1.3958699999999999E-2</v>
      </c>
      <c r="AT186" s="21">
        <v>176</v>
      </c>
      <c r="AU186" s="21">
        <v>0.90301500000000001</v>
      </c>
      <c r="AV186">
        <f t="shared" si="32"/>
        <v>17.232962962962961</v>
      </c>
      <c r="AW186">
        <f t="shared" si="33"/>
        <v>15.574772800740739</v>
      </c>
      <c r="AX186" s="9"/>
      <c r="AY186" s="21">
        <v>0.78628500000000001</v>
      </c>
      <c r="AZ186" s="21">
        <v>29.1663</v>
      </c>
      <c r="BA186" s="21">
        <v>-1.3916E-2</v>
      </c>
      <c r="BB186" s="21">
        <v>176</v>
      </c>
      <c r="BC186" s="21">
        <v>0.78521700000000005</v>
      </c>
      <c r="BD186">
        <f t="shared" si="34"/>
        <v>17.180246913580245</v>
      </c>
      <c r="BE186">
        <f t="shared" si="35"/>
        <v>13.508570444444443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6.7788899999999996</v>
      </c>
      <c r="I187" s="21">
        <v>-1.38885E-2</v>
      </c>
      <c r="J187" s="21">
        <v>177</v>
      </c>
      <c r="K187" s="21">
        <v>0.89752200000000004</v>
      </c>
      <c r="L187">
        <f t="shared" si="24"/>
        <v>17.146296296296295</v>
      </c>
      <c r="M187">
        <f t="shared" si="25"/>
        <v>15.410113772222221</v>
      </c>
      <c r="N187" s="9"/>
      <c r="O187" s="21">
        <v>0.79132100000000005</v>
      </c>
      <c r="P187" s="21">
        <v>10.5779</v>
      </c>
      <c r="Q187" s="21">
        <v>-1.3974E-2</v>
      </c>
      <c r="R187" s="21">
        <v>177</v>
      </c>
      <c r="S187" s="21">
        <v>0.79071000000000002</v>
      </c>
      <c r="T187">
        <f t="shared" si="26"/>
        <v>17.251851851851853</v>
      </c>
      <c r="U187">
        <f t="shared" si="27"/>
        <v>13.651752659259261</v>
      </c>
      <c r="X187" s="9"/>
      <c r="Y187" s="21">
        <v>0.89874299999999996</v>
      </c>
      <c r="Z187" s="21">
        <v>16.1401</v>
      </c>
      <c r="AA187" s="21">
        <v>-1.3931300000000001E-2</v>
      </c>
      <c r="AB187" s="21">
        <v>177</v>
      </c>
      <c r="AC187" s="21">
        <v>0.89782700000000004</v>
      </c>
      <c r="AD187">
        <f t="shared" si="28"/>
        <v>17.199135802469137</v>
      </c>
      <c r="AE187">
        <f t="shared" si="29"/>
        <v>15.457602908518519</v>
      </c>
      <c r="AF187" s="9"/>
      <c r="AG187" s="21">
        <v>0.79132100000000005</v>
      </c>
      <c r="AH187" s="21">
        <v>19.9391</v>
      </c>
      <c r="AI187" s="21">
        <v>-1.4019800000000001E-2</v>
      </c>
      <c r="AJ187" s="21">
        <v>177</v>
      </c>
      <c r="AK187" s="21">
        <v>0.79101600000000005</v>
      </c>
      <c r="AL187">
        <f t="shared" si="30"/>
        <v>17.308395061728394</v>
      </c>
      <c r="AM187">
        <f t="shared" si="31"/>
        <v>13.696496488641975</v>
      </c>
      <c r="AP187" s="9"/>
      <c r="AQ187" s="21">
        <v>0.89874299999999996</v>
      </c>
      <c r="AR187" s="21">
        <v>25.377300000000002</v>
      </c>
      <c r="AS187" s="21">
        <v>-1.39557E-2</v>
      </c>
      <c r="AT187" s="21">
        <v>177</v>
      </c>
      <c r="AU187" s="21">
        <v>0.89752200000000004</v>
      </c>
      <c r="AV187">
        <f t="shared" si="32"/>
        <v>17.229259259259258</v>
      </c>
      <c r="AW187">
        <f t="shared" si="33"/>
        <v>15.484676154444443</v>
      </c>
      <c r="AX187" s="9"/>
      <c r="AY187" s="21">
        <v>0.79132100000000005</v>
      </c>
      <c r="AZ187" s="21">
        <v>29.176400000000001</v>
      </c>
      <c r="BA187" s="21">
        <v>-1.3913E-2</v>
      </c>
      <c r="BB187" s="21">
        <v>177</v>
      </c>
      <c r="BC187" s="21">
        <v>0.79071000000000002</v>
      </c>
      <c r="BD187">
        <f t="shared" si="34"/>
        <v>17.176543209876542</v>
      </c>
      <c r="BE187">
        <f t="shared" si="35"/>
        <v>13.592159349382715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6.7889600000000003</v>
      </c>
      <c r="I188" s="21">
        <v>-1.3903799999999999E-2</v>
      </c>
      <c r="J188" s="21">
        <v>178</v>
      </c>
      <c r="K188" s="21">
        <v>0.89294399999999996</v>
      </c>
      <c r="L188">
        <f t="shared" si="24"/>
        <v>17.165185185185184</v>
      </c>
      <c r="M188">
        <f t="shared" si="25"/>
        <v>15.340646156296296</v>
      </c>
      <c r="N188" s="9"/>
      <c r="O188" s="21">
        <v>0.79635599999999995</v>
      </c>
      <c r="P188" s="21">
        <v>10.587999999999999</v>
      </c>
      <c r="Q188" s="21">
        <v>-1.39709E-2</v>
      </c>
      <c r="R188" s="21">
        <v>178</v>
      </c>
      <c r="S188" s="21">
        <v>0.794983</v>
      </c>
      <c r="T188">
        <f t="shared" si="26"/>
        <v>17.248024691358022</v>
      </c>
      <c r="U188">
        <f t="shared" si="27"/>
        <v>13.735567951111108</v>
      </c>
      <c r="X188" s="9"/>
      <c r="Y188" s="21">
        <v>0.89370700000000003</v>
      </c>
      <c r="Z188" s="21">
        <v>16.150099999999998</v>
      </c>
      <c r="AA188" s="21">
        <v>-1.3916E-2</v>
      </c>
      <c r="AB188" s="21">
        <v>178</v>
      </c>
      <c r="AC188" s="21">
        <v>0.89263899999999996</v>
      </c>
      <c r="AD188">
        <f t="shared" si="28"/>
        <v>17.180246913580245</v>
      </c>
      <c r="AE188">
        <f t="shared" si="29"/>
        <v>15.35410692839506</v>
      </c>
      <c r="AF188" s="9"/>
      <c r="AG188" s="21">
        <v>0.79635599999999995</v>
      </c>
      <c r="AH188" s="21">
        <v>19.949200000000001</v>
      </c>
      <c r="AI188" s="21">
        <v>-1.4025900000000001E-2</v>
      </c>
      <c r="AJ188" s="21">
        <v>178</v>
      </c>
      <c r="AK188" s="21">
        <v>0.79589799999999999</v>
      </c>
      <c r="AL188">
        <f t="shared" si="30"/>
        <v>17.315925925925924</v>
      </c>
      <c r="AM188">
        <f t="shared" si="31"/>
        <v>13.789641506666664</v>
      </c>
      <c r="AP188" s="9"/>
      <c r="AQ188" s="21">
        <v>0.89370700000000003</v>
      </c>
      <c r="AR188" s="21">
        <v>25.3874</v>
      </c>
      <c r="AS188" s="21">
        <v>-1.39618E-2</v>
      </c>
      <c r="AT188" s="21">
        <v>178</v>
      </c>
      <c r="AU188" s="21">
        <v>0.89294399999999996</v>
      </c>
      <c r="AV188">
        <f t="shared" si="32"/>
        <v>17.236790123456789</v>
      </c>
      <c r="AW188">
        <f t="shared" si="33"/>
        <v>15.404639990864197</v>
      </c>
      <c r="AX188" s="9"/>
      <c r="AY188" s="21">
        <v>0.79635599999999995</v>
      </c>
      <c r="AZ188" s="21">
        <v>29.186399999999999</v>
      </c>
      <c r="BA188" s="21">
        <v>-1.39221E-2</v>
      </c>
      <c r="BB188" s="21">
        <v>178</v>
      </c>
      <c r="BC188" s="21">
        <v>0.79559299999999999</v>
      </c>
      <c r="BD188">
        <f t="shared" si="34"/>
        <v>17.187777777777779</v>
      </c>
      <c r="BE188">
        <f t="shared" si="35"/>
        <v>13.68758996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6.7990300000000001</v>
      </c>
      <c r="I189" s="21">
        <v>-1.39191E-2</v>
      </c>
      <c r="J189" s="21">
        <v>179</v>
      </c>
      <c r="K189" s="21">
        <v>0.88775599999999999</v>
      </c>
      <c r="L189">
        <f t="shared" si="24"/>
        <v>17.184074074074076</v>
      </c>
      <c r="M189">
        <f t="shared" si="25"/>
        <v>15.271005475555556</v>
      </c>
      <c r="N189" s="9"/>
      <c r="O189" s="21">
        <v>0.80139199999999999</v>
      </c>
      <c r="P189" s="21">
        <v>10.598100000000001</v>
      </c>
      <c r="Q189" s="21">
        <v>-1.39618E-2</v>
      </c>
      <c r="R189" s="21">
        <v>179</v>
      </c>
      <c r="S189" s="21">
        <v>0.80108599999999996</v>
      </c>
      <c r="T189">
        <f t="shared" si="26"/>
        <v>17.236790123456789</v>
      </c>
      <c r="U189">
        <f t="shared" si="27"/>
        <v>13.813425710617283</v>
      </c>
      <c r="X189" s="9"/>
      <c r="Y189" s="21">
        <v>0.88867200000000002</v>
      </c>
      <c r="Z189" s="21">
        <v>16.1602</v>
      </c>
      <c r="AA189" s="21">
        <v>-1.3916E-2</v>
      </c>
      <c r="AB189" s="21">
        <v>179</v>
      </c>
      <c r="AC189" s="21">
        <v>0.88745099999999999</v>
      </c>
      <c r="AD189">
        <f t="shared" si="28"/>
        <v>17.180246913580245</v>
      </c>
      <c r="AE189">
        <f t="shared" si="29"/>
        <v>15.267604385185184</v>
      </c>
      <c r="AF189" s="9"/>
      <c r="AG189" s="21">
        <v>0.80139199999999999</v>
      </c>
      <c r="AH189" s="21">
        <v>19.959299999999999</v>
      </c>
      <c r="AI189" s="21">
        <v>-1.40228E-2</v>
      </c>
      <c r="AJ189" s="21">
        <v>179</v>
      </c>
      <c r="AK189" s="21">
        <v>0.80078099999999997</v>
      </c>
      <c r="AL189">
        <f t="shared" si="30"/>
        <v>17.312098765432097</v>
      </c>
      <c r="AM189">
        <f t="shared" si="31"/>
        <v>13.873777453827159</v>
      </c>
      <c r="AP189" s="9"/>
      <c r="AQ189" s="21">
        <v>0.88867200000000002</v>
      </c>
      <c r="AR189" s="21">
        <v>25.397400000000001</v>
      </c>
      <c r="AS189" s="21">
        <v>-1.39557E-2</v>
      </c>
      <c r="AT189" s="21">
        <v>179</v>
      </c>
      <c r="AU189" s="21">
        <v>0.88806200000000002</v>
      </c>
      <c r="AV189">
        <f t="shared" si="32"/>
        <v>17.229259259259258</v>
      </c>
      <c r="AW189">
        <f t="shared" si="33"/>
        <v>15.311160284444444</v>
      </c>
      <c r="AX189" s="9"/>
      <c r="AY189" s="21">
        <v>0.80139199999999999</v>
      </c>
      <c r="AZ189" s="21">
        <v>29.1965</v>
      </c>
      <c r="BA189" s="21">
        <v>-1.39252E-2</v>
      </c>
      <c r="BB189" s="21">
        <v>179</v>
      </c>
      <c r="BC189" s="21">
        <v>0.80047599999999997</v>
      </c>
      <c r="BD189">
        <f t="shared" si="34"/>
        <v>17.191604938271606</v>
      </c>
      <c r="BE189">
        <f t="shared" si="35"/>
        <v>13.777214664691359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6.8090999999999999</v>
      </c>
      <c r="I190" s="21">
        <v>-1.39191E-2</v>
      </c>
      <c r="J190" s="21">
        <v>180</v>
      </c>
      <c r="K190" s="21">
        <v>0.88256800000000002</v>
      </c>
      <c r="L190">
        <f t="shared" si="24"/>
        <v>17.184074074074076</v>
      </c>
      <c r="M190">
        <f t="shared" si="25"/>
        <v>15.184466478518519</v>
      </c>
      <c r="N190" s="9"/>
      <c r="O190" s="21">
        <v>0.806427</v>
      </c>
      <c r="P190" s="21">
        <v>10.6082</v>
      </c>
      <c r="Q190" s="21">
        <v>-1.3952600000000001E-2</v>
      </c>
      <c r="R190" s="21">
        <v>180</v>
      </c>
      <c r="S190" s="21">
        <v>0.80474900000000005</v>
      </c>
      <c r="T190">
        <f t="shared" si="26"/>
        <v>17.225432098765431</v>
      </c>
      <c r="U190">
        <f t="shared" si="27"/>
        <v>13.89105353111111</v>
      </c>
      <c r="X190" s="9"/>
      <c r="Y190" s="21">
        <v>0.88363599999999998</v>
      </c>
      <c r="Z190" s="21">
        <v>16.170300000000001</v>
      </c>
      <c r="AA190" s="21">
        <v>-1.39191E-2</v>
      </c>
      <c r="AB190" s="21">
        <v>180</v>
      </c>
      <c r="AC190" s="21">
        <v>0.88226300000000002</v>
      </c>
      <c r="AD190">
        <f t="shared" si="28"/>
        <v>17.184074074074076</v>
      </c>
      <c r="AE190">
        <f t="shared" si="29"/>
        <v>15.184466478518519</v>
      </c>
      <c r="AF190" s="9"/>
      <c r="AG190" s="21">
        <v>0.806427</v>
      </c>
      <c r="AH190" s="21">
        <v>19.9693</v>
      </c>
      <c r="AI190" s="21">
        <v>-1.40289E-2</v>
      </c>
      <c r="AJ190" s="21">
        <v>180</v>
      </c>
      <c r="AK190" s="21">
        <v>0.80505400000000005</v>
      </c>
      <c r="AL190">
        <f t="shared" si="30"/>
        <v>17.319629629629631</v>
      </c>
      <c r="AM190">
        <f t="shared" si="31"/>
        <v>13.967016963333334</v>
      </c>
      <c r="AP190" s="9"/>
      <c r="AQ190" s="21">
        <v>0.88363599999999998</v>
      </c>
      <c r="AR190" s="21">
        <v>25.407499999999999</v>
      </c>
      <c r="AS190" s="21">
        <v>-1.39404E-2</v>
      </c>
      <c r="AT190" s="21">
        <v>180</v>
      </c>
      <c r="AU190" s="21">
        <v>0.88256800000000002</v>
      </c>
      <c r="AV190">
        <f t="shared" si="32"/>
        <v>17.21037037037037</v>
      </c>
      <c r="AW190">
        <f t="shared" si="33"/>
        <v>15.207702832592592</v>
      </c>
      <c r="AX190" s="9"/>
      <c r="AY190" s="21">
        <v>0.806427</v>
      </c>
      <c r="AZ190" s="21">
        <v>29.206600000000002</v>
      </c>
      <c r="BA190" s="21">
        <v>-1.39343E-2</v>
      </c>
      <c r="BB190" s="21">
        <v>180</v>
      </c>
      <c r="BC190" s="21">
        <v>0.80596900000000005</v>
      </c>
      <c r="BD190">
        <f t="shared" si="34"/>
        <v>17.202839506172836</v>
      </c>
      <c r="BE190">
        <f t="shared" si="35"/>
        <v>13.872834254444442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6.8191699999999997</v>
      </c>
      <c r="I191" s="21">
        <v>-1.39191E-2</v>
      </c>
      <c r="J191" s="21">
        <v>181</v>
      </c>
      <c r="K191" s="21">
        <v>0.87768599999999997</v>
      </c>
      <c r="L191">
        <f t="shared" si="24"/>
        <v>17.184074074074076</v>
      </c>
      <c r="M191">
        <f t="shared" si="25"/>
        <v>15.097944665555556</v>
      </c>
      <c r="N191" s="9"/>
      <c r="O191" s="21">
        <v>0.81146200000000002</v>
      </c>
      <c r="P191" s="21">
        <v>10.6182</v>
      </c>
      <c r="Q191" s="21">
        <v>-1.3937400000000001E-2</v>
      </c>
      <c r="R191" s="21">
        <v>181</v>
      </c>
      <c r="S191" s="21">
        <v>0.81024200000000002</v>
      </c>
      <c r="T191">
        <f t="shared" si="26"/>
        <v>17.206666666666667</v>
      </c>
      <c r="U191">
        <f t="shared" si="27"/>
        <v>13.962556146666667</v>
      </c>
      <c r="X191" s="9"/>
      <c r="Y191" s="21">
        <v>0.87860099999999997</v>
      </c>
      <c r="Z191" s="21">
        <v>16.180399999999999</v>
      </c>
      <c r="AA191" s="21">
        <v>-1.39252E-2</v>
      </c>
      <c r="AB191" s="21">
        <v>181</v>
      </c>
      <c r="AC191" s="21">
        <v>0.87768599999999997</v>
      </c>
      <c r="AD191">
        <f t="shared" si="28"/>
        <v>17.191604938271606</v>
      </c>
      <c r="AE191">
        <f t="shared" si="29"/>
        <v>15.104561290370372</v>
      </c>
      <c r="AF191" s="9"/>
      <c r="AG191" s="21">
        <v>0.81146200000000002</v>
      </c>
      <c r="AH191" s="21">
        <v>19.979399999999998</v>
      </c>
      <c r="AI191" s="21">
        <v>-1.4041100000000001E-2</v>
      </c>
      <c r="AJ191" s="21">
        <v>181</v>
      </c>
      <c r="AK191" s="21">
        <v>0.81054700000000002</v>
      </c>
      <c r="AL191">
        <f t="shared" si="30"/>
        <v>17.334691358024692</v>
      </c>
      <c r="AM191">
        <f t="shared" si="31"/>
        <v>14.066443318765433</v>
      </c>
      <c r="AP191" s="9"/>
      <c r="AQ191" s="21">
        <v>0.87860099999999997</v>
      </c>
      <c r="AR191" s="21">
        <v>25.4176</v>
      </c>
      <c r="AS191" s="21">
        <v>-1.39404E-2</v>
      </c>
      <c r="AT191" s="21">
        <v>181</v>
      </c>
      <c r="AU191" s="21">
        <v>0.87768599999999997</v>
      </c>
      <c r="AV191">
        <f t="shared" si="32"/>
        <v>17.21037037037037</v>
      </c>
      <c r="AW191">
        <f t="shared" si="33"/>
        <v>15.121048617777777</v>
      </c>
      <c r="AX191" s="9"/>
      <c r="AY191" s="21">
        <v>0.81146200000000002</v>
      </c>
      <c r="AZ191" s="21">
        <v>29.2166</v>
      </c>
      <c r="BA191" s="21">
        <v>-1.39343E-2</v>
      </c>
      <c r="BB191" s="21">
        <v>181</v>
      </c>
      <c r="BC191" s="21">
        <v>0.81085200000000002</v>
      </c>
      <c r="BD191">
        <f t="shared" si="34"/>
        <v>17.202839506172836</v>
      </c>
      <c r="BE191">
        <f t="shared" si="35"/>
        <v>13.959450551358023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6.8292400000000004</v>
      </c>
      <c r="I192" s="21">
        <v>-1.39252E-2</v>
      </c>
      <c r="J192" s="21">
        <v>182</v>
      </c>
      <c r="K192" s="21">
        <v>0.873108</v>
      </c>
      <c r="L192">
        <f t="shared" si="24"/>
        <v>17.191604938271606</v>
      </c>
      <c r="M192">
        <f t="shared" si="25"/>
        <v>15.018001559506173</v>
      </c>
      <c r="N192" s="9"/>
      <c r="O192" s="21">
        <v>0.81649799999999995</v>
      </c>
      <c r="P192" s="21">
        <v>10.628299999999999</v>
      </c>
      <c r="Q192" s="21">
        <v>-1.39404E-2</v>
      </c>
      <c r="R192" s="21">
        <v>182</v>
      </c>
      <c r="S192" s="21">
        <v>0.81603999999999999</v>
      </c>
      <c r="T192">
        <f t="shared" si="26"/>
        <v>17.21037037037037</v>
      </c>
      <c r="U192">
        <f t="shared" si="27"/>
        <v>14.052232986666665</v>
      </c>
      <c r="X192" s="9"/>
      <c r="Y192" s="21">
        <v>0.87356599999999995</v>
      </c>
      <c r="Z192" s="21">
        <v>16.1904</v>
      </c>
      <c r="AA192" s="21">
        <v>-1.39343E-2</v>
      </c>
      <c r="AB192" s="21">
        <v>182</v>
      </c>
      <c r="AC192" s="21">
        <v>0.872803</v>
      </c>
      <c r="AD192">
        <f t="shared" si="28"/>
        <v>17.202839506172836</v>
      </c>
      <c r="AE192">
        <f t="shared" si="29"/>
        <v>15.027815696049379</v>
      </c>
      <c r="AF192" s="9"/>
      <c r="AG192" s="21">
        <v>0.81649799999999995</v>
      </c>
      <c r="AH192" s="21">
        <v>19.9895</v>
      </c>
      <c r="AI192" s="21">
        <v>-1.40442E-2</v>
      </c>
      <c r="AJ192" s="21">
        <v>182</v>
      </c>
      <c r="AK192" s="21">
        <v>0.81573499999999999</v>
      </c>
      <c r="AL192">
        <f t="shared" si="30"/>
        <v>17.338518518518516</v>
      </c>
      <c r="AM192">
        <f t="shared" si="31"/>
        <v>14.15686569333333</v>
      </c>
      <c r="AP192" s="9"/>
      <c r="AQ192" s="21">
        <v>0.87356599999999995</v>
      </c>
      <c r="AR192" s="21">
        <v>25.427700000000002</v>
      </c>
      <c r="AS192" s="21">
        <v>-1.3943499999999999E-2</v>
      </c>
      <c r="AT192" s="21">
        <v>182</v>
      </c>
      <c r="AU192" s="21">
        <v>0.873108</v>
      </c>
      <c r="AV192">
        <f t="shared" si="32"/>
        <v>17.214197530864197</v>
      </c>
      <c r="AW192">
        <f t="shared" si="33"/>
        <v>15.037737680246913</v>
      </c>
      <c r="AX192" s="9"/>
      <c r="AY192" s="21">
        <v>0.81649799999999995</v>
      </c>
      <c r="AZ192" s="21">
        <v>29.226700000000001</v>
      </c>
      <c r="BA192" s="21">
        <v>-1.39404E-2</v>
      </c>
      <c r="BB192" s="21">
        <v>182</v>
      </c>
      <c r="BC192" s="21">
        <v>0.81573499999999999</v>
      </c>
      <c r="BD192">
        <f t="shared" si="34"/>
        <v>17.21037037037037</v>
      </c>
      <c r="BE192">
        <f t="shared" si="35"/>
        <v>14.052232986666665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6.8393199999999998</v>
      </c>
      <c r="I193" s="21">
        <v>-1.39282E-2</v>
      </c>
      <c r="J193" s="21">
        <v>183</v>
      </c>
      <c r="K193" s="21">
        <v>0.86822500000000002</v>
      </c>
      <c r="L193">
        <f t="shared" si="24"/>
        <v>17.195308641975309</v>
      </c>
      <c r="M193">
        <f t="shared" si="25"/>
        <v>14.934641414814816</v>
      </c>
      <c r="N193" s="9"/>
      <c r="O193" s="21">
        <v>0.82153299999999996</v>
      </c>
      <c r="P193" s="21">
        <v>10.638400000000001</v>
      </c>
      <c r="Q193" s="21">
        <v>-1.39252E-2</v>
      </c>
      <c r="R193" s="21">
        <v>183</v>
      </c>
      <c r="S193" s="21">
        <v>0.82061799999999996</v>
      </c>
      <c r="T193">
        <f t="shared" si="26"/>
        <v>17.191604938271606</v>
      </c>
      <c r="U193">
        <f t="shared" si="27"/>
        <v>14.123470779753086</v>
      </c>
      <c r="X193" s="9"/>
      <c r="Y193" s="21">
        <v>0.86853000000000002</v>
      </c>
      <c r="Z193" s="21">
        <v>16.200500000000002</v>
      </c>
      <c r="AA193" s="21">
        <v>-1.3952600000000001E-2</v>
      </c>
      <c r="AB193" s="21">
        <v>183</v>
      </c>
      <c r="AC193" s="21">
        <v>0.86792000000000002</v>
      </c>
      <c r="AD193">
        <f t="shared" si="28"/>
        <v>17.225432098765431</v>
      </c>
      <c r="AE193">
        <f t="shared" si="29"/>
        <v>14.960804540740741</v>
      </c>
      <c r="AF193" s="9"/>
      <c r="AG193" s="21">
        <v>0.82153299999999996</v>
      </c>
      <c r="AH193" s="21">
        <v>19.999500000000001</v>
      </c>
      <c r="AI193" s="21">
        <v>-1.40503E-2</v>
      </c>
      <c r="AJ193" s="21">
        <v>183</v>
      </c>
      <c r="AK193" s="21">
        <v>0.82122799999999996</v>
      </c>
      <c r="AL193">
        <f t="shared" si="30"/>
        <v>17.34604938271605</v>
      </c>
      <c r="AM193">
        <f t="shared" si="31"/>
        <v>14.250351987530864</v>
      </c>
      <c r="AP193" s="9"/>
      <c r="AQ193" s="21">
        <v>0.86853000000000002</v>
      </c>
      <c r="AR193" s="21">
        <v>25.4377</v>
      </c>
      <c r="AS193" s="21">
        <v>-1.3946500000000001E-2</v>
      </c>
      <c r="AT193" s="21">
        <v>183</v>
      </c>
      <c r="AU193" s="21">
        <v>0.86761500000000003</v>
      </c>
      <c r="AV193">
        <f t="shared" si="32"/>
        <v>17.217901234567901</v>
      </c>
      <c r="AW193">
        <f t="shared" si="33"/>
        <v>14.954263759259259</v>
      </c>
      <c r="AX193" s="9"/>
      <c r="AY193" s="21">
        <v>0.82153299999999996</v>
      </c>
      <c r="AZ193" s="21">
        <v>29.236799999999999</v>
      </c>
      <c r="BA193" s="21">
        <v>-1.39404E-2</v>
      </c>
      <c r="BB193" s="21">
        <v>183</v>
      </c>
      <c r="BC193" s="21">
        <v>0.82061799999999996</v>
      </c>
      <c r="BD193">
        <f t="shared" si="34"/>
        <v>17.21037037037037</v>
      </c>
      <c r="BE193">
        <f t="shared" si="35"/>
        <v>14.138887201481481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6.8493899999999996</v>
      </c>
      <c r="I194" s="21">
        <v>-1.39191E-2</v>
      </c>
      <c r="J194" s="21">
        <v>184</v>
      </c>
      <c r="K194" s="21">
        <v>0.86242700000000005</v>
      </c>
      <c r="L194">
        <f t="shared" si="24"/>
        <v>17.184074074074076</v>
      </c>
      <c r="M194">
        <f t="shared" si="25"/>
        <v>14.838362042592594</v>
      </c>
      <c r="N194" s="9"/>
      <c r="O194" s="21">
        <v>0.826569</v>
      </c>
      <c r="P194" s="21">
        <v>10.648400000000001</v>
      </c>
      <c r="Q194" s="21">
        <v>-1.39282E-2</v>
      </c>
      <c r="R194" s="21">
        <v>184</v>
      </c>
      <c r="S194" s="21">
        <v>0.82611100000000004</v>
      </c>
      <c r="T194">
        <f t="shared" si="26"/>
        <v>17.195308641975309</v>
      </c>
      <c r="U194">
        <f t="shared" si="27"/>
        <v>14.213109068888889</v>
      </c>
      <c r="X194" s="9"/>
      <c r="Y194" s="21">
        <v>0.86349500000000001</v>
      </c>
      <c r="Z194" s="21">
        <v>16.210599999999999</v>
      </c>
      <c r="AA194" s="21">
        <v>-1.39618E-2</v>
      </c>
      <c r="AB194" s="21">
        <v>184</v>
      </c>
      <c r="AC194" s="21">
        <v>0.86212200000000005</v>
      </c>
      <c r="AD194">
        <f t="shared" si="28"/>
        <v>17.236790123456789</v>
      </c>
      <c r="AE194">
        <f t="shared" si="29"/>
        <v>14.883882087654321</v>
      </c>
      <c r="AF194" s="9"/>
      <c r="AG194" s="21">
        <v>0.826569</v>
      </c>
      <c r="AH194" s="21">
        <v>20.009599999999999</v>
      </c>
      <c r="AI194" s="21">
        <v>-1.4053299999999999E-2</v>
      </c>
      <c r="AJ194" s="21">
        <v>184</v>
      </c>
      <c r="AK194" s="21">
        <v>0.82611100000000004</v>
      </c>
      <c r="AL194">
        <f t="shared" si="30"/>
        <v>17.349753086419753</v>
      </c>
      <c r="AM194">
        <f t="shared" si="31"/>
        <v>14.340768058888889</v>
      </c>
      <c r="AP194" s="9"/>
      <c r="AQ194" s="21">
        <v>0.86349500000000001</v>
      </c>
      <c r="AR194" s="21">
        <v>25.447800000000001</v>
      </c>
      <c r="AS194" s="21">
        <v>-1.39496E-2</v>
      </c>
      <c r="AT194" s="21">
        <v>184</v>
      </c>
      <c r="AU194" s="21">
        <v>0.86273200000000005</v>
      </c>
      <c r="AV194">
        <f t="shared" si="32"/>
        <v>17.221728395061724</v>
      </c>
      <c r="AW194">
        <f t="shared" si="33"/>
        <v>14.870876360493824</v>
      </c>
      <c r="AX194" s="9"/>
      <c r="AY194" s="21">
        <v>0.826569</v>
      </c>
      <c r="AZ194" s="21">
        <v>29.2469</v>
      </c>
      <c r="BA194" s="21">
        <v>-1.39282E-2</v>
      </c>
      <c r="BB194" s="21">
        <v>184</v>
      </c>
      <c r="BC194" s="21">
        <v>0.82550000000000001</v>
      </c>
      <c r="BD194">
        <f t="shared" si="34"/>
        <v>17.195308641975309</v>
      </c>
      <c r="BE194">
        <f t="shared" si="35"/>
        <v>14.213109068888889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6.8594600000000003</v>
      </c>
      <c r="I195" s="21">
        <v>-1.3909899999999999E-2</v>
      </c>
      <c r="J195" s="21">
        <v>185</v>
      </c>
      <c r="K195" s="21">
        <v>0.85754399999999997</v>
      </c>
      <c r="L195">
        <f t="shared" si="24"/>
        <v>17.172716049382714</v>
      </c>
      <c r="M195">
        <f t="shared" si="25"/>
        <v>14.742072647037036</v>
      </c>
      <c r="N195" s="9"/>
      <c r="O195" s="21">
        <v>0.83160400000000001</v>
      </c>
      <c r="P195" s="21">
        <v>10.6585</v>
      </c>
      <c r="Q195" s="21">
        <v>-1.39252E-2</v>
      </c>
      <c r="R195" s="21">
        <v>185</v>
      </c>
      <c r="S195" s="21">
        <v>0.83099400000000001</v>
      </c>
      <c r="T195">
        <f t="shared" si="26"/>
        <v>17.191604938271606</v>
      </c>
      <c r="U195">
        <f t="shared" si="27"/>
        <v>14.296607433086422</v>
      </c>
      <c r="X195" s="9"/>
      <c r="Y195" s="21">
        <v>0.85845899999999997</v>
      </c>
      <c r="Z195" s="21">
        <v>16.220600000000001</v>
      </c>
      <c r="AA195" s="21">
        <v>-1.3974E-2</v>
      </c>
      <c r="AB195" s="21">
        <v>185</v>
      </c>
      <c r="AC195" s="21">
        <v>0.85723899999999997</v>
      </c>
      <c r="AD195">
        <f t="shared" si="28"/>
        <v>17.251851851851853</v>
      </c>
      <c r="AE195">
        <f t="shared" si="29"/>
        <v>14.810007488888889</v>
      </c>
      <c r="AF195" s="9"/>
      <c r="AG195" s="21">
        <v>0.83160400000000001</v>
      </c>
      <c r="AH195" s="21">
        <v>20.0197</v>
      </c>
      <c r="AI195" s="21">
        <v>-1.40503E-2</v>
      </c>
      <c r="AJ195" s="21">
        <v>185</v>
      </c>
      <c r="AK195" s="21">
        <v>0.83099400000000001</v>
      </c>
      <c r="AL195">
        <f t="shared" si="30"/>
        <v>17.34604938271605</v>
      </c>
      <c r="AM195">
        <f t="shared" si="31"/>
        <v>14.425044050864198</v>
      </c>
      <c r="AP195" s="9"/>
      <c r="AQ195" s="21">
        <v>0.85845899999999997</v>
      </c>
      <c r="AR195" s="21">
        <v>25.457899999999999</v>
      </c>
      <c r="AS195" s="21">
        <v>-1.39618E-2</v>
      </c>
      <c r="AT195" s="21">
        <v>185</v>
      </c>
      <c r="AU195" s="21">
        <v>0.85754399999999997</v>
      </c>
      <c r="AV195">
        <f t="shared" si="32"/>
        <v>17.236790123456789</v>
      </c>
      <c r="AW195">
        <f t="shared" si="33"/>
        <v>14.797077612592592</v>
      </c>
      <c r="AX195" s="9"/>
      <c r="AY195" s="21">
        <v>0.83160400000000001</v>
      </c>
      <c r="AZ195" s="21">
        <v>29.256900000000002</v>
      </c>
      <c r="BA195" s="21">
        <v>-1.39282E-2</v>
      </c>
      <c r="BB195" s="21">
        <v>185</v>
      </c>
      <c r="BC195" s="21">
        <v>0.83099400000000001</v>
      </c>
      <c r="BD195">
        <f t="shared" si="34"/>
        <v>17.195308641975309</v>
      </c>
      <c r="BE195">
        <f t="shared" si="35"/>
        <v>14.299687447901235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6.8695300000000001</v>
      </c>
      <c r="I196" s="21">
        <v>-1.39008E-2</v>
      </c>
      <c r="J196" s="21">
        <v>186</v>
      </c>
      <c r="K196" s="21">
        <v>0.852661</v>
      </c>
      <c r="L196">
        <f t="shared" si="24"/>
        <v>17.161481481481481</v>
      </c>
      <c r="M196">
        <f t="shared" si="25"/>
        <v>14.64602017185185</v>
      </c>
      <c r="N196" s="9"/>
      <c r="O196" s="21">
        <v>0.83663900000000002</v>
      </c>
      <c r="P196" s="21">
        <v>10.6686</v>
      </c>
      <c r="Q196" s="21">
        <v>-1.3931300000000001E-2</v>
      </c>
      <c r="R196" s="21">
        <v>186</v>
      </c>
      <c r="S196" s="21">
        <v>0.83618199999999998</v>
      </c>
      <c r="T196">
        <f t="shared" si="26"/>
        <v>17.199135802469137</v>
      </c>
      <c r="U196">
        <f t="shared" si="27"/>
        <v>14.389467778641976</v>
      </c>
      <c r="X196" s="9"/>
      <c r="Y196" s="21">
        <v>0.85342399999999996</v>
      </c>
      <c r="Z196" s="21">
        <v>16.230699999999999</v>
      </c>
      <c r="AA196" s="21">
        <v>-1.3974E-2</v>
      </c>
      <c r="AB196" s="21">
        <v>186</v>
      </c>
      <c r="AC196" s="21">
        <v>0.852966</v>
      </c>
      <c r="AD196">
        <f t="shared" si="28"/>
        <v>17.251851851851853</v>
      </c>
      <c r="AE196">
        <f t="shared" si="29"/>
        <v>14.723144414814815</v>
      </c>
      <c r="AF196" s="9"/>
      <c r="AG196" s="21">
        <v>0.83663900000000002</v>
      </c>
      <c r="AH196" s="21">
        <v>20.029800000000002</v>
      </c>
      <c r="AI196" s="21">
        <v>-1.40381E-2</v>
      </c>
      <c r="AJ196" s="21">
        <v>186</v>
      </c>
      <c r="AK196" s="21">
        <v>0.83587599999999995</v>
      </c>
      <c r="AL196">
        <f t="shared" si="30"/>
        <v>17.330987654320985</v>
      </c>
      <c r="AM196">
        <f t="shared" si="31"/>
        <v>14.499780180123455</v>
      </c>
      <c r="AP196" s="9"/>
      <c r="AQ196" s="21">
        <v>0.85342399999999996</v>
      </c>
      <c r="AR196" s="21">
        <v>25.4679</v>
      </c>
      <c r="AS196" s="21">
        <v>-1.39679E-2</v>
      </c>
      <c r="AT196" s="21">
        <v>186</v>
      </c>
      <c r="AU196" s="21">
        <v>0.852966</v>
      </c>
      <c r="AV196">
        <f t="shared" si="32"/>
        <v>17.244320987654319</v>
      </c>
      <c r="AW196">
        <f t="shared" si="33"/>
        <v>14.716717394567899</v>
      </c>
      <c r="AX196" s="9"/>
      <c r="AY196" s="21">
        <v>0.83663900000000002</v>
      </c>
      <c r="AZ196" s="21">
        <v>29.266999999999999</v>
      </c>
      <c r="BA196" s="21">
        <v>-1.3931300000000001E-2</v>
      </c>
      <c r="BB196" s="21">
        <v>186</v>
      </c>
      <c r="BC196" s="21">
        <v>0.83557099999999995</v>
      </c>
      <c r="BD196">
        <f t="shared" si="34"/>
        <v>17.199135802469137</v>
      </c>
      <c r="BE196">
        <f t="shared" si="35"/>
        <v>14.389467778641976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6.8795999999999999</v>
      </c>
      <c r="I197" s="21">
        <v>-1.3913E-2</v>
      </c>
      <c r="J197" s="21">
        <v>187</v>
      </c>
      <c r="K197" s="21">
        <v>0.84777800000000003</v>
      </c>
      <c r="L197">
        <f t="shared" si="24"/>
        <v>17.176543209876542</v>
      </c>
      <c r="M197">
        <f t="shared" si="25"/>
        <v>14.572390317283949</v>
      </c>
      <c r="N197" s="9"/>
      <c r="O197" s="21">
        <v>0.84167499999999995</v>
      </c>
      <c r="P197" s="21">
        <v>10.678599999999999</v>
      </c>
      <c r="Q197" s="21">
        <v>-1.39496E-2</v>
      </c>
      <c r="R197" s="21">
        <v>187</v>
      </c>
      <c r="S197" s="21">
        <v>0.84106400000000003</v>
      </c>
      <c r="T197">
        <f t="shared" si="26"/>
        <v>17.221728395061724</v>
      </c>
      <c r="U197">
        <f t="shared" si="27"/>
        <v>14.495098246913576</v>
      </c>
      <c r="X197" s="9"/>
      <c r="Y197" s="21">
        <v>0.84838899999999995</v>
      </c>
      <c r="Z197" s="21">
        <v>16.2408</v>
      </c>
      <c r="AA197" s="21">
        <v>-1.39709E-2</v>
      </c>
      <c r="AB197" s="21">
        <v>187</v>
      </c>
      <c r="AC197" s="21">
        <v>0.84777800000000003</v>
      </c>
      <c r="AD197">
        <f t="shared" si="28"/>
        <v>17.248024691358022</v>
      </c>
      <c r="AE197">
        <f t="shared" si="29"/>
        <v>14.633034419876541</v>
      </c>
      <c r="AF197" s="9"/>
      <c r="AG197" s="21">
        <v>0.84167499999999995</v>
      </c>
      <c r="AH197" s="21">
        <v>20.0398</v>
      </c>
      <c r="AI197" s="21">
        <v>-1.40381E-2</v>
      </c>
      <c r="AJ197" s="21">
        <v>187</v>
      </c>
      <c r="AK197" s="21">
        <v>0.84045400000000003</v>
      </c>
      <c r="AL197">
        <f t="shared" si="30"/>
        <v>17.330987654320985</v>
      </c>
      <c r="AM197">
        <f t="shared" si="31"/>
        <v>14.587059033950615</v>
      </c>
      <c r="AP197" s="9"/>
      <c r="AQ197" s="21">
        <v>0.84838899999999995</v>
      </c>
      <c r="AR197" s="21">
        <v>25.478000000000002</v>
      </c>
      <c r="AS197" s="21">
        <v>-1.39709E-2</v>
      </c>
      <c r="AT197" s="21">
        <v>187</v>
      </c>
      <c r="AU197" s="21">
        <v>0.84747300000000003</v>
      </c>
      <c r="AV197">
        <f t="shared" si="32"/>
        <v>17.248024691358022</v>
      </c>
      <c r="AW197">
        <f t="shared" si="33"/>
        <v>14.633034419876541</v>
      </c>
      <c r="AX197" s="9"/>
      <c r="AY197" s="21">
        <v>0.84167499999999995</v>
      </c>
      <c r="AZ197" s="21">
        <v>29.277100000000001</v>
      </c>
      <c r="BA197" s="21">
        <v>-1.3931300000000001E-2</v>
      </c>
      <c r="BB197" s="21">
        <v>187</v>
      </c>
      <c r="BC197" s="21">
        <v>0.84106400000000003</v>
      </c>
      <c r="BD197">
        <f t="shared" si="34"/>
        <v>17.199135802469137</v>
      </c>
      <c r="BE197">
        <f t="shared" si="35"/>
        <v>14.47608262654321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6.8896699999999997</v>
      </c>
      <c r="I198" s="21">
        <v>-1.3916E-2</v>
      </c>
      <c r="J198" s="21">
        <v>188</v>
      </c>
      <c r="K198" s="21">
        <v>0.84258999999999995</v>
      </c>
      <c r="L198">
        <f t="shared" si="24"/>
        <v>17.180246913580245</v>
      </c>
      <c r="M198">
        <f t="shared" si="25"/>
        <v>14.489012775308641</v>
      </c>
      <c r="N198" s="9"/>
      <c r="O198" s="21">
        <v>0.84670999999999996</v>
      </c>
      <c r="P198" s="21">
        <v>10.688700000000001</v>
      </c>
      <c r="Q198" s="21">
        <v>-1.39496E-2</v>
      </c>
      <c r="R198" s="21">
        <v>188</v>
      </c>
      <c r="S198" s="21">
        <v>0.845947</v>
      </c>
      <c r="T198">
        <f t="shared" si="26"/>
        <v>17.221728395061724</v>
      </c>
      <c r="U198">
        <f t="shared" si="27"/>
        <v>14.581809649382713</v>
      </c>
      <c r="X198" s="9"/>
      <c r="Y198" s="21">
        <v>0.84335300000000002</v>
      </c>
      <c r="Z198" s="21">
        <v>16.250900000000001</v>
      </c>
      <c r="AA198" s="21">
        <v>-1.39679E-2</v>
      </c>
      <c r="AB198" s="21">
        <v>188</v>
      </c>
      <c r="AC198" s="21">
        <v>0.84228499999999995</v>
      </c>
      <c r="AD198">
        <f t="shared" si="28"/>
        <v>17.244320987654319</v>
      </c>
      <c r="AE198">
        <f t="shared" si="29"/>
        <v>14.543049837901233</v>
      </c>
      <c r="AF198" s="9"/>
      <c r="AG198" s="21">
        <v>0.84670999999999996</v>
      </c>
      <c r="AH198" s="21">
        <v>20.049900000000001</v>
      </c>
      <c r="AI198" s="21">
        <v>-1.4031999999999999E-2</v>
      </c>
      <c r="AJ198" s="21">
        <v>188</v>
      </c>
      <c r="AK198" s="21">
        <v>0.846252</v>
      </c>
      <c r="AL198">
        <f t="shared" si="30"/>
        <v>17.323456790123455</v>
      </c>
      <c r="AM198">
        <f t="shared" si="31"/>
        <v>14.66794409876543</v>
      </c>
      <c r="AP198" s="9"/>
      <c r="AQ198" s="21">
        <v>0.84335300000000002</v>
      </c>
      <c r="AR198" s="21">
        <v>25.488099999999999</v>
      </c>
      <c r="AS198" s="21">
        <v>-1.3964799999999999E-2</v>
      </c>
      <c r="AT198" s="21">
        <v>188</v>
      </c>
      <c r="AU198" s="21">
        <v>0.84289599999999998</v>
      </c>
      <c r="AV198">
        <f t="shared" si="32"/>
        <v>17.240493827160492</v>
      </c>
      <c r="AW198">
        <f t="shared" si="33"/>
        <v>14.539822190617283</v>
      </c>
      <c r="AX198" s="9"/>
      <c r="AY198" s="21">
        <v>0.84670999999999996</v>
      </c>
      <c r="AZ198" s="21">
        <v>29.287099999999999</v>
      </c>
      <c r="BA198" s="21">
        <v>-1.39252E-2</v>
      </c>
      <c r="BB198" s="21">
        <v>188</v>
      </c>
      <c r="BC198" s="21">
        <v>0.846252</v>
      </c>
      <c r="BD198">
        <f t="shared" si="34"/>
        <v>17.191604938271606</v>
      </c>
      <c r="BE198">
        <f t="shared" si="35"/>
        <v>14.556303817283951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6.8997400000000004</v>
      </c>
      <c r="I199" s="21">
        <v>-1.39252E-2</v>
      </c>
      <c r="J199" s="21">
        <v>189</v>
      </c>
      <c r="K199" s="21">
        <v>0.83740199999999998</v>
      </c>
      <c r="L199">
        <f t="shared" si="24"/>
        <v>17.191604938271606</v>
      </c>
      <c r="M199">
        <f t="shared" si="25"/>
        <v>14.412031868641977</v>
      </c>
      <c r="N199" s="9"/>
      <c r="O199" s="21">
        <v>0.851746</v>
      </c>
      <c r="P199" s="21">
        <v>10.6988</v>
      </c>
      <c r="Q199" s="21">
        <v>-1.3958699999999999E-2</v>
      </c>
      <c r="R199" s="21">
        <v>189</v>
      </c>
      <c r="S199" s="21">
        <v>0.85113499999999997</v>
      </c>
      <c r="T199">
        <f t="shared" si="26"/>
        <v>17.232962962962961</v>
      </c>
      <c r="U199">
        <f t="shared" si="27"/>
        <v>14.67810727185185</v>
      </c>
      <c r="X199" s="9"/>
      <c r="Y199" s="21">
        <v>0.83831800000000001</v>
      </c>
      <c r="Z199" s="21">
        <v>16.260899999999999</v>
      </c>
      <c r="AA199" s="21">
        <v>-1.3980100000000001E-2</v>
      </c>
      <c r="AB199" s="21">
        <v>189</v>
      </c>
      <c r="AC199" s="21">
        <v>0.83740199999999998</v>
      </c>
      <c r="AD199">
        <f t="shared" si="28"/>
        <v>17.259382716049384</v>
      </c>
      <c r="AE199">
        <f t="shared" si="29"/>
        <v>14.468851199753088</v>
      </c>
      <c r="AF199" s="9"/>
      <c r="AG199" s="21">
        <v>0.851746</v>
      </c>
      <c r="AH199" s="21">
        <v>20.059999999999999</v>
      </c>
      <c r="AI199" s="21">
        <v>-1.4019800000000001E-2</v>
      </c>
      <c r="AJ199" s="21">
        <v>189</v>
      </c>
      <c r="AK199" s="21">
        <v>0.85052499999999998</v>
      </c>
      <c r="AL199">
        <f t="shared" si="30"/>
        <v>17.308395061728394</v>
      </c>
      <c r="AM199">
        <f t="shared" si="31"/>
        <v>14.742356260246913</v>
      </c>
      <c r="AP199" s="9"/>
      <c r="AQ199" s="21">
        <v>0.83831800000000001</v>
      </c>
      <c r="AR199" s="21">
        <v>25.498200000000001</v>
      </c>
      <c r="AS199" s="21">
        <v>-1.39709E-2</v>
      </c>
      <c r="AT199" s="21">
        <v>189</v>
      </c>
      <c r="AU199" s="21">
        <v>0.83740199999999998</v>
      </c>
      <c r="AV199">
        <f t="shared" si="32"/>
        <v>17.248024691358022</v>
      </c>
      <c r="AW199">
        <f t="shared" si="33"/>
        <v>14.459329563209876</v>
      </c>
      <c r="AX199" s="9"/>
      <c r="AY199" s="21">
        <v>0.851746</v>
      </c>
      <c r="AZ199" s="21">
        <v>29.2972</v>
      </c>
      <c r="BA199" s="21">
        <v>-1.39221E-2</v>
      </c>
      <c r="BB199" s="21">
        <v>189</v>
      </c>
      <c r="BC199" s="21">
        <v>0.85113499999999997</v>
      </c>
      <c r="BD199">
        <f t="shared" si="34"/>
        <v>17.187777777777779</v>
      </c>
      <c r="BE199">
        <f t="shared" si="35"/>
        <v>14.639620971111112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6.9098100000000002</v>
      </c>
      <c r="I200" s="21">
        <v>-1.39252E-2</v>
      </c>
      <c r="J200" s="21">
        <v>190</v>
      </c>
      <c r="K200" s="21">
        <v>0.83252000000000004</v>
      </c>
      <c r="L200">
        <f t="shared" si="24"/>
        <v>17.191604938271606</v>
      </c>
      <c r="M200">
        <f t="shared" si="25"/>
        <v>14.32545494617284</v>
      </c>
      <c r="N200" s="9"/>
      <c r="O200" s="21">
        <v>0.85678100000000001</v>
      </c>
      <c r="P200" s="21">
        <v>10.7089</v>
      </c>
      <c r="Q200" s="21">
        <v>-1.3964799999999999E-2</v>
      </c>
      <c r="R200" s="21">
        <v>190</v>
      </c>
      <c r="S200" s="21">
        <v>0.85632299999999995</v>
      </c>
      <c r="T200">
        <f t="shared" si="26"/>
        <v>17.240493827160492</v>
      </c>
      <c r="U200">
        <f t="shared" si="27"/>
        <v>14.771327541728393</v>
      </c>
      <c r="X200" s="9"/>
      <c r="Y200" s="21">
        <v>0.83328199999999997</v>
      </c>
      <c r="Z200" s="21">
        <v>16.271000000000001</v>
      </c>
      <c r="AA200" s="21">
        <v>-1.39893E-2</v>
      </c>
      <c r="AB200" s="21">
        <v>190</v>
      </c>
      <c r="AC200" s="21">
        <v>0.83343500000000004</v>
      </c>
      <c r="AD200">
        <f t="shared" si="28"/>
        <v>17.270740740740738</v>
      </c>
      <c r="AE200">
        <f t="shared" si="29"/>
        <v>14.391397385925924</v>
      </c>
      <c r="AF200" s="9"/>
      <c r="AG200" s="21">
        <v>0.85678100000000001</v>
      </c>
      <c r="AH200" s="21">
        <v>20.07</v>
      </c>
      <c r="AI200" s="21">
        <v>-1.4019800000000001E-2</v>
      </c>
      <c r="AJ200" s="21">
        <v>190</v>
      </c>
      <c r="AK200" s="21">
        <v>0.85601799999999995</v>
      </c>
      <c r="AL200">
        <f t="shared" si="30"/>
        <v>17.308395061728394</v>
      </c>
      <c r="AM200">
        <f t="shared" si="31"/>
        <v>14.829504029382715</v>
      </c>
      <c r="AP200" s="9"/>
      <c r="AQ200" s="21">
        <v>0.83328199999999997</v>
      </c>
      <c r="AR200" s="21">
        <v>25.508199999999999</v>
      </c>
      <c r="AS200" s="21">
        <v>-1.39893E-2</v>
      </c>
      <c r="AT200" s="21">
        <v>190</v>
      </c>
      <c r="AU200" s="21">
        <v>0.83282500000000004</v>
      </c>
      <c r="AV200">
        <f t="shared" si="32"/>
        <v>17.270740740740738</v>
      </c>
      <c r="AW200">
        <f t="shared" si="33"/>
        <v>14.391397385925924</v>
      </c>
      <c r="AX200" s="9"/>
      <c r="AY200" s="21">
        <v>0.85678100000000001</v>
      </c>
      <c r="AZ200" s="21">
        <v>29.307300000000001</v>
      </c>
      <c r="BA200" s="21">
        <v>-1.39282E-2</v>
      </c>
      <c r="BB200" s="21">
        <v>190</v>
      </c>
      <c r="BC200" s="21">
        <v>0.85632299999999995</v>
      </c>
      <c r="BD200">
        <f t="shared" si="34"/>
        <v>17.195308641975309</v>
      </c>
      <c r="BE200">
        <f t="shared" si="35"/>
        <v>14.732613733580248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6.91988</v>
      </c>
      <c r="I201" s="21">
        <v>-1.3937400000000001E-2</v>
      </c>
      <c r="J201" s="21">
        <v>191</v>
      </c>
      <c r="K201" s="21">
        <v>0.82702600000000004</v>
      </c>
      <c r="L201">
        <f t="shared" si="24"/>
        <v>17.206666666666667</v>
      </c>
      <c r="M201">
        <f t="shared" si="25"/>
        <v>14.251370046666667</v>
      </c>
      <c r="N201" s="9"/>
      <c r="O201" s="21">
        <v>0.86181600000000003</v>
      </c>
      <c r="P201" s="21">
        <v>10.7189</v>
      </c>
      <c r="Q201" s="21">
        <v>-1.3958699999999999E-2</v>
      </c>
      <c r="R201" s="21">
        <v>191</v>
      </c>
      <c r="S201" s="21">
        <v>0.86120600000000003</v>
      </c>
      <c r="T201">
        <f t="shared" si="26"/>
        <v>17.232962962962961</v>
      </c>
      <c r="U201">
        <f t="shared" si="27"/>
        <v>14.851643208888888</v>
      </c>
      <c r="X201" s="9"/>
      <c r="Y201" s="21">
        <v>0.82824699999999996</v>
      </c>
      <c r="Z201" s="21">
        <v>16.281099999999999</v>
      </c>
      <c r="AA201" s="21">
        <v>-1.39893E-2</v>
      </c>
      <c r="AB201" s="21">
        <v>191</v>
      </c>
      <c r="AC201" s="21">
        <v>0.82702600000000004</v>
      </c>
      <c r="AD201">
        <f t="shared" si="28"/>
        <v>17.270740740740738</v>
      </c>
      <c r="AE201">
        <f t="shared" si="29"/>
        <v>14.304439206296294</v>
      </c>
      <c r="AF201" s="9"/>
      <c r="AG201" s="21">
        <v>0.86181600000000003</v>
      </c>
      <c r="AH201" s="21">
        <v>20.080100000000002</v>
      </c>
      <c r="AI201" s="21">
        <v>-1.40167E-2</v>
      </c>
      <c r="AJ201" s="21">
        <v>191</v>
      </c>
      <c r="AK201" s="21">
        <v>0.86029100000000003</v>
      </c>
      <c r="AL201">
        <f t="shared" si="30"/>
        <v>17.304567901234567</v>
      </c>
      <c r="AM201">
        <f t="shared" si="31"/>
        <v>14.913353490370369</v>
      </c>
      <c r="AP201" s="9"/>
      <c r="AQ201" s="21">
        <v>0.82824699999999996</v>
      </c>
      <c r="AR201" s="21">
        <v>25.5183</v>
      </c>
      <c r="AS201" s="21">
        <v>-1.3998399999999999E-2</v>
      </c>
      <c r="AT201" s="21">
        <v>191</v>
      </c>
      <c r="AU201" s="21">
        <v>0.82763699999999996</v>
      </c>
      <c r="AV201">
        <f t="shared" si="32"/>
        <v>17.281975308641975</v>
      </c>
      <c r="AW201">
        <f t="shared" si="33"/>
        <v>14.313744203456789</v>
      </c>
      <c r="AX201" s="9"/>
      <c r="AY201" s="21">
        <v>0.86181600000000003</v>
      </c>
      <c r="AZ201" s="21">
        <v>29.317299999999999</v>
      </c>
      <c r="BA201" s="21">
        <v>-1.39221E-2</v>
      </c>
      <c r="BB201" s="21">
        <v>191</v>
      </c>
      <c r="BC201" s="21">
        <v>0.86120600000000003</v>
      </c>
      <c r="BD201">
        <f t="shared" si="34"/>
        <v>17.187777777777779</v>
      </c>
      <c r="BE201">
        <f t="shared" si="35"/>
        <v>14.812701893333335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6.9299499999999998</v>
      </c>
      <c r="I202" s="21">
        <v>-1.3952600000000001E-2</v>
      </c>
      <c r="J202" s="21">
        <v>192</v>
      </c>
      <c r="K202" s="21">
        <v>0.82244899999999999</v>
      </c>
      <c r="L202">
        <f t="shared" si="24"/>
        <v>17.225432098765431</v>
      </c>
      <c r="M202">
        <f t="shared" si="25"/>
        <v>14.180182408888889</v>
      </c>
      <c r="N202" s="9"/>
      <c r="O202" s="21">
        <v>0.86685199999999996</v>
      </c>
      <c r="P202" s="21">
        <v>10.728999999999999</v>
      </c>
      <c r="Q202" s="21">
        <v>-1.3952600000000001E-2</v>
      </c>
      <c r="R202" s="21">
        <v>192</v>
      </c>
      <c r="S202" s="21">
        <v>0.866089</v>
      </c>
      <c r="T202">
        <f t="shared" si="26"/>
        <v>17.225432098765431</v>
      </c>
      <c r="U202">
        <f t="shared" si="27"/>
        <v>14.93190026567901</v>
      </c>
      <c r="X202" s="9"/>
      <c r="Y202" s="21">
        <v>0.82321200000000005</v>
      </c>
      <c r="Z202" s="21">
        <v>16.2911</v>
      </c>
      <c r="AA202" s="21">
        <v>-1.39893E-2</v>
      </c>
      <c r="AB202" s="21">
        <v>192</v>
      </c>
      <c r="AC202" s="21">
        <v>0.82305899999999999</v>
      </c>
      <c r="AD202">
        <f t="shared" si="28"/>
        <v>17.270740740740738</v>
      </c>
      <c r="AE202">
        <f t="shared" si="29"/>
        <v>14.217481026666665</v>
      </c>
      <c r="AF202" s="9"/>
      <c r="AG202" s="21">
        <v>0.86685199999999996</v>
      </c>
      <c r="AH202" s="21">
        <v>20.090199999999999</v>
      </c>
      <c r="AI202" s="21">
        <v>-1.40137E-2</v>
      </c>
      <c r="AJ202" s="21">
        <v>192</v>
      </c>
      <c r="AK202" s="21">
        <v>0.865784</v>
      </c>
      <c r="AL202">
        <f t="shared" si="30"/>
        <v>17.300864197530863</v>
      </c>
      <c r="AM202">
        <f t="shared" si="31"/>
        <v>14.997288731358024</v>
      </c>
      <c r="AP202" s="9"/>
      <c r="AQ202" s="21">
        <v>0.82321200000000005</v>
      </c>
      <c r="AR202" s="21">
        <v>25.528400000000001</v>
      </c>
      <c r="AS202" s="21">
        <v>-1.40015E-2</v>
      </c>
      <c r="AT202" s="21">
        <v>192</v>
      </c>
      <c r="AU202" s="21">
        <v>0.82244899999999999</v>
      </c>
      <c r="AV202">
        <f t="shared" si="32"/>
        <v>17.285802469135803</v>
      </c>
      <c r="AW202">
        <f t="shared" si="33"/>
        <v>14.229880022222224</v>
      </c>
      <c r="AX202" s="9"/>
      <c r="AY202" s="21">
        <v>0.86685199999999996</v>
      </c>
      <c r="AZ202" s="21">
        <v>29.327400000000001</v>
      </c>
      <c r="BA202" s="21">
        <v>-1.3909899999999999E-2</v>
      </c>
      <c r="BB202" s="21">
        <v>192</v>
      </c>
      <c r="BC202" s="21">
        <v>0.865784</v>
      </c>
      <c r="BD202">
        <f t="shared" si="34"/>
        <v>17.172716049382714</v>
      </c>
      <c r="BE202">
        <f t="shared" si="35"/>
        <v>14.886203252839504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6.9400300000000001</v>
      </c>
      <c r="I203" s="21">
        <v>-1.3958699999999999E-2</v>
      </c>
      <c r="J203" s="21">
        <v>193</v>
      </c>
      <c r="K203" s="21">
        <v>0.81695600000000002</v>
      </c>
      <c r="L203">
        <f t="shared" si="24"/>
        <v>17.232962962962961</v>
      </c>
      <c r="M203">
        <f t="shared" si="25"/>
        <v>14.099596705185185</v>
      </c>
      <c r="N203" s="9"/>
      <c r="O203" s="21">
        <v>0.87188699999999997</v>
      </c>
      <c r="P203" s="21">
        <v>10.739100000000001</v>
      </c>
      <c r="Q203" s="21">
        <v>-1.39404E-2</v>
      </c>
      <c r="R203" s="21">
        <v>193</v>
      </c>
      <c r="S203" s="21">
        <v>0.87158199999999997</v>
      </c>
      <c r="T203">
        <f t="shared" si="26"/>
        <v>17.21037037037037</v>
      </c>
      <c r="U203">
        <f t="shared" si="27"/>
        <v>15.00549819111111</v>
      </c>
      <c r="X203" s="9"/>
      <c r="Y203" s="21">
        <v>0.81817600000000001</v>
      </c>
      <c r="Z203" s="21">
        <v>16.301200000000001</v>
      </c>
      <c r="AA203" s="21">
        <v>-1.39954E-2</v>
      </c>
      <c r="AB203" s="21">
        <v>193</v>
      </c>
      <c r="AC203" s="21">
        <v>0.81726100000000002</v>
      </c>
      <c r="AD203">
        <f t="shared" si="28"/>
        <v>17.278271604938272</v>
      </c>
      <c r="AE203">
        <f t="shared" si="29"/>
        <v>14.136667148641976</v>
      </c>
      <c r="AF203" s="9"/>
      <c r="AG203" s="21">
        <v>0.87188699999999997</v>
      </c>
      <c r="AH203" s="21">
        <v>20.100300000000001</v>
      </c>
      <c r="AI203" s="21">
        <v>-1.40045E-2</v>
      </c>
      <c r="AJ203" s="21">
        <v>193</v>
      </c>
      <c r="AK203" s="21">
        <v>0.87036100000000005</v>
      </c>
      <c r="AL203">
        <f t="shared" si="30"/>
        <v>17.289506172839506</v>
      </c>
      <c r="AM203">
        <f t="shared" si="31"/>
        <v>15.074495668518518</v>
      </c>
      <c r="AP203" s="9"/>
      <c r="AQ203" s="21">
        <v>0.81817600000000001</v>
      </c>
      <c r="AR203" s="21">
        <v>25.538399999999999</v>
      </c>
      <c r="AS203" s="21">
        <v>-1.40015E-2</v>
      </c>
      <c r="AT203" s="21">
        <v>193</v>
      </c>
      <c r="AU203" s="21">
        <v>0.81756600000000001</v>
      </c>
      <c r="AV203">
        <f t="shared" si="32"/>
        <v>17.285802469135803</v>
      </c>
      <c r="AW203">
        <f t="shared" si="33"/>
        <v>14.142828720987655</v>
      </c>
      <c r="AX203" s="9"/>
      <c r="AY203" s="21">
        <v>0.87188699999999997</v>
      </c>
      <c r="AZ203" s="21">
        <v>29.337499999999999</v>
      </c>
      <c r="BA203" s="21">
        <v>-1.39069E-2</v>
      </c>
      <c r="BB203" s="21">
        <v>193</v>
      </c>
      <c r="BC203" s="21">
        <v>0.87066699999999997</v>
      </c>
      <c r="BD203">
        <f t="shared" si="34"/>
        <v>17.169012345679011</v>
      </c>
      <c r="BE203">
        <f t="shared" si="35"/>
        <v>14.969438667037036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6.9500999999999999</v>
      </c>
      <c r="I204" s="21">
        <v>-1.3964799999999999E-2</v>
      </c>
      <c r="J204" s="21">
        <v>194</v>
      </c>
      <c r="K204" s="21">
        <v>0.81268300000000004</v>
      </c>
      <c r="L204">
        <f t="shared" ref="L204:L267" si="36">-I204/$F$2*1000</f>
        <v>17.240493827160492</v>
      </c>
      <c r="M204">
        <f t="shared" ref="M204:M267" si="37">L204*G204</f>
        <v>14.01895239111111</v>
      </c>
      <c r="N204" s="9"/>
      <c r="O204" s="21">
        <v>0.87692300000000001</v>
      </c>
      <c r="P204" s="21">
        <v>10.7491</v>
      </c>
      <c r="Q204" s="21">
        <v>-1.39343E-2</v>
      </c>
      <c r="R204" s="21">
        <v>194</v>
      </c>
      <c r="S204" s="21">
        <v>0.87585400000000002</v>
      </c>
      <c r="T204">
        <f t="shared" ref="T204:T267" si="38">-Q204/$F$2*1000</f>
        <v>17.202839506172836</v>
      </c>
      <c r="U204">
        <f t="shared" ref="U204:U267" si="39">T204*O204</f>
        <v>15.085565628271603</v>
      </c>
      <c r="X204" s="9"/>
      <c r="Y204" s="21">
        <v>0.813141</v>
      </c>
      <c r="Z204" s="21">
        <v>16.311299999999999</v>
      </c>
      <c r="AA204" s="21">
        <v>-1.40015E-2</v>
      </c>
      <c r="AB204" s="21">
        <v>194</v>
      </c>
      <c r="AC204" s="21">
        <v>0.81268300000000004</v>
      </c>
      <c r="AD204">
        <f t="shared" ref="AD204:AD267" si="40">-AA204/$F$2*1000</f>
        <v>17.285802469135803</v>
      </c>
      <c r="AE204">
        <f t="shared" ref="AE204:AE267" si="41">AD204*Y204</f>
        <v>14.055794705555556</v>
      </c>
      <c r="AF204" s="9"/>
      <c r="AG204" s="21">
        <v>0.87692300000000001</v>
      </c>
      <c r="AH204" s="21">
        <v>20.110299999999999</v>
      </c>
      <c r="AI204" s="21">
        <v>-1.3986200000000001E-2</v>
      </c>
      <c r="AJ204" s="21">
        <v>194</v>
      </c>
      <c r="AK204" s="21">
        <v>0.87616000000000005</v>
      </c>
      <c r="AL204">
        <f t="shared" ref="AL204:AL267" si="42">-AI204/$F$2*1000</f>
        <v>17.266913580246914</v>
      </c>
      <c r="AM204">
        <f t="shared" ref="AM204:AM267" si="43">AL204*AG204</f>
        <v>15.141753657530865</v>
      </c>
      <c r="AP204" s="9"/>
      <c r="AQ204" s="21">
        <v>0.813141</v>
      </c>
      <c r="AR204" s="21">
        <v>25.548500000000001</v>
      </c>
      <c r="AS204" s="21">
        <v>-1.40076E-2</v>
      </c>
      <c r="AT204" s="21">
        <v>194</v>
      </c>
      <c r="AU204" s="21">
        <v>0.81176800000000005</v>
      </c>
      <c r="AV204">
        <f t="shared" ref="AV204:AV267" si="44">-AS204/$F$2*1000</f>
        <v>17.293333333333333</v>
      </c>
      <c r="AW204">
        <f t="shared" ref="AW204:AW267" si="45">AV204*AQ204</f>
        <v>14.06191836</v>
      </c>
      <c r="AX204" s="9"/>
      <c r="AY204" s="21">
        <v>0.87692300000000001</v>
      </c>
      <c r="AZ204" s="21">
        <v>29.3476</v>
      </c>
      <c r="BA204" s="21">
        <v>-1.3909899999999999E-2</v>
      </c>
      <c r="BB204" s="21">
        <v>194</v>
      </c>
      <c r="BC204" s="21">
        <v>0.87616000000000005</v>
      </c>
      <c r="BD204">
        <f t="shared" ref="BD204:BD267" si="46">-BA204/$F$2*1000</f>
        <v>17.172716049382714</v>
      </c>
      <c r="BE204">
        <f t="shared" ref="BE204:BE267" si="47">BD204*AY204</f>
        <v>15.059149676172838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6.9601699999999997</v>
      </c>
      <c r="I205" s="21">
        <v>-1.3980100000000001E-2</v>
      </c>
      <c r="J205" s="21">
        <v>195</v>
      </c>
      <c r="K205" s="21">
        <v>0.80718999999999996</v>
      </c>
      <c r="L205">
        <f t="shared" si="36"/>
        <v>17.259382716049384</v>
      </c>
      <c r="M205">
        <f t="shared" si="37"/>
        <v>13.947393469753086</v>
      </c>
      <c r="N205" s="9"/>
      <c r="O205" s="21">
        <v>0.88195800000000002</v>
      </c>
      <c r="P205" s="21">
        <v>10.7592</v>
      </c>
      <c r="Q205" s="21">
        <v>-1.39221E-2</v>
      </c>
      <c r="R205" s="21">
        <v>195</v>
      </c>
      <c r="S205" s="21">
        <v>0.88104199999999999</v>
      </c>
      <c r="T205">
        <f t="shared" si="38"/>
        <v>17.187777777777779</v>
      </c>
      <c r="U205">
        <f t="shared" si="39"/>
        <v>15.158898113333334</v>
      </c>
      <c r="X205" s="9"/>
      <c r="Y205" s="21">
        <v>0.80810499999999996</v>
      </c>
      <c r="Z205" s="21">
        <v>16.321400000000001</v>
      </c>
      <c r="AA205" s="21">
        <v>-1.40045E-2</v>
      </c>
      <c r="AB205" s="21">
        <v>195</v>
      </c>
      <c r="AC205" s="21">
        <v>0.80688499999999996</v>
      </c>
      <c r="AD205">
        <f t="shared" si="40"/>
        <v>17.289506172839506</v>
      </c>
      <c r="AE205">
        <f t="shared" si="41"/>
        <v>13.971736385802467</v>
      </c>
      <c r="AF205" s="9"/>
      <c r="AG205" s="21">
        <v>0.88195800000000002</v>
      </c>
      <c r="AH205" s="21">
        <v>20.1204</v>
      </c>
      <c r="AI205" s="21">
        <v>-1.3974E-2</v>
      </c>
      <c r="AJ205" s="21">
        <v>195</v>
      </c>
      <c r="AK205" s="21">
        <v>0.88134800000000002</v>
      </c>
      <c r="AL205">
        <f t="shared" si="42"/>
        <v>17.251851851851853</v>
      </c>
      <c r="AM205">
        <f t="shared" si="43"/>
        <v>15.215408755555558</v>
      </c>
      <c r="AP205" s="9"/>
      <c r="AQ205" s="21">
        <v>0.80810499999999996</v>
      </c>
      <c r="AR205" s="21">
        <v>25.558599999999998</v>
      </c>
      <c r="AS205" s="21">
        <v>-1.40106E-2</v>
      </c>
      <c r="AT205" s="21">
        <v>195</v>
      </c>
      <c r="AU205" s="21">
        <v>0.80688499999999996</v>
      </c>
      <c r="AV205">
        <f t="shared" si="44"/>
        <v>17.297037037037036</v>
      </c>
      <c r="AW205">
        <f t="shared" si="45"/>
        <v>13.977822114814813</v>
      </c>
      <c r="AX205" s="9"/>
      <c r="AY205" s="21">
        <v>0.88195800000000002</v>
      </c>
      <c r="AZ205" s="21">
        <v>29.357600000000001</v>
      </c>
      <c r="BA205" s="21">
        <v>-1.3897700000000001E-2</v>
      </c>
      <c r="BB205" s="21">
        <v>195</v>
      </c>
      <c r="BC205" s="21">
        <v>0.88073699999999999</v>
      </c>
      <c r="BD205">
        <f t="shared" si="46"/>
        <v>17.157654320987653</v>
      </c>
      <c r="BE205">
        <f t="shared" si="47"/>
        <v>15.132330489629629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6.9702400000000004</v>
      </c>
      <c r="I206" s="21">
        <v>-1.3983199999999999E-2</v>
      </c>
      <c r="J206" s="21">
        <v>196</v>
      </c>
      <c r="K206" s="21">
        <v>0.80230699999999999</v>
      </c>
      <c r="L206">
        <f t="shared" si="36"/>
        <v>17.263209876543208</v>
      </c>
      <c r="M206">
        <f t="shared" si="37"/>
        <v>13.863565955555552</v>
      </c>
      <c r="N206" s="9"/>
      <c r="O206" s="21">
        <v>0.88699300000000003</v>
      </c>
      <c r="P206" s="21">
        <v>10.769299999999999</v>
      </c>
      <c r="Q206" s="21">
        <v>-1.39191E-2</v>
      </c>
      <c r="R206" s="21">
        <v>196</v>
      </c>
      <c r="S206" s="21">
        <v>0.88592499999999996</v>
      </c>
      <c r="T206">
        <f t="shared" si="38"/>
        <v>17.184074074074076</v>
      </c>
      <c r="U206">
        <f t="shared" si="39"/>
        <v>15.242153415185188</v>
      </c>
      <c r="X206" s="9"/>
      <c r="Y206" s="21">
        <v>0.80306999999999995</v>
      </c>
      <c r="Z206" s="21">
        <v>16.331399999999999</v>
      </c>
      <c r="AA206" s="21">
        <v>-1.40167E-2</v>
      </c>
      <c r="AB206" s="21">
        <v>196</v>
      </c>
      <c r="AC206" s="21">
        <v>0.80230699999999999</v>
      </c>
      <c r="AD206">
        <f t="shared" si="40"/>
        <v>17.304567901234567</v>
      </c>
      <c r="AE206">
        <f t="shared" si="41"/>
        <v>13.896779344444443</v>
      </c>
      <c r="AF206" s="9"/>
      <c r="AG206" s="21">
        <v>0.88699300000000003</v>
      </c>
      <c r="AH206" s="21">
        <v>20.130500000000001</v>
      </c>
      <c r="AI206" s="21">
        <v>-1.39557E-2</v>
      </c>
      <c r="AJ206" s="21">
        <v>196</v>
      </c>
      <c r="AK206" s="21">
        <v>0.88592499999999996</v>
      </c>
      <c r="AL206">
        <f t="shared" si="42"/>
        <v>17.229259259259258</v>
      </c>
      <c r="AM206">
        <f t="shared" si="43"/>
        <v>15.282232358148148</v>
      </c>
      <c r="AP206" s="9"/>
      <c r="AQ206" s="21">
        <v>0.80306999999999995</v>
      </c>
      <c r="AR206" s="21">
        <v>25.5687</v>
      </c>
      <c r="AS206" s="21">
        <v>-1.40015E-2</v>
      </c>
      <c r="AT206" s="21">
        <v>196</v>
      </c>
      <c r="AU206" s="21">
        <v>0.80200199999999999</v>
      </c>
      <c r="AV206">
        <f t="shared" si="44"/>
        <v>17.285802469135803</v>
      </c>
      <c r="AW206">
        <f t="shared" si="45"/>
        <v>13.881709388888888</v>
      </c>
      <c r="AX206" s="9"/>
      <c r="AY206" s="21">
        <v>0.88699300000000003</v>
      </c>
      <c r="AZ206" s="21">
        <v>29.367699999999999</v>
      </c>
      <c r="BA206" s="21">
        <v>-1.39008E-2</v>
      </c>
      <c r="BB206" s="21">
        <v>196</v>
      </c>
      <c r="BC206" s="21">
        <v>0.88592499999999996</v>
      </c>
      <c r="BD206">
        <f t="shared" si="46"/>
        <v>17.161481481481481</v>
      </c>
      <c r="BE206">
        <f t="shared" si="47"/>
        <v>15.222113943703704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6.9803100000000002</v>
      </c>
      <c r="I207" s="21">
        <v>-1.39893E-2</v>
      </c>
      <c r="J207" s="21">
        <v>197</v>
      </c>
      <c r="K207" s="21">
        <v>0.79711900000000002</v>
      </c>
      <c r="L207">
        <f t="shared" si="36"/>
        <v>17.270740740740738</v>
      </c>
      <c r="M207">
        <f t="shared" si="37"/>
        <v>13.782655587037036</v>
      </c>
      <c r="N207" s="9"/>
      <c r="O207" s="21">
        <v>0.89202899999999996</v>
      </c>
      <c r="P207" s="21">
        <v>10.779400000000001</v>
      </c>
      <c r="Q207" s="21">
        <v>-1.3913E-2</v>
      </c>
      <c r="R207" s="21">
        <v>197</v>
      </c>
      <c r="S207" s="21">
        <v>0.89080800000000004</v>
      </c>
      <c r="T207">
        <f t="shared" si="38"/>
        <v>17.176543209876542</v>
      </c>
      <c r="U207">
        <f t="shared" si="39"/>
        <v>15.32197466296296</v>
      </c>
      <c r="X207" s="9"/>
      <c r="Y207" s="21">
        <v>0.79803500000000005</v>
      </c>
      <c r="Z207" s="21">
        <v>16.3415</v>
      </c>
      <c r="AA207" s="21">
        <v>-1.40228E-2</v>
      </c>
      <c r="AB207" s="21">
        <v>197</v>
      </c>
      <c r="AC207" s="21">
        <v>0.79711900000000002</v>
      </c>
      <c r="AD207">
        <f t="shared" si="40"/>
        <v>17.312098765432097</v>
      </c>
      <c r="AE207">
        <f t="shared" si="41"/>
        <v>13.815660738271605</v>
      </c>
      <c r="AF207" s="9"/>
      <c r="AG207" s="21">
        <v>0.89202899999999996</v>
      </c>
      <c r="AH207" s="21">
        <v>20.140499999999999</v>
      </c>
      <c r="AI207" s="21">
        <v>-1.39404E-2</v>
      </c>
      <c r="AJ207" s="21">
        <v>197</v>
      </c>
      <c r="AK207" s="21">
        <v>0.89111300000000004</v>
      </c>
      <c r="AL207">
        <f t="shared" si="42"/>
        <v>17.21037037037037</v>
      </c>
      <c r="AM207">
        <f t="shared" si="43"/>
        <v>15.35214947111111</v>
      </c>
      <c r="AP207" s="9"/>
      <c r="AQ207" s="21">
        <v>0.79803500000000005</v>
      </c>
      <c r="AR207" s="21">
        <v>25.578700000000001</v>
      </c>
      <c r="AS207" s="21">
        <v>-1.39954E-2</v>
      </c>
      <c r="AT207" s="21">
        <v>197</v>
      </c>
      <c r="AU207" s="21">
        <v>0.79711900000000002</v>
      </c>
      <c r="AV207">
        <f t="shared" si="44"/>
        <v>17.278271604938272</v>
      </c>
      <c r="AW207">
        <f t="shared" si="45"/>
        <v>13.788665480246914</v>
      </c>
      <c r="AX207" s="9"/>
      <c r="AY207" s="21">
        <v>0.89202899999999996</v>
      </c>
      <c r="AZ207" s="21">
        <v>29.377800000000001</v>
      </c>
      <c r="BA207" s="21">
        <v>-1.39069E-2</v>
      </c>
      <c r="BB207" s="21">
        <v>197</v>
      </c>
      <c r="BC207" s="21">
        <v>0.89141800000000004</v>
      </c>
      <c r="BD207">
        <f t="shared" si="46"/>
        <v>17.169012345679011</v>
      </c>
      <c r="BE207">
        <f t="shared" si="47"/>
        <v>15.315256913703703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6.99038</v>
      </c>
      <c r="I208" s="21">
        <v>-1.3998399999999999E-2</v>
      </c>
      <c r="J208" s="21">
        <v>198</v>
      </c>
      <c r="K208" s="21">
        <v>0.79284699999999997</v>
      </c>
      <c r="L208">
        <f t="shared" si="36"/>
        <v>17.281975308641975</v>
      </c>
      <c r="M208">
        <f t="shared" si="37"/>
        <v>13.704589137777777</v>
      </c>
      <c r="N208" s="9"/>
      <c r="O208" s="21">
        <v>0.89706399999999997</v>
      </c>
      <c r="P208" s="21">
        <v>10.789400000000001</v>
      </c>
      <c r="Q208" s="21">
        <v>-1.3913E-2</v>
      </c>
      <c r="R208" s="21">
        <v>198</v>
      </c>
      <c r="S208" s="21">
        <v>0.89569100000000001</v>
      </c>
      <c r="T208">
        <f t="shared" si="38"/>
        <v>17.176543209876542</v>
      </c>
      <c r="U208">
        <f t="shared" si="39"/>
        <v>15.408458558024689</v>
      </c>
      <c r="X208" s="9"/>
      <c r="Y208" s="21">
        <v>0.79299900000000001</v>
      </c>
      <c r="Z208" s="21">
        <v>16.351600000000001</v>
      </c>
      <c r="AA208" s="21">
        <v>-1.4031999999999999E-2</v>
      </c>
      <c r="AB208" s="21">
        <v>198</v>
      </c>
      <c r="AC208" s="21">
        <v>0.79223600000000005</v>
      </c>
      <c r="AD208">
        <f t="shared" si="40"/>
        <v>17.323456790123455</v>
      </c>
      <c r="AE208">
        <f t="shared" si="41"/>
        <v>13.737483911111109</v>
      </c>
      <c r="AF208" s="9"/>
      <c r="AG208" s="21">
        <v>0.89706399999999997</v>
      </c>
      <c r="AH208" s="21">
        <v>20.150600000000001</v>
      </c>
      <c r="AI208" s="21">
        <v>-1.39343E-2</v>
      </c>
      <c r="AJ208" s="21">
        <v>198</v>
      </c>
      <c r="AK208" s="21">
        <v>0.89630100000000001</v>
      </c>
      <c r="AL208">
        <f t="shared" si="42"/>
        <v>17.202839506172836</v>
      </c>
      <c r="AM208">
        <f t="shared" si="43"/>
        <v>15.432048018765428</v>
      </c>
      <c r="AP208" s="9"/>
      <c r="AQ208" s="21">
        <v>0.79299900000000001</v>
      </c>
      <c r="AR208" s="21">
        <v>25.588799999999999</v>
      </c>
      <c r="AS208" s="21">
        <v>-1.3992299999999999E-2</v>
      </c>
      <c r="AT208" s="21">
        <v>198</v>
      </c>
      <c r="AU208" s="21">
        <v>0.79193100000000005</v>
      </c>
      <c r="AV208">
        <f t="shared" si="44"/>
        <v>17.274444444444445</v>
      </c>
      <c r="AW208">
        <f t="shared" si="45"/>
        <v>13.69861717</v>
      </c>
      <c r="AX208" s="9"/>
      <c r="AY208" s="21">
        <v>0.89706399999999997</v>
      </c>
      <c r="AZ208" s="21">
        <v>29.387799999999999</v>
      </c>
      <c r="BA208" s="21">
        <v>-1.3897700000000001E-2</v>
      </c>
      <c r="BB208" s="21">
        <v>198</v>
      </c>
      <c r="BC208" s="21">
        <v>0.89630100000000001</v>
      </c>
      <c r="BD208">
        <f t="shared" si="46"/>
        <v>17.157654320987653</v>
      </c>
      <c r="BE208">
        <f t="shared" si="47"/>
        <v>15.391514015802468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7.0004499999999998</v>
      </c>
      <c r="I209" s="21">
        <v>-1.40015E-2</v>
      </c>
      <c r="J209" s="21">
        <v>199</v>
      </c>
      <c r="K209" s="21">
        <v>0.78674299999999997</v>
      </c>
      <c r="L209">
        <f t="shared" si="36"/>
        <v>17.285802469135803</v>
      </c>
      <c r="M209">
        <f t="shared" si="37"/>
        <v>13.620590056790123</v>
      </c>
      <c r="N209" s="9"/>
      <c r="O209" s="21">
        <v>0.90210000000000001</v>
      </c>
      <c r="P209" s="21">
        <v>10.7995</v>
      </c>
      <c r="Q209" s="21">
        <v>-1.3909899999999999E-2</v>
      </c>
      <c r="R209" s="21">
        <v>199</v>
      </c>
      <c r="S209" s="21">
        <v>0.90118399999999999</v>
      </c>
      <c r="T209">
        <f t="shared" si="38"/>
        <v>17.172716049382714</v>
      </c>
      <c r="U209">
        <f t="shared" si="39"/>
        <v>15.491507148148147</v>
      </c>
      <c r="X209" s="9"/>
      <c r="Y209" s="21">
        <v>0.787964</v>
      </c>
      <c r="Z209" s="21">
        <v>16.361599999999999</v>
      </c>
      <c r="AA209" s="21">
        <v>-1.40228E-2</v>
      </c>
      <c r="AB209" s="21">
        <v>199</v>
      </c>
      <c r="AC209" s="21">
        <v>0.787354</v>
      </c>
      <c r="AD209">
        <f t="shared" si="40"/>
        <v>17.312098765432097</v>
      </c>
      <c r="AE209">
        <f t="shared" si="41"/>
        <v>13.641310591604936</v>
      </c>
      <c r="AF209" s="9"/>
      <c r="AG209" s="21">
        <v>0.90210000000000001</v>
      </c>
      <c r="AH209" s="21">
        <v>20.160699999999999</v>
      </c>
      <c r="AI209" s="21">
        <v>-1.39282E-2</v>
      </c>
      <c r="AJ209" s="21">
        <v>199</v>
      </c>
      <c r="AK209" s="21">
        <v>0.90179399999999998</v>
      </c>
      <c r="AL209">
        <f t="shared" si="42"/>
        <v>17.195308641975309</v>
      </c>
      <c r="AM209">
        <f t="shared" si="43"/>
        <v>15.511887925925926</v>
      </c>
      <c r="AP209" s="9"/>
      <c r="AQ209" s="21">
        <v>0.787964</v>
      </c>
      <c r="AR209" s="21">
        <v>25.5989</v>
      </c>
      <c r="AS209" s="21">
        <v>-1.3986200000000001E-2</v>
      </c>
      <c r="AT209" s="21">
        <v>199</v>
      </c>
      <c r="AU209" s="21">
        <v>0.787354</v>
      </c>
      <c r="AV209">
        <f t="shared" si="44"/>
        <v>17.266913580246914</v>
      </c>
      <c r="AW209">
        <f t="shared" si="45"/>
        <v>13.60570629234568</v>
      </c>
      <c r="AX209" s="9"/>
      <c r="AY209" s="21">
        <v>0.90210000000000001</v>
      </c>
      <c r="AZ209" s="21">
        <v>29.3979</v>
      </c>
      <c r="BA209" s="21">
        <v>-1.3894699999999999E-2</v>
      </c>
      <c r="BB209" s="21">
        <v>199</v>
      </c>
      <c r="BC209" s="21">
        <v>0.90118399999999999</v>
      </c>
      <c r="BD209">
        <f t="shared" si="46"/>
        <v>17.153950617283947</v>
      </c>
      <c r="BE209">
        <f t="shared" si="47"/>
        <v>15.474578851851849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7.0105199999999996</v>
      </c>
      <c r="I210" s="21">
        <v>-1.3992299999999999E-2</v>
      </c>
      <c r="J210" s="21">
        <v>200</v>
      </c>
      <c r="K210" s="21">
        <v>0.78125</v>
      </c>
      <c r="L210">
        <f t="shared" si="36"/>
        <v>17.274444444444445</v>
      </c>
      <c r="M210">
        <f t="shared" si="37"/>
        <v>13.524646239999999</v>
      </c>
      <c r="N210" s="9"/>
      <c r="O210" s="21">
        <v>0.90713500000000002</v>
      </c>
      <c r="P210" s="21">
        <v>10.8096</v>
      </c>
      <c r="Q210" s="21">
        <v>-1.3897700000000001E-2</v>
      </c>
      <c r="R210" s="21">
        <v>200</v>
      </c>
      <c r="S210" s="21">
        <v>0.90606699999999996</v>
      </c>
      <c r="T210">
        <f t="shared" si="38"/>
        <v>17.157654320987653</v>
      </c>
      <c r="U210">
        <f t="shared" si="39"/>
        <v>15.564308752469135</v>
      </c>
      <c r="X210" s="9"/>
      <c r="Y210" s="21">
        <v>0.78292799999999996</v>
      </c>
      <c r="Z210" s="21">
        <v>16.371700000000001</v>
      </c>
      <c r="AA210" s="21">
        <v>-1.40167E-2</v>
      </c>
      <c r="AB210" s="21">
        <v>200</v>
      </c>
      <c r="AC210" s="21">
        <v>0.78216600000000003</v>
      </c>
      <c r="AD210">
        <f t="shared" si="40"/>
        <v>17.304567901234567</v>
      </c>
      <c r="AE210">
        <f t="shared" si="41"/>
        <v>13.548230737777777</v>
      </c>
      <c r="AF210" s="9"/>
      <c r="AG210" s="21">
        <v>0.90713500000000002</v>
      </c>
      <c r="AH210" s="21">
        <v>20.1708</v>
      </c>
      <c r="AI210" s="21">
        <v>-1.39252E-2</v>
      </c>
      <c r="AJ210" s="21">
        <v>200</v>
      </c>
      <c r="AK210" s="21">
        <v>0.90606699999999996</v>
      </c>
      <c r="AL210">
        <f t="shared" si="42"/>
        <v>17.191604938271606</v>
      </c>
      <c r="AM210">
        <f t="shared" si="43"/>
        <v>15.595106545679014</v>
      </c>
      <c r="AP210" s="9"/>
      <c r="AQ210" s="21">
        <v>0.78292799999999996</v>
      </c>
      <c r="AR210" s="21">
        <v>25.608899999999998</v>
      </c>
      <c r="AS210" s="21">
        <v>-1.3977099999999999E-2</v>
      </c>
      <c r="AT210" s="21">
        <v>200</v>
      </c>
      <c r="AU210" s="21">
        <v>0.78277600000000003</v>
      </c>
      <c r="AV210">
        <f t="shared" si="44"/>
        <v>17.255679012345677</v>
      </c>
      <c r="AW210">
        <f t="shared" si="45"/>
        <v>13.509954257777775</v>
      </c>
      <c r="AX210" s="9"/>
      <c r="AY210" s="21">
        <v>0.90713500000000002</v>
      </c>
      <c r="AZ210" s="21">
        <v>29.408000000000001</v>
      </c>
      <c r="BA210" s="21">
        <v>-1.38855E-2</v>
      </c>
      <c r="BB210" s="21">
        <v>200</v>
      </c>
      <c r="BC210" s="21">
        <v>0.90637199999999996</v>
      </c>
      <c r="BD210">
        <f t="shared" si="46"/>
        <v>17.142592592592592</v>
      </c>
      <c r="BE210">
        <f t="shared" si="47"/>
        <v>15.550645731481481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7.0205900000000003</v>
      </c>
      <c r="I211" s="21">
        <v>-1.3992299999999999E-2</v>
      </c>
      <c r="J211" s="21">
        <v>201</v>
      </c>
      <c r="K211" s="21">
        <v>0.77697799999999995</v>
      </c>
      <c r="L211">
        <f t="shared" si="36"/>
        <v>17.274444444444445</v>
      </c>
      <c r="M211">
        <f t="shared" si="37"/>
        <v>13.437669412222222</v>
      </c>
      <c r="N211" s="9"/>
      <c r="O211" s="21">
        <v>0.91217000000000004</v>
      </c>
      <c r="P211" s="21">
        <v>10.819599999999999</v>
      </c>
      <c r="Q211" s="21">
        <v>-1.38885E-2</v>
      </c>
      <c r="R211" s="21">
        <v>201</v>
      </c>
      <c r="S211" s="21">
        <v>0.91125500000000004</v>
      </c>
      <c r="T211">
        <f t="shared" si="38"/>
        <v>17.146296296296295</v>
      </c>
      <c r="U211">
        <f t="shared" si="39"/>
        <v>15.640337092592592</v>
      </c>
      <c r="X211" s="9"/>
      <c r="Y211" s="21">
        <v>0.77789299999999995</v>
      </c>
      <c r="Z211" s="21">
        <v>16.381799999999998</v>
      </c>
      <c r="AA211" s="21">
        <v>-1.40045E-2</v>
      </c>
      <c r="AB211" s="21">
        <v>201</v>
      </c>
      <c r="AC211" s="21">
        <v>0.77697799999999995</v>
      </c>
      <c r="AD211">
        <f t="shared" si="40"/>
        <v>17.289506172839506</v>
      </c>
      <c r="AE211">
        <f t="shared" si="41"/>
        <v>13.44938582530864</v>
      </c>
      <c r="AF211" s="9"/>
      <c r="AG211" s="21">
        <v>0.91217000000000004</v>
      </c>
      <c r="AH211" s="21">
        <v>20.180800000000001</v>
      </c>
      <c r="AI211" s="21">
        <v>-1.39221E-2</v>
      </c>
      <c r="AJ211" s="21">
        <v>201</v>
      </c>
      <c r="AK211" s="21">
        <v>0.91095000000000004</v>
      </c>
      <c r="AL211">
        <f t="shared" si="42"/>
        <v>17.187777777777779</v>
      </c>
      <c r="AM211">
        <f t="shared" si="43"/>
        <v>15.678175255555557</v>
      </c>
      <c r="AP211" s="9"/>
      <c r="AQ211" s="21">
        <v>0.77789299999999995</v>
      </c>
      <c r="AR211" s="21">
        <v>25.619</v>
      </c>
      <c r="AS211" s="21">
        <v>-1.3977099999999999E-2</v>
      </c>
      <c r="AT211" s="21">
        <v>201</v>
      </c>
      <c r="AU211" s="21">
        <v>0.77667200000000003</v>
      </c>
      <c r="AV211">
        <f t="shared" si="44"/>
        <v>17.255679012345677</v>
      </c>
      <c r="AW211">
        <f t="shared" si="45"/>
        <v>13.423071913950615</v>
      </c>
      <c r="AX211" s="9"/>
      <c r="AY211" s="21">
        <v>0.91217000000000004</v>
      </c>
      <c r="AZ211" s="21">
        <v>29.418099999999999</v>
      </c>
      <c r="BA211" s="21">
        <v>-1.38885E-2</v>
      </c>
      <c r="BB211" s="21">
        <v>201</v>
      </c>
      <c r="BC211" s="21">
        <v>0.91064500000000004</v>
      </c>
      <c r="BD211">
        <f t="shared" si="46"/>
        <v>17.146296296296295</v>
      </c>
      <c r="BE211">
        <f t="shared" si="47"/>
        <v>15.640337092592592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7.0306600000000001</v>
      </c>
      <c r="I212" s="21">
        <v>-1.40045E-2</v>
      </c>
      <c r="J212" s="21">
        <v>202</v>
      </c>
      <c r="K212" s="21">
        <v>0.77178999999999998</v>
      </c>
      <c r="L212">
        <f t="shared" si="36"/>
        <v>17.289506172839506</v>
      </c>
      <c r="M212">
        <f t="shared" si="37"/>
        <v>13.362333161728396</v>
      </c>
      <c r="N212" s="9"/>
      <c r="O212" s="21">
        <v>0.91720599999999997</v>
      </c>
      <c r="P212" s="21">
        <v>10.829700000000001</v>
      </c>
      <c r="Q212" s="21">
        <v>-1.38885E-2</v>
      </c>
      <c r="R212" s="21">
        <v>202</v>
      </c>
      <c r="S212" s="21">
        <v>0.91613800000000001</v>
      </c>
      <c r="T212">
        <f t="shared" si="38"/>
        <v>17.146296296296295</v>
      </c>
      <c r="U212">
        <f t="shared" si="39"/>
        <v>15.726685840740739</v>
      </c>
      <c r="X212" s="9"/>
      <c r="Y212" s="21">
        <v>0.77285800000000004</v>
      </c>
      <c r="Z212" s="21">
        <v>16.3919</v>
      </c>
      <c r="AA212" s="21">
        <v>-1.39954E-2</v>
      </c>
      <c r="AB212" s="21">
        <v>202</v>
      </c>
      <c r="AC212" s="21">
        <v>0.77178999999999998</v>
      </c>
      <c r="AD212">
        <f t="shared" si="40"/>
        <v>17.278271604938272</v>
      </c>
      <c r="AE212">
        <f t="shared" si="41"/>
        <v>13.353650436049383</v>
      </c>
      <c r="AF212" s="9"/>
      <c r="AG212" s="21">
        <v>0.91720599999999997</v>
      </c>
      <c r="AH212" s="21">
        <v>20.190899999999999</v>
      </c>
      <c r="AI212" s="21">
        <v>-1.39221E-2</v>
      </c>
      <c r="AJ212" s="21">
        <v>202</v>
      </c>
      <c r="AK212" s="21">
        <v>0.91644300000000001</v>
      </c>
      <c r="AL212">
        <f t="shared" si="42"/>
        <v>17.187777777777779</v>
      </c>
      <c r="AM212">
        <f t="shared" si="43"/>
        <v>15.764732904444445</v>
      </c>
      <c r="AP212" s="9"/>
      <c r="AQ212" s="21">
        <v>0.77285800000000004</v>
      </c>
      <c r="AR212" s="21">
        <v>25.629100000000001</v>
      </c>
      <c r="AS212" s="21">
        <v>-1.39709E-2</v>
      </c>
      <c r="AT212" s="21">
        <v>202</v>
      </c>
      <c r="AU212" s="21">
        <v>0.77148399999999995</v>
      </c>
      <c r="AV212">
        <f t="shared" si="44"/>
        <v>17.248024691358022</v>
      </c>
      <c r="AW212">
        <f t="shared" si="45"/>
        <v>13.330273866913579</v>
      </c>
      <c r="AX212" s="9"/>
      <c r="AY212" s="21">
        <v>0.91720599999999997</v>
      </c>
      <c r="AZ212" s="21">
        <v>29.428100000000001</v>
      </c>
      <c r="BA212" s="21">
        <v>-1.38824E-2</v>
      </c>
      <c r="BB212" s="21">
        <v>202</v>
      </c>
      <c r="BC212" s="21">
        <v>0.91644300000000001</v>
      </c>
      <c r="BD212">
        <f t="shared" si="46"/>
        <v>17.138765432098765</v>
      </c>
      <c r="BE212">
        <f t="shared" si="47"/>
        <v>15.719778486913579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7.0407400000000004</v>
      </c>
      <c r="I213" s="21">
        <v>-1.40106E-2</v>
      </c>
      <c r="J213" s="21">
        <v>203</v>
      </c>
      <c r="K213" s="21">
        <v>0.76660200000000001</v>
      </c>
      <c r="L213">
        <f t="shared" si="36"/>
        <v>17.297037037037036</v>
      </c>
      <c r="M213">
        <f t="shared" si="37"/>
        <v>13.281045571851852</v>
      </c>
      <c r="N213" s="9"/>
      <c r="O213" s="21">
        <v>0.92224099999999998</v>
      </c>
      <c r="P213" s="21">
        <v>10.8398</v>
      </c>
      <c r="Q213" s="21">
        <v>-1.3894699999999999E-2</v>
      </c>
      <c r="R213" s="21">
        <v>203</v>
      </c>
      <c r="S213" s="21">
        <v>0.92132599999999998</v>
      </c>
      <c r="T213">
        <f t="shared" si="38"/>
        <v>17.153950617283947</v>
      </c>
      <c r="U213">
        <f t="shared" si="39"/>
        <v>15.820076571234564</v>
      </c>
      <c r="X213" s="9"/>
      <c r="Y213" s="21">
        <v>0.767822</v>
      </c>
      <c r="Z213" s="21">
        <v>16.401900000000001</v>
      </c>
      <c r="AA213" s="21">
        <v>-1.39954E-2</v>
      </c>
      <c r="AB213" s="21">
        <v>203</v>
      </c>
      <c r="AC213" s="21">
        <v>0.76690700000000001</v>
      </c>
      <c r="AD213">
        <f t="shared" si="40"/>
        <v>17.278271604938272</v>
      </c>
      <c r="AE213">
        <f t="shared" si="41"/>
        <v>13.266637060246914</v>
      </c>
      <c r="AF213" s="9"/>
      <c r="AG213" s="21">
        <v>0.92224099999999998</v>
      </c>
      <c r="AH213" s="21">
        <v>20.201000000000001</v>
      </c>
      <c r="AI213" s="21">
        <v>-1.39221E-2</v>
      </c>
      <c r="AJ213" s="21">
        <v>203</v>
      </c>
      <c r="AK213" s="21">
        <v>0.92102099999999998</v>
      </c>
      <c r="AL213">
        <f t="shared" si="42"/>
        <v>17.187777777777779</v>
      </c>
      <c r="AM213">
        <f t="shared" si="43"/>
        <v>15.851273365555556</v>
      </c>
      <c r="AP213" s="9"/>
      <c r="AQ213" s="21">
        <v>0.767822</v>
      </c>
      <c r="AR213" s="21">
        <v>25.639199999999999</v>
      </c>
      <c r="AS213" s="21">
        <v>-1.39709E-2</v>
      </c>
      <c r="AT213" s="21">
        <v>203</v>
      </c>
      <c r="AU213" s="21">
        <v>0.76690700000000001</v>
      </c>
      <c r="AV213">
        <f t="shared" si="44"/>
        <v>17.248024691358022</v>
      </c>
      <c r="AW213">
        <f t="shared" si="45"/>
        <v>13.2434128145679</v>
      </c>
      <c r="AX213" s="9"/>
      <c r="AY213" s="21">
        <v>0.92224099999999998</v>
      </c>
      <c r="AZ213" s="21">
        <v>29.438199999999998</v>
      </c>
      <c r="BA213" s="21">
        <v>-1.3876299999999999E-2</v>
      </c>
      <c r="BB213" s="21">
        <v>203</v>
      </c>
      <c r="BC213" s="21">
        <v>0.92163099999999998</v>
      </c>
      <c r="BD213">
        <f t="shared" si="46"/>
        <v>17.131234567901231</v>
      </c>
      <c r="BE213">
        <f t="shared" si="47"/>
        <v>15.799126899135798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7.0508100000000002</v>
      </c>
      <c r="I214" s="21">
        <v>-1.40167E-2</v>
      </c>
      <c r="J214" s="21">
        <v>204</v>
      </c>
      <c r="K214" s="21">
        <v>0.76232900000000003</v>
      </c>
      <c r="L214">
        <f t="shared" si="36"/>
        <v>17.304567901234567</v>
      </c>
      <c r="M214">
        <f t="shared" si="37"/>
        <v>13.199699435679012</v>
      </c>
      <c r="N214" s="9"/>
      <c r="O214" s="21">
        <v>0.92727700000000002</v>
      </c>
      <c r="P214" s="21">
        <v>10.8499</v>
      </c>
      <c r="Q214" s="21">
        <v>-1.38916E-2</v>
      </c>
      <c r="R214" s="21">
        <v>204</v>
      </c>
      <c r="S214" s="21">
        <v>0.92651399999999995</v>
      </c>
      <c r="T214">
        <f t="shared" si="38"/>
        <v>17.150123456790123</v>
      </c>
      <c r="U214">
        <f t="shared" si="39"/>
        <v>15.902915028641974</v>
      </c>
      <c r="X214" s="9"/>
      <c r="Y214" s="21">
        <v>0.76278699999999999</v>
      </c>
      <c r="Z214" s="21">
        <v>16.411999999999999</v>
      </c>
      <c r="AA214" s="21">
        <v>-1.40045E-2</v>
      </c>
      <c r="AB214" s="21">
        <v>204</v>
      </c>
      <c r="AC214" s="21">
        <v>0.76171900000000003</v>
      </c>
      <c r="AD214">
        <f t="shared" si="40"/>
        <v>17.289506172839506</v>
      </c>
      <c r="AE214">
        <f t="shared" si="41"/>
        <v>13.188210545061727</v>
      </c>
      <c r="AF214" s="9"/>
      <c r="AG214" s="21">
        <v>0.92727700000000002</v>
      </c>
      <c r="AH214" s="21">
        <v>20.210999999999999</v>
      </c>
      <c r="AI214" s="21">
        <v>-1.39221E-2</v>
      </c>
      <c r="AJ214" s="21">
        <v>204</v>
      </c>
      <c r="AK214" s="21">
        <v>0.92651399999999995</v>
      </c>
      <c r="AL214">
        <f t="shared" si="42"/>
        <v>17.187777777777779</v>
      </c>
      <c r="AM214">
        <f t="shared" si="43"/>
        <v>15.937831014444445</v>
      </c>
      <c r="AP214" s="9"/>
      <c r="AQ214" s="21">
        <v>0.76278699999999999</v>
      </c>
      <c r="AR214" s="21">
        <v>25.6492</v>
      </c>
      <c r="AS214" s="21">
        <v>-1.3980100000000001E-2</v>
      </c>
      <c r="AT214" s="21">
        <v>204</v>
      </c>
      <c r="AU214" s="21">
        <v>0.76232900000000003</v>
      </c>
      <c r="AV214">
        <f t="shared" si="44"/>
        <v>17.259382716049384</v>
      </c>
      <c r="AW214">
        <f t="shared" si="45"/>
        <v>13.165232763827161</v>
      </c>
      <c r="AX214" s="9"/>
      <c r="AY214" s="21">
        <v>0.92727700000000002</v>
      </c>
      <c r="AZ214" s="21">
        <v>29.4483</v>
      </c>
      <c r="BA214" s="21">
        <v>-1.3864100000000001E-2</v>
      </c>
      <c r="BB214" s="21">
        <v>204</v>
      </c>
      <c r="BC214" s="21">
        <v>0.92651399999999995</v>
      </c>
      <c r="BD214">
        <f t="shared" si="46"/>
        <v>17.11617283950617</v>
      </c>
      <c r="BE214">
        <f t="shared" si="47"/>
        <v>15.871433402098763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7.06088</v>
      </c>
      <c r="I215" s="21">
        <v>-1.40106E-2</v>
      </c>
      <c r="J215" s="21">
        <v>205</v>
      </c>
      <c r="K215" s="21">
        <v>0.75714099999999995</v>
      </c>
      <c r="L215">
        <f t="shared" si="36"/>
        <v>17.297037037037036</v>
      </c>
      <c r="M215">
        <f t="shared" si="37"/>
        <v>13.106847111851851</v>
      </c>
      <c r="N215" s="9"/>
      <c r="O215" s="21">
        <v>0.93231200000000003</v>
      </c>
      <c r="P215" s="21">
        <v>10.8599</v>
      </c>
      <c r="Q215" s="21">
        <v>-1.38824E-2</v>
      </c>
      <c r="R215" s="21">
        <v>205</v>
      </c>
      <c r="S215" s="21">
        <v>0.931396</v>
      </c>
      <c r="T215">
        <f t="shared" si="38"/>
        <v>17.138765432098765</v>
      </c>
      <c r="U215">
        <f t="shared" si="39"/>
        <v>15.978676677530864</v>
      </c>
      <c r="X215" s="9"/>
      <c r="Y215" s="21">
        <v>0.75775099999999995</v>
      </c>
      <c r="Z215" s="21">
        <v>16.4221</v>
      </c>
      <c r="AA215" s="21">
        <v>-1.40167E-2</v>
      </c>
      <c r="AB215" s="21">
        <v>205</v>
      </c>
      <c r="AC215" s="21">
        <v>0.75714099999999995</v>
      </c>
      <c r="AD215">
        <f t="shared" si="40"/>
        <v>17.304567901234567</v>
      </c>
      <c r="AE215">
        <f t="shared" si="41"/>
        <v>13.112553631728392</v>
      </c>
      <c r="AF215" s="9"/>
      <c r="AG215" s="21">
        <v>0.93231200000000003</v>
      </c>
      <c r="AH215" s="21">
        <v>20.2211</v>
      </c>
      <c r="AI215" s="21">
        <v>-1.3913E-2</v>
      </c>
      <c r="AJ215" s="21">
        <v>205</v>
      </c>
      <c r="AK215" s="21">
        <v>0.93170200000000003</v>
      </c>
      <c r="AL215">
        <f t="shared" si="42"/>
        <v>17.176543209876542</v>
      </c>
      <c r="AM215">
        <f t="shared" si="43"/>
        <v>16.013897353086417</v>
      </c>
      <c r="AP215" s="9"/>
      <c r="AQ215" s="21">
        <v>0.75775099999999995</v>
      </c>
      <c r="AR215" s="21">
        <v>25.659300000000002</v>
      </c>
      <c r="AS215" s="21">
        <v>-1.3986200000000001E-2</v>
      </c>
      <c r="AT215" s="21">
        <v>205</v>
      </c>
      <c r="AU215" s="21">
        <v>0.75714099999999995</v>
      </c>
      <c r="AV215">
        <f t="shared" si="44"/>
        <v>17.266913580246914</v>
      </c>
      <c r="AW215">
        <f t="shared" si="45"/>
        <v>13.084021032345678</v>
      </c>
      <c r="AX215" s="9"/>
      <c r="AY215" s="21">
        <v>0.93231200000000003</v>
      </c>
      <c r="AZ215" s="21">
        <v>29.458300000000001</v>
      </c>
      <c r="BA215" s="21">
        <v>-1.3861099999999999E-2</v>
      </c>
      <c r="BB215" s="21">
        <v>205</v>
      </c>
      <c r="BC215" s="21">
        <v>0.931396</v>
      </c>
      <c r="BD215">
        <f t="shared" si="46"/>
        <v>17.112469135802467</v>
      </c>
      <c r="BE215">
        <f t="shared" si="47"/>
        <v>15.95416032493827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7.0709499999999998</v>
      </c>
      <c r="I216" s="21">
        <v>-1.40106E-2</v>
      </c>
      <c r="J216" s="21">
        <v>206</v>
      </c>
      <c r="K216" s="21">
        <v>0.75195299999999998</v>
      </c>
      <c r="L216">
        <f t="shared" si="36"/>
        <v>17.297037037037036</v>
      </c>
      <c r="M216">
        <f t="shared" si="37"/>
        <v>13.019756530370371</v>
      </c>
      <c r="N216" s="9"/>
      <c r="O216" s="21">
        <v>0.93734700000000004</v>
      </c>
      <c r="P216" s="21">
        <v>10.87</v>
      </c>
      <c r="Q216" s="21">
        <v>-1.38672E-2</v>
      </c>
      <c r="R216" s="21">
        <v>206</v>
      </c>
      <c r="S216" s="21">
        <v>0.93627899999999997</v>
      </c>
      <c r="T216">
        <f t="shared" si="38"/>
        <v>17.12</v>
      </c>
      <c r="U216">
        <f t="shared" si="39"/>
        <v>16.04738064</v>
      </c>
      <c r="X216" s="9"/>
      <c r="Y216" s="21">
        <v>0.75271600000000005</v>
      </c>
      <c r="Z216" s="21">
        <v>16.432099999999998</v>
      </c>
      <c r="AA216" s="21">
        <v>-1.4035000000000001E-2</v>
      </c>
      <c r="AB216" s="21">
        <v>206</v>
      </c>
      <c r="AC216" s="21">
        <v>0.75195299999999998</v>
      </c>
      <c r="AD216">
        <f t="shared" si="40"/>
        <v>17.327160493827162</v>
      </c>
      <c r="AE216">
        <f t="shared" si="41"/>
        <v>13.042430938271606</v>
      </c>
      <c r="AF216" s="9"/>
      <c r="AG216" s="21">
        <v>0.93734700000000004</v>
      </c>
      <c r="AH216" s="21">
        <v>20.231200000000001</v>
      </c>
      <c r="AI216" s="21">
        <v>-1.3913E-2</v>
      </c>
      <c r="AJ216" s="21">
        <v>206</v>
      </c>
      <c r="AK216" s="21">
        <v>0.93658399999999997</v>
      </c>
      <c r="AL216">
        <f t="shared" si="42"/>
        <v>17.176543209876542</v>
      </c>
      <c r="AM216">
        <f t="shared" si="43"/>
        <v>16.100381248148146</v>
      </c>
      <c r="AP216" s="9"/>
      <c r="AQ216" s="21">
        <v>0.75271600000000005</v>
      </c>
      <c r="AR216" s="21">
        <v>25.6694</v>
      </c>
      <c r="AS216" s="21">
        <v>-1.3983199999999999E-2</v>
      </c>
      <c r="AT216" s="21">
        <v>206</v>
      </c>
      <c r="AU216" s="21">
        <v>0.75164799999999998</v>
      </c>
      <c r="AV216">
        <f t="shared" si="44"/>
        <v>17.263209876543208</v>
      </c>
      <c r="AW216">
        <f t="shared" si="45"/>
        <v>12.994294285432098</v>
      </c>
      <c r="AX216" s="9"/>
      <c r="AY216" s="21">
        <v>0.93734700000000004</v>
      </c>
      <c r="AZ216" s="21">
        <v>29.468399999999999</v>
      </c>
      <c r="BA216" s="21">
        <v>-1.3854999999999999E-2</v>
      </c>
      <c r="BB216" s="21">
        <v>206</v>
      </c>
      <c r="BC216" s="21">
        <v>0.93627899999999997</v>
      </c>
      <c r="BD216">
        <f t="shared" si="46"/>
        <v>17.104938271604937</v>
      </c>
      <c r="BE216">
        <f t="shared" si="47"/>
        <v>16.033262574074072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7.0810199999999996</v>
      </c>
      <c r="I217" s="21">
        <v>-1.40106E-2</v>
      </c>
      <c r="J217" s="21">
        <v>207</v>
      </c>
      <c r="K217" s="21">
        <v>0.74704000000000004</v>
      </c>
      <c r="L217">
        <f t="shared" si="36"/>
        <v>17.297037037037036</v>
      </c>
      <c r="M217">
        <f t="shared" si="37"/>
        <v>12.932665948888889</v>
      </c>
      <c r="N217" s="9"/>
      <c r="O217" s="21">
        <v>0.94238299999999997</v>
      </c>
      <c r="P217" s="21">
        <v>10.880100000000001</v>
      </c>
      <c r="Q217" s="21">
        <v>-1.38672E-2</v>
      </c>
      <c r="R217" s="21">
        <v>207</v>
      </c>
      <c r="S217" s="21">
        <v>0.94177200000000005</v>
      </c>
      <c r="T217">
        <f t="shared" si="38"/>
        <v>17.12</v>
      </c>
      <c r="U217">
        <f t="shared" si="39"/>
        <v>16.133596960000002</v>
      </c>
      <c r="X217" s="9"/>
      <c r="Y217" s="21">
        <v>0.74768100000000004</v>
      </c>
      <c r="Z217" s="21">
        <v>16.4422</v>
      </c>
      <c r="AA217" s="21">
        <v>-1.4047199999999999E-2</v>
      </c>
      <c r="AB217" s="21">
        <v>207</v>
      </c>
      <c r="AC217" s="21">
        <v>0.74707000000000001</v>
      </c>
      <c r="AD217">
        <f t="shared" si="40"/>
        <v>17.342222222222222</v>
      </c>
      <c r="AE217">
        <f t="shared" si="41"/>
        <v>12.966450053333334</v>
      </c>
      <c r="AF217" s="9"/>
      <c r="AG217" s="21">
        <v>0.94238299999999997</v>
      </c>
      <c r="AH217" s="21">
        <v>20.241299999999999</v>
      </c>
      <c r="AI217" s="21">
        <v>-1.39191E-2</v>
      </c>
      <c r="AJ217" s="21">
        <v>207</v>
      </c>
      <c r="AK217" s="21">
        <v>0.94146700000000005</v>
      </c>
      <c r="AL217">
        <f t="shared" si="42"/>
        <v>17.184074074074076</v>
      </c>
      <c r="AM217">
        <f t="shared" si="43"/>
        <v>16.193979278148149</v>
      </c>
      <c r="AP217" s="9"/>
      <c r="AQ217" s="21">
        <v>0.74768100000000004</v>
      </c>
      <c r="AR217" s="21">
        <v>25.679400000000001</v>
      </c>
      <c r="AS217" s="21">
        <v>-1.3983199999999999E-2</v>
      </c>
      <c r="AT217" s="21">
        <v>207</v>
      </c>
      <c r="AU217" s="21">
        <v>0.74700900000000003</v>
      </c>
      <c r="AV217">
        <f t="shared" si="44"/>
        <v>17.263209876543208</v>
      </c>
      <c r="AW217">
        <f t="shared" si="45"/>
        <v>12.907374023703703</v>
      </c>
      <c r="AX217" s="9"/>
      <c r="AY217" s="21">
        <v>0.94238299999999997</v>
      </c>
      <c r="AZ217" s="21">
        <v>29.4785</v>
      </c>
      <c r="BA217" s="21">
        <v>-1.3842800000000001E-2</v>
      </c>
      <c r="BB217" s="21">
        <v>207</v>
      </c>
      <c r="BC217" s="21">
        <v>0.94116200000000005</v>
      </c>
      <c r="BD217">
        <f t="shared" si="46"/>
        <v>17.089876543209876</v>
      </c>
      <c r="BE217">
        <f t="shared" si="47"/>
        <v>16.105209126419751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7.0910900000000003</v>
      </c>
      <c r="I218" s="21">
        <v>-1.40076E-2</v>
      </c>
      <c r="J218" s="21">
        <v>208</v>
      </c>
      <c r="K218" s="21">
        <v>0.74197400000000002</v>
      </c>
      <c r="L218">
        <f t="shared" si="36"/>
        <v>17.293333333333333</v>
      </c>
      <c r="M218">
        <f t="shared" si="37"/>
        <v>12.842807533333334</v>
      </c>
      <c r="N218" s="9"/>
      <c r="O218" s="21">
        <v>0.94741799999999998</v>
      </c>
      <c r="P218" s="21">
        <v>10.8901</v>
      </c>
      <c r="Q218" s="21">
        <v>-1.3854999999999999E-2</v>
      </c>
      <c r="R218" s="21">
        <v>208</v>
      </c>
      <c r="S218" s="21">
        <v>0.94665500000000002</v>
      </c>
      <c r="T218">
        <f t="shared" si="38"/>
        <v>17.104938271604937</v>
      </c>
      <c r="U218">
        <f t="shared" si="39"/>
        <v>16.205526407407405</v>
      </c>
      <c r="X218" s="9"/>
      <c r="Y218" s="21">
        <v>0.742645</v>
      </c>
      <c r="Z218" s="21">
        <v>16.452300000000001</v>
      </c>
      <c r="AA218" s="21">
        <v>-1.40442E-2</v>
      </c>
      <c r="AB218" s="21">
        <v>208</v>
      </c>
      <c r="AC218" s="21">
        <v>0.74212599999999995</v>
      </c>
      <c r="AD218">
        <f t="shared" si="40"/>
        <v>17.338518518518516</v>
      </c>
      <c r="AE218">
        <f t="shared" si="41"/>
        <v>12.876364085185184</v>
      </c>
      <c r="AF218" s="9"/>
      <c r="AG218" s="21">
        <v>0.94741799999999998</v>
      </c>
      <c r="AH218" s="21">
        <v>20.251300000000001</v>
      </c>
      <c r="AI218" s="21">
        <v>-1.3903799999999999E-2</v>
      </c>
      <c r="AJ218" s="21">
        <v>208</v>
      </c>
      <c r="AK218" s="21">
        <v>0.94635000000000002</v>
      </c>
      <c r="AL218">
        <f t="shared" si="42"/>
        <v>17.165185185185184</v>
      </c>
      <c r="AM218">
        <f t="shared" si="43"/>
        <v>16.262605417777777</v>
      </c>
      <c r="AP218" s="9"/>
      <c r="AQ218" s="21">
        <v>0.742645</v>
      </c>
      <c r="AR218" s="21">
        <v>25.689499999999999</v>
      </c>
      <c r="AS218" s="21">
        <v>-1.3986200000000001E-2</v>
      </c>
      <c r="AT218" s="21">
        <v>208</v>
      </c>
      <c r="AU218" s="21">
        <v>0.74206499999999997</v>
      </c>
      <c r="AV218">
        <f t="shared" si="44"/>
        <v>17.266913580246914</v>
      </c>
      <c r="AW218">
        <f t="shared" si="45"/>
        <v>12.823187035802469</v>
      </c>
      <c r="AX218" s="9"/>
      <c r="AY218" s="21">
        <v>0.94741799999999998</v>
      </c>
      <c r="AZ218" s="21">
        <v>29.488600000000002</v>
      </c>
      <c r="BA218" s="21">
        <v>-1.38367E-2</v>
      </c>
      <c r="BB218" s="21">
        <v>208</v>
      </c>
      <c r="BC218" s="21">
        <v>0.94696000000000002</v>
      </c>
      <c r="BD218">
        <f t="shared" si="46"/>
        <v>17.082345679012345</v>
      </c>
      <c r="BE218">
        <f t="shared" si="47"/>
        <v>16.184121778518517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7.1011600000000001</v>
      </c>
      <c r="I219" s="21">
        <v>-1.40076E-2</v>
      </c>
      <c r="J219" s="21">
        <v>209</v>
      </c>
      <c r="K219" s="21">
        <v>0.73684700000000003</v>
      </c>
      <c r="L219">
        <f t="shared" si="36"/>
        <v>17.293333333333333</v>
      </c>
      <c r="M219">
        <f t="shared" si="37"/>
        <v>12.7557356</v>
      </c>
      <c r="N219" s="9"/>
      <c r="O219" s="21">
        <v>0.95245400000000002</v>
      </c>
      <c r="P219" s="21">
        <v>10.9002</v>
      </c>
      <c r="Q219" s="21">
        <v>-1.38519E-2</v>
      </c>
      <c r="R219" s="21">
        <v>209</v>
      </c>
      <c r="S219" s="21">
        <v>0.951233</v>
      </c>
      <c r="T219">
        <f t="shared" si="38"/>
        <v>17.101111111111113</v>
      </c>
      <c r="U219">
        <f t="shared" si="39"/>
        <v>16.288021682222226</v>
      </c>
      <c r="X219" s="9"/>
      <c r="Y219" s="21">
        <v>0.73760999999999999</v>
      </c>
      <c r="Z219" s="21">
        <v>16.462299999999999</v>
      </c>
      <c r="AA219" s="21">
        <v>-1.40228E-2</v>
      </c>
      <c r="AB219" s="21">
        <v>209</v>
      </c>
      <c r="AC219" s="21">
        <v>0.73702999999999996</v>
      </c>
      <c r="AD219">
        <f t="shared" si="40"/>
        <v>17.312098765432097</v>
      </c>
      <c r="AE219">
        <f t="shared" si="41"/>
        <v>12.769577170370368</v>
      </c>
      <c r="AF219" s="9"/>
      <c r="AG219" s="21">
        <v>0.95245400000000002</v>
      </c>
      <c r="AH219" s="21">
        <v>20.261399999999998</v>
      </c>
      <c r="AI219" s="21">
        <v>-1.39008E-2</v>
      </c>
      <c r="AJ219" s="21">
        <v>209</v>
      </c>
      <c r="AK219" s="21">
        <v>0.95153799999999999</v>
      </c>
      <c r="AL219">
        <f t="shared" si="42"/>
        <v>17.161481481481481</v>
      </c>
      <c r="AM219">
        <f t="shared" si="43"/>
        <v>16.345521682962964</v>
      </c>
      <c r="AP219" s="9"/>
      <c r="AQ219" s="21">
        <v>0.73760999999999999</v>
      </c>
      <c r="AR219" s="21">
        <v>25.6996</v>
      </c>
      <c r="AS219" s="21">
        <v>-1.39954E-2</v>
      </c>
      <c r="AT219" s="21">
        <v>209</v>
      </c>
      <c r="AU219" s="21">
        <v>0.73693799999999998</v>
      </c>
      <c r="AV219">
        <f t="shared" si="44"/>
        <v>17.278271604938272</v>
      </c>
      <c r="AW219">
        <f t="shared" si="45"/>
        <v>12.744625918518519</v>
      </c>
      <c r="AX219" s="9"/>
      <c r="AY219" s="21">
        <v>0.95245400000000002</v>
      </c>
      <c r="AZ219" s="21">
        <v>29.4986</v>
      </c>
      <c r="BA219" s="21">
        <v>-1.38397E-2</v>
      </c>
      <c r="BB219" s="21">
        <v>209</v>
      </c>
      <c r="BC219" s="21">
        <v>0.95153799999999999</v>
      </c>
      <c r="BD219">
        <f t="shared" si="46"/>
        <v>17.086049382716048</v>
      </c>
      <c r="BE219">
        <f t="shared" si="47"/>
        <v>16.27367607876543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7.1112299999999999</v>
      </c>
      <c r="I220" s="21">
        <v>-1.40137E-2</v>
      </c>
      <c r="J220" s="21">
        <v>210</v>
      </c>
      <c r="K220" s="21">
        <v>0.73193399999999997</v>
      </c>
      <c r="L220">
        <f t="shared" si="36"/>
        <v>17.300864197530863</v>
      </c>
      <c r="M220">
        <f t="shared" si="37"/>
        <v>12.674163288641974</v>
      </c>
      <c r="N220" s="9"/>
      <c r="O220" s="21">
        <v>0.95748900000000003</v>
      </c>
      <c r="P220" s="21">
        <v>10.910299999999999</v>
      </c>
      <c r="Q220" s="21">
        <v>-1.3848900000000001E-2</v>
      </c>
      <c r="R220" s="21">
        <v>210</v>
      </c>
      <c r="S220" s="21">
        <v>0.95672599999999997</v>
      </c>
      <c r="T220">
        <f t="shared" si="38"/>
        <v>17.09740740740741</v>
      </c>
      <c r="U220">
        <f t="shared" si="39"/>
        <v>16.370579521111114</v>
      </c>
      <c r="X220" s="9"/>
      <c r="Y220" s="21">
        <v>0.73257399999999995</v>
      </c>
      <c r="Z220" s="21">
        <v>16.4724</v>
      </c>
      <c r="AA220" s="21">
        <v>-1.40137E-2</v>
      </c>
      <c r="AB220" s="21">
        <v>210</v>
      </c>
      <c r="AC220" s="21">
        <v>0.73193399999999997</v>
      </c>
      <c r="AD220">
        <f t="shared" si="40"/>
        <v>17.300864197530863</v>
      </c>
      <c r="AE220">
        <f t="shared" si="41"/>
        <v>12.674163288641974</v>
      </c>
      <c r="AF220" s="9"/>
      <c r="AG220" s="21">
        <v>0.95748900000000003</v>
      </c>
      <c r="AH220" s="21">
        <v>20.2715</v>
      </c>
      <c r="AI220" s="21">
        <v>-1.3903799999999999E-2</v>
      </c>
      <c r="AJ220" s="21">
        <v>210</v>
      </c>
      <c r="AK220" s="21">
        <v>0.95581099999999997</v>
      </c>
      <c r="AL220">
        <f t="shared" si="42"/>
        <v>17.165185185185184</v>
      </c>
      <c r="AM220">
        <f t="shared" si="43"/>
        <v>16.435475997777775</v>
      </c>
      <c r="AP220" s="9"/>
      <c r="AQ220" s="21">
        <v>0.73257399999999995</v>
      </c>
      <c r="AR220" s="21">
        <v>25.709700000000002</v>
      </c>
      <c r="AS220" s="21">
        <v>-1.40045E-2</v>
      </c>
      <c r="AT220" s="21">
        <v>210</v>
      </c>
      <c r="AU220" s="21">
        <v>0.73196399999999995</v>
      </c>
      <c r="AV220">
        <f t="shared" si="44"/>
        <v>17.289506172839506</v>
      </c>
      <c r="AW220">
        <f t="shared" si="45"/>
        <v>12.665842695061727</v>
      </c>
      <c r="AX220" s="9"/>
      <c r="AY220" s="21">
        <v>0.95748900000000003</v>
      </c>
      <c r="AZ220" s="21">
        <v>29.508700000000001</v>
      </c>
      <c r="BA220" s="21">
        <v>-1.38367E-2</v>
      </c>
      <c r="BB220" s="21">
        <v>210</v>
      </c>
      <c r="BC220" s="21">
        <v>0.95642099999999997</v>
      </c>
      <c r="BD220">
        <f t="shared" si="46"/>
        <v>17.082345679012345</v>
      </c>
      <c r="BE220">
        <f t="shared" si="47"/>
        <v>16.356158081851852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7.1212999999999997</v>
      </c>
      <c r="I221" s="21">
        <v>-1.40167E-2</v>
      </c>
      <c r="J221" s="21">
        <v>211</v>
      </c>
      <c r="K221" s="21">
        <v>0.72686799999999996</v>
      </c>
      <c r="L221">
        <f t="shared" si="36"/>
        <v>17.304567901234567</v>
      </c>
      <c r="M221">
        <f t="shared" si="37"/>
        <v>12.589748026296297</v>
      </c>
      <c r="N221" s="9"/>
      <c r="O221" s="21">
        <v>0.96252400000000005</v>
      </c>
      <c r="P221" s="21">
        <v>10.920400000000001</v>
      </c>
      <c r="Q221" s="21">
        <v>-1.38519E-2</v>
      </c>
      <c r="R221" s="21">
        <v>211</v>
      </c>
      <c r="S221" s="21">
        <v>0.96191400000000005</v>
      </c>
      <c r="T221">
        <f t="shared" si="38"/>
        <v>17.101111111111113</v>
      </c>
      <c r="U221">
        <f t="shared" si="39"/>
        <v>16.460229871111114</v>
      </c>
      <c r="X221" s="9"/>
      <c r="Y221" s="21">
        <v>0.72753900000000005</v>
      </c>
      <c r="Z221" s="21">
        <v>16.482500000000002</v>
      </c>
      <c r="AA221" s="21">
        <v>-1.40137E-2</v>
      </c>
      <c r="AB221" s="21">
        <v>211</v>
      </c>
      <c r="AC221" s="21">
        <v>0.72683699999999996</v>
      </c>
      <c r="AD221">
        <f t="shared" si="40"/>
        <v>17.300864197530863</v>
      </c>
      <c r="AE221">
        <f t="shared" si="41"/>
        <v>12.587053437407407</v>
      </c>
      <c r="AF221" s="9"/>
      <c r="AG221" s="21">
        <v>0.96252400000000005</v>
      </c>
      <c r="AH221" s="21">
        <v>20.281500000000001</v>
      </c>
      <c r="AI221" s="21">
        <v>-1.3894699999999999E-2</v>
      </c>
      <c r="AJ221" s="21">
        <v>211</v>
      </c>
      <c r="AK221" s="21">
        <v>0.96130400000000005</v>
      </c>
      <c r="AL221">
        <f t="shared" si="42"/>
        <v>17.153950617283947</v>
      </c>
      <c r="AM221">
        <f t="shared" si="43"/>
        <v>16.511089163950615</v>
      </c>
      <c r="AP221" s="9"/>
      <c r="AQ221" s="21">
        <v>0.72753900000000005</v>
      </c>
      <c r="AR221" s="21">
        <v>25.7197</v>
      </c>
      <c r="AS221" s="21">
        <v>-1.40106E-2</v>
      </c>
      <c r="AT221" s="21">
        <v>211</v>
      </c>
      <c r="AU221" s="21">
        <v>0.72683699999999996</v>
      </c>
      <c r="AV221">
        <f t="shared" si="44"/>
        <v>17.297037037037036</v>
      </c>
      <c r="AW221">
        <f t="shared" si="45"/>
        <v>12.584269028888889</v>
      </c>
      <c r="AX221" s="9"/>
      <c r="AY221" s="21">
        <v>0.96252400000000005</v>
      </c>
      <c r="AZ221" s="21">
        <v>29.518799999999999</v>
      </c>
      <c r="BA221" s="21">
        <v>-1.38397E-2</v>
      </c>
      <c r="BB221" s="21">
        <v>211</v>
      </c>
      <c r="BC221" s="21">
        <v>0.96130400000000005</v>
      </c>
      <c r="BD221">
        <f t="shared" si="46"/>
        <v>17.086049382716048</v>
      </c>
      <c r="BE221">
        <f t="shared" si="47"/>
        <v>16.445732596049382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7.1313700000000004</v>
      </c>
      <c r="I222" s="21">
        <v>-1.4019800000000001E-2</v>
      </c>
      <c r="J222" s="21">
        <v>212</v>
      </c>
      <c r="K222" s="21">
        <v>0.72192400000000001</v>
      </c>
      <c r="L222">
        <f t="shared" si="36"/>
        <v>17.308395061728394</v>
      </c>
      <c r="M222">
        <f t="shared" si="37"/>
        <v>12.505384665679012</v>
      </c>
      <c r="N222" s="9"/>
      <c r="O222" s="21">
        <v>0.96755999999999998</v>
      </c>
      <c r="P222" s="21">
        <v>10.930400000000001</v>
      </c>
      <c r="Q222" s="21">
        <v>-1.3848900000000001E-2</v>
      </c>
      <c r="R222" s="21">
        <v>212</v>
      </c>
      <c r="S222" s="21">
        <v>0.96679700000000002</v>
      </c>
      <c r="T222">
        <f t="shared" si="38"/>
        <v>17.09740740740741</v>
      </c>
      <c r="U222">
        <f t="shared" si="39"/>
        <v>16.542767511111112</v>
      </c>
      <c r="X222" s="9"/>
      <c r="Y222" s="21">
        <v>0.72250400000000004</v>
      </c>
      <c r="Z222" s="21">
        <v>16.492599999999999</v>
      </c>
      <c r="AA222" s="21">
        <v>-1.40228E-2</v>
      </c>
      <c r="AB222" s="21">
        <v>212</v>
      </c>
      <c r="AC222" s="21">
        <v>0.72183200000000003</v>
      </c>
      <c r="AD222">
        <f t="shared" si="40"/>
        <v>17.312098765432097</v>
      </c>
      <c r="AE222">
        <f t="shared" si="41"/>
        <v>12.508060606419752</v>
      </c>
      <c r="AF222" s="9"/>
      <c r="AG222" s="21">
        <v>0.96755999999999998</v>
      </c>
      <c r="AH222" s="21">
        <v>20.291599999999999</v>
      </c>
      <c r="AI222" s="21">
        <v>-1.38916E-2</v>
      </c>
      <c r="AJ222" s="21">
        <v>212</v>
      </c>
      <c r="AK222" s="21">
        <v>0.96649200000000002</v>
      </c>
      <c r="AL222">
        <f t="shared" si="42"/>
        <v>17.150123456790123</v>
      </c>
      <c r="AM222">
        <f t="shared" si="43"/>
        <v>16.593773451851852</v>
      </c>
      <c r="AP222" s="9"/>
      <c r="AQ222" s="21">
        <v>0.72250400000000004</v>
      </c>
      <c r="AR222" s="21">
        <v>25.729800000000001</v>
      </c>
      <c r="AS222" s="21">
        <v>-1.40228E-2</v>
      </c>
      <c r="AT222" s="21">
        <v>212</v>
      </c>
      <c r="AU222" s="21">
        <v>0.72195399999999998</v>
      </c>
      <c r="AV222">
        <f t="shared" si="44"/>
        <v>17.312098765432097</v>
      </c>
      <c r="AW222">
        <f t="shared" si="45"/>
        <v>12.508060606419752</v>
      </c>
      <c r="AX222" s="9"/>
      <c r="AY222" s="21">
        <v>0.96755999999999998</v>
      </c>
      <c r="AZ222" s="21">
        <v>29.5288</v>
      </c>
      <c r="BA222" s="21">
        <v>-1.38367E-2</v>
      </c>
      <c r="BB222" s="21">
        <v>212</v>
      </c>
      <c r="BC222" s="21">
        <v>0.96649200000000002</v>
      </c>
      <c r="BD222">
        <f t="shared" si="46"/>
        <v>17.082345679012345</v>
      </c>
      <c r="BE222">
        <f t="shared" si="47"/>
        <v>16.528194385185184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7.1414499999999999</v>
      </c>
      <c r="I223" s="21">
        <v>-1.40289E-2</v>
      </c>
      <c r="J223" s="21">
        <v>213</v>
      </c>
      <c r="K223" s="21">
        <v>0.71682699999999999</v>
      </c>
      <c r="L223">
        <f t="shared" si="36"/>
        <v>17.319629629629631</v>
      </c>
      <c r="M223">
        <f t="shared" si="37"/>
        <v>12.426280031111112</v>
      </c>
      <c r="N223" s="9"/>
      <c r="O223" s="21">
        <v>0.97259499999999999</v>
      </c>
      <c r="P223" s="21">
        <v>10.9405</v>
      </c>
      <c r="Q223" s="21">
        <v>-1.38397E-2</v>
      </c>
      <c r="R223" s="21">
        <v>213</v>
      </c>
      <c r="S223" s="21">
        <v>0.97137499999999999</v>
      </c>
      <c r="T223">
        <f t="shared" si="38"/>
        <v>17.086049382716048</v>
      </c>
      <c r="U223">
        <f t="shared" si="39"/>
        <v>16.617806199382716</v>
      </c>
      <c r="X223" s="9"/>
      <c r="Y223" s="21">
        <v>0.71746799999999999</v>
      </c>
      <c r="Z223" s="21">
        <v>16.502600000000001</v>
      </c>
      <c r="AA223" s="21">
        <v>-1.40137E-2</v>
      </c>
      <c r="AB223" s="21">
        <v>213</v>
      </c>
      <c r="AC223" s="21">
        <v>0.71682699999999999</v>
      </c>
      <c r="AD223">
        <f t="shared" si="40"/>
        <v>17.300864197530863</v>
      </c>
      <c r="AE223">
        <f t="shared" si="41"/>
        <v>12.412816434074074</v>
      </c>
      <c r="AF223" s="9"/>
      <c r="AG223" s="21">
        <v>0.97259499999999999</v>
      </c>
      <c r="AH223" s="21">
        <v>20.3017</v>
      </c>
      <c r="AI223" s="21">
        <v>-1.38855E-2</v>
      </c>
      <c r="AJ223" s="21">
        <v>213</v>
      </c>
      <c r="AK223" s="21">
        <v>0.97198499999999999</v>
      </c>
      <c r="AL223">
        <f t="shared" si="42"/>
        <v>17.142592592592592</v>
      </c>
      <c r="AM223">
        <f t="shared" si="43"/>
        <v>16.672799842592593</v>
      </c>
      <c r="AP223" s="9"/>
      <c r="AQ223" s="21">
        <v>0.71746799999999999</v>
      </c>
      <c r="AR223" s="21">
        <v>25.739899999999999</v>
      </c>
      <c r="AS223" s="21">
        <v>-1.4031999999999999E-2</v>
      </c>
      <c r="AT223" s="21">
        <v>213</v>
      </c>
      <c r="AU223" s="21">
        <v>0.71682699999999999</v>
      </c>
      <c r="AV223">
        <f t="shared" si="44"/>
        <v>17.323456790123455</v>
      </c>
      <c r="AW223">
        <f t="shared" si="45"/>
        <v>12.429025896296295</v>
      </c>
      <c r="AX223" s="9"/>
      <c r="AY223" s="21">
        <v>0.97259499999999999</v>
      </c>
      <c r="AZ223" s="21">
        <v>29.538900000000002</v>
      </c>
      <c r="BA223" s="21">
        <v>-1.38336E-2</v>
      </c>
      <c r="BB223" s="21">
        <v>213</v>
      </c>
      <c r="BC223" s="21">
        <v>0.97106899999999996</v>
      </c>
      <c r="BD223">
        <f t="shared" si="46"/>
        <v>17.078518518518518</v>
      </c>
      <c r="BE223">
        <f t="shared" si="47"/>
        <v>16.610481718518518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7.1515199999999997</v>
      </c>
      <c r="I224" s="21">
        <v>-1.4025900000000001E-2</v>
      </c>
      <c r="J224" s="21">
        <v>214</v>
      </c>
      <c r="K224" s="21">
        <v>0.71176099999999998</v>
      </c>
      <c r="L224">
        <f t="shared" si="36"/>
        <v>17.315925925925924</v>
      </c>
      <c r="M224">
        <f t="shared" si="37"/>
        <v>12.336437055185185</v>
      </c>
      <c r="N224" s="9"/>
      <c r="O224" s="21">
        <v>0.97763100000000003</v>
      </c>
      <c r="P224" s="21">
        <v>10.9506</v>
      </c>
      <c r="Q224" s="21">
        <v>-1.38367E-2</v>
      </c>
      <c r="R224" s="21">
        <v>214</v>
      </c>
      <c r="S224" s="21">
        <v>0.97686799999999996</v>
      </c>
      <c r="T224">
        <f t="shared" si="38"/>
        <v>17.082345679012345</v>
      </c>
      <c r="U224">
        <f t="shared" si="39"/>
        <v>16.70023068851852</v>
      </c>
      <c r="X224" s="9"/>
      <c r="Y224" s="21">
        <v>0.71243299999999998</v>
      </c>
      <c r="Z224" s="21">
        <v>16.512699999999999</v>
      </c>
      <c r="AA224" s="21">
        <v>-1.40137E-2</v>
      </c>
      <c r="AB224" s="21">
        <v>214</v>
      </c>
      <c r="AC224" s="21">
        <v>0.711731</v>
      </c>
      <c r="AD224">
        <f t="shared" si="40"/>
        <v>17.300864197530863</v>
      </c>
      <c r="AE224">
        <f t="shared" si="41"/>
        <v>12.325706582839505</v>
      </c>
      <c r="AF224" s="9"/>
      <c r="AG224" s="21">
        <v>0.97763100000000003</v>
      </c>
      <c r="AH224" s="21">
        <v>20.311800000000002</v>
      </c>
      <c r="AI224" s="21">
        <v>-1.38824E-2</v>
      </c>
      <c r="AJ224" s="21">
        <v>214</v>
      </c>
      <c r="AK224" s="21">
        <v>0.97686799999999996</v>
      </c>
      <c r="AL224">
        <f t="shared" si="42"/>
        <v>17.138765432098765</v>
      </c>
      <c r="AM224">
        <f t="shared" si="43"/>
        <v>16.755388388148148</v>
      </c>
      <c r="AP224" s="9"/>
      <c r="AQ224" s="21">
        <v>0.71243299999999998</v>
      </c>
      <c r="AR224" s="21">
        <v>25.7499</v>
      </c>
      <c r="AS224" s="21">
        <v>-1.4047199999999999E-2</v>
      </c>
      <c r="AT224" s="21">
        <v>214</v>
      </c>
      <c r="AU224" s="21">
        <v>0.71179199999999998</v>
      </c>
      <c r="AV224">
        <f t="shared" si="44"/>
        <v>17.342222222222222</v>
      </c>
      <c r="AW224">
        <f t="shared" si="45"/>
        <v>12.355171404444445</v>
      </c>
      <c r="AX224" s="9"/>
      <c r="AY224" s="21">
        <v>0.97763100000000003</v>
      </c>
      <c r="AZ224" s="21">
        <v>29.548999999999999</v>
      </c>
      <c r="BA224" s="21">
        <v>-1.3821399999999999E-2</v>
      </c>
      <c r="BB224" s="21">
        <v>214</v>
      </c>
      <c r="BC224" s="21">
        <v>0.97656299999999996</v>
      </c>
      <c r="BD224">
        <f t="shared" si="46"/>
        <v>17.063456790123453</v>
      </c>
      <c r="BE224">
        <f t="shared" si="47"/>
        <v>16.681764325185181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7.1615900000000003</v>
      </c>
      <c r="I225" s="21">
        <v>-1.40289E-2</v>
      </c>
      <c r="J225" s="21">
        <v>215</v>
      </c>
      <c r="K225" s="21">
        <v>0.70669599999999999</v>
      </c>
      <c r="L225">
        <f t="shared" si="36"/>
        <v>17.319629629629631</v>
      </c>
      <c r="M225">
        <f t="shared" si="37"/>
        <v>12.251854041111113</v>
      </c>
      <c r="N225" s="9"/>
      <c r="O225" s="21">
        <v>0.98266600000000004</v>
      </c>
      <c r="P225" s="21">
        <v>10.960599999999999</v>
      </c>
      <c r="Q225" s="21">
        <v>-1.38458E-2</v>
      </c>
      <c r="R225" s="21">
        <v>215</v>
      </c>
      <c r="S225" s="21">
        <v>0.98175000000000001</v>
      </c>
      <c r="T225">
        <f t="shared" si="38"/>
        <v>17.093580246913579</v>
      </c>
      <c r="U225">
        <f t="shared" si="39"/>
        <v>16.797280126913581</v>
      </c>
      <c r="X225" s="9"/>
      <c r="Y225" s="21">
        <v>0.70739700000000005</v>
      </c>
      <c r="Z225" s="21">
        <v>16.5228</v>
      </c>
      <c r="AA225" s="21">
        <v>-1.40228E-2</v>
      </c>
      <c r="AB225" s="21">
        <v>215</v>
      </c>
      <c r="AC225" s="21">
        <v>0.70681799999999995</v>
      </c>
      <c r="AD225">
        <f t="shared" si="40"/>
        <v>17.312098765432097</v>
      </c>
      <c r="AE225">
        <f t="shared" si="41"/>
        <v>12.24652673037037</v>
      </c>
      <c r="AF225" s="9"/>
      <c r="AG225" s="21">
        <v>0.98266600000000004</v>
      </c>
      <c r="AH225" s="21">
        <v>20.3218</v>
      </c>
      <c r="AI225" s="21">
        <v>-1.38824E-2</v>
      </c>
      <c r="AJ225" s="21">
        <v>215</v>
      </c>
      <c r="AK225" s="21">
        <v>0.98175000000000001</v>
      </c>
      <c r="AL225">
        <f t="shared" si="42"/>
        <v>17.138765432098765</v>
      </c>
      <c r="AM225">
        <f t="shared" si="43"/>
        <v>16.841682072098767</v>
      </c>
      <c r="AP225" s="9"/>
      <c r="AQ225" s="21">
        <v>0.70739700000000005</v>
      </c>
      <c r="AR225" s="21">
        <v>25.76</v>
      </c>
      <c r="AS225" s="21">
        <v>-1.40625E-2</v>
      </c>
      <c r="AT225" s="21">
        <v>215</v>
      </c>
      <c r="AU225" s="21">
        <v>0.70672599999999997</v>
      </c>
      <c r="AV225">
        <f t="shared" si="44"/>
        <v>17.361111111111111</v>
      </c>
      <c r="AW225">
        <f t="shared" si="45"/>
        <v>12.281197916666667</v>
      </c>
      <c r="AX225" s="9"/>
      <c r="AY225" s="21">
        <v>0.98266600000000004</v>
      </c>
      <c r="AZ225" s="21">
        <v>29.559100000000001</v>
      </c>
      <c r="BA225" s="21">
        <v>-1.38184E-2</v>
      </c>
      <c r="BB225" s="21">
        <v>215</v>
      </c>
      <c r="BC225" s="21">
        <v>0.98205600000000004</v>
      </c>
      <c r="BD225">
        <f t="shared" si="46"/>
        <v>17.05975308641975</v>
      </c>
      <c r="BE225">
        <f t="shared" si="47"/>
        <v>16.764039326419752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7.1716600000000001</v>
      </c>
      <c r="I226" s="21">
        <v>-1.4041100000000001E-2</v>
      </c>
      <c r="J226" s="21">
        <v>216</v>
      </c>
      <c r="K226" s="21">
        <v>0.70178200000000002</v>
      </c>
      <c r="L226">
        <f t="shared" si="36"/>
        <v>17.334691358024692</v>
      </c>
      <c r="M226">
        <f t="shared" si="37"/>
        <v>12.175228491604939</v>
      </c>
      <c r="N226" s="9"/>
      <c r="O226" s="21">
        <v>0.98770100000000005</v>
      </c>
      <c r="P226" s="21">
        <v>10.970700000000001</v>
      </c>
      <c r="Q226" s="21">
        <v>-1.38458E-2</v>
      </c>
      <c r="R226" s="21">
        <v>216</v>
      </c>
      <c r="S226" s="21">
        <v>0.98632799999999998</v>
      </c>
      <c r="T226">
        <f t="shared" si="38"/>
        <v>17.093580246913579</v>
      </c>
      <c r="U226">
        <f t="shared" si="39"/>
        <v>16.88334630345679</v>
      </c>
      <c r="X226" s="9"/>
      <c r="Y226" s="21">
        <v>0.70236200000000004</v>
      </c>
      <c r="Z226" s="21">
        <v>16.532800000000002</v>
      </c>
      <c r="AA226" s="21">
        <v>-1.40289E-2</v>
      </c>
      <c r="AB226" s="21">
        <v>216</v>
      </c>
      <c r="AC226" s="21">
        <v>0.70193499999999998</v>
      </c>
      <c r="AD226">
        <f t="shared" si="40"/>
        <v>17.319629629629631</v>
      </c>
      <c r="AE226">
        <f t="shared" si="41"/>
        <v>12.164649705925928</v>
      </c>
      <c r="AF226" s="9"/>
      <c r="AG226" s="21">
        <v>0.98770100000000005</v>
      </c>
      <c r="AH226" s="21">
        <v>20.331900000000001</v>
      </c>
      <c r="AI226" s="21">
        <v>-1.38824E-2</v>
      </c>
      <c r="AJ226" s="21">
        <v>216</v>
      </c>
      <c r="AK226" s="21">
        <v>0.98693799999999998</v>
      </c>
      <c r="AL226">
        <f t="shared" si="42"/>
        <v>17.138765432098765</v>
      </c>
      <c r="AM226">
        <f t="shared" si="43"/>
        <v>16.927975756049385</v>
      </c>
      <c r="AP226" s="9"/>
      <c r="AQ226" s="21">
        <v>0.70236200000000004</v>
      </c>
      <c r="AR226" s="21">
        <v>25.770099999999999</v>
      </c>
      <c r="AS226" s="21">
        <v>-1.4074700000000001E-2</v>
      </c>
      <c r="AT226" s="21">
        <v>216</v>
      </c>
      <c r="AU226" s="21">
        <v>0.70181300000000002</v>
      </c>
      <c r="AV226">
        <f t="shared" si="44"/>
        <v>17.376172839506172</v>
      </c>
      <c r="AW226">
        <f t="shared" si="45"/>
        <v>12.204363507901235</v>
      </c>
      <c r="AX226" s="9"/>
      <c r="AY226" s="21">
        <v>0.98770100000000005</v>
      </c>
      <c r="AZ226" s="21">
        <v>29.569099999999999</v>
      </c>
      <c r="BA226" s="21">
        <v>-1.38123E-2</v>
      </c>
      <c r="BB226" s="21">
        <v>216</v>
      </c>
      <c r="BC226" s="21">
        <v>0.98663299999999998</v>
      </c>
      <c r="BD226">
        <f t="shared" si="46"/>
        <v>17.052222222222223</v>
      </c>
      <c r="BE226">
        <f t="shared" si="47"/>
        <v>16.842496941111111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7.1817299999999999</v>
      </c>
      <c r="I227" s="21">
        <v>-1.4041100000000001E-2</v>
      </c>
      <c r="J227" s="21">
        <v>217</v>
      </c>
      <c r="K227" s="21">
        <v>0.69656399999999996</v>
      </c>
      <c r="L227">
        <f t="shared" si="36"/>
        <v>17.334691358024692</v>
      </c>
      <c r="M227">
        <f t="shared" si="37"/>
        <v>12.087948320617285</v>
      </c>
      <c r="N227" s="9"/>
      <c r="O227" s="21">
        <v>0.99273699999999998</v>
      </c>
      <c r="P227" s="21">
        <v>10.9808</v>
      </c>
      <c r="Q227" s="21">
        <v>-1.38306E-2</v>
      </c>
      <c r="R227" s="21">
        <v>217</v>
      </c>
      <c r="S227" s="21">
        <v>0.99243199999999998</v>
      </c>
      <c r="T227">
        <f t="shared" si="38"/>
        <v>17.074814814814815</v>
      </c>
      <c r="U227">
        <f t="shared" si="39"/>
        <v>16.950800434814813</v>
      </c>
      <c r="X227" s="9"/>
      <c r="Y227" s="21">
        <v>0.69732700000000003</v>
      </c>
      <c r="Z227" s="21">
        <v>16.542899999999999</v>
      </c>
      <c r="AA227" s="21">
        <v>-1.4047199999999999E-2</v>
      </c>
      <c r="AB227" s="21">
        <v>217</v>
      </c>
      <c r="AC227" s="21">
        <v>0.69668600000000003</v>
      </c>
      <c r="AD227">
        <f t="shared" si="40"/>
        <v>17.342222222222222</v>
      </c>
      <c r="AE227">
        <f t="shared" si="41"/>
        <v>12.093199795555556</v>
      </c>
      <c r="AF227" s="9"/>
      <c r="AG227" s="21">
        <v>0.99273699999999998</v>
      </c>
      <c r="AH227" s="21">
        <v>20.341999999999999</v>
      </c>
      <c r="AI227" s="21">
        <v>-1.38855E-2</v>
      </c>
      <c r="AJ227" s="21">
        <v>217</v>
      </c>
      <c r="AK227" s="21">
        <v>0.99182099999999995</v>
      </c>
      <c r="AL227">
        <f t="shared" si="42"/>
        <v>17.142592592592592</v>
      </c>
      <c r="AM227">
        <f t="shared" si="43"/>
        <v>17.018085942592592</v>
      </c>
      <c r="AP227" s="9"/>
      <c r="AQ227" s="21">
        <v>0.69732700000000003</v>
      </c>
      <c r="AR227" s="21">
        <v>25.780100000000001</v>
      </c>
      <c r="AS227" s="21">
        <v>-1.4093E-2</v>
      </c>
      <c r="AT227" s="21">
        <v>217</v>
      </c>
      <c r="AU227" s="21">
        <v>0.69668600000000003</v>
      </c>
      <c r="AV227">
        <f t="shared" si="44"/>
        <v>17.398765432098763</v>
      </c>
      <c r="AW227">
        <f t="shared" si="45"/>
        <v>12.132628902469135</v>
      </c>
      <c r="AX227" s="9"/>
      <c r="AY227" s="21">
        <v>0.99273699999999998</v>
      </c>
      <c r="AZ227" s="21">
        <v>29.5792</v>
      </c>
      <c r="BA227" s="21">
        <v>-1.37939E-2</v>
      </c>
      <c r="BB227" s="21">
        <v>217</v>
      </c>
      <c r="BC227" s="21">
        <v>0.99090599999999995</v>
      </c>
      <c r="BD227">
        <f t="shared" si="46"/>
        <v>17.029506172839504</v>
      </c>
      <c r="BE227">
        <f t="shared" si="47"/>
        <v>16.905820869506169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7.1917999999999997</v>
      </c>
      <c r="I228" s="21">
        <v>-1.40564E-2</v>
      </c>
      <c r="J228" s="21">
        <v>218</v>
      </c>
      <c r="K228" s="21">
        <v>0.69164999999999999</v>
      </c>
      <c r="L228">
        <f t="shared" si="36"/>
        <v>17.35358024691358</v>
      </c>
      <c r="M228">
        <f t="shared" si="37"/>
        <v>12.01372742271605</v>
      </c>
      <c r="N228" s="9"/>
      <c r="O228" s="21">
        <v>0.99777199999999999</v>
      </c>
      <c r="P228" s="21">
        <v>10.9908</v>
      </c>
      <c r="Q228" s="21">
        <v>-1.38123E-2</v>
      </c>
      <c r="R228" s="21">
        <v>218</v>
      </c>
      <c r="S228" s="21">
        <v>0.99670400000000003</v>
      </c>
      <c r="T228">
        <f t="shared" si="38"/>
        <v>17.052222222222223</v>
      </c>
      <c r="U228">
        <f t="shared" si="39"/>
        <v>17.014229871111112</v>
      </c>
      <c r="X228" s="9"/>
      <c r="Y228" s="21">
        <v>0.69229099999999999</v>
      </c>
      <c r="Z228" s="21">
        <v>16.553000000000001</v>
      </c>
      <c r="AA228" s="21">
        <v>-1.40564E-2</v>
      </c>
      <c r="AB228" s="21">
        <v>218</v>
      </c>
      <c r="AC228" s="21">
        <v>0.69162000000000001</v>
      </c>
      <c r="AD228">
        <f t="shared" si="40"/>
        <v>17.35358024691358</v>
      </c>
      <c r="AE228">
        <f t="shared" si="41"/>
        <v>12.01372742271605</v>
      </c>
      <c r="AF228" s="9"/>
      <c r="AG228" s="21">
        <v>0.99777199999999999</v>
      </c>
      <c r="AH228" s="21">
        <v>20.352</v>
      </c>
      <c r="AI228" s="21">
        <v>-1.38855E-2</v>
      </c>
      <c r="AJ228" s="21">
        <v>218</v>
      </c>
      <c r="AK228" s="21">
        <v>0.99700900000000003</v>
      </c>
      <c r="AL228">
        <f t="shared" si="42"/>
        <v>17.142592592592592</v>
      </c>
      <c r="AM228">
        <f t="shared" si="43"/>
        <v>17.104398896296296</v>
      </c>
      <c r="AP228" s="9"/>
      <c r="AQ228" s="21">
        <v>0.69229099999999999</v>
      </c>
      <c r="AR228" s="21">
        <v>25.790199999999999</v>
      </c>
      <c r="AS228" s="21">
        <v>-1.40991E-2</v>
      </c>
      <c r="AT228" s="21">
        <v>218</v>
      </c>
      <c r="AU228" s="21">
        <v>0.69171099999999996</v>
      </c>
      <c r="AV228">
        <f t="shared" si="44"/>
        <v>17.406296296296293</v>
      </c>
      <c r="AW228">
        <f t="shared" si="45"/>
        <v>12.050222269259256</v>
      </c>
      <c r="AX228" s="9"/>
      <c r="AY228" s="21">
        <v>0.99777199999999999</v>
      </c>
      <c r="AZ228" s="21">
        <v>29.589300000000001</v>
      </c>
      <c r="BA228" s="21">
        <v>-1.37787E-2</v>
      </c>
      <c r="BB228" s="21">
        <v>218</v>
      </c>
      <c r="BC228" s="21">
        <v>0.99670400000000003</v>
      </c>
      <c r="BD228">
        <f t="shared" si="46"/>
        <v>17.01074074074074</v>
      </c>
      <c r="BE228">
        <f t="shared" si="47"/>
        <v>16.972840810370368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7.2018700000000004</v>
      </c>
      <c r="I229" s="21">
        <v>-1.40564E-2</v>
      </c>
      <c r="J229" s="21">
        <v>219</v>
      </c>
      <c r="K229" s="21">
        <v>0.68664599999999998</v>
      </c>
      <c r="L229">
        <f t="shared" si="36"/>
        <v>17.35358024691358</v>
      </c>
      <c r="M229">
        <f t="shared" si="37"/>
        <v>11.926352146172839</v>
      </c>
      <c r="N229" s="9"/>
      <c r="O229" s="21">
        <v>1.00281</v>
      </c>
      <c r="P229" s="21">
        <v>11.0009</v>
      </c>
      <c r="Q229" s="21">
        <v>-1.38031E-2</v>
      </c>
      <c r="R229" s="21">
        <v>219</v>
      </c>
      <c r="S229" s="21">
        <v>1.0022</v>
      </c>
      <c r="T229">
        <f t="shared" si="38"/>
        <v>17.040864197530862</v>
      </c>
      <c r="U229">
        <f t="shared" si="39"/>
        <v>17.088749025925924</v>
      </c>
      <c r="X229" s="9"/>
      <c r="Y229" s="21">
        <v>0.68725599999999998</v>
      </c>
      <c r="Z229" s="21">
        <v>16.563099999999999</v>
      </c>
      <c r="AA229" s="21">
        <v>-1.4068600000000001E-2</v>
      </c>
      <c r="AB229" s="21">
        <v>219</v>
      </c>
      <c r="AC229" s="21">
        <v>0.68670699999999996</v>
      </c>
      <c r="AD229">
        <f t="shared" si="40"/>
        <v>17.368641975308641</v>
      </c>
      <c r="AE229">
        <f t="shared" si="41"/>
        <v>11.936703409382716</v>
      </c>
      <c r="AF229" s="9"/>
      <c r="AG229" s="21">
        <v>1.00281</v>
      </c>
      <c r="AH229" s="21">
        <v>20.362100000000002</v>
      </c>
      <c r="AI229" s="21">
        <v>-1.3894699999999999E-2</v>
      </c>
      <c r="AJ229" s="21">
        <v>219</v>
      </c>
      <c r="AK229" s="21">
        <v>1.00159</v>
      </c>
      <c r="AL229">
        <f t="shared" si="42"/>
        <v>17.153950617283947</v>
      </c>
      <c r="AM229">
        <f t="shared" si="43"/>
        <v>17.202153218518514</v>
      </c>
      <c r="AP229" s="9"/>
      <c r="AQ229" s="21">
        <v>0.68725599999999998</v>
      </c>
      <c r="AR229" s="21">
        <v>25.8003</v>
      </c>
      <c r="AS229" s="21">
        <v>-1.40961E-2</v>
      </c>
      <c r="AT229" s="21">
        <v>219</v>
      </c>
      <c r="AU229" s="21">
        <v>0.68664599999999998</v>
      </c>
      <c r="AV229">
        <f t="shared" si="44"/>
        <v>17.40259259259259</v>
      </c>
      <c r="AW229">
        <f t="shared" si="45"/>
        <v>11.960036174814812</v>
      </c>
      <c r="AX229" s="9"/>
      <c r="AY229" s="21">
        <v>1.00281</v>
      </c>
      <c r="AZ229" s="21">
        <v>29.599299999999999</v>
      </c>
      <c r="BA229" s="21">
        <v>-1.3781699999999999E-2</v>
      </c>
      <c r="BB229" s="21">
        <v>219</v>
      </c>
      <c r="BC229" s="21">
        <v>1.0022</v>
      </c>
      <c r="BD229">
        <f t="shared" si="46"/>
        <v>17.014444444444443</v>
      </c>
      <c r="BE229">
        <f t="shared" si="47"/>
        <v>17.062255033333333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7.2119400000000002</v>
      </c>
      <c r="I230" s="21">
        <v>-1.4053299999999999E-2</v>
      </c>
      <c r="J230" s="21">
        <v>220</v>
      </c>
      <c r="K230" s="21">
        <v>0.68148799999999998</v>
      </c>
      <c r="L230">
        <f t="shared" si="36"/>
        <v>17.349753086419753</v>
      </c>
      <c r="M230">
        <f t="shared" si="37"/>
        <v>11.836348550617284</v>
      </c>
      <c r="N230" s="9"/>
      <c r="O230" s="21">
        <v>1.0078400000000001</v>
      </c>
      <c r="P230" s="21">
        <v>11.010999999999999</v>
      </c>
      <c r="Q230" s="21">
        <v>-1.38E-2</v>
      </c>
      <c r="R230" s="21">
        <v>220</v>
      </c>
      <c r="S230" s="21">
        <v>1.00647</v>
      </c>
      <c r="T230">
        <f t="shared" si="38"/>
        <v>17.037037037037035</v>
      </c>
      <c r="U230">
        <f t="shared" si="39"/>
        <v>17.170607407407406</v>
      </c>
      <c r="X230" s="9"/>
      <c r="Y230" s="21">
        <v>0.68222000000000005</v>
      </c>
      <c r="Z230" s="21">
        <v>16.5731</v>
      </c>
      <c r="AA230" s="21">
        <v>-1.4071699999999999E-2</v>
      </c>
      <c r="AB230" s="21">
        <v>220</v>
      </c>
      <c r="AC230" s="21">
        <v>0.68157999999999996</v>
      </c>
      <c r="AD230">
        <f t="shared" si="40"/>
        <v>17.372469135802469</v>
      </c>
      <c r="AE230">
        <f t="shared" si="41"/>
        <v>11.851845893827161</v>
      </c>
      <c r="AF230" s="9"/>
      <c r="AG230" s="21">
        <v>1.0078400000000001</v>
      </c>
      <c r="AH230" s="21">
        <v>20.372199999999999</v>
      </c>
      <c r="AI230" s="21">
        <v>-1.39008E-2</v>
      </c>
      <c r="AJ230" s="21">
        <v>220</v>
      </c>
      <c r="AK230" s="21">
        <v>1.00708</v>
      </c>
      <c r="AL230">
        <f t="shared" si="42"/>
        <v>17.161481481481481</v>
      </c>
      <c r="AM230">
        <f t="shared" si="43"/>
        <v>17.296027496296297</v>
      </c>
      <c r="AP230" s="9"/>
      <c r="AQ230" s="21">
        <v>0.68222000000000005</v>
      </c>
      <c r="AR230" s="21">
        <v>25.810400000000001</v>
      </c>
      <c r="AS230" s="21">
        <v>-1.4080799999999999E-2</v>
      </c>
      <c r="AT230" s="21">
        <v>220</v>
      </c>
      <c r="AU230" s="21">
        <v>0.68157999999999996</v>
      </c>
      <c r="AV230">
        <f t="shared" si="44"/>
        <v>17.383703703703702</v>
      </c>
      <c r="AW230">
        <f t="shared" si="45"/>
        <v>11.859510340740741</v>
      </c>
      <c r="AX230" s="9"/>
      <c r="AY230" s="21">
        <v>1.0078400000000001</v>
      </c>
      <c r="AZ230" s="21">
        <v>29.609400000000001</v>
      </c>
      <c r="BA230" s="21">
        <v>-1.3781699999999999E-2</v>
      </c>
      <c r="BB230" s="21">
        <v>220</v>
      </c>
      <c r="BC230" s="21">
        <v>1.0067699999999999</v>
      </c>
      <c r="BD230">
        <f t="shared" si="46"/>
        <v>17.014444444444443</v>
      </c>
      <c r="BE230">
        <f t="shared" si="47"/>
        <v>17.147837688888888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7.22201</v>
      </c>
      <c r="I231" s="21">
        <v>-1.40594E-2</v>
      </c>
      <c r="J231" s="21">
        <v>221</v>
      </c>
      <c r="K231" s="21">
        <v>0.67654400000000003</v>
      </c>
      <c r="L231">
        <f t="shared" si="36"/>
        <v>17.357283950617283</v>
      </c>
      <c r="M231">
        <f t="shared" si="37"/>
        <v>11.754092332098766</v>
      </c>
      <c r="N231" s="9"/>
      <c r="O231" s="21">
        <v>1.01288</v>
      </c>
      <c r="P231" s="21">
        <v>11.021100000000001</v>
      </c>
      <c r="Q231" s="21">
        <v>-1.37939E-2</v>
      </c>
      <c r="R231" s="21">
        <v>221</v>
      </c>
      <c r="S231" s="21">
        <v>1.01196</v>
      </c>
      <c r="T231">
        <f t="shared" si="38"/>
        <v>17.029506172839504</v>
      </c>
      <c r="U231">
        <f t="shared" si="39"/>
        <v>17.248846212345676</v>
      </c>
      <c r="X231" s="9"/>
      <c r="Y231" s="21">
        <v>0.67718500000000004</v>
      </c>
      <c r="Z231" s="21">
        <v>16.583200000000001</v>
      </c>
      <c r="AA231" s="21">
        <v>-1.4071699999999999E-2</v>
      </c>
      <c r="AB231" s="21">
        <v>221</v>
      </c>
      <c r="AC231" s="21">
        <v>0.67660500000000001</v>
      </c>
      <c r="AD231">
        <f t="shared" si="40"/>
        <v>17.372469135802469</v>
      </c>
      <c r="AE231">
        <f t="shared" si="41"/>
        <v>11.764375511728396</v>
      </c>
      <c r="AF231" s="9"/>
      <c r="AG231" s="21">
        <v>1.01288</v>
      </c>
      <c r="AH231" s="21">
        <v>20.382200000000001</v>
      </c>
      <c r="AI231" s="21">
        <v>-1.3903799999999999E-2</v>
      </c>
      <c r="AJ231" s="21">
        <v>221</v>
      </c>
      <c r="AK231" s="21">
        <v>1.01257</v>
      </c>
      <c r="AL231">
        <f t="shared" si="42"/>
        <v>17.165185185185184</v>
      </c>
      <c r="AM231">
        <f t="shared" si="43"/>
        <v>17.386272770370368</v>
      </c>
      <c r="AP231" s="9"/>
      <c r="AQ231" s="21">
        <v>0.67718500000000004</v>
      </c>
      <c r="AR231" s="21">
        <v>25.820399999999999</v>
      </c>
      <c r="AS231" s="21">
        <v>-1.4065599999999999E-2</v>
      </c>
      <c r="AT231" s="21">
        <v>221</v>
      </c>
      <c r="AU231" s="21">
        <v>0.67654400000000003</v>
      </c>
      <c r="AV231">
        <f t="shared" si="44"/>
        <v>17.364938271604938</v>
      </c>
      <c r="AW231">
        <f t="shared" si="45"/>
        <v>11.75927572345679</v>
      </c>
      <c r="AX231" s="9"/>
      <c r="AY231" s="21">
        <v>1.01288</v>
      </c>
      <c r="AZ231" s="21">
        <v>29.619499999999999</v>
      </c>
      <c r="BA231" s="21">
        <v>-1.3772599999999999E-2</v>
      </c>
      <c r="BB231" s="21">
        <v>221</v>
      </c>
      <c r="BC231" s="21">
        <v>1.01135</v>
      </c>
      <c r="BD231">
        <f t="shared" si="46"/>
        <v>17.00320987654321</v>
      </c>
      <c r="BE231">
        <f t="shared" si="47"/>
        <v>17.222211219753085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7.2320799999999998</v>
      </c>
      <c r="I232" s="21">
        <v>-1.40594E-2</v>
      </c>
      <c r="J232" s="21">
        <v>222</v>
      </c>
      <c r="K232" s="21">
        <v>0.67159999999999997</v>
      </c>
      <c r="L232">
        <f t="shared" si="36"/>
        <v>17.357283950617283</v>
      </c>
      <c r="M232">
        <f t="shared" si="37"/>
        <v>11.666698407407408</v>
      </c>
      <c r="N232" s="9"/>
      <c r="O232" s="21">
        <v>1.0179100000000001</v>
      </c>
      <c r="P232" s="21">
        <v>11.0311</v>
      </c>
      <c r="Q232" s="21">
        <v>-1.3797E-2</v>
      </c>
      <c r="R232" s="21">
        <v>222</v>
      </c>
      <c r="S232" s="21">
        <v>1.01776</v>
      </c>
      <c r="T232">
        <f t="shared" si="38"/>
        <v>17.033333333333331</v>
      </c>
      <c r="U232">
        <f t="shared" si="39"/>
        <v>17.338400333333333</v>
      </c>
      <c r="X232" s="9"/>
      <c r="Y232" s="21">
        <v>0.67215000000000003</v>
      </c>
      <c r="Z232" s="21">
        <v>16.593299999999999</v>
      </c>
      <c r="AA232" s="21">
        <v>-1.4086899999999999E-2</v>
      </c>
      <c r="AB232" s="21">
        <v>222</v>
      </c>
      <c r="AC232" s="21">
        <v>0.671234</v>
      </c>
      <c r="AD232">
        <f t="shared" si="40"/>
        <v>17.391234567901233</v>
      </c>
      <c r="AE232">
        <f t="shared" si="41"/>
        <v>11.689518314814814</v>
      </c>
      <c r="AF232" s="9"/>
      <c r="AG232" s="21">
        <v>1.0179100000000001</v>
      </c>
      <c r="AH232" s="21">
        <v>20.392299999999999</v>
      </c>
      <c r="AI232" s="21">
        <v>-1.39069E-2</v>
      </c>
      <c r="AJ232" s="21">
        <v>222</v>
      </c>
      <c r="AK232" s="21">
        <v>1.01746</v>
      </c>
      <c r="AL232">
        <f t="shared" si="42"/>
        <v>17.169012345679011</v>
      </c>
      <c r="AM232">
        <f t="shared" si="43"/>
        <v>17.476509356790125</v>
      </c>
      <c r="AP232" s="9"/>
      <c r="AQ232" s="21">
        <v>0.67215000000000003</v>
      </c>
      <c r="AR232" s="21">
        <v>25.830500000000001</v>
      </c>
      <c r="AS232" s="21">
        <v>-1.40594E-2</v>
      </c>
      <c r="AT232" s="21">
        <v>222</v>
      </c>
      <c r="AU232" s="21">
        <v>0.67147800000000002</v>
      </c>
      <c r="AV232">
        <f t="shared" si="44"/>
        <v>17.357283950617283</v>
      </c>
      <c r="AW232">
        <f t="shared" si="45"/>
        <v>11.666698407407408</v>
      </c>
      <c r="AX232" s="9"/>
      <c r="AY232" s="21">
        <v>1.0179100000000001</v>
      </c>
      <c r="AZ232" s="21">
        <v>29.6295</v>
      </c>
      <c r="BA232" s="21">
        <v>-1.3760400000000001E-2</v>
      </c>
      <c r="BB232" s="21">
        <v>222</v>
      </c>
      <c r="BC232" s="21">
        <v>1.01715</v>
      </c>
      <c r="BD232">
        <f t="shared" si="46"/>
        <v>16.988148148148149</v>
      </c>
      <c r="BE232">
        <f t="shared" si="47"/>
        <v>17.292405881481482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7.2421600000000002</v>
      </c>
      <c r="I233" s="21">
        <v>-1.40625E-2</v>
      </c>
      <c r="J233" s="21">
        <v>223</v>
      </c>
      <c r="K233" s="21">
        <v>0.66653399999999996</v>
      </c>
      <c r="L233">
        <f t="shared" si="36"/>
        <v>17.361111111111111</v>
      </c>
      <c r="M233">
        <f t="shared" si="37"/>
        <v>11.581840277777777</v>
      </c>
      <c r="N233" s="9"/>
      <c r="O233" s="21">
        <v>1.02295</v>
      </c>
      <c r="P233" s="21">
        <v>11.0412</v>
      </c>
      <c r="Q233" s="21">
        <v>-1.3797E-2</v>
      </c>
      <c r="R233" s="21">
        <v>223</v>
      </c>
      <c r="S233" s="21">
        <v>1.02203</v>
      </c>
      <c r="T233">
        <f t="shared" si="38"/>
        <v>17.033333333333331</v>
      </c>
      <c r="U233">
        <f t="shared" si="39"/>
        <v>17.424248333333331</v>
      </c>
      <c r="X233" s="9"/>
      <c r="Y233" s="21">
        <v>0.66711399999999998</v>
      </c>
      <c r="Z233" s="21">
        <v>16.603300000000001</v>
      </c>
      <c r="AA233" s="21">
        <v>-1.41052E-2</v>
      </c>
      <c r="AB233" s="21">
        <v>223</v>
      </c>
      <c r="AC233" s="21">
        <v>0.66659500000000005</v>
      </c>
      <c r="AD233">
        <f t="shared" si="40"/>
        <v>17.413827160493828</v>
      </c>
      <c r="AE233">
        <f t="shared" si="41"/>
        <v>11.617007892345679</v>
      </c>
      <c r="AF233" s="9"/>
      <c r="AG233" s="21">
        <v>1.02295</v>
      </c>
      <c r="AH233" s="21">
        <v>20.4024</v>
      </c>
      <c r="AI233" s="21">
        <v>-1.3909899999999999E-2</v>
      </c>
      <c r="AJ233" s="21">
        <v>223</v>
      </c>
      <c r="AK233" s="21">
        <v>1.02234</v>
      </c>
      <c r="AL233">
        <f t="shared" si="42"/>
        <v>17.172716049382714</v>
      </c>
      <c r="AM233">
        <f t="shared" si="43"/>
        <v>17.566829882716046</v>
      </c>
      <c r="AP233" s="9"/>
      <c r="AQ233" s="21">
        <v>0.66711399999999998</v>
      </c>
      <c r="AR233" s="21">
        <v>25.840599999999998</v>
      </c>
      <c r="AS233" s="21">
        <v>-1.40442E-2</v>
      </c>
      <c r="AT233" s="21">
        <v>223</v>
      </c>
      <c r="AU233" s="21">
        <v>0.66650399999999999</v>
      </c>
      <c r="AV233">
        <f t="shared" si="44"/>
        <v>17.338518518518516</v>
      </c>
      <c r="AW233">
        <f t="shared" si="45"/>
        <v>11.56676844296296</v>
      </c>
      <c r="AX233" s="9"/>
      <c r="AY233" s="21">
        <v>1.02295</v>
      </c>
      <c r="AZ233" s="21">
        <v>29.639600000000002</v>
      </c>
      <c r="BA233" s="21">
        <v>-1.37512E-2</v>
      </c>
      <c r="BB233" s="21">
        <v>223</v>
      </c>
      <c r="BC233" s="21">
        <v>1.02142</v>
      </c>
      <c r="BD233">
        <f t="shared" si="46"/>
        <v>16.976790123456787</v>
      </c>
      <c r="BE233">
        <f t="shared" si="47"/>
        <v>17.366407456790121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7.25223</v>
      </c>
      <c r="I234" s="21">
        <v>-1.4074700000000001E-2</v>
      </c>
      <c r="J234" s="21">
        <v>224</v>
      </c>
      <c r="K234" s="21">
        <v>0.66143799999999997</v>
      </c>
      <c r="L234">
        <f t="shared" si="36"/>
        <v>17.376172839506172</v>
      </c>
      <c r="M234">
        <f t="shared" si="37"/>
        <v>11.504399137407406</v>
      </c>
      <c r="N234" s="9"/>
      <c r="O234" s="21">
        <v>1.0279799999999999</v>
      </c>
      <c r="P234" s="21">
        <v>11.051299999999999</v>
      </c>
      <c r="Q234" s="21">
        <v>-1.37909E-2</v>
      </c>
      <c r="R234" s="21">
        <v>224</v>
      </c>
      <c r="S234" s="21">
        <v>1.02722</v>
      </c>
      <c r="T234">
        <f t="shared" si="38"/>
        <v>17.025802469135801</v>
      </c>
      <c r="U234">
        <f t="shared" si="39"/>
        <v>17.502184422222218</v>
      </c>
      <c r="X234" s="9"/>
      <c r="Y234" s="21">
        <v>0.66207899999999997</v>
      </c>
      <c r="Z234" s="21">
        <v>16.613399999999999</v>
      </c>
      <c r="AA234" s="21">
        <v>-1.41174E-2</v>
      </c>
      <c r="AB234" s="21">
        <v>224</v>
      </c>
      <c r="AC234" s="21">
        <v>0.66152999999999995</v>
      </c>
      <c r="AD234">
        <f t="shared" si="40"/>
        <v>17.428888888888888</v>
      </c>
      <c r="AE234">
        <f t="shared" si="41"/>
        <v>11.539301326666665</v>
      </c>
      <c r="AF234" s="9"/>
      <c r="AG234" s="21">
        <v>1.0279799999999999</v>
      </c>
      <c r="AH234" s="21">
        <v>20.412500000000001</v>
      </c>
      <c r="AI234" s="21">
        <v>-1.3909899999999999E-2</v>
      </c>
      <c r="AJ234" s="21">
        <v>224</v>
      </c>
      <c r="AK234" s="21">
        <v>1.0269200000000001</v>
      </c>
      <c r="AL234">
        <f t="shared" si="42"/>
        <v>17.172716049382714</v>
      </c>
      <c r="AM234">
        <f t="shared" si="43"/>
        <v>17.65320864444444</v>
      </c>
      <c r="AP234" s="9"/>
      <c r="AQ234" s="21">
        <v>0.66207899999999997</v>
      </c>
      <c r="AR234" s="21">
        <v>25.8506</v>
      </c>
      <c r="AS234" s="21">
        <v>-1.4047199999999999E-2</v>
      </c>
      <c r="AT234" s="21">
        <v>224</v>
      </c>
      <c r="AU234" s="21">
        <v>0.66140699999999997</v>
      </c>
      <c r="AV234">
        <f t="shared" si="44"/>
        <v>17.342222222222222</v>
      </c>
      <c r="AW234">
        <f t="shared" si="45"/>
        <v>11.481921146666666</v>
      </c>
      <c r="AX234" s="9"/>
      <c r="AY234" s="21">
        <v>1.0279799999999999</v>
      </c>
      <c r="AZ234" s="21">
        <v>29.649699999999999</v>
      </c>
      <c r="BA234" s="21">
        <v>-1.37451E-2</v>
      </c>
      <c r="BB234" s="21">
        <v>224</v>
      </c>
      <c r="BC234" s="21">
        <v>1.02722</v>
      </c>
      <c r="BD234">
        <f t="shared" si="46"/>
        <v>16.969259259259257</v>
      </c>
      <c r="BE234">
        <f t="shared" si="47"/>
        <v>17.444059133333329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7.2622999999999998</v>
      </c>
      <c r="I235" s="21">
        <v>-1.409E-2</v>
      </c>
      <c r="J235" s="21">
        <v>225</v>
      </c>
      <c r="K235" s="21">
        <v>0.65640299999999996</v>
      </c>
      <c r="L235">
        <f t="shared" si="36"/>
        <v>17.39506172839506</v>
      </c>
      <c r="M235">
        <f t="shared" si="37"/>
        <v>11.429303543209876</v>
      </c>
      <c r="N235" s="9"/>
      <c r="O235" s="21">
        <v>1.03302</v>
      </c>
      <c r="P235" s="21">
        <v>11.061299999999999</v>
      </c>
      <c r="Q235" s="21">
        <v>-1.3775600000000001E-2</v>
      </c>
      <c r="R235" s="21">
        <v>225</v>
      </c>
      <c r="S235" s="21">
        <v>1.03241</v>
      </c>
      <c r="T235">
        <f t="shared" si="38"/>
        <v>17.006913580246916</v>
      </c>
      <c r="U235">
        <f t="shared" si="39"/>
        <v>17.568481866666669</v>
      </c>
      <c r="X235" s="9"/>
      <c r="Y235" s="21">
        <v>0.65704300000000004</v>
      </c>
      <c r="Z235" s="21">
        <v>16.6235</v>
      </c>
      <c r="AA235" s="21">
        <v>-1.4123500000000001E-2</v>
      </c>
      <c r="AB235" s="21">
        <v>225</v>
      </c>
      <c r="AC235" s="21">
        <v>0.65640299999999996</v>
      </c>
      <c r="AD235">
        <f t="shared" si="40"/>
        <v>17.436419753086419</v>
      </c>
      <c r="AE235">
        <f t="shared" si="41"/>
        <v>11.456477543827161</v>
      </c>
      <c r="AF235" s="9"/>
      <c r="AG235" s="21">
        <v>1.03302</v>
      </c>
      <c r="AH235" s="21">
        <v>20.422499999999999</v>
      </c>
      <c r="AI235" s="21">
        <v>-1.3903799999999999E-2</v>
      </c>
      <c r="AJ235" s="21">
        <v>225</v>
      </c>
      <c r="AK235" s="21">
        <v>1.0318000000000001</v>
      </c>
      <c r="AL235">
        <f t="shared" si="42"/>
        <v>17.165185185185184</v>
      </c>
      <c r="AM235">
        <f t="shared" si="43"/>
        <v>17.731979599999999</v>
      </c>
      <c r="AP235" s="9"/>
      <c r="AQ235" s="21">
        <v>0.65704300000000004</v>
      </c>
      <c r="AR235" s="21">
        <v>25.860700000000001</v>
      </c>
      <c r="AS235" s="21">
        <v>-1.40503E-2</v>
      </c>
      <c r="AT235" s="21">
        <v>225</v>
      </c>
      <c r="AU235" s="21">
        <v>0.65643300000000004</v>
      </c>
      <c r="AV235">
        <f t="shared" si="44"/>
        <v>17.34604938271605</v>
      </c>
      <c r="AW235">
        <f t="shared" si="45"/>
        <v>11.397100324567901</v>
      </c>
      <c r="AX235" s="9"/>
      <c r="AY235" s="21">
        <v>1.03302</v>
      </c>
      <c r="AZ235" s="21">
        <v>29.659800000000001</v>
      </c>
      <c r="BA235" s="21">
        <v>-1.37482E-2</v>
      </c>
      <c r="BB235" s="21">
        <v>225</v>
      </c>
      <c r="BC235" s="21">
        <v>1.0321</v>
      </c>
      <c r="BD235">
        <f t="shared" si="46"/>
        <v>16.973086419753084</v>
      </c>
      <c r="BE235">
        <f t="shared" si="47"/>
        <v>17.533537733333333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7.2723699999999996</v>
      </c>
      <c r="I236" s="21">
        <v>-1.409E-2</v>
      </c>
      <c r="J236" s="21">
        <v>226</v>
      </c>
      <c r="K236" s="21">
        <v>0.65136700000000003</v>
      </c>
      <c r="L236">
        <f t="shared" si="36"/>
        <v>17.39506172839506</v>
      </c>
      <c r="M236">
        <f t="shared" si="37"/>
        <v>11.341719407407407</v>
      </c>
      <c r="N236" s="9"/>
      <c r="O236" s="21">
        <v>1.03806</v>
      </c>
      <c r="P236" s="21">
        <v>11.071400000000001</v>
      </c>
      <c r="Q236" s="21">
        <v>-1.37573E-2</v>
      </c>
      <c r="R236" s="21">
        <v>226</v>
      </c>
      <c r="S236" s="21">
        <v>1.03729</v>
      </c>
      <c r="T236">
        <f t="shared" si="38"/>
        <v>16.984320987654321</v>
      </c>
      <c r="U236">
        <f t="shared" si="39"/>
        <v>17.630744244444443</v>
      </c>
      <c r="X236" s="9"/>
      <c r="Y236" s="21">
        <v>0.65200800000000003</v>
      </c>
      <c r="Z236" s="21">
        <v>16.633600000000001</v>
      </c>
      <c r="AA236" s="21">
        <v>-1.41266E-2</v>
      </c>
      <c r="AB236" s="21">
        <v>226</v>
      </c>
      <c r="AC236" s="21">
        <v>0.65136700000000003</v>
      </c>
      <c r="AD236">
        <f t="shared" si="40"/>
        <v>17.440246913580246</v>
      </c>
      <c r="AE236">
        <f t="shared" si="41"/>
        <v>11.37118050962963</v>
      </c>
      <c r="AF236" s="9"/>
      <c r="AG236" s="21">
        <v>1.03806</v>
      </c>
      <c r="AH236" s="21">
        <v>20.432600000000001</v>
      </c>
      <c r="AI236" s="21">
        <v>-1.38916E-2</v>
      </c>
      <c r="AJ236" s="21">
        <v>226</v>
      </c>
      <c r="AK236" s="21">
        <v>1.0376000000000001</v>
      </c>
      <c r="AL236">
        <f t="shared" si="42"/>
        <v>17.150123456790123</v>
      </c>
      <c r="AM236">
        <f t="shared" si="43"/>
        <v>17.802857155555554</v>
      </c>
      <c r="AP236" s="9"/>
      <c r="AQ236" s="21">
        <v>0.65200800000000003</v>
      </c>
      <c r="AR236" s="21">
        <v>25.870799999999999</v>
      </c>
      <c r="AS236" s="21">
        <v>-1.4047199999999999E-2</v>
      </c>
      <c r="AT236" s="21">
        <v>226</v>
      </c>
      <c r="AU236" s="21">
        <v>0.65139800000000003</v>
      </c>
      <c r="AV236">
        <f t="shared" si="44"/>
        <v>17.342222222222222</v>
      </c>
      <c r="AW236">
        <f t="shared" si="45"/>
        <v>11.307267626666667</v>
      </c>
      <c r="AX236" s="9"/>
      <c r="AY236" s="21">
        <v>1.03806</v>
      </c>
      <c r="AZ236" s="21">
        <v>29.669799999999999</v>
      </c>
      <c r="BA236" s="21">
        <v>-1.37421E-2</v>
      </c>
      <c r="BB236" s="21">
        <v>226</v>
      </c>
      <c r="BC236" s="21">
        <v>1.03668</v>
      </c>
      <c r="BD236">
        <f t="shared" si="46"/>
        <v>16.965555555555554</v>
      </c>
      <c r="BE236">
        <f t="shared" si="47"/>
        <v>17.611264599999998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7.2824400000000002</v>
      </c>
      <c r="I237" s="21">
        <v>-1.4093E-2</v>
      </c>
      <c r="J237" s="21">
        <v>227</v>
      </c>
      <c r="K237" s="21">
        <v>0.64627100000000004</v>
      </c>
      <c r="L237">
        <f t="shared" si="36"/>
        <v>17.398765432098763</v>
      </c>
      <c r="M237">
        <f t="shared" si="37"/>
        <v>11.256531467901233</v>
      </c>
      <c r="N237" s="9"/>
      <c r="O237" s="21">
        <v>1.0430900000000001</v>
      </c>
      <c r="P237" s="21">
        <v>11.0815</v>
      </c>
      <c r="Q237" s="21">
        <v>-1.37421E-2</v>
      </c>
      <c r="R237" s="21">
        <v>227</v>
      </c>
      <c r="S237" s="21">
        <v>1.0424800000000001</v>
      </c>
      <c r="T237">
        <f t="shared" si="38"/>
        <v>16.965555555555554</v>
      </c>
      <c r="U237">
        <f t="shared" si="39"/>
        <v>17.696601344444442</v>
      </c>
      <c r="X237" s="9"/>
      <c r="Y237" s="21">
        <v>0.64697300000000002</v>
      </c>
      <c r="Z237" s="21">
        <v>16.643599999999999</v>
      </c>
      <c r="AA237" s="21">
        <v>-1.4120499999999999E-2</v>
      </c>
      <c r="AB237" s="21">
        <v>227</v>
      </c>
      <c r="AC237" s="21">
        <v>0.646393</v>
      </c>
      <c r="AD237">
        <f t="shared" si="40"/>
        <v>17.432716049382716</v>
      </c>
      <c r="AE237">
        <f t="shared" si="41"/>
        <v>11.278496600617284</v>
      </c>
      <c r="AF237" s="9"/>
      <c r="AG237" s="21">
        <v>1.0430900000000001</v>
      </c>
      <c r="AH237" s="21">
        <v>20.442699999999999</v>
      </c>
      <c r="AI237" s="21">
        <v>-1.38794E-2</v>
      </c>
      <c r="AJ237" s="21">
        <v>227</v>
      </c>
      <c r="AK237" s="21">
        <v>1.0421800000000001</v>
      </c>
      <c r="AL237">
        <f t="shared" si="42"/>
        <v>17.135061728395058</v>
      </c>
      <c r="AM237">
        <f t="shared" si="43"/>
        <v>17.873411538271604</v>
      </c>
      <c r="AP237" s="9"/>
      <c r="AQ237" s="21">
        <v>0.64697300000000002</v>
      </c>
      <c r="AR237" s="21">
        <v>25.8809</v>
      </c>
      <c r="AS237" s="21">
        <v>-1.4041100000000001E-2</v>
      </c>
      <c r="AT237" s="21">
        <v>227</v>
      </c>
      <c r="AU237" s="21">
        <v>0.64633200000000002</v>
      </c>
      <c r="AV237">
        <f t="shared" si="44"/>
        <v>17.334691358024692</v>
      </c>
      <c r="AW237">
        <f t="shared" si="45"/>
        <v>11.215077271975309</v>
      </c>
      <c r="AX237" s="9"/>
      <c r="AY237" s="21">
        <v>1.0430900000000001</v>
      </c>
      <c r="AZ237" s="21">
        <v>29.6799</v>
      </c>
      <c r="BA237" s="21">
        <v>-1.3720700000000001E-2</v>
      </c>
      <c r="BB237" s="21">
        <v>227</v>
      </c>
      <c r="BC237" s="21">
        <v>1.0427900000000001</v>
      </c>
      <c r="BD237">
        <f t="shared" si="46"/>
        <v>16.939135802469135</v>
      </c>
      <c r="BE237">
        <f t="shared" si="47"/>
        <v>17.669043164197532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7.29251</v>
      </c>
      <c r="I238" s="21">
        <v>-1.40961E-2</v>
      </c>
      <c r="J238" s="21">
        <v>228</v>
      </c>
      <c r="K238" s="21">
        <v>0.641266</v>
      </c>
      <c r="L238">
        <f t="shared" si="36"/>
        <v>17.40259259259259</v>
      </c>
      <c r="M238">
        <f t="shared" si="37"/>
        <v>11.17136808111111</v>
      </c>
      <c r="N238" s="9"/>
      <c r="O238" s="21">
        <v>1.04813</v>
      </c>
      <c r="P238" s="21">
        <v>11.0916</v>
      </c>
      <c r="Q238" s="21">
        <v>-1.37238E-2</v>
      </c>
      <c r="R238" s="21">
        <v>228</v>
      </c>
      <c r="S238" s="21">
        <v>1.0473600000000001</v>
      </c>
      <c r="T238">
        <f t="shared" si="38"/>
        <v>16.942962962962962</v>
      </c>
      <c r="U238">
        <f t="shared" si="39"/>
        <v>17.758427770370371</v>
      </c>
      <c r="X238" s="9"/>
      <c r="Y238" s="21">
        <v>0.64193699999999998</v>
      </c>
      <c r="Z238" s="21">
        <v>16.653700000000001</v>
      </c>
      <c r="AA238" s="21">
        <v>-1.4114399999999999E-2</v>
      </c>
      <c r="AB238" s="21">
        <v>228</v>
      </c>
      <c r="AC238" s="21">
        <v>0.64129599999999998</v>
      </c>
      <c r="AD238">
        <f t="shared" si="40"/>
        <v>17.425185185185182</v>
      </c>
      <c r="AE238">
        <f t="shared" si="41"/>
        <v>11.185871102222219</v>
      </c>
      <c r="AF238" s="9"/>
      <c r="AG238" s="21">
        <v>1.04813</v>
      </c>
      <c r="AH238" s="21">
        <v>20.4527</v>
      </c>
      <c r="AI238" s="21">
        <v>-1.38672E-2</v>
      </c>
      <c r="AJ238" s="21">
        <v>228</v>
      </c>
      <c r="AK238" s="21">
        <v>1.0467500000000001</v>
      </c>
      <c r="AL238">
        <f t="shared" si="42"/>
        <v>17.12</v>
      </c>
      <c r="AM238">
        <f t="shared" si="43"/>
        <v>17.943985600000001</v>
      </c>
      <c r="AP238" s="9"/>
      <c r="AQ238" s="21">
        <v>0.64193699999999998</v>
      </c>
      <c r="AR238" s="21">
        <v>25.890899999999998</v>
      </c>
      <c r="AS238" s="21">
        <v>-1.40442E-2</v>
      </c>
      <c r="AT238" s="21">
        <v>228</v>
      </c>
      <c r="AU238" s="21">
        <v>0.641235</v>
      </c>
      <c r="AV238">
        <f t="shared" si="44"/>
        <v>17.338518518518516</v>
      </c>
      <c r="AW238">
        <f t="shared" si="45"/>
        <v>11.130236562222221</v>
      </c>
      <c r="AX238" s="9"/>
      <c r="AY238" s="21">
        <v>1.04813</v>
      </c>
      <c r="AZ238" s="21">
        <v>29.69</v>
      </c>
      <c r="BA238" s="21">
        <v>-1.37115E-2</v>
      </c>
      <c r="BB238" s="21">
        <v>228</v>
      </c>
      <c r="BC238" s="21">
        <v>1.0470600000000001</v>
      </c>
      <c r="BD238">
        <f t="shared" si="46"/>
        <v>16.927777777777777</v>
      </c>
      <c r="BE238">
        <f t="shared" si="47"/>
        <v>17.742511722222222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7.3025799999999998</v>
      </c>
      <c r="I239" s="21">
        <v>-1.4093E-2</v>
      </c>
      <c r="J239" s="21">
        <v>229</v>
      </c>
      <c r="K239" s="21">
        <v>0.63622999999999996</v>
      </c>
      <c r="L239">
        <f t="shared" si="36"/>
        <v>17.398765432098763</v>
      </c>
      <c r="M239">
        <f t="shared" si="37"/>
        <v>11.081308501234567</v>
      </c>
      <c r="N239" s="9"/>
      <c r="O239" s="21">
        <v>1.0531600000000001</v>
      </c>
      <c r="P239" s="21">
        <v>11.101599999999999</v>
      </c>
      <c r="Q239" s="21">
        <v>-1.37146E-2</v>
      </c>
      <c r="R239" s="21">
        <v>229</v>
      </c>
      <c r="S239" s="21">
        <v>1.0522499999999999</v>
      </c>
      <c r="T239">
        <f t="shared" si="38"/>
        <v>16.931604938271605</v>
      </c>
      <c r="U239">
        <f t="shared" si="39"/>
        <v>17.831689056790125</v>
      </c>
      <c r="X239" s="9"/>
      <c r="Y239" s="21">
        <v>0.63690199999999997</v>
      </c>
      <c r="Z239" s="21">
        <v>16.663799999999998</v>
      </c>
      <c r="AA239" s="21">
        <v>-1.41113E-2</v>
      </c>
      <c r="AB239" s="21">
        <v>229</v>
      </c>
      <c r="AC239" s="21">
        <v>0.63622999999999996</v>
      </c>
      <c r="AD239">
        <f t="shared" si="40"/>
        <v>17.421358024691358</v>
      </c>
      <c r="AE239">
        <f t="shared" si="41"/>
        <v>11.095697768641974</v>
      </c>
      <c r="AF239" s="9"/>
      <c r="AG239" s="21">
        <v>1.0531600000000001</v>
      </c>
      <c r="AH239" s="21">
        <v>20.462800000000001</v>
      </c>
      <c r="AI239" s="21">
        <v>-1.3848900000000001E-2</v>
      </c>
      <c r="AJ239" s="21">
        <v>229</v>
      </c>
      <c r="AK239" s="21">
        <v>1.0519400000000001</v>
      </c>
      <c r="AL239">
        <f t="shared" si="42"/>
        <v>17.09740740740741</v>
      </c>
      <c r="AM239">
        <f t="shared" si="43"/>
        <v>18.006305585185189</v>
      </c>
      <c r="AP239" s="9"/>
      <c r="AQ239" s="21">
        <v>0.63690199999999997</v>
      </c>
      <c r="AR239" s="21">
        <v>25.901</v>
      </c>
      <c r="AS239" s="21">
        <v>-1.40442E-2</v>
      </c>
      <c r="AT239" s="21">
        <v>229</v>
      </c>
      <c r="AU239" s="21">
        <v>0.63619999999999999</v>
      </c>
      <c r="AV239">
        <f t="shared" si="44"/>
        <v>17.338518518518516</v>
      </c>
      <c r="AW239">
        <f t="shared" si="45"/>
        <v>11.042937121481479</v>
      </c>
      <c r="AX239" s="9"/>
      <c r="AY239" s="21">
        <v>1.0531600000000001</v>
      </c>
      <c r="AZ239" s="21">
        <v>29.7</v>
      </c>
      <c r="BA239" s="21">
        <v>-1.37054E-2</v>
      </c>
      <c r="BB239" s="21">
        <v>229</v>
      </c>
      <c r="BC239" s="21">
        <v>1.0516399999999999</v>
      </c>
      <c r="BD239">
        <f t="shared" si="46"/>
        <v>16.920246913580247</v>
      </c>
      <c r="BE239">
        <f t="shared" si="47"/>
        <v>17.819727239506175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7.3126499999999997</v>
      </c>
      <c r="I240" s="21">
        <v>-1.409E-2</v>
      </c>
      <c r="J240" s="21">
        <v>230</v>
      </c>
      <c r="K240" s="21">
        <v>0.63125600000000004</v>
      </c>
      <c r="L240">
        <f t="shared" si="36"/>
        <v>17.39506172839506</v>
      </c>
      <c r="M240">
        <f t="shared" si="37"/>
        <v>10.991348074074073</v>
      </c>
      <c r="N240" s="9"/>
      <c r="O240" s="21">
        <v>1.0582</v>
      </c>
      <c r="P240" s="21">
        <v>11.111700000000001</v>
      </c>
      <c r="Q240" s="21">
        <v>-1.37115E-2</v>
      </c>
      <c r="R240" s="21">
        <v>230</v>
      </c>
      <c r="S240" s="21">
        <v>1.0568200000000001</v>
      </c>
      <c r="T240">
        <f t="shared" si="38"/>
        <v>16.927777777777777</v>
      </c>
      <c r="U240">
        <f t="shared" si="39"/>
        <v>17.912974444444444</v>
      </c>
      <c r="X240" s="9"/>
      <c r="Y240" s="21">
        <v>0.63186600000000004</v>
      </c>
      <c r="Z240" s="21">
        <v>16.6738</v>
      </c>
      <c r="AA240" s="21">
        <v>-1.4114399999999999E-2</v>
      </c>
      <c r="AB240" s="21">
        <v>230</v>
      </c>
      <c r="AC240" s="21">
        <v>0.63122599999999995</v>
      </c>
      <c r="AD240">
        <f t="shared" si="40"/>
        <v>17.425185185185182</v>
      </c>
      <c r="AE240">
        <f t="shared" si="41"/>
        <v>11.01038206222222</v>
      </c>
      <c r="AF240" s="9"/>
      <c r="AG240" s="21">
        <v>1.0582</v>
      </c>
      <c r="AH240" s="21">
        <v>20.472899999999999</v>
      </c>
      <c r="AI240" s="21">
        <v>-1.38397E-2</v>
      </c>
      <c r="AJ240" s="21">
        <v>230</v>
      </c>
      <c r="AK240" s="21">
        <v>1.0568200000000001</v>
      </c>
      <c r="AL240">
        <f t="shared" si="42"/>
        <v>17.086049382716048</v>
      </c>
      <c r="AM240">
        <f t="shared" si="43"/>
        <v>18.080457456790121</v>
      </c>
      <c r="AP240" s="9"/>
      <c r="AQ240" s="21">
        <v>0.63186600000000004</v>
      </c>
      <c r="AR240" s="21">
        <v>25.911100000000001</v>
      </c>
      <c r="AS240" s="21">
        <v>-1.40594E-2</v>
      </c>
      <c r="AT240" s="21">
        <v>230</v>
      </c>
      <c r="AU240" s="21">
        <v>0.63113399999999997</v>
      </c>
      <c r="AV240">
        <f t="shared" si="44"/>
        <v>17.357283950617283</v>
      </c>
      <c r="AW240">
        <f t="shared" si="45"/>
        <v>10.967477580740741</v>
      </c>
      <c r="AX240" s="9"/>
      <c r="AY240" s="21">
        <v>1.0582</v>
      </c>
      <c r="AZ240" s="21">
        <v>29.710100000000001</v>
      </c>
      <c r="BA240" s="21">
        <v>-1.37085E-2</v>
      </c>
      <c r="BB240" s="21">
        <v>230</v>
      </c>
      <c r="BC240" s="21">
        <v>1.0571299999999999</v>
      </c>
      <c r="BD240">
        <f t="shared" si="46"/>
        <v>16.924074074074074</v>
      </c>
      <c r="BE240">
        <f t="shared" si="47"/>
        <v>17.909055185185185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7.3227200000000003</v>
      </c>
      <c r="I241" s="21">
        <v>-1.4093E-2</v>
      </c>
      <c r="J241" s="21">
        <v>231</v>
      </c>
      <c r="K241" s="21">
        <v>0.62619000000000002</v>
      </c>
      <c r="L241">
        <f t="shared" si="36"/>
        <v>17.398765432098763</v>
      </c>
      <c r="M241">
        <f t="shared" si="37"/>
        <v>10.9060855345679</v>
      </c>
      <c r="N241" s="9"/>
      <c r="O241" s="21">
        <v>1.0632299999999999</v>
      </c>
      <c r="P241" s="21">
        <v>11.1218</v>
      </c>
      <c r="Q241" s="21">
        <v>-1.3699299999999999E-2</v>
      </c>
      <c r="R241" s="21">
        <v>231</v>
      </c>
      <c r="S241" s="21">
        <v>1.0623199999999999</v>
      </c>
      <c r="T241">
        <f t="shared" si="38"/>
        <v>16.912716049382716</v>
      </c>
      <c r="U241">
        <f t="shared" si="39"/>
        <v>17.982107085185184</v>
      </c>
      <c r="X241" s="9"/>
      <c r="Y241" s="21">
        <v>0.62683100000000003</v>
      </c>
      <c r="Z241" s="21">
        <v>16.683900000000001</v>
      </c>
      <c r="AA241" s="21">
        <v>-1.4123500000000001E-2</v>
      </c>
      <c r="AB241" s="21">
        <v>231</v>
      </c>
      <c r="AC241" s="21">
        <v>0.62622100000000003</v>
      </c>
      <c r="AD241">
        <f t="shared" si="40"/>
        <v>17.436419753086419</v>
      </c>
      <c r="AE241">
        <f t="shared" si="41"/>
        <v>10.929688430246914</v>
      </c>
      <c r="AF241" s="9"/>
      <c r="AG241" s="21">
        <v>1.0632299999999999</v>
      </c>
      <c r="AH241" s="21">
        <v>20.483000000000001</v>
      </c>
      <c r="AI241" s="21">
        <v>-1.38336E-2</v>
      </c>
      <c r="AJ241" s="21">
        <v>231</v>
      </c>
      <c r="AK241" s="21">
        <v>1.0632299999999999</v>
      </c>
      <c r="AL241">
        <f t="shared" si="42"/>
        <v>17.078518518518518</v>
      </c>
      <c r="AM241">
        <f t="shared" si="43"/>
        <v>18.158393244444444</v>
      </c>
      <c r="AP241" s="9"/>
      <c r="AQ241" s="21">
        <v>0.62683100000000003</v>
      </c>
      <c r="AR241" s="21">
        <v>25.921099999999999</v>
      </c>
      <c r="AS241" s="21">
        <v>-1.4068600000000001E-2</v>
      </c>
      <c r="AT241" s="21">
        <v>231</v>
      </c>
      <c r="AU241" s="21">
        <v>0.626251</v>
      </c>
      <c r="AV241">
        <f t="shared" si="44"/>
        <v>17.368641975308641</v>
      </c>
      <c r="AW241">
        <f t="shared" si="45"/>
        <v>10.887203218024691</v>
      </c>
      <c r="AX241" s="9"/>
      <c r="AY241" s="21">
        <v>1.0632299999999999</v>
      </c>
      <c r="AZ241" s="21">
        <v>29.720199999999998</v>
      </c>
      <c r="BA241" s="21">
        <v>-1.37024E-2</v>
      </c>
      <c r="BB241" s="21">
        <v>231</v>
      </c>
      <c r="BC241" s="21">
        <v>1.0623199999999999</v>
      </c>
      <c r="BD241">
        <f t="shared" si="46"/>
        <v>16.916543209876544</v>
      </c>
      <c r="BE241">
        <f t="shared" si="47"/>
        <v>17.986176237037036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7.3327900000000001</v>
      </c>
      <c r="I242" s="21">
        <v>-1.41022E-2</v>
      </c>
      <c r="J242" s="21">
        <v>232</v>
      </c>
      <c r="K242" s="21">
        <v>0.62115500000000001</v>
      </c>
      <c r="L242">
        <f t="shared" si="36"/>
        <v>17.410123456790124</v>
      </c>
      <c r="M242">
        <f t="shared" si="37"/>
        <v>10.825545124938273</v>
      </c>
      <c r="N242" s="9"/>
      <c r="O242" s="21">
        <v>1.0682700000000001</v>
      </c>
      <c r="P242" s="21">
        <v>11.1318</v>
      </c>
      <c r="Q242" s="21">
        <v>-1.3693200000000001E-2</v>
      </c>
      <c r="R242" s="21">
        <v>232</v>
      </c>
      <c r="S242" s="21">
        <v>1.0674999999999999</v>
      </c>
      <c r="T242">
        <f t="shared" si="38"/>
        <v>16.905185185185186</v>
      </c>
      <c r="U242">
        <f t="shared" si="39"/>
        <v>18.059302177777781</v>
      </c>
      <c r="X242" s="9"/>
      <c r="Y242" s="21">
        <v>0.62179600000000002</v>
      </c>
      <c r="Z242" s="21">
        <v>16.693999999999999</v>
      </c>
      <c r="AA242" s="21">
        <v>-1.41266E-2</v>
      </c>
      <c r="AB242" s="21">
        <v>232</v>
      </c>
      <c r="AC242" s="21">
        <v>0.62109400000000003</v>
      </c>
      <c r="AD242">
        <f t="shared" si="40"/>
        <v>17.440246913580246</v>
      </c>
      <c r="AE242">
        <f t="shared" si="41"/>
        <v>10.844275769876543</v>
      </c>
      <c r="AF242" s="9"/>
      <c r="AG242" s="21">
        <v>1.0682700000000001</v>
      </c>
      <c r="AH242" s="21">
        <v>20.492999999999999</v>
      </c>
      <c r="AI242" s="21">
        <v>-1.3815300000000001E-2</v>
      </c>
      <c r="AJ242" s="21">
        <v>232</v>
      </c>
      <c r="AK242" s="21">
        <v>1.0674999999999999</v>
      </c>
      <c r="AL242">
        <f t="shared" si="42"/>
        <v>17.055925925925926</v>
      </c>
      <c r="AM242">
        <f t="shared" si="43"/>
        <v>18.220333988888889</v>
      </c>
      <c r="AP242" s="9"/>
      <c r="AQ242" s="21">
        <v>0.62179600000000002</v>
      </c>
      <c r="AR242" s="21">
        <v>25.9312</v>
      </c>
      <c r="AS242" s="21">
        <v>-1.4074700000000001E-2</v>
      </c>
      <c r="AT242" s="21">
        <v>232</v>
      </c>
      <c r="AU242" s="21">
        <v>0.62121599999999999</v>
      </c>
      <c r="AV242">
        <f t="shared" si="44"/>
        <v>17.376172839506172</v>
      </c>
      <c r="AW242">
        <f t="shared" si="45"/>
        <v>10.80443476691358</v>
      </c>
      <c r="AX242" s="9"/>
      <c r="AY242" s="21">
        <v>1.0682700000000001</v>
      </c>
      <c r="AZ242" s="21">
        <v>29.7303</v>
      </c>
      <c r="BA242" s="21">
        <v>-1.3693200000000001E-2</v>
      </c>
      <c r="BB242" s="21">
        <v>232</v>
      </c>
      <c r="BC242" s="21">
        <v>1.0674999999999999</v>
      </c>
      <c r="BD242">
        <f t="shared" si="46"/>
        <v>16.905185185185186</v>
      </c>
      <c r="BE242">
        <f t="shared" si="47"/>
        <v>18.059302177777781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7.3428699999999996</v>
      </c>
      <c r="I243" s="21">
        <v>-1.41052E-2</v>
      </c>
      <c r="J243" s="21">
        <v>233</v>
      </c>
      <c r="K243" s="21">
        <v>0.61611899999999997</v>
      </c>
      <c r="L243">
        <f t="shared" si="36"/>
        <v>17.413827160493828</v>
      </c>
      <c r="M243">
        <f t="shared" si="37"/>
        <v>10.740152039506173</v>
      </c>
      <c r="N243" s="9"/>
      <c r="O243" s="21">
        <v>1.0732999999999999</v>
      </c>
      <c r="P243" s="21">
        <v>11.1419</v>
      </c>
      <c r="Q243" s="21">
        <v>-1.36902E-2</v>
      </c>
      <c r="R243" s="21">
        <v>233</v>
      </c>
      <c r="S243" s="21">
        <v>1.07239</v>
      </c>
      <c r="T243">
        <f t="shared" si="38"/>
        <v>16.901481481481479</v>
      </c>
      <c r="U243">
        <f t="shared" si="39"/>
        <v>18.140360074074071</v>
      </c>
      <c r="X243" s="9"/>
      <c r="Y243" s="21">
        <v>0.61675999999999997</v>
      </c>
      <c r="Z243" s="21">
        <v>16.7041</v>
      </c>
      <c r="AA243" s="21">
        <v>-1.41327E-2</v>
      </c>
      <c r="AB243" s="21">
        <v>233</v>
      </c>
      <c r="AC243" s="21">
        <v>0.616089</v>
      </c>
      <c r="AD243">
        <f t="shared" si="40"/>
        <v>17.447777777777777</v>
      </c>
      <c r="AE243">
        <f t="shared" si="41"/>
        <v>10.76109142222222</v>
      </c>
      <c r="AF243" s="9"/>
      <c r="AG243" s="21">
        <v>1.0732999999999999</v>
      </c>
      <c r="AH243" s="21">
        <v>20.5031</v>
      </c>
      <c r="AI243" s="21">
        <v>-1.3806199999999999E-2</v>
      </c>
      <c r="AJ243" s="21">
        <v>233</v>
      </c>
      <c r="AK243" s="21">
        <v>1.0726899999999999</v>
      </c>
      <c r="AL243">
        <f t="shared" si="42"/>
        <v>17.044691358024689</v>
      </c>
      <c r="AM243">
        <f t="shared" si="43"/>
        <v>18.294067234567898</v>
      </c>
      <c r="AP243" s="9"/>
      <c r="AQ243" s="21">
        <v>0.61675999999999997</v>
      </c>
      <c r="AR243" s="21">
        <v>25.941299999999998</v>
      </c>
      <c r="AS243" s="21">
        <v>-1.40839E-2</v>
      </c>
      <c r="AT243" s="21">
        <v>233</v>
      </c>
      <c r="AU243" s="21">
        <v>0.61614999999999998</v>
      </c>
      <c r="AV243">
        <f t="shared" si="44"/>
        <v>17.387530864197529</v>
      </c>
      <c r="AW243">
        <f t="shared" si="45"/>
        <v>10.723933535802468</v>
      </c>
      <c r="AX243" s="9"/>
      <c r="AY243" s="21">
        <v>1.0732999999999999</v>
      </c>
      <c r="AZ243" s="21">
        <v>29.740300000000001</v>
      </c>
      <c r="BA243" s="21">
        <v>-1.36902E-2</v>
      </c>
      <c r="BB243" s="21">
        <v>233</v>
      </c>
      <c r="BC243" s="21">
        <v>1.0720799999999999</v>
      </c>
      <c r="BD243">
        <f t="shared" si="46"/>
        <v>16.901481481481479</v>
      </c>
      <c r="BE243">
        <f t="shared" si="47"/>
        <v>18.140360074074071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7.3529400000000003</v>
      </c>
      <c r="I244" s="21">
        <v>-1.41022E-2</v>
      </c>
      <c r="J244" s="21">
        <v>234</v>
      </c>
      <c r="K244" s="21">
        <v>0.61105299999999996</v>
      </c>
      <c r="L244">
        <f t="shared" si="36"/>
        <v>17.410123456790124</v>
      </c>
      <c r="M244">
        <f t="shared" si="37"/>
        <v>10.650207771604938</v>
      </c>
      <c r="N244" s="9"/>
      <c r="O244" s="21">
        <v>1.0783400000000001</v>
      </c>
      <c r="P244" s="21">
        <v>11.151999999999999</v>
      </c>
      <c r="Q244" s="21">
        <v>-1.3693200000000001E-2</v>
      </c>
      <c r="R244" s="21">
        <v>234</v>
      </c>
      <c r="S244" s="21">
        <v>1.07758</v>
      </c>
      <c r="T244">
        <f t="shared" si="38"/>
        <v>16.905185185185186</v>
      </c>
      <c r="U244">
        <f t="shared" si="39"/>
        <v>18.229537392592594</v>
      </c>
      <c r="X244" s="9"/>
      <c r="Y244" s="21">
        <v>0.61172499999999996</v>
      </c>
      <c r="Z244" s="21">
        <v>16.714099999999998</v>
      </c>
      <c r="AA244" s="21">
        <v>-1.41327E-2</v>
      </c>
      <c r="AB244" s="21">
        <v>234</v>
      </c>
      <c r="AC244" s="21">
        <v>0.61105299999999996</v>
      </c>
      <c r="AD244">
        <f t="shared" si="40"/>
        <v>17.447777777777777</v>
      </c>
      <c r="AE244">
        <f t="shared" si="41"/>
        <v>10.67324186111111</v>
      </c>
      <c r="AF244" s="9"/>
      <c r="AG244" s="21">
        <v>1.0783400000000001</v>
      </c>
      <c r="AH244" s="21">
        <v>20.513200000000001</v>
      </c>
      <c r="AI244" s="21">
        <v>-1.37909E-2</v>
      </c>
      <c r="AJ244" s="21">
        <v>234</v>
      </c>
      <c r="AK244" s="21">
        <v>1.0772699999999999</v>
      </c>
      <c r="AL244">
        <f t="shared" si="42"/>
        <v>17.025802469135801</v>
      </c>
      <c r="AM244">
        <f t="shared" si="43"/>
        <v>18.359603834567903</v>
      </c>
      <c r="AP244" s="9"/>
      <c r="AQ244" s="21">
        <v>0.61172499999999996</v>
      </c>
      <c r="AR244" s="21">
        <v>25.9514</v>
      </c>
      <c r="AS244" s="21">
        <v>-1.409E-2</v>
      </c>
      <c r="AT244" s="21">
        <v>234</v>
      </c>
      <c r="AU244" s="21">
        <v>0.61105299999999996</v>
      </c>
      <c r="AV244">
        <f t="shared" si="44"/>
        <v>17.39506172839506</v>
      </c>
      <c r="AW244">
        <f t="shared" si="45"/>
        <v>10.640994135802467</v>
      </c>
      <c r="AX244" s="9"/>
      <c r="AY244" s="21">
        <v>1.0783400000000001</v>
      </c>
      <c r="AZ244" s="21">
        <v>29.750399999999999</v>
      </c>
      <c r="BA244" s="21">
        <v>-1.3681E-2</v>
      </c>
      <c r="BB244" s="21">
        <v>234</v>
      </c>
      <c r="BC244" s="21">
        <v>1.0772699999999999</v>
      </c>
      <c r="BD244">
        <f t="shared" si="46"/>
        <v>16.890123456790121</v>
      </c>
      <c r="BE244">
        <f t="shared" si="47"/>
        <v>18.21329572839506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7.3630100000000001</v>
      </c>
      <c r="I245" s="21">
        <v>-1.41052E-2</v>
      </c>
      <c r="J245" s="21">
        <v>235</v>
      </c>
      <c r="K245" s="21">
        <v>0.60607900000000003</v>
      </c>
      <c r="L245">
        <f t="shared" si="36"/>
        <v>17.413827160493828</v>
      </c>
      <c r="M245">
        <f t="shared" si="37"/>
        <v>10.564777386172841</v>
      </c>
      <c r="N245" s="9"/>
      <c r="O245" s="21">
        <v>1.0833699999999999</v>
      </c>
      <c r="P245" s="21">
        <v>11.162100000000001</v>
      </c>
      <c r="Q245" s="21">
        <v>-1.36688E-2</v>
      </c>
      <c r="R245" s="21">
        <v>235</v>
      </c>
      <c r="S245" s="21">
        <v>1.08246</v>
      </c>
      <c r="T245">
        <f t="shared" si="38"/>
        <v>16.87506172839506</v>
      </c>
      <c r="U245">
        <f t="shared" si="39"/>
        <v>18.281935624691357</v>
      </c>
      <c r="X245" s="9"/>
      <c r="Y245" s="21">
        <v>0.60668900000000003</v>
      </c>
      <c r="Z245" s="21">
        <v>16.7242</v>
      </c>
      <c r="AA245" s="21">
        <v>-1.41266E-2</v>
      </c>
      <c r="AB245" s="21">
        <v>235</v>
      </c>
      <c r="AC245" s="21">
        <v>0.60617100000000002</v>
      </c>
      <c r="AD245">
        <f t="shared" si="40"/>
        <v>17.440246913580246</v>
      </c>
      <c r="AE245">
        <f t="shared" si="41"/>
        <v>10.580805959753087</v>
      </c>
      <c r="AF245" s="9"/>
      <c r="AG245" s="21">
        <v>1.0833699999999999</v>
      </c>
      <c r="AH245" s="21">
        <v>20.523199999999999</v>
      </c>
      <c r="AI245" s="21">
        <v>-1.37787E-2</v>
      </c>
      <c r="AJ245" s="21">
        <v>235</v>
      </c>
      <c r="AK245" s="21">
        <v>1.08307</v>
      </c>
      <c r="AL245">
        <f t="shared" si="42"/>
        <v>17.01074074074074</v>
      </c>
      <c r="AM245">
        <f t="shared" si="43"/>
        <v>18.428926196296295</v>
      </c>
      <c r="AP245" s="9"/>
      <c r="AQ245" s="21">
        <v>0.60668900000000003</v>
      </c>
      <c r="AR245" s="21">
        <v>25.961400000000001</v>
      </c>
      <c r="AS245" s="21">
        <v>-1.40991E-2</v>
      </c>
      <c r="AT245" s="21">
        <v>235</v>
      </c>
      <c r="AU245" s="21">
        <v>0.60595699999999997</v>
      </c>
      <c r="AV245">
        <f t="shared" si="44"/>
        <v>17.406296296296293</v>
      </c>
      <c r="AW245">
        <f t="shared" si="45"/>
        <v>10.560208493703703</v>
      </c>
      <c r="AX245" s="9"/>
      <c r="AY245" s="21">
        <v>1.0833699999999999</v>
      </c>
      <c r="AZ245" s="21">
        <v>29.7605</v>
      </c>
      <c r="BA245" s="21">
        <v>-1.3665800000000001E-2</v>
      </c>
      <c r="BB245" s="21">
        <v>235</v>
      </c>
      <c r="BC245" s="21">
        <v>1.0827599999999999</v>
      </c>
      <c r="BD245">
        <f t="shared" si="46"/>
        <v>16.871358024691357</v>
      </c>
      <c r="BE245">
        <f t="shared" si="47"/>
        <v>18.277923143209875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7.3730799999999999</v>
      </c>
      <c r="I246" s="21">
        <v>-1.41113E-2</v>
      </c>
      <c r="J246" s="21">
        <v>236</v>
      </c>
      <c r="K246" s="21">
        <v>0.60116599999999998</v>
      </c>
      <c r="L246">
        <f t="shared" si="36"/>
        <v>17.421358024691358</v>
      </c>
      <c r="M246">
        <f t="shared" si="37"/>
        <v>10.481629740987655</v>
      </c>
      <c r="N246" s="9"/>
      <c r="O246" s="21">
        <v>1.0884100000000001</v>
      </c>
      <c r="P246" s="21">
        <v>11.1721</v>
      </c>
      <c r="Q246" s="21">
        <v>-1.36536E-2</v>
      </c>
      <c r="R246" s="21">
        <v>236</v>
      </c>
      <c r="S246" s="21">
        <v>1.08704</v>
      </c>
      <c r="T246">
        <f t="shared" si="38"/>
        <v>16.856296296296296</v>
      </c>
      <c r="U246">
        <f t="shared" si="39"/>
        <v>18.346561451851855</v>
      </c>
      <c r="X246" s="9"/>
      <c r="Y246" s="21">
        <v>0.60165400000000002</v>
      </c>
      <c r="Z246" s="21">
        <v>16.734300000000001</v>
      </c>
      <c r="AA246" s="21">
        <v>-1.4120499999999999E-2</v>
      </c>
      <c r="AB246" s="21">
        <v>236</v>
      </c>
      <c r="AC246" s="21">
        <v>0.60104400000000002</v>
      </c>
      <c r="AD246">
        <f t="shared" si="40"/>
        <v>17.432716049382716</v>
      </c>
      <c r="AE246">
        <f t="shared" si="41"/>
        <v>10.48846334197531</v>
      </c>
      <c r="AF246" s="9"/>
      <c r="AG246" s="21">
        <v>1.0884100000000001</v>
      </c>
      <c r="AH246" s="21">
        <v>20.533300000000001</v>
      </c>
      <c r="AI246" s="21">
        <v>-1.37695E-2</v>
      </c>
      <c r="AJ246" s="21">
        <v>236</v>
      </c>
      <c r="AK246" s="21">
        <v>1.08734</v>
      </c>
      <c r="AL246">
        <f t="shared" si="42"/>
        <v>16.999382716049382</v>
      </c>
      <c r="AM246">
        <f t="shared" si="43"/>
        <v>18.502298141975309</v>
      </c>
      <c r="AP246" s="9"/>
      <c r="AQ246" s="21">
        <v>0.60165400000000002</v>
      </c>
      <c r="AR246" s="21">
        <v>25.971499999999999</v>
      </c>
      <c r="AS246" s="21">
        <v>-1.409E-2</v>
      </c>
      <c r="AT246" s="21">
        <v>236</v>
      </c>
      <c r="AU246" s="21">
        <v>0.60098300000000004</v>
      </c>
      <c r="AV246">
        <f t="shared" si="44"/>
        <v>17.39506172839506</v>
      </c>
      <c r="AW246">
        <f t="shared" si="45"/>
        <v>10.465808469135801</v>
      </c>
      <c r="AX246" s="9"/>
      <c r="AY246" s="21">
        <v>1.0884100000000001</v>
      </c>
      <c r="AZ246" s="21">
        <v>29.770499999999998</v>
      </c>
      <c r="BA246" s="21">
        <v>-1.3650499999999999E-2</v>
      </c>
      <c r="BB246" s="21">
        <v>236</v>
      </c>
      <c r="BC246" s="21">
        <v>1.08765</v>
      </c>
      <c r="BD246">
        <f t="shared" si="46"/>
        <v>16.852469135802469</v>
      </c>
      <c r="BE246">
        <f t="shared" si="47"/>
        <v>18.342395932098768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7.3831499999999997</v>
      </c>
      <c r="I247" s="21">
        <v>-1.4108300000000001E-2</v>
      </c>
      <c r="J247" s="21">
        <v>237</v>
      </c>
      <c r="K247" s="21">
        <v>0.59591700000000003</v>
      </c>
      <c r="L247">
        <f t="shared" si="36"/>
        <v>17.417654320987655</v>
      </c>
      <c r="M247">
        <f t="shared" si="37"/>
        <v>10.391703503333334</v>
      </c>
      <c r="N247" s="9"/>
      <c r="O247" s="21">
        <v>1.09344</v>
      </c>
      <c r="P247" s="21">
        <v>11.1822</v>
      </c>
      <c r="Q247" s="21">
        <v>-1.36597E-2</v>
      </c>
      <c r="R247" s="21">
        <v>237</v>
      </c>
      <c r="S247" s="21">
        <v>1.09253</v>
      </c>
      <c r="T247">
        <f t="shared" si="38"/>
        <v>16.863827160493827</v>
      </c>
      <c r="U247">
        <f t="shared" si="39"/>
        <v>18.439583170370369</v>
      </c>
      <c r="X247" s="9"/>
      <c r="Y247" s="21">
        <v>0.59661900000000001</v>
      </c>
      <c r="Z247" s="21">
        <v>16.744299999999999</v>
      </c>
      <c r="AA247" s="21">
        <v>-1.4123500000000001E-2</v>
      </c>
      <c r="AB247" s="21">
        <v>237</v>
      </c>
      <c r="AC247" s="21">
        <v>0.59600799999999998</v>
      </c>
      <c r="AD247">
        <f t="shared" si="40"/>
        <v>17.436419753086419</v>
      </c>
      <c r="AE247">
        <f t="shared" si="41"/>
        <v>10.402899316666666</v>
      </c>
      <c r="AF247" s="9"/>
      <c r="AG247" s="21">
        <v>1.09344</v>
      </c>
      <c r="AH247" s="21">
        <v>20.543399999999998</v>
      </c>
      <c r="AI247" s="21">
        <v>-1.3754300000000001E-2</v>
      </c>
      <c r="AJ247" s="21">
        <v>237</v>
      </c>
      <c r="AK247" s="21">
        <v>1.09253</v>
      </c>
      <c r="AL247">
        <f t="shared" si="42"/>
        <v>16.980617283950615</v>
      </c>
      <c r="AM247">
        <f t="shared" si="43"/>
        <v>18.567286162962958</v>
      </c>
      <c r="AP247" s="9"/>
      <c r="AQ247" s="21">
        <v>0.59661900000000001</v>
      </c>
      <c r="AR247" s="21">
        <v>25.9816</v>
      </c>
      <c r="AS247" s="21">
        <v>-1.4080799999999999E-2</v>
      </c>
      <c r="AT247" s="21">
        <v>237</v>
      </c>
      <c r="AU247" s="21">
        <v>0.59579499999999996</v>
      </c>
      <c r="AV247">
        <f t="shared" si="44"/>
        <v>17.383703703703702</v>
      </c>
      <c r="AW247">
        <f t="shared" si="45"/>
        <v>10.37144792</v>
      </c>
      <c r="AX247" s="9"/>
      <c r="AY247" s="21">
        <v>1.09344</v>
      </c>
      <c r="AZ247" s="21">
        <v>29.7806</v>
      </c>
      <c r="BA247" s="21">
        <v>-1.3638300000000001E-2</v>
      </c>
      <c r="BB247" s="21">
        <v>237</v>
      </c>
      <c r="BC247" s="21">
        <v>1.09283</v>
      </c>
      <c r="BD247">
        <f t="shared" si="46"/>
        <v>16.837407407407408</v>
      </c>
      <c r="BE247">
        <f t="shared" si="47"/>
        <v>18.410694755555557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7.3932200000000003</v>
      </c>
      <c r="I248" s="21">
        <v>-1.4114399999999999E-2</v>
      </c>
      <c r="J248" s="21">
        <v>238</v>
      </c>
      <c r="K248" s="21">
        <v>0.59088099999999999</v>
      </c>
      <c r="L248">
        <f t="shared" si="36"/>
        <v>17.425185185185182</v>
      </c>
      <c r="M248">
        <f t="shared" si="37"/>
        <v>10.308443327407405</v>
      </c>
      <c r="N248" s="9"/>
      <c r="O248" s="21">
        <v>1.0984799999999999</v>
      </c>
      <c r="P248" s="21">
        <v>11.192299999999999</v>
      </c>
      <c r="Q248" s="21">
        <v>-1.36566E-2</v>
      </c>
      <c r="R248" s="21">
        <v>238</v>
      </c>
      <c r="S248" s="21">
        <v>1.09741</v>
      </c>
      <c r="T248">
        <f t="shared" si="38"/>
        <v>16.86</v>
      </c>
      <c r="U248">
        <f t="shared" si="39"/>
        <v>18.520372799999997</v>
      </c>
      <c r="X248" s="9"/>
      <c r="Y248" s="21">
        <v>0.59158299999999997</v>
      </c>
      <c r="Z248" s="21">
        <v>16.7544</v>
      </c>
      <c r="AA248" s="21">
        <v>-1.41266E-2</v>
      </c>
      <c r="AB248" s="21">
        <v>238</v>
      </c>
      <c r="AC248" s="21">
        <v>0.59097299999999997</v>
      </c>
      <c r="AD248">
        <f t="shared" si="40"/>
        <v>17.440246913580246</v>
      </c>
      <c r="AE248">
        <f t="shared" si="41"/>
        <v>10.317353589876543</v>
      </c>
      <c r="AF248" s="9"/>
      <c r="AG248" s="21">
        <v>1.0984799999999999</v>
      </c>
      <c r="AH248" s="21">
        <v>20.5535</v>
      </c>
      <c r="AI248" s="21">
        <v>-1.37482E-2</v>
      </c>
      <c r="AJ248" s="21">
        <v>238</v>
      </c>
      <c r="AK248" s="21">
        <v>1.09802</v>
      </c>
      <c r="AL248">
        <f t="shared" si="42"/>
        <v>16.973086419753084</v>
      </c>
      <c r="AM248">
        <f t="shared" si="43"/>
        <v>18.644595970370368</v>
      </c>
      <c r="AP248" s="9"/>
      <c r="AQ248" s="21">
        <v>0.59158299999999997</v>
      </c>
      <c r="AR248" s="21">
        <v>25.991599999999998</v>
      </c>
      <c r="AS248" s="21">
        <v>-1.40839E-2</v>
      </c>
      <c r="AT248" s="21">
        <v>238</v>
      </c>
      <c r="AU248" s="21">
        <v>0.59091199999999999</v>
      </c>
      <c r="AV248">
        <f t="shared" si="44"/>
        <v>17.387530864197529</v>
      </c>
      <c r="AW248">
        <f t="shared" si="45"/>
        <v>10.286167671234567</v>
      </c>
      <c r="AX248" s="9"/>
      <c r="AY248" s="21">
        <v>1.0984799999999999</v>
      </c>
      <c r="AZ248" s="21">
        <v>29.790700000000001</v>
      </c>
      <c r="BA248" s="21">
        <v>-1.36261E-2</v>
      </c>
      <c r="BB248" s="21">
        <v>238</v>
      </c>
      <c r="BC248" s="21">
        <v>1.09741</v>
      </c>
      <c r="BD248">
        <f t="shared" si="46"/>
        <v>16.822345679012344</v>
      </c>
      <c r="BE248">
        <f t="shared" si="47"/>
        <v>18.479010281481479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7.4032900000000001</v>
      </c>
      <c r="I249" s="21">
        <v>-1.4114399999999999E-2</v>
      </c>
      <c r="J249" s="21">
        <v>239</v>
      </c>
      <c r="K249" s="21">
        <v>0.58590699999999996</v>
      </c>
      <c r="L249">
        <f t="shared" si="36"/>
        <v>17.425185185185182</v>
      </c>
      <c r="M249">
        <f t="shared" si="37"/>
        <v>10.220707519999998</v>
      </c>
      <c r="N249" s="9"/>
      <c r="O249" s="21">
        <v>1.1035200000000001</v>
      </c>
      <c r="P249" s="21">
        <v>11.202299999999999</v>
      </c>
      <c r="Q249" s="21">
        <v>-1.36536E-2</v>
      </c>
      <c r="R249" s="21">
        <v>239</v>
      </c>
      <c r="S249" s="21">
        <v>1.1026</v>
      </c>
      <c r="T249">
        <f t="shared" si="38"/>
        <v>16.856296296296296</v>
      </c>
      <c r="U249">
        <f t="shared" si="39"/>
        <v>18.601260088888889</v>
      </c>
      <c r="X249" s="9"/>
      <c r="Y249" s="21">
        <v>0.58654799999999996</v>
      </c>
      <c r="Z249" s="21">
        <v>16.764500000000002</v>
      </c>
      <c r="AA249" s="21">
        <v>-1.41327E-2</v>
      </c>
      <c r="AB249" s="21">
        <v>239</v>
      </c>
      <c r="AC249" s="21">
        <v>0.58593799999999996</v>
      </c>
      <c r="AD249">
        <f t="shared" si="40"/>
        <v>17.447777777777777</v>
      </c>
      <c r="AE249">
        <f t="shared" si="41"/>
        <v>10.233959159999999</v>
      </c>
      <c r="AF249" s="9"/>
      <c r="AG249" s="21">
        <v>1.1035200000000001</v>
      </c>
      <c r="AH249" s="21">
        <v>20.563500000000001</v>
      </c>
      <c r="AI249" s="21">
        <v>-1.3738999999999999E-2</v>
      </c>
      <c r="AJ249" s="21">
        <v>239</v>
      </c>
      <c r="AK249" s="21">
        <v>1.1026</v>
      </c>
      <c r="AL249">
        <f t="shared" si="42"/>
        <v>16.961728395061726</v>
      </c>
      <c r="AM249">
        <f t="shared" si="43"/>
        <v>18.717606518518519</v>
      </c>
      <c r="AP249" s="9"/>
      <c r="AQ249" s="21">
        <v>0.58654799999999996</v>
      </c>
      <c r="AR249" s="21">
        <v>26.0017</v>
      </c>
      <c r="AS249" s="21">
        <v>-1.4086899999999999E-2</v>
      </c>
      <c r="AT249" s="21">
        <v>239</v>
      </c>
      <c r="AU249" s="21">
        <v>0.58584599999999998</v>
      </c>
      <c r="AV249">
        <f t="shared" si="44"/>
        <v>17.391234567901233</v>
      </c>
      <c r="AW249">
        <f t="shared" si="45"/>
        <v>10.200793853333332</v>
      </c>
      <c r="AX249" s="9"/>
      <c r="AY249" s="21">
        <v>1.1035200000000001</v>
      </c>
      <c r="AZ249" s="21">
        <v>29.800799999999999</v>
      </c>
      <c r="BA249" s="21">
        <v>-1.36139E-2</v>
      </c>
      <c r="BB249" s="21">
        <v>239</v>
      </c>
      <c r="BC249" s="21">
        <v>1.10229</v>
      </c>
      <c r="BD249">
        <f t="shared" si="46"/>
        <v>16.807283950617283</v>
      </c>
      <c r="BE249">
        <f t="shared" si="47"/>
        <v>18.547173985185186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7.4133599999999999</v>
      </c>
      <c r="I250" s="21">
        <v>-1.4114399999999999E-2</v>
      </c>
      <c r="J250" s="21">
        <v>240</v>
      </c>
      <c r="K250" s="21">
        <v>0.58090200000000003</v>
      </c>
      <c r="L250">
        <f t="shared" si="36"/>
        <v>17.425185185185182</v>
      </c>
      <c r="M250">
        <f t="shared" si="37"/>
        <v>10.132954287407406</v>
      </c>
      <c r="N250" s="9"/>
      <c r="O250" s="21">
        <v>1.1085499999999999</v>
      </c>
      <c r="P250" s="21">
        <v>11.212400000000001</v>
      </c>
      <c r="Q250" s="21">
        <v>-1.36627E-2</v>
      </c>
      <c r="R250" s="21">
        <v>240</v>
      </c>
      <c r="S250" s="21">
        <v>1.1077900000000001</v>
      </c>
      <c r="T250">
        <f t="shared" si="38"/>
        <v>16.86753086419753</v>
      </c>
      <c r="U250">
        <f t="shared" si="39"/>
        <v>18.698501339506169</v>
      </c>
      <c r="X250" s="9"/>
      <c r="Y250" s="21">
        <v>0.58151200000000003</v>
      </c>
      <c r="Z250" s="21">
        <v>16.7746</v>
      </c>
      <c r="AA250" s="21">
        <v>-1.41449E-2</v>
      </c>
      <c r="AB250" s="21">
        <v>240</v>
      </c>
      <c r="AC250" s="21">
        <v>0.58084100000000005</v>
      </c>
      <c r="AD250">
        <f t="shared" si="40"/>
        <v>17.462839506172838</v>
      </c>
      <c r="AE250">
        <f t="shared" si="41"/>
        <v>10.15485072691358</v>
      </c>
      <c r="AF250" s="9"/>
      <c r="AG250" s="21">
        <v>1.1085499999999999</v>
      </c>
      <c r="AH250" s="21">
        <v>20.573599999999999</v>
      </c>
      <c r="AI250" s="21">
        <v>-1.3726800000000001E-2</v>
      </c>
      <c r="AJ250" s="21">
        <v>240</v>
      </c>
      <c r="AK250" s="21">
        <v>1.10748</v>
      </c>
      <c r="AL250">
        <f t="shared" si="42"/>
        <v>16.946666666666665</v>
      </c>
      <c r="AM250">
        <f t="shared" si="43"/>
        <v>18.786227333333329</v>
      </c>
      <c r="AP250" s="9"/>
      <c r="AQ250" s="21">
        <v>0.58151200000000003</v>
      </c>
      <c r="AR250" s="21">
        <v>26.011800000000001</v>
      </c>
      <c r="AS250" s="21">
        <v>-1.4086899999999999E-2</v>
      </c>
      <c r="AT250" s="21">
        <v>240</v>
      </c>
      <c r="AU250" s="21">
        <v>0.58084100000000005</v>
      </c>
      <c r="AV250">
        <f t="shared" si="44"/>
        <v>17.391234567901233</v>
      </c>
      <c r="AW250">
        <f t="shared" si="45"/>
        <v>10.113211596049382</v>
      </c>
      <c r="AX250" s="9"/>
      <c r="AY250" s="21">
        <v>1.1085499999999999</v>
      </c>
      <c r="AZ250" s="21">
        <v>29.8108</v>
      </c>
      <c r="BA250" s="21">
        <v>-1.36017E-2</v>
      </c>
      <c r="BB250" s="21">
        <v>240</v>
      </c>
      <c r="BC250" s="21">
        <v>1.10748</v>
      </c>
      <c r="BD250">
        <f t="shared" si="46"/>
        <v>16.792222222222222</v>
      </c>
      <c r="BE250">
        <f t="shared" si="47"/>
        <v>18.615017944444443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7.4234299999999998</v>
      </c>
      <c r="I251" s="21">
        <v>-1.41174E-2</v>
      </c>
      <c r="J251" s="21">
        <v>241</v>
      </c>
      <c r="K251" s="21">
        <v>0.57583600000000001</v>
      </c>
      <c r="L251">
        <f t="shared" si="36"/>
        <v>17.428888888888888</v>
      </c>
      <c r="M251">
        <f t="shared" si="37"/>
        <v>10.047353579999999</v>
      </c>
      <c r="N251" s="9"/>
      <c r="O251" s="21">
        <v>1.1135900000000001</v>
      </c>
      <c r="P251" s="21">
        <v>11.2225</v>
      </c>
      <c r="Q251" s="21">
        <v>-1.36688E-2</v>
      </c>
      <c r="R251" s="21">
        <v>241</v>
      </c>
      <c r="S251" s="21">
        <v>1.1129800000000001</v>
      </c>
      <c r="T251">
        <f t="shared" si="38"/>
        <v>16.87506172839506</v>
      </c>
      <c r="U251">
        <f t="shared" si="39"/>
        <v>18.791899990123458</v>
      </c>
      <c r="X251" s="9"/>
      <c r="Y251" s="21">
        <v>0.57647700000000002</v>
      </c>
      <c r="Z251" s="21">
        <v>16.784600000000001</v>
      </c>
      <c r="AA251" s="21">
        <v>-1.4157100000000001E-2</v>
      </c>
      <c r="AB251" s="21">
        <v>241</v>
      </c>
      <c r="AC251" s="21">
        <v>0.57583600000000001</v>
      </c>
      <c r="AD251">
        <f t="shared" si="40"/>
        <v>17.477901234567902</v>
      </c>
      <c r="AE251">
        <f t="shared" si="41"/>
        <v>10.075608070000001</v>
      </c>
      <c r="AF251" s="9"/>
      <c r="AG251" s="21">
        <v>1.1135900000000001</v>
      </c>
      <c r="AH251" s="21">
        <v>20.5837</v>
      </c>
      <c r="AI251" s="21">
        <v>-1.37085E-2</v>
      </c>
      <c r="AJ251" s="21">
        <v>241</v>
      </c>
      <c r="AK251" s="21">
        <v>1.1123700000000001</v>
      </c>
      <c r="AL251">
        <f t="shared" si="42"/>
        <v>16.924074074074074</v>
      </c>
      <c r="AM251">
        <f t="shared" si="43"/>
        <v>18.846479648148151</v>
      </c>
      <c r="AP251" s="9"/>
      <c r="AQ251" s="21">
        <v>0.57647700000000002</v>
      </c>
      <c r="AR251" s="21">
        <v>26.021899999999999</v>
      </c>
      <c r="AS251" s="21">
        <v>-1.409E-2</v>
      </c>
      <c r="AT251" s="21">
        <v>241</v>
      </c>
      <c r="AU251" s="21">
        <v>0.57577500000000004</v>
      </c>
      <c r="AV251">
        <f t="shared" si="44"/>
        <v>17.39506172839506</v>
      </c>
      <c r="AW251">
        <f t="shared" si="45"/>
        <v>10.027852999999999</v>
      </c>
      <c r="AX251" s="9"/>
      <c r="AY251" s="21">
        <v>1.1135900000000001</v>
      </c>
      <c r="AZ251" s="21">
        <v>29.820900000000002</v>
      </c>
      <c r="BA251" s="21">
        <v>-1.3583400000000001E-2</v>
      </c>
      <c r="BB251" s="21">
        <v>241</v>
      </c>
      <c r="BC251" s="21">
        <v>1.11267</v>
      </c>
      <c r="BD251">
        <f t="shared" si="46"/>
        <v>16.76962962962963</v>
      </c>
      <c r="BE251">
        <f t="shared" si="47"/>
        <v>18.674491859259263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7.4335000000000004</v>
      </c>
      <c r="I252" s="21">
        <v>-1.41266E-2</v>
      </c>
      <c r="J252" s="21">
        <v>242</v>
      </c>
      <c r="K252" s="21">
        <v>0.57070900000000002</v>
      </c>
      <c r="L252">
        <f t="shared" si="36"/>
        <v>17.440246913580246</v>
      </c>
      <c r="M252">
        <f t="shared" si="37"/>
        <v>9.9660895767901234</v>
      </c>
      <c r="N252" s="9"/>
      <c r="O252" s="21">
        <v>1.1186199999999999</v>
      </c>
      <c r="P252" s="21">
        <v>11.2326</v>
      </c>
      <c r="Q252" s="21">
        <v>-1.3665800000000001E-2</v>
      </c>
      <c r="R252" s="21">
        <v>242</v>
      </c>
      <c r="S252" s="21">
        <v>1.11755</v>
      </c>
      <c r="T252">
        <f t="shared" si="38"/>
        <v>16.871358024691357</v>
      </c>
      <c r="U252">
        <f t="shared" si="39"/>
        <v>18.872638513580245</v>
      </c>
      <c r="X252" s="9"/>
      <c r="Y252" s="21">
        <v>0.57144200000000001</v>
      </c>
      <c r="Z252" s="21">
        <v>16.794699999999999</v>
      </c>
      <c r="AA252" s="21">
        <v>-1.4169299999999999E-2</v>
      </c>
      <c r="AB252" s="21">
        <v>242</v>
      </c>
      <c r="AC252" s="21">
        <v>0.57074000000000003</v>
      </c>
      <c r="AD252">
        <f t="shared" si="40"/>
        <v>17.492962962962959</v>
      </c>
      <c r="AE252">
        <f t="shared" si="41"/>
        <v>9.9962137414814798</v>
      </c>
      <c r="AF252" s="9"/>
      <c r="AG252" s="21">
        <v>1.1186199999999999</v>
      </c>
      <c r="AH252" s="21">
        <v>20.593699999999998</v>
      </c>
      <c r="AI252" s="21">
        <v>-1.3693200000000001E-2</v>
      </c>
      <c r="AJ252" s="21">
        <v>242</v>
      </c>
      <c r="AK252" s="21">
        <v>1.11755</v>
      </c>
      <c r="AL252">
        <f t="shared" si="42"/>
        <v>16.905185185185186</v>
      </c>
      <c r="AM252">
        <f t="shared" si="43"/>
        <v>18.910478251851853</v>
      </c>
      <c r="AP252" s="9"/>
      <c r="AQ252" s="21">
        <v>0.57144200000000001</v>
      </c>
      <c r="AR252" s="21">
        <v>26.0319</v>
      </c>
      <c r="AS252" s="21">
        <v>-1.409E-2</v>
      </c>
      <c r="AT252" s="21">
        <v>242</v>
      </c>
      <c r="AU252" s="21">
        <v>0.57083099999999998</v>
      </c>
      <c r="AV252">
        <f t="shared" si="44"/>
        <v>17.39506172839506</v>
      </c>
      <c r="AW252">
        <f t="shared" si="45"/>
        <v>9.9402688641975292</v>
      </c>
      <c r="AX252" s="9"/>
      <c r="AY252" s="21">
        <v>1.1186199999999999</v>
      </c>
      <c r="AZ252" s="21">
        <v>29.831</v>
      </c>
      <c r="BA252" s="21">
        <v>-1.35773E-2</v>
      </c>
      <c r="BB252" s="21">
        <v>242</v>
      </c>
      <c r="BC252" s="21">
        <v>1.11755</v>
      </c>
      <c r="BD252">
        <f t="shared" si="46"/>
        <v>16.7620987654321</v>
      </c>
      <c r="BE252">
        <f t="shared" si="47"/>
        <v>18.750418920987656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7.4435799999999999</v>
      </c>
      <c r="I253" s="21">
        <v>-1.4129600000000001E-2</v>
      </c>
      <c r="J253" s="21">
        <v>243</v>
      </c>
      <c r="K253" s="21">
        <v>0.56573499999999999</v>
      </c>
      <c r="L253">
        <f t="shared" si="36"/>
        <v>17.443950617283949</v>
      </c>
      <c r="M253">
        <f t="shared" si="37"/>
        <v>9.880358293333332</v>
      </c>
      <c r="N253" s="9"/>
      <c r="O253" s="21">
        <v>1.1236600000000001</v>
      </c>
      <c r="P253" s="21">
        <v>11.242599999999999</v>
      </c>
      <c r="Q253" s="21">
        <v>-1.36597E-2</v>
      </c>
      <c r="R253" s="21">
        <v>243</v>
      </c>
      <c r="S253" s="21">
        <v>1.1233500000000001</v>
      </c>
      <c r="T253">
        <f t="shared" si="38"/>
        <v>16.863827160493827</v>
      </c>
      <c r="U253">
        <f t="shared" si="39"/>
        <v>18.949208027160495</v>
      </c>
      <c r="X253" s="9"/>
      <c r="Y253" s="21">
        <v>0.56640599999999997</v>
      </c>
      <c r="Z253" s="21">
        <v>16.8048</v>
      </c>
      <c r="AA253" s="21">
        <v>-1.41846E-2</v>
      </c>
      <c r="AB253" s="21">
        <v>243</v>
      </c>
      <c r="AC253" s="21">
        <v>0.56576499999999996</v>
      </c>
      <c r="AD253">
        <f t="shared" si="40"/>
        <v>17.511851851851851</v>
      </c>
      <c r="AE253">
        <f t="shared" si="41"/>
        <v>9.9188179599999984</v>
      </c>
      <c r="AF253" s="9"/>
      <c r="AG253" s="21">
        <v>1.1236600000000001</v>
      </c>
      <c r="AH253" s="21">
        <v>20.6038</v>
      </c>
      <c r="AI253" s="21">
        <v>-1.3681E-2</v>
      </c>
      <c r="AJ253" s="21">
        <v>243</v>
      </c>
      <c r="AK253" s="21">
        <v>1.1224400000000001</v>
      </c>
      <c r="AL253">
        <f t="shared" si="42"/>
        <v>16.890123456790121</v>
      </c>
      <c r="AM253">
        <f t="shared" si="43"/>
        <v>18.97875612345679</v>
      </c>
      <c r="AP253" s="9"/>
      <c r="AQ253" s="21">
        <v>0.56640599999999997</v>
      </c>
      <c r="AR253" s="21">
        <v>26.042000000000002</v>
      </c>
      <c r="AS253" s="21">
        <v>-1.4093E-2</v>
      </c>
      <c r="AT253" s="21">
        <v>243</v>
      </c>
      <c r="AU253" s="21">
        <v>0.56570399999999998</v>
      </c>
      <c r="AV253">
        <f t="shared" si="44"/>
        <v>17.398765432098763</v>
      </c>
      <c r="AW253">
        <f t="shared" si="45"/>
        <v>9.8547651333333306</v>
      </c>
      <c r="AX253" s="9"/>
      <c r="AY253" s="21">
        <v>1.1236600000000001</v>
      </c>
      <c r="AZ253" s="21">
        <v>29.841000000000001</v>
      </c>
      <c r="BA253" s="21">
        <v>-1.35773E-2</v>
      </c>
      <c r="BB253" s="21">
        <v>243</v>
      </c>
      <c r="BC253" s="21">
        <v>1.1227400000000001</v>
      </c>
      <c r="BD253">
        <f t="shared" si="46"/>
        <v>16.7620987654321</v>
      </c>
      <c r="BE253">
        <f t="shared" si="47"/>
        <v>18.834899898765435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7.4536499999999997</v>
      </c>
      <c r="I254" s="21">
        <v>-1.4129600000000001E-2</v>
      </c>
      <c r="J254" s="21">
        <v>244</v>
      </c>
      <c r="K254" s="21">
        <v>0.56079100000000004</v>
      </c>
      <c r="L254">
        <f t="shared" si="36"/>
        <v>17.443950617283949</v>
      </c>
      <c r="M254">
        <f t="shared" si="37"/>
        <v>9.7925280019753078</v>
      </c>
      <c r="N254" s="9"/>
      <c r="O254" s="21">
        <v>1.12869</v>
      </c>
      <c r="P254" s="21">
        <v>11.252700000000001</v>
      </c>
      <c r="Q254" s="21">
        <v>-1.3644399999999999E-2</v>
      </c>
      <c r="R254" s="21">
        <v>244</v>
      </c>
      <c r="S254" s="21">
        <v>1.1279300000000001</v>
      </c>
      <c r="T254">
        <f t="shared" si="38"/>
        <v>16.844938271604939</v>
      </c>
      <c r="U254">
        <f t="shared" si="39"/>
        <v>19.012713377777779</v>
      </c>
      <c r="X254" s="9"/>
      <c r="Y254" s="21">
        <v>0.56137099999999995</v>
      </c>
      <c r="Z254" s="21">
        <v>16.814800000000002</v>
      </c>
      <c r="AA254" s="21">
        <v>-1.41937E-2</v>
      </c>
      <c r="AB254" s="21">
        <v>244</v>
      </c>
      <c r="AC254" s="21">
        <v>0.56066899999999997</v>
      </c>
      <c r="AD254">
        <f t="shared" si="40"/>
        <v>17.523086419753085</v>
      </c>
      <c r="AE254">
        <f t="shared" si="41"/>
        <v>9.8369525465432091</v>
      </c>
      <c r="AF254" s="9"/>
      <c r="AG254" s="21">
        <v>1.12869</v>
      </c>
      <c r="AH254" s="21">
        <v>20.613900000000001</v>
      </c>
      <c r="AI254" s="21">
        <v>-1.3681E-2</v>
      </c>
      <c r="AJ254" s="21">
        <v>244</v>
      </c>
      <c r="AK254" s="21">
        <v>1.1276200000000001</v>
      </c>
      <c r="AL254">
        <f t="shared" si="42"/>
        <v>16.890123456790121</v>
      </c>
      <c r="AM254">
        <f t="shared" si="43"/>
        <v>19.063713444444442</v>
      </c>
      <c r="AP254" s="9"/>
      <c r="AQ254" s="21">
        <v>0.56137099999999995</v>
      </c>
      <c r="AR254" s="21">
        <v>26.052099999999999</v>
      </c>
      <c r="AS254" s="21">
        <v>-1.40991E-2</v>
      </c>
      <c r="AT254" s="21">
        <v>244</v>
      </c>
      <c r="AU254" s="21">
        <v>0.56066899999999997</v>
      </c>
      <c r="AV254">
        <f t="shared" si="44"/>
        <v>17.406296296296293</v>
      </c>
      <c r="AW254">
        <f t="shared" si="45"/>
        <v>9.7713899581481449</v>
      </c>
      <c r="AX254" s="9"/>
      <c r="AY254" s="21">
        <v>1.12869</v>
      </c>
      <c r="AZ254" s="21">
        <v>29.851099999999999</v>
      </c>
      <c r="BA254" s="21">
        <v>-1.35712E-2</v>
      </c>
      <c r="BB254" s="21">
        <v>244</v>
      </c>
      <c r="BC254" s="21">
        <v>1.1279300000000001</v>
      </c>
      <c r="BD254">
        <f t="shared" si="46"/>
        <v>16.754567901234566</v>
      </c>
      <c r="BE254">
        <f t="shared" si="47"/>
        <v>18.910713244444441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7.4637200000000004</v>
      </c>
      <c r="I255" s="21">
        <v>-1.41449E-2</v>
      </c>
      <c r="J255" s="21">
        <v>245</v>
      </c>
      <c r="K255" s="21">
        <v>0.55563399999999996</v>
      </c>
      <c r="L255">
        <f t="shared" si="36"/>
        <v>17.462839506172838</v>
      </c>
      <c r="M255">
        <f t="shared" si="37"/>
        <v>9.7151888166666662</v>
      </c>
      <c r="N255" s="9"/>
      <c r="O255" s="21">
        <v>1.1337299999999999</v>
      </c>
      <c r="P255" s="21">
        <v>11.2628</v>
      </c>
      <c r="Q255" s="21">
        <v>-1.3644399999999999E-2</v>
      </c>
      <c r="R255" s="21">
        <v>245</v>
      </c>
      <c r="S255" s="21">
        <v>1.1331199999999999</v>
      </c>
      <c r="T255">
        <f t="shared" si="38"/>
        <v>16.844938271604939</v>
      </c>
      <c r="U255">
        <f t="shared" si="39"/>
        <v>19.097611866666664</v>
      </c>
      <c r="X255" s="9"/>
      <c r="Y255" s="21">
        <v>0.55633500000000002</v>
      </c>
      <c r="Z255" s="21">
        <v>16.8249</v>
      </c>
      <c r="AA255" s="21">
        <v>-1.41998E-2</v>
      </c>
      <c r="AB255" s="21">
        <v>245</v>
      </c>
      <c r="AC255" s="21">
        <v>0.55563399999999996</v>
      </c>
      <c r="AD255">
        <f t="shared" si="40"/>
        <v>17.530617283950615</v>
      </c>
      <c r="AE255">
        <f t="shared" si="41"/>
        <v>9.7528959666666655</v>
      </c>
      <c r="AF255" s="9"/>
      <c r="AG255" s="21">
        <v>1.1337299999999999</v>
      </c>
      <c r="AH255" s="21">
        <v>20.623999999999999</v>
      </c>
      <c r="AI255" s="21">
        <v>-1.3687100000000001E-2</v>
      </c>
      <c r="AJ255" s="21">
        <v>245</v>
      </c>
      <c r="AK255" s="21">
        <v>1.1328100000000001</v>
      </c>
      <c r="AL255">
        <f t="shared" si="42"/>
        <v>16.897654320987655</v>
      </c>
      <c r="AM255">
        <f t="shared" si="43"/>
        <v>19.157377633333333</v>
      </c>
      <c r="AP255" s="9"/>
      <c r="AQ255" s="21">
        <v>0.55633500000000002</v>
      </c>
      <c r="AR255" s="21">
        <v>26.062100000000001</v>
      </c>
      <c r="AS255" s="21">
        <v>-1.40961E-2</v>
      </c>
      <c r="AT255" s="21">
        <v>245</v>
      </c>
      <c r="AU255" s="21">
        <v>0.55569500000000005</v>
      </c>
      <c r="AV255">
        <f t="shared" si="44"/>
        <v>17.40259259259259</v>
      </c>
      <c r="AW255">
        <f t="shared" si="45"/>
        <v>9.6816713499999985</v>
      </c>
      <c r="AX255" s="9"/>
      <c r="AY255" s="21">
        <v>1.1337299999999999</v>
      </c>
      <c r="AZ255" s="21">
        <v>29.8612</v>
      </c>
      <c r="BA255" s="21">
        <v>-1.35742E-2</v>
      </c>
      <c r="BB255" s="21">
        <v>245</v>
      </c>
      <c r="BC255" s="21">
        <v>1.1322000000000001</v>
      </c>
      <c r="BD255">
        <f t="shared" si="46"/>
        <v>16.758271604938273</v>
      </c>
      <c r="BE255">
        <f t="shared" si="47"/>
        <v>18.999355266666665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7.4737900000000002</v>
      </c>
      <c r="I256" s="21">
        <v>-1.4157100000000001E-2</v>
      </c>
      <c r="J256" s="21">
        <v>246</v>
      </c>
      <c r="K256" s="21">
        <v>0.55075099999999999</v>
      </c>
      <c r="L256">
        <f t="shared" si="36"/>
        <v>17.477901234567902</v>
      </c>
      <c r="M256">
        <f t="shared" si="37"/>
        <v>9.6355669506172852</v>
      </c>
      <c r="N256" s="9"/>
      <c r="O256" s="21">
        <v>1.13876</v>
      </c>
      <c r="P256" s="21">
        <v>11.2728</v>
      </c>
      <c r="Q256" s="21">
        <v>-1.36353E-2</v>
      </c>
      <c r="R256" s="21">
        <v>246</v>
      </c>
      <c r="S256" s="21">
        <v>1.1373899999999999</v>
      </c>
      <c r="T256">
        <f t="shared" si="38"/>
        <v>16.833703703703701</v>
      </c>
      <c r="U256">
        <f t="shared" si="39"/>
        <v>19.169548429629629</v>
      </c>
      <c r="X256" s="9"/>
      <c r="Y256" s="21">
        <v>0.55130000000000001</v>
      </c>
      <c r="Z256" s="21">
        <v>16.835000000000001</v>
      </c>
      <c r="AA256" s="21">
        <v>-1.4196800000000001E-2</v>
      </c>
      <c r="AB256" s="21">
        <v>246</v>
      </c>
      <c r="AC256" s="21">
        <v>0.55069000000000001</v>
      </c>
      <c r="AD256">
        <f t="shared" si="40"/>
        <v>17.526913580246916</v>
      </c>
      <c r="AE256">
        <f t="shared" si="41"/>
        <v>9.6625874567901242</v>
      </c>
      <c r="AF256" s="9"/>
      <c r="AG256" s="21">
        <v>1.13876</v>
      </c>
      <c r="AH256" s="21">
        <v>20.634</v>
      </c>
      <c r="AI256" s="21">
        <v>-1.36902E-2</v>
      </c>
      <c r="AJ256" s="21">
        <v>246</v>
      </c>
      <c r="AK256" s="21">
        <v>1.1376999999999999</v>
      </c>
      <c r="AL256">
        <f t="shared" si="42"/>
        <v>16.901481481481479</v>
      </c>
      <c r="AM256">
        <f t="shared" si="43"/>
        <v>19.24673105185185</v>
      </c>
      <c r="AP256" s="9"/>
      <c r="AQ256" s="21">
        <v>0.55130000000000001</v>
      </c>
      <c r="AR256" s="21">
        <v>26.072199999999999</v>
      </c>
      <c r="AS256" s="21">
        <v>-1.40961E-2</v>
      </c>
      <c r="AT256" s="21">
        <v>246</v>
      </c>
      <c r="AU256" s="21">
        <v>0.55065900000000001</v>
      </c>
      <c r="AV256">
        <f t="shared" si="44"/>
        <v>17.40259259259259</v>
      </c>
      <c r="AW256">
        <f t="shared" si="45"/>
        <v>9.594049296296296</v>
      </c>
      <c r="AX256" s="9"/>
      <c r="AY256" s="21">
        <v>1.13876</v>
      </c>
      <c r="AZ256" s="21">
        <v>29.871300000000002</v>
      </c>
      <c r="BA256" s="21">
        <v>-1.35651E-2</v>
      </c>
      <c r="BB256" s="21">
        <v>246</v>
      </c>
      <c r="BC256" s="21">
        <v>1.1383099999999999</v>
      </c>
      <c r="BD256">
        <f t="shared" si="46"/>
        <v>16.747037037037035</v>
      </c>
      <c r="BE256">
        <f t="shared" si="47"/>
        <v>19.070855896296294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7.48386</v>
      </c>
      <c r="I257" s="21">
        <v>-1.4169299999999999E-2</v>
      </c>
      <c r="J257" s="21">
        <v>247</v>
      </c>
      <c r="K257" s="21">
        <v>0.545624</v>
      </c>
      <c r="L257">
        <f t="shared" si="36"/>
        <v>17.492962962962959</v>
      </c>
      <c r="M257">
        <f t="shared" si="37"/>
        <v>9.5557934129629611</v>
      </c>
      <c r="N257" s="9"/>
      <c r="O257" s="21">
        <v>1.1437999999999999</v>
      </c>
      <c r="P257" s="21">
        <v>11.2829</v>
      </c>
      <c r="Q257" s="21">
        <v>-1.3629199999999999E-2</v>
      </c>
      <c r="R257" s="21">
        <v>247</v>
      </c>
      <c r="S257" s="21">
        <v>1.1428799999999999</v>
      </c>
      <c r="T257">
        <f t="shared" si="38"/>
        <v>16.826172839506171</v>
      </c>
      <c r="U257">
        <f t="shared" si="39"/>
        <v>19.245776493827158</v>
      </c>
      <c r="X257" s="9"/>
      <c r="Y257" s="21">
        <v>0.546265</v>
      </c>
      <c r="Z257" s="21">
        <v>16.844999999999999</v>
      </c>
      <c r="AA257" s="21">
        <v>-1.4202899999999999E-2</v>
      </c>
      <c r="AB257" s="21">
        <v>247</v>
      </c>
      <c r="AC257" s="21">
        <v>0.54537999999999998</v>
      </c>
      <c r="AD257">
        <f t="shared" si="40"/>
        <v>17.534444444444443</v>
      </c>
      <c r="AE257">
        <f t="shared" si="41"/>
        <v>9.5784532944444436</v>
      </c>
      <c r="AF257" s="9"/>
      <c r="AG257" s="21">
        <v>1.1437999999999999</v>
      </c>
      <c r="AH257" s="21">
        <v>20.644100000000002</v>
      </c>
      <c r="AI257" s="21">
        <v>-1.3681E-2</v>
      </c>
      <c r="AJ257" s="21">
        <v>247</v>
      </c>
      <c r="AK257" s="21">
        <v>1.1428799999999999</v>
      </c>
      <c r="AL257">
        <f t="shared" si="42"/>
        <v>16.890123456790121</v>
      </c>
      <c r="AM257">
        <f t="shared" si="43"/>
        <v>19.318923209876541</v>
      </c>
      <c r="AP257" s="9"/>
      <c r="AQ257" s="21">
        <v>0.546265</v>
      </c>
      <c r="AR257" s="21">
        <v>26.0823</v>
      </c>
      <c r="AS257" s="21">
        <v>-1.409E-2</v>
      </c>
      <c r="AT257" s="21">
        <v>247</v>
      </c>
      <c r="AU257" s="21">
        <v>0.54556300000000002</v>
      </c>
      <c r="AV257">
        <f t="shared" si="44"/>
        <v>17.39506172839506</v>
      </c>
      <c r="AW257">
        <f t="shared" si="45"/>
        <v>9.5023133950617282</v>
      </c>
      <c r="AX257" s="9"/>
      <c r="AY257" s="21">
        <v>1.1437999999999999</v>
      </c>
      <c r="AZ257" s="21">
        <v>29.8813</v>
      </c>
      <c r="BA257" s="21">
        <v>-1.3559E-2</v>
      </c>
      <c r="BB257" s="21">
        <v>247</v>
      </c>
      <c r="BC257" s="21">
        <v>1.1425799999999999</v>
      </c>
      <c r="BD257">
        <f t="shared" si="46"/>
        <v>16.739506172839505</v>
      </c>
      <c r="BE257">
        <f t="shared" si="47"/>
        <v>19.146647160493824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7.4939299999999998</v>
      </c>
      <c r="I258" s="21">
        <v>-1.41724E-2</v>
      </c>
      <c r="J258" s="21">
        <v>248</v>
      </c>
      <c r="K258" s="21">
        <v>0.54061899999999996</v>
      </c>
      <c r="L258">
        <f t="shared" si="36"/>
        <v>17.496790123456787</v>
      </c>
      <c r="M258">
        <f t="shared" si="37"/>
        <v>9.4697702217283926</v>
      </c>
      <c r="N258" s="9"/>
      <c r="O258" s="21">
        <v>1.14883</v>
      </c>
      <c r="P258" s="21">
        <v>11.292999999999999</v>
      </c>
      <c r="Q258" s="21">
        <v>-1.36139E-2</v>
      </c>
      <c r="R258" s="21">
        <v>248</v>
      </c>
      <c r="S258" s="21">
        <v>1.14838</v>
      </c>
      <c r="T258">
        <f t="shared" si="38"/>
        <v>16.807283950617283</v>
      </c>
      <c r="U258">
        <f t="shared" si="39"/>
        <v>19.308712020987652</v>
      </c>
      <c r="X258" s="9"/>
      <c r="Y258" s="21">
        <v>0.54122899999999996</v>
      </c>
      <c r="Z258" s="21">
        <v>16.8551</v>
      </c>
      <c r="AA258" s="21">
        <v>-1.4202899999999999E-2</v>
      </c>
      <c r="AB258" s="21">
        <v>248</v>
      </c>
      <c r="AC258" s="21">
        <v>0.54058799999999996</v>
      </c>
      <c r="AD258">
        <f t="shared" si="40"/>
        <v>17.534444444444443</v>
      </c>
      <c r="AE258">
        <f t="shared" si="41"/>
        <v>9.4901498322222206</v>
      </c>
      <c r="AF258" s="9"/>
      <c r="AG258" s="21">
        <v>1.14883</v>
      </c>
      <c r="AH258" s="21">
        <v>20.654199999999999</v>
      </c>
      <c r="AI258" s="21">
        <v>-1.36566E-2</v>
      </c>
      <c r="AJ258" s="21">
        <v>248</v>
      </c>
      <c r="AK258" s="21">
        <v>1.1480699999999999</v>
      </c>
      <c r="AL258">
        <f t="shared" si="42"/>
        <v>16.86</v>
      </c>
      <c r="AM258">
        <f t="shared" si="43"/>
        <v>19.369273799999998</v>
      </c>
      <c r="AP258" s="9"/>
      <c r="AQ258" s="21">
        <v>0.54122899999999996</v>
      </c>
      <c r="AR258" s="21">
        <v>26.092300000000002</v>
      </c>
      <c r="AS258" s="21">
        <v>-1.40961E-2</v>
      </c>
      <c r="AT258" s="21">
        <v>248</v>
      </c>
      <c r="AU258" s="21">
        <v>0.54071000000000002</v>
      </c>
      <c r="AV258">
        <f t="shared" si="44"/>
        <v>17.40259259259259</v>
      </c>
      <c r="AW258">
        <f t="shared" si="45"/>
        <v>9.4187877862962939</v>
      </c>
      <c r="AX258" s="9"/>
      <c r="AY258" s="21">
        <v>1.14883</v>
      </c>
      <c r="AZ258" s="21">
        <v>29.891400000000001</v>
      </c>
      <c r="BA258" s="21">
        <v>-1.3546799999999999E-2</v>
      </c>
      <c r="BB258" s="21">
        <v>248</v>
      </c>
      <c r="BC258" s="21">
        <v>1.1480699999999999</v>
      </c>
      <c r="BD258">
        <f t="shared" si="46"/>
        <v>16.72444444444444</v>
      </c>
      <c r="BE258">
        <f t="shared" si="47"/>
        <v>19.213543511111109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7.5039999999999996</v>
      </c>
      <c r="I259" s="21">
        <v>-1.4157100000000001E-2</v>
      </c>
      <c r="J259" s="21">
        <v>249</v>
      </c>
      <c r="K259" s="21">
        <v>0.53558300000000003</v>
      </c>
      <c r="L259">
        <f t="shared" si="36"/>
        <v>17.477901234567902</v>
      </c>
      <c r="M259">
        <f t="shared" si="37"/>
        <v>9.3715457745679007</v>
      </c>
      <c r="N259" s="9"/>
      <c r="O259" s="21">
        <v>1.15387</v>
      </c>
      <c r="P259" s="21">
        <v>11.303000000000001</v>
      </c>
      <c r="Q259" s="21">
        <v>-1.3604700000000001E-2</v>
      </c>
      <c r="R259" s="21">
        <v>249</v>
      </c>
      <c r="S259" s="21">
        <v>1.1529499999999999</v>
      </c>
      <c r="T259">
        <f t="shared" si="38"/>
        <v>16.795925925925925</v>
      </c>
      <c r="U259">
        <f t="shared" si="39"/>
        <v>19.380315048148145</v>
      </c>
      <c r="X259" s="9"/>
      <c r="Y259" s="21">
        <v>0.53619399999999995</v>
      </c>
      <c r="Z259" s="21">
        <v>16.865200000000002</v>
      </c>
      <c r="AA259" s="21">
        <v>-1.4218099999999999E-2</v>
      </c>
      <c r="AB259" s="21">
        <v>249</v>
      </c>
      <c r="AC259" s="21">
        <v>0.53552200000000005</v>
      </c>
      <c r="AD259">
        <f t="shared" si="40"/>
        <v>17.553209876543207</v>
      </c>
      <c r="AE259">
        <f t="shared" si="41"/>
        <v>9.4119258165432065</v>
      </c>
      <c r="AF259" s="9"/>
      <c r="AG259" s="21">
        <v>1.15387</v>
      </c>
      <c r="AH259" s="21">
        <v>20.664200000000001</v>
      </c>
      <c r="AI259" s="21">
        <v>-1.36414E-2</v>
      </c>
      <c r="AJ259" s="21">
        <v>249</v>
      </c>
      <c r="AK259" s="21">
        <v>1.1529499999999999</v>
      </c>
      <c r="AL259">
        <f t="shared" si="42"/>
        <v>16.841234567901232</v>
      </c>
      <c r="AM259">
        <f t="shared" si="43"/>
        <v>19.432595330864192</v>
      </c>
      <c r="AP259" s="9"/>
      <c r="AQ259" s="21">
        <v>0.53619399999999995</v>
      </c>
      <c r="AR259" s="21">
        <v>26.102399999999999</v>
      </c>
      <c r="AS259" s="21">
        <v>-1.4108300000000001E-2</v>
      </c>
      <c r="AT259" s="21">
        <v>249</v>
      </c>
      <c r="AU259" s="21">
        <v>0.53567500000000001</v>
      </c>
      <c r="AV259">
        <f t="shared" si="44"/>
        <v>17.417654320987655</v>
      </c>
      <c r="AW259">
        <f t="shared" si="45"/>
        <v>9.3392417409876529</v>
      </c>
      <c r="AX259" s="9"/>
      <c r="AY259" s="21">
        <v>1.15387</v>
      </c>
      <c r="AZ259" s="21">
        <v>29.901499999999999</v>
      </c>
      <c r="BA259" s="21">
        <v>-1.35376E-2</v>
      </c>
      <c r="BB259" s="21">
        <v>249</v>
      </c>
      <c r="BC259" s="21">
        <v>1.1529499999999999</v>
      </c>
      <c r="BD259">
        <f t="shared" si="46"/>
        <v>16.713086419753086</v>
      </c>
      <c r="BE259">
        <f t="shared" si="47"/>
        <v>19.284729027160491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7.5140700000000002</v>
      </c>
      <c r="I260" s="21">
        <v>-1.4154099999999999E-2</v>
      </c>
      <c r="J260" s="21">
        <v>250</v>
      </c>
      <c r="K260" s="21">
        <v>0.53042599999999995</v>
      </c>
      <c r="L260">
        <f t="shared" si="36"/>
        <v>17.474197530864195</v>
      </c>
      <c r="M260">
        <f t="shared" si="37"/>
        <v>9.2815598120987648</v>
      </c>
      <c r="N260" s="9"/>
      <c r="O260" s="21">
        <v>1.1589100000000001</v>
      </c>
      <c r="P260" s="21">
        <v>11.3131</v>
      </c>
      <c r="Q260" s="21">
        <v>-1.35925E-2</v>
      </c>
      <c r="R260" s="21">
        <v>250</v>
      </c>
      <c r="S260" s="21">
        <v>1.15845</v>
      </c>
      <c r="T260">
        <f t="shared" si="38"/>
        <v>16.780864197530864</v>
      </c>
      <c r="U260">
        <f t="shared" si="39"/>
        <v>19.447511327160495</v>
      </c>
      <c r="X260" s="9"/>
      <c r="Y260" s="21">
        <v>0.53115800000000002</v>
      </c>
      <c r="Z260" s="21">
        <v>16.875299999999999</v>
      </c>
      <c r="AA260" s="21">
        <v>-1.42303E-2</v>
      </c>
      <c r="AB260" s="21">
        <v>250</v>
      </c>
      <c r="AC260" s="21">
        <v>0.53070099999999998</v>
      </c>
      <c r="AD260">
        <f t="shared" si="40"/>
        <v>17.568271604938271</v>
      </c>
      <c r="AE260">
        <f t="shared" si="41"/>
        <v>9.3315280091358019</v>
      </c>
      <c r="AF260" s="9"/>
      <c r="AG260" s="21">
        <v>1.1589100000000001</v>
      </c>
      <c r="AH260" s="21">
        <v>20.674299999999999</v>
      </c>
      <c r="AI260" s="21">
        <v>-1.36261E-2</v>
      </c>
      <c r="AJ260" s="21">
        <v>250</v>
      </c>
      <c r="AK260" s="21">
        <v>1.15845</v>
      </c>
      <c r="AL260">
        <f t="shared" si="42"/>
        <v>16.822345679012344</v>
      </c>
      <c r="AM260">
        <f t="shared" si="43"/>
        <v>19.495584630864197</v>
      </c>
      <c r="AP260" s="9"/>
      <c r="AQ260" s="21">
        <v>0.53115800000000002</v>
      </c>
      <c r="AR260" s="21">
        <v>26.112500000000001</v>
      </c>
      <c r="AS260" s="21">
        <v>-1.41266E-2</v>
      </c>
      <c r="AT260" s="21">
        <v>250</v>
      </c>
      <c r="AU260" s="21">
        <v>0.53051800000000005</v>
      </c>
      <c r="AV260">
        <f t="shared" si="44"/>
        <v>17.440246913580246</v>
      </c>
      <c r="AW260">
        <f t="shared" si="45"/>
        <v>9.263526670123456</v>
      </c>
      <c r="AX260" s="9"/>
      <c r="AY260" s="21">
        <v>1.1589100000000001</v>
      </c>
      <c r="AZ260" s="21">
        <v>29.9115</v>
      </c>
      <c r="BA260" s="21">
        <v>-1.3528399999999999E-2</v>
      </c>
      <c r="BB260" s="21">
        <v>250</v>
      </c>
      <c r="BC260" s="21">
        <v>1.15845</v>
      </c>
      <c r="BD260">
        <f t="shared" si="46"/>
        <v>16.701728395061725</v>
      </c>
      <c r="BE260">
        <f t="shared" si="47"/>
        <v>19.355800054320984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7.5241400000000001</v>
      </c>
      <c r="I261" s="21">
        <v>-1.4154099999999999E-2</v>
      </c>
      <c r="J261" s="21">
        <v>251</v>
      </c>
      <c r="K261" s="21">
        <v>0.52536000000000005</v>
      </c>
      <c r="L261">
        <f t="shared" si="36"/>
        <v>17.474197530864195</v>
      </c>
      <c r="M261">
        <f t="shared" si="37"/>
        <v>9.1935772275308629</v>
      </c>
      <c r="N261" s="9"/>
      <c r="O261" s="21">
        <v>1.16394</v>
      </c>
      <c r="P261" s="21">
        <v>11.3232</v>
      </c>
      <c r="Q261" s="21">
        <v>-1.35773E-2</v>
      </c>
      <c r="R261" s="21">
        <v>251</v>
      </c>
      <c r="S261" s="21">
        <v>1.16333</v>
      </c>
      <c r="T261">
        <f t="shared" si="38"/>
        <v>16.7620987654321</v>
      </c>
      <c r="U261">
        <f t="shared" si="39"/>
        <v>19.510077237037038</v>
      </c>
      <c r="X261" s="9"/>
      <c r="Y261" s="21">
        <v>0.52612300000000001</v>
      </c>
      <c r="Z261" s="21">
        <v>16.885300000000001</v>
      </c>
      <c r="AA261" s="21">
        <v>-1.42303E-2</v>
      </c>
      <c r="AB261" s="21">
        <v>251</v>
      </c>
      <c r="AC261" s="21">
        <v>0.52554299999999998</v>
      </c>
      <c r="AD261">
        <f t="shared" si="40"/>
        <v>17.568271604938271</v>
      </c>
      <c r="AE261">
        <f t="shared" si="41"/>
        <v>9.2430717616049378</v>
      </c>
      <c r="AF261" s="9"/>
      <c r="AG261" s="21">
        <v>1.16394</v>
      </c>
      <c r="AH261" s="21">
        <v>20.6844</v>
      </c>
      <c r="AI261" s="21">
        <v>-1.36139E-2</v>
      </c>
      <c r="AJ261" s="21">
        <v>251</v>
      </c>
      <c r="AK261" s="21">
        <v>1.16272</v>
      </c>
      <c r="AL261">
        <f t="shared" si="42"/>
        <v>16.807283950617283</v>
      </c>
      <c r="AM261">
        <f t="shared" si="43"/>
        <v>19.562670081481478</v>
      </c>
      <c r="AP261" s="9"/>
      <c r="AQ261" s="21">
        <v>0.52612300000000001</v>
      </c>
      <c r="AR261" s="21">
        <v>26.122599999999998</v>
      </c>
      <c r="AS261" s="21">
        <v>-1.4120499999999999E-2</v>
      </c>
      <c r="AT261" s="21">
        <v>251</v>
      </c>
      <c r="AU261" s="21">
        <v>0.525482</v>
      </c>
      <c r="AV261">
        <f t="shared" si="44"/>
        <v>17.432716049382716</v>
      </c>
      <c r="AW261">
        <f t="shared" si="45"/>
        <v>9.171752866049383</v>
      </c>
      <c r="AX261" s="9"/>
      <c r="AY261" s="21">
        <v>1.16394</v>
      </c>
      <c r="AZ261" s="21">
        <v>29.921600000000002</v>
      </c>
      <c r="BA261" s="21">
        <v>-1.35193E-2</v>
      </c>
      <c r="BB261" s="21">
        <v>251</v>
      </c>
      <c r="BC261" s="21">
        <v>1.1630199999999999</v>
      </c>
      <c r="BD261">
        <f t="shared" si="46"/>
        <v>16.690493827160495</v>
      </c>
      <c r="BE261">
        <f t="shared" si="47"/>
        <v>19.426733385185187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7.5342099999999999</v>
      </c>
      <c r="I262" s="21">
        <v>-1.4157100000000001E-2</v>
      </c>
      <c r="J262" s="21">
        <v>252</v>
      </c>
      <c r="K262" s="21">
        <v>0.52038600000000002</v>
      </c>
      <c r="L262">
        <f t="shared" si="36"/>
        <v>17.477901234567902</v>
      </c>
      <c r="M262">
        <f t="shared" si="37"/>
        <v>9.107524598518518</v>
      </c>
      <c r="N262" s="9"/>
      <c r="O262" s="21">
        <v>1.1689799999999999</v>
      </c>
      <c r="P262" s="21">
        <v>11.333299999999999</v>
      </c>
      <c r="Q262" s="21">
        <v>-1.35712E-2</v>
      </c>
      <c r="R262" s="21">
        <v>252</v>
      </c>
      <c r="S262" s="21">
        <v>1.16791</v>
      </c>
      <c r="T262">
        <f t="shared" si="38"/>
        <v>16.754567901234566</v>
      </c>
      <c r="U262">
        <f t="shared" si="39"/>
        <v>19.585754785185181</v>
      </c>
      <c r="X262" s="9"/>
      <c r="Y262" s="21">
        <v>0.521088</v>
      </c>
      <c r="Z262" s="21">
        <v>16.895399999999999</v>
      </c>
      <c r="AA262" s="21">
        <v>-1.4224199999999999E-2</v>
      </c>
      <c r="AB262" s="21">
        <v>252</v>
      </c>
      <c r="AC262" s="21">
        <v>0.52053799999999995</v>
      </c>
      <c r="AD262">
        <f t="shared" si="40"/>
        <v>17.560740740740737</v>
      </c>
      <c r="AE262">
        <f t="shared" si="41"/>
        <v>9.1506912711111088</v>
      </c>
      <c r="AF262" s="9"/>
      <c r="AG262" s="21">
        <v>1.1689799999999999</v>
      </c>
      <c r="AH262" s="21">
        <v>20.694400000000002</v>
      </c>
      <c r="AI262" s="21">
        <v>-1.36017E-2</v>
      </c>
      <c r="AJ262" s="21">
        <v>252</v>
      </c>
      <c r="AK262" s="21">
        <v>1.1676</v>
      </c>
      <c r="AL262">
        <f t="shared" si="42"/>
        <v>16.792222222222222</v>
      </c>
      <c r="AM262">
        <f t="shared" si="43"/>
        <v>19.62977193333333</v>
      </c>
      <c r="AP262" s="9"/>
      <c r="AQ262" s="21">
        <v>0.521088</v>
      </c>
      <c r="AR262" s="21">
        <v>26.1326</v>
      </c>
      <c r="AS262" s="21">
        <v>-1.4123500000000001E-2</v>
      </c>
      <c r="AT262" s="21">
        <v>252</v>
      </c>
      <c r="AU262" s="21">
        <v>0.52047699999999997</v>
      </c>
      <c r="AV262">
        <f t="shared" si="44"/>
        <v>17.436419753086419</v>
      </c>
      <c r="AW262">
        <f t="shared" si="45"/>
        <v>9.0859090962962963</v>
      </c>
      <c r="AX262" s="9"/>
      <c r="AY262" s="21">
        <v>1.1689799999999999</v>
      </c>
      <c r="AZ262" s="21">
        <v>29.931699999999999</v>
      </c>
      <c r="BA262" s="21">
        <v>-1.3510100000000001E-2</v>
      </c>
      <c r="BB262" s="21">
        <v>252</v>
      </c>
      <c r="BC262" s="21">
        <v>1.16821</v>
      </c>
      <c r="BD262">
        <f t="shared" si="46"/>
        <v>16.679135802469133</v>
      </c>
      <c r="BE262">
        <f t="shared" si="47"/>
        <v>19.497576170370365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7.5442900000000002</v>
      </c>
      <c r="I263" s="21">
        <v>-1.4163200000000001E-2</v>
      </c>
      <c r="J263" s="21">
        <v>253</v>
      </c>
      <c r="K263" s="21">
        <v>0.51544199999999996</v>
      </c>
      <c r="L263">
        <f t="shared" si="36"/>
        <v>17.485432098765433</v>
      </c>
      <c r="M263">
        <f t="shared" si="37"/>
        <v>9.0233922054320974</v>
      </c>
      <c r="N263" s="9"/>
      <c r="O263" s="21">
        <v>1.17401</v>
      </c>
      <c r="P263" s="21">
        <v>11.343299999999999</v>
      </c>
      <c r="Q263" s="21">
        <v>-1.35651E-2</v>
      </c>
      <c r="R263" s="21">
        <v>253</v>
      </c>
      <c r="S263" s="21">
        <v>1.17371</v>
      </c>
      <c r="T263">
        <f t="shared" si="38"/>
        <v>16.747037037037035</v>
      </c>
      <c r="U263">
        <f t="shared" si="39"/>
        <v>19.661188951851848</v>
      </c>
      <c r="X263" s="9"/>
      <c r="Y263" s="21">
        <v>0.51605199999999996</v>
      </c>
      <c r="Z263" s="21">
        <v>16.9055</v>
      </c>
      <c r="AA263" s="21">
        <v>-1.4218099999999999E-2</v>
      </c>
      <c r="AB263" s="21">
        <v>253</v>
      </c>
      <c r="AC263" s="21">
        <v>0.51534999999999997</v>
      </c>
      <c r="AD263">
        <f t="shared" si="40"/>
        <v>17.553209876543207</v>
      </c>
      <c r="AE263">
        <f t="shared" si="41"/>
        <v>9.0583690632098737</v>
      </c>
      <c r="AF263" s="9"/>
      <c r="AG263" s="21">
        <v>1.17401</v>
      </c>
      <c r="AH263" s="21">
        <v>20.704499999999999</v>
      </c>
      <c r="AI263" s="21">
        <v>-1.35925E-2</v>
      </c>
      <c r="AJ263" s="21">
        <v>253</v>
      </c>
      <c r="AK263" s="21">
        <v>1.17279</v>
      </c>
      <c r="AL263">
        <f t="shared" si="42"/>
        <v>16.780864197530864</v>
      </c>
      <c r="AM263">
        <f t="shared" si="43"/>
        <v>19.700902376543208</v>
      </c>
      <c r="AP263" s="9"/>
      <c r="AQ263" s="21">
        <v>0.51605199999999996</v>
      </c>
      <c r="AR263" s="21">
        <v>26.142700000000001</v>
      </c>
      <c r="AS263" s="21">
        <v>-1.4120499999999999E-2</v>
      </c>
      <c r="AT263" s="21">
        <v>253</v>
      </c>
      <c r="AU263" s="21">
        <v>0.51541099999999995</v>
      </c>
      <c r="AV263">
        <f t="shared" si="44"/>
        <v>17.432716049382716</v>
      </c>
      <c r="AW263">
        <f t="shared" si="45"/>
        <v>8.996187982716048</v>
      </c>
      <c r="AX263" s="9"/>
      <c r="AY263" s="21">
        <v>1.17401</v>
      </c>
      <c r="AZ263" s="21">
        <v>29.941700000000001</v>
      </c>
      <c r="BA263" s="21">
        <v>-1.34979E-2</v>
      </c>
      <c r="BB263" s="21">
        <v>253</v>
      </c>
      <c r="BC263" s="21">
        <v>1.17371</v>
      </c>
      <c r="BD263">
        <f t="shared" si="46"/>
        <v>16.664074074074072</v>
      </c>
      <c r="BE263">
        <f t="shared" si="47"/>
        <v>19.5637896037037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7.55436</v>
      </c>
      <c r="I264" s="21">
        <v>-1.41602E-2</v>
      </c>
      <c r="J264" s="21">
        <v>254</v>
      </c>
      <c r="K264" s="21">
        <v>0.51055899999999999</v>
      </c>
      <c r="L264">
        <f t="shared" si="36"/>
        <v>17.481728395061729</v>
      </c>
      <c r="M264">
        <f t="shared" si="37"/>
        <v>8.9334603992592605</v>
      </c>
      <c r="N264" s="9"/>
      <c r="O264" s="21">
        <v>1.1790499999999999</v>
      </c>
      <c r="P264" s="21">
        <v>11.353400000000001</v>
      </c>
      <c r="Q264" s="21">
        <v>-1.3561999999999999E-2</v>
      </c>
      <c r="R264" s="21">
        <v>254</v>
      </c>
      <c r="S264" s="21">
        <v>1.17798</v>
      </c>
      <c r="T264">
        <f t="shared" si="38"/>
        <v>16.743209876543208</v>
      </c>
      <c r="U264">
        <f t="shared" si="39"/>
        <v>19.74108160493827</v>
      </c>
      <c r="X264" s="9"/>
      <c r="Y264" s="21">
        <v>0.51101700000000005</v>
      </c>
      <c r="Z264" s="21">
        <v>16.915500000000002</v>
      </c>
      <c r="AA264" s="21">
        <v>-1.4212000000000001E-2</v>
      </c>
      <c r="AB264" s="21">
        <v>254</v>
      </c>
      <c r="AC264" s="21">
        <v>0.51040600000000003</v>
      </c>
      <c r="AD264">
        <f t="shared" si="40"/>
        <v>17.54567901234568</v>
      </c>
      <c r="AE264">
        <f t="shared" si="41"/>
        <v>8.9661402518518525</v>
      </c>
      <c r="AF264" s="9"/>
      <c r="AG264" s="21">
        <v>1.1790499999999999</v>
      </c>
      <c r="AH264" s="21">
        <v>20.714600000000001</v>
      </c>
      <c r="AI264" s="21">
        <v>-1.3583400000000001E-2</v>
      </c>
      <c r="AJ264" s="21">
        <v>254</v>
      </c>
      <c r="AK264" s="21">
        <v>1.17859</v>
      </c>
      <c r="AL264">
        <f t="shared" si="42"/>
        <v>16.76962962962963</v>
      </c>
      <c r="AM264">
        <f t="shared" si="43"/>
        <v>19.772231814814816</v>
      </c>
      <c r="AP264" s="9"/>
      <c r="AQ264" s="21">
        <v>0.51101700000000005</v>
      </c>
      <c r="AR264" s="21">
        <v>26.152799999999999</v>
      </c>
      <c r="AS264" s="21">
        <v>-1.4120499999999999E-2</v>
      </c>
      <c r="AT264" s="21">
        <v>254</v>
      </c>
      <c r="AU264" s="21">
        <v>0.51043700000000003</v>
      </c>
      <c r="AV264">
        <f t="shared" si="44"/>
        <v>17.432716049382716</v>
      </c>
      <c r="AW264">
        <f t="shared" si="45"/>
        <v>8.9084142574074079</v>
      </c>
      <c r="AX264" s="9"/>
      <c r="AY264" s="21">
        <v>1.1790499999999999</v>
      </c>
      <c r="AZ264" s="21">
        <v>29.951799999999999</v>
      </c>
      <c r="BA264" s="21">
        <v>-1.3507099999999999E-2</v>
      </c>
      <c r="BB264" s="21">
        <v>254</v>
      </c>
      <c r="BC264" s="21">
        <v>1.17798</v>
      </c>
      <c r="BD264">
        <f t="shared" si="46"/>
        <v>16.67543209876543</v>
      </c>
      <c r="BE264">
        <f t="shared" si="47"/>
        <v>19.661168216049379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7.5644299999999998</v>
      </c>
      <c r="I265" s="21">
        <v>-1.4163200000000001E-2</v>
      </c>
      <c r="J265" s="21">
        <v>255</v>
      </c>
      <c r="K265" s="21">
        <v>0.50531000000000004</v>
      </c>
      <c r="L265">
        <f t="shared" si="36"/>
        <v>17.485432098765433</v>
      </c>
      <c r="M265">
        <f t="shared" si="37"/>
        <v>8.847296418765433</v>
      </c>
      <c r="N265" s="9"/>
      <c r="O265" s="21">
        <v>1.18408</v>
      </c>
      <c r="P265" s="21">
        <v>11.3635</v>
      </c>
      <c r="Q265" s="21">
        <v>-1.35529E-2</v>
      </c>
      <c r="R265" s="21">
        <v>255</v>
      </c>
      <c r="S265" s="21">
        <v>1.1831700000000001</v>
      </c>
      <c r="T265">
        <f t="shared" si="38"/>
        <v>16.731975308641974</v>
      </c>
      <c r="U265">
        <f t="shared" si="39"/>
        <v>19.81199732345679</v>
      </c>
      <c r="X265" s="9"/>
      <c r="Y265" s="21">
        <v>0.50598100000000001</v>
      </c>
      <c r="Z265" s="21">
        <v>16.925599999999999</v>
      </c>
      <c r="AA265" s="21">
        <v>-1.42151E-2</v>
      </c>
      <c r="AB265" s="21">
        <v>255</v>
      </c>
      <c r="AC265" s="21">
        <v>0.50534100000000004</v>
      </c>
      <c r="AD265">
        <f t="shared" si="40"/>
        <v>17.549506172839507</v>
      </c>
      <c r="AE265">
        <f t="shared" si="41"/>
        <v>8.8797166828395078</v>
      </c>
      <c r="AF265" s="9"/>
      <c r="AG265" s="21">
        <v>1.18408</v>
      </c>
      <c r="AH265" s="21">
        <v>20.724699999999999</v>
      </c>
      <c r="AI265" s="21">
        <v>-1.35803E-2</v>
      </c>
      <c r="AJ265" s="21">
        <v>255</v>
      </c>
      <c r="AK265" s="21">
        <v>1.18286</v>
      </c>
      <c r="AL265">
        <f t="shared" si="42"/>
        <v>16.765802469135803</v>
      </c>
      <c r="AM265">
        <f t="shared" si="43"/>
        <v>19.852051387654321</v>
      </c>
      <c r="AP265" s="9"/>
      <c r="AQ265" s="21">
        <v>0.50598100000000001</v>
      </c>
      <c r="AR265" s="21">
        <v>26.162800000000001</v>
      </c>
      <c r="AS265" s="21">
        <v>-1.41327E-2</v>
      </c>
      <c r="AT265" s="21">
        <v>255</v>
      </c>
      <c r="AU265" s="21">
        <v>0.50534100000000004</v>
      </c>
      <c r="AV265">
        <f t="shared" si="44"/>
        <v>17.447777777777777</v>
      </c>
      <c r="AW265">
        <f t="shared" si="45"/>
        <v>8.8282440477777779</v>
      </c>
      <c r="AX265" s="9"/>
      <c r="AY265" s="21">
        <v>1.18408</v>
      </c>
      <c r="AZ265" s="21">
        <v>29.9619</v>
      </c>
      <c r="BA265" s="21">
        <v>-1.35132E-2</v>
      </c>
      <c r="BB265" s="21">
        <v>255</v>
      </c>
      <c r="BC265" s="21">
        <v>1.18347</v>
      </c>
      <c r="BD265">
        <f t="shared" si="46"/>
        <v>16.682962962962961</v>
      </c>
      <c r="BE265">
        <f t="shared" si="47"/>
        <v>19.753962785185184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7.5744999999999996</v>
      </c>
      <c r="I266" s="21">
        <v>-1.4169299999999999E-2</v>
      </c>
      <c r="J266" s="21">
        <v>256</v>
      </c>
      <c r="K266" s="21">
        <v>0.500031</v>
      </c>
      <c r="L266">
        <f t="shared" si="36"/>
        <v>17.492962962962959</v>
      </c>
      <c r="M266">
        <f t="shared" si="37"/>
        <v>8.7630298244444429</v>
      </c>
      <c r="N266" s="9"/>
      <c r="O266" s="21">
        <v>1.18912</v>
      </c>
      <c r="P266" s="21">
        <v>11.3735</v>
      </c>
      <c r="Q266" s="21">
        <v>-1.35345E-2</v>
      </c>
      <c r="R266" s="21">
        <v>256</v>
      </c>
      <c r="S266" s="21">
        <v>1.18866</v>
      </c>
      <c r="T266">
        <f t="shared" si="38"/>
        <v>16.709259259259255</v>
      </c>
      <c r="U266">
        <f t="shared" si="39"/>
        <v>19.869314370370365</v>
      </c>
      <c r="X266" s="9"/>
      <c r="Y266" s="21">
        <v>0.500946</v>
      </c>
      <c r="Z266" s="21">
        <v>16.935700000000001</v>
      </c>
      <c r="AA266" s="21">
        <v>-1.42212E-2</v>
      </c>
      <c r="AB266" s="21">
        <v>256</v>
      </c>
      <c r="AC266" s="21">
        <v>0.500305</v>
      </c>
      <c r="AD266">
        <f t="shared" si="40"/>
        <v>17.557037037037034</v>
      </c>
      <c r="AE266">
        <f t="shared" si="41"/>
        <v>8.7951274755555549</v>
      </c>
      <c r="AF266" s="9"/>
      <c r="AG266" s="21">
        <v>1.18912</v>
      </c>
      <c r="AH266" s="21">
        <v>20.7347</v>
      </c>
      <c r="AI266" s="21">
        <v>-1.35681E-2</v>
      </c>
      <c r="AJ266" s="21">
        <v>256</v>
      </c>
      <c r="AK266" s="21">
        <v>1.18866</v>
      </c>
      <c r="AL266">
        <f t="shared" si="42"/>
        <v>16.750740740740738</v>
      </c>
      <c r="AM266">
        <f t="shared" si="43"/>
        <v>19.918640829629627</v>
      </c>
      <c r="AP266" s="9"/>
      <c r="AQ266" s="21">
        <v>0.500946</v>
      </c>
      <c r="AR266" s="21">
        <v>26.172899999999998</v>
      </c>
      <c r="AS266" s="21">
        <v>-1.41479E-2</v>
      </c>
      <c r="AT266" s="21">
        <v>256</v>
      </c>
      <c r="AU266" s="21">
        <v>0.50015299999999996</v>
      </c>
      <c r="AV266">
        <f t="shared" si="44"/>
        <v>17.466543209876541</v>
      </c>
      <c r="AW266">
        <f t="shared" si="45"/>
        <v>8.7497949548148135</v>
      </c>
      <c r="AX266" s="9"/>
      <c r="AY266" s="21">
        <v>1.18912</v>
      </c>
      <c r="AZ266" s="21">
        <v>29.972000000000001</v>
      </c>
      <c r="BA266" s="21">
        <v>-1.35193E-2</v>
      </c>
      <c r="BB266" s="21">
        <v>256</v>
      </c>
      <c r="BC266" s="21">
        <v>1.18835</v>
      </c>
      <c r="BD266">
        <f t="shared" si="46"/>
        <v>16.690493827160495</v>
      </c>
      <c r="BE266">
        <f t="shared" si="47"/>
        <v>19.847000019753086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7.5845700000000003</v>
      </c>
      <c r="I267" s="21">
        <v>-1.41815E-2</v>
      </c>
      <c r="J267" s="21">
        <v>257</v>
      </c>
      <c r="K267" s="21">
        <v>0.49530000000000002</v>
      </c>
      <c r="L267">
        <f t="shared" si="36"/>
        <v>17.508024691358024</v>
      </c>
      <c r="M267">
        <f t="shared" si="37"/>
        <v>8.6824220327160493</v>
      </c>
      <c r="N267" s="9"/>
      <c r="O267" s="21">
        <v>1.19415</v>
      </c>
      <c r="P267" s="21">
        <v>11.383599999999999</v>
      </c>
      <c r="Q267" s="21">
        <v>-1.3522299999999999E-2</v>
      </c>
      <c r="R267" s="21">
        <v>257</v>
      </c>
      <c r="S267" s="21">
        <v>1.1932400000000001</v>
      </c>
      <c r="T267">
        <f t="shared" si="38"/>
        <v>16.694197530864194</v>
      </c>
      <c r="U267">
        <f t="shared" si="39"/>
        <v>19.935375981481478</v>
      </c>
      <c r="X267" s="9"/>
      <c r="Y267" s="21">
        <v>0.49591099999999999</v>
      </c>
      <c r="Z267" s="21">
        <v>16.945799999999998</v>
      </c>
      <c r="AA267" s="21">
        <v>-1.42334E-2</v>
      </c>
      <c r="AB267" s="21">
        <v>257</v>
      </c>
      <c r="AC267" s="21">
        <v>0.49526999999999999</v>
      </c>
      <c r="AD267">
        <f t="shared" si="40"/>
        <v>17.572098765432099</v>
      </c>
      <c r="AE267">
        <f t="shared" si="41"/>
        <v>8.7141970708641967</v>
      </c>
      <c r="AF267" s="9"/>
      <c r="AG267" s="21">
        <v>1.19415</v>
      </c>
      <c r="AH267" s="21">
        <v>20.744800000000001</v>
      </c>
      <c r="AI267" s="21">
        <v>-1.3549800000000001E-2</v>
      </c>
      <c r="AJ267" s="21">
        <v>257</v>
      </c>
      <c r="AK267" s="21">
        <v>1.1932400000000001</v>
      </c>
      <c r="AL267">
        <f t="shared" si="42"/>
        <v>16.728148148148147</v>
      </c>
      <c r="AM267">
        <f t="shared" si="43"/>
        <v>19.97591811111111</v>
      </c>
      <c r="AP267" s="9"/>
      <c r="AQ267" s="21">
        <v>0.49591099999999999</v>
      </c>
      <c r="AR267" s="21">
        <v>26.183</v>
      </c>
      <c r="AS267" s="21">
        <v>-1.41663E-2</v>
      </c>
      <c r="AT267" s="21">
        <v>257</v>
      </c>
      <c r="AU267" s="21">
        <v>0.49533100000000002</v>
      </c>
      <c r="AV267">
        <f t="shared" si="44"/>
        <v>17.489259259259256</v>
      </c>
      <c r="AW267">
        <f t="shared" si="45"/>
        <v>8.6731160485185175</v>
      </c>
      <c r="AX267" s="9"/>
      <c r="AY267" s="21">
        <v>1.19415</v>
      </c>
      <c r="AZ267" s="21">
        <v>29.981999999999999</v>
      </c>
      <c r="BA267" s="21">
        <v>-1.35193E-2</v>
      </c>
      <c r="BB267" s="21">
        <v>257</v>
      </c>
      <c r="BC267" s="21">
        <v>1.19293</v>
      </c>
      <c r="BD267">
        <f t="shared" si="46"/>
        <v>16.690493827160495</v>
      </c>
      <c r="BE267">
        <f t="shared" si="47"/>
        <v>19.930953203703705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7.5946400000000001</v>
      </c>
      <c r="I268" s="21">
        <v>-1.4202899999999999E-2</v>
      </c>
      <c r="J268" s="21">
        <v>258</v>
      </c>
      <c r="K268" s="21">
        <v>0.49032599999999998</v>
      </c>
      <c r="L268">
        <f t="shared" ref="L268:L331" si="48">-I268/$F$2*1000</f>
        <v>17.534444444444443</v>
      </c>
      <c r="M268">
        <f t="shared" ref="M268:M331" si="49">L268*G268</f>
        <v>8.6072204166666655</v>
      </c>
      <c r="N268" s="9"/>
      <c r="O268" s="21">
        <v>1.19919</v>
      </c>
      <c r="P268" s="21">
        <v>11.393700000000001</v>
      </c>
      <c r="Q268" s="21">
        <v>-1.35132E-2</v>
      </c>
      <c r="R268" s="21">
        <v>258</v>
      </c>
      <c r="S268" s="21">
        <v>1.1981200000000001</v>
      </c>
      <c r="T268">
        <f t="shared" ref="T268:T331" si="50">-Q268/$F$2*1000</f>
        <v>16.682962962962961</v>
      </c>
      <c r="U268">
        <f t="shared" ref="U268:U331" si="51">T268*O268</f>
        <v>20.006042355555554</v>
      </c>
      <c r="X268" s="9"/>
      <c r="Y268" s="21">
        <v>0.49087500000000001</v>
      </c>
      <c r="Z268" s="21">
        <v>16.9558</v>
      </c>
      <c r="AA268" s="21">
        <v>-1.42487E-2</v>
      </c>
      <c r="AB268" s="21">
        <v>258</v>
      </c>
      <c r="AC268" s="21">
        <v>0.490234</v>
      </c>
      <c r="AD268">
        <f t="shared" ref="AD268:AD331" si="52">-AA268/$F$2*1000</f>
        <v>17.590987654320987</v>
      </c>
      <c r="AE268">
        <f t="shared" ref="AE268:AE331" si="53">AD268*Y268</f>
        <v>8.6349760648148148</v>
      </c>
      <c r="AF268" s="9"/>
      <c r="AG268" s="21">
        <v>1.19919</v>
      </c>
      <c r="AH268" s="21">
        <v>20.754899999999999</v>
      </c>
      <c r="AI268" s="21">
        <v>-1.35376E-2</v>
      </c>
      <c r="AJ268" s="21">
        <v>258</v>
      </c>
      <c r="AK268" s="21">
        <v>1.19781</v>
      </c>
      <c r="AL268">
        <f t="shared" ref="AL268:AL331" si="54">-AI268/$F$2*1000</f>
        <v>16.713086419753086</v>
      </c>
      <c r="AM268">
        <f t="shared" ref="AM268:AM331" si="55">AL268*AG268</f>
        <v>20.042166103703703</v>
      </c>
      <c r="AP268" s="9"/>
      <c r="AQ268" s="21">
        <v>0.49087500000000001</v>
      </c>
      <c r="AR268" s="21">
        <v>26.193100000000001</v>
      </c>
      <c r="AS268" s="21">
        <v>-1.4175399999999999E-2</v>
      </c>
      <c r="AT268" s="21">
        <v>258</v>
      </c>
      <c r="AU268" s="21">
        <v>0.49029499999999998</v>
      </c>
      <c r="AV268">
        <f t="shared" ref="AV268:AV331" si="56">-AS268/$F$2*1000</f>
        <v>17.500493827160494</v>
      </c>
      <c r="AW268">
        <f t="shared" ref="AW268:AW331" si="57">AV268*AQ268</f>
        <v>8.590554907407407</v>
      </c>
      <c r="AX268" s="9"/>
      <c r="AY268" s="21">
        <v>1.19919</v>
      </c>
      <c r="AZ268" s="21">
        <v>29.992100000000001</v>
      </c>
      <c r="BA268" s="21">
        <v>-1.3504E-2</v>
      </c>
      <c r="BB268" s="21">
        <v>258</v>
      </c>
      <c r="BC268" s="21">
        <v>1.1984300000000001</v>
      </c>
      <c r="BD268">
        <f t="shared" ref="BD268:BD331" si="58">-BA268/$F$2*1000</f>
        <v>16.671604938271606</v>
      </c>
      <c r="BE268">
        <f t="shared" ref="BE268:BE331" si="59">BD268*AY268</f>
        <v>19.992421925925928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7.6047099999999999</v>
      </c>
      <c r="I269" s="21">
        <v>-1.42212E-2</v>
      </c>
      <c r="J269" s="21">
        <v>259</v>
      </c>
      <c r="K269" s="21">
        <v>0.48522900000000002</v>
      </c>
      <c r="L269">
        <f t="shared" si="48"/>
        <v>17.557037037037034</v>
      </c>
      <c r="M269">
        <f t="shared" si="49"/>
        <v>8.5299108740740728</v>
      </c>
      <c r="N269" s="9"/>
      <c r="O269" s="21">
        <v>1.2042200000000001</v>
      </c>
      <c r="P269" s="21">
        <v>11.4038</v>
      </c>
      <c r="Q269" s="21">
        <v>-1.3507099999999999E-2</v>
      </c>
      <c r="R269" s="21">
        <v>259</v>
      </c>
      <c r="S269" s="21">
        <v>1.2033100000000001</v>
      </c>
      <c r="T269">
        <f t="shared" si="50"/>
        <v>16.67543209876543</v>
      </c>
      <c r="U269">
        <f t="shared" si="51"/>
        <v>20.080888841975309</v>
      </c>
      <c r="X269" s="9"/>
      <c r="Y269" s="21">
        <v>0.48583999999999999</v>
      </c>
      <c r="Z269" s="21">
        <v>16.965900000000001</v>
      </c>
      <c r="AA269" s="21">
        <v>-1.4245600000000001E-2</v>
      </c>
      <c r="AB269" s="21">
        <v>259</v>
      </c>
      <c r="AC269" s="21">
        <v>0.48519899999999999</v>
      </c>
      <c r="AD269">
        <f t="shared" si="52"/>
        <v>17.58716049382716</v>
      </c>
      <c r="AE269">
        <f t="shared" si="53"/>
        <v>8.5445460543209872</v>
      </c>
      <c r="AF269" s="9"/>
      <c r="AG269" s="21">
        <v>1.2042200000000001</v>
      </c>
      <c r="AH269" s="21">
        <v>20.764900000000001</v>
      </c>
      <c r="AI269" s="21">
        <v>-1.35132E-2</v>
      </c>
      <c r="AJ269" s="21">
        <v>259</v>
      </c>
      <c r="AK269" s="21">
        <v>1.2039200000000001</v>
      </c>
      <c r="AL269">
        <f t="shared" si="54"/>
        <v>16.682962962962961</v>
      </c>
      <c r="AM269">
        <f t="shared" si="55"/>
        <v>20.089957659259259</v>
      </c>
      <c r="AP269" s="9"/>
      <c r="AQ269" s="21">
        <v>0.48583999999999999</v>
      </c>
      <c r="AR269" s="21">
        <v>26.203099999999999</v>
      </c>
      <c r="AS269" s="21">
        <v>-1.41785E-2</v>
      </c>
      <c r="AT269" s="21">
        <v>259</v>
      </c>
      <c r="AU269" s="21">
        <v>0.48516799999999999</v>
      </c>
      <c r="AV269">
        <f t="shared" si="56"/>
        <v>17.504320987654321</v>
      </c>
      <c r="AW269">
        <f t="shared" si="57"/>
        <v>8.5042993086419756</v>
      </c>
      <c r="AX269" s="9"/>
      <c r="AY269" s="21">
        <v>1.2042200000000001</v>
      </c>
      <c r="AZ269" s="21">
        <v>30.002199999999998</v>
      </c>
      <c r="BA269" s="21">
        <v>-1.34979E-2</v>
      </c>
      <c r="BB269" s="21">
        <v>259</v>
      </c>
      <c r="BC269" s="21">
        <v>1.2033100000000001</v>
      </c>
      <c r="BD269">
        <f t="shared" si="58"/>
        <v>16.664074074074072</v>
      </c>
      <c r="BE269">
        <f t="shared" si="59"/>
        <v>20.06721128148148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7.6147799999999997</v>
      </c>
      <c r="I270" s="21">
        <v>-1.4224199999999999E-2</v>
      </c>
      <c r="J270" s="21">
        <v>260</v>
      </c>
      <c r="K270" s="21">
        <v>0.48016399999999998</v>
      </c>
      <c r="L270">
        <f t="shared" si="48"/>
        <v>17.560740740740737</v>
      </c>
      <c r="M270">
        <f t="shared" si="49"/>
        <v>8.4432743911111103</v>
      </c>
      <c r="N270" s="9"/>
      <c r="O270" s="21">
        <v>1.20926</v>
      </c>
      <c r="P270" s="21">
        <v>11.4138</v>
      </c>
      <c r="Q270" s="21">
        <v>-1.3501000000000001E-2</v>
      </c>
      <c r="R270" s="21">
        <v>260</v>
      </c>
      <c r="S270" s="21">
        <v>1.2081900000000001</v>
      </c>
      <c r="T270">
        <f t="shared" si="50"/>
        <v>16.667901234567903</v>
      </c>
      <c r="U270">
        <f t="shared" si="51"/>
        <v>20.155826246913584</v>
      </c>
      <c r="X270" s="9"/>
      <c r="Y270" s="21">
        <v>0.48080400000000001</v>
      </c>
      <c r="Z270" s="21">
        <v>16.975999999999999</v>
      </c>
      <c r="AA270" s="21">
        <v>-1.4236499999999999E-2</v>
      </c>
      <c r="AB270" s="21">
        <v>260</v>
      </c>
      <c r="AC270" s="21">
        <v>0.48028599999999999</v>
      </c>
      <c r="AD270">
        <f t="shared" si="52"/>
        <v>17.575925925925926</v>
      </c>
      <c r="AE270">
        <f t="shared" si="53"/>
        <v>8.4505754888888891</v>
      </c>
      <c r="AF270" s="9"/>
      <c r="AG270" s="21">
        <v>1.20926</v>
      </c>
      <c r="AH270" s="21">
        <v>20.774999999999999</v>
      </c>
      <c r="AI270" s="21">
        <v>-1.3510100000000001E-2</v>
      </c>
      <c r="AJ270" s="21">
        <v>260</v>
      </c>
      <c r="AK270" s="21">
        <v>1.2081900000000001</v>
      </c>
      <c r="AL270">
        <f t="shared" si="54"/>
        <v>16.679135802469133</v>
      </c>
      <c r="AM270">
        <f t="shared" si="55"/>
        <v>20.169411760493823</v>
      </c>
      <c r="AP270" s="9"/>
      <c r="AQ270" s="21">
        <v>0.48080400000000001</v>
      </c>
      <c r="AR270" s="21">
        <v>26.213200000000001</v>
      </c>
      <c r="AS270" s="21">
        <v>-1.4175399999999999E-2</v>
      </c>
      <c r="AT270" s="21">
        <v>260</v>
      </c>
      <c r="AU270" s="21">
        <v>0.48016399999999998</v>
      </c>
      <c r="AV270">
        <f t="shared" si="56"/>
        <v>17.500493827160494</v>
      </c>
      <c r="AW270">
        <f t="shared" si="57"/>
        <v>8.4143074340740736</v>
      </c>
      <c r="AX270" s="9"/>
      <c r="AY270" s="21">
        <v>1.20926</v>
      </c>
      <c r="AZ270" s="21">
        <v>30.0122</v>
      </c>
      <c r="BA270" s="21">
        <v>-1.34766E-2</v>
      </c>
      <c r="BB270" s="21">
        <v>260</v>
      </c>
      <c r="BC270" s="21">
        <v>1.2078899999999999</v>
      </c>
      <c r="BD270">
        <f t="shared" si="58"/>
        <v>16.637777777777774</v>
      </c>
      <c r="BE270">
        <f t="shared" si="59"/>
        <v>20.119399155555552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7.6248500000000003</v>
      </c>
      <c r="I271" s="21">
        <v>-1.42334E-2</v>
      </c>
      <c r="J271" s="21">
        <v>261</v>
      </c>
      <c r="K271" s="21">
        <v>0.47512799999999999</v>
      </c>
      <c r="L271">
        <f t="shared" si="48"/>
        <v>17.572098765432099</v>
      </c>
      <c r="M271">
        <f t="shared" si="49"/>
        <v>8.3602598575308633</v>
      </c>
      <c r="N271" s="9"/>
      <c r="O271" s="21">
        <v>1.2142900000000001</v>
      </c>
      <c r="P271" s="21">
        <v>11.4239</v>
      </c>
      <c r="Q271" s="21">
        <v>-1.34918E-2</v>
      </c>
      <c r="R271" s="21">
        <v>261</v>
      </c>
      <c r="S271" s="21">
        <v>1.2133799999999999</v>
      </c>
      <c r="T271">
        <f t="shared" si="50"/>
        <v>16.656543209876542</v>
      </c>
      <c r="U271">
        <f t="shared" si="51"/>
        <v>20.225873854320987</v>
      </c>
      <c r="X271" s="9"/>
      <c r="Y271" s="21">
        <v>0.475769</v>
      </c>
      <c r="Z271" s="21">
        <v>16.986000000000001</v>
      </c>
      <c r="AA271" s="21">
        <v>-1.4236499999999999E-2</v>
      </c>
      <c r="AB271" s="21">
        <v>261</v>
      </c>
      <c r="AC271" s="21">
        <v>0.475159</v>
      </c>
      <c r="AD271">
        <f t="shared" si="52"/>
        <v>17.575925925925926</v>
      </c>
      <c r="AE271">
        <f t="shared" si="53"/>
        <v>8.3620807018518519</v>
      </c>
      <c r="AF271" s="9"/>
      <c r="AG271" s="21">
        <v>1.2142900000000001</v>
      </c>
      <c r="AH271" s="21">
        <v>20.7851</v>
      </c>
      <c r="AI271" s="21">
        <v>-1.3504E-2</v>
      </c>
      <c r="AJ271" s="21">
        <v>261</v>
      </c>
      <c r="AK271" s="21">
        <v>1.2133799999999999</v>
      </c>
      <c r="AL271">
        <f t="shared" si="54"/>
        <v>16.671604938271606</v>
      </c>
      <c r="AM271">
        <f t="shared" si="55"/>
        <v>20.24416316049383</v>
      </c>
      <c r="AP271" s="9"/>
      <c r="AQ271" s="21">
        <v>0.475769</v>
      </c>
      <c r="AR271" s="21">
        <v>26.223299999999998</v>
      </c>
      <c r="AS271" s="21">
        <v>-1.41785E-2</v>
      </c>
      <c r="AT271" s="21">
        <v>261</v>
      </c>
      <c r="AU271" s="21">
        <v>0.47518899999999997</v>
      </c>
      <c r="AV271">
        <f t="shared" si="56"/>
        <v>17.504320987654321</v>
      </c>
      <c r="AW271">
        <f t="shared" si="57"/>
        <v>8.3280132919753083</v>
      </c>
      <c r="AX271" s="9"/>
      <c r="AY271" s="21">
        <v>1.2142900000000001</v>
      </c>
      <c r="AZ271" s="21">
        <v>30.022300000000001</v>
      </c>
      <c r="BA271" s="21">
        <v>-1.3467399999999999E-2</v>
      </c>
      <c r="BB271" s="21">
        <v>261</v>
      </c>
      <c r="BC271" s="21">
        <v>1.2136800000000001</v>
      </c>
      <c r="BD271">
        <f t="shared" si="58"/>
        <v>16.626419753086417</v>
      </c>
      <c r="BE271">
        <f t="shared" si="59"/>
        <v>20.189295241975305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7.6349200000000002</v>
      </c>
      <c r="I272" s="21">
        <v>-1.42303E-2</v>
      </c>
      <c r="J272" s="21">
        <v>262</v>
      </c>
      <c r="K272" s="21">
        <v>0.46997100000000003</v>
      </c>
      <c r="L272">
        <f t="shared" si="48"/>
        <v>17.568271604938271</v>
      </c>
      <c r="M272">
        <f t="shared" si="49"/>
        <v>8.2699827656790124</v>
      </c>
      <c r="N272" s="9"/>
      <c r="O272" s="21">
        <v>1.21933</v>
      </c>
      <c r="P272" s="21">
        <v>11.433999999999999</v>
      </c>
      <c r="Q272" s="21">
        <v>-1.3473499999999999E-2</v>
      </c>
      <c r="R272" s="21">
        <v>262</v>
      </c>
      <c r="S272" s="21">
        <v>1.2188699999999999</v>
      </c>
      <c r="T272">
        <f t="shared" si="50"/>
        <v>16.633950617283947</v>
      </c>
      <c r="U272">
        <f t="shared" si="51"/>
        <v>20.282275006172835</v>
      </c>
      <c r="X272" s="9"/>
      <c r="Y272" s="21">
        <v>0.47073399999999999</v>
      </c>
      <c r="Z272" s="21">
        <v>16.996099999999998</v>
      </c>
      <c r="AA272" s="21">
        <v>-1.4242599999999999E-2</v>
      </c>
      <c r="AB272" s="21">
        <v>262</v>
      </c>
      <c r="AC272" s="21">
        <v>0.47015400000000002</v>
      </c>
      <c r="AD272">
        <f t="shared" si="52"/>
        <v>17.583456790123453</v>
      </c>
      <c r="AE272">
        <f t="shared" si="53"/>
        <v>8.2771309486419735</v>
      </c>
      <c r="AF272" s="9"/>
      <c r="AG272" s="21">
        <v>1.21933</v>
      </c>
      <c r="AH272" s="21">
        <v>20.795200000000001</v>
      </c>
      <c r="AI272" s="21">
        <v>-1.3494900000000001E-2</v>
      </c>
      <c r="AJ272" s="21">
        <v>262</v>
      </c>
      <c r="AK272" s="21">
        <v>1.2179599999999999</v>
      </c>
      <c r="AL272">
        <f t="shared" si="54"/>
        <v>16.660370370370369</v>
      </c>
      <c r="AM272">
        <f t="shared" si="55"/>
        <v>20.314489403703703</v>
      </c>
      <c r="AP272" s="9"/>
      <c r="AQ272" s="21">
        <v>0.47073399999999999</v>
      </c>
      <c r="AR272" s="21">
        <v>26.2333</v>
      </c>
      <c r="AS272" s="21">
        <v>-1.4196800000000001E-2</v>
      </c>
      <c r="AT272" s="21">
        <v>262</v>
      </c>
      <c r="AU272" s="21">
        <v>0.47009299999999998</v>
      </c>
      <c r="AV272">
        <f t="shared" si="56"/>
        <v>17.526913580246916</v>
      </c>
      <c r="AW272">
        <f t="shared" si="57"/>
        <v>8.2505141372839521</v>
      </c>
      <c r="AX272" s="9"/>
      <c r="AY272" s="21">
        <v>1.21933</v>
      </c>
      <c r="AZ272" s="21">
        <v>30.032399999999999</v>
      </c>
      <c r="BA272" s="21">
        <v>-1.3458299999999999E-2</v>
      </c>
      <c r="BB272" s="21">
        <v>262</v>
      </c>
      <c r="BC272" s="21">
        <v>1.2185699999999999</v>
      </c>
      <c r="BD272">
        <f t="shared" si="58"/>
        <v>16.615185185185183</v>
      </c>
      <c r="BE272">
        <f t="shared" si="59"/>
        <v>20.259393751851849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7.6449999999999996</v>
      </c>
      <c r="I273" s="21">
        <v>-1.4224199999999999E-2</v>
      </c>
      <c r="J273" s="21">
        <v>263</v>
      </c>
      <c r="K273" s="21">
        <v>0.465088</v>
      </c>
      <c r="L273">
        <f t="shared" si="48"/>
        <v>17.560740740740737</v>
      </c>
      <c r="M273">
        <f t="shared" si="49"/>
        <v>8.1780018414814801</v>
      </c>
      <c r="N273" s="9"/>
      <c r="O273" s="21">
        <v>1.22437</v>
      </c>
      <c r="P273" s="21">
        <v>11.444000000000001</v>
      </c>
      <c r="Q273" s="21">
        <v>-1.3446E-2</v>
      </c>
      <c r="R273" s="21">
        <v>263</v>
      </c>
      <c r="S273" s="21">
        <v>1.2234499999999999</v>
      </c>
      <c r="T273">
        <f t="shared" si="50"/>
        <v>16.599999999999998</v>
      </c>
      <c r="U273">
        <f t="shared" si="51"/>
        <v>20.324541999999997</v>
      </c>
      <c r="X273" s="9"/>
      <c r="Y273" s="21">
        <v>0.465698</v>
      </c>
      <c r="Z273" s="21">
        <v>17.0062</v>
      </c>
      <c r="AA273" s="21">
        <v>-1.4245600000000001E-2</v>
      </c>
      <c r="AB273" s="21">
        <v>263</v>
      </c>
      <c r="AC273" s="21">
        <v>0.46493499999999999</v>
      </c>
      <c r="AD273">
        <f t="shared" si="52"/>
        <v>17.58716049382716</v>
      </c>
      <c r="AE273">
        <f t="shared" si="53"/>
        <v>8.190305467654321</v>
      </c>
      <c r="AF273" s="9"/>
      <c r="AG273" s="21">
        <v>1.22437</v>
      </c>
      <c r="AH273" s="21">
        <v>20.805199999999999</v>
      </c>
      <c r="AI273" s="21">
        <v>-1.34766E-2</v>
      </c>
      <c r="AJ273" s="21">
        <v>263</v>
      </c>
      <c r="AK273" s="21">
        <v>1.2234499999999999</v>
      </c>
      <c r="AL273">
        <f t="shared" si="54"/>
        <v>16.637777777777774</v>
      </c>
      <c r="AM273">
        <f t="shared" si="55"/>
        <v>20.370795977777775</v>
      </c>
      <c r="AP273" s="9"/>
      <c r="AQ273" s="21">
        <v>0.465698</v>
      </c>
      <c r="AR273" s="21">
        <v>26.243400000000001</v>
      </c>
      <c r="AS273" s="21">
        <v>-1.4208999999999999E-2</v>
      </c>
      <c r="AT273" s="21">
        <v>263</v>
      </c>
      <c r="AU273" s="21">
        <v>0.465393</v>
      </c>
      <c r="AV273">
        <f t="shared" si="56"/>
        <v>17.541975308641973</v>
      </c>
      <c r="AW273">
        <f t="shared" si="57"/>
        <v>8.1692628172839488</v>
      </c>
      <c r="AX273" s="9"/>
      <c r="AY273" s="21">
        <v>1.22437</v>
      </c>
      <c r="AZ273" s="21">
        <v>30.0425</v>
      </c>
      <c r="BA273" s="21">
        <v>-1.34552E-2</v>
      </c>
      <c r="BB273" s="21">
        <v>263</v>
      </c>
      <c r="BC273" s="21">
        <v>1.2237499999999999</v>
      </c>
      <c r="BD273">
        <f t="shared" si="58"/>
        <v>16.611358024691356</v>
      </c>
      <c r="BE273">
        <f t="shared" si="59"/>
        <v>20.338448424691354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7.6550700000000003</v>
      </c>
      <c r="I274" s="21">
        <v>-1.42334E-2</v>
      </c>
      <c r="J274" s="21">
        <v>264</v>
      </c>
      <c r="K274" s="21">
        <v>0.46011400000000002</v>
      </c>
      <c r="L274">
        <f t="shared" si="48"/>
        <v>17.572098765432099</v>
      </c>
      <c r="M274">
        <f t="shared" si="49"/>
        <v>8.094815733580246</v>
      </c>
      <c r="N274" s="9"/>
      <c r="O274" s="21">
        <v>1.2294</v>
      </c>
      <c r="P274" s="21">
        <v>11.4541</v>
      </c>
      <c r="Q274" s="21">
        <v>-1.3421600000000001E-2</v>
      </c>
      <c r="R274" s="21">
        <v>264</v>
      </c>
      <c r="S274" s="21">
        <v>1.2283299999999999</v>
      </c>
      <c r="T274">
        <f t="shared" si="50"/>
        <v>16.569876543209876</v>
      </c>
      <c r="U274">
        <f t="shared" si="51"/>
        <v>20.371006222222224</v>
      </c>
      <c r="X274" s="9"/>
      <c r="Y274" s="21">
        <v>0.46066299999999999</v>
      </c>
      <c r="Z274" s="21">
        <v>17.016300000000001</v>
      </c>
      <c r="AA274" s="21">
        <v>-1.4242599999999999E-2</v>
      </c>
      <c r="AB274" s="21">
        <v>264</v>
      </c>
      <c r="AC274" s="21">
        <v>0.46008300000000002</v>
      </c>
      <c r="AD274">
        <f t="shared" si="52"/>
        <v>17.583456790123453</v>
      </c>
      <c r="AE274">
        <f t="shared" si="53"/>
        <v>8.1000479553086393</v>
      </c>
      <c r="AF274" s="9"/>
      <c r="AG274" s="21">
        <v>1.2294</v>
      </c>
      <c r="AH274" s="21">
        <v>20.815300000000001</v>
      </c>
      <c r="AI274" s="21">
        <v>-1.34644E-2</v>
      </c>
      <c r="AJ274" s="21">
        <v>264</v>
      </c>
      <c r="AK274" s="21">
        <v>1.2289399999999999</v>
      </c>
      <c r="AL274">
        <f t="shared" si="54"/>
        <v>16.622716049382717</v>
      </c>
      <c r="AM274">
        <f t="shared" si="55"/>
        <v>20.435967111111115</v>
      </c>
      <c r="AP274" s="9"/>
      <c r="AQ274" s="21">
        <v>0.46066299999999999</v>
      </c>
      <c r="AR274" s="21">
        <v>26.253499999999999</v>
      </c>
      <c r="AS274" s="21">
        <v>-1.4218099999999999E-2</v>
      </c>
      <c r="AT274" s="21">
        <v>264</v>
      </c>
      <c r="AU274" s="21">
        <v>0.46008300000000002</v>
      </c>
      <c r="AV274">
        <f t="shared" si="56"/>
        <v>17.553209876543207</v>
      </c>
      <c r="AW274">
        <f t="shared" si="57"/>
        <v>8.0861143213580231</v>
      </c>
      <c r="AX274" s="9"/>
      <c r="AY274" s="21">
        <v>1.2294</v>
      </c>
      <c r="AZ274" s="21">
        <v>30.052499999999998</v>
      </c>
      <c r="BA274" s="21">
        <v>-1.3458299999999999E-2</v>
      </c>
      <c r="BB274" s="21">
        <v>264</v>
      </c>
      <c r="BC274" s="21">
        <v>1.22864</v>
      </c>
      <c r="BD274">
        <f t="shared" si="58"/>
        <v>16.615185185185183</v>
      </c>
      <c r="BE274">
        <f t="shared" si="59"/>
        <v>20.426708666666666</v>
      </c>
    </row>
    <row r="275" spans="6:101" x14ac:dyDescent="0.25">
      <c r="F275" s="9"/>
      <c r="G275" s="21">
        <v>0.455627</v>
      </c>
      <c r="H275" s="21">
        <v>7.6651400000000001</v>
      </c>
      <c r="I275" s="21">
        <v>-1.42487E-2</v>
      </c>
      <c r="J275" s="21">
        <v>265</v>
      </c>
      <c r="K275" s="21">
        <v>0.45513900000000002</v>
      </c>
      <c r="L275">
        <f t="shared" si="48"/>
        <v>17.590987654320987</v>
      </c>
      <c r="M275">
        <f t="shared" si="49"/>
        <v>8.0149289319753088</v>
      </c>
      <c r="N275" s="9"/>
      <c r="O275" s="21">
        <v>1.23444</v>
      </c>
      <c r="P275" s="21">
        <v>11.4642</v>
      </c>
      <c r="Q275" s="21">
        <v>-1.34033E-2</v>
      </c>
      <c r="R275" s="21">
        <v>265</v>
      </c>
      <c r="S275" s="21">
        <v>1.23383</v>
      </c>
      <c r="T275">
        <f t="shared" si="50"/>
        <v>16.547283950617281</v>
      </c>
      <c r="U275">
        <f t="shared" si="51"/>
        <v>20.426629199999997</v>
      </c>
      <c r="X275" s="9"/>
      <c r="Y275" s="21">
        <v>0.455627</v>
      </c>
      <c r="Z275" s="21">
        <v>17.026299999999999</v>
      </c>
      <c r="AA275" s="21">
        <v>-1.42487E-2</v>
      </c>
      <c r="AB275" s="21">
        <v>265</v>
      </c>
      <c r="AC275" s="21">
        <v>0.45504800000000001</v>
      </c>
      <c r="AD275">
        <f t="shared" si="52"/>
        <v>17.590987654320987</v>
      </c>
      <c r="AE275">
        <f t="shared" si="53"/>
        <v>8.0149289319753088</v>
      </c>
      <c r="AF275" s="9"/>
      <c r="AG275" s="21">
        <v>1.23444</v>
      </c>
      <c r="AH275" s="21">
        <v>20.825399999999998</v>
      </c>
      <c r="AI275" s="21">
        <v>-1.34552E-2</v>
      </c>
      <c r="AJ275" s="21">
        <v>265</v>
      </c>
      <c r="AK275" s="21">
        <v>1.2335199999999999</v>
      </c>
      <c r="AL275">
        <f t="shared" si="54"/>
        <v>16.611358024691356</v>
      </c>
      <c r="AM275">
        <f t="shared" si="55"/>
        <v>20.505724799999996</v>
      </c>
      <c r="AP275" s="9"/>
      <c r="AQ275" s="21">
        <v>0.455627</v>
      </c>
      <c r="AR275" s="21">
        <v>26.2636</v>
      </c>
      <c r="AS275" s="21">
        <v>-1.4224199999999999E-2</v>
      </c>
      <c r="AT275" s="21">
        <v>265</v>
      </c>
      <c r="AU275" s="21">
        <v>0.45495600000000003</v>
      </c>
      <c r="AV275">
        <f t="shared" si="56"/>
        <v>17.560740740740737</v>
      </c>
      <c r="AW275">
        <f t="shared" si="57"/>
        <v>8.0011476214814792</v>
      </c>
      <c r="AX275" s="9"/>
      <c r="AY275" s="21">
        <v>1.23444</v>
      </c>
      <c r="AZ275" s="21">
        <v>30.0626</v>
      </c>
      <c r="BA275" s="21">
        <v>-1.3439899999999999E-2</v>
      </c>
      <c r="BB275" s="21">
        <v>265</v>
      </c>
      <c r="BC275" s="21">
        <v>1.23322</v>
      </c>
      <c r="BD275">
        <f t="shared" si="58"/>
        <v>16.592469135802467</v>
      </c>
      <c r="BE275">
        <f t="shared" si="59"/>
        <v>20.482407599999998</v>
      </c>
    </row>
    <row r="276" spans="6:101" x14ac:dyDescent="0.25">
      <c r="F276" s="9"/>
      <c r="G276" s="21">
        <v>0.45059199999999999</v>
      </c>
      <c r="H276" s="21">
        <v>7.6752099999999999</v>
      </c>
      <c r="I276" s="21">
        <v>-1.42548E-2</v>
      </c>
      <c r="J276" s="21">
        <v>266</v>
      </c>
      <c r="K276" s="21">
        <v>0.450073</v>
      </c>
      <c r="L276">
        <f t="shared" si="48"/>
        <v>17.598518518518517</v>
      </c>
      <c r="M276">
        <f t="shared" si="49"/>
        <v>7.929751656296296</v>
      </c>
      <c r="N276" s="9"/>
      <c r="O276" s="21">
        <v>1.2394700000000001</v>
      </c>
      <c r="P276" s="21">
        <v>11.474299999999999</v>
      </c>
      <c r="Q276" s="21">
        <v>-1.33911E-2</v>
      </c>
      <c r="R276" s="21">
        <v>266</v>
      </c>
      <c r="S276" s="21">
        <v>1.23871</v>
      </c>
      <c r="T276">
        <f t="shared" si="50"/>
        <v>16.53222222222222</v>
      </c>
      <c r="U276">
        <f t="shared" si="51"/>
        <v>20.491193477777777</v>
      </c>
      <c r="X276" s="9"/>
      <c r="Y276" s="21">
        <v>0.45059199999999999</v>
      </c>
      <c r="Z276" s="21">
        <v>17.0364</v>
      </c>
      <c r="AA276" s="21">
        <v>-1.42487E-2</v>
      </c>
      <c r="AB276" s="21">
        <v>266</v>
      </c>
      <c r="AC276" s="21">
        <v>0.44995099999999999</v>
      </c>
      <c r="AD276">
        <f t="shared" si="52"/>
        <v>17.590987654320987</v>
      </c>
      <c r="AE276">
        <f t="shared" si="53"/>
        <v>7.9263583091358019</v>
      </c>
      <c r="AF276" s="9"/>
      <c r="AG276" s="21">
        <v>1.2394700000000001</v>
      </c>
      <c r="AH276" s="21">
        <v>20.8354</v>
      </c>
      <c r="AI276" s="21">
        <v>-1.3439899999999999E-2</v>
      </c>
      <c r="AJ276" s="21">
        <v>266</v>
      </c>
      <c r="AK276" s="21">
        <v>1.2390099999999999</v>
      </c>
      <c r="AL276">
        <f t="shared" si="54"/>
        <v>16.592469135802467</v>
      </c>
      <c r="AM276">
        <f t="shared" si="55"/>
        <v>20.565867719753086</v>
      </c>
      <c r="AP276" s="9"/>
      <c r="AQ276" s="21">
        <v>0.45059199999999999</v>
      </c>
      <c r="AR276" s="21">
        <v>26.273599999999998</v>
      </c>
      <c r="AS276" s="21">
        <v>-1.4224199999999999E-2</v>
      </c>
      <c r="AT276" s="21">
        <v>266</v>
      </c>
      <c r="AU276" s="21">
        <v>0.44982899999999998</v>
      </c>
      <c r="AV276">
        <f t="shared" si="56"/>
        <v>17.560740740740737</v>
      </c>
      <c r="AW276">
        <f t="shared" si="57"/>
        <v>7.9127292918518499</v>
      </c>
      <c r="AX276" s="9"/>
      <c r="AY276" s="21">
        <v>1.2394700000000001</v>
      </c>
      <c r="AZ276" s="21">
        <v>30.072700000000001</v>
      </c>
      <c r="BA276" s="21">
        <v>-1.3424699999999999E-2</v>
      </c>
      <c r="BB276" s="21">
        <v>266</v>
      </c>
      <c r="BC276" s="21">
        <v>1.2383999999999999</v>
      </c>
      <c r="BD276">
        <f t="shared" si="58"/>
        <v>16.5737037037037</v>
      </c>
      <c r="BE276">
        <f t="shared" si="59"/>
        <v>20.542608529629625</v>
      </c>
    </row>
    <row r="277" spans="6:101" x14ac:dyDescent="0.25">
      <c r="F277" s="9"/>
      <c r="G277" s="21">
        <v>0.44555699999999998</v>
      </c>
      <c r="H277" s="21">
        <v>7.6852799999999997</v>
      </c>
      <c r="I277" s="21">
        <v>-1.42487E-2</v>
      </c>
      <c r="J277" s="21">
        <v>267</v>
      </c>
      <c r="K277" s="21">
        <v>0.44488499999999997</v>
      </c>
      <c r="L277">
        <f t="shared" si="48"/>
        <v>17.590987654320987</v>
      </c>
      <c r="M277">
        <f t="shared" si="49"/>
        <v>7.8377876862962959</v>
      </c>
      <c r="N277" s="9"/>
      <c r="O277" s="21">
        <v>1.24451</v>
      </c>
      <c r="P277" s="21">
        <v>11.484299999999999</v>
      </c>
      <c r="Q277" s="21">
        <v>-1.3372800000000001E-2</v>
      </c>
      <c r="R277" s="21">
        <v>267</v>
      </c>
      <c r="S277" s="21">
        <v>1.24329</v>
      </c>
      <c r="T277">
        <f t="shared" si="50"/>
        <v>16.509629629629632</v>
      </c>
      <c r="U277">
        <f t="shared" si="51"/>
        <v>20.546399170370375</v>
      </c>
      <c r="X277" s="9"/>
      <c r="Y277" s="21">
        <v>0.44555699999999998</v>
      </c>
      <c r="Z277" s="21">
        <v>17.046500000000002</v>
      </c>
      <c r="AA277" s="21">
        <v>-1.42487E-2</v>
      </c>
      <c r="AB277" s="21">
        <v>267</v>
      </c>
      <c r="AC277" s="21">
        <v>0.44494600000000001</v>
      </c>
      <c r="AD277">
        <f t="shared" si="52"/>
        <v>17.590987654320987</v>
      </c>
      <c r="AE277">
        <f t="shared" si="53"/>
        <v>7.8377876862962959</v>
      </c>
      <c r="AF277" s="9"/>
      <c r="AG277" s="21">
        <v>1.24451</v>
      </c>
      <c r="AH277" s="21">
        <v>20.845500000000001</v>
      </c>
      <c r="AI277" s="21">
        <v>-1.3418599999999999E-2</v>
      </c>
      <c r="AJ277" s="21">
        <v>267</v>
      </c>
      <c r="AK277" s="21">
        <v>1.2439</v>
      </c>
      <c r="AL277">
        <f t="shared" si="54"/>
        <v>16.566172839506169</v>
      </c>
      <c r="AM277">
        <f t="shared" si="55"/>
        <v>20.616767760493822</v>
      </c>
      <c r="AP277" s="9"/>
      <c r="AQ277" s="21">
        <v>0.44555699999999998</v>
      </c>
      <c r="AR277" s="21">
        <v>26.2837</v>
      </c>
      <c r="AS277" s="21">
        <v>-1.42212E-2</v>
      </c>
      <c r="AT277" s="21">
        <v>267</v>
      </c>
      <c r="AU277" s="21">
        <v>0.44488499999999997</v>
      </c>
      <c r="AV277">
        <f t="shared" si="56"/>
        <v>17.557037037037034</v>
      </c>
      <c r="AW277">
        <f t="shared" si="57"/>
        <v>7.8226607511111093</v>
      </c>
      <c r="AX277" s="9"/>
      <c r="AY277" s="21">
        <v>1.24451</v>
      </c>
      <c r="AZ277" s="21">
        <v>30.082699999999999</v>
      </c>
      <c r="BA277" s="21">
        <v>-1.3421600000000001E-2</v>
      </c>
      <c r="BB277" s="21">
        <v>267</v>
      </c>
      <c r="BC277" s="21">
        <v>1.24359</v>
      </c>
      <c r="BD277">
        <f t="shared" si="58"/>
        <v>16.569876543209876</v>
      </c>
      <c r="BE277">
        <f t="shared" si="59"/>
        <v>20.621377056790124</v>
      </c>
    </row>
    <row r="278" spans="6:101" x14ac:dyDescent="0.25">
      <c r="F278" s="9"/>
      <c r="G278" s="21">
        <v>0.440521</v>
      </c>
      <c r="H278" s="21">
        <v>7.6953500000000004</v>
      </c>
      <c r="I278" s="21">
        <v>-1.42395E-2</v>
      </c>
      <c r="J278" s="21">
        <v>268</v>
      </c>
      <c r="K278" s="21">
        <v>0.43972800000000001</v>
      </c>
      <c r="L278">
        <f t="shared" si="48"/>
        <v>17.579629629629629</v>
      </c>
      <c r="M278">
        <f t="shared" si="49"/>
        <v>7.7441960240740739</v>
      </c>
      <c r="N278" s="9"/>
      <c r="O278" s="21">
        <v>1.2495400000000001</v>
      </c>
      <c r="P278" s="21">
        <v>11.494400000000001</v>
      </c>
      <c r="Q278" s="21">
        <v>-1.33545E-2</v>
      </c>
      <c r="R278" s="21">
        <v>268</v>
      </c>
      <c r="S278" s="21">
        <v>1.24847</v>
      </c>
      <c r="T278">
        <f t="shared" si="50"/>
        <v>16.487037037037037</v>
      </c>
      <c r="U278">
        <f t="shared" si="51"/>
        <v>20.60121225925926</v>
      </c>
      <c r="X278" s="9"/>
      <c r="Y278" s="21">
        <v>0.440521</v>
      </c>
      <c r="Z278" s="21">
        <v>17.0565</v>
      </c>
      <c r="AA278" s="21">
        <v>-1.4236499999999999E-2</v>
      </c>
      <c r="AB278" s="21">
        <v>268</v>
      </c>
      <c r="AC278" s="21">
        <v>0.43985000000000002</v>
      </c>
      <c r="AD278">
        <f t="shared" si="52"/>
        <v>17.575925925925926</v>
      </c>
      <c r="AE278">
        <f t="shared" si="53"/>
        <v>7.7425644648148149</v>
      </c>
      <c r="AF278" s="9"/>
      <c r="AG278" s="21">
        <v>1.2495400000000001</v>
      </c>
      <c r="AH278" s="21">
        <v>20.855599999999999</v>
      </c>
      <c r="AI278" s="21">
        <v>-1.34094E-2</v>
      </c>
      <c r="AJ278" s="21">
        <v>268</v>
      </c>
      <c r="AK278" s="21">
        <v>1.24908</v>
      </c>
      <c r="AL278">
        <f t="shared" si="54"/>
        <v>16.554814814814815</v>
      </c>
      <c r="AM278">
        <f t="shared" si="55"/>
        <v>20.685903303703707</v>
      </c>
      <c r="AP278" s="9"/>
      <c r="AQ278" s="21">
        <v>0.440521</v>
      </c>
      <c r="AR278" s="21">
        <v>26.293800000000001</v>
      </c>
      <c r="AS278" s="21">
        <v>-1.42151E-2</v>
      </c>
      <c r="AT278" s="21">
        <v>268</v>
      </c>
      <c r="AU278" s="21">
        <v>0.43981900000000002</v>
      </c>
      <c r="AV278">
        <f t="shared" si="56"/>
        <v>17.549506172839507</v>
      </c>
      <c r="AW278">
        <f t="shared" si="57"/>
        <v>7.7309260087654321</v>
      </c>
      <c r="AX278" s="9"/>
      <c r="AY278" s="21">
        <v>1.2495400000000001</v>
      </c>
      <c r="AZ278" s="21">
        <v>30.0928</v>
      </c>
      <c r="BA278" s="21">
        <v>-1.34003E-2</v>
      </c>
      <c r="BB278" s="21">
        <v>268</v>
      </c>
      <c r="BC278" s="21">
        <v>1.24878</v>
      </c>
      <c r="BD278">
        <f t="shared" si="58"/>
        <v>16.543580246913578</v>
      </c>
      <c r="BE278">
        <f t="shared" si="59"/>
        <v>20.671865261728392</v>
      </c>
    </row>
    <row r="279" spans="6:101" x14ac:dyDescent="0.25">
      <c r="F279" s="9"/>
      <c r="G279" s="21">
        <v>0.43548599999999998</v>
      </c>
      <c r="H279" s="21">
        <v>7.7054200000000002</v>
      </c>
      <c r="I279" s="21">
        <v>-1.42334E-2</v>
      </c>
      <c r="J279" s="21">
        <v>269</v>
      </c>
      <c r="K279" s="21">
        <v>0.43493700000000002</v>
      </c>
      <c r="L279">
        <f t="shared" si="48"/>
        <v>17.572098765432099</v>
      </c>
      <c r="M279">
        <f t="shared" si="49"/>
        <v>7.6524030029629628</v>
      </c>
      <c r="N279" s="9"/>
      <c r="O279" s="21">
        <v>1.25458</v>
      </c>
      <c r="P279" s="21">
        <v>11.5045</v>
      </c>
      <c r="Q279" s="21">
        <v>-1.3336199999999999E-2</v>
      </c>
      <c r="R279" s="21">
        <v>269</v>
      </c>
      <c r="S279" s="21">
        <v>1.25366</v>
      </c>
      <c r="T279">
        <f t="shared" si="50"/>
        <v>16.464444444444442</v>
      </c>
      <c r="U279">
        <f t="shared" si="51"/>
        <v>20.655962711111108</v>
      </c>
      <c r="X279" s="9"/>
      <c r="Y279" s="21">
        <v>0.43548599999999998</v>
      </c>
      <c r="Z279" s="21">
        <v>17.066600000000001</v>
      </c>
      <c r="AA279" s="21">
        <v>-1.42395E-2</v>
      </c>
      <c r="AB279" s="21">
        <v>269</v>
      </c>
      <c r="AC279" s="21">
        <v>0.43484499999999998</v>
      </c>
      <c r="AD279">
        <f t="shared" si="52"/>
        <v>17.579629629629629</v>
      </c>
      <c r="AE279">
        <f t="shared" si="53"/>
        <v>7.6556825888888884</v>
      </c>
      <c r="AF279" s="9"/>
      <c r="AG279" s="21">
        <v>1.25458</v>
      </c>
      <c r="AH279" s="21">
        <v>20.8657</v>
      </c>
      <c r="AI279" s="21">
        <v>-1.34003E-2</v>
      </c>
      <c r="AJ279" s="21">
        <v>269</v>
      </c>
      <c r="AK279" s="21">
        <v>1.25366</v>
      </c>
      <c r="AL279">
        <f t="shared" si="54"/>
        <v>16.543580246913578</v>
      </c>
      <c r="AM279">
        <f t="shared" si="55"/>
        <v>20.755244906172837</v>
      </c>
      <c r="AP279" s="9"/>
      <c r="AQ279" s="21">
        <v>0.43548599999999998</v>
      </c>
      <c r="AR279" s="21">
        <v>26.303799999999999</v>
      </c>
      <c r="AS279" s="21">
        <v>-1.4218099999999999E-2</v>
      </c>
      <c r="AT279" s="21">
        <v>269</v>
      </c>
      <c r="AU279" s="21">
        <v>0.43493700000000002</v>
      </c>
      <c r="AV279">
        <f t="shared" si="56"/>
        <v>17.553209876543207</v>
      </c>
      <c r="AW279">
        <f t="shared" si="57"/>
        <v>7.644177156296295</v>
      </c>
      <c r="AX279" s="9"/>
      <c r="AY279" s="21">
        <v>1.25458</v>
      </c>
      <c r="AZ279" s="21">
        <v>30.102900000000002</v>
      </c>
      <c r="BA279" s="21">
        <v>-1.33881E-2</v>
      </c>
      <c r="BB279" s="21">
        <v>269</v>
      </c>
      <c r="BC279" s="21">
        <v>1.25397</v>
      </c>
      <c r="BD279">
        <f t="shared" si="58"/>
        <v>16.528518518518517</v>
      </c>
      <c r="BE279">
        <f t="shared" si="59"/>
        <v>20.736348762962962</v>
      </c>
    </row>
    <row r="280" spans="6:101" x14ac:dyDescent="0.25">
      <c r="F280" s="9"/>
      <c r="G280" s="21">
        <v>0.43045</v>
      </c>
      <c r="H280" s="21">
        <v>7.71549</v>
      </c>
      <c r="I280" s="21">
        <v>-1.42303E-2</v>
      </c>
      <c r="J280" s="21">
        <v>270</v>
      </c>
      <c r="K280" s="21">
        <v>0.42993199999999998</v>
      </c>
      <c r="L280">
        <f t="shared" si="48"/>
        <v>17.568271604938271</v>
      </c>
      <c r="M280">
        <f t="shared" si="49"/>
        <v>7.5622625123456793</v>
      </c>
      <c r="N280" s="9"/>
      <c r="O280" s="21">
        <v>1.2596099999999999</v>
      </c>
      <c r="P280" s="21">
        <v>11.5145</v>
      </c>
      <c r="Q280" s="21">
        <v>-1.3324000000000001E-2</v>
      </c>
      <c r="R280" s="21">
        <v>270</v>
      </c>
      <c r="S280" s="21">
        <v>1.25885</v>
      </c>
      <c r="T280">
        <f t="shared" si="50"/>
        <v>16.449382716049382</v>
      </c>
      <c r="U280">
        <f t="shared" si="51"/>
        <v>20.719806962962959</v>
      </c>
      <c r="X280" s="9"/>
      <c r="Y280" s="21">
        <v>0.43045</v>
      </c>
      <c r="Z280" s="21">
        <v>17.076699999999999</v>
      </c>
      <c r="AA280" s="21">
        <v>-1.4251700000000001E-2</v>
      </c>
      <c r="AB280" s="21">
        <v>270</v>
      </c>
      <c r="AC280" s="21">
        <v>0.429871</v>
      </c>
      <c r="AD280">
        <f t="shared" si="52"/>
        <v>17.594691358024694</v>
      </c>
      <c r="AE280">
        <f t="shared" si="53"/>
        <v>7.5736348950617289</v>
      </c>
      <c r="AF280" s="9"/>
      <c r="AG280" s="21">
        <v>1.2596099999999999</v>
      </c>
      <c r="AH280" s="21">
        <v>20.875699999999998</v>
      </c>
      <c r="AI280" s="21">
        <v>-1.33881E-2</v>
      </c>
      <c r="AJ280" s="21">
        <v>270</v>
      </c>
      <c r="AK280" s="21">
        <v>1.25885</v>
      </c>
      <c r="AL280">
        <f t="shared" si="54"/>
        <v>16.528518518518517</v>
      </c>
      <c r="AM280">
        <f t="shared" si="55"/>
        <v>20.819487211111106</v>
      </c>
      <c r="AP280" s="9"/>
      <c r="AQ280" s="21">
        <v>0.43045</v>
      </c>
      <c r="AR280" s="21">
        <v>26.3139</v>
      </c>
      <c r="AS280" s="21">
        <v>-1.42303E-2</v>
      </c>
      <c r="AT280" s="21">
        <v>270</v>
      </c>
      <c r="AU280" s="21">
        <v>0.42993199999999998</v>
      </c>
      <c r="AV280">
        <f t="shared" si="56"/>
        <v>17.568271604938271</v>
      </c>
      <c r="AW280">
        <f t="shared" si="57"/>
        <v>7.5622625123456793</v>
      </c>
      <c r="AX280" s="9"/>
      <c r="AY280" s="21">
        <v>1.2596099999999999</v>
      </c>
      <c r="AZ280" s="21">
        <v>30.113</v>
      </c>
      <c r="BA280" s="21">
        <v>-1.33606E-2</v>
      </c>
      <c r="BB280" s="21">
        <v>270</v>
      </c>
      <c r="BC280" s="21">
        <v>1.25824</v>
      </c>
      <c r="BD280">
        <f t="shared" si="58"/>
        <v>16.494567901234568</v>
      </c>
      <c r="BE280">
        <f t="shared" si="59"/>
        <v>20.776722674074072</v>
      </c>
    </row>
    <row r="281" spans="6:101" x14ac:dyDescent="0.25">
      <c r="F281" s="9"/>
      <c r="G281" s="21">
        <v>0.42541499999999999</v>
      </c>
      <c r="H281" s="21">
        <v>7.7255599999999998</v>
      </c>
      <c r="I281" s="21">
        <v>-1.42303E-2</v>
      </c>
      <c r="J281" s="21">
        <v>271</v>
      </c>
      <c r="K281" s="21">
        <v>0.42477399999999998</v>
      </c>
      <c r="L281">
        <f t="shared" si="48"/>
        <v>17.568271604938271</v>
      </c>
      <c r="M281">
        <f t="shared" si="49"/>
        <v>7.4738062648148142</v>
      </c>
      <c r="N281" s="9"/>
      <c r="O281" s="21">
        <v>1.2646500000000001</v>
      </c>
      <c r="P281" s="21">
        <v>11.5246</v>
      </c>
      <c r="Q281" s="21">
        <v>-1.33057E-2</v>
      </c>
      <c r="R281" s="21">
        <v>271</v>
      </c>
      <c r="S281" s="21">
        <v>1.2640400000000001</v>
      </c>
      <c r="T281">
        <f t="shared" si="50"/>
        <v>16.42679012345679</v>
      </c>
      <c r="U281">
        <f t="shared" si="51"/>
        <v>20.774140129629629</v>
      </c>
      <c r="X281" s="9"/>
      <c r="Y281" s="21">
        <v>0.42541499999999999</v>
      </c>
      <c r="Z281" s="21">
        <v>17.0868</v>
      </c>
      <c r="AA281" s="21">
        <v>-1.42609E-2</v>
      </c>
      <c r="AB281" s="21">
        <v>271</v>
      </c>
      <c r="AC281" s="21">
        <v>0.42480499999999999</v>
      </c>
      <c r="AD281">
        <f t="shared" si="52"/>
        <v>17.606049382716048</v>
      </c>
      <c r="AE281">
        <f t="shared" si="53"/>
        <v>7.4898774981481475</v>
      </c>
      <c r="AF281" s="9"/>
      <c r="AG281" s="21">
        <v>1.2646500000000001</v>
      </c>
      <c r="AH281" s="21">
        <v>20.8858</v>
      </c>
      <c r="AI281" s="21">
        <v>-1.3382E-2</v>
      </c>
      <c r="AJ281" s="21">
        <v>271</v>
      </c>
      <c r="AK281" s="21">
        <v>1.2640400000000001</v>
      </c>
      <c r="AL281">
        <f t="shared" si="54"/>
        <v>16.520987654320987</v>
      </c>
      <c r="AM281">
        <f t="shared" si="55"/>
        <v>20.893267037037038</v>
      </c>
      <c r="AP281" s="9"/>
      <c r="AQ281" s="21">
        <v>0.42541499999999999</v>
      </c>
      <c r="AR281" s="21">
        <v>26.324000000000002</v>
      </c>
      <c r="AS281" s="21">
        <v>-1.4251700000000001E-2</v>
      </c>
      <c r="AT281" s="21">
        <v>271</v>
      </c>
      <c r="AU281" s="21">
        <v>0.42483500000000002</v>
      </c>
      <c r="AV281">
        <f t="shared" si="56"/>
        <v>17.594691358024694</v>
      </c>
      <c r="AW281">
        <f t="shared" si="57"/>
        <v>7.4850456240740746</v>
      </c>
      <c r="AX281" s="9"/>
      <c r="AY281" s="21">
        <v>1.2646500000000001</v>
      </c>
      <c r="AZ281" s="21">
        <v>30.123000000000001</v>
      </c>
      <c r="BA281" s="21">
        <v>-1.3339200000000001E-2</v>
      </c>
      <c r="BB281" s="21">
        <v>271</v>
      </c>
      <c r="BC281" s="21">
        <v>1.26373</v>
      </c>
      <c r="BD281">
        <f t="shared" si="58"/>
        <v>16.468148148148149</v>
      </c>
      <c r="BE281">
        <f t="shared" si="59"/>
        <v>20.826443555555556</v>
      </c>
    </row>
    <row r="282" spans="6:101" x14ac:dyDescent="0.25">
      <c r="F282" s="9"/>
      <c r="G282" s="21">
        <v>0.42037999999999998</v>
      </c>
      <c r="H282" s="21">
        <v>7.7356299999999996</v>
      </c>
      <c r="I282" s="21">
        <v>-1.42334E-2</v>
      </c>
      <c r="J282" s="21">
        <v>272</v>
      </c>
      <c r="K282" s="21">
        <v>0.41943399999999997</v>
      </c>
      <c r="L282">
        <f t="shared" si="48"/>
        <v>17.572098765432099</v>
      </c>
      <c r="M282">
        <f t="shared" si="49"/>
        <v>7.3869588790123455</v>
      </c>
      <c r="N282" s="9"/>
      <c r="O282" s="21">
        <v>1.2696799999999999</v>
      </c>
      <c r="P282" s="21">
        <v>11.534700000000001</v>
      </c>
      <c r="Q282" s="21">
        <v>-1.3290400000000001E-2</v>
      </c>
      <c r="R282" s="21">
        <v>272</v>
      </c>
      <c r="S282" s="21">
        <v>1.26892</v>
      </c>
      <c r="T282">
        <f t="shared" si="50"/>
        <v>16.407901234567902</v>
      </c>
      <c r="U282">
        <f t="shared" si="51"/>
        <v>20.832784039506173</v>
      </c>
      <c r="X282" s="9"/>
      <c r="Y282" s="21">
        <v>0.42037999999999998</v>
      </c>
      <c r="Z282" s="21">
        <v>17.096800000000002</v>
      </c>
      <c r="AA282" s="21">
        <v>-1.42822E-2</v>
      </c>
      <c r="AB282" s="21">
        <v>272</v>
      </c>
      <c r="AC282" s="21">
        <v>0.41958600000000001</v>
      </c>
      <c r="AD282">
        <f t="shared" si="52"/>
        <v>17.632345679012342</v>
      </c>
      <c r="AE282">
        <f t="shared" si="53"/>
        <v>7.4122854765432082</v>
      </c>
      <c r="AF282" s="9"/>
      <c r="AG282" s="21">
        <v>1.2696799999999999</v>
      </c>
      <c r="AH282" s="21">
        <v>20.895900000000001</v>
      </c>
      <c r="AI282" s="21">
        <v>-1.3378900000000001E-2</v>
      </c>
      <c r="AJ282" s="21">
        <v>272</v>
      </c>
      <c r="AK282" s="21">
        <v>1.26892</v>
      </c>
      <c r="AL282">
        <f t="shared" si="54"/>
        <v>16.517160493827159</v>
      </c>
      <c r="AM282">
        <f t="shared" si="55"/>
        <v>20.971508335802465</v>
      </c>
      <c r="AP282" s="9"/>
      <c r="AQ282" s="21">
        <v>0.42037999999999998</v>
      </c>
      <c r="AR282" s="21">
        <v>26.334099999999999</v>
      </c>
      <c r="AS282" s="21">
        <v>-1.4251700000000001E-2</v>
      </c>
      <c r="AT282" s="21">
        <v>272</v>
      </c>
      <c r="AU282" s="21">
        <v>0.41980000000000001</v>
      </c>
      <c r="AV282">
        <f t="shared" si="56"/>
        <v>17.594691358024694</v>
      </c>
      <c r="AW282">
        <f t="shared" si="57"/>
        <v>7.3964563530864202</v>
      </c>
      <c r="AX282" s="9"/>
      <c r="AY282" s="21">
        <v>1.2696799999999999</v>
      </c>
      <c r="AZ282" s="21">
        <v>30.133099999999999</v>
      </c>
      <c r="BA282" s="21">
        <v>-1.33209E-2</v>
      </c>
      <c r="BB282" s="21">
        <v>272</v>
      </c>
      <c r="BC282" s="21">
        <v>1.2686200000000001</v>
      </c>
      <c r="BD282">
        <f t="shared" si="58"/>
        <v>16.445555555555554</v>
      </c>
      <c r="BE282">
        <f t="shared" si="59"/>
        <v>20.880592977777773</v>
      </c>
    </row>
    <row r="283" spans="6:101" x14ac:dyDescent="0.25">
      <c r="F283" s="9"/>
      <c r="G283" s="21">
        <v>0.41534399999999999</v>
      </c>
      <c r="H283" s="21">
        <v>7.7457099999999999</v>
      </c>
      <c r="I283" s="21">
        <v>-1.42395E-2</v>
      </c>
      <c r="J283" s="21">
        <v>273</v>
      </c>
      <c r="K283" s="21">
        <v>0.41473399999999999</v>
      </c>
      <c r="L283">
        <f t="shared" si="48"/>
        <v>17.579629629629629</v>
      </c>
      <c r="M283">
        <f t="shared" si="49"/>
        <v>7.3015936888888886</v>
      </c>
      <c r="N283" s="9"/>
      <c r="O283" s="21">
        <v>1.2747200000000001</v>
      </c>
      <c r="P283" s="21">
        <v>11.5448</v>
      </c>
      <c r="Q283" s="21">
        <v>-1.3281299999999999E-2</v>
      </c>
      <c r="R283" s="21">
        <v>273</v>
      </c>
      <c r="S283" s="21">
        <v>1.2735000000000001</v>
      </c>
      <c r="T283">
        <f t="shared" si="50"/>
        <v>16.396666666666665</v>
      </c>
      <c r="U283">
        <f t="shared" si="51"/>
        <v>20.901158933333331</v>
      </c>
      <c r="X283" s="9"/>
      <c r="Y283" s="21">
        <v>0.41534399999999999</v>
      </c>
      <c r="Z283" s="21">
        <v>17.1069</v>
      </c>
      <c r="AA283" s="21">
        <v>-1.4279200000000001E-2</v>
      </c>
      <c r="AB283" s="21">
        <v>273</v>
      </c>
      <c r="AC283" s="21">
        <v>0.41467300000000001</v>
      </c>
      <c r="AD283">
        <f t="shared" si="52"/>
        <v>17.628641975308639</v>
      </c>
      <c r="AE283">
        <f t="shared" si="53"/>
        <v>7.3219506725925916</v>
      </c>
      <c r="AF283" s="9"/>
      <c r="AG283" s="21">
        <v>1.2747200000000001</v>
      </c>
      <c r="AH283" s="21">
        <v>20.905899999999999</v>
      </c>
      <c r="AI283" s="21">
        <v>-1.3372800000000001E-2</v>
      </c>
      <c r="AJ283" s="21">
        <v>273</v>
      </c>
      <c r="AK283" s="21">
        <v>1.2741100000000001</v>
      </c>
      <c r="AL283">
        <f t="shared" si="54"/>
        <v>16.509629629629632</v>
      </c>
      <c r="AM283">
        <f t="shared" si="55"/>
        <v>21.045155081481486</v>
      </c>
      <c r="AP283" s="9"/>
      <c r="AQ283" s="21">
        <v>0.41534399999999999</v>
      </c>
      <c r="AR283" s="21">
        <v>26.344100000000001</v>
      </c>
      <c r="AS283" s="21">
        <v>-1.4242599999999999E-2</v>
      </c>
      <c r="AT283" s="21">
        <v>273</v>
      </c>
      <c r="AU283" s="21">
        <v>0.41467300000000001</v>
      </c>
      <c r="AV283">
        <f t="shared" si="56"/>
        <v>17.583456790123453</v>
      </c>
      <c r="AW283">
        <f t="shared" si="57"/>
        <v>7.3031832770370348</v>
      </c>
      <c r="AX283" s="9"/>
      <c r="AY283" s="21">
        <v>1.2747200000000001</v>
      </c>
      <c r="AZ283" s="21">
        <v>30.1432</v>
      </c>
      <c r="BA283" s="21">
        <v>-1.33087E-2</v>
      </c>
      <c r="BB283" s="21">
        <v>273</v>
      </c>
      <c r="BC283" s="21">
        <v>1.2741100000000001</v>
      </c>
      <c r="BD283">
        <f t="shared" si="58"/>
        <v>16.430493827160493</v>
      </c>
      <c r="BE283">
        <f t="shared" si="59"/>
        <v>20.944279091358027</v>
      </c>
    </row>
    <row r="284" spans="6:101" x14ac:dyDescent="0.25">
      <c r="F284" s="9"/>
      <c r="G284" s="21">
        <v>0.41030899999999998</v>
      </c>
      <c r="H284" s="21">
        <v>7.7557799999999997</v>
      </c>
      <c r="I284" s="21">
        <v>-1.4245600000000001E-2</v>
      </c>
      <c r="J284" s="21">
        <v>274</v>
      </c>
      <c r="K284" s="21">
        <v>0.40969800000000001</v>
      </c>
      <c r="L284">
        <f t="shared" si="48"/>
        <v>17.58716049382716</v>
      </c>
      <c r="M284">
        <f t="shared" si="49"/>
        <v>7.2161702350617274</v>
      </c>
      <c r="N284" s="9"/>
      <c r="O284" s="21">
        <v>1.2797499999999999</v>
      </c>
      <c r="P284" s="21">
        <v>11.5548</v>
      </c>
      <c r="Q284" s="21">
        <v>-1.32751E-2</v>
      </c>
      <c r="R284" s="21">
        <v>274</v>
      </c>
      <c r="S284" s="21">
        <v>1.2786900000000001</v>
      </c>
      <c r="T284">
        <f t="shared" si="50"/>
        <v>16.38901234567901</v>
      </c>
      <c r="U284">
        <f t="shared" si="51"/>
        <v>20.973838549382712</v>
      </c>
      <c r="X284" s="9"/>
      <c r="Y284" s="21">
        <v>0.41030899999999998</v>
      </c>
      <c r="Z284" s="21">
        <v>17.117000000000001</v>
      </c>
      <c r="AA284" s="21">
        <v>-1.42761E-2</v>
      </c>
      <c r="AB284" s="21">
        <v>274</v>
      </c>
      <c r="AC284" s="21">
        <v>0.40966799999999998</v>
      </c>
      <c r="AD284">
        <f t="shared" si="52"/>
        <v>17.624814814814812</v>
      </c>
      <c r="AE284">
        <f t="shared" si="53"/>
        <v>7.2316201418518506</v>
      </c>
      <c r="AF284" s="9"/>
      <c r="AG284" s="21">
        <v>1.2797499999999999</v>
      </c>
      <c r="AH284" s="21">
        <v>20.916</v>
      </c>
      <c r="AI284" s="21">
        <v>-1.33545E-2</v>
      </c>
      <c r="AJ284" s="21">
        <v>274</v>
      </c>
      <c r="AK284" s="21">
        <v>1.2796000000000001</v>
      </c>
      <c r="AL284">
        <f t="shared" si="54"/>
        <v>16.487037037037037</v>
      </c>
      <c r="AM284">
        <f t="shared" si="55"/>
        <v>21.099285648148147</v>
      </c>
      <c r="AP284" s="9"/>
      <c r="AQ284" s="21">
        <v>0.41030899999999998</v>
      </c>
      <c r="AR284" s="21">
        <v>26.354199999999999</v>
      </c>
      <c r="AS284" s="21">
        <v>-1.42395E-2</v>
      </c>
      <c r="AT284" s="21">
        <v>274</v>
      </c>
      <c r="AU284" s="21">
        <v>0.40963699999999997</v>
      </c>
      <c r="AV284">
        <f t="shared" si="56"/>
        <v>17.579629629629629</v>
      </c>
      <c r="AW284">
        <f t="shared" si="57"/>
        <v>7.2130802537037031</v>
      </c>
      <c r="AX284" s="9"/>
      <c r="AY284" s="21">
        <v>1.2797499999999999</v>
      </c>
      <c r="AZ284" s="21">
        <v>30.153199999999998</v>
      </c>
      <c r="BA284" s="21">
        <v>-1.32935E-2</v>
      </c>
      <c r="BB284" s="21">
        <v>274</v>
      </c>
      <c r="BC284" s="21">
        <v>1.2789900000000001</v>
      </c>
      <c r="BD284">
        <f t="shared" si="58"/>
        <v>16.411728395061726</v>
      </c>
      <c r="BE284">
        <f t="shared" si="59"/>
        <v>21.002909413580241</v>
      </c>
    </row>
    <row r="285" spans="6:101" x14ac:dyDescent="0.25">
      <c r="F285" s="9"/>
      <c r="G285" s="21">
        <v>0.40527299999999999</v>
      </c>
      <c r="H285" s="21">
        <v>7.7658500000000004</v>
      </c>
      <c r="I285" s="21">
        <v>-1.4245600000000001E-2</v>
      </c>
      <c r="J285" s="21">
        <v>275</v>
      </c>
      <c r="K285" s="21">
        <v>0.40466299999999999</v>
      </c>
      <c r="L285">
        <f t="shared" si="48"/>
        <v>17.58716049382716</v>
      </c>
      <c r="M285">
        <f t="shared" si="49"/>
        <v>7.1276012948148146</v>
      </c>
      <c r="N285" s="9"/>
      <c r="O285" s="21">
        <v>1.2847900000000001</v>
      </c>
      <c r="P285" s="21">
        <v>11.5649</v>
      </c>
      <c r="Q285" s="21">
        <v>-1.3256799999999999E-2</v>
      </c>
      <c r="R285" s="21">
        <v>275</v>
      </c>
      <c r="S285" s="21">
        <v>1.2835700000000001</v>
      </c>
      <c r="T285">
        <f t="shared" si="50"/>
        <v>16.366419753086415</v>
      </c>
      <c r="U285">
        <f t="shared" si="51"/>
        <v>21.027412434567896</v>
      </c>
      <c r="X285" s="9"/>
      <c r="Y285" s="21">
        <v>0.40527299999999999</v>
      </c>
      <c r="Z285" s="21">
        <v>17.126999999999999</v>
      </c>
      <c r="AA285" s="21">
        <v>-1.42731E-2</v>
      </c>
      <c r="AB285" s="21">
        <v>275</v>
      </c>
      <c r="AC285" s="21">
        <v>0.40457199999999999</v>
      </c>
      <c r="AD285">
        <f t="shared" si="52"/>
        <v>17.621111111111112</v>
      </c>
      <c r="AE285">
        <f t="shared" si="53"/>
        <v>7.1413605633333335</v>
      </c>
      <c r="AF285" s="9"/>
      <c r="AG285" s="21">
        <v>1.2847900000000001</v>
      </c>
      <c r="AH285" s="21">
        <v>20.926100000000002</v>
      </c>
      <c r="AI285" s="21">
        <v>-1.3324000000000001E-2</v>
      </c>
      <c r="AJ285" s="21">
        <v>275</v>
      </c>
      <c r="AK285" s="21">
        <v>1.2835700000000001</v>
      </c>
      <c r="AL285">
        <f t="shared" si="54"/>
        <v>16.449382716049382</v>
      </c>
      <c r="AM285">
        <f t="shared" si="55"/>
        <v>21.134002419753088</v>
      </c>
      <c r="AP285" s="9"/>
      <c r="AQ285" s="21">
        <v>0.40527299999999999</v>
      </c>
      <c r="AR285" s="21">
        <v>26.3643</v>
      </c>
      <c r="AS285" s="21">
        <v>-1.42303E-2</v>
      </c>
      <c r="AT285" s="21">
        <v>275</v>
      </c>
      <c r="AU285" s="21">
        <v>0.404694</v>
      </c>
      <c r="AV285">
        <f t="shared" si="56"/>
        <v>17.568271604938271</v>
      </c>
      <c r="AW285">
        <f t="shared" si="57"/>
        <v>7.1199461381481477</v>
      </c>
      <c r="AX285" s="9"/>
      <c r="AY285" s="21">
        <v>1.2847900000000001</v>
      </c>
      <c r="AZ285" s="21">
        <v>30.1633</v>
      </c>
      <c r="BA285" s="21">
        <v>-1.3269E-2</v>
      </c>
      <c r="BB285" s="21">
        <v>275</v>
      </c>
      <c r="BC285" s="21">
        <v>1.2838700000000001</v>
      </c>
      <c r="BD285">
        <f t="shared" si="58"/>
        <v>16.38148148148148</v>
      </c>
      <c r="BE285">
        <f t="shared" si="59"/>
        <v>21.04676359259259</v>
      </c>
    </row>
    <row r="286" spans="6:101" x14ac:dyDescent="0.25">
      <c r="F286" s="9"/>
      <c r="G286" s="21">
        <v>0.40023799999999998</v>
      </c>
      <c r="H286" s="21">
        <v>7.7759200000000002</v>
      </c>
      <c r="I286" s="21">
        <v>-1.42487E-2</v>
      </c>
      <c r="J286" s="21">
        <v>276</v>
      </c>
      <c r="K286" s="21">
        <v>0.399536</v>
      </c>
      <c r="L286">
        <f t="shared" si="48"/>
        <v>17.590987654320987</v>
      </c>
      <c r="M286">
        <f t="shared" si="49"/>
        <v>7.0405817167901228</v>
      </c>
      <c r="N286" s="9"/>
      <c r="O286" s="21">
        <v>1.28983</v>
      </c>
      <c r="P286" s="21">
        <v>11.574999999999999</v>
      </c>
      <c r="Q286" s="21">
        <v>-1.32385E-2</v>
      </c>
      <c r="R286" s="21">
        <v>276</v>
      </c>
      <c r="S286" s="21">
        <v>1.2890600000000001</v>
      </c>
      <c r="T286">
        <f t="shared" si="50"/>
        <v>16.343827160493824</v>
      </c>
      <c r="U286">
        <f t="shared" si="51"/>
        <v>21.080758586419748</v>
      </c>
      <c r="X286" s="9"/>
      <c r="Y286" s="21">
        <v>0.40023799999999998</v>
      </c>
      <c r="Z286" s="21">
        <v>17.1371</v>
      </c>
      <c r="AA286" s="21">
        <v>-1.4263899999999999E-2</v>
      </c>
      <c r="AB286" s="21">
        <v>276</v>
      </c>
      <c r="AC286" s="21">
        <v>0.39974999999999999</v>
      </c>
      <c r="AD286">
        <f t="shared" si="52"/>
        <v>17.609753086419751</v>
      </c>
      <c r="AE286">
        <f t="shared" si="53"/>
        <v>7.048092355802468</v>
      </c>
      <c r="AF286" s="9"/>
      <c r="AG286" s="21">
        <v>1.28983</v>
      </c>
      <c r="AH286" s="21">
        <v>20.936199999999999</v>
      </c>
      <c r="AI286" s="21">
        <v>-1.3302599999999999E-2</v>
      </c>
      <c r="AJ286" s="21">
        <v>276</v>
      </c>
      <c r="AK286" s="21">
        <v>1.2893699999999999</v>
      </c>
      <c r="AL286">
        <f t="shared" si="54"/>
        <v>16.422962962962963</v>
      </c>
      <c r="AM286">
        <f t="shared" si="55"/>
        <v>21.182830318518519</v>
      </c>
      <c r="AP286" s="9"/>
      <c r="AQ286" s="21">
        <v>0.40023799999999998</v>
      </c>
      <c r="AR286" s="21">
        <v>26.374300000000002</v>
      </c>
      <c r="AS286" s="21">
        <v>-1.42334E-2</v>
      </c>
      <c r="AT286" s="21">
        <v>276</v>
      </c>
      <c r="AU286" s="21">
        <v>0.399536</v>
      </c>
      <c r="AV286">
        <f t="shared" si="56"/>
        <v>17.572098765432099</v>
      </c>
      <c r="AW286">
        <f t="shared" si="57"/>
        <v>7.0330216656790121</v>
      </c>
      <c r="AX286" s="9"/>
      <c r="AY286" s="21">
        <v>1.28983</v>
      </c>
      <c r="AZ286" s="21">
        <v>30.173400000000001</v>
      </c>
      <c r="BA286" s="21">
        <v>-1.3250700000000001E-2</v>
      </c>
      <c r="BB286" s="21">
        <v>276</v>
      </c>
      <c r="BC286" s="21">
        <v>1.2893699999999999</v>
      </c>
      <c r="BD286">
        <f t="shared" si="58"/>
        <v>16.358888888888888</v>
      </c>
      <c r="BE286">
        <f t="shared" si="59"/>
        <v>21.100185655555556</v>
      </c>
    </row>
    <row r="287" spans="6:101" x14ac:dyDescent="0.25">
      <c r="F287" s="9"/>
      <c r="G287" s="21">
        <v>0.39520300000000003</v>
      </c>
      <c r="H287" s="21">
        <v>7.78599</v>
      </c>
      <c r="I287" s="21">
        <v>-1.4257799999999999E-2</v>
      </c>
      <c r="J287" s="21">
        <v>277</v>
      </c>
      <c r="K287" s="21">
        <v>0.39468399999999998</v>
      </c>
      <c r="L287">
        <f t="shared" si="48"/>
        <v>17.60222222222222</v>
      </c>
      <c r="M287">
        <f t="shared" si="49"/>
        <v>6.956451028888889</v>
      </c>
      <c r="N287" s="9"/>
      <c r="O287" s="21">
        <v>1.2948599999999999</v>
      </c>
      <c r="P287" s="21">
        <v>11.585000000000001</v>
      </c>
      <c r="Q287" s="21">
        <v>-1.32324E-2</v>
      </c>
      <c r="R287" s="21">
        <v>277</v>
      </c>
      <c r="S287" s="21">
        <v>1.2942499999999999</v>
      </c>
      <c r="T287">
        <f t="shared" si="50"/>
        <v>16.336296296296297</v>
      </c>
      <c r="U287">
        <f t="shared" si="51"/>
        <v>21.153216622222221</v>
      </c>
      <c r="X287" s="9"/>
      <c r="Y287" s="21">
        <v>0.39520300000000003</v>
      </c>
      <c r="Z287" s="21">
        <v>17.147200000000002</v>
      </c>
      <c r="AA287" s="21">
        <v>-1.42548E-2</v>
      </c>
      <c r="AB287" s="21">
        <v>277</v>
      </c>
      <c r="AC287" s="21">
        <v>0.39465299999999998</v>
      </c>
      <c r="AD287">
        <f t="shared" si="52"/>
        <v>17.598518518518517</v>
      </c>
      <c r="AE287">
        <f t="shared" si="53"/>
        <v>6.9549873140740743</v>
      </c>
      <c r="AF287" s="9"/>
      <c r="AG287" s="21">
        <v>1.2948599999999999</v>
      </c>
      <c r="AH287" s="21">
        <v>20.946200000000001</v>
      </c>
      <c r="AI287" s="21">
        <v>-1.3281299999999999E-2</v>
      </c>
      <c r="AJ287" s="21">
        <v>277</v>
      </c>
      <c r="AK287" s="21">
        <v>1.2939499999999999</v>
      </c>
      <c r="AL287">
        <f t="shared" si="54"/>
        <v>16.396666666666665</v>
      </c>
      <c r="AM287">
        <f t="shared" si="55"/>
        <v>21.231387799999997</v>
      </c>
      <c r="AP287" s="9"/>
      <c r="AQ287" s="21">
        <v>0.39520300000000003</v>
      </c>
      <c r="AR287" s="21">
        <v>26.384399999999999</v>
      </c>
      <c r="AS287" s="21">
        <v>-1.42303E-2</v>
      </c>
      <c r="AT287" s="21">
        <v>277</v>
      </c>
      <c r="AU287" s="21">
        <v>0.394623</v>
      </c>
      <c r="AV287">
        <f t="shared" si="56"/>
        <v>17.568271604938271</v>
      </c>
      <c r="AW287">
        <f t="shared" si="57"/>
        <v>6.9430336430864203</v>
      </c>
      <c r="AX287" s="9"/>
      <c r="AY287" s="21">
        <v>1.2948599999999999</v>
      </c>
      <c r="AZ287" s="21">
        <v>30.183499999999999</v>
      </c>
      <c r="BA287" s="21">
        <v>-1.3229400000000001E-2</v>
      </c>
      <c r="BB287" s="21">
        <v>277</v>
      </c>
      <c r="BC287" s="21">
        <v>1.2939499999999999</v>
      </c>
      <c r="BD287">
        <f t="shared" si="58"/>
        <v>16.332592592592594</v>
      </c>
      <c r="BE287">
        <f t="shared" si="59"/>
        <v>21.148420844444445</v>
      </c>
    </row>
    <row r="288" spans="6:101" x14ac:dyDescent="0.25">
      <c r="F288" s="9"/>
      <c r="G288" s="21">
        <v>0.39016699999999999</v>
      </c>
      <c r="H288" s="21">
        <v>7.7960599999999998</v>
      </c>
      <c r="I288" s="21">
        <v>-1.4267E-2</v>
      </c>
      <c r="J288" s="21">
        <v>278</v>
      </c>
      <c r="K288" s="21">
        <v>0.38961800000000002</v>
      </c>
      <c r="L288">
        <f t="shared" si="48"/>
        <v>17.613580246913582</v>
      </c>
      <c r="M288">
        <f t="shared" si="49"/>
        <v>6.8722377641975312</v>
      </c>
      <c r="N288" s="9"/>
      <c r="O288" s="21">
        <v>1.2999000000000001</v>
      </c>
      <c r="P288" s="21">
        <v>11.5951</v>
      </c>
      <c r="Q288" s="21">
        <v>-1.32233E-2</v>
      </c>
      <c r="R288" s="21">
        <v>278</v>
      </c>
      <c r="S288" s="21">
        <v>1.2991299999999999</v>
      </c>
      <c r="T288">
        <f t="shared" si="50"/>
        <v>16.32506172839506</v>
      </c>
      <c r="U288">
        <f t="shared" si="51"/>
        <v>21.220947740740741</v>
      </c>
      <c r="X288" s="9"/>
      <c r="Y288" s="21">
        <v>0.39016699999999999</v>
      </c>
      <c r="Z288" s="21">
        <v>17.1572</v>
      </c>
      <c r="AA288" s="21">
        <v>-1.4245600000000001E-2</v>
      </c>
      <c r="AB288" s="21">
        <v>278</v>
      </c>
      <c r="AC288" s="21">
        <v>0.38958700000000002</v>
      </c>
      <c r="AD288">
        <f t="shared" si="52"/>
        <v>17.58716049382716</v>
      </c>
      <c r="AE288">
        <f t="shared" si="53"/>
        <v>6.8619296483950611</v>
      </c>
      <c r="AF288" s="9"/>
      <c r="AG288" s="21">
        <v>1.2999000000000001</v>
      </c>
      <c r="AH288" s="21">
        <v>20.956299999999999</v>
      </c>
      <c r="AI288" s="21">
        <v>-1.3262899999999999E-2</v>
      </c>
      <c r="AJ288" s="21">
        <v>278</v>
      </c>
      <c r="AK288" s="21">
        <v>1.2988299999999999</v>
      </c>
      <c r="AL288">
        <f t="shared" si="54"/>
        <v>16.373950617283949</v>
      </c>
      <c r="AM288">
        <f t="shared" si="55"/>
        <v>21.284498407407405</v>
      </c>
      <c r="AP288" s="9"/>
      <c r="AQ288" s="21">
        <v>0.39016699999999999</v>
      </c>
      <c r="AR288" s="21">
        <v>26.394500000000001</v>
      </c>
      <c r="AS288" s="21">
        <v>-1.42334E-2</v>
      </c>
      <c r="AT288" s="21">
        <v>278</v>
      </c>
      <c r="AU288" s="21">
        <v>0.38946500000000001</v>
      </c>
      <c r="AV288">
        <f t="shared" si="56"/>
        <v>17.572098765432099</v>
      </c>
      <c r="AW288">
        <f t="shared" si="57"/>
        <v>6.8560530590123454</v>
      </c>
      <c r="AX288" s="9"/>
      <c r="AY288" s="21">
        <v>1.2999000000000001</v>
      </c>
      <c r="AZ288" s="21">
        <v>30.1935</v>
      </c>
      <c r="BA288" s="21">
        <v>-1.32111E-2</v>
      </c>
      <c r="BB288" s="21">
        <v>278</v>
      </c>
      <c r="BC288" s="21">
        <v>1.2991299999999999</v>
      </c>
      <c r="BD288">
        <f t="shared" si="58"/>
        <v>16.309999999999999</v>
      </c>
      <c r="BE288">
        <f t="shared" si="59"/>
        <v>21.201369</v>
      </c>
    </row>
    <row r="289" spans="6:57" x14ac:dyDescent="0.25">
      <c r="F289" s="9"/>
      <c r="G289" s="21">
        <v>0.38513199999999997</v>
      </c>
      <c r="H289" s="21">
        <v>7.8061299999999996</v>
      </c>
      <c r="I289" s="21">
        <v>-1.42761E-2</v>
      </c>
      <c r="J289" s="21">
        <v>279</v>
      </c>
      <c r="K289" s="21">
        <v>0.38442999999999999</v>
      </c>
      <c r="L289">
        <f t="shared" si="48"/>
        <v>17.624814814814812</v>
      </c>
      <c r="M289">
        <f t="shared" si="49"/>
        <v>6.7878801792592576</v>
      </c>
      <c r="N289" s="9"/>
      <c r="O289" s="21">
        <v>1.3049299999999999</v>
      </c>
      <c r="P289" s="21">
        <v>11.6052</v>
      </c>
      <c r="Q289" s="21">
        <v>-1.31989E-2</v>
      </c>
      <c r="R289" s="21">
        <v>279</v>
      </c>
      <c r="S289" s="21">
        <v>1.3043199999999999</v>
      </c>
      <c r="T289">
        <f t="shared" si="50"/>
        <v>16.294938271604938</v>
      </c>
      <c r="U289">
        <f t="shared" si="51"/>
        <v>21.263753798765432</v>
      </c>
      <c r="X289" s="9"/>
      <c r="Y289" s="21">
        <v>0.38513199999999997</v>
      </c>
      <c r="Z289" s="21">
        <v>17.167300000000001</v>
      </c>
      <c r="AA289" s="21">
        <v>-1.4257799999999999E-2</v>
      </c>
      <c r="AB289" s="21">
        <v>279</v>
      </c>
      <c r="AC289" s="21">
        <v>0.384552</v>
      </c>
      <c r="AD289">
        <f t="shared" si="52"/>
        <v>17.60222222222222</v>
      </c>
      <c r="AE289">
        <f t="shared" si="53"/>
        <v>6.7791790488888877</v>
      </c>
      <c r="AF289" s="9"/>
      <c r="AG289" s="21">
        <v>1.3049299999999999</v>
      </c>
      <c r="AH289" s="21">
        <v>20.9664</v>
      </c>
      <c r="AI289" s="21">
        <v>-1.3250700000000001E-2</v>
      </c>
      <c r="AJ289" s="21">
        <v>279</v>
      </c>
      <c r="AK289" s="21">
        <v>1.30463</v>
      </c>
      <c r="AL289">
        <f t="shared" si="54"/>
        <v>16.358888888888888</v>
      </c>
      <c r="AM289">
        <f t="shared" si="55"/>
        <v>21.347204877777777</v>
      </c>
      <c r="AP289" s="9"/>
      <c r="AQ289" s="21">
        <v>0.38513199999999997</v>
      </c>
      <c r="AR289" s="21">
        <v>26.404499999999999</v>
      </c>
      <c r="AS289" s="21">
        <v>-1.4236499999999999E-2</v>
      </c>
      <c r="AT289" s="21">
        <v>279</v>
      </c>
      <c r="AU289" s="21">
        <v>0.38446000000000002</v>
      </c>
      <c r="AV289">
        <f t="shared" si="56"/>
        <v>17.575925925925926</v>
      </c>
      <c r="AW289">
        <f t="shared" si="57"/>
        <v>6.7690515037037029</v>
      </c>
      <c r="AX289" s="9"/>
      <c r="AY289" s="21">
        <v>1.3049299999999999</v>
      </c>
      <c r="AZ289" s="21">
        <v>30.203600000000002</v>
      </c>
      <c r="BA289" s="21">
        <v>-1.31897E-2</v>
      </c>
      <c r="BB289" s="21">
        <v>279</v>
      </c>
      <c r="BC289" s="21">
        <v>1.30402</v>
      </c>
      <c r="BD289">
        <f t="shared" si="58"/>
        <v>16.28358024691358</v>
      </c>
      <c r="BE289">
        <f t="shared" si="59"/>
        <v>21.248932371604937</v>
      </c>
    </row>
    <row r="290" spans="6:57" x14ac:dyDescent="0.25">
      <c r="F290" s="9"/>
      <c r="G290" s="21">
        <v>0.38009599999999999</v>
      </c>
      <c r="H290" s="21">
        <v>7.8162000000000003</v>
      </c>
      <c r="I290" s="21">
        <v>-1.4291399999999999E-2</v>
      </c>
      <c r="J290" s="21">
        <v>280</v>
      </c>
      <c r="K290" s="21">
        <v>0.37948599999999999</v>
      </c>
      <c r="L290">
        <f t="shared" si="48"/>
        <v>17.643703703703704</v>
      </c>
      <c r="M290">
        <f t="shared" si="49"/>
        <v>6.7063012029629627</v>
      </c>
      <c r="N290" s="9"/>
      <c r="O290" s="21">
        <v>1.3099700000000001</v>
      </c>
      <c r="P290" s="21">
        <v>11.6153</v>
      </c>
      <c r="Q290" s="21">
        <v>-1.31775E-2</v>
      </c>
      <c r="R290" s="21">
        <v>280</v>
      </c>
      <c r="S290" s="21">
        <v>1.3091999999999999</v>
      </c>
      <c r="T290">
        <f t="shared" si="50"/>
        <v>16.268518518518519</v>
      </c>
      <c r="U290">
        <f t="shared" si="51"/>
        <v>21.311271203703704</v>
      </c>
      <c r="X290" s="9"/>
      <c r="Y290" s="21">
        <v>0.38009599999999999</v>
      </c>
      <c r="Z290" s="21">
        <v>17.177399999999999</v>
      </c>
      <c r="AA290" s="21">
        <v>-1.42548E-2</v>
      </c>
      <c r="AB290" s="21">
        <v>280</v>
      </c>
      <c r="AC290" s="21">
        <v>0.37924200000000002</v>
      </c>
      <c r="AD290">
        <f t="shared" si="52"/>
        <v>17.598518518518517</v>
      </c>
      <c r="AE290">
        <f t="shared" si="53"/>
        <v>6.6891264948148139</v>
      </c>
      <c r="AF290" s="9"/>
      <c r="AG290" s="21">
        <v>1.3099700000000001</v>
      </c>
      <c r="AH290" s="21">
        <v>20.976400000000002</v>
      </c>
      <c r="AI290" s="21">
        <v>-1.3229400000000001E-2</v>
      </c>
      <c r="AJ290" s="21">
        <v>280</v>
      </c>
      <c r="AK290" s="21">
        <v>1.30951</v>
      </c>
      <c r="AL290">
        <f t="shared" si="54"/>
        <v>16.332592592592594</v>
      </c>
      <c r="AM290">
        <f t="shared" si="55"/>
        <v>21.395206318518522</v>
      </c>
      <c r="AP290" s="9"/>
      <c r="AQ290" s="21">
        <v>0.38009599999999999</v>
      </c>
      <c r="AR290" s="21">
        <v>26.4146</v>
      </c>
      <c r="AS290" s="21">
        <v>-1.42395E-2</v>
      </c>
      <c r="AT290" s="21">
        <v>280</v>
      </c>
      <c r="AU290" s="21">
        <v>0.37942500000000001</v>
      </c>
      <c r="AV290">
        <f t="shared" si="56"/>
        <v>17.579629629629629</v>
      </c>
      <c r="AW290">
        <f t="shared" si="57"/>
        <v>6.6819469037037029</v>
      </c>
      <c r="AX290" s="9"/>
      <c r="AY290" s="21">
        <v>1.3099700000000001</v>
      </c>
      <c r="AZ290" s="21">
        <v>30.213699999999999</v>
      </c>
      <c r="BA290" s="21">
        <v>-1.3168300000000001E-2</v>
      </c>
      <c r="BB290" s="21">
        <v>280</v>
      </c>
      <c r="BC290" s="21">
        <v>1.3091999999999999</v>
      </c>
      <c r="BD290">
        <f t="shared" si="58"/>
        <v>16.257160493827158</v>
      </c>
      <c r="BE290">
        <f t="shared" si="59"/>
        <v>21.296392532098764</v>
      </c>
    </row>
    <row r="291" spans="6:57" x14ac:dyDescent="0.25">
      <c r="F291" s="9"/>
      <c r="G291" s="21">
        <v>0.37506099999999998</v>
      </c>
      <c r="H291" s="21">
        <v>7.8262700000000001</v>
      </c>
      <c r="I291" s="21">
        <v>-1.4306599999999999E-2</v>
      </c>
      <c r="J291" s="21">
        <v>281</v>
      </c>
      <c r="K291" s="21">
        <v>0.37454199999999999</v>
      </c>
      <c r="L291">
        <f t="shared" si="48"/>
        <v>17.662469135802468</v>
      </c>
      <c r="M291">
        <f t="shared" si="49"/>
        <v>6.6245033365432091</v>
      </c>
      <c r="N291" s="9"/>
      <c r="O291" s="21">
        <v>1.3149999999999999</v>
      </c>
      <c r="P291" s="21">
        <v>11.625299999999999</v>
      </c>
      <c r="Q291" s="21">
        <v>-1.31653E-2</v>
      </c>
      <c r="R291" s="21">
        <v>281</v>
      </c>
      <c r="S291" s="21">
        <v>1.3149999999999999</v>
      </c>
      <c r="T291">
        <f t="shared" si="50"/>
        <v>16.253456790123455</v>
      </c>
      <c r="U291">
        <f t="shared" si="51"/>
        <v>21.37329567901234</v>
      </c>
      <c r="X291" s="9"/>
      <c r="Y291" s="21">
        <v>0.37506099999999998</v>
      </c>
      <c r="Z291" s="21">
        <v>17.1875</v>
      </c>
      <c r="AA291" s="21">
        <v>-1.4257799999999999E-2</v>
      </c>
      <c r="AB291" s="21">
        <v>281</v>
      </c>
      <c r="AC291" s="21">
        <v>0.37445099999999998</v>
      </c>
      <c r="AD291">
        <f t="shared" si="52"/>
        <v>17.60222222222222</v>
      </c>
      <c r="AE291">
        <f t="shared" si="53"/>
        <v>6.6019070688888881</v>
      </c>
      <c r="AF291" s="9"/>
      <c r="AG291" s="21">
        <v>1.3149999999999999</v>
      </c>
      <c r="AH291" s="21">
        <v>20.986499999999999</v>
      </c>
      <c r="AI291" s="21">
        <v>-1.32202E-2</v>
      </c>
      <c r="AJ291" s="21">
        <v>281</v>
      </c>
      <c r="AK291" s="21">
        <v>1.31409</v>
      </c>
      <c r="AL291">
        <f t="shared" si="54"/>
        <v>16.321234567901232</v>
      </c>
      <c r="AM291">
        <f t="shared" si="55"/>
        <v>21.46242345679012</v>
      </c>
      <c r="AP291" s="9"/>
      <c r="AQ291" s="21">
        <v>0.37506099999999998</v>
      </c>
      <c r="AR291" s="21">
        <v>26.424700000000001</v>
      </c>
      <c r="AS291" s="21">
        <v>-1.4251700000000001E-2</v>
      </c>
      <c r="AT291" s="21">
        <v>281</v>
      </c>
      <c r="AU291" s="21">
        <v>0.37445099999999998</v>
      </c>
      <c r="AV291">
        <f t="shared" si="56"/>
        <v>17.594691358024694</v>
      </c>
      <c r="AW291">
        <f t="shared" si="57"/>
        <v>6.5990825354320988</v>
      </c>
      <c r="AX291" s="9"/>
      <c r="AY291" s="21">
        <v>1.3149999999999999</v>
      </c>
      <c r="AZ291" s="21">
        <v>30.223700000000001</v>
      </c>
      <c r="BA291" s="21">
        <v>-1.31561E-2</v>
      </c>
      <c r="BB291" s="21">
        <v>281</v>
      </c>
      <c r="BC291" s="21">
        <v>1.31409</v>
      </c>
      <c r="BD291">
        <f t="shared" si="58"/>
        <v>16.2420987654321</v>
      </c>
      <c r="BE291">
        <f t="shared" si="59"/>
        <v>21.358359876543211</v>
      </c>
    </row>
    <row r="292" spans="6:57" x14ac:dyDescent="0.25">
      <c r="F292" s="9"/>
      <c r="G292" s="21">
        <v>0.37002600000000002</v>
      </c>
      <c r="H292" s="21">
        <v>7.8363399999999999</v>
      </c>
      <c r="I292" s="21">
        <v>-1.43158E-2</v>
      </c>
      <c r="J292" s="21">
        <v>282</v>
      </c>
      <c r="K292" s="21">
        <v>0.369446</v>
      </c>
      <c r="L292">
        <f t="shared" si="48"/>
        <v>17.673827160493826</v>
      </c>
      <c r="M292">
        <f t="shared" si="49"/>
        <v>6.5397755688888886</v>
      </c>
      <c r="N292" s="9"/>
      <c r="O292" s="21">
        <v>1.3200400000000001</v>
      </c>
      <c r="P292" s="21">
        <v>11.635400000000001</v>
      </c>
      <c r="Q292" s="21">
        <v>-1.3162200000000001E-2</v>
      </c>
      <c r="R292" s="21">
        <v>282</v>
      </c>
      <c r="S292" s="21">
        <v>1.31958</v>
      </c>
      <c r="T292">
        <f t="shared" si="50"/>
        <v>16.249629629629627</v>
      </c>
      <c r="U292">
        <f t="shared" si="51"/>
        <v>21.450161096296295</v>
      </c>
      <c r="X292" s="9"/>
      <c r="Y292" s="21">
        <v>0.37002600000000002</v>
      </c>
      <c r="Z292" s="21">
        <v>17.197500000000002</v>
      </c>
      <c r="AA292" s="21">
        <v>-1.4267E-2</v>
      </c>
      <c r="AB292" s="21">
        <v>282</v>
      </c>
      <c r="AC292" s="21">
        <v>0.36938500000000002</v>
      </c>
      <c r="AD292">
        <f t="shared" si="52"/>
        <v>17.613580246913582</v>
      </c>
      <c r="AE292">
        <f t="shared" si="53"/>
        <v>6.5174826444444456</v>
      </c>
      <c r="AF292" s="9"/>
      <c r="AG292" s="21">
        <v>1.3200400000000001</v>
      </c>
      <c r="AH292" s="21">
        <v>20.996600000000001</v>
      </c>
      <c r="AI292" s="21">
        <v>-1.3214099999999999E-2</v>
      </c>
      <c r="AJ292" s="21">
        <v>282</v>
      </c>
      <c r="AK292" s="21">
        <v>1.3192699999999999</v>
      </c>
      <c r="AL292">
        <f t="shared" si="54"/>
        <v>16.313703703703702</v>
      </c>
      <c r="AM292">
        <f t="shared" si="55"/>
        <v>21.534741437037034</v>
      </c>
      <c r="AP292" s="9"/>
      <c r="AQ292" s="21">
        <v>0.37002600000000002</v>
      </c>
      <c r="AR292" s="21">
        <v>26.434799999999999</v>
      </c>
      <c r="AS292" s="21">
        <v>-1.4251700000000001E-2</v>
      </c>
      <c r="AT292" s="21">
        <v>282</v>
      </c>
      <c r="AU292" s="21">
        <v>0.369446</v>
      </c>
      <c r="AV292">
        <f t="shared" si="56"/>
        <v>17.594691358024694</v>
      </c>
      <c r="AW292">
        <f t="shared" si="57"/>
        <v>6.5104932644444453</v>
      </c>
      <c r="AX292" s="9"/>
      <c r="AY292" s="21">
        <v>1.3200400000000001</v>
      </c>
      <c r="AZ292" s="21">
        <v>30.233799999999999</v>
      </c>
      <c r="BA292" s="21">
        <v>-1.31348E-2</v>
      </c>
      <c r="BB292" s="21">
        <v>282</v>
      </c>
      <c r="BC292" s="21">
        <v>1.31958</v>
      </c>
      <c r="BD292">
        <f t="shared" si="58"/>
        <v>16.215802469135802</v>
      </c>
      <c r="BE292">
        <f t="shared" si="59"/>
        <v>21.405507891358027</v>
      </c>
    </row>
    <row r="293" spans="6:57" x14ac:dyDescent="0.25">
      <c r="F293" s="9"/>
      <c r="G293" s="21">
        <v>0.36498999999999998</v>
      </c>
      <c r="H293" s="21">
        <v>7.8464200000000002</v>
      </c>
      <c r="I293" s="21">
        <v>-1.43372E-2</v>
      </c>
      <c r="J293" s="21">
        <v>283</v>
      </c>
      <c r="K293" s="21">
        <v>0.36444100000000001</v>
      </c>
      <c r="L293">
        <f t="shared" si="48"/>
        <v>17.700246913580244</v>
      </c>
      <c r="M293">
        <f t="shared" si="49"/>
        <v>6.4604131209876527</v>
      </c>
      <c r="N293" s="9"/>
      <c r="O293" s="21">
        <v>1.32507</v>
      </c>
      <c r="P293" s="21">
        <v>11.6455</v>
      </c>
      <c r="Q293" s="21">
        <v>-1.315E-2</v>
      </c>
      <c r="R293" s="21">
        <v>283</v>
      </c>
      <c r="S293" s="21">
        <v>1.32446</v>
      </c>
      <c r="T293">
        <f t="shared" si="50"/>
        <v>16.234567901234566</v>
      </c>
      <c r="U293">
        <f t="shared" si="51"/>
        <v>21.511938888888885</v>
      </c>
      <c r="X293" s="9"/>
      <c r="Y293" s="21">
        <v>0.36498999999999998</v>
      </c>
      <c r="Z293" s="21">
        <v>17.207599999999999</v>
      </c>
      <c r="AA293" s="21">
        <v>-1.4279200000000001E-2</v>
      </c>
      <c r="AB293" s="21">
        <v>283</v>
      </c>
      <c r="AC293" s="21">
        <v>0.36453200000000002</v>
      </c>
      <c r="AD293">
        <f t="shared" si="52"/>
        <v>17.628641975308639</v>
      </c>
      <c r="AE293">
        <f t="shared" si="53"/>
        <v>6.4342780345678996</v>
      </c>
      <c r="AF293" s="9"/>
      <c r="AG293" s="21">
        <v>1.32507</v>
      </c>
      <c r="AH293" s="21">
        <v>21.006599999999999</v>
      </c>
      <c r="AI293" s="21">
        <v>-1.3195800000000001E-2</v>
      </c>
      <c r="AJ293" s="21">
        <v>283</v>
      </c>
      <c r="AK293" s="21">
        <v>1.32446</v>
      </c>
      <c r="AL293">
        <f t="shared" si="54"/>
        <v>16.29111111111111</v>
      </c>
      <c r="AM293">
        <f t="shared" si="55"/>
        <v>21.5868626</v>
      </c>
      <c r="AP293" s="9"/>
      <c r="AQ293" s="21">
        <v>0.36498999999999998</v>
      </c>
      <c r="AR293" s="21">
        <v>26.444800000000001</v>
      </c>
      <c r="AS293" s="21">
        <v>-1.4251700000000001E-2</v>
      </c>
      <c r="AT293" s="21">
        <v>283</v>
      </c>
      <c r="AU293" s="21">
        <v>0.36447099999999999</v>
      </c>
      <c r="AV293">
        <f t="shared" si="56"/>
        <v>17.594691358024694</v>
      </c>
      <c r="AW293">
        <f t="shared" si="57"/>
        <v>6.4218863987654329</v>
      </c>
      <c r="AX293" s="9"/>
      <c r="AY293" s="21">
        <v>1.32507</v>
      </c>
      <c r="AZ293" s="21">
        <v>30.2439</v>
      </c>
      <c r="BA293" s="21">
        <v>-1.31165E-2</v>
      </c>
      <c r="BB293" s="21">
        <v>283</v>
      </c>
      <c r="BC293" s="21">
        <v>1.32477</v>
      </c>
      <c r="BD293">
        <f t="shared" si="58"/>
        <v>16.193209876543211</v>
      </c>
      <c r="BE293">
        <f t="shared" si="59"/>
        <v>21.45713661111111</v>
      </c>
    </row>
    <row r="294" spans="6:57" x14ac:dyDescent="0.25">
      <c r="F294" s="9"/>
      <c r="G294" s="21">
        <v>0.35995500000000002</v>
      </c>
      <c r="H294" s="21">
        <v>7.85649</v>
      </c>
      <c r="I294" s="21">
        <v>-1.43555E-2</v>
      </c>
      <c r="J294" s="21">
        <v>284</v>
      </c>
      <c r="K294" s="21">
        <v>0.35919200000000001</v>
      </c>
      <c r="L294">
        <f t="shared" si="48"/>
        <v>17.722839506172836</v>
      </c>
      <c r="M294">
        <f t="shared" si="49"/>
        <v>6.3794246944444435</v>
      </c>
      <c r="N294" s="9"/>
      <c r="O294" s="21">
        <v>1.3301099999999999</v>
      </c>
      <c r="P294" s="21">
        <v>11.6555</v>
      </c>
      <c r="Q294" s="21">
        <v>-1.31409E-2</v>
      </c>
      <c r="R294" s="21">
        <v>284</v>
      </c>
      <c r="S294" s="21">
        <v>1.32965</v>
      </c>
      <c r="T294">
        <f t="shared" si="50"/>
        <v>16.223333333333333</v>
      </c>
      <c r="U294">
        <f t="shared" si="51"/>
        <v>21.578817899999997</v>
      </c>
      <c r="X294" s="9"/>
      <c r="Y294" s="21">
        <v>0.35995500000000002</v>
      </c>
      <c r="Z294" s="21">
        <v>17.217700000000001</v>
      </c>
      <c r="AA294" s="21">
        <v>-1.42883E-2</v>
      </c>
      <c r="AB294" s="21">
        <v>284</v>
      </c>
      <c r="AC294" s="21">
        <v>0.359375</v>
      </c>
      <c r="AD294">
        <f t="shared" si="52"/>
        <v>17.639876543209876</v>
      </c>
      <c r="AE294">
        <f t="shared" si="53"/>
        <v>6.3495617611111115</v>
      </c>
      <c r="AF294" s="9"/>
      <c r="AG294" s="21">
        <v>1.3301099999999999</v>
      </c>
      <c r="AH294" s="21">
        <v>21.0167</v>
      </c>
      <c r="AI294" s="21">
        <v>-1.31714E-2</v>
      </c>
      <c r="AJ294" s="21">
        <v>284</v>
      </c>
      <c r="AK294" s="21">
        <v>1.32904</v>
      </c>
      <c r="AL294">
        <f t="shared" si="54"/>
        <v>16.260987654320989</v>
      </c>
      <c r="AM294">
        <f t="shared" si="55"/>
        <v>21.628902288888888</v>
      </c>
      <c r="AP294" s="9"/>
      <c r="AQ294" s="21">
        <v>0.35995500000000002</v>
      </c>
      <c r="AR294" s="21">
        <v>26.454899999999999</v>
      </c>
      <c r="AS294" s="21">
        <v>-1.4251700000000001E-2</v>
      </c>
      <c r="AT294" s="21">
        <v>284</v>
      </c>
      <c r="AU294" s="21">
        <v>0.359344</v>
      </c>
      <c r="AV294">
        <f t="shared" si="56"/>
        <v>17.594691358024694</v>
      </c>
      <c r="AW294">
        <f t="shared" si="57"/>
        <v>6.3332971277777794</v>
      </c>
      <c r="AX294" s="9"/>
      <c r="AY294" s="21">
        <v>1.3301099999999999</v>
      </c>
      <c r="AZ294" s="21">
        <v>30.254000000000001</v>
      </c>
      <c r="BA294" s="21">
        <v>-1.30981E-2</v>
      </c>
      <c r="BB294" s="21">
        <v>284</v>
      </c>
      <c r="BC294" s="21">
        <v>1.32935</v>
      </c>
      <c r="BD294">
        <f t="shared" si="58"/>
        <v>16.170493827160495</v>
      </c>
      <c r="BE294">
        <f t="shared" si="59"/>
        <v>21.508535544444445</v>
      </c>
    </row>
    <row r="295" spans="6:57" x14ac:dyDescent="0.25">
      <c r="F295" s="9"/>
      <c r="G295" s="21">
        <v>0.35491899999999998</v>
      </c>
      <c r="H295" s="21">
        <v>7.8665599999999998</v>
      </c>
      <c r="I295" s="21">
        <v>-1.43707E-2</v>
      </c>
      <c r="J295" s="21">
        <v>285</v>
      </c>
      <c r="K295" s="21">
        <v>0.35430899999999999</v>
      </c>
      <c r="L295">
        <f t="shared" si="48"/>
        <v>17.741604938271603</v>
      </c>
      <c r="M295">
        <f t="shared" si="49"/>
        <v>6.2968326830864187</v>
      </c>
      <c r="N295" s="9"/>
      <c r="O295" s="21">
        <v>1.33514</v>
      </c>
      <c r="P295" s="21">
        <v>11.6656</v>
      </c>
      <c r="Q295" s="21">
        <v>-1.31165E-2</v>
      </c>
      <c r="R295" s="21">
        <v>285</v>
      </c>
      <c r="S295" s="21">
        <v>1.33453</v>
      </c>
      <c r="T295">
        <f t="shared" si="50"/>
        <v>16.193209876543211</v>
      </c>
      <c r="U295">
        <f t="shared" si="51"/>
        <v>21.620202234567902</v>
      </c>
      <c r="X295" s="9"/>
      <c r="Y295" s="21">
        <v>0.35491899999999998</v>
      </c>
      <c r="Z295" s="21">
        <v>17.227699999999999</v>
      </c>
      <c r="AA295" s="21">
        <v>-1.4294400000000001E-2</v>
      </c>
      <c r="AB295" s="21">
        <v>285</v>
      </c>
      <c r="AC295" s="21">
        <v>0.354462</v>
      </c>
      <c r="AD295">
        <f t="shared" si="52"/>
        <v>17.647407407407407</v>
      </c>
      <c r="AE295">
        <f t="shared" si="53"/>
        <v>6.2634001896296292</v>
      </c>
      <c r="AF295" s="9"/>
      <c r="AG295" s="21">
        <v>1.33514</v>
      </c>
      <c r="AH295" s="21">
        <v>21.026800000000001</v>
      </c>
      <c r="AI295" s="21">
        <v>-1.3147000000000001E-2</v>
      </c>
      <c r="AJ295" s="21">
        <v>285</v>
      </c>
      <c r="AK295" s="21">
        <v>1.33453</v>
      </c>
      <c r="AL295">
        <f t="shared" si="54"/>
        <v>16.230864197530863</v>
      </c>
      <c r="AM295">
        <f t="shared" si="55"/>
        <v>21.670476024691357</v>
      </c>
      <c r="AP295" s="9"/>
      <c r="AQ295" s="21">
        <v>0.35491899999999998</v>
      </c>
      <c r="AR295" s="21">
        <v>26.465</v>
      </c>
      <c r="AS295" s="21">
        <v>-1.42548E-2</v>
      </c>
      <c r="AT295" s="21">
        <v>285</v>
      </c>
      <c r="AU295" s="21">
        <v>0.35433999999999999</v>
      </c>
      <c r="AV295">
        <f t="shared" si="56"/>
        <v>17.598518518518517</v>
      </c>
      <c r="AW295">
        <f t="shared" si="57"/>
        <v>6.2460485940740735</v>
      </c>
      <c r="AX295" s="9"/>
      <c r="AY295" s="21">
        <v>1.33514</v>
      </c>
      <c r="AZ295" s="21">
        <v>30.263999999999999</v>
      </c>
      <c r="BA295" s="21">
        <v>-1.30829E-2</v>
      </c>
      <c r="BB295" s="21">
        <v>285</v>
      </c>
      <c r="BC295" s="21">
        <v>1.33362</v>
      </c>
      <c r="BD295">
        <f t="shared" si="58"/>
        <v>16.151728395061728</v>
      </c>
      <c r="BE295">
        <f t="shared" si="59"/>
        <v>21.564818649382715</v>
      </c>
    </row>
    <row r="296" spans="6:57" x14ac:dyDescent="0.25">
      <c r="F296" s="9"/>
      <c r="G296" s="21">
        <v>0.34988399999999997</v>
      </c>
      <c r="H296" s="21">
        <v>7.8766299999999996</v>
      </c>
      <c r="I296" s="21">
        <v>-1.4385999999999999E-2</v>
      </c>
      <c r="J296" s="21">
        <v>286</v>
      </c>
      <c r="K296" s="21">
        <v>0.34918199999999999</v>
      </c>
      <c r="L296">
        <f t="shared" si="48"/>
        <v>17.760493827160492</v>
      </c>
      <c r="M296">
        <f t="shared" si="49"/>
        <v>6.2141126222222205</v>
      </c>
      <c r="N296" s="9"/>
      <c r="O296" s="21">
        <v>1.3401799999999999</v>
      </c>
      <c r="P296" s="21">
        <v>11.675700000000001</v>
      </c>
      <c r="Q296" s="21">
        <v>-1.3085899999999999E-2</v>
      </c>
      <c r="R296" s="21">
        <v>286</v>
      </c>
      <c r="S296" s="21">
        <v>1.3394200000000001</v>
      </c>
      <c r="T296">
        <f t="shared" si="50"/>
        <v>16.155432098765431</v>
      </c>
      <c r="U296">
        <f t="shared" si="51"/>
        <v>21.651186990123453</v>
      </c>
      <c r="X296" s="9"/>
      <c r="Y296" s="21">
        <v>0.34988399999999997</v>
      </c>
      <c r="Z296" s="21">
        <v>17.2378</v>
      </c>
      <c r="AA296" s="21">
        <v>-1.4297499999999999E-2</v>
      </c>
      <c r="AB296" s="21">
        <v>286</v>
      </c>
      <c r="AC296" s="21">
        <v>0.349304</v>
      </c>
      <c r="AD296">
        <f t="shared" si="52"/>
        <v>17.651234567901231</v>
      </c>
      <c r="AE296">
        <f t="shared" si="53"/>
        <v>6.1758845555555535</v>
      </c>
      <c r="AF296" s="9"/>
      <c r="AG296" s="21">
        <v>1.3401799999999999</v>
      </c>
      <c r="AH296" s="21">
        <v>21.036899999999999</v>
      </c>
      <c r="AI296" s="21">
        <v>-1.3119499999999999E-2</v>
      </c>
      <c r="AJ296" s="21">
        <v>286</v>
      </c>
      <c r="AK296" s="21">
        <v>1.33972</v>
      </c>
      <c r="AL296">
        <f t="shared" si="54"/>
        <v>16.19691358024691</v>
      </c>
      <c r="AM296">
        <f t="shared" si="55"/>
        <v>21.706779641975302</v>
      </c>
      <c r="AP296" s="9"/>
      <c r="AQ296" s="21">
        <v>0.34988399999999997</v>
      </c>
      <c r="AR296" s="21">
        <v>26.475000000000001</v>
      </c>
      <c r="AS296" s="21">
        <v>-1.4267E-2</v>
      </c>
      <c r="AT296" s="21">
        <v>286</v>
      </c>
      <c r="AU296" s="21">
        <v>0.34924300000000003</v>
      </c>
      <c r="AV296">
        <f t="shared" si="56"/>
        <v>17.613580246913582</v>
      </c>
      <c r="AW296">
        <f t="shared" si="57"/>
        <v>6.1627099111111114</v>
      </c>
      <c r="AX296" s="9"/>
      <c r="AY296" s="21">
        <v>1.3401799999999999</v>
      </c>
      <c r="AZ296" s="21">
        <v>30.274100000000001</v>
      </c>
      <c r="BA296" s="21">
        <v>-1.3070699999999999E-2</v>
      </c>
      <c r="BB296" s="21">
        <v>286</v>
      </c>
      <c r="BC296" s="21">
        <v>1.3388100000000001</v>
      </c>
      <c r="BD296">
        <f t="shared" si="58"/>
        <v>16.136666666666663</v>
      </c>
      <c r="BE296">
        <f t="shared" si="59"/>
        <v>21.626037933333329</v>
      </c>
    </row>
    <row r="297" spans="6:57" x14ac:dyDescent="0.25">
      <c r="F297" s="9"/>
      <c r="G297" s="21">
        <v>0.34484900000000002</v>
      </c>
      <c r="H297" s="21">
        <v>7.8867000000000003</v>
      </c>
      <c r="I297" s="21">
        <v>-1.4382900000000001E-2</v>
      </c>
      <c r="J297" s="21">
        <v>287</v>
      </c>
      <c r="K297" s="21">
        <v>0.34426899999999999</v>
      </c>
      <c r="L297">
        <f t="shared" si="48"/>
        <v>17.756666666666668</v>
      </c>
      <c r="M297">
        <f t="shared" si="49"/>
        <v>6.1233687433333337</v>
      </c>
      <c r="N297" s="9"/>
      <c r="O297" s="21">
        <v>1.34521</v>
      </c>
      <c r="P297" s="21">
        <v>11.685700000000001</v>
      </c>
      <c r="Q297" s="21">
        <v>-1.3058500000000001E-2</v>
      </c>
      <c r="R297" s="21">
        <v>287</v>
      </c>
      <c r="S297" s="21">
        <v>1.3446</v>
      </c>
      <c r="T297">
        <f t="shared" si="50"/>
        <v>16.121604938271602</v>
      </c>
      <c r="U297">
        <f t="shared" si="51"/>
        <v>21.686944179012343</v>
      </c>
      <c r="X297" s="9"/>
      <c r="Y297" s="21">
        <v>0.34484900000000002</v>
      </c>
      <c r="Z297" s="21">
        <v>17.247900000000001</v>
      </c>
      <c r="AA297" s="21">
        <v>-1.43036E-2</v>
      </c>
      <c r="AB297" s="21">
        <v>287</v>
      </c>
      <c r="AC297" s="21">
        <v>0.34414699999999998</v>
      </c>
      <c r="AD297">
        <f t="shared" si="52"/>
        <v>17.658765432098765</v>
      </c>
      <c r="AE297">
        <f t="shared" si="53"/>
        <v>6.0896076004938271</v>
      </c>
      <c r="AF297" s="9"/>
      <c r="AG297" s="21">
        <v>1.34521</v>
      </c>
      <c r="AH297" s="21">
        <v>21.046900000000001</v>
      </c>
      <c r="AI297" s="21">
        <v>-1.30981E-2</v>
      </c>
      <c r="AJ297" s="21">
        <v>287</v>
      </c>
      <c r="AK297" s="21">
        <v>1.3446</v>
      </c>
      <c r="AL297">
        <f t="shared" si="54"/>
        <v>16.170493827160495</v>
      </c>
      <c r="AM297">
        <f t="shared" si="55"/>
        <v>21.752710001234568</v>
      </c>
      <c r="AP297" s="9"/>
      <c r="AQ297" s="21">
        <v>0.34484900000000002</v>
      </c>
      <c r="AR297" s="21">
        <v>26.485099999999999</v>
      </c>
      <c r="AS297" s="21">
        <v>-1.42731E-2</v>
      </c>
      <c r="AT297" s="21">
        <v>287</v>
      </c>
      <c r="AU297" s="21">
        <v>0.34420800000000001</v>
      </c>
      <c r="AV297">
        <f t="shared" si="56"/>
        <v>17.621111111111112</v>
      </c>
      <c r="AW297">
        <f t="shared" si="57"/>
        <v>6.0766225455555558</v>
      </c>
      <c r="AX297" s="9"/>
      <c r="AY297" s="21">
        <v>1.34521</v>
      </c>
      <c r="AZ297" s="21">
        <v>30.284199999999998</v>
      </c>
      <c r="BA297" s="21">
        <v>-1.30493E-2</v>
      </c>
      <c r="BB297" s="21">
        <v>287</v>
      </c>
      <c r="BC297" s="21">
        <v>1.34399</v>
      </c>
      <c r="BD297">
        <f t="shared" si="58"/>
        <v>16.110246913580244</v>
      </c>
      <c r="BE297">
        <f t="shared" si="59"/>
        <v>21.671665250617281</v>
      </c>
    </row>
    <row r="298" spans="6:57" x14ac:dyDescent="0.25">
      <c r="F298" s="9"/>
      <c r="G298" s="21">
        <v>0.33981299999999998</v>
      </c>
      <c r="H298" s="21">
        <v>7.8967700000000001</v>
      </c>
      <c r="I298" s="21">
        <v>-1.4389000000000001E-2</v>
      </c>
      <c r="J298" s="21">
        <v>288</v>
      </c>
      <c r="K298" s="21">
        <v>0.339111</v>
      </c>
      <c r="L298">
        <f t="shared" si="48"/>
        <v>17.764197530864198</v>
      </c>
      <c r="M298">
        <f t="shared" si="49"/>
        <v>6.0365052555555554</v>
      </c>
      <c r="N298" s="9"/>
      <c r="O298" s="21">
        <v>1.35025</v>
      </c>
      <c r="P298" s="21">
        <v>11.6958</v>
      </c>
      <c r="Q298" s="21">
        <v>-1.30341E-2</v>
      </c>
      <c r="R298" s="21">
        <v>288</v>
      </c>
      <c r="S298" s="21">
        <v>1.34979</v>
      </c>
      <c r="T298">
        <f t="shared" si="50"/>
        <v>16.09148148148148</v>
      </c>
      <c r="U298">
        <f t="shared" si="51"/>
        <v>21.727522870370368</v>
      </c>
      <c r="X298" s="9"/>
      <c r="Y298" s="21">
        <v>0.33981299999999998</v>
      </c>
      <c r="Z298" s="21">
        <v>17.257999999999999</v>
      </c>
      <c r="AA298" s="21">
        <v>-1.43097E-2</v>
      </c>
      <c r="AB298" s="21">
        <v>288</v>
      </c>
      <c r="AC298" s="21">
        <v>0.33926400000000001</v>
      </c>
      <c r="AD298">
        <f t="shared" si="52"/>
        <v>17.666296296296295</v>
      </c>
      <c r="AE298">
        <f t="shared" si="53"/>
        <v>6.0032371433333322</v>
      </c>
      <c r="AF298" s="9"/>
      <c r="AG298" s="21">
        <v>1.35025</v>
      </c>
      <c r="AH298" s="21">
        <v>21.056999999999999</v>
      </c>
      <c r="AI298" s="21">
        <v>-1.3070699999999999E-2</v>
      </c>
      <c r="AJ298" s="21">
        <v>288</v>
      </c>
      <c r="AK298" s="21">
        <v>1.3494900000000001</v>
      </c>
      <c r="AL298">
        <f t="shared" si="54"/>
        <v>16.136666666666663</v>
      </c>
      <c r="AM298">
        <f t="shared" si="55"/>
        <v>21.788534166666661</v>
      </c>
      <c r="AP298" s="9"/>
      <c r="AQ298" s="21">
        <v>0.33981299999999998</v>
      </c>
      <c r="AR298" s="21">
        <v>26.495200000000001</v>
      </c>
      <c r="AS298" s="21">
        <v>-1.42822E-2</v>
      </c>
      <c r="AT298" s="21">
        <v>288</v>
      </c>
      <c r="AU298" s="21">
        <v>0.339111</v>
      </c>
      <c r="AV298">
        <f t="shared" si="56"/>
        <v>17.632345679012342</v>
      </c>
      <c r="AW298">
        <f t="shared" si="57"/>
        <v>5.9917002822222205</v>
      </c>
      <c r="AX298" s="9"/>
      <c r="AY298" s="21">
        <v>1.35025</v>
      </c>
      <c r="AZ298" s="21">
        <v>30.2942</v>
      </c>
      <c r="BA298" s="21">
        <v>-1.3024900000000001E-2</v>
      </c>
      <c r="BB298" s="21">
        <v>288</v>
      </c>
      <c r="BC298" s="21">
        <v>1.3494900000000001</v>
      </c>
      <c r="BD298">
        <f t="shared" si="58"/>
        <v>16.080123456790126</v>
      </c>
      <c r="BE298">
        <f t="shared" si="59"/>
        <v>21.712186697530868</v>
      </c>
    </row>
    <row r="299" spans="6:57" x14ac:dyDescent="0.25">
      <c r="F299" s="9"/>
      <c r="G299" s="21">
        <v>0.33477800000000002</v>
      </c>
      <c r="H299" s="21">
        <v>7.9068399999999999</v>
      </c>
      <c r="I299" s="21">
        <v>-1.4395099999999999E-2</v>
      </c>
      <c r="J299" s="21">
        <v>289</v>
      </c>
      <c r="K299" s="21">
        <v>0.333984</v>
      </c>
      <c r="L299">
        <f t="shared" si="48"/>
        <v>17.771728395061729</v>
      </c>
      <c r="M299">
        <f t="shared" si="49"/>
        <v>5.949583688641976</v>
      </c>
      <c r="N299" s="9"/>
      <c r="O299" s="21">
        <v>1.3552900000000001</v>
      </c>
      <c r="P299" s="21">
        <v>11.7059</v>
      </c>
      <c r="Q299" s="21">
        <v>-1.30127E-2</v>
      </c>
      <c r="R299" s="21">
        <v>289</v>
      </c>
      <c r="S299" s="21">
        <v>1.3546800000000001</v>
      </c>
      <c r="T299">
        <f t="shared" si="50"/>
        <v>16.065061728395062</v>
      </c>
      <c r="U299">
        <f t="shared" si="51"/>
        <v>21.772817509876546</v>
      </c>
      <c r="X299" s="9"/>
      <c r="Y299" s="21">
        <v>0.33477800000000002</v>
      </c>
      <c r="Z299" s="21">
        <v>17.268000000000001</v>
      </c>
      <c r="AA299" s="21">
        <v>-1.4324999999999999E-2</v>
      </c>
      <c r="AB299" s="21">
        <v>289</v>
      </c>
      <c r="AC299" s="21">
        <v>0.33413700000000002</v>
      </c>
      <c r="AD299">
        <f t="shared" si="52"/>
        <v>17.685185185185183</v>
      </c>
      <c r="AE299">
        <f t="shared" si="53"/>
        <v>5.9206109259259261</v>
      </c>
      <c r="AF299" s="9"/>
      <c r="AG299" s="21">
        <v>1.3552900000000001</v>
      </c>
      <c r="AH299" s="21">
        <v>21.0671</v>
      </c>
      <c r="AI299" s="21">
        <v>-1.30463E-2</v>
      </c>
      <c r="AJ299" s="21">
        <v>289</v>
      </c>
      <c r="AK299" s="21">
        <v>1.35406</v>
      </c>
      <c r="AL299">
        <f t="shared" si="54"/>
        <v>16.106543209876545</v>
      </c>
      <c r="AM299">
        <f t="shared" si="55"/>
        <v>21.829036946913583</v>
      </c>
      <c r="AP299" s="9"/>
      <c r="AQ299" s="21">
        <v>0.33477800000000002</v>
      </c>
      <c r="AR299" s="21">
        <v>26.505299999999998</v>
      </c>
      <c r="AS299" s="21">
        <v>-1.4285300000000001E-2</v>
      </c>
      <c r="AT299" s="21">
        <v>289</v>
      </c>
      <c r="AU299" s="21">
        <v>0.33413700000000002</v>
      </c>
      <c r="AV299">
        <f t="shared" si="56"/>
        <v>17.636172839506173</v>
      </c>
      <c r="AW299">
        <f t="shared" si="57"/>
        <v>5.9042026708641977</v>
      </c>
      <c r="AX299" s="9"/>
      <c r="AY299" s="21">
        <v>1.3552900000000001</v>
      </c>
      <c r="AZ299" s="21">
        <v>30.304300000000001</v>
      </c>
      <c r="BA299" s="21">
        <v>-1.30005E-2</v>
      </c>
      <c r="BB299" s="21">
        <v>289</v>
      </c>
      <c r="BC299" s="21">
        <v>1.3546800000000001</v>
      </c>
      <c r="BD299">
        <f t="shared" si="58"/>
        <v>16.049999999999997</v>
      </c>
      <c r="BE299">
        <f t="shared" si="59"/>
        <v>21.752404499999997</v>
      </c>
    </row>
    <row r="300" spans="6:57" x14ac:dyDescent="0.25">
      <c r="F300" s="9"/>
      <c r="G300" s="21">
        <v>0.32974199999999998</v>
      </c>
      <c r="H300" s="21">
        <v>7.9169099999999997</v>
      </c>
      <c r="I300" s="21">
        <v>-1.43982E-2</v>
      </c>
      <c r="J300" s="21">
        <v>290</v>
      </c>
      <c r="K300" s="21">
        <v>0.32913199999999998</v>
      </c>
      <c r="L300">
        <f t="shared" si="48"/>
        <v>17.775555555555556</v>
      </c>
      <c r="M300">
        <f t="shared" si="49"/>
        <v>5.8613472399999997</v>
      </c>
      <c r="N300" s="9"/>
      <c r="O300" s="21">
        <v>1.36032</v>
      </c>
      <c r="P300" s="21">
        <v>11.715999999999999</v>
      </c>
      <c r="Q300" s="21">
        <v>-1.2991300000000001E-2</v>
      </c>
      <c r="R300" s="21">
        <v>290</v>
      </c>
      <c r="S300" s="21">
        <v>1.3595600000000001</v>
      </c>
      <c r="T300">
        <f t="shared" si="50"/>
        <v>16.038641975308643</v>
      </c>
      <c r="U300">
        <f t="shared" si="51"/>
        <v>21.817685451851851</v>
      </c>
      <c r="X300" s="9"/>
      <c r="Y300" s="21">
        <v>0.32974199999999998</v>
      </c>
      <c r="Z300" s="21">
        <v>17.278099999999998</v>
      </c>
      <c r="AA300" s="21">
        <v>-1.43188E-2</v>
      </c>
      <c r="AB300" s="21">
        <v>290</v>
      </c>
      <c r="AC300" s="21">
        <v>0.32910200000000001</v>
      </c>
      <c r="AD300">
        <f t="shared" si="52"/>
        <v>17.677530864197529</v>
      </c>
      <c r="AE300">
        <f t="shared" si="53"/>
        <v>5.8290243822222214</v>
      </c>
      <c r="AF300" s="9"/>
      <c r="AG300" s="21">
        <v>1.36032</v>
      </c>
      <c r="AH300" s="21">
        <v>21.077100000000002</v>
      </c>
      <c r="AI300" s="21">
        <v>-1.30157E-2</v>
      </c>
      <c r="AJ300" s="21">
        <v>290</v>
      </c>
      <c r="AK300" s="21">
        <v>1.3595600000000001</v>
      </c>
      <c r="AL300">
        <f t="shared" si="54"/>
        <v>16.068765432098765</v>
      </c>
      <c r="AM300">
        <f t="shared" si="55"/>
        <v>21.858662992592592</v>
      </c>
      <c r="AP300" s="9"/>
      <c r="AQ300" s="21">
        <v>0.32974199999999998</v>
      </c>
      <c r="AR300" s="21">
        <v>26.5153</v>
      </c>
      <c r="AS300" s="21">
        <v>-1.4291399999999999E-2</v>
      </c>
      <c r="AT300" s="21">
        <v>290</v>
      </c>
      <c r="AU300" s="21">
        <v>0.32919300000000001</v>
      </c>
      <c r="AV300">
        <f t="shared" si="56"/>
        <v>17.643703703703704</v>
      </c>
      <c r="AW300">
        <f t="shared" si="57"/>
        <v>5.8178701466666665</v>
      </c>
      <c r="AX300" s="9"/>
      <c r="AY300" s="21">
        <v>1.36032</v>
      </c>
      <c r="AZ300" s="21">
        <v>30.314399999999999</v>
      </c>
      <c r="BA300" s="21">
        <v>-1.29791E-2</v>
      </c>
      <c r="BB300" s="21">
        <v>290</v>
      </c>
      <c r="BC300" s="21">
        <v>1.3595600000000001</v>
      </c>
      <c r="BD300">
        <f t="shared" si="58"/>
        <v>16.023580246913578</v>
      </c>
      <c r="BE300">
        <f t="shared" si="59"/>
        <v>21.797196681481477</v>
      </c>
    </row>
    <row r="301" spans="6:57" x14ac:dyDescent="0.25">
      <c r="F301" s="9"/>
      <c r="G301" s="21">
        <v>0.32470700000000002</v>
      </c>
      <c r="H301" s="21">
        <v>7.9269800000000004</v>
      </c>
      <c r="I301" s="21">
        <v>-1.43982E-2</v>
      </c>
      <c r="J301" s="21">
        <v>291</v>
      </c>
      <c r="K301" s="21">
        <v>0.32409700000000002</v>
      </c>
      <c r="L301">
        <f t="shared" si="48"/>
        <v>17.775555555555556</v>
      </c>
      <c r="M301">
        <f t="shared" si="49"/>
        <v>5.7718473177777785</v>
      </c>
      <c r="N301" s="9"/>
      <c r="O301" s="21">
        <v>1.3653599999999999</v>
      </c>
      <c r="P301" s="21">
        <v>11.726000000000001</v>
      </c>
      <c r="Q301" s="21">
        <v>-1.29791E-2</v>
      </c>
      <c r="R301" s="21">
        <v>291</v>
      </c>
      <c r="S301" s="21">
        <v>1.3644400000000001</v>
      </c>
      <c r="T301">
        <f t="shared" si="50"/>
        <v>16.023580246913578</v>
      </c>
      <c r="U301">
        <f t="shared" si="51"/>
        <v>21.877955525925923</v>
      </c>
      <c r="X301" s="9"/>
      <c r="Y301" s="21">
        <v>0.32470700000000002</v>
      </c>
      <c r="Z301" s="21">
        <v>17.2882</v>
      </c>
      <c r="AA301" s="21">
        <v>-1.4328E-2</v>
      </c>
      <c r="AB301" s="21">
        <v>291</v>
      </c>
      <c r="AC301" s="21">
        <v>0.324127</v>
      </c>
      <c r="AD301">
        <f t="shared" si="52"/>
        <v>17.68888888888889</v>
      </c>
      <c r="AE301">
        <f t="shared" si="53"/>
        <v>5.743706044444445</v>
      </c>
      <c r="AF301" s="9"/>
      <c r="AG301" s="21">
        <v>1.3653599999999999</v>
      </c>
      <c r="AH301" s="21">
        <v>21.087199999999999</v>
      </c>
      <c r="AI301" s="21">
        <v>-1.2997399999999999E-2</v>
      </c>
      <c r="AJ301" s="21">
        <v>291</v>
      </c>
      <c r="AK301" s="21">
        <v>1.3650500000000001</v>
      </c>
      <c r="AL301">
        <f t="shared" si="54"/>
        <v>16.04617283950617</v>
      </c>
      <c r="AM301">
        <f t="shared" si="55"/>
        <v>21.908802548148142</v>
      </c>
      <c r="AP301" s="9"/>
      <c r="AQ301" s="21">
        <v>0.32470700000000002</v>
      </c>
      <c r="AR301" s="21">
        <v>26.525400000000001</v>
      </c>
      <c r="AS301" s="21">
        <v>-1.4300500000000001E-2</v>
      </c>
      <c r="AT301" s="21">
        <v>291</v>
      </c>
      <c r="AU301" s="21">
        <v>0.32409700000000002</v>
      </c>
      <c r="AV301">
        <f t="shared" si="56"/>
        <v>17.654938271604937</v>
      </c>
      <c r="AW301">
        <f t="shared" si="57"/>
        <v>5.7326820413580251</v>
      </c>
      <c r="AX301" s="9"/>
      <c r="AY301" s="21">
        <v>1.3653599999999999</v>
      </c>
      <c r="AZ301" s="21">
        <v>30.324400000000001</v>
      </c>
      <c r="BA301" s="21">
        <v>-1.29547E-2</v>
      </c>
      <c r="BB301" s="21">
        <v>291</v>
      </c>
      <c r="BC301" s="21">
        <v>1.3641399999999999</v>
      </c>
      <c r="BD301">
        <f t="shared" si="58"/>
        <v>15.993456790123457</v>
      </c>
      <c r="BE301">
        <f t="shared" si="59"/>
        <v>21.836826162962961</v>
      </c>
    </row>
    <row r="302" spans="6:57" x14ac:dyDescent="0.25">
      <c r="F302" s="9"/>
      <c r="G302" s="21">
        <v>0.31967200000000001</v>
      </c>
      <c r="H302" s="21">
        <v>7.9370500000000002</v>
      </c>
      <c r="I302" s="21">
        <v>-1.4385999999999999E-2</v>
      </c>
      <c r="J302" s="21">
        <v>292</v>
      </c>
      <c r="K302" s="21">
        <v>0.31909199999999999</v>
      </c>
      <c r="L302">
        <f t="shared" si="48"/>
        <v>17.760493827160492</v>
      </c>
      <c r="M302">
        <f t="shared" si="49"/>
        <v>5.677532582716049</v>
      </c>
      <c r="N302" s="9"/>
      <c r="O302" s="21">
        <v>1.37039</v>
      </c>
      <c r="P302" s="21">
        <v>11.7361</v>
      </c>
      <c r="Q302" s="21">
        <v>-1.29517E-2</v>
      </c>
      <c r="R302" s="21">
        <v>292</v>
      </c>
      <c r="S302" s="21">
        <v>1.3699300000000001</v>
      </c>
      <c r="T302">
        <f t="shared" si="50"/>
        <v>15.989753086419752</v>
      </c>
      <c r="U302">
        <f t="shared" si="51"/>
        <v>21.912197732098765</v>
      </c>
      <c r="X302" s="9"/>
      <c r="Y302" s="21">
        <v>0.31967200000000001</v>
      </c>
      <c r="Z302" s="21">
        <v>17.298200000000001</v>
      </c>
      <c r="AA302" s="21">
        <v>-1.4334100000000001E-2</v>
      </c>
      <c r="AB302" s="21">
        <v>292</v>
      </c>
      <c r="AC302" s="21">
        <v>0.31924400000000003</v>
      </c>
      <c r="AD302">
        <f t="shared" si="52"/>
        <v>17.69641975308642</v>
      </c>
      <c r="AE302">
        <f t="shared" si="53"/>
        <v>5.6570498953086421</v>
      </c>
      <c r="AF302" s="9"/>
      <c r="AG302" s="21">
        <v>1.37039</v>
      </c>
      <c r="AH302" s="21">
        <v>21.097300000000001</v>
      </c>
      <c r="AI302" s="21">
        <v>-1.29791E-2</v>
      </c>
      <c r="AJ302" s="21">
        <v>292</v>
      </c>
      <c r="AK302" s="21">
        <v>1.3693200000000001</v>
      </c>
      <c r="AL302">
        <f t="shared" si="54"/>
        <v>16.023580246913578</v>
      </c>
      <c r="AM302">
        <f t="shared" si="55"/>
        <v>21.958554134567898</v>
      </c>
      <c r="AP302" s="9"/>
      <c r="AQ302" s="21">
        <v>0.31967200000000001</v>
      </c>
      <c r="AR302" s="21">
        <v>26.535499999999999</v>
      </c>
      <c r="AS302" s="21">
        <v>-1.43158E-2</v>
      </c>
      <c r="AT302" s="21">
        <v>292</v>
      </c>
      <c r="AU302" s="21">
        <v>0.31900000000000001</v>
      </c>
      <c r="AV302">
        <f t="shared" si="56"/>
        <v>17.673827160493826</v>
      </c>
      <c r="AW302">
        <f t="shared" si="57"/>
        <v>5.649827676049382</v>
      </c>
      <c r="AX302" s="9"/>
      <c r="AY302" s="21">
        <v>1.37039</v>
      </c>
      <c r="AZ302" s="21">
        <v>30.334499999999998</v>
      </c>
      <c r="BA302" s="21">
        <v>-1.29211E-2</v>
      </c>
      <c r="BB302" s="21">
        <v>292</v>
      </c>
      <c r="BC302" s="21">
        <v>1.3693200000000001</v>
      </c>
      <c r="BD302">
        <f t="shared" si="58"/>
        <v>15.951975308641973</v>
      </c>
      <c r="BE302">
        <f t="shared" si="59"/>
        <v>21.860427443209876</v>
      </c>
    </row>
    <row r="303" spans="6:57" x14ac:dyDescent="0.25">
      <c r="F303" s="9"/>
      <c r="G303" s="21">
        <v>0.31463600000000003</v>
      </c>
      <c r="H303" s="21">
        <v>7.9471299999999996</v>
      </c>
      <c r="I303" s="21">
        <v>-1.43768E-2</v>
      </c>
      <c r="J303" s="21">
        <v>293</v>
      </c>
      <c r="K303" s="21">
        <v>0.31399500000000002</v>
      </c>
      <c r="L303">
        <f t="shared" si="48"/>
        <v>17.749135802469137</v>
      </c>
      <c r="M303">
        <f t="shared" si="49"/>
        <v>5.5845170923456795</v>
      </c>
      <c r="N303" s="9"/>
      <c r="O303" s="21">
        <v>1.3754299999999999</v>
      </c>
      <c r="P303" s="21">
        <v>11.7462</v>
      </c>
      <c r="Q303" s="21">
        <v>-1.29242E-2</v>
      </c>
      <c r="R303" s="21">
        <v>293</v>
      </c>
      <c r="S303" s="21">
        <v>1.3745099999999999</v>
      </c>
      <c r="T303">
        <f t="shared" si="50"/>
        <v>15.955802469135801</v>
      </c>
      <c r="U303">
        <f t="shared" si="51"/>
        <v>21.946089390123454</v>
      </c>
      <c r="X303" s="9"/>
      <c r="Y303" s="21">
        <v>0.31463600000000003</v>
      </c>
      <c r="Z303" s="21">
        <v>17.308299999999999</v>
      </c>
      <c r="AA303" s="21">
        <v>-1.43372E-2</v>
      </c>
      <c r="AB303" s="21">
        <v>293</v>
      </c>
      <c r="AC303" s="21">
        <v>0.314056</v>
      </c>
      <c r="AD303">
        <f t="shared" si="52"/>
        <v>17.700246913580244</v>
      </c>
      <c r="AE303">
        <f t="shared" si="53"/>
        <v>5.5691348879012343</v>
      </c>
      <c r="AF303" s="9"/>
      <c r="AG303" s="21">
        <v>1.3754299999999999</v>
      </c>
      <c r="AH303" s="21">
        <v>21.107399999999998</v>
      </c>
      <c r="AI303" s="21">
        <v>-1.29669E-2</v>
      </c>
      <c r="AJ303" s="21">
        <v>293</v>
      </c>
      <c r="AK303" s="21">
        <v>1.3742099999999999</v>
      </c>
      <c r="AL303">
        <f t="shared" si="54"/>
        <v>16.008518518518514</v>
      </c>
      <c r="AM303">
        <f t="shared" si="55"/>
        <v>22.01859662592592</v>
      </c>
      <c r="AP303" s="9"/>
      <c r="AQ303" s="21">
        <v>0.31463600000000003</v>
      </c>
      <c r="AR303" s="21">
        <v>26.545500000000001</v>
      </c>
      <c r="AS303" s="21">
        <v>-1.43219E-2</v>
      </c>
      <c r="AT303" s="21">
        <v>293</v>
      </c>
      <c r="AU303" s="21">
        <v>0.31408700000000001</v>
      </c>
      <c r="AV303">
        <f t="shared" si="56"/>
        <v>17.68135802469136</v>
      </c>
      <c r="AW303">
        <f t="shared" si="57"/>
        <v>5.5631917634567909</v>
      </c>
      <c r="AX303" s="9"/>
      <c r="AY303" s="21">
        <v>1.3754299999999999</v>
      </c>
      <c r="AZ303" s="21">
        <v>30.3446</v>
      </c>
      <c r="BA303" s="21">
        <v>-1.28906E-2</v>
      </c>
      <c r="BB303" s="21">
        <v>293</v>
      </c>
      <c r="BC303" s="21">
        <v>1.3745099999999999</v>
      </c>
      <c r="BD303">
        <f t="shared" si="58"/>
        <v>15.914320987654323</v>
      </c>
      <c r="BE303">
        <f t="shared" si="59"/>
        <v>21.889034516049385</v>
      </c>
    </row>
    <row r="304" spans="6:57" x14ac:dyDescent="0.25">
      <c r="F304" s="9"/>
      <c r="G304" s="21">
        <v>0.30960100000000002</v>
      </c>
      <c r="H304" s="21">
        <v>7.9572000000000003</v>
      </c>
      <c r="I304" s="21">
        <v>-1.4373800000000001E-2</v>
      </c>
      <c r="J304" s="21">
        <v>294</v>
      </c>
      <c r="K304" s="21">
        <v>0.30902099999999999</v>
      </c>
      <c r="L304">
        <f t="shared" si="48"/>
        <v>17.745432098765431</v>
      </c>
      <c r="M304">
        <f t="shared" si="49"/>
        <v>5.4940035232098765</v>
      </c>
      <c r="N304" s="9"/>
      <c r="O304" s="21">
        <v>1.38046</v>
      </c>
      <c r="P304" s="21">
        <v>11.7562</v>
      </c>
      <c r="Q304" s="21">
        <v>-1.2893699999999999E-2</v>
      </c>
      <c r="R304" s="21">
        <v>294</v>
      </c>
      <c r="S304" s="21">
        <v>1.38</v>
      </c>
      <c r="T304">
        <f t="shared" si="50"/>
        <v>15.918148148148147</v>
      </c>
      <c r="U304">
        <f t="shared" si="51"/>
        <v>21.974366792592591</v>
      </c>
      <c r="X304" s="9"/>
      <c r="Y304" s="21">
        <v>0.30960100000000002</v>
      </c>
      <c r="Z304" s="21">
        <v>17.3184</v>
      </c>
      <c r="AA304" s="21">
        <v>-1.4346299999999999E-2</v>
      </c>
      <c r="AB304" s="21">
        <v>294</v>
      </c>
      <c r="AC304" s="21">
        <v>0.30898999999999999</v>
      </c>
      <c r="AD304">
        <f t="shared" si="52"/>
        <v>17.711481481481481</v>
      </c>
      <c r="AE304">
        <f t="shared" si="53"/>
        <v>5.4834923781481484</v>
      </c>
      <c r="AF304" s="9"/>
      <c r="AG304" s="21">
        <v>1.38046</v>
      </c>
      <c r="AH304" s="21">
        <v>21.1174</v>
      </c>
      <c r="AI304" s="21">
        <v>-1.2942499999999999E-2</v>
      </c>
      <c r="AJ304" s="21">
        <v>294</v>
      </c>
      <c r="AK304" s="21">
        <v>1.3796999999999999</v>
      </c>
      <c r="AL304">
        <f t="shared" si="54"/>
        <v>15.978395061728392</v>
      </c>
      <c r="AM304">
        <f t="shared" si="55"/>
        <v>22.057535246913577</v>
      </c>
      <c r="AP304" s="9"/>
      <c r="AQ304" s="21">
        <v>0.30960100000000002</v>
      </c>
      <c r="AR304" s="21">
        <v>26.555599999999998</v>
      </c>
      <c r="AS304" s="21">
        <v>-1.4334100000000001E-2</v>
      </c>
      <c r="AT304" s="21">
        <v>294</v>
      </c>
      <c r="AU304" s="21">
        <v>0.30905199999999999</v>
      </c>
      <c r="AV304">
        <f t="shared" si="56"/>
        <v>17.69641975308642</v>
      </c>
      <c r="AW304">
        <f t="shared" si="57"/>
        <v>5.4788292519753092</v>
      </c>
      <c r="AX304" s="9"/>
      <c r="AY304" s="21">
        <v>1.38046</v>
      </c>
      <c r="AZ304" s="21">
        <v>30.354700000000001</v>
      </c>
      <c r="BA304" s="21">
        <v>-1.28723E-2</v>
      </c>
      <c r="BB304" s="21">
        <v>294</v>
      </c>
      <c r="BC304" s="21">
        <v>1.38</v>
      </c>
      <c r="BD304">
        <f t="shared" si="58"/>
        <v>15.891728395061728</v>
      </c>
      <c r="BE304">
        <f t="shared" si="59"/>
        <v>21.937895380246914</v>
      </c>
    </row>
    <row r="305" spans="6:57" x14ac:dyDescent="0.25">
      <c r="F305" s="9"/>
      <c r="G305" s="21">
        <v>0.30456499999999997</v>
      </c>
      <c r="H305" s="21">
        <v>7.9672700000000001</v>
      </c>
      <c r="I305" s="21">
        <v>-1.4367700000000001E-2</v>
      </c>
      <c r="J305" s="21">
        <v>295</v>
      </c>
      <c r="K305" s="21">
        <v>0.30398599999999998</v>
      </c>
      <c r="L305">
        <f t="shared" si="48"/>
        <v>17.7379012345679</v>
      </c>
      <c r="M305">
        <f t="shared" si="49"/>
        <v>5.4023438895061719</v>
      </c>
      <c r="N305" s="9"/>
      <c r="O305" s="21">
        <v>1.3855</v>
      </c>
      <c r="P305" s="21">
        <v>11.766299999999999</v>
      </c>
      <c r="Q305" s="21">
        <v>-1.28693E-2</v>
      </c>
      <c r="R305" s="21">
        <v>295</v>
      </c>
      <c r="S305" s="21">
        <v>1.38489</v>
      </c>
      <c r="T305">
        <f t="shared" si="50"/>
        <v>15.888024691358023</v>
      </c>
      <c r="U305">
        <f t="shared" si="51"/>
        <v>22.012858209876541</v>
      </c>
      <c r="X305" s="9"/>
      <c r="Y305" s="21">
        <v>0.30456499999999997</v>
      </c>
      <c r="Z305" s="21">
        <v>17.328499999999998</v>
      </c>
      <c r="AA305" s="21">
        <v>-1.4346299999999999E-2</v>
      </c>
      <c r="AB305" s="21">
        <v>295</v>
      </c>
      <c r="AC305" s="21">
        <v>0.30401600000000001</v>
      </c>
      <c r="AD305">
        <f t="shared" si="52"/>
        <v>17.711481481481481</v>
      </c>
      <c r="AE305">
        <f t="shared" si="53"/>
        <v>5.3942973574074067</v>
      </c>
      <c r="AF305" s="9"/>
      <c r="AG305" s="21">
        <v>1.3855</v>
      </c>
      <c r="AH305" s="21">
        <v>21.127500000000001</v>
      </c>
      <c r="AI305" s="21">
        <v>-1.2912E-2</v>
      </c>
      <c r="AJ305" s="21">
        <v>295</v>
      </c>
      <c r="AK305" s="21">
        <v>1.38489</v>
      </c>
      <c r="AL305">
        <f t="shared" si="54"/>
        <v>15.940740740740738</v>
      </c>
      <c r="AM305">
        <f t="shared" si="55"/>
        <v>22.085896296296291</v>
      </c>
      <c r="AP305" s="9"/>
      <c r="AQ305" s="21">
        <v>0.30456499999999997</v>
      </c>
      <c r="AR305" s="21">
        <v>26.5657</v>
      </c>
      <c r="AS305" s="21">
        <v>-1.4346299999999999E-2</v>
      </c>
      <c r="AT305" s="21">
        <v>295</v>
      </c>
      <c r="AU305" s="21">
        <v>0.30398599999999998</v>
      </c>
      <c r="AV305">
        <f t="shared" si="56"/>
        <v>17.711481481481481</v>
      </c>
      <c r="AW305">
        <f t="shared" si="57"/>
        <v>5.3942973574074067</v>
      </c>
      <c r="AX305" s="9"/>
      <c r="AY305" s="21">
        <v>1.3855</v>
      </c>
      <c r="AZ305" s="21">
        <v>30.364699999999999</v>
      </c>
      <c r="BA305" s="21">
        <v>-1.2847900000000001E-2</v>
      </c>
      <c r="BB305" s="21">
        <v>295</v>
      </c>
      <c r="BC305" s="21">
        <v>1.3845799999999999</v>
      </c>
      <c r="BD305">
        <f t="shared" si="58"/>
        <v>15.861604938271604</v>
      </c>
      <c r="BE305">
        <f t="shared" si="59"/>
        <v>21.976253641975308</v>
      </c>
    </row>
    <row r="306" spans="6:57" x14ac:dyDescent="0.25">
      <c r="F306" s="9"/>
      <c r="G306" s="21">
        <v>0.29953000000000002</v>
      </c>
      <c r="H306" s="21">
        <v>7.9773399999999999</v>
      </c>
      <c r="I306" s="21">
        <v>-1.43646E-2</v>
      </c>
      <c r="J306" s="21">
        <v>296</v>
      </c>
      <c r="K306" s="21">
        <v>0.29894999999999999</v>
      </c>
      <c r="L306">
        <f t="shared" si="48"/>
        <v>17.734074074074073</v>
      </c>
      <c r="M306">
        <f t="shared" si="49"/>
        <v>5.3118872074074073</v>
      </c>
      <c r="N306" s="9"/>
      <c r="O306" s="21">
        <v>1.39053</v>
      </c>
      <c r="P306" s="21">
        <v>11.776400000000001</v>
      </c>
      <c r="Q306" s="21">
        <v>-1.2851E-2</v>
      </c>
      <c r="R306" s="21">
        <v>296</v>
      </c>
      <c r="S306" s="21">
        <v>1.39008</v>
      </c>
      <c r="T306">
        <f t="shared" si="50"/>
        <v>15.865432098765432</v>
      </c>
      <c r="U306">
        <f t="shared" si="51"/>
        <v>22.061359296296295</v>
      </c>
      <c r="X306" s="9"/>
      <c r="Y306" s="21">
        <v>0.29953000000000002</v>
      </c>
      <c r="Z306" s="21">
        <v>17.3385</v>
      </c>
      <c r="AA306" s="21">
        <v>-1.43524E-2</v>
      </c>
      <c r="AB306" s="21">
        <v>296</v>
      </c>
      <c r="AC306" s="21">
        <v>0.29892000000000002</v>
      </c>
      <c r="AD306">
        <f t="shared" si="52"/>
        <v>17.719012345679008</v>
      </c>
      <c r="AE306">
        <f t="shared" si="53"/>
        <v>5.3073757679012337</v>
      </c>
      <c r="AF306" s="9"/>
      <c r="AG306" s="21">
        <v>1.39053</v>
      </c>
      <c r="AH306" s="21">
        <v>21.137599999999999</v>
      </c>
      <c r="AI306" s="21">
        <v>-1.2881500000000001E-2</v>
      </c>
      <c r="AJ306" s="21">
        <v>296</v>
      </c>
      <c r="AK306" s="21">
        <v>1.3897699999999999</v>
      </c>
      <c r="AL306">
        <f t="shared" si="54"/>
        <v>15.903086419753087</v>
      </c>
      <c r="AM306">
        <f t="shared" si="55"/>
        <v>22.11371875925926</v>
      </c>
      <c r="AP306" s="9"/>
      <c r="AQ306" s="21">
        <v>0.29953000000000002</v>
      </c>
      <c r="AR306" s="21">
        <v>26.575800000000001</v>
      </c>
      <c r="AS306" s="21">
        <v>-1.43494E-2</v>
      </c>
      <c r="AT306" s="21">
        <v>296</v>
      </c>
      <c r="AU306" s="21">
        <v>0.29901100000000003</v>
      </c>
      <c r="AV306">
        <f t="shared" si="56"/>
        <v>17.715308641975309</v>
      </c>
      <c r="AW306">
        <f t="shared" si="57"/>
        <v>5.3062663975308642</v>
      </c>
      <c r="AX306" s="9"/>
      <c r="AY306" s="21">
        <v>1.39053</v>
      </c>
      <c r="AZ306" s="21">
        <v>30.3748</v>
      </c>
      <c r="BA306" s="21">
        <v>-1.28235E-2</v>
      </c>
      <c r="BB306" s="21">
        <v>296</v>
      </c>
      <c r="BC306" s="21">
        <v>1.38947</v>
      </c>
      <c r="BD306">
        <f t="shared" si="58"/>
        <v>15.831481481481481</v>
      </c>
      <c r="BE306">
        <f t="shared" si="59"/>
        <v>22.014149944444444</v>
      </c>
    </row>
    <row r="307" spans="6:57" x14ac:dyDescent="0.25">
      <c r="F307" s="9"/>
      <c r="G307" s="21">
        <v>0.29449500000000001</v>
      </c>
      <c r="H307" s="21">
        <v>7.9874099999999997</v>
      </c>
      <c r="I307" s="21">
        <v>-1.4367700000000001E-2</v>
      </c>
      <c r="J307" s="21">
        <v>297</v>
      </c>
      <c r="K307" s="21">
        <v>0.29394500000000001</v>
      </c>
      <c r="L307">
        <f t="shared" si="48"/>
        <v>17.7379012345679</v>
      </c>
      <c r="M307">
        <f t="shared" si="49"/>
        <v>5.2237232240740736</v>
      </c>
      <c r="N307" s="9"/>
      <c r="O307" s="21">
        <v>1.39557</v>
      </c>
      <c r="P307" s="21">
        <v>11.7865</v>
      </c>
      <c r="Q307" s="21">
        <v>-1.28296E-2</v>
      </c>
      <c r="R307" s="21">
        <v>297</v>
      </c>
      <c r="S307" s="21">
        <v>1.39496</v>
      </c>
      <c r="T307">
        <f t="shared" si="50"/>
        <v>15.839012345679013</v>
      </c>
      <c r="U307">
        <f t="shared" si="51"/>
        <v>22.104450459259258</v>
      </c>
      <c r="X307" s="9"/>
      <c r="Y307" s="21">
        <v>0.29449500000000001</v>
      </c>
      <c r="Z307" s="21">
        <v>17.348600000000001</v>
      </c>
      <c r="AA307" s="21">
        <v>-1.43524E-2</v>
      </c>
      <c r="AB307" s="21">
        <v>297</v>
      </c>
      <c r="AC307" s="21">
        <v>0.29391499999999998</v>
      </c>
      <c r="AD307">
        <f t="shared" si="52"/>
        <v>17.719012345679008</v>
      </c>
      <c r="AE307">
        <f t="shared" si="53"/>
        <v>5.2181605407407394</v>
      </c>
      <c r="AF307" s="9"/>
      <c r="AG307" s="21">
        <v>1.39557</v>
      </c>
      <c r="AH307" s="21">
        <v>21.147600000000001</v>
      </c>
      <c r="AI307" s="21">
        <v>-1.2854000000000001E-2</v>
      </c>
      <c r="AJ307" s="21">
        <v>297</v>
      </c>
      <c r="AK307" s="21">
        <v>1.3946499999999999</v>
      </c>
      <c r="AL307">
        <f t="shared" si="54"/>
        <v>15.869135802469136</v>
      </c>
      <c r="AM307">
        <f t="shared" si="55"/>
        <v>22.146489851851854</v>
      </c>
      <c r="AP307" s="9"/>
      <c r="AQ307" s="21">
        <v>0.29449500000000001</v>
      </c>
      <c r="AR307" s="21">
        <v>26.585799999999999</v>
      </c>
      <c r="AS307" s="21">
        <v>-1.43524E-2</v>
      </c>
      <c r="AT307" s="21">
        <v>297</v>
      </c>
      <c r="AU307" s="21">
        <v>0.29391499999999998</v>
      </c>
      <c r="AV307">
        <f t="shared" si="56"/>
        <v>17.719012345679008</v>
      </c>
      <c r="AW307">
        <f t="shared" si="57"/>
        <v>5.2181605407407394</v>
      </c>
      <c r="AX307" s="9"/>
      <c r="AY307" s="21">
        <v>1.39557</v>
      </c>
      <c r="AZ307" s="21">
        <v>30.384899999999998</v>
      </c>
      <c r="BA307" s="21">
        <v>-1.27838E-2</v>
      </c>
      <c r="BB307" s="21">
        <v>297</v>
      </c>
      <c r="BC307" s="21">
        <v>1.3946499999999999</v>
      </c>
      <c r="BD307">
        <f t="shared" si="58"/>
        <v>15.782469135802467</v>
      </c>
      <c r="BE307">
        <f t="shared" si="59"/>
        <v>22.02554045185185</v>
      </c>
    </row>
    <row r="308" spans="6:57" x14ac:dyDescent="0.25">
      <c r="F308" s="9"/>
      <c r="G308" s="21">
        <v>0.28945900000000002</v>
      </c>
      <c r="H308" s="21">
        <v>7.9974800000000004</v>
      </c>
      <c r="I308" s="21">
        <v>-1.43768E-2</v>
      </c>
      <c r="J308" s="21">
        <v>298</v>
      </c>
      <c r="K308" s="21">
        <v>0.28884900000000002</v>
      </c>
      <c r="L308">
        <f t="shared" si="48"/>
        <v>17.749135802469137</v>
      </c>
      <c r="M308">
        <f t="shared" si="49"/>
        <v>5.1376471002469142</v>
      </c>
      <c r="N308" s="9"/>
      <c r="O308" s="21">
        <v>1.4006000000000001</v>
      </c>
      <c r="P308" s="21">
        <v>11.7965</v>
      </c>
      <c r="Q308" s="21">
        <v>-1.2805199999999999E-2</v>
      </c>
      <c r="R308" s="21">
        <v>298</v>
      </c>
      <c r="S308" s="21">
        <v>1.40015</v>
      </c>
      <c r="T308">
        <f t="shared" si="50"/>
        <v>15.808888888888886</v>
      </c>
      <c r="U308">
        <f t="shared" si="51"/>
        <v>22.141929777777776</v>
      </c>
      <c r="X308" s="9"/>
      <c r="Y308" s="21">
        <v>0.28945900000000002</v>
      </c>
      <c r="Z308" s="21">
        <v>17.358699999999999</v>
      </c>
      <c r="AA308" s="21">
        <v>-1.43555E-2</v>
      </c>
      <c r="AB308" s="21">
        <v>298</v>
      </c>
      <c r="AC308" s="21">
        <v>0.28884900000000002</v>
      </c>
      <c r="AD308">
        <f t="shared" si="52"/>
        <v>17.722839506172836</v>
      </c>
      <c r="AE308">
        <f t="shared" si="53"/>
        <v>5.1300354006172828</v>
      </c>
      <c r="AF308" s="9"/>
      <c r="AG308" s="21">
        <v>1.4006000000000001</v>
      </c>
      <c r="AH308" s="21">
        <v>21.157699999999998</v>
      </c>
      <c r="AI308" s="21">
        <v>-1.2820399999999999E-2</v>
      </c>
      <c r="AJ308" s="21">
        <v>298</v>
      </c>
      <c r="AK308" s="21">
        <v>1.40015</v>
      </c>
      <c r="AL308">
        <f t="shared" si="54"/>
        <v>15.827654320987653</v>
      </c>
      <c r="AM308">
        <f t="shared" si="55"/>
        <v>22.168212641975309</v>
      </c>
      <c r="AP308" s="9"/>
      <c r="AQ308" s="21">
        <v>0.28945900000000002</v>
      </c>
      <c r="AR308" s="21">
        <v>26.5959</v>
      </c>
      <c r="AS308" s="21">
        <v>-1.43616E-2</v>
      </c>
      <c r="AT308" s="21">
        <v>298</v>
      </c>
      <c r="AU308" s="21">
        <v>0.28881800000000002</v>
      </c>
      <c r="AV308">
        <f t="shared" si="56"/>
        <v>17.73037037037037</v>
      </c>
      <c r="AW308">
        <f t="shared" si="57"/>
        <v>5.1322152770370373</v>
      </c>
      <c r="AX308" s="9"/>
      <c r="AY308" s="21">
        <v>1.4006000000000001</v>
      </c>
      <c r="AZ308" s="21">
        <v>30.3949</v>
      </c>
      <c r="BA308" s="21">
        <v>-1.27502E-2</v>
      </c>
      <c r="BB308" s="21">
        <v>298</v>
      </c>
      <c r="BC308" s="21">
        <v>1.39954</v>
      </c>
      <c r="BD308">
        <f t="shared" si="58"/>
        <v>15.740987654320987</v>
      </c>
      <c r="BE308">
        <f t="shared" si="59"/>
        <v>22.046827308641976</v>
      </c>
    </row>
    <row r="309" spans="6:57" x14ac:dyDescent="0.25">
      <c r="F309" s="9"/>
      <c r="G309" s="21">
        <v>0.28442400000000001</v>
      </c>
      <c r="H309" s="21">
        <v>8.0075500000000002</v>
      </c>
      <c r="I309" s="21">
        <v>-1.4379899999999999E-2</v>
      </c>
      <c r="J309" s="21">
        <v>299</v>
      </c>
      <c r="K309" s="21">
        <v>0.28378300000000001</v>
      </c>
      <c r="L309">
        <f t="shared" si="48"/>
        <v>17.752962962962961</v>
      </c>
      <c r="M309">
        <f t="shared" si="49"/>
        <v>5.0493687377777778</v>
      </c>
      <c r="N309" s="9"/>
      <c r="O309" s="21">
        <v>1.40564</v>
      </c>
      <c r="P309" s="21">
        <v>11.8066</v>
      </c>
      <c r="Q309" s="21">
        <v>-1.27899E-2</v>
      </c>
      <c r="R309" s="21">
        <v>299</v>
      </c>
      <c r="S309" s="21">
        <v>1.40472</v>
      </c>
      <c r="T309">
        <f t="shared" si="50"/>
        <v>15.79</v>
      </c>
      <c r="U309">
        <f t="shared" si="51"/>
        <v>22.1950556</v>
      </c>
      <c r="X309" s="9"/>
      <c r="Y309" s="21">
        <v>0.28442400000000001</v>
      </c>
      <c r="Z309" s="21">
        <v>17.3687</v>
      </c>
      <c r="AA309" s="21">
        <v>-1.43585E-2</v>
      </c>
      <c r="AB309" s="21">
        <v>299</v>
      </c>
      <c r="AC309" s="21">
        <v>0.28387499999999999</v>
      </c>
      <c r="AD309">
        <f t="shared" si="52"/>
        <v>17.726543209876542</v>
      </c>
      <c r="AE309">
        <f t="shared" si="53"/>
        <v>5.0418543259259261</v>
      </c>
      <c r="AF309" s="9"/>
      <c r="AG309" s="21">
        <v>1.40564</v>
      </c>
      <c r="AH309" s="21">
        <v>21.1678</v>
      </c>
      <c r="AI309" s="21">
        <v>-1.27808E-2</v>
      </c>
      <c r="AJ309" s="21">
        <v>299</v>
      </c>
      <c r="AK309" s="21">
        <v>1.40442</v>
      </c>
      <c r="AL309">
        <f t="shared" si="54"/>
        <v>15.778765432098764</v>
      </c>
      <c r="AM309">
        <f t="shared" si="55"/>
        <v>22.179263841975306</v>
      </c>
      <c r="AP309" s="9"/>
      <c r="AQ309" s="21">
        <v>0.28442400000000001</v>
      </c>
      <c r="AR309" s="21">
        <v>26.606000000000002</v>
      </c>
      <c r="AS309" s="21">
        <v>-1.43707E-2</v>
      </c>
      <c r="AT309" s="21">
        <v>299</v>
      </c>
      <c r="AU309" s="21">
        <v>0.283661</v>
      </c>
      <c r="AV309">
        <f t="shared" si="56"/>
        <v>17.741604938271603</v>
      </c>
      <c r="AW309">
        <f t="shared" si="57"/>
        <v>5.0461382429629627</v>
      </c>
      <c r="AX309" s="9"/>
      <c r="AY309" s="21">
        <v>1.40564</v>
      </c>
      <c r="AZ309" s="21">
        <v>30.405000000000001</v>
      </c>
      <c r="BA309" s="21">
        <v>-1.27197E-2</v>
      </c>
      <c r="BB309" s="21">
        <v>299</v>
      </c>
      <c r="BC309" s="21">
        <v>1.40503</v>
      </c>
      <c r="BD309">
        <f t="shared" si="58"/>
        <v>15.703333333333333</v>
      </c>
      <c r="BE309">
        <f t="shared" si="59"/>
        <v>22.073233466666668</v>
      </c>
    </row>
    <row r="310" spans="6:57" x14ac:dyDescent="0.25">
      <c r="F310" s="9"/>
      <c r="G310" s="21">
        <v>0.27938800000000003</v>
      </c>
      <c r="H310" s="21">
        <v>8.0176200000000009</v>
      </c>
      <c r="I310" s="21">
        <v>-1.4385999999999999E-2</v>
      </c>
      <c r="J310" s="21">
        <v>300</v>
      </c>
      <c r="K310" s="21">
        <v>0.27877800000000003</v>
      </c>
      <c r="L310">
        <f t="shared" si="48"/>
        <v>17.760493827160492</v>
      </c>
      <c r="M310">
        <f t="shared" si="49"/>
        <v>4.9620688493827156</v>
      </c>
      <c r="N310" s="9"/>
      <c r="O310" s="21">
        <v>1.4106799999999999</v>
      </c>
      <c r="P310" s="21">
        <v>11.816700000000001</v>
      </c>
      <c r="Q310" s="21">
        <v>-1.2759400000000001E-2</v>
      </c>
      <c r="R310" s="21">
        <v>300</v>
      </c>
      <c r="S310" s="21">
        <v>1.40961</v>
      </c>
      <c r="T310">
        <f t="shared" si="50"/>
        <v>15.752345679012343</v>
      </c>
      <c r="U310">
        <f t="shared" si="51"/>
        <v>22.221519002469133</v>
      </c>
      <c r="X310" s="9"/>
      <c r="Y310" s="21">
        <v>0.27938800000000003</v>
      </c>
      <c r="Z310" s="21">
        <v>17.378799999999998</v>
      </c>
      <c r="AA310" s="21">
        <v>-1.43616E-2</v>
      </c>
      <c r="AB310" s="21">
        <v>300</v>
      </c>
      <c r="AC310" s="21">
        <v>0.27896100000000001</v>
      </c>
      <c r="AD310">
        <f t="shared" si="52"/>
        <v>17.73037037037037</v>
      </c>
      <c r="AE310">
        <f t="shared" si="53"/>
        <v>4.9536527170370377</v>
      </c>
      <c r="AF310" s="9"/>
      <c r="AG310" s="21">
        <v>1.4106799999999999</v>
      </c>
      <c r="AH310" s="21">
        <v>21.177900000000001</v>
      </c>
      <c r="AI310" s="21">
        <v>-1.2759400000000001E-2</v>
      </c>
      <c r="AJ310" s="21">
        <v>300</v>
      </c>
      <c r="AK310" s="21">
        <v>1.41052</v>
      </c>
      <c r="AL310">
        <f t="shared" si="54"/>
        <v>15.752345679012343</v>
      </c>
      <c r="AM310">
        <f t="shared" si="55"/>
        <v>22.221519002469133</v>
      </c>
      <c r="AP310" s="9"/>
      <c r="AQ310" s="21">
        <v>0.27938800000000003</v>
      </c>
      <c r="AR310" s="21">
        <v>26.616</v>
      </c>
      <c r="AS310" s="21">
        <v>-1.43707E-2</v>
      </c>
      <c r="AT310" s="21">
        <v>300</v>
      </c>
      <c r="AU310" s="21">
        <v>0.27877800000000003</v>
      </c>
      <c r="AV310">
        <f t="shared" si="56"/>
        <v>17.741604938271603</v>
      </c>
      <c r="AW310">
        <f t="shared" si="57"/>
        <v>4.9567915204938275</v>
      </c>
      <c r="AX310" s="9"/>
      <c r="AY310" s="21">
        <v>1.4106799999999999</v>
      </c>
      <c r="AZ310" s="21">
        <v>30.415099999999999</v>
      </c>
      <c r="BA310" s="21">
        <v>-1.27014E-2</v>
      </c>
      <c r="BB310" s="21">
        <v>300</v>
      </c>
      <c r="BC310" s="21">
        <v>1.40991</v>
      </c>
      <c r="BD310">
        <f t="shared" si="58"/>
        <v>15.680740740740738</v>
      </c>
      <c r="BE310">
        <f t="shared" si="59"/>
        <v>22.120507348148145</v>
      </c>
    </row>
    <row r="311" spans="6:57" x14ac:dyDescent="0.25">
      <c r="F311" s="9"/>
      <c r="G311" s="21">
        <v>0.27435300000000001</v>
      </c>
      <c r="H311" s="21">
        <v>8.0276899999999998</v>
      </c>
      <c r="I311" s="21">
        <v>-1.4401199999999999E-2</v>
      </c>
      <c r="J311" s="21">
        <v>301</v>
      </c>
      <c r="K311" s="21">
        <v>0.27365099999999998</v>
      </c>
      <c r="L311">
        <f t="shared" si="48"/>
        <v>17.779259259259259</v>
      </c>
      <c r="M311">
        <f t="shared" si="49"/>
        <v>4.8777931155555558</v>
      </c>
      <c r="N311" s="9"/>
      <c r="O311" s="21">
        <v>1.41571</v>
      </c>
      <c r="P311" s="21">
        <v>11.826700000000001</v>
      </c>
      <c r="Q311" s="21">
        <v>-1.2725800000000001E-2</v>
      </c>
      <c r="R311" s="21">
        <v>301</v>
      </c>
      <c r="S311" s="21">
        <v>1.41418</v>
      </c>
      <c r="T311">
        <f t="shared" si="50"/>
        <v>15.710864197530865</v>
      </c>
      <c r="U311">
        <f t="shared" si="51"/>
        <v>22.242027553086423</v>
      </c>
      <c r="X311" s="9"/>
      <c r="Y311" s="21">
        <v>0.27435300000000001</v>
      </c>
      <c r="Z311" s="21">
        <v>17.3889</v>
      </c>
      <c r="AA311" s="21">
        <v>-1.4367700000000001E-2</v>
      </c>
      <c r="AB311" s="21">
        <v>301</v>
      </c>
      <c r="AC311" s="21">
        <v>0.27377299999999999</v>
      </c>
      <c r="AD311">
        <f t="shared" si="52"/>
        <v>17.7379012345679</v>
      </c>
      <c r="AE311">
        <f t="shared" si="53"/>
        <v>4.8664464174074071</v>
      </c>
      <c r="AF311" s="9"/>
      <c r="AG311" s="21">
        <v>1.41571</v>
      </c>
      <c r="AH311" s="21">
        <v>21.187899999999999</v>
      </c>
      <c r="AI311" s="21">
        <v>-1.2725800000000001E-2</v>
      </c>
      <c r="AJ311" s="21">
        <v>301</v>
      </c>
      <c r="AK311" s="21">
        <v>1.41479</v>
      </c>
      <c r="AL311">
        <f t="shared" si="54"/>
        <v>15.710864197530865</v>
      </c>
      <c r="AM311">
        <f t="shared" si="55"/>
        <v>22.242027553086423</v>
      </c>
      <c r="AP311" s="9"/>
      <c r="AQ311" s="21">
        <v>0.27435300000000001</v>
      </c>
      <c r="AR311" s="21">
        <v>26.626100000000001</v>
      </c>
      <c r="AS311" s="21">
        <v>-1.43768E-2</v>
      </c>
      <c r="AT311" s="21">
        <v>301</v>
      </c>
      <c r="AU311" s="21">
        <v>0.27377299999999999</v>
      </c>
      <c r="AV311">
        <f t="shared" si="56"/>
        <v>17.749135802469137</v>
      </c>
      <c r="AW311">
        <f t="shared" si="57"/>
        <v>4.8695286548148156</v>
      </c>
      <c r="AX311" s="9"/>
      <c r="AY311" s="21">
        <v>1.41571</v>
      </c>
      <c r="AZ311" s="21">
        <v>30.4252</v>
      </c>
      <c r="BA311" s="21">
        <v>-1.2677000000000001E-2</v>
      </c>
      <c r="BB311" s="21">
        <v>301</v>
      </c>
      <c r="BC311" s="21">
        <v>1.41479</v>
      </c>
      <c r="BD311">
        <f t="shared" si="58"/>
        <v>15.650617283950618</v>
      </c>
      <c r="BE311">
        <f t="shared" si="59"/>
        <v>22.15673539506173</v>
      </c>
    </row>
    <row r="312" spans="6:57" x14ac:dyDescent="0.25">
      <c r="F312" s="9"/>
      <c r="G312" s="21">
        <v>0.269318</v>
      </c>
      <c r="H312" s="21">
        <v>8.0377600000000005</v>
      </c>
      <c r="I312" s="21">
        <v>-1.4419599999999999E-2</v>
      </c>
      <c r="J312" s="21">
        <v>302</v>
      </c>
      <c r="K312" s="21">
        <v>0.268677</v>
      </c>
      <c r="L312">
        <f t="shared" si="48"/>
        <v>17.801975308641975</v>
      </c>
      <c r="M312">
        <f t="shared" si="49"/>
        <v>4.7943923861728397</v>
      </c>
      <c r="N312" s="9"/>
      <c r="O312" s="21">
        <v>1.42075</v>
      </c>
      <c r="P312" s="21">
        <v>11.8368</v>
      </c>
      <c r="Q312" s="21">
        <v>-1.26862E-2</v>
      </c>
      <c r="R312" s="21">
        <v>302</v>
      </c>
      <c r="S312" s="21">
        <v>1.4202900000000001</v>
      </c>
      <c r="T312">
        <f t="shared" si="50"/>
        <v>15.661975308641974</v>
      </c>
      <c r="U312">
        <f t="shared" si="51"/>
        <v>22.251751419753084</v>
      </c>
      <c r="X312" s="9"/>
      <c r="Y312" s="21">
        <v>0.269318</v>
      </c>
      <c r="Z312" s="21">
        <v>17.399000000000001</v>
      </c>
      <c r="AA312" s="21">
        <v>-1.4382900000000001E-2</v>
      </c>
      <c r="AB312" s="21">
        <v>302</v>
      </c>
      <c r="AC312" s="21">
        <v>0.26870699999999997</v>
      </c>
      <c r="AD312">
        <f t="shared" si="52"/>
        <v>17.756666666666668</v>
      </c>
      <c r="AE312">
        <f t="shared" si="53"/>
        <v>4.7821899533333339</v>
      </c>
      <c r="AF312" s="9"/>
      <c r="AG312" s="21">
        <v>1.42075</v>
      </c>
      <c r="AH312" s="21">
        <v>21.198</v>
      </c>
      <c r="AI312" s="21">
        <v>-1.26953E-2</v>
      </c>
      <c r="AJ312" s="21">
        <v>302</v>
      </c>
      <c r="AK312" s="21">
        <v>1.41998</v>
      </c>
      <c r="AL312">
        <f t="shared" si="54"/>
        <v>15.67320987654321</v>
      </c>
      <c r="AM312">
        <f t="shared" si="55"/>
        <v>22.267712932098764</v>
      </c>
      <c r="AP312" s="9"/>
      <c r="AQ312" s="21">
        <v>0.269318</v>
      </c>
      <c r="AR312" s="21">
        <v>26.636199999999999</v>
      </c>
      <c r="AS312" s="21">
        <v>-1.4382900000000001E-2</v>
      </c>
      <c r="AT312" s="21">
        <v>302</v>
      </c>
      <c r="AU312" s="21">
        <v>0.26873799999999998</v>
      </c>
      <c r="AV312">
        <f t="shared" si="56"/>
        <v>17.756666666666668</v>
      </c>
      <c r="AW312">
        <f t="shared" si="57"/>
        <v>4.7821899533333339</v>
      </c>
      <c r="AX312" s="9"/>
      <c r="AY312" s="21">
        <v>1.42075</v>
      </c>
      <c r="AZ312" s="21">
        <v>30.435199999999998</v>
      </c>
      <c r="BA312" s="21">
        <v>-1.2649499999999999E-2</v>
      </c>
      <c r="BB312" s="21">
        <v>302</v>
      </c>
      <c r="BC312" s="21">
        <v>1.4202900000000001</v>
      </c>
      <c r="BD312">
        <f t="shared" si="58"/>
        <v>15.616666666666664</v>
      </c>
      <c r="BE312">
        <f t="shared" si="59"/>
        <v>22.187379166666663</v>
      </c>
    </row>
    <row r="313" spans="6:57" x14ac:dyDescent="0.25">
      <c r="F313" s="9"/>
      <c r="G313" s="21">
        <v>0.26428200000000002</v>
      </c>
      <c r="H313" s="21">
        <v>8.0478400000000008</v>
      </c>
      <c r="I313" s="21">
        <v>-1.4428699999999999E-2</v>
      </c>
      <c r="J313" s="21">
        <v>303</v>
      </c>
      <c r="K313" s="21">
        <v>0.26376300000000003</v>
      </c>
      <c r="L313">
        <f t="shared" si="48"/>
        <v>17.813209876543205</v>
      </c>
      <c r="M313">
        <f t="shared" si="49"/>
        <v>4.7077107325925915</v>
      </c>
      <c r="N313" s="9"/>
      <c r="O313" s="21">
        <v>1.42578</v>
      </c>
      <c r="P313" s="21">
        <v>11.8469</v>
      </c>
      <c r="Q313" s="21">
        <v>-1.26526E-2</v>
      </c>
      <c r="R313" s="21">
        <v>303</v>
      </c>
      <c r="S313" s="21">
        <v>1.42517</v>
      </c>
      <c r="T313">
        <f t="shared" si="50"/>
        <v>15.620493827160493</v>
      </c>
      <c r="U313">
        <f t="shared" si="51"/>
        <v>22.27138768888889</v>
      </c>
      <c r="X313" s="9"/>
      <c r="Y313" s="21">
        <v>0.26428200000000002</v>
      </c>
      <c r="Z313" s="21">
        <v>17.408999999999999</v>
      </c>
      <c r="AA313" s="21">
        <v>-1.43921E-2</v>
      </c>
      <c r="AB313" s="21">
        <v>303</v>
      </c>
      <c r="AC313" s="21">
        <v>0.26364100000000001</v>
      </c>
      <c r="AD313">
        <f t="shared" si="52"/>
        <v>17.768024691358022</v>
      </c>
      <c r="AE313">
        <f t="shared" si="53"/>
        <v>4.6957691014814813</v>
      </c>
      <c r="AF313" s="9"/>
      <c r="AG313" s="21">
        <v>1.42578</v>
      </c>
      <c r="AH313" s="21">
        <v>21.208100000000002</v>
      </c>
      <c r="AI313" s="21">
        <v>-1.26617E-2</v>
      </c>
      <c r="AJ313" s="21">
        <v>303</v>
      </c>
      <c r="AK313" s="21">
        <v>1.42517</v>
      </c>
      <c r="AL313">
        <f t="shared" si="54"/>
        <v>15.631728395061728</v>
      </c>
      <c r="AM313">
        <f t="shared" si="55"/>
        <v>22.287405711111113</v>
      </c>
      <c r="AP313" s="9"/>
      <c r="AQ313" s="21">
        <v>0.26428200000000002</v>
      </c>
      <c r="AR313" s="21">
        <v>26.6463</v>
      </c>
      <c r="AS313" s="21">
        <v>-1.4385999999999999E-2</v>
      </c>
      <c r="AT313" s="21">
        <v>303</v>
      </c>
      <c r="AU313" s="21">
        <v>0.26370199999999999</v>
      </c>
      <c r="AV313">
        <f t="shared" si="56"/>
        <v>17.760493827160492</v>
      </c>
      <c r="AW313">
        <f t="shared" si="57"/>
        <v>4.693778829629629</v>
      </c>
      <c r="AX313" s="9"/>
      <c r="AY313" s="21">
        <v>1.42578</v>
      </c>
      <c r="AZ313" s="21">
        <v>30.4453</v>
      </c>
      <c r="BA313" s="21">
        <v>-1.26129E-2</v>
      </c>
      <c r="BB313" s="21">
        <v>303</v>
      </c>
      <c r="BC313" s="21">
        <v>1.42517</v>
      </c>
      <c r="BD313">
        <f t="shared" si="58"/>
        <v>15.571481481481479</v>
      </c>
      <c r="BE313">
        <f t="shared" si="59"/>
        <v>22.201506866666662</v>
      </c>
    </row>
    <row r="314" spans="6:57" x14ac:dyDescent="0.25">
      <c r="F314" s="9"/>
      <c r="G314" s="21">
        <v>0.25924700000000001</v>
      </c>
      <c r="H314" s="21">
        <v>8.0579099999999997</v>
      </c>
      <c r="I314" s="21">
        <v>-1.4434799999999999E-2</v>
      </c>
      <c r="J314" s="21">
        <v>304</v>
      </c>
      <c r="K314" s="21">
        <v>0.25866699999999998</v>
      </c>
      <c r="L314">
        <f t="shared" si="48"/>
        <v>17.820740740740739</v>
      </c>
      <c r="M314">
        <f t="shared" si="49"/>
        <v>4.6199735748148143</v>
      </c>
      <c r="N314" s="9"/>
      <c r="O314" s="21">
        <v>1.43082</v>
      </c>
      <c r="P314" s="21">
        <v>11.856999999999999</v>
      </c>
      <c r="Q314" s="21">
        <v>-1.2622100000000001E-2</v>
      </c>
      <c r="R314" s="21">
        <v>304</v>
      </c>
      <c r="S314" s="21">
        <v>1.4303600000000001</v>
      </c>
      <c r="T314">
        <f t="shared" si="50"/>
        <v>15.582839506172839</v>
      </c>
      <c r="U314">
        <f t="shared" si="51"/>
        <v>22.296238422222221</v>
      </c>
      <c r="X314" s="9"/>
      <c r="Y314" s="21">
        <v>0.25924700000000001</v>
      </c>
      <c r="Z314" s="21">
        <v>17.4191</v>
      </c>
      <c r="AA314" s="21">
        <v>-1.44043E-2</v>
      </c>
      <c r="AB314" s="21">
        <v>304</v>
      </c>
      <c r="AC314" s="21">
        <v>0.25866699999999998</v>
      </c>
      <c r="AD314">
        <f t="shared" si="52"/>
        <v>17.783086419753086</v>
      </c>
      <c r="AE314">
        <f t="shared" si="53"/>
        <v>4.6102118050617289</v>
      </c>
      <c r="AF314" s="9"/>
      <c r="AG314" s="21">
        <v>1.43082</v>
      </c>
      <c r="AH314" s="21">
        <v>21.2181</v>
      </c>
      <c r="AI314" s="21">
        <v>-1.26312E-2</v>
      </c>
      <c r="AJ314" s="21">
        <v>304</v>
      </c>
      <c r="AK314" s="21">
        <v>1.4297500000000001</v>
      </c>
      <c r="AL314">
        <f t="shared" si="54"/>
        <v>15.594074074074072</v>
      </c>
      <c r="AM314">
        <f t="shared" si="55"/>
        <v>22.312313066666665</v>
      </c>
      <c r="AP314" s="9"/>
      <c r="AQ314" s="21">
        <v>0.25924700000000001</v>
      </c>
      <c r="AR314" s="21">
        <v>26.656300000000002</v>
      </c>
      <c r="AS314" s="21">
        <v>-1.4382900000000001E-2</v>
      </c>
      <c r="AT314" s="21">
        <v>304</v>
      </c>
      <c r="AU314" s="21">
        <v>0.258606</v>
      </c>
      <c r="AV314">
        <f t="shared" si="56"/>
        <v>17.756666666666668</v>
      </c>
      <c r="AW314">
        <f t="shared" si="57"/>
        <v>4.6033625633333335</v>
      </c>
      <c r="AX314" s="9"/>
      <c r="AY314" s="21">
        <v>1.43082</v>
      </c>
      <c r="AZ314" s="21">
        <v>30.455400000000001</v>
      </c>
      <c r="BA314" s="21">
        <v>-1.25854E-2</v>
      </c>
      <c r="BB314" s="21">
        <v>304</v>
      </c>
      <c r="BC314" s="21">
        <v>1.4303600000000001</v>
      </c>
      <c r="BD314">
        <f t="shared" si="58"/>
        <v>15.53753086419753</v>
      </c>
      <c r="BE314">
        <f t="shared" si="59"/>
        <v>22.231409911111108</v>
      </c>
    </row>
    <row r="315" spans="6:57" x14ac:dyDescent="0.25">
      <c r="F315" s="9"/>
      <c r="G315" s="21">
        <v>0.25421100000000002</v>
      </c>
      <c r="H315" s="21">
        <v>8.0679800000000004</v>
      </c>
      <c r="I315" s="21">
        <v>-1.44409E-2</v>
      </c>
      <c r="J315" s="21">
        <v>305</v>
      </c>
      <c r="K315" s="21">
        <v>0.25351000000000001</v>
      </c>
      <c r="L315">
        <f t="shared" si="48"/>
        <v>17.828271604938269</v>
      </c>
      <c r="M315">
        <f t="shared" si="49"/>
        <v>4.5321427529629625</v>
      </c>
      <c r="N315" s="9"/>
      <c r="O315" s="21">
        <v>1.4358500000000001</v>
      </c>
      <c r="P315" s="21">
        <v>11.867000000000001</v>
      </c>
      <c r="Q315" s="21">
        <v>-1.25977E-2</v>
      </c>
      <c r="R315" s="21">
        <v>305</v>
      </c>
      <c r="S315" s="21">
        <v>1.4352400000000001</v>
      </c>
      <c r="T315">
        <f t="shared" si="50"/>
        <v>15.552716049382715</v>
      </c>
      <c r="U315">
        <f t="shared" si="51"/>
        <v>22.331367339506173</v>
      </c>
      <c r="X315" s="9"/>
      <c r="Y315" s="21">
        <v>0.25421100000000002</v>
      </c>
      <c r="Z315" s="21">
        <v>17.429200000000002</v>
      </c>
      <c r="AA315" s="21">
        <v>-1.44257E-2</v>
      </c>
      <c r="AB315" s="21">
        <v>305</v>
      </c>
      <c r="AC315" s="21">
        <v>0.25360100000000002</v>
      </c>
      <c r="AD315">
        <f t="shared" si="52"/>
        <v>17.809506172839505</v>
      </c>
      <c r="AE315">
        <f t="shared" si="53"/>
        <v>4.5273723737037042</v>
      </c>
      <c r="AF315" s="9"/>
      <c r="AG315" s="21">
        <v>1.4358500000000001</v>
      </c>
      <c r="AH315" s="21">
        <v>21.228200000000001</v>
      </c>
      <c r="AI315" s="21">
        <v>-1.2600699999999999E-2</v>
      </c>
      <c r="AJ315" s="21">
        <v>305</v>
      </c>
      <c r="AK315" s="21">
        <v>1.4352400000000001</v>
      </c>
      <c r="AL315">
        <f t="shared" si="54"/>
        <v>15.556419753086418</v>
      </c>
      <c r="AM315">
        <f t="shared" si="55"/>
        <v>22.336685302469135</v>
      </c>
      <c r="AP315" s="9"/>
      <c r="AQ315" s="21">
        <v>0.25421100000000002</v>
      </c>
      <c r="AR315" s="21">
        <v>26.666399999999999</v>
      </c>
      <c r="AS315" s="21">
        <v>-1.4379899999999999E-2</v>
      </c>
      <c r="AT315" s="21">
        <v>305</v>
      </c>
      <c r="AU315" s="21">
        <v>0.253662</v>
      </c>
      <c r="AV315">
        <f t="shared" si="56"/>
        <v>17.752962962962961</v>
      </c>
      <c r="AW315">
        <f t="shared" si="57"/>
        <v>4.5129984677777779</v>
      </c>
      <c r="AX315" s="9"/>
      <c r="AY315" s="21">
        <v>1.4358500000000001</v>
      </c>
      <c r="AZ315" s="21">
        <v>30.465399999999999</v>
      </c>
      <c r="BA315" s="21">
        <v>-1.2560999999999999E-2</v>
      </c>
      <c r="BB315" s="21">
        <v>305</v>
      </c>
      <c r="BC315" s="21">
        <v>1.4352400000000001</v>
      </c>
      <c r="BD315">
        <f t="shared" si="58"/>
        <v>15.507407407407406</v>
      </c>
      <c r="BE315">
        <f t="shared" si="59"/>
        <v>22.266310925925925</v>
      </c>
    </row>
    <row r="316" spans="6:57" x14ac:dyDescent="0.25">
      <c r="F316" s="9"/>
      <c r="G316" s="21">
        <v>0.24917600000000001</v>
      </c>
      <c r="H316" s="21">
        <v>8.0780499999999993</v>
      </c>
      <c r="I316" s="21">
        <v>-1.4444E-2</v>
      </c>
      <c r="J316" s="21">
        <v>306</v>
      </c>
      <c r="K316" s="21">
        <v>0.24862699999999999</v>
      </c>
      <c r="L316">
        <f t="shared" si="48"/>
        <v>17.832098765432097</v>
      </c>
      <c r="M316">
        <f t="shared" si="49"/>
        <v>4.4433310419753083</v>
      </c>
      <c r="N316" s="9"/>
      <c r="O316" s="21">
        <v>1.44089</v>
      </c>
      <c r="P316" s="21">
        <v>11.8771</v>
      </c>
      <c r="Q316" s="21">
        <v>-1.25641E-2</v>
      </c>
      <c r="R316" s="21">
        <v>306</v>
      </c>
      <c r="S316" s="21">
        <v>1.4401200000000001</v>
      </c>
      <c r="T316">
        <f t="shared" si="50"/>
        <v>15.511234567901234</v>
      </c>
      <c r="U316">
        <f t="shared" si="51"/>
        <v>22.349982776543207</v>
      </c>
      <c r="X316" s="9"/>
      <c r="Y316" s="21">
        <v>0.24917600000000001</v>
      </c>
      <c r="Z316" s="21">
        <v>17.4392</v>
      </c>
      <c r="AA316" s="21">
        <v>-1.44379E-2</v>
      </c>
      <c r="AB316" s="21">
        <v>306</v>
      </c>
      <c r="AC316" s="21">
        <v>0.24853500000000001</v>
      </c>
      <c r="AD316">
        <f t="shared" si="52"/>
        <v>17.824567901234566</v>
      </c>
      <c r="AE316">
        <f t="shared" si="53"/>
        <v>4.4414545313580245</v>
      </c>
      <c r="AF316" s="9"/>
      <c r="AG316" s="21">
        <v>1.44089</v>
      </c>
      <c r="AH316" s="21">
        <v>21.238299999999999</v>
      </c>
      <c r="AI316" s="21">
        <v>-1.25763E-2</v>
      </c>
      <c r="AJ316" s="21">
        <v>306</v>
      </c>
      <c r="AK316" s="21">
        <v>1.4398200000000001</v>
      </c>
      <c r="AL316">
        <f t="shared" si="54"/>
        <v>15.526296296296294</v>
      </c>
      <c r="AM316">
        <f t="shared" si="55"/>
        <v>22.371685070370368</v>
      </c>
      <c r="AP316" s="9"/>
      <c r="AQ316" s="21">
        <v>0.24917600000000001</v>
      </c>
      <c r="AR316" s="21">
        <v>26.676500000000001</v>
      </c>
      <c r="AS316" s="21">
        <v>-1.4382900000000001E-2</v>
      </c>
      <c r="AT316" s="21">
        <v>306</v>
      </c>
      <c r="AU316" s="21">
        <v>0.24865699999999999</v>
      </c>
      <c r="AV316">
        <f t="shared" si="56"/>
        <v>17.756666666666668</v>
      </c>
      <c r="AW316">
        <f t="shared" si="57"/>
        <v>4.424535173333334</v>
      </c>
      <c r="AX316" s="9"/>
      <c r="AY316" s="21">
        <v>1.44089</v>
      </c>
      <c r="AZ316" s="21">
        <v>30.4755</v>
      </c>
      <c r="BA316" s="21">
        <v>-1.2533600000000001E-2</v>
      </c>
      <c r="BB316" s="21">
        <v>306</v>
      </c>
      <c r="BC316" s="21">
        <v>1.4401200000000001</v>
      </c>
      <c r="BD316">
        <f t="shared" si="58"/>
        <v>15.473580246913581</v>
      </c>
      <c r="BE316">
        <f t="shared" si="59"/>
        <v>22.295727041975312</v>
      </c>
    </row>
    <row r="317" spans="6:57" x14ac:dyDescent="0.25">
      <c r="F317" s="9"/>
      <c r="G317" s="21">
        <v>0.244141</v>
      </c>
      <c r="H317" s="21">
        <v>8.08812</v>
      </c>
      <c r="I317" s="21">
        <v>-1.44531E-2</v>
      </c>
      <c r="J317" s="21">
        <v>307</v>
      </c>
      <c r="K317" s="21">
        <v>0.24353</v>
      </c>
      <c r="L317">
        <f t="shared" si="48"/>
        <v>17.843333333333334</v>
      </c>
      <c r="M317">
        <f t="shared" si="49"/>
        <v>4.3562892433333333</v>
      </c>
      <c r="N317" s="9"/>
      <c r="O317" s="21">
        <v>1.4459200000000001</v>
      </c>
      <c r="P317" s="21">
        <v>11.8872</v>
      </c>
      <c r="Q317" s="21">
        <v>-1.25244E-2</v>
      </c>
      <c r="R317" s="21">
        <v>307</v>
      </c>
      <c r="S317" s="21">
        <v>1.4453100000000001</v>
      </c>
      <c r="T317">
        <f t="shared" si="50"/>
        <v>15.462222222222222</v>
      </c>
      <c r="U317">
        <f t="shared" si="51"/>
        <v>22.357136355555557</v>
      </c>
      <c r="X317" s="9"/>
      <c r="Y317" s="21">
        <v>0.244141</v>
      </c>
      <c r="Z317" s="21">
        <v>17.449300000000001</v>
      </c>
      <c r="AA317" s="21">
        <v>-1.44379E-2</v>
      </c>
      <c r="AB317" s="21">
        <v>307</v>
      </c>
      <c r="AC317" s="21">
        <v>0.24346899999999999</v>
      </c>
      <c r="AD317">
        <f t="shared" si="52"/>
        <v>17.824567901234566</v>
      </c>
      <c r="AE317">
        <f t="shared" si="53"/>
        <v>4.3517078319753084</v>
      </c>
      <c r="AF317" s="9"/>
      <c r="AG317" s="21">
        <v>1.4459200000000001</v>
      </c>
      <c r="AH317" s="21">
        <v>21.2484</v>
      </c>
      <c r="AI317" s="21">
        <v>-1.25427E-2</v>
      </c>
      <c r="AJ317" s="21">
        <v>307</v>
      </c>
      <c r="AK317" s="21">
        <v>1.4450099999999999</v>
      </c>
      <c r="AL317">
        <f t="shared" si="54"/>
        <v>15.484814814814815</v>
      </c>
      <c r="AM317">
        <f t="shared" si="55"/>
        <v>22.389803437037038</v>
      </c>
      <c r="AP317" s="9"/>
      <c r="AQ317" s="21">
        <v>0.244141</v>
      </c>
      <c r="AR317" s="21">
        <v>26.686499999999999</v>
      </c>
      <c r="AS317" s="21">
        <v>-1.43982E-2</v>
      </c>
      <c r="AT317" s="21">
        <v>307</v>
      </c>
      <c r="AU317" s="21">
        <v>0.24353</v>
      </c>
      <c r="AV317">
        <f t="shared" si="56"/>
        <v>17.775555555555556</v>
      </c>
      <c r="AW317">
        <f t="shared" si="57"/>
        <v>4.3397419088888887</v>
      </c>
      <c r="AX317" s="9"/>
      <c r="AY317" s="21">
        <v>1.4459200000000001</v>
      </c>
      <c r="AZ317" s="21">
        <v>30.485600000000002</v>
      </c>
      <c r="BA317" s="21">
        <v>-1.24908E-2</v>
      </c>
      <c r="BB317" s="21">
        <v>307</v>
      </c>
      <c r="BC317" s="21">
        <v>1.4453100000000001</v>
      </c>
      <c r="BD317">
        <f t="shared" si="58"/>
        <v>15.42074074074074</v>
      </c>
      <c r="BE317">
        <f t="shared" si="59"/>
        <v>22.297157451851852</v>
      </c>
    </row>
    <row r="318" spans="6:57" x14ac:dyDescent="0.25">
      <c r="F318" s="9"/>
      <c r="G318" s="21">
        <v>0.23910500000000001</v>
      </c>
      <c r="H318" s="21">
        <v>8.0981900000000007</v>
      </c>
      <c r="I318" s="21">
        <v>-1.44501E-2</v>
      </c>
      <c r="J318" s="21">
        <v>308</v>
      </c>
      <c r="K318" s="21">
        <v>0.238403</v>
      </c>
      <c r="L318">
        <f t="shared" si="48"/>
        <v>17.839629629629631</v>
      </c>
      <c r="M318">
        <f t="shared" si="49"/>
        <v>4.2655446425925927</v>
      </c>
      <c r="N318" s="9"/>
      <c r="O318" s="21">
        <v>1.45096</v>
      </c>
      <c r="P318" s="21">
        <v>11.8972</v>
      </c>
      <c r="Q318" s="21">
        <v>-1.24817E-2</v>
      </c>
      <c r="R318" s="21">
        <v>308</v>
      </c>
      <c r="S318" s="21">
        <v>1.4501999999999999</v>
      </c>
      <c r="T318">
        <f t="shared" si="50"/>
        <v>15.409506172839505</v>
      </c>
      <c r="U318">
        <f t="shared" si="51"/>
        <v>22.358577076543209</v>
      </c>
      <c r="X318" s="9"/>
      <c r="Y318" s="21">
        <v>0.23910500000000001</v>
      </c>
      <c r="Z318" s="21">
        <v>17.459399999999999</v>
      </c>
      <c r="AA318" s="21">
        <v>-1.4444E-2</v>
      </c>
      <c r="AB318" s="21">
        <v>308</v>
      </c>
      <c r="AC318" s="21">
        <v>0.238678</v>
      </c>
      <c r="AD318">
        <f t="shared" si="52"/>
        <v>17.832098765432097</v>
      </c>
      <c r="AE318">
        <f t="shared" si="53"/>
        <v>4.2637439753086417</v>
      </c>
      <c r="AF318" s="9"/>
      <c r="AG318" s="21">
        <v>1.45096</v>
      </c>
      <c r="AH318" s="21">
        <v>21.258400000000002</v>
      </c>
      <c r="AI318" s="21">
        <v>-1.2500000000000001E-2</v>
      </c>
      <c r="AJ318" s="21">
        <v>308</v>
      </c>
      <c r="AK318" s="21">
        <v>1.4501999999999999</v>
      </c>
      <c r="AL318">
        <f t="shared" si="54"/>
        <v>15.432098765432098</v>
      </c>
      <c r="AM318">
        <f t="shared" si="55"/>
        <v>22.391358024691357</v>
      </c>
      <c r="AP318" s="9"/>
      <c r="AQ318" s="21">
        <v>0.23910500000000001</v>
      </c>
      <c r="AR318" s="21">
        <v>26.6966</v>
      </c>
      <c r="AS318" s="21">
        <v>-1.44104E-2</v>
      </c>
      <c r="AT318" s="21">
        <v>308</v>
      </c>
      <c r="AU318" s="21">
        <v>0.23858599999999999</v>
      </c>
      <c r="AV318">
        <f t="shared" si="56"/>
        <v>17.790617283950617</v>
      </c>
      <c r="AW318">
        <f t="shared" si="57"/>
        <v>4.2538255456790122</v>
      </c>
      <c r="AX318" s="9"/>
      <c r="AY318" s="21">
        <v>1.45096</v>
      </c>
      <c r="AZ318" s="21">
        <v>30.495699999999999</v>
      </c>
      <c r="BA318" s="21">
        <v>-1.24481E-2</v>
      </c>
      <c r="BB318" s="21">
        <v>308</v>
      </c>
      <c r="BC318" s="21">
        <v>1.4501999999999999</v>
      </c>
      <c r="BD318">
        <f t="shared" si="58"/>
        <v>15.368024691358023</v>
      </c>
      <c r="BE318">
        <f t="shared" si="59"/>
        <v>22.298389106172838</v>
      </c>
    </row>
    <row r="319" spans="6:57" x14ac:dyDescent="0.25">
      <c r="F319" s="9"/>
      <c r="G319" s="21">
        <v>0.23407</v>
      </c>
      <c r="H319" s="21">
        <v>8.1082599999999996</v>
      </c>
      <c r="I319" s="21">
        <v>-1.4456200000000001E-2</v>
      </c>
      <c r="J319" s="21">
        <v>309</v>
      </c>
      <c r="K319" s="21">
        <v>0.23352100000000001</v>
      </c>
      <c r="L319">
        <f t="shared" si="48"/>
        <v>17.847160493827161</v>
      </c>
      <c r="M319">
        <f t="shared" si="49"/>
        <v>4.1774848567901239</v>
      </c>
      <c r="N319" s="9"/>
      <c r="O319" s="21">
        <v>1.4559899999999999</v>
      </c>
      <c r="P319" s="21">
        <v>11.907299999999999</v>
      </c>
      <c r="Q319" s="21">
        <v>-1.2442E-2</v>
      </c>
      <c r="R319" s="21">
        <v>309</v>
      </c>
      <c r="S319" s="21">
        <v>1.4547699999999999</v>
      </c>
      <c r="T319">
        <f t="shared" si="50"/>
        <v>15.360493827160493</v>
      </c>
      <c r="U319">
        <f t="shared" si="51"/>
        <v>22.364725407407406</v>
      </c>
      <c r="X319" s="9"/>
      <c r="Y319" s="21">
        <v>0.23407</v>
      </c>
      <c r="Z319" s="21">
        <v>17.4694</v>
      </c>
      <c r="AA319" s="21">
        <v>-1.44531E-2</v>
      </c>
      <c r="AB319" s="21">
        <v>309</v>
      </c>
      <c r="AC319" s="21">
        <v>0.23349</v>
      </c>
      <c r="AD319">
        <f t="shared" si="52"/>
        <v>17.843333333333334</v>
      </c>
      <c r="AE319">
        <f t="shared" si="53"/>
        <v>4.1765890333333333</v>
      </c>
      <c r="AF319" s="9"/>
      <c r="AG319" s="21">
        <v>1.4559899999999999</v>
      </c>
      <c r="AH319" s="21">
        <v>21.2685</v>
      </c>
      <c r="AI319" s="21">
        <v>-1.2466400000000001E-2</v>
      </c>
      <c r="AJ319" s="21">
        <v>309</v>
      </c>
      <c r="AK319" s="21">
        <v>1.4559899999999999</v>
      </c>
      <c r="AL319">
        <f t="shared" si="54"/>
        <v>15.390617283950617</v>
      </c>
      <c r="AM319">
        <f t="shared" si="55"/>
        <v>22.408584859259257</v>
      </c>
      <c r="AP319" s="9"/>
      <c r="AQ319" s="21">
        <v>0.23407</v>
      </c>
      <c r="AR319" s="21">
        <v>26.706700000000001</v>
      </c>
      <c r="AS319" s="21">
        <v>-1.4419599999999999E-2</v>
      </c>
      <c r="AT319" s="21">
        <v>309</v>
      </c>
      <c r="AU319" s="21">
        <v>0.23361199999999999</v>
      </c>
      <c r="AV319">
        <f t="shared" si="56"/>
        <v>17.801975308641975</v>
      </c>
      <c r="AW319">
        <f t="shared" si="57"/>
        <v>4.1669083604938271</v>
      </c>
      <c r="AX319" s="9"/>
      <c r="AY319" s="21">
        <v>1.4559899999999999</v>
      </c>
      <c r="AZ319" s="21">
        <v>30.505700000000001</v>
      </c>
      <c r="BA319" s="21">
        <v>-1.24084E-2</v>
      </c>
      <c r="BB319" s="21">
        <v>309</v>
      </c>
      <c r="BC319" s="21">
        <v>1.4550799999999999</v>
      </c>
      <c r="BD319">
        <f t="shared" si="58"/>
        <v>15.319012345679011</v>
      </c>
      <c r="BE319">
        <f t="shared" si="59"/>
        <v>22.304328785185181</v>
      </c>
    </row>
    <row r="320" spans="6:57" x14ac:dyDescent="0.25">
      <c r="F320" s="9"/>
      <c r="G320" s="21">
        <v>0.22903399999999999</v>
      </c>
      <c r="H320" s="21">
        <v>8.1183300000000003</v>
      </c>
      <c r="I320" s="21">
        <v>-1.44592E-2</v>
      </c>
      <c r="J320" s="21">
        <v>310</v>
      </c>
      <c r="K320" s="21">
        <v>0.22842399999999999</v>
      </c>
      <c r="L320">
        <f t="shared" si="48"/>
        <v>17.850864197530864</v>
      </c>
      <c r="M320">
        <f t="shared" si="49"/>
        <v>4.0884548306172839</v>
      </c>
      <c r="N320" s="9"/>
      <c r="O320" s="21">
        <v>1.4610300000000001</v>
      </c>
      <c r="P320" s="21">
        <v>11.917400000000001</v>
      </c>
      <c r="Q320" s="21">
        <v>-1.23993E-2</v>
      </c>
      <c r="R320" s="21">
        <v>310</v>
      </c>
      <c r="S320" s="21">
        <v>1.4599599999999999</v>
      </c>
      <c r="T320">
        <f t="shared" si="50"/>
        <v>15.307777777777778</v>
      </c>
      <c r="U320">
        <f t="shared" si="51"/>
        <v>22.365122566666667</v>
      </c>
      <c r="X320" s="9"/>
      <c r="Y320" s="21">
        <v>0.22903399999999999</v>
      </c>
      <c r="Z320" s="21">
        <v>17.479500000000002</v>
      </c>
      <c r="AA320" s="21">
        <v>-1.4468399999999999E-2</v>
      </c>
      <c r="AB320" s="21">
        <v>310</v>
      </c>
      <c r="AC320" s="21">
        <v>0.22845499999999999</v>
      </c>
      <c r="AD320">
        <f t="shared" si="52"/>
        <v>17.862222222222222</v>
      </c>
      <c r="AE320">
        <f t="shared" si="53"/>
        <v>4.0910562044444445</v>
      </c>
      <c r="AF320" s="9"/>
      <c r="AG320" s="21">
        <v>1.4610300000000001</v>
      </c>
      <c r="AH320" s="21">
        <v>21.278600000000001</v>
      </c>
      <c r="AI320" s="21">
        <v>-1.24298E-2</v>
      </c>
      <c r="AJ320" s="21">
        <v>310</v>
      </c>
      <c r="AK320" s="21">
        <v>1.46088</v>
      </c>
      <c r="AL320">
        <f t="shared" si="54"/>
        <v>15.34543209876543</v>
      </c>
      <c r="AM320">
        <f t="shared" si="55"/>
        <v>22.420136659259256</v>
      </c>
      <c r="AP320" s="9"/>
      <c r="AQ320" s="21">
        <v>0.22903399999999999</v>
      </c>
      <c r="AR320" s="21">
        <v>26.716799999999999</v>
      </c>
      <c r="AS320" s="21">
        <v>-1.44318E-2</v>
      </c>
      <c r="AT320" s="21">
        <v>310</v>
      </c>
      <c r="AU320" s="21">
        <v>0.22848499999999999</v>
      </c>
      <c r="AV320">
        <f t="shared" si="56"/>
        <v>17.817037037037036</v>
      </c>
      <c r="AW320">
        <f t="shared" si="57"/>
        <v>4.0807072607407404</v>
      </c>
      <c r="AX320" s="9"/>
      <c r="AY320" s="21">
        <v>1.4610300000000001</v>
      </c>
      <c r="AZ320" s="21">
        <v>30.515799999999999</v>
      </c>
      <c r="BA320" s="21">
        <v>-1.2374899999999999E-2</v>
      </c>
      <c r="BB320" s="21">
        <v>310</v>
      </c>
      <c r="BC320" s="21">
        <v>1.46027</v>
      </c>
      <c r="BD320">
        <f t="shared" si="58"/>
        <v>15.277654320987653</v>
      </c>
      <c r="BE320">
        <f t="shared" si="59"/>
        <v>22.32111129259259</v>
      </c>
    </row>
    <row r="321" spans="6:57" x14ac:dyDescent="0.25">
      <c r="F321" s="9"/>
      <c r="G321" s="21">
        <v>0.223999</v>
      </c>
      <c r="H321" s="21">
        <v>8.1283999999999992</v>
      </c>
      <c r="I321" s="21">
        <v>-1.4462300000000001E-2</v>
      </c>
      <c r="J321" s="21">
        <v>311</v>
      </c>
      <c r="K321" s="21">
        <v>0.22341900000000001</v>
      </c>
      <c r="L321">
        <f t="shared" si="48"/>
        <v>17.854691358024692</v>
      </c>
      <c r="M321">
        <f t="shared" si="49"/>
        <v>3.999433009506173</v>
      </c>
      <c r="N321" s="9"/>
      <c r="O321" s="21">
        <v>1.4660599999999999</v>
      </c>
      <c r="P321" s="21">
        <v>11.9275</v>
      </c>
      <c r="Q321" s="21">
        <v>-1.23596E-2</v>
      </c>
      <c r="R321" s="21">
        <v>311</v>
      </c>
      <c r="S321" s="21">
        <v>1.46515</v>
      </c>
      <c r="T321">
        <f t="shared" si="50"/>
        <v>15.258765432098766</v>
      </c>
      <c r="U321">
        <f t="shared" si="51"/>
        <v>22.370265649382716</v>
      </c>
      <c r="X321" s="9"/>
      <c r="Y321" s="21">
        <v>0.223999</v>
      </c>
      <c r="Z321" s="21">
        <v>17.489599999999999</v>
      </c>
      <c r="AA321" s="21">
        <v>-1.4477500000000001E-2</v>
      </c>
      <c r="AB321" s="21">
        <v>311</v>
      </c>
      <c r="AC321" s="21">
        <v>0.223328</v>
      </c>
      <c r="AD321">
        <f t="shared" si="52"/>
        <v>17.873456790123456</v>
      </c>
      <c r="AE321">
        <f t="shared" si="53"/>
        <v>4.0036364475308641</v>
      </c>
      <c r="AF321" s="9"/>
      <c r="AG321" s="21">
        <v>1.4660599999999999</v>
      </c>
      <c r="AH321" s="21">
        <v>21.288599999999999</v>
      </c>
      <c r="AI321" s="21">
        <v>-1.2390099999999999E-2</v>
      </c>
      <c r="AJ321" s="21">
        <v>311</v>
      </c>
      <c r="AK321" s="21">
        <v>1.46454</v>
      </c>
      <c r="AL321">
        <f t="shared" si="54"/>
        <v>15.296419753086418</v>
      </c>
      <c r="AM321">
        <f t="shared" si="55"/>
        <v>22.425469143209874</v>
      </c>
      <c r="AP321" s="9"/>
      <c r="AQ321" s="21">
        <v>0.223999</v>
      </c>
      <c r="AR321" s="21">
        <v>26.726800000000001</v>
      </c>
      <c r="AS321" s="21">
        <v>-1.44379E-2</v>
      </c>
      <c r="AT321" s="21">
        <v>311</v>
      </c>
      <c r="AU321" s="21">
        <v>0.22345000000000001</v>
      </c>
      <c r="AV321">
        <f t="shared" si="56"/>
        <v>17.824567901234566</v>
      </c>
      <c r="AW321">
        <f t="shared" si="57"/>
        <v>3.9926853853086417</v>
      </c>
      <c r="AX321" s="9"/>
      <c r="AY321" s="21">
        <v>1.4660599999999999</v>
      </c>
      <c r="AZ321" s="21">
        <v>30.5259</v>
      </c>
      <c r="BA321" s="21">
        <v>-1.23322E-2</v>
      </c>
      <c r="BB321" s="21">
        <v>311</v>
      </c>
      <c r="BC321" s="21">
        <v>1.4654499999999999</v>
      </c>
      <c r="BD321">
        <f t="shared" si="58"/>
        <v>15.224938271604938</v>
      </c>
      <c r="BE321">
        <f t="shared" si="59"/>
        <v>22.320673002469132</v>
      </c>
    </row>
    <row r="322" spans="6:57" x14ac:dyDescent="0.25">
      <c r="F322" s="9"/>
      <c r="G322" s="21">
        <v>0.21896399999999999</v>
      </c>
      <c r="H322" s="21">
        <v>8.1384699999999999</v>
      </c>
      <c r="I322" s="21">
        <v>-1.44745E-2</v>
      </c>
      <c r="J322" s="21">
        <v>312</v>
      </c>
      <c r="K322" s="21">
        <v>0.218475</v>
      </c>
      <c r="L322">
        <f t="shared" si="48"/>
        <v>17.869753086419752</v>
      </c>
      <c r="M322">
        <f t="shared" si="49"/>
        <v>3.9128326148148145</v>
      </c>
      <c r="N322" s="9"/>
      <c r="O322" s="21">
        <v>1.4711000000000001</v>
      </c>
      <c r="P322" s="21">
        <v>11.9375</v>
      </c>
      <c r="Q322" s="21">
        <v>-1.23322E-2</v>
      </c>
      <c r="R322" s="21">
        <v>312</v>
      </c>
      <c r="S322" s="21">
        <v>1.47095</v>
      </c>
      <c r="T322">
        <f t="shared" si="50"/>
        <v>15.224938271604938</v>
      </c>
      <c r="U322">
        <f t="shared" si="51"/>
        <v>22.397406691358025</v>
      </c>
      <c r="X322" s="9"/>
      <c r="Y322" s="21">
        <v>0.21896399999999999</v>
      </c>
      <c r="Z322" s="21">
        <v>17.499700000000001</v>
      </c>
      <c r="AA322" s="21">
        <v>-1.4483599999999999E-2</v>
      </c>
      <c r="AB322" s="21">
        <v>312</v>
      </c>
      <c r="AC322" s="21">
        <v>0.21832299999999999</v>
      </c>
      <c r="AD322">
        <f t="shared" si="52"/>
        <v>17.880987654320986</v>
      </c>
      <c r="AE322">
        <f t="shared" si="53"/>
        <v>3.9152925807407404</v>
      </c>
      <c r="AF322" s="9"/>
      <c r="AG322" s="21">
        <v>1.4711000000000001</v>
      </c>
      <c r="AH322" s="21">
        <v>21.2987</v>
      </c>
      <c r="AI322" s="21">
        <v>-1.23474E-2</v>
      </c>
      <c r="AJ322" s="21">
        <v>312</v>
      </c>
      <c r="AK322" s="21">
        <v>1.47034</v>
      </c>
      <c r="AL322">
        <f t="shared" si="54"/>
        <v>15.243703703703702</v>
      </c>
      <c r="AM322">
        <f t="shared" si="55"/>
        <v>22.425012518518518</v>
      </c>
      <c r="AP322" s="9"/>
      <c r="AQ322" s="21">
        <v>0.21896399999999999</v>
      </c>
      <c r="AR322" s="21">
        <v>26.736899999999999</v>
      </c>
      <c r="AS322" s="21">
        <v>-1.44409E-2</v>
      </c>
      <c r="AT322" s="21">
        <v>312</v>
      </c>
      <c r="AU322" s="21">
        <v>0.21832299999999999</v>
      </c>
      <c r="AV322">
        <f t="shared" si="56"/>
        <v>17.828271604938269</v>
      </c>
      <c r="AW322">
        <f t="shared" si="57"/>
        <v>3.903749663703703</v>
      </c>
      <c r="AX322" s="9"/>
      <c r="AY322" s="21">
        <v>1.4711000000000001</v>
      </c>
      <c r="AZ322" s="21">
        <v>30.535900000000002</v>
      </c>
      <c r="BA322" s="21">
        <v>-1.22833E-2</v>
      </c>
      <c r="BB322" s="21">
        <v>312</v>
      </c>
      <c r="BC322" s="21">
        <v>1.47034</v>
      </c>
      <c r="BD322">
        <f t="shared" si="58"/>
        <v>15.164567901234568</v>
      </c>
      <c r="BE322">
        <f t="shared" si="59"/>
        <v>22.308595839506175</v>
      </c>
    </row>
    <row r="323" spans="6:57" x14ac:dyDescent="0.25">
      <c r="F323" s="9"/>
      <c r="G323" s="21">
        <v>0.21392800000000001</v>
      </c>
      <c r="H323" s="21">
        <v>8.1485500000000002</v>
      </c>
      <c r="I323" s="21">
        <v>-1.44592E-2</v>
      </c>
      <c r="J323" s="21">
        <v>313</v>
      </c>
      <c r="K323" s="21">
        <v>0.21337900000000001</v>
      </c>
      <c r="L323">
        <f t="shared" si="48"/>
        <v>17.850864197530864</v>
      </c>
      <c r="M323">
        <f t="shared" si="49"/>
        <v>3.818799676049383</v>
      </c>
      <c r="N323" s="9"/>
      <c r="O323" s="21">
        <v>1.47614</v>
      </c>
      <c r="P323" s="21">
        <v>11.9476</v>
      </c>
      <c r="Q323" s="21">
        <v>-1.22986E-2</v>
      </c>
      <c r="R323" s="21">
        <v>313</v>
      </c>
      <c r="S323" s="21">
        <v>1.47522</v>
      </c>
      <c r="T323">
        <f t="shared" si="50"/>
        <v>15.183456790123456</v>
      </c>
      <c r="U323">
        <f t="shared" si="51"/>
        <v>22.412907906172837</v>
      </c>
      <c r="X323" s="9"/>
      <c r="Y323" s="21">
        <v>0.21392800000000001</v>
      </c>
      <c r="Z323" s="21">
        <v>17.509699999999999</v>
      </c>
      <c r="AA323" s="21">
        <v>-1.44867E-2</v>
      </c>
      <c r="AB323" s="21">
        <v>313</v>
      </c>
      <c r="AC323" s="21">
        <v>0.21331800000000001</v>
      </c>
      <c r="AD323">
        <f t="shared" si="52"/>
        <v>17.884814814814817</v>
      </c>
      <c r="AE323">
        <f t="shared" si="53"/>
        <v>3.8260626637037043</v>
      </c>
      <c r="AF323" s="9"/>
      <c r="AG323" s="21">
        <v>1.47614</v>
      </c>
      <c r="AH323" s="21">
        <v>21.308800000000002</v>
      </c>
      <c r="AI323" s="21">
        <v>-1.23047E-2</v>
      </c>
      <c r="AJ323" s="21">
        <v>313</v>
      </c>
      <c r="AK323" s="21">
        <v>1.4755199999999999</v>
      </c>
      <c r="AL323">
        <f t="shared" si="54"/>
        <v>15.190987654320987</v>
      </c>
      <c r="AM323">
        <f t="shared" si="55"/>
        <v>22.424024516049382</v>
      </c>
      <c r="AP323" s="9"/>
      <c r="AQ323" s="21">
        <v>0.21392800000000001</v>
      </c>
      <c r="AR323" s="21">
        <v>26.747</v>
      </c>
      <c r="AS323" s="21">
        <v>-1.4434799999999999E-2</v>
      </c>
      <c r="AT323" s="21">
        <v>313</v>
      </c>
      <c r="AU323" s="21">
        <v>0.21340899999999999</v>
      </c>
      <c r="AV323">
        <f t="shared" si="56"/>
        <v>17.820740740740739</v>
      </c>
      <c r="AW323">
        <f t="shared" si="57"/>
        <v>3.812355425185185</v>
      </c>
      <c r="AX323" s="9"/>
      <c r="AY323" s="21">
        <v>1.47614</v>
      </c>
      <c r="AZ323" s="21">
        <v>30.545999999999999</v>
      </c>
      <c r="BA323" s="21">
        <v>-1.22284E-2</v>
      </c>
      <c r="BB323" s="21">
        <v>313</v>
      </c>
      <c r="BC323" s="21">
        <v>1.47522</v>
      </c>
      <c r="BD323">
        <f t="shared" si="58"/>
        <v>15.096790123456788</v>
      </c>
      <c r="BE323">
        <f t="shared" si="59"/>
        <v>22.284975772839502</v>
      </c>
    </row>
    <row r="324" spans="6:57" x14ac:dyDescent="0.25">
      <c r="F324" s="9"/>
      <c r="G324" s="21">
        <v>0.208893</v>
      </c>
      <c r="H324" s="21">
        <v>8.1586200000000009</v>
      </c>
      <c r="I324" s="21">
        <v>-1.44531E-2</v>
      </c>
      <c r="J324" s="21">
        <v>314</v>
      </c>
      <c r="K324" s="21">
        <v>0.208313</v>
      </c>
      <c r="L324">
        <f t="shared" si="48"/>
        <v>17.843333333333334</v>
      </c>
      <c r="M324">
        <f t="shared" si="49"/>
        <v>3.72734743</v>
      </c>
      <c r="N324" s="9"/>
      <c r="O324" s="21">
        <v>1.4811700000000001</v>
      </c>
      <c r="P324" s="21">
        <v>11.957700000000001</v>
      </c>
      <c r="Q324" s="21">
        <v>-1.22559E-2</v>
      </c>
      <c r="R324" s="21">
        <v>314</v>
      </c>
      <c r="S324" s="21">
        <v>1.48041</v>
      </c>
      <c r="T324">
        <f t="shared" si="50"/>
        <v>15.130740740740739</v>
      </c>
      <c r="U324">
        <f t="shared" si="51"/>
        <v>22.411199262962963</v>
      </c>
      <c r="X324" s="9"/>
      <c r="Y324" s="21">
        <v>0.208893</v>
      </c>
      <c r="Z324" s="21">
        <v>17.5198</v>
      </c>
      <c r="AA324" s="21">
        <v>-1.4483599999999999E-2</v>
      </c>
      <c r="AB324" s="21">
        <v>314</v>
      </c>
      <c r="AC324" s="21">
        <v>0.20840500000000001</v>
      </c>
      <c r="AD324">
        <f t="shared" si="52"/>
        <v>17.880987654320986</v>
      </c>
      <c r="AE324">
        <f t="shared" si="53"/>
        <v>3.7352131540740738</v>
      </c>
      <c r="AF324" s="9"/>
      <c r="AG324" s="21">
        <v>1.4811700000000001</v>
      </c>
      <c r="AH324" s="21">
        <v>21.318899999999999</v>
      </c>
      <c r="AI324" s="21">
        <v>-1.22589E-2</v>
      </c>
      <c r="AJ324" s="21">
        <v>314</v>
      </c>
      <c r="AK324" s="21">
        <v>1.48071</v>
      </c>
      <c r="AL324">
        <f t="shared" si="54"/>
        <v>15.134444444444444</v>
      </c>
      <c r="AM324">
        <f t="shared" si="55"/>
        <v>22.416685077777778</v>
      </c>
      <c r="AP324" s="9"/>
      <c r="AQ324" s="21">
        <v>0.208893</v>
      </c>
      <c r="AR324" s="21">
        <v>26.757000000000001</v>
      </c>
      <c r="AS324" s="21">
        <v>-1.44318E-2</v>
      </c>
      <c r="AT324" s="21">
        <v>314</v>
      </c>
      <c r="AU324" s="21">
        <v>0.20828199999999999</v>
      </c>
      <c r="AV324">
        <f t="shared" si="56"/>
        <v>17.817037037037036</v>
      </c>
      <c r="AW324">
        <f t="shared" si="57"/>
        <v>3.7218543177777774</v>
      </c>
      <c r="AX324" s="9"/>
      <c r="AY324" s="21">
        <v>1.4811700000000001</v>
      </c>
      <c r="AZ324" s="21">
        <v>30.556100000000001</v>
      </c>
      <c r="BA324" s="21">
        <v>-1.21796E-2</v>
      </c>
      <c r="BB324" s="21">
        <v>314</v>
      </c>
      <c r="BC324" s="21">
        <v>1.48041</v>
      </c>
      <c r="BD324">
        <f t="shared" si="58"/>
        <v>15.036543209876543</v>
      </c>
      <c r="BE324">
        <f t="shared" si="59"/>
        <v>22.27167670617284</v>
      </c>
    </row>
    <row r="325" spans="6:57" x14ac:dyDescent="0.25">
      <c r="F325" s="9"/>
      <c r="G325" s="21">
        <v>0.20385700000000001</v>
      </c>
      <c r="H325" s="21">
        <v>8.1686899999999998</v>
      </c>
      <c r="I325" s="21">
        <v>-1.4444E-2</v>
      </c>
      <c r="J325" s="21">
        <v>315</v>
      </c>
      <c r="K325" s="21">
        <v>0.20333899999999999</v>
      </c>
      <c r="L325">
        <f t="shared" si="48"/>
        <v>17.832098765432097</v>
      </c>
      <c r="M325">
        <f t="shared" si="49"/>
        <v>3.635198158024691</v>
      </c>
      <c r="N325" s="9"/>
      <c r="O325" s="21">
        <v>1.48621</v>
      </c>
      <c r="P325" s="21">
        <v>11.967700000000001</v>
      </c>
      <c r="Q325" s="21">
        <v>-1.2207000000000001E-2</v>
      </c>
      <c r="R325" s="21">
        <v>315</v>
      </c>
      <c r="S325" s="21">
        <v>1.4856</v>
      </c>
      <c r="T325">
        <f t="shared" si="50"/>
        <v>15.070370370370371</v>
      </c>
      <c r="U325">
        <f t="shared" si="51"/>
        <v>22.397735148148151</v>
      </c>
      <c r="X325" s="9"/>
      <c r="Y325" s="21">
        <v>0.20385700000000001</v>
      </c>
      <c r="Z325" s="21">
        <v>17.529900000000001</v>
      </c>
      <c r="AA325" s="21">
        <v>-1.44867E-2</v>
      </c>
      <c r="AB325" s="21">
        <v>315</v>
      </c>
      <c r="AC325" s="21">
        <v>0.20333899999999999</v>
      </c>
      <c r="AD325">
        <f t="shared" si="52"/>
        <v>17.884814814814817</v>
      </c>
      <c r="AE325">
        <f t="shared" si="53"/>
        <v>3.6459446937037043</v>
      </c>
      <c r="AF325" s="9"/>
      <c r="AG325" s="21">
        <v>1.48621</v>
      </c>
      <c r="AH325" s="21">
        <v>21.328900000000001</v>
      </c>
      <c r="AI325" s="21">
        <v>-1.22101E-2</v>
      </c>
      <c r="AJ325" s="21">
        <v>315</v>
      </c>
      <c r="AK325" s="21">
        <v>1.4856</v>
      </c>
      <c r="AL325">
        <f t="shared" si="54"/>
        <v>15.074197530864195</v>
      </c>
      <c r="AM325">
        <f t="shared" si="55"/>
        <v>22.403423112345674</v>
      </c>
      <c r="AP325" s="9"/>
      <c r="AQ325" s="21">
        <v>0.20385700000000001</v>
      </c>
      <c r="AR325" s="21">
        <v>26.767099999999999</v>
      </c>
      <c r="AS325" s="21">
        <v>-1.4428699999999999E-2</v>
      </c>
      <c r="AT325" s="21">
        <v>315</v>
      </c>
      <c r="AU325" s="21">
        <v>0.20333899999999999</v>
      </c>
      <c r="AV325">
        <f t="shared" si="56"/>
        <v>17.813209876543205</v>
      </c>
      <c r="AW325">
        <f t="shared" si="57"/>
        <v>3.6313475258024681</v>
      </c>
      <c r="AX325" s="9"/>
      <c r="AY325" s="21">
        <v>1.48621</v>
      </c>
      <c r="AZ325" s="21">
        <v>30.566199999999998</v>
      </c>
      <c r="BA325" s="21">
        <v>-1.21216E-2</v>
      </c>
      <c r="BB325" s="21">
        <v>315</v>
      </c>
      <c r="BC325" s="21">
        <v>1.4856</v>
      </c>
      <c r="BD325">
        <f t="shared" si="58"/>
        <v>14.964938271604938</v>
      </c>
      <c r="BE325">
        <f t="shared" si="59"/>
        <v>22.241040908641974</v>
      </c>
    </row>
    <row r="326" spans="6:57" x14ac:dyDescent="0.25">
      <c r="F326" s="9"/>
      <c r="G326" s="21">
        <v>0.198822</v>
      </c>
      <c r="H326" s="21">
        <v>8.1787600000000005</v>
      </c>
      <c r="I326" s="21">
        <v>-1.44409E-2</v>
      </c>
      <c r="J326" s="21">
        <v>316</v>
      </c>
      <c r="K326" s="21">
        <v>0.19830300000000001</v>
      </c>
      <c r="L326">
        <f t="shared" si="48"/>
        <v>17.828271604938269</v>
      </c>
      <c r="M326">
        <f t="shared" si="49"/>
        <v>3.5446526170370367</v>
      </c>
      <c r="N326" s="9"/>
      <c r="O326" s="21">
        <v>1.4912399999999999</v>
      </c>
      <c r="P326" s="21">
        <v>11.9778</v>
      </c>
      <c r="Q326" s="21">
        <v>-1.21552E-2</v>
      </c>
      <c r="R326" s="21">
        <v>316</v>
      </c>
      <c r="S326" s="21">
        <v>1.49048</v>
      </c>
      <c r="T326">
        <f t="shared" si="50"/>
        <v>15.006419753086417</v>
      </c>
      <c r="U326">
        <f t="shared" si="51"/>
        <v>22.378173392592586</v>
      </c>
      <c r="X326" s="9"/>
      <c r="Y326" s="21">
        <v>0.198822</v>
      </c>
      <c r="Z326" s="21">
        <v>17.539899999999999</v>
      </c>
      <c r="AA326" s="21">
        <v>-1.4501999999999999E-2</v>
      </c>
      <c r="AB326" s="21">
        <v>316</v>
      </c>
      <c r="AC326" s="21">
        <v>0.198273</v>
      </c>
      <c r="AD326">
        <f t="shared" si="52"/>
        <v>17.903703703703702</v>
      </c>
      <c r="AE326">
        <f t="shared" si="53"/>
        <v>3.5596501777777774</v>
      </c>
      <c r="AF326" s="9"/>
      <c r="AG326" s="21">
        <v>1.4912399999999999</v>
      </c>
      <c r="AH326" s="21">
        <v>21.338999999999999</v>
      </c>
      <c r="AI326" s="21">
        <v>-1.2152100000000001E-2</v>
      </c>
      <c r="AJ326" s="21">
        <v>316</v>
      </c>
      <c r="AK326" s="21">
        <v>1.49048</v>
      </c>
      <c r="AL326">
        <f t="shared" si="54"/>
        <v>15.002592592592592</v>
      </c>
      <c r="AM326">
        <f t="shared" si="55"/>
        <v>22.372466177777774</v>
      </c>
      <c r="AP326" s="9"/>
      <c r="AQ326" s="21">
        <v>0.198822</v>
      </c>
      <c r="AR326" s="21">
        <v>26.777200000000001</v>
      </c>
      <c r="AS326" s="21">
        <v>-1.44257E-2</v>
      </c>
      <c r="AT326" s="21">
        <v>316</v>
      </c>
      <c r="AU326" s="21">
        <v>0.19836400000000001</v>
      </c>
      <c r="AV326">
        <f t="shared" si="56"/>
        <v>17.809506172839505</v>
      </c>
      <c r="AW326">
        <f t="shared" si="57"/>
        <v>3.5409216362962961</v>
      </c>
      <c r="AX326" s="9"/>
      <c r="AY326" s="21">
        <v>1.4912399999999999</v>
      </c>
      <c r="AZ326" s="21">
        <v>30.5762</v>
      </c>
      <c r="BA326" s="21">
        <v>-1.2063600000000001E-2</v>
      </c>
      <c r="BB326" s="21">
        <v>316</v>
      </c>
      <c r="BC326" s="21">
        <v>1.49017</v>
      </c>
      <c r="BD326">
        <f t="shared" si="58"/>
        <v>14.893333333333333</v>
      </c>
      <c r="BE326">
        <f t="shared" si="59"/>
        <v>22.209534399999999</v>
      </c>
    </row>
    <row r="327" spans="6:57" x14ac:dyDescent="0.25">
      <c r="F327" s="9"/>
      <c r="G327" s="21">
        <v>0.19378699999999999</v>
      </c>
      <c r="H327" s="21">
        <v>8.1888299999999994</v>
      </c>
      <c r="I327" s="21">
        <v>-1.4444E-2</v>
      </c>
      <c r="J327" s="21">
        <v>317</v>
      </c>
      <c r="K327" s="21">
        <v>0.19320699999999999</v>
      </c>
      <c r="L327">
        <f t="shared" si="48"/>
        <v>17.832098765432097</v>
      </c>
      <c r="M327">
        <f t="shared" si="49"/>
        <v>3.4556289234567896</v>
      </c>
      <c r="N327" s="9"/>
      <c r="O327" s="21">
        <v>1.4962800000000001</v>
      </c>
      <c r="P327" s="21">
        <v>11.9879</v>
      </c>
      <c r="Q327" s="21">
        <v>-1.2103300000000001E-2</v>
      </c>
      <c r="R327" s="21">
        <v>317</v>
      </c>
      <c r="S327" s="21">
        <v>1.4956700000000001</v>
      </c>
      <c r="T327">
        <f t="shared" si="50"/>
        <v>14.942345679012346</v>
      </c>
      <c r="U327">
        <f t="shared" si="51"/>
        <v>22.357932992592595</v>
      </c>
      <c r="X327" s="9"/>
      <c r="Y327" s="21">
        <v>0.19378699999999999</v>
      </c>
      <c r="Z327" s="21">
        <v>17.55</v>
      </c>
      <c r="AA327" s="21">
        <v>-1.4511100000000001E-2</v>
      </c>
      <c r="AB327" s="21">
        <v>317</v>
      </c>
      <c r="AC327" s="21">
        <v>0.19323699999999999</v>
      </c>
      <c r="AD327">
        <f t="shared" si="52"/>
        <v>17.914938271604939</v>
      </c>
      <c r="AE327">
        <f t="shared" si="53"/>
        <v>3.4716821428395059</v>
      </c>
      <c r="AF327" s="9"/>
      <c r="AG327" s="21">
        <v>1.4962800000000001</v>
      </c>
      <c r="AH327" s="21">
        <v>21.3491</v>
      </c>
      <c r="AI327" s="21">
        <v>-1.20911E-2</v>
      </c>
      <c r="AJ327" s="21">
        <v>317</v>
      </c>
      <c r="AK327" s="21">
        <v>1.49597</v>
      </c>
      <c r="AL327">
        <f t="shared" si="54"/>
        <v>14.927283950617284</v>
      </c>
      <c r="AM327">
        <f t="shared" si="55"/>
        <v>22.335396429629629</v>
      </c>
      <c r="AP327" s="9"/>
      <c r="AQ327" s="21">
        <v>0.19378699999999999</v>
      </c>
      <c r="AR327" s="21">
        <v>26.787199999999999</v>
      </c>
      <c r="AS327" s="21">
        <v>-1.4422600000000001E-2</v>
      </c>
      <c r="AT327" s="21">
        <v>317</v>
      </c>
      <c r="AU327" s="21">
        <v>0.19311500000000001</v>
      </c>
      <c r="AV327">
        <f t="shared" si="56"/>
        <v>17.805679012345678</v>
      </c>
      <c r="AW327">
        <f t="shared" si="57"/>
        <v>3.4505091187654315</v>
      </c>
      <c r="AX327" s="9"/>
      <c r="AY327" s="21">
        <v>1.4962800000000001</v>
      </c>
      <c r="AZ327" s="21">
        <v>30.586300000000001</v>
      </c>
      <c r="BA327" s="21">
        <v>-1.2014800000000001E-2</v>
      </c>
      <c r="BB327" s="21">
        <v>317</v>
      </c>
      <c r="BC327" s="21">
        <v>1.49536</v>
      </c>
      <c r="BD327">
        <f t="shared" si="58"/>
        <v>14.833086419753087</v>
      </c>
      <c r="BE327">
        <f t="shared" si="59"/>
        <v>22.194450548148151</v>
      </c>
    </row>
    <row r="328" spans="6:57" x14ac:dyDescent="0.25">
      <c r="F328" s="9"/>
      <c r="G328" s="21">
        <v>0.188751</v>
      </c>
      <c r="H328" s="21">
        <v>8.1989000000000001</v>
      </c>
      <c r="I328" s="21">
        <v>-1.44501E-2</v>
      </c>
      <c r="J328" s="21">
        <v>318</v>
      </c>
      <c r="K328" s="21">
        <v>0.188141</v>
      </c>
      <c r="L328">
        <f t="shared" si="48"/>
        <v>17.839629629629631</v>
      </c>
      <c r="M328">
        <f t="shared" si="49"/>
        <v>3.3672479322222224</v>
      </c>
      <c r="N328" s="9"/>
      <c r="O328" s="21">
        <v>1.5013099999999999</v>
      </c>
      <c r="P328" s="21">
        <v>11.9979</v>
      </c>
      <c r="Q328" s="21">
        <v>-1.20514E-2</v>
      </c>
      <c r="R328" s="21">
        <v>318</v>
      </c>
      <c r="S328" s="21">
        <v>1.50024</v>
      </c>
      <c r="T328">
        <f t="shared" si="50"/>
        <v>14.878271604938272</v>
      </c>
      <c r="U328">
        <f t="shared" si="51"/>
        <v>22.336897943209877</v>
      </c>
      <c r="X328" s="9"/>
      <c r="Y328" s="21">
        <v>0.188751</v>
      </c>
      <c r="Z328" s="21">
        <v>17.560099999999998</v>
      </c>
      <c r="AA328" s="21">
        <v>-1.4511100000000001E-2</v>
      </c>
      <c r="AB328" s="21">
        <v>318</v>
      </c>
      <c r="AC328" s="21">
        <v>0.188171</v>
      </c>
      <c r="AD328">
        <f t="shared" si="52"/>
        <v>17.914938271604939</v>
      </c>
      <c r="AE328">
        <f t="shared" si="53"/>
        <v>3.381462513703704</v>
      </c>
      <c r="AF328" s="9"/>
      <c r="AG328" s="21">
        <v>1.5013099999999999</v>
      </c>
      <c r="AH328" s="21">
        <v>21.359100000000002</v>
      </c>
      <c r="AI328" s="21">
        <v>-1.2023900000000001E-2</v>
      </c>
      <c r="AJ328" s="21">
        <v>318</v>
      </c>
      <c r="AK328" s="21">
        <v>1.50024</v>
      </c>
      <c r="AL328">
        <f t="shared" si="54"/>
        <v>14.844320987654321</v>
      </c>
      <c r="AM328">
        <f t="shared" si="55"/>
        <v>22.285927541975308</v>
      </c>
      <c r="AP328" s="9"/>
      <c r="AQ328" s="21">
        <v>0.188751</v>
      </c>
      <c r="AR328" s="21">
        <v>26.7973</v>
      </c>
      <c r="AS328" s="21">
        <v>-1.4419599999999999E-2</v>
      </c>
      <c r="AT328" s="21">
        <v>318</v>
      </c>
      <c r="AU328" s="21">
        <v>0.188171</v>
      </c>
      <c r="AV328">
        <f t="shared" si="56"/>
        <v>17.801975308641975</v>
      </c>
      <c r="AW328">
        <f t="shared" si="57"/>
        <v>3.3601406414814816</v>
      </c>
      <c r="AX328" s="9"/>
      <c r="AY328" s="21">
        <v>1.5013099999999999</v>
      </c>
      <c r="AZ328" s="21">
        <v>30.596399999999999</v>
      </c>
      <c r="BA328" s="21">
        <v>-1.1969E-2</v>
      </c>
      <c r="BB328" s="21">
        <v>318</v>
      </c>
      <c r="BC328" s="21">
        <v>1.50116</v>
      </c>
      <c r="BD328">
        <f t="shared" si="58"/>
        <v>14.776543209876543</v>
      </c>
      <c r="BE328">
        <f t="shared" si="59"/>
        <v>22.184172086419753</v>
      </c>
    </row>
    <row r="329" spans="6:57" x14ac:dyDescent="0.25">
      <c r="F329" s="9"/>
      <c r="G329" s="21">
        <v>0.18371599999999999</v>
      </c>
      <c r="H329" s="21">
        <v>8.2089700000000008</v>
      </c>
      <c r="I329" s="21">
        <v>-1.44531E-2</v>
      </c>
      <c r="J329" s="21">
        <v>319</v>
      </c>
      <c r="K329" s="21">
        <v>0.183167</v>
      </c>
      <c r="L329">
        <f t="shared" si="48"/>
        <v>17.843333333333334</v>
      </c>
      <c r="M329">
        <f t="shared" si="49"/>
        <v>3.2781058266666667</v>
      </c>
      <c r="N329" s="9"/>
      <c r="O329" s="21">
        <v>1.5063500000000001</v>
      </c>
      <c r="P329" s="21">
        <v>12.007999999999999</v>
      </c>
      <c r="Q329" s="21">
        <v>-1.2008700000000001E-2</v>
      </c>
      <c r="R329" s="21">
        <v>319</v>
      </c>
      <c r="S329" s="21">
        <v>1.5057400000000001</v>
      </c>
      <c r="T329">
        <f t="shared" si="50"/>
        <v>14.825555555555555</v>
      </c>
      <c r="U329">
        <f t="shared" si="51"/>
        <v>22.332475611111111</v>
      </c>
      <c r="X329" s="9"/>
      <c r="Y329" s="21">
        <v>0.18371599999999999</v>
      </c>
      <c r="Z329" s="21">
        <v>17.5702</v>
      </c>
      <c r="AA329" s="21">
        <v>-1.4511100000000001E-2</v>
      </c>
      <c r="AB329" s="21">
        <v>319</v>
      </c>
      <c r="AC329" s="21">
        <v>0.183167</v>
      </c>
      <c r="AD329">
        <f t="shared" si="52"/>
        <v>17.914938271604939</v>
      </c>
      <c r="AE329">
        <f t="shared" si="53"/>
        <v>3.2912607995061727</v>
      </c>
      <c r="AF329" s="9"/>
      <c r="AG329" s="21">
        <v>1.5063500000000001</v>
      </c>
      <c r="AH329" s="21">
        <v>21.369199999999999</v>
      </c>
      <c r="AI329" s="21">
        <v>-1.19507E-2</v>
      </c>
      <c r="AJ329" s="21">
        <v>319</v>
      </c>
      <c r="AK329" s="21">
        <v>1.5063500000000001</v>
      </c>
      <c r="AL329">
        <f t="shared" si="54"/>
        <v>14.75395061728395</v>
      </c>
      <c r="AM329">
        <f t="shared" si="55"/>
        <v>22.22461351234568</v>
      </c>
      <c r="AP329" s="9"/>
      <c r="AQ329" s="21">
        <v>0.18371599999999999</v>
      </c>
      <c r="AR329" s="21">
        <v>26.807400000000001</v>
      </c>
      <c r="AS329" s="21">
        <v>-1.44165E-2</v>
      </c>
      <c r="AT329" s="21">
        <v>319</v>
      </c>
      <c r="AU329" s="21">
        <v>0.18307499999999999</v>
      </c>
      <c r="AV329">
        <f t="shared" si="56"/>
        <v>17.798148148148147</v>
      </c>
      <c r="AW329">
        <f t="shared" si="57"/>
        <v>3.2698045851851849</v>
      </c>
      <c r="AX329" s="9"/>
      <c r="AY329" s="21">
        <v>1.5063500000000001</v>
      </c>
      <c r="AZ329" s="21">
        <v>30.606400000000001</v>
      </c>
      <c r="BA329" s="21">
        <v>-1.1926300000000001E-2</v>
      </c>
      <c r="BB329" s="21">
        <v>319</v>
      </c>
      <c r="BC329" s="21">
        <v>1.5057400000000001</v>
      </c>
      <c r="BD329">
        <f t="shared" si="58"/>
        <v>14.723827160493826</v>
      </c>
      <c r="BE329">
        <f t="shared" si="59"/>
        <v>22.179237043209877</v>
      </c>
    </row>
    <row r="330" spans="6:57" x14ac:dyDescent="0.25">
      <c r="F330" s="9"/>
      <c r="G330" s="21">
        <v>0.17868000000000001</v>
      </c>
      <c r="H330" s="21">
        <v>8.2190399999999997</v>
      </c>
      <c r="I330" s="21">
        <v>-1.44592E-2</v>
      </c>
      <c r="J330" s="21">
        <v>320</v>
      </c>
      <c r="K330" s="21">
        <v>0.17810100000000001</v>
      </c>
      <c r="L330">
        <f t="shared" si="48"/>
        <v>17.850864197530864</v>
      </c>
      <c r="M330">
        <f t="shared" si="49"/>
        <v>3.1895924148148147</v>
      </c>
      <c r="N330" s="9"/>
      <c r="O330" s="21">
        <v>1.5113799999999999</v>
      </c>
      <c r="P330" s="21">
        <v>12.0181</v>
      </c>
      <c r="Q330" s="21">
        <v>-1.19598E-2</v>
      </c>
      <c r="R330" s="21">
        <v>320</v>
      </c>
      <c r="S330" s="21">
        <v>1.5106200000000001</v>
      </c>
      <c r="T330">
        <f t="shared" si="50"/>
        <v>14.765185185185183</v>
      </c>
      <c r="U330">
        <f t="shared" si="51"/>
        <v>22.315805585185181</v>
      </c>
      <c r="X330" s="9"/>
      <c r="Y330" s="21">
        <v>0.17868000000000001</v>
      </c>
      <c r="Z330" s="21">
        <v>17.580200000000001</v>
      </c>
      <c r="AA330" s="21">
        <v>-1.4501999999999999E-2</v>
      </c>
      <c r="AB330" s="21">
        <v>320</v>
      </c>
      <c r="AC330" s="21">
        <v>0.17816199999999999</v>
      </c>
      <c r="AD330">
        <f t="shared" si="52"/>
        <v>17.903703703703702</v>
      </c>
      <c r="AE330">
        <f t="shared" si="53"/>
        <v>3.1990337777777773</v>
      </c>
      <c r="AF330" s="9"/>
      <c r="AG330" s="21">
        <v>1.5113799999999999</v>
      </c>
      <c r="AH330" s="21">
        <v>21.379300000000001</v>
      </c>
      <c r="AI330" s="21">
        <v>-1.1892700000000001E-2</v>
      </c>
      <c r="AJ330" s="21">
        <v>320</v>
      </c>
      <c r="AK330" s="21">
        <v>1.51031</v>
      </c>
      <c r="AL330">
        <f t="shared" si="54"/>
        <v>14.682345679012347</v>
      </c>
      <c r="AM330">
        <f t="shared" si="55"/>
        <v>22.190603612345679</v>
      </c>
      <c r="AP330" s="9"/>
      <c r="AQ330" s="21">
        <v>0.17868000000000001</v>
      </c>
      <c r="AR330" s="21">
        <v>26.817499999999999</v>
      </c>
      <c r="AS330" s="21">
        <v>-1.4422600000000001E-2</v>
      </c>
      <c r="AT330" s="21">
        <v>320</v>
      </c>
      <c r="AU330" s="21">
        <v>0.17816199999999999</v>
      </c>
      <c r="AV330">
        <f t="shared" si="56"/>
        <v>17.805679012345678</v>
      </c>
      <c r="AW330">
        <f t="shared" si="57"/>
        <v>3.1815187259259257</v>
      </c>
      <c r="AX330" s="9"/>
      <c r="AY330" s="21">
        <v>1.5113799999999999</v>
      </c>
      <c r="AZ330" s="21">
        <v>30.616499999999998</v>
      </c>
      <c r="BA330" s="21">
        <v>-1.18683E-2</v>
      </c>
      <c r="BB330" s="21">
        <v>320</v>
      </c>
      <c r="BC330" s="21">
        <v>1.51031</v>
      </c>
      <c r="BD330">
        <f t="shared" si="58"/>
        <v>14.652222222222221</v>
      </c>
      <c r="BE330">
        <f t="shared" si="59"/>
        <v>22.145075622222219</v>
      </c>
    </row>
    <row r="331" spans="6:57" x14ac:dyDescent="0.25">
      <c r="F331" s="9"/>
      <c r="G331" s="21">
        <v>0.17364499999999999</v>
      </c>
      <c r="H331" s="21">
        <v>8.2291100000000004</v>
      </c>
      <c r="I331" s="21">
        <v>-1.4468399999999999E-2</v>
      </c>
      <c r="J331" s="21">
        <v>321</v>
      </c>
      <c r="K331" s="21">
        <v>0.173096</v>
      </c>
      <c r="L331">
        <f t="shared" si="48"/>
        <v>17.862222222222222</v>
      </c>
      <c r="M331">
        <f t="shared" si="49"/>
        <v>3.1016855777777774</v>
      </c>
      <c r="N331" s="9"/>
      <c r="O331" s="21">
        <v>1.5164200000000001</v>
      </c>
      <c r="P331" s="21">
        <v>12.0282</v>
      </c>
      <c r="Q331" s="21">
        <v>-1.1908E-2</v>
      </c>
      <c r="R331" s="21">
        <v>321</v>
      </c>
      <c r="S331" s="21">
        <v>1.5152000000000001</v>
      </c>
      <c r="T331">
        <f t="shared" si="50"/>
        <v>14.701234567901233</v>
      </c>
      <c r="U331">
        <f t="shared" si="51"/>
        <v>22.29324612345679</v>
      </c>
      <c r="X331" s="9"/>
      <c r="Y331" s="21">
        <v>0.17364499999999999</v>
      </c>
      <c r="Z331" s="21">
        <v>17.590299999999999</v>
      </c>
      <c r="AA331" s="21">
        <v>-1.44928E-2</v>
      </c>
      <c r="AB331" s="21">
        <v>321</v>
      </c>
      <c r="AC331" s="21">
        <v>0.173126</v>
      </c>
      <c r="AD331">
        <f t="shared" si="52"/>
        <v>17.892345679012344</v>
      </c>
      <c r="AE331">
        <f t="shared" si="53"/>
        <v>3.1069163654320984</v>
      </c>
      <c r="AF331" s="9"/>
      <c r="AG331" s="21">
        <v>1.5164200000000001</v>
      </c>
      <c r="AH331" s="21">
        <v>21.389299999999999</v>
      </c>
      <c r="AI331" s="21">
        <v>-1.18286E-2</v>
      </c>
      <c r="AJ331" s="21">
        <v>321</v>
      </c>
      <c r="AK331" s="21">
        <v>1.5161100000000001</v>
      </c>
      <c r="AL331">
        <f t="shared" si="54"/>
        <v>14.603209876543209</v>
      </c>
      <c r="AM331">
        <f t="shared" si="55"/>
        <v>22.144599520987654</v>
      </c>
      <c r="AP331" s="9"/>
      <c r="AQ331" s="21">
        <v>0.17364499999999999</v>
      </c>
      <c r="AR331" s="21">
        <v>26.827500000000001</v>
      </c>
      <c r="AS331" s="21">
        <v>-1.44318E-2</v>
      </c>
      <c r="AT331" s="21">
        <v>321</v>
      </c>
      <c r="AU331" s="21">
        <v>0.173096</v>
      </c>
      <c r="AV331">
        <f t="shared" si="56"/>
        <v>17.817037037037036</v>
      </c>
      <c r="AW331">
        <f t="shared" si="57"/>
        <v>3.0938393962962958</v>
      </c>
      <c r="AX331" s="9"/>
      <c r="AY331" s="21">
        <v>1.5164200000000001</v>
      </c>
      <c r="AZ331" s="21">
        <v>30.6266</v>
      </c>
      <c r="BA331" s="21">
        <v>-1.1804200000000001E-2</v>
      </c>
      <c r="BB331" s="21">
        <v>321</v>
      </c>
      <c r="BC331" s="21">
        <v>1.5155000000000001</v>
      </c>
      <c r="BD331">
        <f t="shared" si="58"/>
        <v>14.573086419753087</v>
      </c>
      <c r="BE331">
        <f t="shared" si="59"/>
        <v>22.098919708641979</v>
      </c>
    </row>
    <row r="332" spans="6:57" x14ac:dyDescent="0.25">
      <c r="F332" s="9"/>
      <c r="G332" s="21">
        <v>0.16861000000000001</v>
      </c>
      <c r="H332" s="21">
        <v>8.2391799999999993</v>
      </c>
      <c r="I332" s="21">
        <v>-1.4468399999999999E-2</v>
      </c>
      <c r="J332" s="21">
        <v>322</v>
      </c>
      <c r="K332" s="21">
        <v>0.16812099999999999</v>
      </c>
      <c r="L332">
        <f t="shared" ref="L332:L386" si="60">-I332/$F$2*1000</f>
        <v>17.862222222222222</v>
      </c>
      <c r="M332">
        <f t="shared" ref="M332:M386" si="61">L332*G332</f>
        <v>3.0117492888888888</v>
      </c>
      <c r="N332" s="9"/>
      <c r="O332" s="21">
        <v>1.52145</v>
      </c>
      <c r="P332" s="21">
        <v>12.0382</v>
      </c>
      <c r="Q332" s="21">
        <v>-1.1843899999999999E-2</v>
      </c>
      <c r="R332" s="21">
        <v>322</v>
      </c>
      <c r="S332" s="21">
        <v>1.5209999999999999</v>
      </c>
      <c r="T332">
        <f t="shared" ref="T332:T386" si="62">-Q332/$F$2*1000</f>
        <v>14.622098765432096</v>
      </c>
      <c r="U332">
        <f t="shared" ref="U332:U386" si="63">T332*O332</f>
        <v>22.246792166666662</v>
      </c>
      <c r="X332" s="9"/>
      <c r="Y332" s="21">
        <v>0.16861000000000001</v>
      </c>
      <c r="Z332" s="21">
        <v>17.6004</v>
      </c>
      <c r="AA332" s="21">
        <v>-1.44806E-2</v>
      </c>
      <c r="AB332" s="21">
        <v>322</v>
      </c>
      <c r="AC332" s="21">
        <v>0.16803000000000001</v>
      </c>
      <c r="AD332">
        <f t="shared" ref="AD332:AD386" si="64">-AA332/$F$2*1000</f>
        <v>17.877283950617283</v>
      </c>
      <c r="AE332">
        <f t="shared" ref="AE332:AE386" si="65">AD332*Y332</f>
        <v>3.0142888469135802</v>
      </c>
      <c r="AF332" s="9"/>
      <c r="AG332" s="21">
        <v>1.52145</v>
      </c>
      <c r="AH332" s="21">
        <v>21.3994</v>
      </c>
      <c r="AI332" s="21">
        <v>-1.1776699999999999E-2</v>
      </c>
      <c r="AJ332" s="21">
        <v>322</v>
      </c>
      <c r="AK332" s="21">
        <v>1.5209999999999999</v>
      </c>
      <c r="AL332">
        <f t="shared" ref="AL332:AL386" si="66">-AI332/$F$2*1000</f>
        <v>14.539135802469135</v>
      </c>
      <c r="AM332">
        <f t="shared" ref="AM332:AM386" si="67">AL332*AG332</f>
        <v>22.120568166666665</v>
      </c>
      <c r="AP332" s="9"/>
      <c r="AQ332" s="21">
        <v>0.16861000000000001</v>
      </c>
      <c r="AR332" s="21">
        <v>26.837599999999998</v>
      </c>
      <c r="AS332" s="21">
        <v>-1.44409E-2</v>
      </c>
      <c r="AT332" s="21">
        <v>322</v>
      </c>
      <c r="AU332" s="21">
        <v>0.168182</v>
      </c>
      <c r="AV332">
        <f t="shared" ref="AV332:AV386" si="68">-AS332/$F$2*1000</f>
        <v>17.828271604938269</v>
      </c>
      <c r="AW332">
        <f t="shared" ref="AW332:AW386" si="69">AV332*AQ332</f>
        <v>3.0060248753086416</v>
      </c>
      <c r="AX332" s="9"/>
      <c r="AY332" s="21">
        <v>1.52145</v>
      </c>
      <c r="AZ332" s="21">
        <v>30.636600000000001</v>
      </c>
      <c r="BA332" s="21">
        <v>-1.1743200000000001E-2</v>
      </c>
      <c r="BB332" s="21">
        <v>322</v>
      </c>
      <c r="BC332" s="21">
        <v>1.5209999999999999</v>
      </c>
      <c r="BD332">
        <f t="shared" ref="BD332:BD386" si="70">-BA332/$F$2*1000</f>
        <v>14.497777777777777</v>
      </c>
      <c r="BE332">
        <f t="shared" ref="BE332:BE386" si="71">BD332*AY332</f>
        <v>22.057644</v>
      </c>
    </row>
    <row r="333" spans="6:57" x14ac:dyDescent="0.25">
      <c r="F333" s="9"/>
      <c r="G333" s="21">
        <v>0.163574</v>
      </c>
      <c r="H333" s="21">
        <v>8.2492599999999996</v>
      </c>
      <c r="I333" s="21">
        <v>-1.4468399999999999E-2</v>
      </c>
      <c r="J333" s="21">
        <v>323</v>
      </c>
      <c r="K333" s="21">
        <v>0.16311600000000001</v>
      </c>
      <c r="L333">
        <f t="shared" si="60"/>
        <v>17.862222222222222</v>
      </c>
      <c r="M333">
        <f t="shared" si="61"/>
        <v>2.9217951377777776</v>
      </c>
      <c r="N333" s="9"/>
      <c r="O333" s="21">
        <v>1.5264899999999999</v>
      </c>
      <c r="P333" s="21">
        <v>12.048299999999999</v>
      </c>
      <c r="Q333" s="21">
        <v>-1.17889E-2</v>
      </c>
      <c r="R333" s="21">
        <v>323</v>
      </c>
      <c r="S333" s="21">
        <v>1.5249600000000001</v>
      </c>
      <c r="T333">
        <f t="shared" si="62"/>
        <v>14.554197530864196</v>
      </c>
      <c r="U333">
        <f t="shared" si="63"/>
        <v>22.216836988888886</v>
      </c>
      <c r="X333" s="9"/>
      <c r="Y333" s="21">
        <v>0.163574</v>
      </c>
      <c r="Z333" s="21">
        <v>17.610399999999998</v>
      </c>
      <c r="AA333" s="21">
        <v>-1.44867E-2</v>
      </c>
      <c r="AB333" s="21">
        <v>323</v>
      </c>
      <c r="AC333" s="21">
        <v>0.16305500000000001</v>
      </c>
      <c r="AD333">
        <f t="shared" si="64"/>
        <v>17.884814814814817</v>
      </c>
      <c r="AE333">
        <f t="shared" si="65"/>
        <v>2.925490698518519</v>
      </c>
      <c r="AF333" s="9"/>
      <c r="AG333" s="21">
        <v>1.5264899999999999</v>
      </c>
      <c r="AH333" s="21">
        <v>21.409500000000001</v>
      </c>
      <c r="AI333" s="21">
        <v>-1.1709600000000001E-2</v>
      </c>
      <c r="AJ333" s="21">
        <v>323</v>
      </c>
      <c r="AK333" s="21">
        <v>1.5255700000000001</v>
      </c>
      <c r="AL333">
        <f t="shared" si="66"/>
        <v>14.456296296296296</v>
      </c>
      <c r="AM333">
        <f t="shared" si="67"/>
        <v>22.067391733333331</v>
      </c>
      <c r="AP333" s="9"/>
      <c r="AQ333" s="21">
        <v>0.163574</v>
      </c>
      <c r="AR333" s="21">
        <v>26.8477</v>
      </c>
      <c r="AS333" s="21">
        <v>-1.4456200000000001E-2</v>
      </c>
      <c r="AT333" s="21">
        <v>323</v>
      </c>
      <c r="AU333" s="21">
        <v>0.162964</v>
      </c>
      <c r="AV333">
        <f t="shared" si="68"/>
        <v>17.847160493827161</v>
      </c>
      <c r="AW333">
        <f t="shared" si="69"/>
        <v>2.9193314306172842</v>
      </c>
      <c r="AX333" s="9"/>
      <c r="AY333" s="21">
        <v>1.5264899999999999</v>
      </c>
      <c r="AZ333" s="21">
        <v>30.646699999999999</v>
      </c>
      <c r="BA333" s="21">
        <v>-1.16791E-2</v>
      </c>
      <c r="BB333" s="21">
        <v>323</v>
      </c>
      <c r="BC333" s="21">
        <v>1.5261800000000001</v>
      </c>
      <c r="BD333">
        <f t="shared" si="70"/>
        <v>14.41864197530864</v>
      </c>
      <c r="BE333">
        <f t="shared" si="71"/>
        <v>22.009912788888883</v>
      </c>
    </row>
    <row r="334" spans="6:57" x14ac:dyDescent="0.25">
      <c r="F334" s="9"/>
      <c r="G334" s="21">
        <v>0.15853900000000001</v>
      </c>
      <c r="H334" s="21">
        <v>8.2593300000000003</v>
      </c>
      <c r="I334" s="21">
        <v>-1.4483599999999999E-2</v>
      </c>
      <c r="J334" s="21">
        <v>324</v>
      </c>
      <c r="K334" s="21">
        <v>0.15801999999999999</v>
      </c>
      <c r="L334">
        <f t="shared" si="60"/>
        <v>17.880987654320986</v>
      </c>
      <c r="M334">
        <f t="shared" si="61"/>
        <v>2.8348339017283952</v>
      </c>
      <c r="N334" s="9"/>
      <c r="O334" s="21">
        <v>1.53152</v>
      </c>
      <c r="P334" s="21">
        <v>12.058400000000001</v>
      </c>
      <c r="Q334" s="21">
        <v>-1.1743200000000001E-2</v>
      </c>
      <c r="R334" s="21">
        <v>324</v>
      </c>
      <c r="S334" s="21">
        <v>1.5310699999999999</v>
      </c>
      <c r="T334">
        <f t="shared" si="62"/>
        <v>14.497777777777777</v>
      </c>
      <c r="U334">
        <f t="shared" si="63"/>
        <v>22.20363662222222</v>
      </c>
      <c r="X334" s="9"/>
      <c r="Y334" s="21">
        <v>0.15853900000000001</v>
      </c>
      <c r="Z334" s="21">
        <v>17.6205</v>
      </c>
      <c r="AA334" s="21">
        <v>-1.44928E-2</v>
      </c>
      <c r="AB334" s="21">
        <v>324</v>
      </c>
      <c r="AC334" s="21">
        <v>0.15789800000000001</v>
      </c>
      <c r="AD334">
        <f t="shared" si="64"/>
        <v>17.892345679012344</v>
      </c>
      <c r="AE334">
        <f t="shared" si="65"/>
        <v>2.836634591604938</v>
      </c>
      <c r="AF334" s="9"/>
      <c r="AG334" s="21">
        <v>1.53152</v>
      </c>
      <c r="AH334" s="21">
        <v>21.419599999999999</v>
      </c>
      <c r="AI334" s="21">
        <v>-1.16364E-2</v>
      </c>
      <c r="AJ334" s="21">
        <v>324</v>
      </c>
      <c r="AK334" s="21">
        <v>1.5310699999999999</v>
      </c>
      <c r="AL334">
        <f t="shared" si="66"/>
        <v>14.365925925925925</v>
      </c>
      <c r="AM334">
        <f t="shared" si="67"/>
        <v>22.001702874074073</v>
      </c>
      <c r="AP334" s="9"/>
      <c r="AQ334" s="21">
        <v>0.15853900000000001</v>
      </c>
      <c r="AR334" s="21">
        <v>26.857700000000001</v>
      </c>
      <c r="AS334" s="21">
        <v>-1.44653E-2</v>
      </c>
      <c r="AT334" s="21">
        <v>324</v>
      </c>
      <c r="AU334" s="21">
        <v>0.15798999999999999</v>
      </c>
      <c r="AV334">
        <f t="shared" si="68"/>
        <v>17.858395061728395</v>
      </c>
      <c r="AW334">
        <f t="shared" si="69"/>
        <v>2.8312520946913584</v>
      </c>
      <c r="AX334" s="9"/>
      <c r="AY334" s="21">
        <v>1.53152</v>
      </c>
      <c r="AZ334" s="21">
        <v>30.6568</v>
      </c>
      <c r="BA334" s="21">
        <v>-1.16119E-2</v>
      </c>
      <c r="BB334" s="21">
        <v>324</v>
      </c>
      <c r="BC334" s="21">
        <v>1.5310699999999999</v>
      </c>
      <c r="BD334">
        <f t="shared" si="70"/>
        <v>14.335679012345677</v>
      </c>
      <c r="BE334">
        <f t="shared" si="71"/>
        <v>21.955379120987651</v>
      </c>
    </row>
    <row r="335" spans="6:57" x14ac:dyDescent="0.25">
      <c r="F335" s="9"/>
      <c r="G335" s="21">
        <v>0.153503</v>
      </c>
      <c r="H335" s="21">
        <v>8.2693999999999992</v>
      </c>
      <c r="I335" s="21">
        <v>-1.44867E-2</v>
      </c>
      <c r="J335" s="21">
        <v>325</v>
      </c>
      <c r="K335" s="21">
        <v>0.15298500000000001</v>
      </c>
      <c r="L335">
        <f t="shared" si="60"/>
        <v>17.884814814814817</v>
      </c>
      <c r="M335">
        <f t="shared" si="61"/>
        <v>2.745372728518519</v>
      </c>
      <c r="N335" s="9"/>
      <c r="O335" s="21">
        <v>1.5365599999999999</v>
      </c>
      <c r="P335" s="21">
        <v>12.0684</v>
      </c>
      <c r="Q335" s="21">
        <v>-1.1682100000000001E-2</v>
      </c>
      <c r="R335" s="21">
        <v>325</v>
      </c>
      <c r="S335" s="21">
        <v>1.5362499999999999</v>
      </c>
      <c r="T335">
        <f t="shared" si="62"/>
        <v>14.422345679012347</v>
      </c>
      <c r="U335">
        <f t="shared" si="63"/>
        <v>22.160799476543211</v>
      </c>
      <c r="X335" s="9"/>
      <c r="Y335" s="21">
        <v>0.153503</v>
      </c>
      <c r="Z335" s="21">
        <v>17.630600000000001</v>
      </c>
      <c r="AA335" s="21">
        <v>-1.4517199999999999E-2</v>
      </c>
      <c r="AB335" s="21">
        <v>325</v>
      </c>
      <c r="AC335" s="21">
        <v>0.152924</v>
      </c>
      <c r="AD335">
        <f t="shared" si="64"/>
        <v>17.922469135802466</v>
      </c>
      <c r="AE335">
        <f t="shared" si="65"/>
        <v>2.7511527797530859</v>
      </c>
      <c r="AF335" s="9"/>
      <c r="AG335" s="21">
        <v>1.5365599999999999</v>
      </c>
      <c r="AH335" s="21">
        <v>21.429600000000001</v>
      </c>
      <c r="AI335" s="21">
        <v>-1.1572300000000001E-2</v>
      </c>
      <c r="AJ335" s="21">
        <v>325</v>
      </c>
      <c r="AK335" s="21">
        <v>1.5362499999999999</v>
      </c>
      <c r="AL335">
        <f t="shared" si="66"/>
        <v>14.286790123456791</v>
      </c>
      <c r="AM335">
        <f t="shared" si="67"/>
        <v>21.952510232098767</v>
      </c>
      <c r="AP335" s="9"/>
      <c r="AQ335" s="21">
        <v>0.153503</v>
      </c>
      <c r="AR335" s="21">
        <v>26.867799999999999</v>
      </c>
      <c r="AS335" s="21">
        <v>-1.4468399999999999E-2</v>
      </c>
      <c r="AT335" s="21">
        <v>325</v>
      </c>
      <c r="AU335" s="21">
        <v>0.152924</v>
      </c>
      <c r="AV335">
        <f t="shared" si="68"/>
        <v>17.862222222222222</v>
      </c>
      <c r="AW335">
        <f t="shared" si="69"/>
        <v>2.7419046977777777</v>
      </c>
      <c r="AX335" s="9"/>
      <c r="AY335" s="21">
        <v>1.5365599999999999</v>
      </c>
      <c r="AZ335" s="21">
        <v>30.666899999999998</v>
      </c>
      <c r="BA335" s="21">
        <v>-1.15295E-2</v>
      </c>
      <c r="BB335" s="21">
        <v>325</v>
      </c>
      <c r="BC335" s="21">
        <v>1.5365599999999999</v>
      </c>
      <c r="BD335">
        <f t="shared" si="70"/>
        <v>14.23395061728395</v>
      </c>
      <c r="BE335">
        <f t="shared" si="71"/>
        <v>21.871319160493826</v>
      </c>
    </row>
    <row r="336" spans="6:57" x14ac:dyDescent="0.25">
      <c r="F336" s="9"/>
      <c r="G336" s="21">
        <v>0.14846799999999999</v>
      </c>
      <c r="H336" s="21">
        <v>8.2794699999999999</v>
      </c>
      <c r="I336" s="21">
        <v>-1.44958E-2</v>
      </c>
      <c r="J336" s="21">
        <v>326</v>
      </c>
      <c r="K336" s="21">
        <v>0.14788799999999999</v>
      </c>
      <c r="L336">
        <f t="shared" si="60"/>
        <v>17.896049382716047</v>
      </c>
      <c r="M336">
        <f t="shared" si="61"/>
        <v>2.6569906597530859</v>
      </c>
      <c r="N336" s="9"/>
      <c r="O336" s="21">
        <v>1.5416000000000001</v>
      </c>
      <c r="P336" s="21">
        <v>12.0785</v>
      </c>
      <c r="Q336" s="21">
        <v>-1.16119E-2</v>
      </c>
      <c r="R336" s="21">
        <v>326</v>
      </c>
      <c r="S336" s="21">
        <v>1.5408299999999999</v>
      </c>
      <c r="T336">
        <f t="shared" si="62"/>
        <v>14.335679012345677</v>
      </c>
      <c r="U336">
        <f t="shared" si="63"/>
        <v>22.099882765432096</v>
      </c>
      <c r="X336" s="9"/>
      <c r="Y336" s="21">
        <v>0.14846799999999999</v>
      </c>
      <c r="Z336" s="21">
        <v>17.640699999999999</v>
      </c>
      <c r="AA336" s="21">
        <v>-1.4523299999999999E-2</v>
      </c>
      <c r="AB336" s="21">
        <v>326</v>
      </c>
      <c r="AC336" s="21">
        <v>0.14798</v>
      </c>
      <c r="AD336">
        <f t="shared" si="64"/>
        <v>17.93</v>
      </c>
      <c r="AE336">
        <f t="shared" si="65"/>
        <v>2.6620312399999997</v>
      </c>
      <c r="AF336" s="9"/>
      <c r="AG336" s="21">
        <v>1.5416000000000001</v>
      </c>
      <c r="AH336" s="21">
        <v>21.439699999999998</v>
      </c>
      <c r="AI336" s="21">
        <v>-1.1499000000000001E-2</v>
      </c>
      <c r="AJ336" s="21">
        <v>326</v>
      </c>
      <c r="AK336" s="21">
        <v>1.5408299999999999</v>
      </c>
      <c r="AL336">
        <f t="shared" si="66"/>
        <v>14.196296296296296</v>
      </c>
      <c r="AM336">
        <f t="shared" si="67"/>
        <v>21.88501037037037</v>
      </c>
      <c r="AP336" s="9"/>
      <c r="AQ336" s="21">
        <v>0.14846799999999999</v>
      </c>
      <c r="AR336" s="21">
        <v>26.8779</v>
      </c>
      <c r="AS336" s="21">
        <v>-1.4456200000000001E-2</v>
      </c>
      <c r="AT336" s="21">
        <v>326</v>
      </c>
      <c r="AU336" s="21">
        <v>0.14776600000000001</v>
      </c>
      <c r="AV336">
        <f t="shared" si="68"/>
        <v>17.847160493827161</v>
      </c>
      <c r="AW336">
        <f t="shared" si="69"/>
        <v>2.649732224197531</v>
      </c>
      <c r="AX336" s="9"/>
      <c r="AY336" s="21">
        <v>1.5416000000000001</v>
      </c>
      <c r="AZ336" s="21">
        <v>30.6769</v>
      </c>
      <c r="BA336" s="21">
        <v>-1.1456300000000001E-2</v>
      </c>
      <c r="BB336" s="21">
        <v>326</v>
      </c>
      <c r="BC336" s="21">
        <v>1.5408299999999999</v>
      </c>
      <c r="BD336">
        <f t="shared" si="70"/>
        <v>14.143580246913581</v>
      </c>
      <c r="BE336">
        <f t="shared" si="71"/>
        <v>21.803743308641977</v>
      </c>
    </row>
    <row r="337" spans="6:57" x14ac:dyDescent="0.25">
      <c r="F337" s="9"/>
      <c r="G337" s="21">
        <v>0.143433</v>
      </c>
      <c r="H337" s="21">
        <v>8.2895400000000006</v>
      </c>
      <c r="I337" s="21">
        <v>-1.45142E-2</v>
      </c>
      <c r="J337" s="21">
        <v>327</v>
      </c>
      <c r="K337" s="21">
        <v>0.14291400000000001</v>
      </c>
      <c r="L337">
        <f t="shared" si="60"/>
        <v>17.918765432098763</v>
      </c>
      <c r="M337">
        <f t="shared" si="61"/>
        <v>2.5701422822222217</v>
      </c>
      <c r="N337" s="9"/>
      <c r="O337" s="21">
        <v>1.5466299999999999</v>
      </c>
      <c r="P337" s="21">
        <v>12.0886</v>
      </c>
      <c r="Q337" s="21">
        <v>-1.15326E-2</v>
      </c>
      <c r="R337" s="21">
        <v>327</v>
      </c>
      <c r="S337" s="21">
        <v>1.5460199999999999</v>
      </c>
      <c r="T337">
        <f t="shared" si="62"/>
        <v>14.237777777777778</v>
      </c>
      <c r="U337">
        <f t="shared" si="63"/>
        <v>22.020574244444443</v>
      </c>
      <c r="X337" s="9"/>
      <c r="Y337" s="21">
        <v>0.143433</v>
      </c>
      <c r="Z337" s="21">
        <v>17.650700000000001</v>
      </c>
      <c r="AA337" s="21">
        <v>-1.4523299999999999E-2</v>
      </c>
      <c r="AB337" s="21">
        <v>327</v>
      </c>
      <c r="AC337" s="21">
        <v>0.14285300000000001</v>
      </c>
      <c r="AD337">
        <f t="shared" si="64"/>
        <v>17.93</v>
      </c>
      <c r="AE337">
        <f t="shared" si="65"/>
        <v>2.57175369</v>
      </c>
      <c r="AF337" s="9"/>
      <c r="AG337" s="21">
        <v>1.5466299999999999</v>
      </c>
      <c r="AH337" s="21">
        <v>21.4498</v>
      </c>
      <c r="AI337" s="21">
        <v>-1.14197E-2</v>
      </c>
      <c r="AJ337" s="21">
        <v>327</v>
      </c>
      <c r="AK337" s="21">
        <v>1.54572</v>
      </c>
      <c r="AL337">
        <f t="shared" si="66"/>
        <v>14.098395061728393</v>
      </c>
      <c r="AM337">
        <f t="shared" si="67"/>
        <v>21.805000754320982</v>
      </c>
      <c r="AP337" s="9"/>
      <c r="AQ337" s="21">
        <v>0.143433</v>
      </c>
      <c r="AR337" s="21">
        <v>26.888000000000002</v>
      </c>
      <c r="AS337" s="21">
        <v>-1.4447E-2</v>
      </c>
      <c r="AT337" s="21">
        <v>327</v>
      </c>
      <c r="AU337" s="21">
        <v>0.142822</v>
      </c>
      <c r="AV337">
        <f t="shared" si="68"/>
        <v>17.8358024691358</v>
      </c>
      <c r="AW337">
        <f t="shared" si="69"/>
        <v>2.5582426555555551</v>
      </c>
      <c r="AX337" s="9"/>
      <c r="AY337" s="21">
        <v>1.5466299999999999</v>
      </c>
      <c r="AZ337" s="21">
        <v>30.687000000000001</v>
      </c>
      <c r="BA337" s="21">
        <v>-1.1373899999999999E-2</v>
      </c>
      <c r="BB337" s="21">
        <v>327</v>
      </c>
      <c r="BC337" s="21">
        <v>1.54633</v>
      </c>
      <c r="BD337">
        <f t="shared" si="70"/>
        <v>14.041851851851851</v>
      </c>
      <c r="BE337">
        <f t="shared" si="71"/>
        <v>21.717549329629627</v>
      </c>
    </row>
    <row r="338" spans="6:57" x14ac:dyDescent="0.25">
      <c r="F338" s="9"/>
      <c r="G338" s="21">
        <v>0.13839699999999999</v>
      </c>
      <c r="H338" s="21">
        <v>8.2996099999999995</v>
      </c>
      <c r="I338" s="21">
        <v>-1.45203E-2</v>
      </c>
      <c r="J338" s="21">
        <v>328</v>
      </c>
      <c r="K338" s="21">
        <v>0.137878</v>
      </c>
      <c r="L338">
        <f t="shared" si="60"/>
        <v>17.926296296296293</v>
      </c>
      <c r="M338">
        <f t="shared" si="61"/>
        <v>2.4809456285185179</v>
      </c>
      <c r="N338" s="9"/>
      <c r="O338" s="21">
        <v>1.5516700000000001</v>
      </c>
      <c r="P338" s="21">
        <v>12.098699999999999</v>
      </c>
      <c r="Q338" s="21">
        <v>-1.1456300000000001E-2</v>
      </c>
      <c r="R338" s="21">
        <v>328</v>
      </c>
      <c r="S338" s="21">
        <v>1.5508999999999999</v>
      </c>
      <c r="T338">
        <f t="shared" si="62"/>
        <v>14.143580246913581</v>
      </c>
      <c r="U338">
        <f t="shared" si="63"/>
        <v>21.946169161728399</v>
      </c>
      <c r="X338" s="9"/>
      <c r="Y338" s="21">
        <v>0.13839699999999999</v>
      </c>
      <c r="Z338" s="21">
        <v>17.660799999999998</v>
      </c>
      <c r="AA338" s="21">
        <v>-1.45203E-2</v>
      </c>
      <c r="AB338" s="21">
        <v>328</v>
      </c>
      <c r="AC338" s="21">
        <v>0.137878</v>
      </c>
      <c r="AD338">
        <f t="shared" si="64"/>
        <v>17.926296296296293</v>
      </c>
      <c r="AE338">
        <f t="shared" si="65"/>
        <v>2.4809456285185179</v>
      </c>
      <c r="AF338" s="9"/>
      <c r="AG338" s="21">
        <v>1.5516700000000001</v>
      </c>
      <c r="AH338" s="21">
        <v>21.459800000000001</v>
      </c>
      <c r="AI338" s="21">
        <v>-1.1325099999999999E-2</v>
      </c>
      <c r="AJ338" s="21">
        <v>328</v>
      </c>
      <c r="AK338" s="21">
        <v>1.55182</v>
      </c>
      <c r="AL338">
        <f t="shared" si="66"/>
        <v>13.981604938271603</v>
      </c>
      <c r="AM338">
        <f t="shared" si="67"/>
        <v>21.694836934567899</v>
      </c>
      <c r="AP338" s="9"/>
      <c r="AQ338" s="21">
        <v>0.13839699999999999</v>
      </c>
      <c r="AR338" s="21">
        <v>26.898</v>
      </c>
      <c r="AS338" s="21">
        <v>-1.44531E-2</v>
      </c>
      <c r="AT338" s="21">
        <v>328</v>
      </c>
      <c r="AU338" s="21">
        <v>0.13793900000000001</v>
      </c>
      <c r="AV338">
        <f t="shared" si="68"/>
        <v>17.843333333333334</v>
      </c>
      <c r="AW338">
        <f t="shared" si="69"/>
        <v>2.4694638033333334</v>
      </c>
      <c r="AX338" s="9"/>
      <c r="AY338" s="21">
        <v>1.5516700000000001</v>
      </c>
      <c r="AZ338" s="21">
        <v>30.697099999999999</v>
      </c>
      <c r="BA338" s="21">
        <v>-1.1285399999999999E-2</v>
      </c>
      <c r="BB338" s="21">
        <v>328</v>
      </c>
      <c r="BC338" s="21">
        <v>1.5508999999999999</v>
      </c>
      <c r="BD338">
        <f t="shared" si="70"/>
        <v>13.93259259259259</v>
      </c>
      <c r="BE338">
        <f t="shared" si="71"/>
        <v>21.618785948148144</v>
      </c>
    </row>
    <row r="339" spans="6:57" x14ac:dyDescent="0.25">
      <c r="F339" s="9"/>
      <c r="G339" s="21">
        <v>0.13336200000000001</v>
      </c>
      <c r="H339" s="21">
        <v>8.3096800000000002</v>
      </c>
      <c r="I339" s="21">
        <v>-1.45294E-2</v>
      </c>
      <c r="J339" s="21">
        <v>329</v>
      </c>
      <c r="K339" s="21">
        <v>0.13278200000000001</v>
      </c>
      <c r="L339">
        <f t="shared" si="60"/>
        <v>17.93753086419753</v>
      </c>
      <c r="M339">
        <f t="shared" si="61"/>
        <v>2.3921849911111113</v>
      </c>
      <c r="N339" s="9"/>
      <c r="O339" s="21">
        <v>1.5567</v>
      </c>
      <c r="P339" s="21">
        <v>12.108700000000001</v>
      </c>
      <c r="Q339" s="21">
        <v>-1.1367800000000001E-2</v>
      </c>
      <c r="R339" s="21">
        <v>329</v>
      </c>
      <c r="S339" s="21">
        <v>1.55548</v>
      </c>
      <c r="T339">
        <f t="shared" si="62"/>
        <v>14.03432098765432</v>
      </c>
      <c r="U339">
        <f t="shared" si="63"/>
        <v>21.847227481481479</v>
      </c>
      <c r="X339" s="9"/>
      <c r="Y339" s="21">
        <v>0.13336200000000001</v>
      </c>
      <c r="Z339" s="21">
        <v>17.6709</v>
      </c>
      <c r="AA339" s="21">
        <v>-1.45264E-2</v>
      </c>
      <c r="AB339" s="21">
        <v>329</v>
      </c>
      <c r="AC339" s="21">
        <v>0.13284299999999999</v>
      </c>
      <c r="AD339">
        <f t="shared" si="64"/>
        <v>17.933827160493827</v>
      </c>
      <c r="AE339">
        <f t="shared" si="65"/>
        <v>2.3916910577777779</v>
      </c>
      <c r="AF339" s="9"/>
      <c r="AG339" s="21">
        <v>1.5567</v>
      </c>
      <c r="AH339" s="21">
        <v>21.469899999999999</v>
      </c>
      <c r="AI339" s="21">
        <v>-1.1236599999999999E-2</v>
      </c>
      <c r="AJ339" s="21">
        <v>329</v>
      </c>
      <c r="AK339" s="21">
        <v>1.55609</v>
      </c>
      <c r="AL339">
        <f t="shared" si="66"/>
        <v>13.872345679012344</v>
      </c>
      <c r="AM339">
        <f t="shared" si="67"/>
        <v>21.595080518518515</v>
      </c>
      <c r="AP339" s="9"/>
      <c r="AQ339" s="21">
        <v>0.13336200000000001</v>
      </c>
      <c r="AR339" s="21">
        <v>26.908100000000001</v>
      </c>
      <c r="AS339" s="21">
        <v>-1.44653E-2</v>
      </c>
      <c r="AT339" s="21">
        <v>329</v>
      </c>
      <c r="AU339" s="21">
        <v>0.13284299999999999</v>
      </c>
      <c r="AV339">
        <f t="shared" si="68"/>
        <v>17.858395061728395</v>
      </c>
      <c r="AW339">
        <f t="shared" si="69"/>
        <v>2.3816312822222225</v>
      </c>
      <c r="AX339" s="9"/>
      <c r="AY339" s="21">
        <v>1.5567</v>
      </c>
      <c r="AZ339" s="21">
        <v>30.707100000000001</v>
      </c>
      <c r="BA339" s="21">
        <v>-1.12061E-2</v>
      </c>
      <c r="BB339" s="21">
        <v>329</v>
      </c>
      <c r="BC339" s="21">
        <v>1.5564</v>
      </c>
      <c r="BD339">
        <f t="shared" si="70"/>
        <v>13.834691358024692</v>
      </c>
      <c r="BE339">
        <f t="shared" si="71"/>
        <v>21.536464037037039</v>
      </c>
    </row>
    <row r="340" spans="6:57" x14ac:dyDescent="0.25">
      <c r="F340" s="9"/>
      <c r="G340" s="21">
        <v>0.128326</v>
      </c>
      <c r="H340" s="21">
        <v>8.3197500000000009</v>
      </c>
      <c r="I340" s="21">
        <v>-1.45355E-2</v>
      </c>
      <c r="J340" s="21">
        <v>330</v>
      </c>
      <c r="K340" s="21">
        <v>0.127777</v>
      </c>
      <c r="L340">
        <f t="shared" si="60"/>
        <v>17.945061728395061</v>
      </c>
      <c r="M340">
        <f t="shared" si="61"/>
        <v>2.3028179913580247</v>
      </c>
      <c r="N340" s="9"/>
      <c r="O340" s="21">
        <v>1.5617399999999999</v>
      </c>
      <c r="P340" s="21">
        <v>12.1188</v>
      </c>
      <c r="Q340" s="21">
        <v>-1.1279300000000001E-2</v>
      </c>
      <c r="R340" s="21">
        <v>330</v>
      </c>
      <c r="S340" s="21">
        <v>1.56128</v>
      </c>
      <c r="T340">
        <f t="shared" si="62"/>
        <v>13.925061728395063</v>
      </c>
      <c r="U340">
        <f t="shared" si="63"/>
        <v>21.747325903703704</v>
      </c>
      <c r="X340" s="9"/>
      <c r="Y340" s="21">
        <v>0.128326</v>
      </c>
      <c r="Z340" s="21">
        <v>17.680900000000001</v>
      </c>
      <c r="AA340" s="21">
        <v>-1.45416E-2</v>
      </c>
      <c r="AB340" s="21">
        <v>330</v>
      </c>
      <c r="AC340" s="21">
        <v>0.127777</v>
      </c>
      <c r="AD340">
        <f t="shared" si="64"/>
        <v>17.952592592592595</v>
      </c>
      <c r="AE340">
        <f t="shared" si="65"/>
        <v>2.3037843970370373</v>
      </c>
      <c r="AF340" s="9"/>
      <c r="AG340" s="21">
        <v>1.5617399999999999</v>
      </c>
      <c r="AH340" s="21">
        <v>21.48</v>
      </c>
      <c r="AI340" s="21">
        <v>-1.11542E-2</v>
      </c>
      <c r="AJ340" s="21">
        <v>330</v>
      </c>
      <c r="AK340" s="21">
        <v>1.56067</v>
      </c>
      <c r="AL340">
        <f t="shared" si="66"/>
        <v>13.770617283950616</v>
      </c>
      <c r="AM340">
        <f t="shared" si="67"/>
        <v>21.506123837037034</v>
      </c>
      <c r="AP340" s="9"/>
      <c r="AQ340" s="21">
        <v>0.128326</v>
      </c>
      <c r="AR340" s="21">
        <v>26.918199999999999</v>
      </c>
      <c r="AS340" s="21">
        <v>-1.44653E-2</v>
      </c>
      <c r="AT340" s="21">
        <v>330</v>
      </c>
      <c r="AU340" s="21">
        <v>0.12783800000000001</v>
      </c>
      <c r="AV340">
        <f t="shared" si="68"/>
        <v>17.858395061728395</v>
      </c>
      <c r="AW340">
        <f t="shared" si="69"/>
        <v>2.2916964046913577</v>
      </c>
      <c r="AX340" s="9"/>
      <c r="AY340" s="21">
        <v>1.5617399999999999</v>
      </c>
      <c r="AZ340" s="21">
        <v>30.717199999999998</v>
      </c>
      <c r="BA340" s="21">
        <v>-1.11237E-2</v>
      </c>
      <c r="BB340" s="21">
        <v>330</v>
      </c>
      <c r="BC340" s="21">
        <v>1.56097</v>
      </c>
      <c r="BD340">
        <f t="shared" si="70"/>
        <v>13.732962962962963</v>
      </c>
      <c r="BE340">
        <f t="shared" si="71"/>
        <v>21.447317577777778</v>
      </c>
    </row>
    <row r="341" spans="6:57" x14ac:dyDescent="0.25">
      <c r="F341" s="9"/>
      <c r="G341" s="21">
        <v>0.123291</v>
      </c>
      <c r="H341" s="21">
        <v>8.3298199999999998</v>
      </c>
      <c r="I341" s="21">
        <v>-1.45477E-2</v>
      </c>
      <c r="J341" s="21">
        <v>331</v>
      </c>
      <c r="K341" s="21">
        <v>0.12265</v>
      </c>
      <c r="L341">
        <f t="shared" si="60"/>
        <v>17.960123456790122</v>
      </c>
      <c r="M341">
        <f t="shared" si="61"/>
        <v>2.2143215811111108</v>
      </c>
      <c r="N341" s="9"/>
      <c r="O341" s="21">
        <v>1.56677</v>
      </c>
      <c r="P341" s="21">
        <v>12.1289</v>
      </c>
      <c r="Q341" s="21">
        <v>-1.11816E-2</v>
      </c>
      <c r="R341" s="21">
        <v>331</v>
      </c>
      <c r="S341" s="21">
        <v>1.56708</v>
      </c>
      <c r="T341">
        <f t="shared" si="62"/>
        <v>13.804444444444444</v>
      </c>
      <c r="U341">
        <f t="shared" si="63"/>
        <v>21.62838942222222</v>
      </c>
      <c r="X341" s="9"/>
      <c r="Y341" s="21">
        <v>0.123291</v>
      </c>
      <c r="Z341" s="21">
        <v>17.690999999999999</v>
      </c>
      <c r="AA341" s="21">
        <v>-1.4556899999999999E-2</v>
      </c>
      <c r="AB341" s="21">
        <v>331</v>
      </c>
      <c r="AC341" s="21">
        <v>0.12265</v>
      </c>
      <c r="AD341">
        <f t="shared" si="64"/>
        <v>17.971481481481479</v>
      </c>
      <c r="AE341">
        <f t="shared" si="65"/>
        <v>2.2157219233333332</v>
      </c>
      <c r="AF341" s="9"/>
      <c r="AG341" s="21">
        <v>1.56677</v>
      </c>
      <c r="AH341" s="21">
        <v>21.490100000000002</v>
      </c>
      <c r="AI341" s="21">
        <v>-1.10718E-2</v>
      </c>
      <c r="AJ341" s="21">
        <v>331</v>
      </c>
      <c r="AK341" s="21">
        <v>1.56616</v>
      </c>
      <c r="AL341">
        <f t="shared" si="66"/>
        <v>13.668888888888889</v>
      </c>
      <c r="AM341">
        <f t="shared" si="67"/>
        <v>21.416005044444443</v>
      </c>
      <c r="AP341" s="9"/>
      <c r="AQ341" s="21">
        <v>0.123291</v>
      </c>
      <c r="AR341" s="21">
        <v>26.9282</v>
      </c>
      <c r="AS341" s="21">
        <v>-1.44745E-2</v>
      </c>
      <c r="AT341" s="21">
        <v>331</v>
      </c>
      <c r="AU341" s="21">
        <v>0.122742</v>
      </c>
      <c r="AV341">
        <f t="shared" si="68"/>
        <v>17.869753086419752</v>
      </c>
      <c r="AW341">
        <f t="shared" si="69"/>
        <v>2.2031797277777776</v>
      </c>
      <c r="AX341" s="9"/>
      <c r="AY341" s="21">
        <v>1.56677</v>
      </c>
      <c r="AZ341" s="21">
        <v>30.7273</v>
      </c>
      <c r="BA341" s="21">
        <v>-1.10382E-2</v>
      </c>
      <c r="BB341" s="21">
        <v>331</v>
      </c>
      <c r="BC341" s="21">
        <v>1.56586</v>
      </c>
      <c r="BD341">
        <f t="shared" si="70"/>
        <v>13.627407407407405</v>
      </c>
      <c r="BE341">
        <f t="shared" si="71"/>
        <v>21.3510131037037</v>
      </c>
    </row>
    <row r="342" spans="6:57" x14ac:dyDescent="0.25">
      <c r="F342" s="9"/>
      <c r="G342" s="21">
        <v>0.118256</v>
      </c>
      <c r="H342" s="21">
        <v>8.3398900000000005</v>
      </c>
      <c r="I342" s="21">
        <v>-1.4544700000000001E-2</v>
      </c>
      <c r="J342" s="21">
        <v>332</v>
      </c>
      <c r="K342" s="21">
        <v>0.11770600000000001</v>
      </c>
      <c r="L342">
        <f t="shared" si="60"/>
        <v>17.956419753086422</v>
      </c>
      <c r="M342">
        <f t="shared" si="61"/>
        <v>2.1234543743209877</v>
      </c>
      <c r="N342" s="9"/>
      <c r="O342" s="21">
        <v>1.5718099999999999</v>
      </c>
      <c r="P342" s="21">
        <v>12.1389</v>
      </c>
      <c r="Q342" s="21">
        <v>-1.10931E-2</v>
      </c>
      <c r="R342" s="21">
        <v>332</v>
      </c>
      <c r="S342" s="21">
        <v>1.57135</v>
      </c>
      <c r="T342">
        <f t="shared" si="62"/>
        <v>13.695185185185183</v>
      </c>
      <c r="U342">
        <f t="shared" si="63"/>
        <v>21.526229025925922</v>
      </c>
      <c r="X342" s="9"/>
      <c r="Y342" s="21">
        <v>0.118256</v>
      </c>
      <c r="Z342" s="21">
        <v>17.7011</v>
      </c>
      <c r="AA342" s="21">
        <v>-1.4566000000000001E-2</v>
      </c>
      <c r="AB342" s="21">
        <v>332</v>
      </c>
      <c r="AC342" s="21">
        <v>0.117645</v>
      </c>
      <c r="AD342">
        <f t="shared" si="64"/>
        <v>17.982716049382717</v>
      </c>
      <c r="AE342">
        <f t="shared" si="65"/>
        <v>2.1265640691358025</v>
      </c>
      <c r="AF342" s="9"/>
      <c r="AG342" s="21">
        <v>1.5718099999999999</v>
      </c>
      <c r="AH342" s="21">
        <v>21.5001</v>
      </c>
      <c r="AI342" s="21">
        <v>-1.09833E-2</v>
      </c>
      <c r="AJ342" s="21">
        <v>332</v>
      </c>
      <c r="AK342" s="21">
        <v>1.57104</v>
      </c>
      <c r="AL342">
        <f t="shared" si="66"/>
        <v>13.559629629629628</v>
      </c>
      <c r="AM342">
        <f t="shared" si="67"/>
        <v>21.313161448148144</v>
      </c>
      <c r="AP342" s="9"/>
      <c r="AQ342" s="21">
        <v>0.118256</v>
      </c>
      <c r="AR342" s="21">
        <v>26.938300000000002</v>
      </c>
      <c r="AS342" s="21">
        <v>-1.44806E-2</v>
      </c>
      <c r="AT342" s="21">
        <v>332</v>
      </c>
      <c r="AU342" s="21">
        <v>0.11773699999999999</v>
      </c>
      <c r="AV342">
        <f t="shared" si="68"/>
        <v>17.877283950617283</v>
      </c>
      <c r="AW342">
        <f t="shared" si="69"/>
        <v>2.1140960908641975</v>
      </c>
      <c r="AX342" s="9"/>
      <c r="AY342" s="21">
        <v>1.5718099999999999</v>
      </c>
      <c r="AZ342" s="21">
        <v>30.737400000000001</v>
      </c>
      <c r="BA342" s="21">
        <v>-1.09406E-2</v>
      </c>
      <c r="BB342" s="21">
        <v>332</v>
      </c>
      <c r="BC342" s="21">
        <v>1.57104</v>
      </c>
      <c r="BD342">
        <f t="shared" si="70"/>
        <v>13.506913580246913</v>
      </c>
      <c r="BE342">
        <f t="shared" si="71"/>
        <v>21.2303018345679</v>
      </c>
    </row>
    <row r="343" spans="6:57" x14ac:dyDescent="0.25">
      <c r="F343" s="9"/>
      <c r="G343" s="21">
        <v>0.11322</v>
      </c>
      <c r="H343" s="21">
        <v>8.3499700000000008</v>
      </c>
      <c r="I343" s="21">
        <v>-1.45416E-2</v>
      </c>
      <c r="J343" s="21">
        <v>333</v>
      </c>
      <c r="K343" s="21">
        <v>0.11264</v>
      </c>
      <c r="L343">
        <f t="shared" si="60"/>
        <v>17.952592592592595</v>
      </c>
      <c r="M343">
        <f t="shared" si="61"/>
        <v>2.0325925333333337</v>
      </c>
      <c r="N343" s="9"/>
      <c r="O343" s="21">
        <v>1.57684</v>
      </c>
      <c r="P343" s="21">
        <v>12.148999999999999</v>
      </c>
      <c r="Q343" s="21">
        <v>-1.0992399999999999E-2</v>
      </c>
      <c r="R343" s="21">
        <v>333</v>
      </c>
      <c r="S343" s="21">
        <v>1.5753200000000001</v>
      </c>
      <c r="T343">
        <f t="shared" si="62"/>
        <v>13.570864197530863</v>
      </c>
      <c r="U343">
        <f t="shared" si="63"/>
        <v>21.399081501234566</v>
      </c>
      <c r="X343" s="9"/>
      <c r="Y343" s="21">
        <v>0.11322</v>
      </c>
      <c r="Z343" s="21">
        <v>17.711200000000002</v>
      </c>
      <c r="AA343" s="21">
        <v>-1.45691E-2</v>
      </c>
      <c r="AB343" s="21">
        <v>333</v>
      </c>
      <c r="AC343" s="21">
        <v>0.112579</v>
      </c>
      <c r="AD343">
        <f t="shared" si="64"/>
        <v>17.98654320987654</v>
      </c>
      <c r="AE343">
        <f t="shared" si="65"/>
        <v>2.0364364222222218</v>
      </c>
      <c r="AF343" s="9"/>
      <c r="AG343" s="21">
        <v>1.57684</v>
      </c>
      <c r="AH343" s="21">
        <v>21.510200000000001</v>
      </c>
      <c r="AI343" s="21">
        <v>-1.0876500000000001E-2</v>
      </c>
      <c r="AJ343" s="21">
        <v>333</v>
      </c>
      <c r="AK343" s="21">
        <v>1.57623</v>
      </c>
      <c r="AL343">
        <f t="shared" si="66"/>
        <v>13.427777777777779</v>
      </c>
      <c r="AM343">
        <f t="shared" si="67"/>
        <v>21.173457111111112</v>
      </c>
      <c r="AP343" s="9"/>
      <c r="AQ343" s="21">
        <v>0.11322</v>
      </c>
      <c r="AR343" s="21">
        <v>26.948399999999999</v>
      </c>
      <c r="AS343" s="21">
        <v>-1.44806E-2</v>
      </c>
      <c r="AT343" s="21">
        <v>333</v>
      </c>
      <c r="AU343" s="21">
        <v>0.112701</v>
      </c>
      <c r="AV343">
        <f t="shared" si="68"/>
        <v>17.877283950617283</v>
      </c>
      <c r="AW343">
        <f t="shared" si="69"/>
        <v>2.0240660888888886</v>
      </c>
      <c r="AX343" s="9"/>
      <c r="AY343" s="21">
        <v>1.57684</v>
      </c>
      <c r="AZ343" s="21">
        <v>30.747399999999999</v>
      </c>
      <c r="BA343" s="21">
        <v>-1.0836800000000001E-2</v>
      </c>
      <c r="BB343" s="21">
        <v>333</v>
      </c>
      <c r="BC343" s="21">
        <v>1.5759300000000001</v>
      </c>
      <c r="BD343">
        <f t="shared" si="70"/>
        <v>13.378765432098765</v>
      </c>
      <c r="BE343">
        <f t="shared" si="71"/>
        <v>21.096172483950618</v>
      </c>
    </row>
    <row r="344" spans="6:57" x14ac:dyDescent="0.25">
      <c r="F344" s="9"/>
      <c r="G344" s="21">
        <v>0.108185</v>
      </c>
      <c r="H344" s="21">
        <v>8.3600399999999997</v>
      </c>
      <c r="I344" s="21">
        <v>-1.45477E-2</v>
      </c>
      <c r="J344" s="21">
        <v>334</v>
      </c>
      <c r="K344" s="21">
        <v>0.10760500000000001</v>
      </c>
      <c r="L344">
        <f t="shared" si="60"/>
        <v>17.960123456790122</v>
      </c>
      <c r="M344">
        <f t="shared" si="61"/>
        <v>1.9430159561728393</v>
      </c>
      <c r="N344" s="9"/>
      <c r="O344" s="21">
        <v>1.58188</v>
      </c>
      <c r="P344" s="21">
        <v>12.1591</v>
      </c>
      <c r="Q344" s="21">
        <v>-1.08856E-2</v>
      </c>
      <c r="R344" s="21">
        <v>334</v>
      </c>
      <c r="S344" s="21">
        <v>1.58081</v>
      </c>
      <c r="T344">
        <f t="shared" si="62"/>
        <v>13.439012345679012</v>
      </c>
      <c r="U344">
        <f t="shared" si="63"/>
        <v>21.258904849382716</v>
      </c>
      <c r="X344" s="9"/>
      <c r="Y344" s="21">
        <v>0.108185</v>
      </c>
      <c r="Z344" s="21">
        <v>17.7212</v>
      </c>
      <c r="AA344" s="21">
        <v>-1.4563E-2</v>
      </c>
      <c r="AB344" s="21">
        <v>334</v>
      </c>
      <c r="AC344" s="21">
        <v>0.10763499999999999</v>
      </c>
      <c r="AD344">
        <f t="shared" si="64"/>
        <v>17.979012345679013</v>
      </c>
      <c r="AE344">
        <f t="shared" si="65"/>
        <v>1.945059450617284</v>
      </c>
      <c r="AF344" s="9"/>
      <c r="AG344" s="21">
        <v>1.58188</v>
      </c>
      <c r="AH344" s="21">
        <v>21.520299999999999</v>
      </c>
      <c r="AI344" s="21">
        <v>-1.07727E-2</v>
      </c>
      <c r="AJ344" s="21">
        <v>334</v>
      </c>
      <c r="AK344" s="21">
        <v>1.5811200000000001</v>
      </c>
      <c r="AL344">
        <f t="shared" si="66"/>
        <v>13.299629629629628</v>
      </c>
      <c r="AM344">
        <f t="shared" si="67"/>
        <v>21.038418118518514</v>
      </c>
      <c r="AP344" s="9"/>
      <c r="AQ344" s="21">
        <v>0.108185</v>
      </c>
      <c r="AR344" s="21">
        <v>26.958500000000001</v>
      </c>
      <c r="AS344" s="21">
        <v>-1.4489699999999999E-2</v>
      </c>
      <c r="AT344" s="21">
        <v>334</v>
      </c>
      <c r="AU344" s="21">
        <v>0.107574</v>
      </c>
      <c r="AV344">
        <f t="shared" si="68"/>
        <v>17.888518518518516</v>
      </c>
      <c r="AW344">
        <f t="shared" si="69"/>
        <v>1.9352693759259258</v>
      </c>
      <c r="AX344" s="9"/>
      <c r="AY344" s="21">
        <v>1.58188</v>
      </c>
      <c r="AZ344" s="21">
        <v>30.7575</v>
      </c>
      <c r="BA344" s="21">
        <v>-1.07239E-2</v>
      </c>
      <c r="BB344" s="21">
        <v>334</v>
      </c>
      <c r="BC344" s="21">
        <v>1.5799000000000001</v>
      </c>
      <c r="BD344">
        <f t="shared" si="70"/>
        <v>13.239382716049382</v>
      </c>
      <c r="BE344">
        <f t="shared" si="71"/>
        <v>20.943114730864195</v>
      </c>
    </row>
    <row r="345" spans="6:57" x14ac:dyDescent="0.25">
      <c r="F345" s="9"/>
      <c r="G345" s="21">
        <v>0.103149</v>
      </c>
      <c r="H345" s="21">
        <v>8.3701100000000004</v>
      </c>
      <c r="I345" s="21">
        <v>-1.45477E-2</v>
      </c>
      <c r="J345" s="21">
        <v>335</v>
      </c>
      <c r="K345" s="21">
        <v>0.102631</v>
      </c>
      <c r="L345">
        <f t="shared" si="60"/>
        <v>17.960123456790122</v>
      </c>
      <c r="M345">
        <f t="shared" si="61"/>
        <v>1.8525687744444443</v>
      </c>
      <c r="N345" s="9"/>
      <c r="O345" s="21">
        <v>1.58691</v>
      </c>
      <c r="P345" s="21">
        <v>12.1692</v>
      </c>
      <c r="Q345" s="21">
        <v>-1.07788E-2</v>
      </c>
      <c r="R345" s="21">
        <v>335</v>
      </c>
      <c r="S345" s="21">
        <v>1.5866100000000001</v>
      </c>
      <c r="T345">
        <f t="shared" si="62"/>
        <v>13.30716049382716</v>
      </c>
      <c r="U345">
        <f t="shared" si="63"/>
        <v>21.117266059259258</v>
      </c>
      <c r="X345" s="9"/>
      <c r="Y345" s="21">
        <v>0.103149</v>
      </c>
      <c r="Z345" s="21">
        <v>17.731300000000001</v>
      </c>
      <c r="AA345" s="21">
        <v>-1.4566000000000001E-2</v>
      </c>
      <c r="AB345" s="21">
        <v>335</v>
      </c>
      <c r="AC345" s="21">
        <v>0.10256999999999999</v>
      </c>
      <c r="AD345">
        <f t="shared" si="64"/>
        <v>17.982716049382717</v>
      </c>
      <c r="AE345">
        <f t="shared" si="65"/>
        <v>1.8548991777777779</v>
      </c>
      <c r="AF345" s="9"/>
      <c r="AG345" s="21">
        <v>1.58691</v>
      </c>
      <c r="AH345" s="21">
        <v>21.5303</v>
      </c>
      <c r="AI345" s="21">
        <v>-1.0665900000000001E-2</v>
      </c>
      <c r="AJ345" s="21">
        <v>335</v>
      </c>
      <c r="AK345" s="21">
        <v>1.5860000000000001</v>
      </c>
      <c r="AL345">
        <f t="shared" si="66"/>
        <v>13.167777777777779</v>
      </c>
      <c r="AM345">
        <f t="shared" si="67"/>
        <v>20.896078233333338</v>
      </c>
      <c r="AP345" s="9"/>
      <c r="AQ345" s="21">
        <v>0.103149</v>
      </c>
      <c r="AR345" s="21">
        <v>26.968499999999999</v>
      </c>
      <c r="AS345" s="21">
        <v>-1.4505000000000001E-2</v>
      </c>
      <c r="AT345" s="21">
        <v>335</v>
      </c>
      <c r="AU345" s="21">
        <v>0.1026</v>
      </c>
      <c r="AV345">
        <f t="shared" si="68"/>
        <v>17.907407407407408</v>
      </c>
      <c r="AW345">
        <f t="shared" si="69"/>
        <v>1.8471311666666668</v>
      </c>
      <c r="AX345" s="9"/>
      <c r="AY345" s="21">
        <v>1.58691</v>
      </c>
      <c r="AZ345" s="21">
        <v>30.767600000000002</v>
      </c>
      <c r="BA345" s="21">
        <v>-1.06049E-2</v>
      </c>
      <c r="BB345" s="21">
        <v>335</v>
      </c>
      <c r="BC345" s="21">
        <v>1.58569</v>
      </c>
      <c r="BD345">
        <f t="shared" si="70"/>
        <v>13.092469135802469</v>
      </c>
      <c r="BE345">
        <f t="shared" si="71"/>
        <v>20.776570196296298</v>
      </c>
    </row>
    <row r="346" spans="6:57" x14ac:dyDescent="0.25">
      <c r="F346" s="9"/>
      <c r="G346" s="21">
        <v>9.8114000000000007E-2</v>
      </c>
      <c r="H346" s="21">
        <v>8.3801799999999993</v>
      </c>
      <c r="I346" s="21">
        <v>-1.45477E-2</v>
      </c>
      <c r="J346" s="21">
        <v>336</v>
      </c>
      <c r="K346" s="21">
        <v>9.7473099999999993E-2</v>
      </c>
      <c r="L346">
        <f t="shared" si="60"/>
        <v>17.960123456790122</v>
      </c>
      <c r="M346">
        <f t="shared" si="61"/>
        <v>1.7621395528395061</v>
      </c>
      <c r="N346" s="9"/>
      <c r="O346" s="21">
        <v>1.59195</v>
      </c>
      <c r="P346" s="21">
        <v>12.1792</v>
      </c>
      <c r="Q346" s="21">
        <v>-1.06689E-2</v>
      </c>
      <c r="R346" s="21">
        <v>336</v>
      </c>
      <c r="S346" s="21">
        <v>1.5908800000000001</v>
      </c>
      <c r="T346">
        <f t="shared" si="62"/>
        <v>13.17148148148148</v>
      </c>
      <c r="U346">
        <f t="shared" si="63"/>
        <v>20.968339944444441</v>
      </c>
      <c r="X346" s="9"/>
      <c r="Y346" s="21">
        <v>9.8114000000000007E-2</v>
      </c>
      <c r="Z346" s="21">
        <v>17.741399999999999</v>
      </c>
      <c r="AA346" s="21">
        <v>-1.4563E-2</v>
      </c>
      <c r="AB346" s="21">
        <v>336</v>
      </c>
      <c r="AC346" s="21">
        <v>9.7534200000000001E-2</v>
      </c>
      <c r="AD346">
        <f t="shared" si="64"/>
        <v>17.979012345679013</v>
      </c>
      <c r="AE346">
        <f t="shared" si="65"/>
        <v>1.7639928172839507</v>
      </c>
      <c r="AF346" s="9"/>
      <c r="AG346" s="21">
        <v>1.59195</v>
      </c>
      <c r="AH346" s="21">
        <v>21.540400000000002</v>
      </c>
      <c r="AI346" s="21">
        <v>-1.05469E-2</v>
      </c>
      <c r="AJ346" s="21">
        <v>336</v>
      </c>
      <c r="AK346" s="21">
        <v>1.5911900000000001</v>
      </c>
      <c r="AL346">
        <f t="shared" si="66"/>
        <v>13.020864197530864</v>
      </c>
      <c r="AM346">
        <f t="shared" si="67"/>
        <v>20.72856475925926</v>
      </c>
      <c r="AP346" s="9"/>
      <c r="AQ346" s="21">
        <v>9.8114000000000007E-2</v>
      </c>
      <c r="AR346" s="21">
        <v>26.9786</v>
      </c>
      <c r="AS346" s="21">
        <v>-1.45142E-2</v>
      </c>
      <c r="AT346" s="21">
        <v>336</v>
      </c>
      <c r="AU346" s="21">
        <v>9.7595199999999993E-2</v>
      </c>
      <c r="AV346">
        <f t="shared" si="68"/>
        <v>17.918765432098763</v>
      </c>
      <c r="AW346">
        <f t="shared" si="69"/>
        <v>1.7580817516049381</v>
      </c>
      <c r="AX346" s="9"/>
      <c r="AY346" s="21">
        <v>1.59195</v>
      </c>
      <c r="AZ346" s="21">
        <v>30.7776</v>
      </c>
      <c r="BA346" s="21">
        <v>-1.04828E-2</v>
      </c>
      <c r="BB346" s="21">
        <v>336</v>
      </c>
      <c r="BC346" s="21">
        <v>1.5908800000000001</v>
      </c>
      <c r="BD346">
        <f t="shared" si="70"/>
        <v>12.941728395061729</v>
      </c>
      <c r="BE346">
        <f t="shared" si="71"/>
        <v>20.602584518518519</v>
      </c>
    </row>
    <row r="347" spans="6:57" x14ac:dyDescent="0.25">
      <c r="F347" s="9"/>
      <c r="G347" s="21">
        <v>9.3078599999999997E-2</v>
      </c>
      <c r="H347" s="21">
        <v>8.39025</v>
      </c>
      <c r="I347" s="21">
        <v>-1.45538E-2</v>
      </c>
      <c r="J347" s="21">
        <v>337</v>
      </c>
      <c r="K347" s="21">
        <v>9.2529299999999995E-2</v>
      </c>
      <c r="L347">
        <f t="shared" si="60"/>
        <v>17.967654320987652</v>
      </c>
      <c r="M347">
        <f t="shared" si="61"/>
        <v>1.6724041094814812</v>
      </c>
      <c r="N347" s="9"/>
      <c r="O347" s="21">
        <v>1.5969800000000001</v>
      </c>
      <c r="P347" s="21">
        <v>12.189299999999999</v>
      </c>
      <c r="Q347" s="21">
        <v>-1.0549899999999999E-2</v>
      </c>
      <c r="R347" s="21">
        <v>337</v>
      </c>
      <c r="S347" s="21">
        <v>1.5963700000000001</v>
      </c>
      <c r="T347">
        <f t="shared" si="62"/>
        <v>13.024567901234567</v>
      </c>
      <c r="U347">
        <f t="shared" si="63"/>
        <v>20.799974446913581</v>
      </c>
      <c r="X347" s="9"/>
      <c r="Y347" s="21">
        <v>9.3078599999999997E-2</v>
      </c>
      <c r="Z347" s="21">
        <v>17.7514</v>
      </c>
      <c r="AA347" s="21">
        <v>-1.4566000000000001E-2</v>
      </c>
      <c r="AB347" s="21">
        <v>337</v>
      </c>
      <c r="AC347" s="21">
        <v>9.25903E-2</v>
      </c>
      <c r="AD347">
        <f t="shared" si="64"/>
        <v>17.982716049382717</v>
      </c>
      <c r="AE347">
        <f t="shared" si="65"/>
        <v>1.6738060340740741</v>
      </c>
      <c r="AF347" s="9"/>
      <c r="AG347" s="21">
        <v>1.5969800000000001</v>
      </c>
      <c r="AH347" s="21">
        <v>21.5505</v>
      </c>
      <c r="AI347" s="21">
        <v>-1.04218E-2</v>
      </c>
      <c r="AJ347" s="21">
        <v>337</v>
      </c>
      <c r="AK347" s="21">
        <v>1.5966800000000001</v>
      </c>
      <c r="AL347">
        <f t="shared" si="66"/>
        <v>12.866419753086419</v>
      </c>
      <c r="AM347">
        <f t="shared" si="67"/>
        <v>20.547415017283949</v>
      </c>
      <c r="AP347" s="9"/>
      <c r="AQ347" s="21">
        <v>9.3078599999999997E-2</v>
      </c>
      <c r="AR347" s="21">
        <v>26.988700000000001</v>
      </c>
      <c r="AS347" s="21">
        <v>-1.4517199999999999E-2</v>
      </c>
      <c r="AT347" s="21">
        <v>337</v>
      </c>
      <c r="AU347" s="21">
        <v>9.2529299999999995E-2</v>
      </c>
      <c r="AV347">
        <f t="shared" si="68"/>
        <v>17.922469135802466</v>
      </c>
      <c r="AW347">
        <f t="shared" si="69"/>
        <v>1.6681983357037033</v>
      </c>
      <c r="AX347" s="9"/>
      <c r="AY347" s="21">
        <v>1.5969800000000001</v>
      </c>
      <c r="AZ347" s="21">
        <v>30.787700000000001</v>
      </c>
      <c r="BA347" s="21">
        <v>-1.03546E-2</v>
      </c>
      <c r="BB347" s="21">
        <v>337</v>
      </c>
      <c r="BC347" s="21">
        <v>1.5963700000000001</v>
      </c>
      <c r="BD347">
        <f t="shared" si="70"/>
        <v>12.783456790123456</v>
      </c>
      <c r="BE347">
        <f t="shared" si="71"/>
        <v>20.414924824691358</v>
      </c>
    </row>
    <row r="348" spans="6:57" x14ac:dyDescent="0.25">
      <c r="F348" s="9"/>
      <c r="G348" s="21">
        <v>8.8043200000000002E-2</v>
      </c>
      <c r="H348" s="21">
        <v>8.4003200000000007</v>
      </c>
      <c r="I348" s="21">
        <v>-1.4559900000000001E-2</v>
      </c>
      <c r="J348" s="21">
        <v>338</v>
      </c>
      <c r="K348" s="21">
        <v>8.7493899999999999E-2</v>
      </c>
      <c r="L348">
        <f t="shared" si="60"/>
        <v>17.975185185185186</v>
      </c>
      <c r="M348">
        <f t="shared" si="61"/>
        <v>1.5825928242962963</v>
      </c>
      <c r="N348" s="9"/>
      <c r="O348" s="21">
        <v>1.60202</v>
      </c>
      <c r="P348" s="21">
        <v>12.199400000000001</v>
      </c>
      <c r="Q348" s="21">
        <v>-1.04248E-2</v>
      </c>
      <c r="R348" s="21">
        <v>338</v>
      </c>
      <c r="S348" s="21">
        <v>1.6012599999999999</v>
      </c>
      <c r="T348">
        <f t="shared" si="62"/>
        <v>12.870123456790122</v>
      </c>
      <c r="U348">
        <f t="shared" si="63"/>
        <v>20.618195180246911</v>
      </c>
      <c r="X348" s="9"/>
      <c r="Y348" s="21">
        <v>8.8043200000000002E-2</v>
      </c>
      <c r="Z348" s="21">
        <v>17.761500000000002</v>
      </c>
      <c r="AA348" s="21">
        <v>-1.45691E-2</v>
      </c>
      <c r="AB348" s="21">
        <v>338</v>
      </c>
      <c r="AC348" s="21">
        <v>8.7463399999999997E-2</v>
      </c>
      <c r="AD348">
        <f t="shared" si="64"/>
        <v>17.98654320987654</v>
      </c>
      <c r="AE348">
        <f t="shared" si="65"/>
        <v>1.5835928211358024</v>
      </c>
      <c r="AF348" s="9"/>
      <c r="AG348" s="21">
        <v>1.60202</v>
      </c>
      <c r="AH348" s="21">
        <v>21.560600000000001</v>
      </c>
      <c r="AI348" s="21">
        <v>-1.0290499999999999E-2</v>
      </c>
      <c r="AJ348" s="21">
        <v>338</v>
      </c>
      <c r="AK348" s="21">
        <v>1.6012599999999999</v>
      </c>
      <c r="AL348">
        <f t="shared" si="66"/>
        <v>12.70432098765432</v>
      </c>
      <c r="AM348">
        <f t="shared" si="67"/>
        <v>20.352576308641975</v>
      </c>
      <c r="AP348" s="9"/>
      <c r="AQ348" s="21">
        <v>8.8043200000000002E-2</v>
      </c>
      <c r="AR348" s="21">
        <v>26.998699999999999</v>
      </c>
      <c r="AS348" s="21">
        <v>-1.4505000000000001E-2</v>
      </c>
      <c r="AT348" s="21">
        <v>338</v>
      </c>
      <c r="AU348" s="21">
        <v>8.7493899999999999E-2</v>
      </c>
      <c r="AV348">
        <f t="shared" si="68"/>
        <v>17.907407407407408</v>
      </c>
      <c r="AW348">
        <f t="shared" si="69"/>
        <v>1.5766254518518519</v>
      </c>
      <c r="AX348" s="9"/>
      <c r="AY348" s="21">
        <v>1.60202</v>
      </c>
      <c r="AZ348" s="21">
        <v>30.797799999999999</v>
      </c>
      <c r="BA348" s="21">
        <v>-1.02173E-2</v>
      </c>
      <c r="BB348" s="21">
        <v>338</v>
      </c>
      <c r="BC348" s="21">
        <v>1.6015600000000001</v>
      </c>
      <c r="BD348">
        <f t="shared" si="70"/>
        <v>12.613950617283949</v>
      </c>
      <c r="BE348">
        <f t="shared" si="71"/>
        <v>20.207801167901234</v>
      </c>
    </row>
    <row r="349" spans="6:57" x14ac:dyDescent="0.25">
      <c r="F349" s="9"/>
      <c r="G349" s="21">
        <v>8.3007800000000007E-2</v>
      </c>
      <c r="H349" s="21">
        <v>8.4103899999999996</v>
      </c>
      <c r="I349" s="21">
        <v>-1.4556899999999999E-2</v>
      </c>
      <c r="J349" s="21">
        <v>339</v>
      </c>
      <c r="K349" s="21">
        <v>8.2549999999999998E-2</v>
      </c>
      <c r="L349">
        <f t="shared" si="60"/>
        <v>17.971481481481479</v>
      </c>
      <c r="M349">
        <f t="shared" si="61"/>
        <v>1.4917731405185184</v>
      </c>
      <c r="N349" s="9"/>
      <c r="O349" s="21">
        <v>1.6070599999999999</v>
      </c>
      <c r="P349" s="21">
        <v>12.2094</v>
      </c>
      <c r="Q349" s="21">
        <v>-1.02997E-2</v>
      </c>
      <c r="R349" s="21">
        <v>339</v>
      </c>
      <c r="S349" s="21">
        <v>1.6064499999999999</v>
      </c>
      <c r="T349">
        <f t="shared" si="62"/>
        <v>12.715679012345678</v>
      </c>
      <c r="U349">
        <f t="shared" si="63"/>
        <v>20.434859113580245</v>
      </c>
      <c r="X349" s="9"/>
      <c r="Y349" s="21">
        <v>8.3007800000000007E-2</v>
      </c>
      <c r="Z349" s="21">
        <v>17.771599999999999</v>
      </c>
      <c r="AA349" s="21">
        <v>-1.4572099999999999E-2</v>
      </c>
      <c r="AB349" s="21">
        <v>339</v>
      </c>
      <c r="AC349" s="21">
        <v>8.2611100000000007E-2</v>
      </c>
      <c r="AD349">
        <f t="shared" si="64"/>
        <v>17.990246913580243</v>
      </c>
      <c r="AE349">
        <f t="shared" si="65"/>
        <v>1.4933308177530862</v>
      </c>
      <c r="AF349" s="9"/>
      <c r="AG349" s="21">
        <v>1.6070599999999999</v>
      </c>
      <c r="AH349" s="21">
        <v>21.570599999999999</v>
      </c>
      <c r="AI349" s="21">
        <v>-1.0153199999999999E-2</v>
      </c>
      <c r="AJ349" s="21">
        <v>339</v>
      </c>
      <c r="AK349" s="21">
        <v>1.6067499999999999</v>
      </c>
      <c r="AL349">
        <f t="shared" si="66"/>
        <v>12.534814814814814</v>
      </c>
      <c r="AM349">
        <f t="shared" si="67"/>
        <v>20.144199496296295</v>
      </c>
      <c r="AP349" s="9"/>
      <c r="AQ349" s="21">
        <v>8.3007800000000007E-2</v>
      </c>
      <c r="AR349" s="21">
        <v>27.008800000000001</v>
      </c>
      <c r="AS349" s="21">
        <v>-1.44989E-2</v>
      </c>
      <c r="AT349" s="21">
        <v>339</v>
      </c>
      <c r="AU349" s="21">
        <v>8.2489000000000007E-2</v>
      </c>
      <c r="AV349">
        <f t="shared" si="68"/>
        <v>17.899876543209874</v>
      </c>
      <c r="AW349">
        <f t="shared" si="69"/>
        <v>1.4858293721234568</v>
      </c>
      <c r="AX349" s="9"/>
      <c r="AY349" s="21">
        <v>1.6070599999999999</v>
      </c>
      <c r="AZ349" s="21">
        <v>30.8079</v>
      </c>
      <c r="BA349" s="21">
        <v>-1.0067700000000001E-2</v>
      </c>
      <c r="BB349" s="21">
        <v>339</v>
      </c>
      <c r="BC349" s="21">
        <v>1.6064499999999999</v>
      </c>
      <c r="BD349">
        <f t="shared" si="70"/>
        <v>12.429259259259259</v>
      </c>
      <c r="BE349">
        <f t="shared" si="71"/>
        <v>19.974565385185183</v>
      </c>
    </row>
    <row r="350" spans="6:57" x14ac:dyDescent="0.25">
      <c r="F350" s="9"/>
      <c r="G350" s="21">
        <v>7.7972399999999997E-2</v>
      </c>
      <c r="H350" s="21">
        <v>8.4204600000000003</v>
      </c>
      <c r="I350" s="21">
        <v>-1.45538E-2</v>
      </c>
      <c r="J350" s="21">
        <v>340</v>
      </c>
      <c r="K350" s="21">
        <v>7.7453599999999997E-2</v>
      </c>
      <c r="L350">
        <f t="shared" si="60"/>
        <v>17.967654320987652</v>
      </c>
      <c r="M350">
        <f t="shared" si="61"/>
        <v>1.4009811297777774</v>
      </c>
      <c r="N350" s="9"/>
      <c r="O350" s="21">
        <v>1.61209</v>
      </c>
      <c r="P350" s="21">
        <v>12.2195</v>
      </c>
      <c r="Q350" s="21">
        <v>-1.01654E-2</v>
      </c>
      <c r="R350" s="21">
        <v>340</v>
      </c>
      <c r="S350" s="21">
        <v>1.6110199999999999</v>
      </c>
      <c r="T350">
        <f t="shared" si="62"/>
        <v>12.549876543209876</v>
      </c>
      <c r="U350">
        <f t="shared" si="63"/>
        <v>20.23153047654321</v>
      </c>
      <c r="X350" s="9"/>
      <c r="Y350" s="21">
        <v>7.7972399999999997E-2</v>
      </c>
      <c r="Z350" s="21">
        <v>17.781700000000001</v>
      </c>
      <c r="AA350" s="21">
        <v>-1.4572099999999999E-2</v>
      </c>
      <c r="AB350" s="21">
        <v>340</v>
      </c>
      <c r="AC350" s="21">
        <v>7.7392600000000006E-2</v>
      </c>
      <c r="AD350">
        <f t="shared" si="64"/>
        <v>17.990246913580243</v>
      </c>
      <c r="AE350">
        <f t="shared" si="65"/>
        <v>1.402742728444444</v>
      </c>
      <c r="AF350" s="9"/>
      <c r="AG350" s="21">
        <v>1.61209</v>
      </c>
      <c r="AH350" s="21">
        <v>21.5807</v>
      </c>
      <c r="AI350" s="21">
        <v>-1.00067E-2</v>
      </c>
      <c r="AJ350" s="21">
        <v>340</v>
      </c>
      <c r="AK350" s="21">
        <v>1.6119399999999999</v>
      </c>
      <c r="AL350">
        <f t="shared" si="66"/>
        <v>12.353950617283949</v>
      </c>
      <c r="AM350">
        <f t="shared" si="67"/>
        <v>19.915680250617282</v>
      </c>
      <c r="AP350" s="9"/>
      <c r="AQ350" s="21">
        <v>7.7972399999999997E-2</v>
      </c>
      <c r="AR350" s="21">
        <v>27.018899999999999</v>
      </c>
      <c r="AS350" s="21">
        <v>-1.44928E-2</v>
      </c>
      <c r="AT350" s="21">
        <v>340</v>
      </c>
      <c r="AU350" s="21">
        <v>7.7331499999999997E-2</v>
      </c>
      <c r="AV350">
        <f t="shared" si="68"/>
        <v>17.892345679012344</v>
      </c>
      <c r="AW350">
        <f t="shared" si="69"/>
        <v>1.3951091342222219</v>
      </c>
      <c r="AX350" s="9"/>
      <c r="AY350" s="21">
        <v>1.61209</v>
      </c>
      <c r="AZ350" s="21">
        <v>30.817900000000002</v>
      </c>
      <c r="BA350" s="21">
        <v>-9.9090600000000008E-3</v>
      </c>
      <c r="BB350" s="21">
        <v>340</v>
      </c>
      <c r="BC350" s="21">
        <v>1.6113299999999999</v>
      </c>
      <c r="BD350">
        <f t="shared" si="70"/>
        <v>12.233407407407409</v>
      </c>
      <c r="BE350">
        <f t="shared" si="71"/>
        <v>19.721353747407409</v>
      </c>
    </row>
    <row r="351" spans="6:57" x14ac:dyDescent="0.25">
      <c r="F351" s="9"/>
      <c r="G351" s="21">
        <v>7.2937000000000002E-2</v>
      </c>
      <c r="H351" s="21">
        <v>8.4305299999999992</v>
      </c>
      <c r="I351" s="21">
        <v>-1.4563E-2</v>
      </c>
      <c r="J351" s="21">
        <v>341</v>
      </c>
      <c r="K351" s="21">
        <v>7.2387699999999999E-2</v>
      </c>
      <c r="L351">
        <f t="shared" si="60"/>
        <v>17.979012345679013</v>
      </c>
      <c r="M351">
        <f t="shared" si="61"/>
        <v>1.3113352234567903</v>
      </c>
      <c r="N351" s="9"/>
      <c r="O351" s="21">
        <v>1.61713</v>
      </c>
      <c r="P351" s="21">
        <v>12.2296</v>
      </c>
      <c r="Q351" s="21">
        <v>-1.0022E-2</v>
      </c>
      <c r="R351" s="21">
        <v>341</v>
      </c>
      <c r="S351" s="21">
        <v>1.6162099999999999</v>
      </c>
      <c r="T351">
        <f t="shared" si="62"/>
        <v>12.372839506172838</v>
      </c>
      <c r="U351">
        <f t="shared" si="63"/>
        <v>20.008489950617282</v>
      </c>
      <c r="X351" s="9"/>
      <c r="Y351" s="21">
        <v>7.2937000000000002E-2</v>
      </c>
      <c r="Z351" s="21">
        <v>17.791699999999999</v>
      </c>
      <c r="AA351" s="21">
        <v>-1.4584400000000001E-2</v>
      </c>
      <c r="AB351" s="21">
        <v>341</v>
      </c>
      <c r="AC351" s="21">
        <v>7.2418200000000002E-2</v>
      </c>
      <c r="AD351">
        <f t="shared" si="64"/>
        <v>18.005432098765432</v>
      </c>
      <c r="AE351">
        <f t="shared" si="65"/>
        <v>1.3132622009876544</v>
      </c>
      <c r="AF351" s="9"/>
      <c r="AG351" s="21">
        <v>1.61713</v>
      </c>
      <c r="AH351" s="21">
        <v>21.590800000000002</v>
      </c>
      <c r="AI351" s="21">
        <v>-9.85107E-3</v>
      </c>
      <c r="AJ351" s="21">
        <v>341</v>
      </c>
      <c r="AK351" s="21">
        <v>1.6168199999999999</v>
      </c>
      <c r="AL351">
        <f t="shared" si="66"/>
        <v>12.161814814814814</v>
      </c>
      <c r="AM351">
        <f t="shared" si="67"/>
        <v>19.667235591481479</v>
      </c>
      <c r="AP351" s="9"/>
      <c r="AQ351" s="21">
        <v>7.2937000000000002E-2</v>
      </c>
      <c r="AR351" s="21">
        <v>27.029</v>
      </c>
      <c r="AS351" s="21">
        <v>-1.44958E-2</v>
      </c>
      <c r="AT351" s="21">
        <v>341</v>
      </c>
      <c r="AU351" s="21">
        <v>7.2448700000000005E-2</v>
      </c>
      <c r="AV351">
        <f t="shared" si="68"/>
        <v>17.896049382716047</v>
      </c>
      <c r="AW351">
        <f t="shared" si="69"/>
        <v>1.3052841538271605</v>
      </c>
      <c r="AX351" s="9"/>
      <c r="AY351" s="21">
        <v>1.61713</v>
      </c>
      <c r="AZ351" s="21">
        <v>30.827999999999999</v>
      </c>
      <c r="BA351" s="21">
        <v>-9.7473100000000003E-3</v>
      </c>
      <c r="BB351" s="21">
        <v>341</v>
      </c>
      <c r="BC351" s="21">
        <v>1.6162099999999999</v>
      </c>
      <c r="BD351">
        <f t="shared" si="70"/>
        <v>12.033716049382717</v>
      </c>
      <c r="BE351">
        <f t="shared" si="71"/>
        <v>19.460083234938271</v>
      </c>
    </row>
    <row r="352" spans="6:57" x14ac:dyDescent="0.25">
      <c r="F352" s="9"/>
      <c r="G352" s="21">
        <v>6.7901600000000006E-2</v>
      </c>
      <c r="H352" s="21">
        <v>8.4405999999999999</v>
      </c>
      <c r="I352" s="21">
        <v>-1.45752E-2</v>
      </c>
      <c r="J352" s="21">
        <v>342</v>
      </c>
      <c r="K352" s="21">
        <v>6.7413299999999995E-2</v>
      </c>
      <c r="L352">
        <f t="shared" si="60"/>
        <v>17.994074074074071</v>
      </c>
      <c r="M352">
        <f t="shared" si="61"/>
        <v>1.2218264201481481</v>
      </c>
      <c r="N352" s="9"/>
      <c r="O352" s="21">
        <v>1.62216</v>
      </c>
      <c r="P352" s="21">
        <v>12.239699999999999</v>
      </c>
      <c r="Q352" s="21">
        <v>-9.8602299999999993E-3</v>
      </c>
      <c r="R352" s="21">
        <v>342</v>
      </c>
      <c r="S352" s="21">
        <v>1.62079</v>
      </c>
      <c r="T352">
        <f t="shared" si="62"/>
        <v>12.173123456790123</v>
      </c>
      <c r="U352">
        <f t="shared" si="63"/>
        <v>19.746753946666665</v>
      </c>
      <c r="X352" s="9"/>
      <c r="Y352" s="21">
        <v>6.7901600000000006E-2</v>
      </c>
      <c r="Z352" s="21">
        <v>17.8018</v>
      </c>
      <c r="AA352" s="21">
        <v>-1.4590499999999999E-2</v>
      </c>
      <c r="AB352" s="21">
        <v>342</v>
      </c>
      <c r="AC352" s="21">
        <v>6.7138699999999996E-2</v>
      </c>
      <c r="AD352">
        <f t="shared" si="64"/>
        <v>18.012962962962959</v>
      </c>
      <c r="AE352">
        <f t="shared" si="65"/>
        <v>1.2231090059259258</v>
      </c>
      <c r="AF352" s="9"/>
      <c r="AG352" s="21">
        <v>1.62216</v>
      </c>
      <c r="AH352" s="21">
        <v>21.6008</v>
      </c>
      <c r="AI352" s="21">
        <v>-9.6832299999999993E-3</v>
      </c>
      <c r="AJ352" s="21">
        <v>342</v>
      </c>
      <c r="AK352" s="21">
        <v>1.6216999999999999</v>
      </c>
      <c r="AL352">
        <f t="shared" si="66"/>
        <v>11.954604938271604</v>
      </c>
      <c r="AM352">
        <f t="shared" si="67"/>
        <v>19.392281946666667</v>
      </c>
      <c r="AP352" s="9"/>
      <c r="AQ352" s="21">
        <v>6.7901600000000006E-2</v>
      </c>
      <c r="AR352" s="21">
        <v>27.039000000000001</v>
      </c>
      <c r="AS352" s="21">
        <v>-1.44989E-2</v>
      </c>
      <c r="AT352" s="21">
        <v>342</v>
      </c>
      <c r="AU352" s="21">
        <v>6.7474400000000004E-2</v>
      </c>
      <c r="AV352">
        <f t="shared" si="68"/>
        <v>17.899876543209874</v>
      </c>
      <c r="AW352">
        <f t="shared" si="69"/>
        <v>1.2154302570864197</v>
      </c>
      <c r="AX352" s="9"/>
      <c r="AY352" s="21">
        <v>1.62216</v>
      </c>
      <c r="AZ352" s="21">
        <v>30.838100000000001</v>
      </c>
      <c r="BA352" s="21">
        <v>-9.5733599999999995E-3</v>
      </c>
      <c r="BB352" s="21">
        <v>342</v>
      </c>
      <c r="BC352" s="21">
        <v>1.6210899999999999</v>
      </c>
      <c r="BD352">
        <f t="shared" si="70"/>
        <v>11.818962962962962</v>
      </c>
      <c r="BE352">
        <f t="shared" si="71"/>
        <v>19.172248959999997</v>
      </c>
    </row>
    <row r="353" spans="6:57" x14ac:dyDescent="0.25">
      <c r="F353" s="9"/>
      <c r="G353" s="21">
        <v>6.2866199999999997E-2</v>
      </c>
      <c r="H353" s="21">
        <v>8.4506800000000002</v>
      </c>
      <c r="I353" s="21">
        <v>-1.45813E-2</v>
      </c>
      <c r="J353" s="21">
        <v>343</v>
      </c>
      <c r="K353" s="21">
        <v>6.2316900000000001E-2</v>
      </c>
      <c r="L353">
        <f t="shared" si="60"/>
        <v>18.001604938271605</v>
      </c>
      <c r="M353">
        <f t="shared" si="61"/>
        <v>1.1316924963703703</v>
      </c>
      <c r="N353" s="9"/>
      <c r="O353" s="21">
        <v>1.6272</v>
      </c>
      <c r="P353" s="21">
        <v>12.249700000000001</v>
      </c>
      <c r="Q353" s="21">
        <v>-9.6954299999999997E-3</v>
      </c>
      <c r="R353" s="21">
        <v>343</v>
      </c>
      <c r="S353" s="21">
        <v>1.62659</v>
      </c>
      <c r="T353">
        <f t="shared" si="62"/>
        <v>11.969666666666665</v>
      </c>
      <c r="U353">
        <f t="shared" si="63"/>
        <v>19.477041599999996</v>
      </c>
      <c r="X353" s="9"/>
      <c r="Y353" s="21">
        <v>6.2866199999999997E-2</v>
      </c>
      <c r="Z353" s="21">
        <v>17.811900000000001</v>
      </c>
      <c r="AA353" s="21">
        <v>-1.4593500000000001E-2</v>
      </c>
      <c r="AB353" s="21">
        <v>343</v>
      </c>
      <c r="AC353" s="21">
        <v>6.2347399999999997E-2</v>
      </c>
      <c r="AD353">
        <f t="shared" si="64"/>
        <v>18.016666666666666</v>
      </c>
      <c r="AE353">
        <f t="shared" si="65"/>
        <v>1.1326393699999999</v>
      </c>
      <c r="AF353" s="9"/>
      <c r="AG353" s="21">
        <v>1.6272</v>
      </c>
      <c r="AH353" s="21">
        <v>21.610900000000001</v>
      </c>
      <c r="AI353" s="21">
        <v>-9.5062299999999992E-3</v>
      </c>
      <c r="AJ353" s="21">
        <v>343</v>
      </c>
      <c r="AK353" s="21">
        <v>1.62659</v>
      </c>
      <c r="AL353">
        <f t="shared" si="66"/>
        <v>11.736086419753084</v>
      </c>
      <c r="AM353">
        <f t="shared" si="67"/>
        <v>19.096959822222217</v>
      </c>
      <c r="AP353" s="9"/>
      <c r="AQ353" s="21">
        <v>6.2866199999999997E-2</v>
      </c>
      <c r="AR353" s="21">
        <v>27.049099999999999</v>
      </c>
      <c r="AS353" s="21">
        <v>-1.4505000000000001E-2</v>
      </c>
      <c r="AT353" s="21">
        <v>343</v>
      </c>
      <c r="AU353" s="21">
        <v>6.2286399999999999E-2</v>
      </c>
      <c r="AV353">
        <f t="shared" si="68"/>
        <v>17.907407407407408</v>
      </c>
      <c r="AW353">
        <f t="shared" si="69"/>
        <v>1.1257706555555556</v>
      </c>
      <c r="AX353" s="9"/>
      <c r="AY353" s="21">
        <v>1.6272</v>
      </c>
      <c r="AZ353" s="21">
        <v>30.848099999999999</v>
      </c>
      <c r="BA353" s="21">
        <v>-9.3933100000000002E-3</v>
      </c>
      <c r="BB353" s="21">
        <v>343</v>
      </c>
      <c r="BC353" s="21">
        <v>1.62659</v>
      </c>
      <c r="BD353">
        <f t="shared" si="70"/>
        <v>11.596679012345678</v>
      </c>
      <c r="BE353">
        <f t="shared" si="71"/>
        <v>18.870116088888889</v>
      </c>
    </row>
    <row r="354" spans="6:57" x14ac:dyDescent="0.25">
      <c r="F354" s="9"/>
      <c r="G354" s="21">
        <v>5.7830800000000002E-2</v>
      </c>
      <c r="H354" s="21">
        <v>8.4607500000000009</v>
      </c>
      <c r="I354" s="21">
        <v>-1.4572099999999999E-2</v>
      </c>
      <c r="J354" s="21">
        <v>344</v>
      </c>
      <c r="K354" s="21">
        <v>5.7281499999999999E-2</v>
      </c>
      <c r="L354">
        <f t="shared" si="60"/>
        <v>17.990246913580243</v>
      </c>
      <c r="M354">
        <f t="shared" si="61"/>
        <v>1.0403903712098763</v>
      </c>
      <c r="N354" s="9"/>
      <c r="O354" s="21">
        <v>1.6322300000000001</v>
      </c>
      <c r="P354" s="21">
        <v>12.2598</v>
      </c>
      <c r="Q354" s="21">
        <v>-9.5184299999999996E-3</v>
      </c>
      <c r="R354" s="21">
        <v>344</v>
      </c>
      <c r="S354" s="21">
        <v>1.6311599999999999</v>
      </c>
      <c r="T354">
        <f t="shared" si="62"/>
        <v>11.751148148148149</v>
      </c>
      <c r="U354">
        <f t="shared" si="63"/>
        <v>19.180576541851853</v>
      </c>
      <c r="X354" s="9"/>
      <c r="Y354" s="21">
        <v>5.7830800000000002E-2</v>
      </c>
      <c r="Z354" s="21">
        <v>17.821899999999999</v>
      </c>
      <c r="AA354" s="21">
        <v>-1.4590499999999999E-2</v>
      </c>
      <c r="AB354" s="21">
        <v>344</v>
      </c>
      <c r="AC354" s="21">
        <v>5.7312000000000002E-2</v>
      </c>
      <c r="AD354">
        <f t="shared" si="64"/>
        <v>18.012962962962959</v>
      </c>
      <c r="AE354">
        <f t="shared" si="65"/>
        <v>1.0417040585185182</v>
      </c>
      <c r="AF354" s="9"/>
      <c r="AG354" s="21">
        <v>1.6322300000000001</v>
      </c>
      <c r="AH354" s="21">
        <v>21.620999999999999</v>
      </c>
      <c r="AI354" s="21">
        <v>-9.3139599999999996E-3</v>
      </c>
      <c r="AJ354" s="21">
        <v>344</v>
      </c>
      <c r="AK354" s="21">
        <v>1.6317699999999999</v>
      </c>
      <c r="AL354">
        <f t="shared" si="66"/>
        <v>11.498716049382715</v>
      </c>
      <c r="AM354">
        <f t="shared" si="67"/>
        <v>18.76854929728395</v>
      </c>
      <c r="AP354" s="9"/>
      <c r="AQ354" s="21">
        <v>5.7830800000000002E-2</v>
      </c>
      <c r="AR354" s="21">
        <v>27.059200000000001</v>
      </c>
      <c r="AS354" s="21">
        <v>-1.45142E-2</v>
      </c>
      <c r="AT354" s="21">
        <v>344</v>
      </c>
      <c r="AU354" s="21">
        <v>5.7312000000000002E-2</v>
      </c>
      <c r="AV354">
        <f t="shared" si="68"/>
        <v>17.918765432098763</v>
      </c>
      <c r="AW354">
        <f t="shared" si="69"/>
        <v>1.0362565399506172</v>
      </c>
      <c r="AX354" s="9"/>
      <c r="AY354" s="21">
        <v>1.6322300000000001</v>
      </c>
      <c r="AZ354" s="21">
        <v>30.8582</v>
      </c>
      <c r="BA354" s="21">
        <v>-9.1918899999999994E-3</v>
      </c>
      <c r="BB354" s="21">
        <v>344</v>
      </c>
      <c r="BC354" s="21">
        <v>1.6317699999999999</v>
      </c>
      <c r="BD354">
        <f t="shared" si="70"/>
        <v>11.348012345679011</v>
      </c>
      <c r="BE354">
        <f t="shared" si="71"/>
        <v>18.522566190987654</v>
      </c>
    </row>
    <row r="355" spans="6:57" x14ac:dyDescent="0.25">
      <c r="F355" s="9"/>
      <c r="G355" s="21">
        <v>5.2795399999999999E-2</v>
      </c>
      <c r="H355" s="21">
        <v>8.4708199999999998</v>
      </c>
      <c r="I355" s="21">
        <v>-1.4566000000000001E-2</v>
      </c>
      <c r="J355" s="21">
        <v>345</v>
      </c>
      <c r="K355" s="21">
        <v>5.2185099999999998E-2</v>
      </c>
      <c r="L355">
        <f t="shared" si="60"/>
        <v>17.982716049382717</v>
      </c>
      <c r="M355">
        <f t="shared" si="61"/>
        <v>0.94940468691358026</v>
      </c>
      <c r="N355" s="9"/>
      <c r="O355" s="21">
        <v>1.63727</v>
      </c>
      <c r="P355" s="21">
        <v>12.2699</v>
      </c>
      <c r="Q355" s="21">
        <v>-9.3322800000000001E-3</v>
      </c>
      <c r="R355" s="21">
        <v>345</v>
      </c>
      <c r="S355" s="21">
        <v>1.63605</v>
      </c>
      <c r="T355">
        <f t="shared" si="62"/>
        <v>11.521333333333333</v>
      </c>
      <c r="U355">
        <f t="shared" si="63"/>
        <v>18.863533426666667</v>
      </c>
      <c r="X355" s="9"/>
      <c r="Y355" s="21">
        <v>5.2795399999999999E-2</v>
      </c>
      <c r="Z355" s="21">
        <v>17.832000000000001</v>
      </c>
      <c r="AA355" s="21">
        <v>-1.4593500000000001E-2</v>
      </c>
      <c r="AB355" s="21">
        <v>345</v>
      </c>
      <c r="AC355" s="21">
        <v>5.2307100000000002E-2</v>
      </c>
      <c r="AD355">
        <f t="shared" si="64"/>
        <v>18.016666666666666</v>
      </c>
      <c r="AE355">
        <f t="shared" si="65"/>
        <v>0.95119712333333328</v>
      </c>
      <c r="AF355" s="9"/>
      <c r="AG355" s="21">
        <v>1.63727</v>
      </c>
      <c r="AH355" s="21">
        <v>21.6311</v>
      </c>
      <c r="AI355" s="21">
        <v>-9.1094999999999995E-3</v>
      </c>
      <c r="AJ355" s="21">
        <v>345</v>
      </c>
      <c r="AK355" s="21">
        <v>1.63635</v>
      </c>
      <c r="AL355">
        <f t="shared" si="66"/>
        <v>11.246296296296293</v>
      </c>
      <c r="AM355">
        <f t="shared" si="67"/>
        <v>18.413223537037034</v>
      </c>
      <c r="AP355" s="9"/>
      <c r="AQ355" s="21">
        <v>5.2795399999999999E-2</v>
      </c>
      <c r="AR355" s="21">
        <v>27.069199999999999</v>
      </c>
      <c r="AS355" s="21">
        <v>-1.45203E-2</v>
      </c>
      <c r="AT355" s="21">
        <v>345</v>
      </c>
      <c r="AU355" s="21">
        <v>5.2276599999999999E-2</v>
      </c>
      <c r="AV355">
        <f t="shared" si="68"/>
        <v>17.926296296296293</v>
      </c>
      <c r="AW355">
        <f t="shared" si="69"/>
        <v>0.94642598348148133</v>
      </c>
      <c r="AX355" s="9"/>
      <c r="AY355" s="21">
        <v>1.63727</v>
      </c>
      <c r="AZ355" s="21">
        <v>30.868300000000001</v>
      </c>
      <c r="BA355" s="21">
        <v>-8.9843800000000001E-3</v>
      </c>
      <c r="BB355" s="21">
        <v>345</v>
      </c>
      <c r="BC355" s="21">
        <v>1.63605</v>
      </c>
      <c r="BD355">
        <f t="shared" si="70"/>
        <v>11.091827160493827</v>
      </c>
      <c r="BE355">
        <f t="shared" si="71"/>
        <v>18.160315855061729</v>
      </c>
    </row>
    <row r="356" spans="6:57" x14ac:dyDescent="0.25">
      <c r="F356" s="9"/>
      <c r="G356" s="21">
        <v>4.7759999999999997E-2</v>
      </c>
      <c r="H356" s="21">
        <v>8.4808900000000005</v>
      </c>
      <c r="I356" s="21">
        <v>-1.45691E-2</v>
      </c>
      <c r="J356" s="21">
        <v>346</v>
      </c>
      <c r="K356" s="21">
        <v>4.7601299999999999E-2</v>
      </c>
      <c r="L356">
        <f t="shared" si="60"/>
        <v>17.98654320987654</v>
      </c>
      <c r="M356">
        <f t="shared" si="61"/>
        <v>0.85903730370370346</v>
      </c>
      <c r="N356" s="9"/>
      <c r="O356" s="21">
        <v>1.6423000000000001</v>
      </c>
      <c r="P356" s="21">
        <v>12.2799</v>
      </c>
      <c r="Q356" s="21">
        <v>-9.1125500000000005E-3</v>
      </c>
      <c r="R356" s="21">
        <v>346</v>
      </c>
      <c r="S356" s="21">
        <v>1.64185</v>
      </c>
      <c r="T356">
        <f t="shared" si="62"/>
        <v>11.250061728395062</v>
      </c>
      <c r="U356">
        <f t="shared" si="63"/>
        <v>18.475976376543212</v>
      </c>
      <c r="X356" s="9"/>
      <c r="Y356" s="21">
        <v>4.7759999999999997E-2</v>
      </c>
      <c r="Z356" s="21">
        <v>17.842099999999999</v>
      </c>
      <c r="AA356" s="21">
        <v>-1.4593500000000001E-2</v>
      </c>
      <c r="AB356" s="21">
        <v>346</v>
      </c>
      <c r="AC356" s="21">
        <v>4.7668500000000003E-2</v>
      </c>
      <c r="AD356">
        <f t="shared" si="64"/>
        <v>18.016666666666666</v>
      </c>
      <c r="AE356">
        <f t="shared" si="65"/>
        <v>0.86047599999999991</v>
      </c>
      <c r="AF356" s="9"/>
      <c r="AG356" s="21">
        <v>1.6423000000000001</v>
      </c>
      <c r="AH356" s="21">
        <v>21.641100000000002</v>
      </c>
      <c r="AI356" s="21">
        <v>-8.8928199999999992E-3</v>
      </c>
      <c r="AJ356" s="21">
        <v>346</v>
      </c>
      <c r="AK356" s="21">
        <v>1.64154</v>
      </c>
      <c r="AL356">
        <f t="shared" si="66"/>
        <v>10.978790123456788</v>
      </c>
      <c r="AM356">
        <f t="shared" si="67"/>
        <v>18.030467019753083</v>
      </c>
      <c r="AP356" s="9"/>
      <c r="AQ356" s="21">
        <v>4.7759999999999997E-2</v>
      </c>
      <c r="AR356" s="21">
        <v>27.0793</v>
      </c>
      <c r="AS356" s="21">
        <v>-1.45264E-2</v>
      </c>
      <c r="AT356" s="21">
        <v>346</v>
      </c>
      <c r="AU356" s="21">
        <v>4.7665399999999997E-2</v>
      </c>
      <c r="AV356">
        <f t="shared" si="68"/>
        <v>17.933827160493827</v>
      </c>
      <c r="AW356">
        <f t="shared" si="69"/>
        <v>0.85651958518518512</v>
      </c>
      <c r="AX356" s="9"/>
      <c r="AY356" s="21">
        <v>1.6423000000000001</v>
      </c>
      <c r="AZ356" s="21">
        <v>30.878399999999999</v>
      </c>
      <c r="BA356" s="21">
        <v>-8.7615999999999996E-3</v>
      </c>
      <c r="BB356" s="21">
        <v>346</v>
      </c>
      <c r="BC356" s="21">
        <v>1.64185</v>
      </c>
      <c r="BD356">
        <f t="shared" si="70"/>
        <v>10.816790123456789</v>
      </c>
      <c r="BE356">
        <f t="shared" si="71"/>
        <v>17.764414419753084</v>
      </c>
    </row>
    <row r="357" spans="6:57" x14ac:dyDescent="0.25">
      <c r="F357" s="9"/>
      <c r="G357" s="21">
        <v>4.2724600000000001E-2</v>
      </c>
      <c r="H357" s="21">
        <v>8.4909599999999994</v>
      </c>
      <c r="I357" s="21">
        <v>-1.45691E-2</v>
      </c>
      <c r="J357" s="21">
        <v>347</v>
      </c>
      <c r="K357" s="21">
        <v>4.2712399999999998E-2</v>
      </c>
      <c r="L357">
        <f t="shared" si="60"/>
        <v>17.98654320987654</v>
      </c>
      <c r="M357">
        <f t="shared" si="61"/>
        <v>0.76846786402469125</v>
      </c>
      <c r="N357" s="9"/>
      <c r="O357" s="21">
        <v>1.64734</v>
      </c>
      <c r="P357" s="21">
        <v>12.29</v>
      </c>
      <c r="Q357" s="21">
        <v>-8.8958700000000002E-3</v>
      </c>
      <c r="R357" s="21">
        <v>347</v>
      </c>
      <c r="S357" s="21">
        <v>1.64642</v>
      </c>
      <c r="T357">
        <f t="shared" si="62"/>
        <v>10.982555555555555</v>
      </c>
      <c r="U357">
        <f t="shared" si="63"/>
        <v>18.092003068888889</v>
      </c>
      <c r="X357" s="9"/>
      <c r="Y357" s="21">
        <v>4.2724600000000001E-2</v>
      </c>
      <c r="Z357" s="21">
        <v>17.8521</v>
      </c>
      <c r="AA357" s="21">
        <v>-1.4599600000000001E-2</v>
      </c>
      <c r="AB357" s="21">
        <v>347</v>
      </c>
      <c r="AC357" s="21">
        <v>4.2651399999999999E-2</v>
      </c>
      <c r="AD357">
        <f t="shared" si="64"/>
        <v>18.0241975308642</v>
      </c>
      <c r="AE357">
        <f t="shared" si="65"/>
        <v>0.77007662982716063</v>
      </c>
      <c r="AF357" s="9"/>
      <c r="AG357" s="21">
        <v>1.64734</v>
      </c>
      <c r="AH357" s="21">
        <v>21.651199999999999</v>
      </c>
      <c r="AI357" s="21">
        <v>-8.6547900000000007E-3</v>
      </c>
      <c r="AJ357" s="21">
        <v>347</v>
      </c>
      <c r="AK357" s="21">
        <v>1.64673</v>
      </c>
      <c r="AL357">
        <f t="shared" si="66"/>
        <v>10.684925925925926</v>
      </c>
      <c r="AM357">
        <f t="shared" si="67"/>
        <v>17.601705874814815</v>
      </c>
      <c r="AP357" s="9"/>
      <c r="AQ357" s="21">
        <v>4.2724600000000001E-2</v>
      </c>
      <c r="AR357" s="21">
        <v>27.089400000000001</v>
      </c>
      <c r="AS357" s="21">
        <v>-1.45264E-2</v>
      </c>
      <c r="AT357" s="21">
        <v>347</v>
      </c>
      <c r="AU357" s="21">
        <v>4.2773400000000003E-2</v>
      </c>
      <c r="AV357">
        <f t="shared" si="68"/>
        <v>17.933827160493827</v>
      </c>
      <c r="AW357">
        <f t="shared" si="69"/>
        <v>0.76621559190123456</v>
      </c>
      <c r="AX357" s="9"/>
      <c r="AY357" s="21">
        <v>1.64734</v>
      </c>
      <c r="AZ357" s="21">
        <v>30.888400000000001</v>
      </c>
      <c r="BA357" s="21">
        <v>-8.5266100000000004E-3</v>
      </c>
      <c r="BB357" s="21">
        <v>347</v>
      </c>
      <c r="BC357" s="21">
        <v>1.64612</v>
      </c>
      <c r="BD357">
        <f t="shared" si="70"/>
        <v>10.52667901234568</v>
      </c>
      <c r="BE357">
        <f t="shared" si="71"/>
        <v>17.341019404197532</v>
      </c>
    </row>
    <row r="358" spans="6:57" x14ac:dyDescent="0.25">
      <c r="F358" s="9"/>
      <c r="G358" s="21">
        <v>3.7689199999999999E-2</v>
      </c>
      <c r="H358" s="21">
        <v>8.5010300000000001</v>
      </c>
      <c r="I358" s="21">
        <v>-1.45752E-2</v>
      </c>
      <c r="J358" s="21">
        <v>348</v>
      </c>
      <c r="K358" s="21">
        <v>3.7631199999999997E-2</v>
      </c>
      <c r="L358">
        <f t="shared" si="60"/>
        <v>17.994074074074071</v>
      </c>
      <c r="M358">
        <f t="shared" si="61"/>
        <v>0.67818225659259246</v>
      </c>
      <c r="N358" s="9"/>
      <c r="O358" s="21">
        <v>1.6523699999999999</v>
      </c>
      <c r="P358" s="21">
        <v>12.3001</v>
      </c>
      <c r="Q358" s="21">
        <v>-8.6547900000000007E-3</v>
      </c>
      <c r="R358" s="21">
        <v>348</v>
      </c>
      <c r="S358" s="21">
        <v>1.6519200000000001</v>
      </c>
      <c r="T358">
        <f t="shared" si="62"/>
        <v>10.684925925925926</v>
      </c>
      <c r="U358">
        <f t="shared" si="63"/>
        <v>17.655451052222222</v>
      </c>
      <c r="X358" s="9"/>
      <c r="Y358" s="21">
        <v>3.7689199999999999E-2</v>
      </c>
      <c r="Z358" s="21">
        <v>17.862200000000001</v>
      </c>
      <c r="AA358" s="21">
        <v>-1.4593500000000001E-2</v>
      </c>
      <c r="AB358" s="21">
        <v>348</v>
      </c>
      <c r="AC358" s="21">
        <v>3.7658700000000003E-2</v>
      </c>
      <c r="AD358">
        <f t="shared" si="64"/>
        <v>18.016666666666666</v>
      </c>
      <c r="AE358">
        <f t="shared" si="65"/>
        <v>0.67903375333333327</v>
      </c>
      <c r="AF358" s="9"/>
      <c r="AG358" s="21">
        <v>1.6523699999999999</v>
      </c>
      <c r="AH358" s="21">
        <v>21.661300000000001</v>
      </c>
      <c r="AI358" s="21">
        <v>-8.3984400000000001E-3</v>
      </c>
      <c r="AJ358" s="21">
        <v>348</v>
      </c>
      <c r="AK358" s="21">
        <v>1.65161</v>
      </c>
      <c r="AL358">
        <f t="shared" si="66"/>
        <v>10.368444444444444</v>
      </c>
      <c r="AM358">
        <f t="shared" si="67"/>
        <v>17.132506546666665</v>
      </c>
      <c r="AP358" s="9"/>
      <c r="AQ358" s="21">
        <v>3.7689199999999999E-2</v>
      </c>
      <c r="AR358" s="21">
        <v>27.099399999999999</v>
      </c>
      <c r="AS358" s="21">
        <v>-1.45386E-2</v>
      </c>
      <c r="AT358" s="21">
        <v>348</v>
      </c>
      <c r="AU358" s="21">
        <v>3.7582400000000002E-2</v>
      </c>
      <c r="AV358">
        <f t="shared" si="68"/>
        <v>17.948888888888888</v>
      </c>
      <c r="AW358">
        <f t="shared" si="69"/>
        <v>0.67647926311111106</v>
      </c>
      <c r="AX358" s="9"/>
      <c r="AY358" s="21">
        <v>1.6523699999999999</v>
      </c>
      <c r="AZ358" s="21">
        <v>30.898499999999999</v>
      </c>
      <c r="BA358" s="21">
        <v>-8.2733200000000007E-3</v>
      </c>
      <c r="BB358" s="21">
        <v>348</v>
      </c>
      <c r="BC358" s="21">
        <v>1.6519200000000001</v>
      </c>
      <c r="BD358">
        <f t="shared" si="70"/>
        <v>10.213975308641976</v>
      </c>
      <c r="BE358">
        <f t="shared" si="71"/>
        <v>16.877266380740739</v>
      </c>
    </row>
    <row r="359" spans="6:57" x14ac:dyDescent="0.25">
      <c r="F359" s="9"/>
      <c r="G359" s="21">
        <v>3.2653799999999997E-2</v>
      </c>
      <c r="H359" s="21">
        <v>8.5111000000000008</v>
      </c>
      <c r="I359" s="21">
        <v>-1.4584400000000001E-2</v>
      </c>
      <c r="J359" s="21">
        <v>349</v>
      </c>
      <c r="K359" s="21">
        <v>3.2553100000000001E-2</v>
      </c>
      <c r="L359">
        <f t="shared" si="60"/>
        <v>18.005432098765432</v>
      </c>
      <c r="M359">
        <f t="shared" si="61"/>
        <v>0.58794577866666664</v>
      </c>
      <c r="N359" s="9"/>
      <c r="O359" s="21">
        <v>1.65741</v>
      </c>
      <c r="P359" s="21">
        <v>12.3101</v>
      </c>
      <c r="Q359" s="21">
        <v>-8.3953900000000008E-3</v>
      </c>
      <c r="R359" s="21">
        <v>349</v>
      </c>
      <c r="S359" s="21">
        <v>1.65649</v>
      </c>
      <c r="T359">
        <f t="shared" si="62"/>
        <v>10.364679012345681</v>
      </c>
      <c r="U359">
        <f t="shared" si="63"/>
        <v>17.178522641851856</v>
      </c>
      <c r="X359" s="9"/>
      <c r="Y359" s="21">
        <v>3.2653799999999997E-2</v>
      </c>
      <c r="Z359" s="21">
        <v>17.872299999999999</v>
      </c>
      <c r="AA359" s="21">
        <v>-1.4590499999999999E-2</v>
      </c>
      <c r="AB359" s="21">
        <v>349</v>
      </c>
      <c r="AC359" s="21">
        <v>3.2397500000000003E-2</v>
      </c>
      <c r="AD359">
        <f t="shared" si="64"/>
        <v>18.012962962962959</v>
      </c>
      <c r="AE359">
        <f t="shared" si="65"/>
        <v>0.58819168999999982</v>
      </c>
      <c r="AF359" s="9"/>
      <c r="AG359" s="21">
        <v>1.65741</v>
      </c>
      <c r="AH359" s="21">
        <v>21.671299999999999</v>
      </c>
      <c r="AI359" s="21">
        <v>-8.1146199999999995E-3</v>
      </c>
      <c r="AJ359" s="21">
        <v>349</v>
      </c>
      <c r="AK359" s="21">
        <v>1.6568000000000001</v>
      </c>
      <c r="AL359">
        <f t="shared" si="66"/>
        <v>10.018049382716047</v>
      </c>
      <c r="AM359">
        <f t="shared" si="67"/>
        <v>16.604015227407405</v>
      </c>
      <c r="AP359" s="9"/>
      <c r="AQ359" s="21">
        <v>3.2653799999999997E-2</v>
      </c>
      <c r="AR359" s="21">
        <v>27.109500000000001</v>
      </c>
      <c r="AS359" s="21">
        <v>-1.4550799999999999E-2</v>
      </c>
      <c r="AT359" s="21">
        <v>349</v>
      </c>
      <c r="AU359" s="21">
        <v>3.2601900000000003E-2</v>
      </c>
      <c r="AV359">
        <f t="shared" si="68"/>
        <v>17.963950617283949</v>
      </c>
      <c r="AW359">
        <f t="shared" si="69"/>
        <v>0.58659125066666651</v>
      </c>
      <c r="AX359" s="9"/>
      <c r="AY359" s="21">
        <v>1.65741</v>
      </c>
      <c r="AZ359" s="21">
        <v>30.9086</v>
      </c>
      <c r="BA359" s="21">
        <v>-7.9986599999999995E-3</v>
      </c>
      <c r="BB359" s="21">
        <v>349</v>
      </c>
      <c r="BC359" s="21">
        <v>1.6568000000000001</v>
      </c>
      <c r="BD359">
        <f t="shared" si="70"/>
        <v>9.8748888888888882</v>
      </c>
      <c r="BE359">
        <f t="shared" si="71"/>
        <v>16.366739593333332</v>
      </c>
    </row>
    <row r="360" spans="6:57" x14ac:dyDescent="0.25">
      <c r="F360" s="9"/>
      <c r="G360" s="21">
        <v>2.7618400000000001E-2</v>
      </c>
      <c r="H360" s="21">
        <v>8.5211699999999997</v>
      </c>
      <c r="I360" s="21">
        <v>-1.4590499999999999E-2</v>
      </c>
      <c r="J360" s="21">
        <v>350</v>
      </c>
      <c r="K360" s="21">
        <v>2.7417E-2</v>
      </c>
      <c r="L360">
        <f t="shared" si="60"/>
        <v>18.012962962962959</v>
      </c>
      <c r="M360">
        <f t="shared" si="61"/>
        <v>0.49748921629629622</v>
      </c>
      <c r="N360" s="9"/>
      <c r="O360" s="21">
        <v>1.66245</v>
      </c>
      <c r="P360" s="21">
        <v>12.3202</v>
      </c>
      <c r="Q360" s="21">
        <v>-8.1176800000000004E-3</v>
      </c>
      <c r="R360" s="21">
        <v>350</v>
      </c>
      <c r="S360" s="21">
        <v>1.6619900000000001</v>
      </c>
      <c r="T360">
        <f t="shared" si="62"/>
        <v>10.021827160493826</v>
      </c>
      <c r="U360">
        <f t="shared" si="63"/>
        <v>16.660786562962961</v>
      </c>
      <c r="X360" s="9"/>
      <c r="Y360" s="21">
        <v>2.7618400000000001E-2</v>
      </c>
      <c r="Z360" s="21">
        <v>17.882400000000001</v>
      </c>
      <c r="AA360" s="21">
        <v>-1.4584400000000001E-2</v>
      </c>
      <c r="AB360" s="21">
        <v>350</v>
      </c>
      <c r="AC360" s="21">
        <v>2.7508500000000002E-2</v>
      </c>
      <c r="AD360">
        <f t="shared" si="64"/>
        <v>18.005432098765432</v>
      </c>
      <c r="AE360">
        <f t="shared" si="65"/>
        <v>0.49728122587654322</v>
      </c>
      <c r="AF360" s="9"/>
      <c r="AG360" s="21">
        <v>1.66245</v>
      </c>
      <c r="AH360" s="21">
        <v>21.6814</v>
      </c>
      <c r="AI360" s="21">
        <v>-7.8094499999999999E-3</v>
      </c>
      <c r="AJ360" s="21">
        <v>350</v>
      </c>
      <c r="AK360" s="21">
        <v>1.66168</v>
      </c>
      <c r="AL360">
        <f t="shared" si="66"/>
        <v>9.6412962962962947</v>
      </c>
      <c r="AM360">
        <f t="shared" si="67"/>
        <v>16.028173027777775</v>
      </c>
      <c r="AP360" s="9"/>
      <c r="AQ360" s="21">
        <v>2.7618400000000001E-2</v>
      </c>
      <c r="AR360" s="21">
        <v>27.119599999999998</v>
      </c>
      <c r="AS360" s="21">
        <v>-1.4566000000000001E-2</v>
      </c>
      <c r="AT360" s="21">
        <v>350</v>
      </c>
      <c r="AU360" s="21">
        <v>2.7606200000000001E-2</v>
      </c>
      <c r="AV360">
        <f t="shared" si="68"/>
        <v>17.982716049382717</v>
      </c>
      <c r="AW360">
        <f t="shared" si="69"/>
        <v>0.49665384493827164</v>
      </c>
      <c r="AX360" s="9"/>
      <c r="AY360" s="21">
        <v>1.66245</v>
      </c>
      <c r="AZ360" s="21">
        <v>30.918600000000001</v>
      </c>
      <c r="BA360" s="21">
        <v>-7.69653E-3</v>
      </c>
      <c r="BB360" s="21">
        <v>350</v>
      </c>
      <c r="BC360" s="21">
        <v>1.66168</v>
      </c>
      <c r="BD360">
        <f t="shared" si="70"/>
        <v>9.5018888888888871</v>
      </c>
      <c r="BE360">
        <f t="shared" si="71"/>
        <v>15.79641518333333</v>
      </c>
    </row>
    <row r="361" spans="6:57" x14ac:dyDescent="0.25">
      <c r="F361" s="9"/>
      <c r="G361" s="21">
        <v>2.2582999999999999E-2</v>
      </c>
      <c r="H361" s="21">
        <v>8.5312400000000004</v>
      </c>
      <c r="I361" s="21">
        <v>-1.4593500000000001E-2</v>
      </c>
      <c r="J361" s="21">
        <v>351</v>
      </c>
      <c r="K361" s="21">
        <v>2.2436500000000002E-2</v>
      </c>
      <c r="L361">
        <f t="shared" si="60"/>
        <v>18.016666666666666</v>
      </c>
      <c r="M361">
        <f t="shared" si="61"/>
        <v>0.40687038333333331</v>
      </c>
      <c r="N361" s="9"/>
      <c r="O361" s="21">
        <v>1.6674800000000001</v>
      </c>
      <c r="P361" s="21">
        <v>12.330299999999999</v>
      </c>
      <c r="Q361" s="21">
        <v>-7.8247100000000003E-3</v>
      </c>
      <c r="R361" s="21">
        <v>351</v>
      </c>
      <c r="S361" s="21">
        <v>1.66656</v>
      </c>
      <c r="T361">
        <f t="shared" si="62"/>
        <v>9.6601358024691351</v>
      </c>
      <c r="U361">
        <f t="shared" si="63"/>
        <v>16.108083247901234</v>
      </c>
      <c r="X361" s="9"/>
      <c r="Y361" s="21">
        <v>2.2582999999999999E-2</v>
      </c>
      <c r="Z361" s="21">
        <v>17.892399999999999</v>
      </c>
      <c r="AA361" s="21">
        <v>-1.45966E-2</v>
      </c>
      <c r="AB361" s="21">
        <v>351</v>
      </c>
      <c r="AC361" s="21">
        <v>2.2436500000000002E-2</v>
      </c>
      <c r="AD361">
        <f t="shared" si="64"/>
        <v>18.020493827160493</v>
      </c>
      <c r="AE361">
        <f t="shared" si="65"/>
        <v>0.40695681209876539</v>
      </c>
      <c r="AF361" s="9"/>
      <c r="AG361" s="21">
        <v>1.6674800000000001</v>
      </c>
      <c r="AH361" s="21">
        <v>21.691500000000001</v>
      </c>
      <c r="AI361" s="21">
        <v>-7.4798599999999996E-3</v>
      </c>
      <c r="AJ361" s="21">
        <v>351</v>
      </c>
      <c r="AK361" s="21">
        <v>1.6668700000000001</v>
      </c>
      <c r="AL361">
        <f t="shared" si="66"/>
        <v>9.2343950617283941</v>
      </c>
      <c r="AM361">
        <f t="shared" si="67"/>
        <v>15.398169077530863</v>
      </c>
      <c r="AP361" s="9"/>
      <c r="AQ361" s="21">
        <v>2.2582999999999999E-2</v>
      </c>
      <c r="AR361" s="21">
        <v>27.1297</v>
      </c>
      <c r="AS361" s="21">
        <v>-1.4578199999999999E-2</v>
      </c>
      <c r="AT361" s="21">
        <v>351</v>
      </c>
      <c r="AU361" s="21">
        <v>2.2390699999999999E-2</v>
      </c>
      <c r="AV361">
        <f t="shared" si="68"/>
        <v>17.997777777777777</v>
      </c>
      <c r="AW361">
        <f t="shared" si="69"/>
        <v>0.40644381555555553</v>
      </c>
      <c r="AX361" s="9"/>
      <c r="AY361" s="21">
        <v>1.6674800000000001</v>
      </c>
      <c r="AZ361" s="21">
        <v>30.928699999999999</v>
      </c>
      <c r="BA361" s="21">
        <v>-7.3669399999999998E-3</v>
      </c>
      <c r="BB361" s="21">
        <v>351</v>
      </c>
      <c r="BC361" s="21">
        <v>1.6668700000000001</v>
      </c>
      <c r="BD361">
        <f t="shared" si="70"/>
        <v>9.0949876543209864</v>
      </c>
      <c r="BE361">
        <f t="shared" si="71"/>
        <v>15.165710013827159</v>
      </c>
    </row>
    <row r="362" spans="6:57" x14ac:dyDescent="0.25">
      <c r="F362" s="9"/>
      <c r="G362" s="21">
        <v>1.75476E-2</v>
      </c>
      <c r="H362" s="21">
        <v>8.5413099999999993</v>
      </c>
      <c r="I362" s="21">
        <v>-1.4590499999999999E-2</v>
      </c>
      <c r="J362" s="21">
        <v>352</v>
      </c>
      <c r="K362" s="21">
        <v>1.75201E-2</v>
      </c>
      <c r="L362">
        <f t="shared" si="60"/>
        <v>18.012962962962959</v>
      </c>
      <c r="M362">
        <f t="shared" si="61"/>
        <v>0.3160842688888888</v>
      </c>
      <c r="N362" s="9"/>
      <c r="O362" s="21">
        <v>1.67252</v>
      </c>
      <c r="P362" s="21">
        <v>12.340400000000001</v>
      </c>
      <c r="Q362" s="21">
        <v>-7.4951200000000001E-3</v>
      </c>
      <c r="R362" s="21">
        <v>352</v>
      </c>
      <c r="S362" s="21">
        <v>1.6720600000000001</v>
      </c>
      <c r="T362">
        <f t="shared" si="62"/>
        <v>9.2532345679012344</v>
      </c>
      <c r="U362">
        <f t="shared" si="63"/>
        <v>15.476219879506173</v>
      </c>
      <c r="X362" s="9"/>
      <c r="Y362" s="21">
        <v>1.75476E-2</v>
      </c>
      <c r="Z362" s="21">
        <v>17.9025</v>
      </c>
      <c r="AA362" s="21">
        <v>-1.4605699999999999E-2</v>
      </c>
      <c r="AB362" s="21">
        <v>352</v>
      </c>
      <c r="AC362" s="21">
        <v>1.7395000000000001E-2</v>
      </c>
      <c r="AD362">
        <f t="shared" si="64"/>
        <v>18.031728395061727</v>
      </c>
      <c r="AE362">
        <f t="shared" si="65"/>
        <v>0.31641355718518516</v>
      </c>
      <c r="AF362" s="9"/>
      <c r="AG362" s="21">
        <v>1.67252</v>
      </c>
      <c r="AH362" s="21">
        <v>21.701499999999999</v>
      </c>
      <c r="AI362" s="21">
        <v>-7.11365E-3</v>
      </c>
      <c r="AJ362" s="21">
        <v>352</v>
      </c>
      <c r="AK362" s="21">
        <v>1.6711400000000001</v>
      </c>
      <c r="AL362">
        <f t="shared" si="66"/>
        <v>8.7822839506172823</v>
      </c>
      <c r="AM362">
        <f t="shared" si="67"/>
        <v>14.688545553086417</v>
      </c>
      <c r="AP362" s="9"/>
      <c r="AQ362" s="21">
        <v>1.75476E-2</v>
      </c>
      <c r="AR362" s="21">
        <v>27.139700000000001</v>
      </c>
      <c r="AS362" s="21">
        <v>-1.45874E-2</v>
      </c>
      <c r="AT362" s="21">
        <v>352</v>
      </c>
      <c r="AU362" s="21">
        <v>1.7419400000000002E-2</v>
      </c>
      <c r="AV362">
        <f t="shared" si="68"/>
        <v>18.009135802469135</v>
      </c>
      <c r="AW362">
        <f t="shared" si="69"/>
        <v>0.3160171114074074</v>
      </c>
      <c r="AX362" s="9"/>
      <c r="AY362" s="21">
        <v>1.67252</v>
      </c>
      <c r="AZ362" s="21">
        <v>30.938800000000001</v>
      </c>
      <c r="BA362" s="21">
        <v>-7.0098900000000004E-3</v>
      </c>
      <c r="BB362" s="21">
        <v>352</v>
      </c>
      <c r="BC362" s="21">
        <v>1.6717500000000001</v>
      </c>
      <c r="BD362">
        <f t="shared" si="70"/>
        <v>8.6541851851851845</v>
      </c>
      <c r="BE362">
        <f t="shared" si="71"/>
        <v>14.474297805925925</v>
      </c>
    </row>
    <row r="363" spans="6:57" x14ac:dyDescent="0.25">
      <c r="F363" s="9"/>
      <c r="G363" s="21">
        <v>1.2512199999999999E-2</v>
      </c>
      <c r="H363" s="21">
        <v>8.5513899999999996</v>
      </c>
      <c r="I363" s="21">
        <v>-1.4590499999999999E-2</v>
      </c>
      <c r="J363" s="21">
        <v>353</v>
      </c>
      <c r="K363" s="21">
        <v>1.2301599999999999E-2</v>
      </c>
      <c r="L363">
        <f t="shared" si="60"/>
        <v>18.012962962962959</v>
      </c>
      <c r="M363">
        <f t="shared" si="61"/>
        <v>0.22538179518518511</v>
      </c>
      <c r="N363" s="9"/>
      <c r="O363" s="21">
        <v>1.6775500000000001</v>
      </c>
      <c r="P363" s="21">
        <v>12.3504</v>
      </c>
      <c r="Q363" s="21">
        <v>-7.1289099999999996E-3</v>
      </c>
      <c r="R363" s="21">
        <v>353</v>
      </c>
      <c r="S363" s="21">
        <v>1.6772499999999999</v>
      </c>
      <c r="T363">
        <f t="shared" si="62"/>
        <v>8.8011234567901226</v>
      </c>
      <c r="U363">
        <f t="shared" si="63"/>
        <v>14.764324654938271</v>
      </c>
      <c r="X363" s="9"/>
      <c r="Y363" s="21">
        <v>1.2512199999999999E-2</v>
      </c>
      <c r="Z363" s="21">
        <v>17.912600000000001</v>
      </c>
      <c r="AA363" s="21">
        <v>-1.46088E-2</v>
      </c>
      <c r="AB363" s="21">
        <v>353</v>
      </c>
      <c r="AC363" s="21">
        <v>1.2280299999999999E-2</v>
      </c>
      <c r="AD363">
        <f t="shared" si="64"/>
        <v>18.035555555555554</v>
      </c>
      <c r="AE363">
        <f t="shared" si="65"/>
        <v>0.22566447822222219</v>
      </c>
      <c r="AF363" s="9"/>
      <c r="AG363" s="21">
        <v>1.6775500000000001</v>
      </c>
      <c r="AH363" s="21">
        <v>21.711600000000001</v>
      </c>
      <c r="AI363" s="21">
        <v>-6.73523E-3</v>
      </c>
      <c r="AJ363" s="21">
        <v>353</v>
      </c>
      <c r="AK363" s="21">
        <v>1.6763300000000001</v>
      </c>
      <c r="AL363">
        <f t="shared" si="66"/>
        <v>8.3150987654320971</v>
      </c>
      <c r="AM363">
        <f t="shared" si="67"/>
        <v>13.948993933950616</v>
      </c>
      <c r="AP363" s="9"/>
      <c r="AQ363" s="21">
        <v>1.2512199999999999E-2</v>
      </c>
      <c r="AR363" s="21">
        <v>27.149799999999999</v>
      </c>
      <c r="AS363" s="21">
        <v>-1.4605699999999999E-2</v>
      </c>
      <c r="AT363" s="21">
        <v>353</v>
      </c>
      <c r="AU363" s="21">
        <v>1.24268E-2</v>
      </c>
      <c r="AV363">
        <f t="shared" si="68"/>
        <v>18.031728395061727</v>
      </c>
      <c r="AW363">
        <f t="shared" si="69"/>
        <v>0.22561659202469134</v>
      </c>
      <c r="AX363" s="9"/>
      <c r="AY363" s="21">
        <v>1.6775500000000001</v>
      </c>
      <c r="AZ363" s="21">
        <v>30.948799999999999</v>
      </c>
      <c r="BA363" s="21">
        <v>-6.6223100000000002E-3</v>
      </c>
      <c r="BB363" s="21">
        <v>353</v>
      </c>
      <c r="BC363" s="21">
        <v>1.6766399999999999</v>
      </c>
      <c r="BD363">
        <f t="shared" si="70"/>
        <v>8.1756913580246895</v>
      </c>
      <c r="BE363">
        <f t="shared" si="71"/>
        <v>13.715131037654318</v>
      </c>
    </row>
    <row r="364" spans="6:57" x14ac:dyDescent="0.25">
      <c r="F364" s="9"/>
      <c r="G364" s="21">
        <v>7.4768100000000004E-3</v>
      </c>
      <c r="H364" s="21">
        <v>8.5614600000000003</v>
      </c>
      <c r="I364" s="21">
        <v>-1.45966E-2</v>
      </c>
      <c r="J364" s="21">
        <v>354</v>
      </c>
      <c r="K364" s="21">
        <v>7.4005099999999999E-3</v>
      </c>
      <c r="L364">
        <f t="shared" si="60"/>
        <v>18.020493827160493</v>
      </c>
      <c r="M364">
        <f t="shared" si="61"/>
        <v>0.13473580845185185</v>
      </c>
      <c r="N364" s="9"/>
      <c r="O364" s="21">
        <v>1.68259</v>
      </c>
      <c r="P364" s="21">
        <v>12.3605</v>
      </c>
      <c r="Q364" s="21">
        <v>-6.7260699999999998E-3</v>
      </c>
      <c r="R364" s="21">
        <v>354</v>
      </c>
      <c r="S364" s="21">
        <v>1.6815199999999999</v>
      </c>
      <c r="T364">
        <f t="shared" si="62"/>
        <v>8.3037901234567908</v>
      </c>
      <c r="U364">
        <f t="shared" si="63"/>
        <v>13.971874223827163</v>
      </c>
      <c r="X364" s="9"/>
      <c r="Y364" s="21">
        <v>7.4768100000000004E-3</v>
      </c>
      <c r="Z364" s="21">
        <v>17.922599999999999</v>
      </c>
      <c r="AA364" s="21">
        <v>-1.46149E-2</v>
      </c>
      <c r="AB364" s="21">
        <v>354</v>
      </c>
      <c r="AC364" s="21">
        <v>7.3089599999999998E-3</v>
      </c>
      <c r="AD364">
        <f t="shared" si="64"/>
        <v>18.043086419753088</v>
      </c>
      <c r="AE364">
        <f t="shared" si="65"/>
        <v>0.1349047289740741</v>
      </c>
      <c r="AF364" s="9"/>
      <c r="AG364" s="21">
        <v>1.68259</v>
      </c>
      <c r="AH364" s="21">
        <v>21.721699999999998</v>
      </c>
      <c r="AI364" s="21">
        <v>-6.3171399999999997E-3</v>
      </c>
      <c r="AJ364" s="21">
        <v>354</v>
      </c>
      <c r="AK364" s="21">
        <v>1.6821299999999999</v>
      </c>
      <c r="AL364">
        <f t="shared" si="66"/>
        <v>7.7989382716049374</v>
      </c>
      <c r="AM364">
        <f t="shared" si="67"/>
        <v>13.122415546419752</v>
      </c>
      <c r="AP364" s="9"/>
      <c r="AQ364" s="21">
        <v>7.4768100000000004E-3</v>
      </c>
      <c r="AR364" s="21">
        <v>27.1599</v>
      </c>
      <c r="AS364" s="21">
        <v>-1.4611799999999999E-2</v>
      </c>
      <c r="AT364" s="21">
        <v>354</v>
      </c>
      <c r="AU364" s="21">
        <v>7.31506E-3</v>
      </c>
      <c r="AV364">
        <f t="shared" si="68"/>
        <v>18.039259259259257</v>
      </c>
      <c r="AW364">
        <f t="shared" si="69"/>
        <v>0.13487611402222222</v>
      </c>
      <c r="AX364" s="9"/>
      <c r="AY364" s="21">
        <v>1.68259</v>
      </c>
      <c r="AZ364" s="21">
        <v>30.9589</v>
      </c>
      <c r="BA364" s="21">
        <v>-6.17981E-3</v>
      </c>
      <c r="BB364" s="21">
        <v>354</v>
      </c>
      <c r="BC364" s="21">
        <v>1.6818200000000001</v>
      </c>
      <c r="BD364">
        <f t="shared" si="70"/>
        <v>7.6293950617283945</v>
      </c>
      <c r="BE364">
        <f t="shared" si="71"/>
        <v>12.83714383691358</v>
      </c>
    </row>
    <row r="365" spans="6:57" x14ac:dyDescent="0.25">
      <c r="F365" s="9"/>
      <c r="G365" s="21">
        <v>2.4414100000000002E-3</v>
      </c>
      <c r="H365" s="21">
        <v>8.5715299999999992</v>
      </c>
      <c r="I365" s="21">
        <v>-1.46027E-2</v>
      </c>
      <c r="J365" s="21">
        <v>355</v>
      </c>
      <c r="K365" s="21">
        <v>2.4108900000000002E-3</v>
      </c>
      <c r="L365">
        <f t="shared" si="60"/>
        <v>18.028024691358024</v>
      </c>
      <c r="M365">
        <f t="shared" si="61"/>
        <v>4.4013799761728395E-2</v>
      </c>
      <c r="N365" s="9"/>
      <c r="O365" s="21">
        <v>1.6876199999999999</v>
      </c>
      <c r="P365" s="21">
        <v>12.3706</v>
      </c>
      <c r="Q365" s="21">
        <v>-6.2652599999999999E-3</v>
      </c>
      <c r="R365" s="21">
        <v>355</v>
      </c>
      <c r="S365" s="21">
        <v>1.6873199999999999</v>
      </c>
      <c r="T365">
        <f t="shared" si="62"/>
        <v>7.7348888888888885</v>
      </c>
      <c r="U365">
        <f t="shared" si="63"/>
        <v>13.053553186666665</v>
      </c>
      <c r="X365" s="9"/>
      <c r="Y365" s="21">
        <v>2.4414100000000002E-3</v>
      </c>
      <c r="Z365" s="21">
        <v>17.932700000000001</v>
      </c>
      <c r="AA365" s="21">
        <v>-1.4624E-2</v>
      </c>
      <c r="AB365" s="21">
        <v>355</v>
      </c>
      <c r="AC365" s="21">
        <v>2.4444599999999999E-3</v>
      </c>
      <c r="AD365">
        <f t="shared" si="64"/>
        <v>18.054320987654318</v>
      </c>
      <c r="AE365">
        <f t="shared" si="65"/>
        <v>4.4077999802469132E-2</v>
      </c>
      <c r="AF365" s="9"/>
      <c r="AG365" s="21">
        <v>1.6876199999999999</v>
      </c>
      <c r="AH365" s="21">
        <v>21.7318</v>
      </c>
      <c r="AI365" s="21">
        <v>-5.8563199999999999E-3</v>
      </c>
      <c r="AJ365" s="21">
        <v>355</v>
      </c>
      <c r="AK365" s="21">
        <v>1.6863999999999999</v>
      </c>
      <c r="AL365">
        <f t="shared" si="66"/>
        <v>7.2300246913580244</v>
      </c>
      <c r="AM365">
        <f t="shared" si="67"/>
        <v>12.201534269629628</v>
      </c>
      <c r="AP365" s="9"/>
      <c r="AQ365" s="21">
        <v>2.4414100000000002E-3</v>
      </c>
      <c r="AR365" s="21">
        <v>27.169899999999998</v>
      </c>
      <c r="AS365" s="21">
        <v>-1.46179E-2</v>
      </c>
      <c r="AT365" s="21">
        <v>355</v>
      </c>
      <c r="AU365" s="21">
        <v>2.2857699999999999E-3</v>
      </c>
      <c r="AV365">
        <f t="shared" si="68"/>
        <v>18.046790123456791</v>
      </c>
      <c r="AW365">
        <f t="shared" si="69"/>
        <v>4.4059613875308649E-2</v>
      </c>
      <c r="AX365" s="9"/>
      <c r="AY365" s="21">
        <v>1.6876199999999999</v>
      </c>
      <c r="AZ365" s="21">
        <v>30.969000000000001</v>
      </c>
      <c r="BA365" s="21">
        <v>-5.7006799999999996E-3</v>
      </c>
      <c r="BB365" s="21">
        <v>355</v>
      </c>
      <c r="BC365" s="21">
        <v>1.6867099999999999</v>
      </c>
      <c r="BD365">
        <f t="shared" si="70"/>
        <v>7.037876543209876</v>
      </c>
      <c r="BE365">
        <f t="shared" si="71"/>
        <v>11.877261211851851</v>
      </c>
    </row>
    <row r="366" spans="6:57" x14ac:dyDescent="0.25">
      <c r="F366" s="9"/>
      <c r="G366" s="21">
        <v>-2.59399E-3</v>
      </c>
      <c r="H366" s="21">
        <v>8.5815999999999999</v>
      </c>
      <c r="I366" s="21">
        <v>-1.46027E-2</v>
      </c>
      <c r="J366" s="21">
        <v>356</v>
      </c>
      <c r="K366" s="21">
        <v>-2.82898E-3</v>
      </c>
      <c r="L366">
        <f t="shared" si="60"/>
        <v>18.028024691358024</v>
      </c>
      <c r="M366">
        <f t="shared" si="61"/>
        <v>-4.6764515769135796E-2</v>
      </c>
      <c r="N366" s="9"/>
      <c r="O366" s="21">
        <v>1.6926600000000001</v>
      </c>
      <c r="P366" s="21">
        <v>12.380599999999999</v>
      </c>
      <c r="Q366" s="21">
        <v>-5.7556200000000004E-3</v>
      </c>
      <c r="R366" s="21">
        <v>356</v>
      </c>
      <c r="S366" s="21">
        <v>1.6921999999999999</v>
      </c>
      <c r="T366">
        <f t="shared" si="62"/>
        <v>7.1057037037037034</v>
      </c>
      <c r="U366">
        <f t="shared" si="63"/>
        <v>12.027540431111111</v>
      </c>
      <c r="X366" s="9"/>
      <c r="Y366" s="21">
        <v>-2.59399E-3</v>
      </c>
      <c r="Z366" s="21">
        <v>17.942799999999998</v>
      </c>
      <c r="AA366" s="21">
        <v>-1.4633200000000001E-2</v>
      </c>
      <c r="AB366" s="21">
        <v>356</v>
      </c>
      <c r="AC366" s="21">
        <v>-2.7954099999999999E-3</v>
      </c>
      <c r="AD366">
        <f t="shared" si="64"/>
        <v>18.065679012345679</v>
      </c>
      <c r="AE366">
        <f t="shared" si="65"/>
        <v>-4.6862190701234568E-2</v>
      </c>
      <c r="AF366" s="9"/>
      <c r="AG366" s="21">
        <v>1.6926600000000001</v>
      </c>
      <c r="AH366" s="21">
        <v>21.741800000000001</v>
      </c>
      <c r="AI366" s="21">
        <v>-5.33447E-3</v>
      </c>
      <c r="AJ366" s="21">
        <v>356</v>
      </c>
      <c r="AK366" s="21">
        <v>1.6918899999999999</v>
      </c>
      <c r="AL366">
        <f t="shared" si="66"/>
        <v>6.5857654320987651</v>
      </c>
      <c r="AM366">
        <f t="shared" si="67"/>
        <v>11.147461716296297</v>
      </c>
      <c r="AP366" s="9"/>
      <c r="AQ366" s="21">
        <v>-2.59399E-3</v>
      </c>
      <c r="AR366" s="21">
        <v>27.18</v>
      </c>
      <c r="AS366" s="21">
        <v>-1.4621E-2</v>
      </c>
      <c r="AT366" s="21">
        <v>356</v>
      </c>
      <c r="AU366" s="21">
        <v>-2.8228799999999998E-3</v>
      </c>
      <c r="AV366">
        <f t="shared" si="68"/>
        <v>18.050617283950618</v>
      </c>
      <c r="AW366">
        <f t="shared" si="69"/>
        <v>-4.6823120728395062E-2</v>
      </c>
      <c r="AX366" s="9"/>
      <c r="AY366" s="21">
        <v>1.6926600000000001</v>
      </c>
      <c r="AZ366" s="21">
        <v>30.979099999999999</v>
      </c>
      <c r="BA366" s="21">
        <v>-5.1696800000000003E-3</v>
      </c>
      <c r="BB366" s="21">
        <v>356</v>
      </c>
      <c r="BC366" s="21">
        <v>1.6921999999999999</v>
      </c>
      <c r="BD366">
        <f t="shared" si="70"/>
        <v>6.382320987654321</v>
      </c>
      <c r="BE366">
        <f t="shared" si="71"/>
        <v>10.803099442962964</v>
      </c>
    </row>
    <row r="367" spans="6:57" x14ac:dyDescent="0.25">
      <c r="F367" s="9"/>
      <c r="G367" s="21">
        <v>-7.6293899999999998E-3</v>
      </c>
      <c r="H367" s="21">
        <v>8.5916700000000006</v>
      </c>
      <c r="I367" s="21">
        <v>-1.4621E-2</v>
      </c>
      <c r="J367" s="21">
        <v>357</v>
      </c>
      <c r="K367" s="21">
        <v>-7.8063999999999998E-3</v>
      </c>
      <c r="L367">
        <f t="shared" si="60"/>
        <v>18.050617283950618</v>
      </c>
      <c r="M367">
        <f t="shared" si="61"/>
        <v>-0.13771519900000001</v>
      </c>
      <c r="N367" s="9"/>
      <c r="O367" s="21">
        <v>1.6976899999999999</v>
      </c>
      <c r="P367" s="21">
        <v>12.390700000000001</v>
      </c>
      <c r="Q367" s="21">
        <v>-5.2002000000000003E-3</v>
      </c>
      <c r="R367" s="21">
        <v>357</v>
      </c>
      <c r="S367" s="21">
        <v>1.69739</v>
      </c>
      <c r="T367">
        <f t="shared" si="62"/>
        <v>6.42</v>
      </c>
      <c r="U367">
        <f t="shared" si="63"/>
        <v>10.899169799999999</v>
      </c>
      <c r="X367" s="9"/>
      <c r="Y367" s="21">
        <v>-7.6293899999999998E-3</v>
      </c>
      <c r="Z367" s="21">
        <v>17.9529</v>
      </c>
      <c r="AA367" s="21">
        <v>-1.4645399999999999E-2</v>
      </c>
      <c r="AB367" s="21">
        <v>357</v>
      </c>
      <c r="AC367" s="21">
        <v>-7.9315199999999992E-3</v>
      </c>
      <c r="AD367">
        <f t="shared" si="64"/>
        <v>18.080740740740737</v>
      </c>
      <c r="AE367">
        <f t="shared" si="65"/>
        <v>-0.13794502259999997</v>
      </c>
      <c r="AF367" s="9"/>
      <c r="AG367" s="21">
        <v>1.6976899999999999</v>
      </c>
      <c r="AH367" s="21">
        <v>21.751899999999999</v>
      </c>
      <c r="AI367" s="21">
        <v>-4.7631799999999997E-3</v>
      </c>
      <c r="AJ367" s="21">
        <v>357</v>
      </c>
      <c r="AK367" s="21">
        <v>1.69678</v>
      </c>
      <c r="AL367">
        <f t="shared" si="66"/>
        <v>5.8804691358024685</v>
      </c>
      <c r="AM367">
        <f t="shared" si="67"/>
        <v>9.9832136471604915</v>
      </c>
      <c r="AP367" s="9"/>
      <c r="AQ367" s="21">
        <v>-7.6293899999999998E-3</v>
      </c>
      <c r="AR367" s="21">
        <v>27.190100000000001</v>
      </c>
      <c r="AS367" s="21">
        <v>-1.46149E-2</v>
      </c>
      <c r="AT367" s="21">
        <v>357</v>
      </c>
      <c r="AU367" s="21">
        <v>-7.8216599999999994E-3</v>
      </c>
      <c r="AV367">
        <f t="shared" si="68"/>
        <v>18.043086419753088</v>
      </c>
      <c r="AW367">
        <f t="shared" si="69"/>
        <v>-0.13765774310000001</v>
      </c>
      <c r="AX367" s="9"/>
      <c r="AY367" s="21">
        <v>1.6976899999999999</v>
      </c>
      <c r="AZ367" s="21">
        <v>30.989100000000001</v>
      </c>
      <c r="BA367" s="21">
        <v>-4.5754999999999997E-3</v>
      </c>
      <c r="BB367" s="21">
        <v>357</v>
      </c>
      <c r="BC367" s="21">
        <v>1.69678</v>
      </c>
      <c r="BD367">
        <f t="shared" si="70"/>
        <v>5.6487654320987648</v>
      </c>
      <c r="BE367">
        <f t="shared" si="71"/>
        <v>9.5898525864197524</v>
      </c>
    </row>
    <row r="368" spans="6:57" x14ac:dyDescent="0.25">
      <c r="F368" s="9"/>
      <c r="G368" s="21">
        <v>-1.26648E-2</v>
      </c>
      <c r="H368" s="21">
        <v>8.6017399999999995</v>
      </c>
      <c r="I368" s="21">
        <v>-1.4639299999999999E-2</v>
      </c>
      <c r="J368" s="21">
        <v>358</v>
      </c>
      <c r="K368" s="21">
        <v>-1.2912E-2</v>
      </c>
      <c r="L368">
        <f t="shared" si="60"/>
        <v>18.07320987654321</v>
      </c>
      <c r="M368">
        <f t="shared" si="61"/>
        <v>-0.22889358844444446</v>
      </c>
      <c r="N368" s="9"/>
      <c r="O368" s="21">
        <v>1.7027300000000001</v>
      </c>
      <c r="P368" s="21">
        <v>12.4008</v>
      </c>
      <c r="Q368" s="21">
        <v>-4.5794700000000004E-3</v>
      </c>
      <c r="R368" s="21">
        <v>358</v>
      </c>
      <c r="S368" s="21">
        <v>1.70197</v>
      </c>
      <c r="T368">
        <f t="shared" si="62"/>
        <v>5.6536666666666671</v>
      </c>
      <c r="U368">
        <f t="shared" si="63"/>
        <v>9.626667843333335</v>
      </c>
      <c r="X368" s="9"/>
      <c r="Y368" s="21">
        <v>-1.26648E-2</v>
      </c>
      <c r="Z368" s="21">
        <v>17.962900000000001</v>
      </c>
      <c r="AA368" s="21">
        <v>-1.46667E-2</v>
      </c>
      <c r="AB368" s="21">
        <v>358</v>
      </c>
      <c r="AC368" s="21">
        <v>-1.2912E-2</v>
      </c>
      <c r="AD368">
        <f t="shared" si="64"/>
        <v>18.107037037037035</v>
      </c>
      <c r="AE368">
        <f t="shared" si="65"/>
        <v>-0.22932200266666664</v>
      </c>
      <c r="AF368" s="9"/>
      <c r="AG368" s="21">
        <v>1.7027300000000001</v>
      </c>
      <c r="AH368" s="21">
        <v>21.762</v>
      </c>
      <c r="AI368" s="21">
        <v>-4.1250599999999998E-3</v>
      </c>
      <c r="AJ368" s="21">
        <v>358</v>
      </c>
      <c r="AK368" s="21">
        <v>1.70197</v>
      </c>
      <c r="AL368">
        <f t="shared" si="66"/>
        <v>5.0926666666666662</v>
      </c>
      <c r="AM368">
        <f t="shared" si="67"/>
        <v>8.6714363133333325</v>
      </c>
      <c r="AP368" s="9"/>
      <c r="AQ368" s="21">
        <v>-1.26648E-2</v>
      </c>
      <c r="AR368" s="21">
        <v>27.200199999999999</v>
      </c>
      <c r="AS368" s="21">
        <v>-1.4611799999999999E-2</v>
      </c>
      <c r="AT368" s="21">
        <v>358</v>
      </c>
      <c r="AU368" s="21">
        <v>-1.2899799999999999E-2</v>
      </c>
      <c r="AV368">
        <f t="shared" si="68"/>
        <v>18.039259259259257</v>
      </c>
      <c r="AW368">
        <f t="shared" si="69"/>
        <v>-0.22846361066666665</v>
      </c>
      <c r="AX368" s="9"/>
      <c r="AY368" s="21">
        <v>1.7027300000000001</v>
      </c>
      <c r="AZ368" s="21">
        <v>30.999199999999998</v>
      </c>
      <c r="BA368" s="21">
        <v>-3.9215099999999996E-3</v>
      </c>
      <c r="BB368" s="21">
        <v>358</v>
      </c>
      <c r="BC368" s="21">
        <v>1.70197</v>
      </c>
      <c r="BD368">
        <f t="shared" si="70"/>
        <v>4.8413703703703694</v>
      </c>
      <c r="BE368">
        <f t="shared" si="71"/>
        <v>8.2435465707407403</v>
      </c>
    </row>
    <row r="369" spans="6:57" x14ac:dyDescent="0.25">
      <c r="F369" s="9"/>
      <c r="G369" s="21">
        <v>-1.7700199999999999E-2</v>
      </c>
      <c r="H369" s="21">
        <v>8.6118100000000002</v>
      </c>
      <c r="I369" s="21">
        <v>-1.4645399999999999E-2</v>
      </c>
      <c r="J369" s="21">
        <v>359</v>
      </c>
      <c r="K369" s="21">
        <v>-1.79565E-2</v>
      </c>
      <c r="L369">
        <f t="shared" si="60"/>
        <v>18.080740740740737</v>
      </c>
      <c r="M369">
        <f t="shared" si="61"/>
        <v>-0.32003272725925919</v>
      </c>
      <c r="N369" s="9"/>
      <c r="O369" s="21">
        <v>1.7077599999999999</v>
      </c>
      <c r="P369" s="21">
        <v>12.4109</v>
      </c>
      <c r="Q369" s="21">
        <v>-3.8699300000000002E-3</v>
      </c>
      <c r="R369" s="21">
        <v>359</v>
      </c>
      <c r="S369" s="21">
        <v>1.7071499999999999</v>
      </c>
      <c r="T369">
        <f t="shared" si="62"/>
        <v>4.7776913580246916</v>
      </c>
      <c r="U369">
        <f t="shared" si="63"/>
        <v>8.1591501935802473</v>
      </c>
      <c r="X369" s="9"/>
      <c r="Y369" s="21">
        <v>-1.7700199999999999E-2</v>
      </c>
      <c r="Z369" s="21">
        <v>17.972999999999999</v>
      </c>
      <c r="AA369" s="21">
        <v>-1.46759E-2</v>
      </c>
      <c r="AB369" s="21">
        <v>359</v>
      </c>
      <c r="AC369" s="21">
        <v>-1.7993200000000001E-2</v>
      </c>
      <c r="AD369">
        <f t="shared" si="64"/>
        <v>18.118395061728396</v>
      </c>
      <c r="AE369">
        <f t="shared" si="65"/>
        <v>-0.32069921627160497</v>
      </c>
      <c r="AF369" s="9"/>
      <c r="AG369" s="21">
        <v>1.7077599999999999</v>
      </c>
      <c r="AH369" s="21">
        <v>21.771999999999998</v>
      </c>
      <c r="AI369" s="21">
        <v>-3.4079000000000002E-3</v>
      </c>
      <c r="AJ369" s="21">
        <v>359</v>
      </c>
      <c r="AK369" s="21">
        <v>1.70746</v>
      </c>
      <c r="AL369">
        <f t="shared" si="66"/>
        <v>4.2072839506172839</v>
      </c>
      <c r="AM369">
        <f t="shared" si="67"/>
        <v>7.1850312395061726</v>
      </c>
      <c r="AP369" s="9"/>
      <c r="AQ369" s="21">
        <v>-1.7700199999999999E-2</v>
      </c>
      <c r="AR369" s="21">
        <v>27.2102</v>
      </c>
      <c r="AS369" s="21">
        <v>-1.46149E-2</v>
      </c>
      <c r="AT369" s="21">
        <v>359</v>
      </c>
      <c r="AU369" s="21">
        <v>-1.79565E-2</v>
      </c>
      <c r="AV369">
        <f t="shared" si="68"/>
        <v>18.043086419753088</v>
      </c>
      <c r="AW369">
        <f t="shared" si="69"/>
        <v>-0.31936623824691357</v>
      </c>
      <c r="AX369" s="9"/>
      <c r="AY369" s="21">
        <v>1.7077599999999999</v>
      </c>
      <c r="AZ369" s="21">
        <v>31.0093</v>
      </c>
      <c r="BA369" s="21">
        <v>-3.17322E-3</v>
      </c>
      <c r="BB369" s="21">
        <v>359</v>
      </c>
      <c r="BC369" s="21">
        <v>1.7071499999999999</v>
      </c>
      <c r="BD369">
        <f t="shared" si="70"/>
        <v>3.917555555555555</v>
      </c>
      <c r="BE369">
        <f t="shared" si="71"/>
        <v>6.6902446755555545</v>
      </c>
    </row>
    <row r="370" spans="6:57" x14ac:dyDescent="0.25">
      <c r="F370" s="9"/>
      <c r="G370" s="21">
        <v>-2.2735600000000002E-2</v>
      </c>
      <c r="H370" s="21">
        <v>8.6218800000000009</v>
      </c>
      <c r="I370" s="21">
        <v>-1.4645399999999999E-2</v>
      </c>
      <c r="J370" s="21">
        <v>360</v>
      </c>
      <c r="K370" s="21">
        <v>-2.2985800000000001E-2</v>
      </c>
      <c r="L370">
        <f t="shared" si="60"/>
        <v>18.080740740740737</v>
      </c>
      <c r="M370">
        <f t="shared" si="61"/>
        <v>-0.41107648918518513</v>
      </c>
      <c r="N370" s="9"/>
      <c r="O370" s="21">
        <v>1.7128000000000001</v>
      </c>
      <c r="P370" s="21">
        <v>12.4209</v>
      </c>
      <c r="Q370" s="21">
        <v>-3.0468800000000001E-3</v>
      </c>
      <c r="R370" s="21">
        <v>360</v>
      </c>
      <c r="S370" s="21">
        <v>1.71204</v>
      </c>
      <c r="T370">
        <f t="shared" si="62"/>
        <v>3.7615802469135797</v>
      </c>
      <c r="U370">
        <f t="shared" si="63"/>
        <v>6.44283464691358</v>
      </c>
      <c r="X370" s="9"/>
      <c r="Y370" s="21">
        <v>-2.2735600000000002E-2</v>
      </c>
      <c r="Z370" s="21">
        <v>17.9831</v>
      </c>
      <c r="AA370" s="21">
        <v>-1.46759E-2</v>
      </c>
      <c r="AB370" s="21">
        <v>360</v>
      </c>
      <c r="AC370" s="21">
        <v>-2.2976699999999999E-2</v>
      </c>
      <c r="AD370">
        <f t="shared" si="64"/>
        <v>18.118395061728396</v>
      </c>
      <c r="AE370">
        <f t="shared" si="65"/>
        <v>-0.41193258276543215</v>
      </c>
      <c r="AF370" s="9"/>
      <c r="AG370" s="21">
        <v>1.7128000000000001</v>
      </c>
      <c r="AH370" s="21">
        <v>21.7821</v>
      </c>
      <c r="AI370" s="21">
        <v>-2.5961299999999999E-3</v>
      </c>
      <c r="AJ370" s="21">
        <v>360</v>
      </c>
      <c r="AK370" s="21">
        <v>1.71204</v>
      </c>
      <c r="AL370">
        <f t="shared" si="66"/>
        <v>3.2050987654320982</v>
      </c>
      <c r="AM370">
        <f t="shared" si="67"/>
        <v>5.4896931654320982</v>
      </c>
      <c r="AP370" s="9"/>
      <c r="AQ370" s="21">
        <v>-2.2735600000000002E-2</v>
      </c>
      <c r="AR370" s="21">
        <v>27.220300000000002</v>
      </c>
      <c r="AS370" s="21">
        <v>-1.4621E-2</v>
      </c>
      <c r="AT370" s="21">
        <v>360</v>
      </c>
      <c r="AU370" s="21">
        <v>-2.3004199999999999E-2</v>
      </c>
      <c r="AV370">
        <f t="shared" si="68"/>
        <v>18.050617283950618</v>
      </c>
      <c r="AW370">
        <f t="shared" si="69"/>
        <v>-0.4103916143209877</v>
      </c>
      <c r="AX370" s="9"/>
      <c r="AY370" s="21">
        <v>1.7128000000000001</v>
      </c>
      <c r="AZ370" s="21">
        <v>31.019300000000001</v>
      </c>
      <c r="BA370" s="21">
        <v>-2.33673E-3</v>
      </c>
      <c r="BB370" s="21">
        <v>360</v>
      </c>
      <c r="BC370" s="21">
        <v>1.71234</v>
      </c>
      <c r="BD370">
        <f t="shared" si="70"/>
        <v>2.8848518518518516</v>
      </c>
      <c r="BE370">
        <f t="shared" si="71"/>
        <v>4.9411742518518516</v>
      </c>
    </row>
    <row r="371" spans="6:57" x14ac:dyDescent="0.25">
      <c r="F371" s="9"/>
      <c r="G371" s="21">
        <v>-2.7771000000000001E-2</v>
      </c>
      <c r="H371" s="21">
        <v>8.6319499999999998</v>
      </c>
      <c r="I371" s="21">
        <v>-1.4648400000000001E-2</v>
      </c>
      <c r="J371" s="21">
        <v>361</v>
      </c>
      <c r="K371" s="21">
        <v>-2.8137200000000001E-2</v>
      </c>
      <c r="L371">
        <f t="shared" si="60"/>
        <v>18.084444444444443</v>
      </c>
      <c r="M371">
        <f t="shared" si="61"/>
        <v>-0.5022231066666667</v>
      </c>
      <c r="N371" s="9"/>
      <c r="O371" s="21">
        <v>1.71783</v>
      </c>
      <c r="P371" s="21">
        <v>12.430999999999999</v>
      </c>
      <c r="Q371" s="21">
        <v>-2.0916699999999999E-3</v>
      </c>
      <c r="R371" s="21">
        <v>361</v>
      </c>
      <c r="S371" s="21">
        <v>1.71753</v>
      </c>
      <c r="T371">
        <f t="shared" si="62"/>
        <v>2.5823086419753083</v>
      </c>
      <c r="U371">
        <f t="shared" si="63"/>
        <v>4.435967254444444</v>
      </c>
      <c r="X371" s="9"/>
      <c r="Y371" s="21">
        <v>-2.7771000000000001E-2</v>
      </c>
      <c r="Z371" s="21">
        <v>17.993099999999998</v>
      </c>
      <c r="AA371" s="21">
        <v>-1.46851E-2</v>
      </c>
      <c r="AB371" s="21">
        <v>361</v>
      </c>
      <c r="AC371" s="21">
        <v>-2.8039600000000001E-2</v>
      </c>
      <c r="AD371">
        <f t="shared" si="64"/>
        <v>18.12975308641975</v>
      </c>
      <c r="AE371">
        <f t="shared" si="65"/>
        <v>-0.50348137296296291</v>
      </c>
      <c r="AF371" s="9"/>
      <c r="AG371" s="21">
        <v>1.71783</v>
      </c>
      <c r="AH371" s="21">
        <v>21.792200000000001</v>
      </c>
      <c r="AI371" s="21">
        <v>-1.67603E-3</v>
      </c>
      <c r="AJ371" s="21">
        <v>361</v>
      </c>
      <c r="AK371" s="21">
        <v>1.71722</v>
      </c>
      <c r="AL371">
        <f t="shared" si="66"/>
        <v>2.0691728395061726</v>
      </c>
      <c r="AM371">
        <f t="shared" si="67"/>
        <v>3.5544871788888885</v>
      </c>
      <c r="AP371" s="9"/>
      <c r="AQ371" s="21">
        <v>-2.7771000000000001E-2</v>
      </c>
      <c r="AR371" s="21">
        <v>27.230399999999999</v>
      </c>
      <c r="AS371" s="21">
        <v>-1.46362E-2</v>
      </c>
      <c r="AT371" s="21">
        <v>361</v>
      </c>
      <c r="AU371" s="21">
        <v>-2.8039600000000001E-2</v>
      </c>
      <c r="AV371">
        <f t="shared" si="68"/>
        <v>18.069382716049383</v>
      </c>
      <c r="AW371">
        <f t="shared" si="69"/>
        <v>-0.50180482740740739</v>
      </c>
      <c r="AX371" s="9"/>
      <c r="AY371" s="21">
        <v>1.71783</v>
      </c>
      <c r="AZ371" s="21">
        <v>31.029399999999999</v>
      </c>
      <c r="BA371" s="21">
        <v>-1.39923E-3</v>
      </c>
      <c r="BB371" s="21">
        <v>361</v>
      </c>
      <c r="BC371" s="21">
        <v>1.71783</v>
      </c>
      <c r="BD371">
        <f t="shared" si="70"/>
        <v>1.7274444444444443</v>
      </c>
      <c r="BE371">
        <f t="shared" si="71"/>
        <v>2.9674558899999997</v>
      </c>
    </row>
    <row r="372" spans="6:57" x14ac:dyDescent="0.25">
      <c r="F372" s="9"/>
      <c r="G372" s="21">
        <v>-3.2806399999999999E-2</v>
      </c>
      <c r="H372" s="21">
        <v>8.6420200000000005</v>
      </c>
      <c r="I372" s="21">
        <v>-1.46515E-2</v>
      </c>
      <c r="J372" s="21">
        <v>362</v>
      </c>
      <c r="K372" s="21">
        <v>-3.3105500000000003E-2</v>
      </c>
      <c r="L372">
        <f t="shared" si="60"/>
        <v>18.088271604938271</v>
      </c>
      <c r="M372">
        <f t="shared" si="61"/>
        <v>-0.59341107358024692</v>
      </c>
      <c r="N372" s="9"/>
      <c r="O372" s="21">
        <v>1.7228699999999999</v>
      </c>
      <c r="P372" s="21">
        <v>12.4411</v>
      </c>
      <c r="Q372" s="21">
        <v>-9.790039999999999E-4</v>
      </c>
      <c r="R372" s="21">
        <v>362</v>
      </c>
      <c r="S372" s="21">
        <v>1.72211</v>
      </c>
      <c r="T372">
        <f t="shared" si="62"/>
        <v>1.2086469135802467</v>
      </c>
      <c r="U372">
        <f t="shared" si="63"/>
        <v>2.0823415079999994</v>
      </c>
      <c r="X372" s="9"/>
      <c r="Y372" s="21">
        <v>-3.2806399999999999E-2</v>
      </c>
      <c r="Z372" s="21">
        <v>18.0032</v>
      </c>
      <c r="AA372" s="21">
        <v>-1.46973E-2</v>
      </c>
      <c r="AB372" s="21">
        <v>362</v>
      </c>
      <c r="AC372" s="21">
        <v>-3.31329E-2</v>
      </c>
      <c r="AD372">
        <f t="shared" si="64"/>
        <v>18.144814814814815</v>
      </c>
      <c r="AE372">
        <f t="shared" si="65"/>
        <v>-0.59526605274074074</v>
      </c>
      <c r="AF372" s="9"/>
      <c r="AG372" s="21">
        <v>1.7228699999999999</v>
      </c>
      <c r="AH372" s="21">
        <v>21.802299999999999</v>
      </c>
      <c r="AI372" s="21">
        <v>-6.35376E-4</v>
      </c>
      <c r="AJ372" s="21">
        <v>362</v>
      </c>
      <c r="AK372" s="21">
        <v>1.7218</v>
      </c>
      <c r="AL372">
        <f t="shared" si="66"/>
        <v>0.78441481481481479</v>
      </c>
      <c r="AM372">
        <f t="shared" si="67"/>
        <v>1.3514447519999999</v>
      </c>
      <c r="AP372" s="9"/>
      <c r="AQ372" s="21">
        <v>-3.2806399999999999E-2</v>
      </c>
      <c r="AR372" s="21">
        <v>27.240400000000001</v>
      </c>
      <c r="AS372" s="21">
        <v>-1.4645399999999999E-2</v>
      </c>
      <c r="AT372" s="21">
        <v>362</v>
      </c>
      <c r="AU372" s="21">
        <v>-3.3087199999999997E-2</v>
      </c>
      <c r="AV372">
        <f t="shared" si="68"/>
        <v>18.080740740740737</v>
      </c>
      <c r="AW372">
        <f t="shared" si="69"/>
        <v>-0.59316401303703692</v>
      </c>
      <c r="AX372" s="9"/>
      <c r="AY372" s="21">
        <v>1.7228699999999999</v>
      </c>
      <c r="AZ372" s="21">
        <v>31.0395</v>
      </c>
      <c r="BA372" s="21">
        <v>-3.3813499999999999E-4</v>
      </c>
      <c r="BB372" s="21">
        <v>362</v>
      </c>
      <c r="BC372" s="21">
        <v>1.7218</v>
      </c>
      <c r="BD372">
        <f t="shared" si="70"/>
        <v>0.41745061728395055</v>
      </c>
      <c r="BE372">
        <f t="shared" si="71"/>
        <v>0.71921314499999989</v>
      </c>
    </row>
    <row r="373" spans="6:57" x14ac:dyDescent="0.25">
      <c r="F373" s="9"/>
      <c r="G373" s="21">
        <v>-3.7841800000000002E-2</v>
      </c>
      <c r="H373" s="21">
        <v>8.6521000000000008</v>
      </c>
      <c r="I373" s="21">
        <v>-1.4648400000000001E-2</v>
      </c>
      <c r="J373" s="21">
        <v>363</v>
      </c>
      <c r="K373" s="21">
        <v>-3.8125600000000003E-2</v>
      </c>
      <c r="L373">
        <f t="shared" si="60"/>
        <v>18.084444444444443</v>
      </c>
      <c r="M373">
        <f t="shared" si="61"/>
        <v>-0.68434792977777781</v>
      </c>
      <c r="N373" s="9"/>
      <c r="O373" s="21">
        <v>1.7279100000000001</v>
      </c>
      <c r="P373" s="21">
        <v>12.4511</v>
      </c>
      <c r="Q373" s="21">
        <v>2.95044E-4</v>
      </c>
      <c r="R373" s="21">
        <v>363</v>
      </c>
      <c r="S373" s="21">
        <v>1.72729</v>
      </c>
      <c r="T373">
        <f t="shared" si="62"/>
        <v>-0.36425185185185183</v>
      </c>
      <c r="U373">
        <f t="shared" si="63"/>
        <v>-0.62939441733333334</v>
      </c>
      <c r="X373" s="9"/>
      <c r="Y373" s="21">
        <v>-3.7841800000000002E-2</v>
      </c>
      <c r="Z373" s="21">
        <v>18.013300000000001</v>
      </c>
      <c r="AA373" s="21">
        <v>-1.4694199999999999E-2</v>
      </c>
      <c r="AB373" s="21">
        <v>363</v>
      </c>
      <c r="AC373" s="21">
        <v>-3.8143900000000001E-2</v>
      </c>
      <c r="AD373">
        <f t="shared" si="64"/>
        <v>18.140987654320988</v>
      </c>
      <c r="AE373">
        <f t="shared" si="65"/>
        <v>-0.68648762661728402</v>
      </c>
      <c r="AF373" s="9"/>
      <c r="AG373" s="21">
        <v>1.7279100000000001</v>
      </c>
      <c r="AH373" s="21">
        <v>21.8123</v>
      </c>
      <c r="AI373" s="21">
        <v>5.1879900000000002E-4</v>
      </c>
      <c r="AJ373" s="21">
        <v>363</v>
      </c>
      <c r="AK373" s="21">
        <v>1.72699</v>
      </c>
      <c r="AL373">
        <f t="shared" si="66"/>
        <v>-0.64049259259259261</v>
      </c>
      <c r="AM373">
        <f t="shared" si="67"/>
        <v>-1.1067135556666667</v>
      </c>
      <c r="AP373" s="9"/>
      <c r="AQ373" s="21">
        <v>-3.7841800000000002E-2</v>
      </c>
      <c r="AR373" s="21">
        <v>27.250499999999999</v>
      </c>
      <c r="AS373" s="21">
        <v>-1.4645399999999999E-2</v>
      </c>
      <c r="AT373" s="21">
        <v>363</v>
      </c>
      <c r="AU373" s="21">
        <v>-3.8137799999999999E-2</v>
      </c>
      <c r="AV373">
        <f t="shared" si="68"/>
        <v>18.080740740740737</v>
      </c>
      <c r="AW373">
        <f t="shared" si="69"/>
        <v>-0.68420777496296281</v>
      </c>
      <c r="AX373" s="9"/>
      <c r="AY373" s="21">
        <v>1.7279100000000001</v>
      </c>
      <c r="AZ373" s="21">
        <v>31.049600000000002</v>
      </c>
      <c r="BA373" s="21">
        <v>8.0322300000000004E-4</v>
      </c>
      <c r="BB373" s="21">
        <v>363</v>
      </c>
      <c r="BC373" s="21">
        <v>1.72729</v>
      </c>
      <c r="BD373">
        <f t="shared" si="70"/>
        <v>-0.99163333333333337</v>
      </c>
      <c r="BE373">
        <f t="shared" si="71"/>
        <v>-1.7134531530000001</v>
      </c>
    </row>
    <row r="374" spans="6:57" x14ac:dyDescent="0.25">
      <c r="F374" s="9"/>
      <c r="G374" s="21">
        <v>-4.2877199999999997E-2</v>
      </c>
      <c r="H374" s="21">
        <v>8.6621699999999997</v>
      </c>
      <c r="I374" s="21">
        <v>-1.46576E-2</v>
      </c>
      <c r="J374" s="21">
        <v>364</v>
      </c>
      <c r="K374" s="21">
        <v>-4.3191500000000001E-2</v>
      </c>
      <c r="L374">
        <f t="shared" si="60"/>
        <v>18.095802469135801</v>
      </c>
      <c r="M374">
        <f t="shared" si="61"/>
        <v>-0.77589734162962953</v>
      </c>
      <c r="N374" s="9"/>
      <c r="O374" s="21">
        <v>1.7329399999999999</v>
      </c>
      <c r="P374" s="21">
        <v>12.4612</v>
      </c>
      <c r="Q374" s="21">
        <v>1.7651399999999999E-3</v>
      </c>
      <c r="R374" s="21">
        <v>364</v>
      </c>
      <c r="S374" s="21">
        <v>1.73248</v>
      </c>
      <c r="T374">
        <f t="shared" si="62"/>
        <v>-2.1791851851851849</v>
      </c>
      <c r="U374">
        <f t="shared" si="63"/>
        <v>-3.776397174814814</v>
      </c>
      <c r="X374" s="9"/>
      <c r="Y374" s="21">
        <v>-4.2877199999999997E-2</v>
      </c>
      <c r="Z374" s="21">
        <v>18.023399999999999</v>
      </c>
      <c r="AA374" s="21">
        <v>-1.4700299999999999E-2</v>
      </c>
      <c r="AB374" s="21">
        <v>364</v>
      </c>
      <c r="AC374" s="21">
        <v>-4.3182400000000003E-2</v>
      </c>
      <c r="AD374">
        <f t="shared" si="64"/>
        <v>18.148518518518514</v>
      </c>
      <c r="AE374">
        <f t="shared" si="65"/>
        <v>-0.77815765822222205</v>
      </c>
      <c r="AF374" s="9"/>
      <c r="AG374" s="21">
        <v>1.7329399999999999</v>
      </c>
      <c r="AH374" s="21">
        <v>21.822399999999998</v>
      </c>
      <c r="AI374" s="21">
        <v>1.7718499999999999E-3</v>
      </c>
      <c r="AJ374" s="21">
        <v>364</v>
      </c>
      <c r="AK374" s="21">
        <v>1.7321800000000001</v>
      </c>
      <c r="AL374">
        <f t="shared" si="66"/>
        <v>-2.1874691358024685</v>
      </c>
      <c r="AM374">
        <f t="shared" si="67"/>
        <v>-3.7907527641975296</v>
      </c>
      <c r="AP374" s="9"/>
      <c r="AQ374" s="21">
        <v>-4.2877199999999997E-2</v>
      </c>
      <c r="AR374" s="21">
        <v>27.2606</v>
      </c>
      <c r="AS374" s="21">
        <v>-1.4648400000000001E-2</v>
      </c>
      <c r="AT374" s="21">
        <v>364</v>
      </c>
      <c r="AU374" s="21">
        <v>-4.33044E-2</v>
      </c>
      <c r="AV374">
        <f t="shared" si="68"/>
        <v>18.084444444444443</v>
      </c>
      <c r="AW374">
        <f t="shared" si="69"/>
        <v>-0.7754103413333332</v>
      </c>
      <c r="AX374" s="9"/>
      <c r="AY374" s="21">
        <v>1.7329399999999999</v>
      </c>
      <c r="AZ374" s="21">
        <v>31.0596</v>
      </c>
      <c r="BA374" s="21">
        <v>2.0562699999999998E-3</v>
      </c>
      <c r="BB374" s="21">
        <v>364</v>
      </c>
      <c r="BC374" s="21">
        <v>1.7321800000000001</v>
      </c>
      <c r="BD374">
        <f t="shared" si="70"/>
        <v>-2.5386049382716043</v>
      </c>
      <c r="BE374">
        <f t="shared" si="71"/>
        <v>-4.3992500417283935</v>
      </c>
    </row>
    <row r="375" spans="6:57" x14ac:dyDescent="0.25">
      <c r="F375" s="9"/>
      <c r="G375" s="21">
        <v>-4.79126E-2</v>
      </c>
      <c r="H375" s="21">
        <v>8.6722400000000004</v>
      </c>
      <c r="I375" s="21">
        <v>-1.46637E-2</v>
      </c>
      <c r="J375" s="21">
        <v>365</v>
      </c>
      <c r="K375" s="21">
        <v>-4.8300200000000001E-2</v>
      </c>
      <c r="L375">
        <f t="shared" si="60"/>
        <v>18.103333333333332</v>
      </c>
      <c r="M375">
        <f t="shared" si="61"/>
        <v>-0.8673777686666666</v>
      </c>
      <c r="N375" s="9"/>
      <c r="O375" s="21">
        <v>1.7379800000000001</v>
      </c>
      <c r="P375" s="21">
        <v>12.471299999999999</v>
      </c>
      <c r="Q375" s="21">
        <v>3.3584600000000002E-3</v>
      </c>
      <c r="R375" s="21">
        <v>365</v>
      </c>
      <c r="S375" s="21">
        <v>1.7373700000000001</v>
      </c>
      <c r="T375">
        <f t="shared" si="62"/>
        <v>-4.1462469135802476</v>
      </c>
      <c r="U375">
        <f t="shared" si="63"/>
        <v>-7.2060942108641992</v>
      </c>
      <c r="X375" s="9"/>
      <c r="Y375" s="21">
        <v>-4.79126E-2</v>
      </c>
      <c r="Z375" s="21">
        <v>18.0334</v>
      </c>
      <c r="AA375" s="21">
        <v>-1.4700299999999999E-2</v>
      </c>
      <c r="AB375" s="21">
        <v>365</v>
      </c>
      <c r="AC375" s="21">
        <v>-4.8284899999999999E-2</v>
      </c>
      <c r="AD375">
        <f t="shared" si="64"/>
        <v>18.148518518518514</v>
      </c>
      <c r="AE375">
        <f t="shared" si="65"/>
        <v>-0.86954270837037018</v>
      </c>
      <c r="AF375" s="9"/>
      <c r="AG375" s="21">
        <v>1.7379800000000001</v>
      </c>
      <c r="AH375" s="21">
        <v>21.8325</v>
      </c>
      <c r="AI375" s="21">
        <v>3.0978400000000001E-3</v>
      </c>
      <c r="AJ375" s="21">
        <v>365</v>
      </c>
      <c r="AK375" s="21">
        <v>1.73706</v>
      </c>
      <c r="AL375">
        <f t="shared" si="66"/>
        <v>-3.8244938271604938</v>
      </c>
      <c r="AM375">
        <f t="shared" si="67"/>
        <v>-6.6468937817283953</v>
      </c>
      <c r="AP375" s="9"/>
      <c r="AQ375" s="21">
        <v>-4.79126E-2</v>
      </c>
      <c r="AR375" s="21">
        <v>27.270700000000001</v>
      </c>
      <c r="AS375" s="21">
        <v>-1.4645399999999999E-2</v>
      </c>
      <c r="AT375" s="21">
        <v>365</v>
      </c>
      <c r="AU375" s="21">
        <v>-4.8245200000000002E-2</v>
      </c>
      <c r="AV375">
        <f t="shared" si="68"/>
        <v>18.080740740740737</v>
      </c>
      <c r="AW375">
        <f t="shared" si="69"/>
        <v>-0.8662952988148146</v>
      </c>
      <c r="AX375" s="9"/>
      <c r="AY375" s="21">
        <v>1.7379800000000001</v>
      </c>
      <c r="AZ375" s="21">
        <v>31.069700000000001</v>
      </c>
      <c r="BA375" s="21">
        <v>3.3834799999999999E-3</v>
      </c>
      <c r="BB375" s="21">
        <v>365</v>
      </c>
      <c r="BC375" s="21">
        <v>1.73706</v>
      </c>
      <c r="BD375">
        <f t="shared" si="70"/>
        <v>-4.1771358024691354</v>
      </c>
      <c r="BE375">
        <f t="shared" si="71"/>
        <v>-7.2597784819753084</v>
      </c>
    </row>
    <row r="376" spans="6:57" x14ac:dyDescent="0.25">
      <c r="F376" s="9"/>
      <c r="G376" s="21">
        <v>-5.2948000000000002E-2</v>
      </c>
      <c r="H376" s="21">
        <v>8.6823099999999993</v>
      </c>
      <c r="I376" s="21">
        <v>-1.46667E-2</v>
      </c>
      <c r="J376" s="21">
        <v>366</v>
      </c>
      <c r="K376" s="21">
        <v>-5.3466800000000002E-2</v>
      </c>
      <c r="L376">
        <f t="shared" si="60"/>
        <v>18.107037037037035</v>
      </c>
      <c r="M376">
        <f t="shared" si="61"/>
        <v>-0.95873139703703691</v>
      </c>
      <c r="N376" s="9"/>
      <c r="O376" s="21">
        <v>1.7430099999999999</v>
      </c>
      <c r="P376" s="21">
        <v>12.481400000000001</v>
      </c>
      <c r="Q376" s="21">
        <v>5.0933799999999998E-3</v>
      </c>
      <c r="R376" s="21">
        <v>366</v>
      </c>
      <c r="S376" s="21">
        <v>1.7422500000000001</v>
      </c>
      <c r="T376">
        <f t="shared" si="62"/>
        <v>-6.2881234567901227</v>
      </c>
      <c r="U376">
        <f t="shared" si="63"/>
        <v>-10.960262066419752</v>
      </c>
      <c r="X376" s="9"/>
      <c r="Y376" s="21">
        <v>-5.2948000000000002E-2</v>
      </c>
      <c r="Z376" s="21">
        <v>18.043500000000002</v>
      </c>
      <c r="AA376" s="21">
        <v>-1.47064E-2</v>
      </c>
      <c r="AB376" s="21">
        <v>366</v>
      </c>
      <c r="AC376" s="21">
        <v>-5.3466800000000002E-2</v>
      </c>
      <c r="AD376">
        <f t="shared" si="64"/>
        <v>18.156049382716049</v>
      </c>
      <c r="AE376">
        <f t="shared" si="65"/>
        <v>-0.96132650271604936</v>
      </c>
      <c r="AF376" s="9"/>
      <c r="AG376" s="21">
        <v>1.7430099999999999</v>
      </c>
      <c r="AH376" s="21">
        <v>21.842500000000001</v>
      </c>
      <c r="AI376" s="21">
        <v>4.5104999999999998E-3</v>
      </c>
      <c r="AJ376" s="21">
        <v>366</v>
      </c>
      <c r="AK376" s="21">
        <v>1.7422500000000001</v>
      </c>
      <c r="AL376">
        <f t="shared" si="66"/>
        <v>-5.568518518518518</v>
      </c>
      <c r="AM376">
        <f t="shared" si="67"/>
        <v>-9.705983462962962</v>
      </c>
      <c r="AP376" s="9"/>
      <c r="AQ376" s="21">
        <v>-5.2948000000000002E-2</v>
      </c>
      <c r="AR376" s="21">
        <v>27.2807</v>
      </c>
      <c r="AS376" s="21">
        <v>-1.46515E-2</v>
      </c>
      <c r="AT376" s="21">
        <v>366</v>
      </c>
      <c r="AU376" s="21">
        <v>-5.3497299999999998E-2</v>
      </c>
      <c r="AV376">
        <f t="shared" si="68"/>
        <v>18.088271604938271</v>
      </c>
      <c r="AW376">
        <f t="shared" si="69"/>
        <v>-0.95773780493827165</v>
      </c>
      <c r="AX376" s="9"/>
      <c r="AY376" s="21">
        <v>1.7430099999999999</v>
      </c>
      <c r="AZ376" s="21">
        <v>31.079799999999999</v>
      </c>
      <c r="BA376" s="21">
        <v>4.7964499999999998E-3</v>
      </c>
      <c r="BB376" s="21">
        <v>366</v>
      </c>
      <c r="BC376" s="21">
        <v>1.74255</v>
      </c>
      <c r="BD376">
        <f t="shared" si="70"/>
        <v>-5.9215432098765426</v>
      </c>
      <c r="BE376">
        <f t="shared" si="71"/>
        <v>-10.321309030246912</v>
      </c>
    </row>
    <row r="377" spans="6:57" x14ac:dyDescent="0.25">
      <c r="F377" s="9"/>
      <c r="G377" s="21">
        <v>-5.7983399999999997E-2</v>
      </c>
      <c r="H377" s="21">
        <v>8.69238</v>
      </c>
      <c r="I377" s="21">
        <v>-1.4672899999999999E-2</v>
      </c>
      <c r="J377" s="21">
        <v>367</v>
      </c>
      <c r="K377" s="21">
        <v>-5.8441199999999999E-2</v>
      </c>
      <c r="L377">
        <f t="shared" si="60"/>
        <v>18.11469135802469</v>
      </c>
      <c r="M377">
        <f t="shared" si="61"/>
        <v>-1.0503513948888887</v>
      </c>
      <c r="N377" s="9"/>
      <c r="O377" s="21">
        <v>1.7480500000000001</v>
      </c>
      <c r="P377" s="21">
        <v>12.491400000000001</v>
      </c>
      <c r="Q377" s="21">
        <v>6.9427500000000001E-3</v>
      </c>
      <c r="R377" s="21">
        <v>367</v>
      </c>
      <c r="S377" s="21">
        <v>1.7468300000000001</v>
      </c>
      <c r="T377">
        <f t="shared" si="62"/>
        <v>-8.5712962962962962</v>
      </c>
      <c r="U377">
        <f t="shared" si="63"/>
        <v>-14.983054490740741</v>
      </c>
      <c r="X377" s="9"/>
      <c r="Y377" s="21">
        <v>-5.7983399999999997E-2</v>
      </c>
      <c r="Z377" s="21">
        <v>18.053599999999999</v>
      </c>
      <c r="AA377" s="21">
        <v>-1.47064E-2</v>
      </c>
      <c r="AB377" s="21">
        <v>367</v>
      </c>
      <c r="AC377" s="21">
        <v>-5.85327E-2</v>
      </c>
      <c r="AD377">
        <f t="shared" si="64"/>
        <v>18.156049382716049</v>
      </c>
      <c r="AE377">
        <f t="shared" si="65"/>
        <v>-1.0527494737777776</v>
      </c>
      <c r="AF377" s="9"/>
      <c r="AG377" s="21">
        <v>1.7480500000000001</v>
      </c>
      <c r="AH377" s="21">
        <v>21.852599999999999</v>
      </c>
      <c r="AI377" s="21">
        <v>5.9905999999999996E-3</v>
      </c>
      <c r="AJ377" s="21">
        <v>367</v>
      </c>
      <c r="AK377" s="21">
        <v>1.7471300000000001</v>
      </c>
      <c r="AL377">
        <f t="shared" si="66"/>
        <v>-7.3958024691358011</v>
      </c>
      <c r="AM377">
        <f t="shared" si="67"/>
        <v>-12.928232506172838</v>
      </c>
      <c r="AP377" s="9"/>
      <c r="AQ377" s="21">
        <v>-5.7983399999999997E-2</v>
      </c>
      <c r="AR377" s="21">
        <v>27.290800000000001</v>
      </c>
      <c r="AS377" s="21">
        <v>-1.4660599999999999E-2</v>
      </c>
      <c r="AT377" s="21">
        <v>367</v>
      </c>
      <c r="AU377" s="21">
        <v>-5.84106E-2</v>
      </c>
      <c r="AV377">
        <f t="shared" si="68"/>
        <v>18.099506172839504</v>
      </c>
      <c r="AW377">
        <f t="shared" si="69"/>
        <v>-1.0494709062222221</v>
      </c>
      <c r="AX377" s="9"/>
      <c r="AY377" s="21">
        <v>1.7480500000000001</v>
      </c>
      <c r="AZ377" s="21">
        <v>31.0898</v>
      </c>
      <c r="BA377" s="21">
        <v>6.2500000000000003E-3</v>
      </c>
      <c r="BB377" s="21">
        <v>367</v>
      </c>
      <c r="BC377" s="21">
        <v>1.7477400000000001</v>
      </c>
      <c r="BD377">
        <f t="shared" si="70"/>
        <v>-7.716049382716049</v>
      </c>
      <c r="BE377">
        <f t="shared" si="71"/>
        <v>-13.488040123456789</v>
      </c>
    </row>
    <row r="378" spans="6:57" x14ac:dyDescent="0.25">
      <c r="F378" s="9"/>
      <c r="G378" s="21">
        <v>-6.30188E-2</v>
      </c>
      <c r="H378" s="21">
        <v>8.7024500000000007</v>
      </c>
      <c r="I378" s="21">
        <v>-1.4682000000000001E-2</v>
      </c>
      <c r="J378" s="21">
        <v>368</v>
      </c>
      <c r="K378" s="21">
        <v>-6.3598600000000005E-2</v>
      </c>
      <c r="L378">
        <f t="shared" si="60"/>
        <v>18.125925925925923</v>
      </c>
      <c r="M378">
        <f t="shared" si="61"/>
        <v>-1.1422741007407406</v>
      </c>
      <c r="N378" s="9"/>
      <c r="O378" s="21">
        <v>1.75308</v>
      </c>
      <c r="P378" s="21">
        <v>12.5015</v>
      </c>
      <c r="Q378" s="21">
        <v>8.8684100000000002E-3</v>
      </c>
      <c r="R378" s="21">
        <v>368</v>
      </c>
      <c r="S378" s="21">
        <v>1.7526200000000001</v>
      </c>
      <c r="T378">
        <f t="shared" si="62"/>
        <v>-10.948654320987654</v>
      </c>
      <c r="U378">
        <f t="shared" si="63"/>
        <v>-19.193866917037035</v>
      </c>
      <c r="X378" s="9"/>
      <c r="Y378" s="21">
        <v>-6.30188E-2</v>
      </c>
      <c r="Z378" s="21">
        <v>18.063600000000001</v>
      </c>
      <c r="AA378" s="21">
        <v>-1.4700299999999999E-2</v>
      </c>
      <c r="AB378" s="21">
        <v>368</v>
      </c>
      <c r="AC378" s="21">
        <v>-6.3507099999999997E-2</v>
      </c>
      <c r="AD378">
        <f t="shared" si="64"/>
        <v>18.148518518518514</v>
      </c>
      <c r="AE378">
        <f t="shared" si="65"/>
        <v>-1.1436978588148146</v>
      </c>
      <c r="AF378" s="9"/>
      <c r="AG378" s="21">
        <v>1.75308</v>
      </c>
      <c r="AH378" s="21">
        <v>21.8627</v>
      </c>
      <c r="AI378" s="21">
        <v>7.5134299999999998E-3</v>
      </c>
      <c r="AJ378" s="21">
        <v>368</v>
      </c>
      <c r="AK378" s="21">
        <v>1.7523200000000001</v>
      </c>
      <c r="AL378">
        <f t="shared" si="66"/>
        <v>-9.2758395061728383</v>
      </c>
      <c r="AM378">
        <f t="shared" si="67"/>
        <v>-16.261288721481478</v>
      </c>
      <c r="AP378" s="9"/>
      <c r="AQ378" s="21">
        <v>-6.30188E-2</v>
      </c>
      <c r="AR378" s="21">
        <v>27.300899999999999</v>
      </c>
      <c r="AS378" s="21">
        <v>-1.46637E-2</v>
      </c>
      <c r="AT378" s="21">
        <v>368</v>
      </c>
      <c r="AU378" s="21">
        <v>-6.3476599999999994E-2</v>
      </c>
      <c r="AV378">
        <f t="shared" si="68"/>
        <v>18.103333333333332</v>
      </c>
      <c r="AW378">
        <f t="shared" si="69"/>
        <v>-1.1408503426666665</v>
      </c>
      <c r="AX378" s="9"/>
      <c r="AY378" s="21">
        <v>1.75308</v>
      </c>
      <c r="AZ378" s="21">
        <v>31.099900000000002</v>
      </c>
      <c r="BA378" s="21">
        <v>7.7758799999999998E-3</v>
      </c>
      <c r="BB378" s="21">
        <v>368</v>
      </c>
      <c r="BC378" s="21">
        <v>1.7520100000000001</v>
      </c>
      <c r="BD378">
        <f t="shared" si="70"/>
        <v>-9.5998518518518505</v>
      </c>
      <c r="BE378">
        <f t="shared" si="71"/>
        <v>-16.829308284444441</v>
      </c>
    </row>
    <row r="379" spans="6:57" x14ac:dyDescent="0.25">
      <c r="F379" s="9"/>
      <c r="G379" s="21">
        <v>-6.8054199999999995E-2</v>
      </c>
      <c r="H379" s="21">
        <v>8.7125199999999996</v>
      </c>
      <c r="I379" s="21">
        <v>-1.46912E-2</v>
      </c>
      <c r="J379" s="21">
        <v>369</v>
      </c>
      <c r="K379" s="21">
        <v>-6.8572999999999995E-2</v>
      </c>
      <c r="L379">
        <f t="shared" si="60"/>
        <v>18.137283950617284</v>
      </c>
      <c r="M379">
        <f t="shared" si="61"/>
        <v>-1.2343183494320986</v>
      </c>
      <c r="N379" s="9"/>
      <c r="O379" s="21">
        <v>1.7581199999999999</v>
      </c>
      <c r="P379" s="21">
        <v>12.5116</v>
      </c>
      <c r="Q379" s="21">
        <v>1.08856E-2</v>
      </c>
      <c r="R379" s="21">
        <v>369</v>
      </c>
      <c r="S379" s="21">
        <v>1.7575099999999999</v>
      </c>
      <c r="T379">
        <f t="shared" si="62"/>
        <v>-13.439012345679012</v>
      </c>
      <c r="U379">
        <f t="shared" si="63"/>
        <v>-23.627396385185182</v>
      </c>
      <c r="X379" s="9"/>
      <c r="Y379" s="21">
        <v>-6.8054199999999995E-2</v>
      </c>
      <c r="Z379" s="21">
        <v>18.073699999999999</v>
      </c>
      <c r="AA379" s="21">
        <v>-1.46973E-2</v>
      </c>
      <c r="AB379" s="21">
        <v>369</v>
      </c>
      <c r="AC379" s="21">
        <v>-6.8512000000000003E-2</v>
      </c>
      <c r="AD379">
        <f t="shared" si="64"/>
        <v>18.144814814814815</v>
      </c>
      <c r="AE379">
        <f t="shared" si="65"/>
        <v>-1.2348308563703703</v>
      </c>
      <c r="AF379" s="9"/>
      <c r="AG379" s="21">
        <v>1.7581199999999999</v>
      </c>
      <c r="AH379" s="21">
        <v>21.872800000000002</v>
      </c>
      <c r="AI379" s="21">
        <v>9.1033899999999994E-3</v>
      </c>
      <c r="AJ379" s="21">
        <v>369</v>
      </c>
      <c r="AK379" s="21">
        <v>1.7575099999999999</v>
      </c>
      <c r="AL379">
        <f t="shared" si="66"/>
        <v>-11.238753086419752</v>
      </c>
      <c r="AM379">
        <f t="shared" si="67"/>
        <v>-19.759076576296295</v>
      </c>
      <c r="AP379" s="9"/>
      <c r="AQ379" s="21">
        <v>-6.8054199999999995E-2</v>
      </c>
      <c r="AR379" s="21">
        <v>27.3109</v>
      </c>
      <c r="AS379" s="21">
        <v>-1.4682000000000001E-2</v>
      </c>
      <c r="AT379" s="21">
        <v>369</v>
      </c>
      <c r="AU379" s="21">
        <v>-6.8725599999999998E-2</v>
      </c>
      <c r="AV379">
        <f t="shared" si="68"/>
        <v>18.125925925925923</v>
      </c>
      <c r="AW379">
        <f t="shared" si="69"/>
        <v>-1.233545388148148</v>
      </c>
      <c r="AX379" s="9"/>
      <c r="AY379" s="21">
        <v>1.7581199999999999</v>
      </c>
      <c r="AZ379" s="21">
        <v>31.11</v>
      </c>
      <c r="BA379" s="21">
        <v>9.3566900000000008E-3</v>
      </c>
      <c r="BB379" s="21">
        <v>369</v>
      </c>
      <c r="BC379" s="21">
        <v>1.7572000000000001</v>
      </c>
      <c r="BD379">
        <f t="shared" si="70"/>
        <v>-11.551469135802471</v>
      </c>
      <c r="BE379">
        <f t="shared" si="71"/>
        <v>-20.308868917037039</v>
      </c>
    </row>
    <row r="380" spans="6:57" x14ac:dyDescent="0.25">
      <c r="F380" s="9"/>
      <c r="G380" s="21">
        <v>-7.3089600000000005E-2</v>
      </c>
      <c r="H380" s="21">
        <v>8.7225900000000003</v>
      </c>
      <c r="I380" s="21">
        <v>-1.46973E-2</v>
      </c>
      <c r="J380" s="21">
        <v>370</v>
      </c>
      <c r="K380" s="21">
        <v>-7.3700000000000002E-2</v>
      </c>
      <c r="L380">
        <f t="shared" si="60"/>
        <v>18.144814814814815</v>
      </c>
      <c r="M380">
        <f t="shared" si="61"/>
        <v>-1.3261972568888889</v>
      </c>
      <c r="N380" s="9"/>
      <c r="O380" s="21">
        <v>1.76315</v>
      </c>
      <c r="P380" s="21">
        <v>12.521599999999999</v>
      </c>
      <c r="Q380" s="21">
        <v>1.2970000000000001E-2</v>
      </c>
      <c r="R380" s="21">
        <v>370</v>
      </c>
      <c r="S380" s="21">
        <v>1.7623899999999999</v>
      </c>
      <c r="T380">
        <f t="shared" si="62"/>
        <v>-16.012345679012348</v>
      </c>
      <c r="U380">
        <f t="shared" si="63"/>
        <v>-28.232167283950623</v>
      </c>
      <c r="X380" s="9"/>
      <c r="Y380" s="21">
        <v>-7.3089600000000005E-2</v>
      </c>
      <c r="Z380" s="21">
        <v>18.0838</v>
      </c>
      <c r="AA380" s="21">
        <v>-1.4694199999999999E-2</v>
      </c>
      <c r="AB380" s="21">
        <v>370</v>
      </c>
      <c r="AC380" s="21">
        <v>-7.3638899999999993E-2</v>
      </c>
      <c r="AD380">
        <f t="shared" si="64"/>
        <v>18.140987654320988</v>
      </c>
      <c r="AE380">
        <f t="shared" si="65"/>
        <v>-1.3259175312592593</v>
      </c>
      <c r="AF380" s="9"/>
      <c r="AG380" s="21">
        <v>1.76315</v>
      </c>
      <c r="AH380" s="21">
        <v>21.8828</v>
      </c>
      <c r="AI380" s="21">
        <v>1.0714700000000001E-2</v>
      </c>
      <c r="AJ380" s="21">
        <v>370</v>
      </c>
      <c r="AK380" s="21">
        <v>1.7626999999999999</v>
      </c>
      <c r="AL380">
        <f t="shared" si="66"/>
        <v>-13.228024691358025</v>
      </c>
      <c r="AM380">
        <f t="shared" si="67"/>
        <v>-23.3229917345679</v>
      </c>
      <c r="AP380" s="9"/>
      <c r="AQ380" s="21">
        <v>-7.3089600000000005E-2</v>
      </c>
      <c r="AR380" s="21">
        <v>27.321000000000002</v>
      </c>
      <c r="AS380" s="21">
        <v>-1.46973E-2</v>
      </c>
      <c r="AT380" s="21">
        <v>370</v>
      </c>
      <c r="AU380" s="21">
        <v>-7.3577900000000002E-2</v>
      </c>
      <c r="AV380">
        <f t="shared" si="68"/>
        <v>18.144814814814815</v>
      </c>
      <c r="AW380">
        <f t="shared" si="69"/>
        <v>-1.3261972568888889</v>
      </c>
      <c r="AX380" s="9"/>
      <c r="AY380" s="21">
        <v>1.76315</v>
      </c>
      <c r="AZ380" s="21">
        <v>31.120100000000001</v>
      </c>
      <c r="BA380" s="21">
        <v>1.09497E-2</v>
      </c>
      <c r="BB380" s="21">
        <v>370</v>
      </c>
      <c r="BC380" s="21">
        <v>1.7620800000000001</v>
      </c>
      <c r="BD380">
        <f t="shared" si="70"/>
        <v>-13.518148148148148</v>
      </c>
      <c r="BE380">
        <f t="shared" si="71"/>
        <v>-23.834522907407408</v>
      </c>
    </row>
    <row r="381" spans="6:57" x14ac:dyDescent="0.25">
      <c r="F381" s="9"/>
      <c r="G381" s="21">
        <v>-7.8125E-2</v>
      </c>
      <c r="H381" s="21">
        <v>8.7326599999999992</v>
      </c>
      <c r="I381" s="21">
        <v>-1.4694199999999999E-2</v>
      </c>
      <c r="J381" s="21">
        <v>371</v>
      </c>
      <c r="K381" s="21">
        <v>-7.8552200000000003E-2</v>
      </c>
      <c r="L381">
        <f t="shared" si="60"/>
        <v>18.140987654320988</v>
      </c>
      <c r="M381">
        <f t="shared" si="61"/>
        <v>-1.417264660493827</v>
      </c>
      <c r="N381" s="9"/>
      <c r="O381" s="21">
        <v>1.7681899999999999</v>
      </c>
      <c r="P381" s="21">
        <v>12.531700000000001</v>
      </c>
      <c r="Q381" s="21">
        <v>1.5136699999999999E-2</v>
      </c>
      <c r="R381" s="21">
        <v>371</v>
      </c>
      <c r="S381" s="21">
        <v>1.7675799999999999</v>
      </c>
      <c r="T381">
        <f t="shared" si="62"/>
        <v>-18.687283950617282</v>
      </c>
      <c r="U381">
        <f t="shared" si="63"/>
        <v>-33.042668608641968</v>
      </c>
      <c r="X381" s="9"/>
      <c r="Y381" s="21">
        <v>-7.8125E-2</v>
      </c>
      <c r="Z381" s="21">
        <v>18.093900000000001</v>
      </c>
      <c r="AA381" s="21">
        <v>-1.4700299999999999E-2</v>
      </c>
      <c r="AB381" s="21">
        <v>371</v>
      </c>
      <c r="AC381" s="21">
        <v>-7.8613299999999997E-2</v>
      </c>
      <c r="AD381">
        <f t="shared" si="64"/>
        <v>18.148518518518514</v>
      </c>
      <c r="AE381">
        <f t="shared" si="65"/>
        <v>-1.4178530092592589</v>
      </c>
      <c r="AF381" s="9"/>
      <c r="AG381" s="21">
        <v>1.7681899999999999</v>
      </c>
      <c r="AH381" s="21">
        <v>21.892900000000001</v>
      </c>
      <c r="AI381" s="21">
        <v>1.23596E-2</v>
      </c>
      <c r="AJ381" s="21">
        <v>371</v>
      </c>
      <c r="AK381" s="21">
        <v>1.7675799999999999</v>
      </c>
      <c r="AL381">
        <f t="shared" si="66"/>
        <v>-15.258765432098766</v>
      </c>
      <c r="AM381">
        <f t="shared" si="67"/>
        <v>-26.980396449382717</v>
      </c>
      <c r="AP381" s="9"/>
      <c r="AQ381" s="21">
        <v>-7.8125E-2</v>
      </c>
      <c r="AR381" s="21">
        <v>27.331099999999999</v>
      </c>
      <c r="AS381" s="21">
        <v>-1.47034E-2</v>
      </c>
      <c r="AT381" s="21">
        <v>371</v>
      </c>
      <c r="AU381" s="21">
        <v>-7.86438E-2</v>
      </c>
      <c r="AV381">
        <f t="shared" si="68"/>
        <v>18.152345679012342</v>
      </c>
      <c r="AW381">
        <f t="shared" si="69"/>
        <v>-1.4181520061728392</v>
      </c>
      <c r="AX381" s="9"/>
      <c r="AY381" s="21">
        <v>1.7681899999999999</v>
      </c>
      <c r="AZ381" s="21">
        <v>31.130099999999999</v>
      </c>
      <c r="BA381" s="21">
        <v>1.25763E-2</v>
      </c>
      <c r="BB381" s="21">
        <v>371</v>
      </c>
      <c r="BC381" s="21">
        <v>1.7675799999999999</v>
      </c>
      <c r="BD381">
        <f t="shared" si="70"/>
        <v>-15.526296296296294</v>
      </c>
      <c r="BE381">
        <f t="shared" si="71"/>
        <v>-27.453441848148145</v>
      </c>
    </row>
    <row r="382" spans="6:57" x14ac:dyDescent="0.25">
      <c r="F382" s="9"/>
      <c r="G382" s="21">
        <v>-8.3160399999999995E-2</v>
      </c>
      <c r="H382" s="21">
        <v>8.7427299999999999</v>
      </c>
      <c r="I382" s="21">
        <v>-1.4694199999999999E-2</v>
      </c>
      <c r="J382" s="21">
        <v>372</v>
      </c>
      <c r="K382" s="21">
        <v>-8.3648700000000006E-2</v>
      </c>
      <c r="L382">
        <f t="shared" si="60"/>
        <v>18.140987654320988</v>
      </c>
      <c r="M382">
        <f t="shared" si="61"/>
        <v>-1.508611789728395</v>
      </c>
      <c r="N382" s="9"/>
      <c r="O382" s="21">
        <v>1.77322</v>
      </c>
      <c r="P382" s="21">
        <v>12.5418</v>
      </c>
      <c r="Q382" s="21">
        <v>1.7355300000000001E-2</v>
      </c>
      <c r="R382" s="21">
        <v>372</v>
      </c>
      <c r="S382" s="21">
        <v>1.7724599999999999</v>
      </c>
      <c r="T382">
        <f t="shared" si="62"/>
        <v>-21.426296296296293</v>
      </c>
      <c r="U382">
        <f t="shared" si="63"/>
        <v>-37.99353711851851</v>
      </c>
      <c r="X382" s="9"/>
      <c r="Y382" s="21">
        <v>-8.3160399999999995E-2</v>
      </c>
      <c r="Z382" s="21">
        <v>18.103899999999999</v>
      </c>
      <c r="AA382" s="21">
        <v>-1.47064E-2</v>
      </c>
      <c r="AB382" s="21">
        <v>372</v>
      </c>
      <c r="AC382" s="21">
        <v>-8.3618200000000004E-2</v>
      </c>
      <c r="AD382">
        <f t="shared" si="64"/>
        <v>18.156049382716049</v>
      </c>
      <c r="AE382">
        <f t="shared" si="65"/>
        <v>-1.5098643290864195</v>
      </c>
      <c r="AF382" s="9"/>
      <c r="AG382" s="21">
        <v>1.77322</v>
      </c>
      <c r="AH382" s="21">
        <v>21.902999999999999</v>
      </c>
      <c r="AI382" s="21">
        <v>1.4041100000000001E-2</v>
      </c>
      <c r="AJ382" s="21">
        <v>372</v>
      </c>
      <c r="AK382" s="21">
        <v>1.7724599999999999</v>
      </c>
      <c r="AL382">
        <f t="shared" si="66"/>
        <v>-17.334691358024692</v>
      </c>
      <c r="AM382">
        <f t="shared" si="67"/>
        <v>-30.738221409876544</v>
      </c>
      <c r="AP382" s="9"/>
      <c r="AQ382" s="21">
        <v>-8.3160399999999995E-2</v>
      </c>
      <c r="AR382" s="21">
        <v>27.341200000000001</v>
      </c>
      <c r="AS382" s="21">
        <v>-1.46973E-2</v>
      </c>
      <c r="AT382" s="21">
        <v>372</v>
      </c>
      <c r="AU382" s="21">
        <v>-8.3587599999999998E-2</v>
      </c>
      <c r="AV382">
        <f t="shared" si="68"/>
        <v>18.144814814814815</v>
      </c>
      <c r="AW382">
        <f t="shared" si="69"/>
        <v>-1.5089300579259259</v>
      </c>
      <c r="AX382" s="9"/>
      <c r="AY382" s="21">
        <v>1.77322</v>
      </c>
      <c r="AZ382" s="21">
        <v>31.1402</v>
      </c>
      <c r="BA382" s="21">
        <v>1.4212000000000001E-2</v>
      </c>
      <c r="BB382" s="21">
        <v>372</v>
      </c>
      <c r="BC382" s="21">
        <v>1.77277</v>
      </c>
      <c r="BD382">
        <f t="shared" si="70"/>
        <v>-17.54567901234568</v>
      </c>
      <c r="BE382">
        <f t="shared" si="71"/>
        <v>-31.112348938271605</v>
      </c>
    </row>
    <row r="383" spans="6:57" x14ac:dyDescent="0.25">
      <c r="F383" s="9"/>
      <c r="G383" s="21">
        <v>-8.8195800000000005E-2</v>
      </c>
      <c r="H383" s="21">
        <v>8.7528100000000002</v>
      </c>
      <c r="I383" s="21">
        <v>-1.46973E-2</v>
      </c>
      <c r="J383" s="21">
        <v>373</v>
      </c>
      <c r="K383" s="21">
        <v>-8.8653599999999999E-2</v>
      </c>
      <c r="L383">
        <f t="shared" si="60"/>
        <v>18.144814814814815</v>
      </c>
      <c r="M383">
        <f t="shared" si="61"/>
        <v>-1.6002964584444446</v>
      </c>
      <c r="N383" s="9"/>
      <c r="O383" s="21">
        <v>1.77826</v>
      </c>
      <c r="P383" s="21">
        <v>12.5519</v>
      </c>
      <c r="Q383" s="21">
        <v>1.96075E-2</v>
      </c>
      <c r="R383" s="21">
        <v>373</v>
      </c>
      <c r="S383" s="21">
        <v>1.77765</v>
      </c>
      <c r="T383">
        <f t="shared" si="62"/>
        <v>-24.206790123456788</v>
      </c>
      <c r="U383">
        <f t="shared" si="63"/>
        <v>-43.045966604938265</v>
      </c>
      <c r="X383" s="9"/>
      <c r="Y383" s="21">
        <v>-8.8195800000000005E-2</v>
      </c>
      <c r="Z383" s="21">
        <v>18.114000000000001</v>
      </c>
      <c r="AA383" s="21">
        <v>-1.47095E-2</v>
      </c>
      <c r="AB383" s="21">
        <v>373</v>
      </c>
      <c r="AC383" s="21">
        <v>-8.8714600000000005E-2</v>
      </c>
      <c r="AD383">
        <f t="shared" si="64"/>
        <v>18.159876543209876</v>
      </c>
      <c r="AE383">
        <f t="shared" si="65"/>
        <v>-1.6016248396296298</v>
      </c>
      <c r="AF383" s="9"/>
      <c r="AG383" s="21">
        <v>1.77826</v>
      </c>
      <c r="AH383" s="21">
        <v>21.913</v>
      </c>
      <c r="AI383" s="21">
        <v>1.5741000000000002E-2</v>
      </c>
      <c r="AJ383" s="21">
        <v>373</v>
      </c>
      <c r="AK383" s="21">
        <v>1.7773399999999999</v>
      </c>
      <c r="AL383">
        <f t="shared" si="66"/>
        <v>-19.433333333333334</v>
      </c>
      <c r="AM383">
        <f t="shared" si="67"/>
        <v>-34.557519333333332</v>
      </c>
      <c r="AP383" s="9"/>
      <c r="AQ383" s="21">
        <v>-8.8195800000000005E-2</v>
      </c>
      <c r="AR383" s="21">
        <v>27.351199999999999</v>
      </c>
      <c r="AS383" s="21">
        <v>-1.4694199999999999E-2</v>
      </c>
      <c r="AT383" s="21">
        <v>373</v>
      </c>
      <c r="AU383" s="21">
        <v>-8.8653599999999999E-2</v>
      </c>
      <c r="AV383">
        <f t="shared" si="68"/>
        <v>18.140987654320988</v>
      </c>
      <c r="AW383">
        <f t="shared" si="69"/>
        <v>-1.5999589189629631</v>
      </c>
      <c r="AX383" s="9"/>
      <c r="AY383" s="21">
        <v>1.77826</v>
      </c>
      <c r="AZ383" s="21">
        <v>31.150300000000001</v>
      </c>
      <c r="BA383" s="21">
        <v>1.58722E-2</v>
      </c>
      <c r="BB383" s="21">
        <v>373</v>
      </c>
      <c r="BC383" s="21">
        <v>1.77765</v>
      </c>
      <c r="BD383">
        <f t="shared" si="70"/>
        <v>-19.595308641975304</v>
      </c>
      <c r="BE383">
        <f t="shared" si="71"/>
        <v>-34.845553545679003</v>
      </c>
    </row>
    <row r="384" spans="6:57" x14ac:dyDescent="0.25">
      <c r="F384" s="9"/>
      <c r="G384" s="21">
        <v>-9.32312E-2</v>
      </c>
      <c r="H384" s="21">
        <v>8.7628799999999991</v>
      </c>
      <c r="I384" s="21">
        <v>-1.47064E-2</v>
      </c>
      <c r="J384" s="21">
        <v>374</v>
      </c>
      <c r="K384" s="21">
        <v>-9.3719499999999997E-2</v>
      </c>
      <c r="L384">
        <f t="shared" si="60"/>
        <v>18.156049382716049</v>
      </c>
      <c r="M384">
        <f t="shared" si="61"/>
        <v>-1.6927102712098765</v>
      </c>
      <c r="N384" s="9"/>
      <c r="O384" s="21">
        <v>1.78329</v>
      </c>
      <c r="P384" s="21">
        <v>12.5619</v>
      </c>
      <c r="Q384" s="21">
        <v>2.1887199999999999E-2</v>
      </c>
      <c r="R384" s="21">
        <v>374</v>
      </c>
      <c r="S384" s="21">
        <v>1.7825299999999999</v>
      </c>
      <c r="T384">
        <f t="shared" si="62"/>
        <v>-27.021234567901232</v>
      </c>
      <c r="U384">
        <f t="shared" si="63"/>
        <v>-48.186697392592592</v>
      </c>
      <c r="X384" s="9"/>
      <c r="Y384" s="21">
        <v>-9.32312E-2</v>
      </c>
      <c r="Z384" s="21">
        <v>18.124099999999999</v>
      </c>
      <c r="AA384" s="21">
        <v>-1.47125E-2</v>
      </c>
      <c r="AB384" s="21">
        <v>374</v>
      </c>
      <c r="AC384" s="21">
        <v>-9.3719499999999997E-2</v>
      </c>
      <c r="AD384">
        <f t="shared" si="64"/>
        <v>18.163580246913579</v>
      </c>
      <c r="AE384">
        <f t="shared" si="65"/>
        <v>-1.6934123827160492</v>
      </c>
      <c r="AF384" s="9"/>
      <c r="AG384" s="21">
        <v>1.78329</v>
      </c>
      <c r="AH384" s="21">
        <v>21.923100000000002</v>
      </c>
      <c r="AI384" s="21">
        <v>1.745E-2</v>
      </c>
      <c r="AJ384" s="21">
        <v>374</v>
      </c>
      <c r="AK384" s="21">
        <v>1.7825299999999999</v>
      </c>
      <c r="AL384">
        <f t="shared" si="66"/>
        <v>-21.543209876543209</v>
      </c>
      <c r="AM384">
        <f t="shared" si="67"/>
        <v>-38.417790740740742</v>
      </c>
      <c r="AP384" s="9"/>
      <c r="AQ384" s="21">
        <v>-9.32312E-2</v>
      </c>
      <c r="AR384" s="21">
        <v>27.3613</v>
      </c>
      <c r="AS384" s="21">
        <v>-1.47034E-2</v>
      </c>
      <c r="AT384" s="21">
        <v>374</v>
      </c>
      <c r="AU384" s="21">
        <v>-9.36279E-2</v>
      </c>
      <c r="AV384">
        <f t="shared" si="68"/>
        <v>18.152345679012342</v>
      </c>
      <c r="AW384">
        <f t="shared" si="69"/>
        <v>-1.6923649704691355</v>
      </c>
      <c r="AX384" s="9"/>
      <c r="AY384" s="21">
        <v>1.78329</v>
      </c>
      <c r="AZ384" s="21">
        <v>31.160299999999999</v>
      </c>
      <c r="BA384" s="21">
        <v>1.75476E-2</v>
      </c>
      <c r="BB384" s="21">
        <v>374</v>
      </c>
      <c r="BC384" s="21">
        <v>1.7825299999999999</v>
      </c>
      <c r="BD384">
        <f t="shared" si="70"/>
        <v>-21.663703703703703</v>
      </c>
      <c r="BE384">
        <f t="shared" si="71"/>
        <v>-38.632666177777779</v>
      </c>
    </row>
    <row r="385" spans="6:57" x14ac:dyDescent="0.25">
      <c r="F385" s="9"/>
      <c r="G385" s="21">
        <v>-9.8266599999999996E-2</v>
      </c>
      <c r="H385" s="21">
        <v>8.7729499999999998</v>
      </c>
      <c r="I385" s="21">
        <v>-1.47095E-2</v>
      </c>
      <c r="J385" s="21">
        <v>375</v>
      </c>
      <c r="K385" s="21">
        <v>-9.8754900000000007E-2</v>
      </c>
      <c r="L385">
        <f t="shared" si="60"/>
        <v>18.159876543209876</v>
      </c>
      <c r="M385">
        <f t="shared" si="61"/>
        <v>-1.7845093243209875</v>
      </c>
      <c r="N385" s="9"/>
      <c r="O385" s="21">
        <v>1.78833</v>
      </c>
      <c r="P385" s="21">
        <v>12.571999999999999</v>
      </c>
      <c r="Q385" s="21">
        <v>2.42157E-2</v>
      </c>
      <c r="R385" s="21">
        <v>375</v>
      </c>
      <c r="S385" s="21">
        <v>1.78711</v>
      </c>
      <c r="T385">
        <f t="shared" si="62"/>
        <v>-29.895925925925923</v>
      </c>
      <c r="U385">
        <f t="shared" si="63"/>
        <v>-53.463781211111105</v>
      </c>
      <c r="X385" s="9"/>
      <c r="Y385" s="21">
        <v>-9.8266599999999996E-2</v>
      </c>
      <c r="Z385" s="21">
        <v>18.1341</v>
      </c>
      <c r="AA385" s="21">
        <v>-1.47186E-2</v>
      </c>
      <c r="AB385" s="21">
        <v>375</v>
      </c>
      <c r="AC385" s="21">
        <v>-9.8968500000000001E-2</v>
      </c>
      <c r="AD385">
        <f t="shared" si="64"/>
        <v>18.171111111111109</v>
      </c>
      <c r="AE385">
        <f t="shared" si="65"/>
        <v>-1.7856133071111109</v>
      </c>
      <c r="AF385" s="9"/>
      <c r="AG385" s="21">
        <v>1.78833</v>
      </c>
      <c r="AH385" s="21">
        <v>21.933199999999999</v>
      </c>
      <c r="AI385" s="21">
        <v>1.91589E-2</v>
      </c>
      <c r="AJ385" s="21">
        <v>375</v>
      </c>
      <c r="AK385" s="21">
        <v>1.7880199999999999</v>
      </c>
      <c r="AL385">
        <f t="shared" si="66"/>
        <v>-23.652962962962963</v>
      </c>
      <c r="AM385">
        <f t="shared" si="67"/>
        <v>-42.299303255555557</v>
      </c>
      <c r="AP385" s="9"/>
      <c r="AQ385" s="21">
        <v>-9.8266599999999996E-2</v>
      </c>
      <c r="AR385" s="21">
        <v>27.371400000000001</v>
      </c>
      <c r="AS385" s="21">
        <v>-1.47064E-2</v>
      </c>
      <c r="AT385" s="21">
        <v>375</v>
      </c>
      <c r="AU385" s="21">
        <v>-9.8663299999999995E-2</v>
      </c>
      <c r="AV385">
        <f t="shared" si="68"/>
        <v>18.156049382716049</v>
      </c>
      <c r="AW385">
        <f t="shared" si="69"/>
        <v>-1.7841332422716047</v>
      </c>
      <c r="AX385" s="9"/>
      <c r="AY385" s="21">
        <v>1.78833</v>
      </c>
      <c r="AZ385" s="21">
        <v>31.170400000000001</v>
      </c>
      <c r="BA385" s="21">
        <v>1.9232200000000001E-2</v>
      </c>
      <c r="BB385" s="21">
        <v>375</v>
      </c>
      <c r="BC385" s="21">
        <v>1.7880199999999999</v>
      </c>
      <c r="BD385">
        <f t="shared" si="70"/>
        <v>-23.743456790123457</v>
      </c>
      <c r="BE385">
        <f t="shared" si="71"/>
        <v>-42.461136081481477</v>
      </c>
    </row>
    <row r="386" spans="6:57" x14ac:dyDescent="0.25">
      <c r="F386" s="9"/>
      <c r="G386" s="21">
        <v>-0.103302</v>
      </c>
      <c r="H386" s="21">
        <v>8.7830200000000005</v>
      </c>
      <c r="I386" s="21">
        <v>-1.4715600000000001E-2</v>
      </c>
      <c r="J386" s="21">
        <v>376</v>
      </c>
      <c r="K386" s="21">
        <v>-0.10376000000000001</v>
      </c>
      <c r="L386">
        <f t="shared" si="60"/>
        <v>18.167407407407406</v>
      </c>
      <c r="M386">
        <f t="shared" si="61"/>
        <v>-1.87672952</v>
      </c>
      <c r="N386" s="9"/>
      <c r="O386" s="21">
        <v>1.7933699999999999</v>
      </c>
      <c r="P386" s="21">
        <v>12.582100000000001</v>
      </c>
      <c r="Q386" s="21">
        <v>2.6553299999999998E-2</v>
      </c>
      <c r="R386" s="21">
        <v>376</v>
      </c>
      <c r="S386" s="21">
        <v>1.7926</v>
      </c>
      <c r="T386">
        <f t="shared" si="62"/>
        <v>-32.781851851851847</v>
      </c>
      <c r="U386">
        <f t="shared" si="63"/>
        <v>-58.789989655555544</v>
      </c>
      <c r="X386" s="9"/>
      <c r="Y386" s="21">
        <v>-0.103302</v>
      </c>
      <c r="Z386" s="21">
        <v>18.144200000000001</v>
      </c>
      <c r="AA386" s="21">
        <v>-1.4715600000000001E-2</v>
      </c>
      <c r="AB386" s="21">
        <v>376</v>
      </c>
      <c r="AC386" s="21">
        <v>-0.10378999999999999</v>
      </c>
      <c r="AD386">
        <f t="shared" si="64"/>
        <v>18.167407407407406</v>
      </c>
      <c r="AE386">
        <f t="shared" si="65"/>
        <v>-1.87672952</v>
      </c>
      <c r="AF386" s="9"/>
      <c r="AG386" s="21">
        <v>1.7933699999999999</v>
      </c>
      <c r="AH386" s="21">
        <v>21.943300000000001</v>
      </c>
      <c r="AI386" s="21">
        <v>2.0874E-2</v>
      </c>
      <c r="AJ386" s="21">
        <v>376</v>
      </c>
      <c r="AK386" s="21">
        <v>1.79291</v>
      </c>
      <c r="AL386">
        <f t="shared" si="66"/>
        <v>-25.770370370370369</v>
      </c>
      <c r="AM386">
        <f t="shared" si="67"/>
        <v>-46.215809111111106</v>
      </c>
      <c r="AP386" s="9"/>
      <c r="AQ386" s="21">
        <v>-0.103302</v>
      </c>
      <c r="AR386" s="21">
        <v>27.381399999999999</v>
      </c>
      <c r="AS386" s="21">
        <v>-1.47064E-2</v>
      </c>
      <c r="AT386" s="21">
        <v>376</v>
      </c>
      <c r="AU386" s="21">
        <v>-0.103699</v>
      </c>
      <c r="AV386">
        <f t="shared" si="68"/>
        <v>18.156049382716049</v>
      </c>
      <c r="AW386">
        <f t="shared" si="69"/>
        <v>-1.8755562133333332</v>
      </c>
      <c r="AX386" s="9"/>
      <c r="AY386" s="21">
        <v>1.7933699999999999</v>
      </c>
      <c r="AZ386" s="21">
        <v>31.180499999999999</v>
      </c>
      <c r="BA386" s="21">
        <v>2.09442E-2</v>
      </c>
      <c r="BB386" s="21">
        <v>376</v>
      </c>
      <c r="BC386" s="21">
        <v>1.7926</v>
      </c>
      <c r="BD386">
        <f t="shared" si="70"/>
        <v>-25.857037037037035</v>
      </c>
      <c r="BE386">
        <f t="shared" si="71"/>
        <v>-46.371234511111105</v>
      </c>
    </row>
    <row r="387" spans="6:57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7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6"/>
  <sheetViews>
    <sheetView topLeftCell="AP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342.82718852452757</v>
      </c>
      <c r="H2" s="2"/>
      <c r="I2" s="6" t="s">
        <v>12</v>
      </c>
      <c r="J2" s="2"/>
      <c r="K2" s="7" t="s">
        <v>13</v>
      </c>
      <c r="L2" s="3">
        <f>L4*I6*L9/100*100</f>
        <v>23.65064798148148</v>
      </c>
      <c r="M2" s="8" t="s">
        <v>14</v>
      </c>
      <c r="N2" s="9"/>
      <c r="O2" s="2">
        <f>ABS(S7-S6)/ABS(T7-T6)*1000</f>
        <v>456.08313956033618</v>
      </c>
      <c r="P2" s="2"/>
      <c r="Q2" s="6" t="s">
        <v>15</v>
      </c>
      <c r="R2" s="2"/>
      <c r="S2" s="7" t="s">
        <v>13</v>
      </c>
      <c r="T2" s="3">
        <f>T4*Q6*T9/100*100</f>
        <v>22.976220296296301</v>
      </c>
      <c r="U2" s="8" t="s">
        <v>14</v>
      </c>
      <c r="X2" s="9"/>
      <c r="Y2" s="2">
        <f>ABS(AC7-AC6)/ABS(AD7-AD6)*1000</f>
        <v>448.43977173927851</v>
      </c>
      <c r="Z2" s="2"/>
      <c r="AA2" s="6" t="s">
        <v>12</v>
      </c>
      <c r="AB2" s="2"/>
      <c r="AC2" s="7" t="s">
        <v>13</v>
      </c>
      <c r="AD2" s="3">
        <f>AD4*AA6*AD9/100*100</f>
        <v>23.707037476543213</v>
      </c>
      <c r="AE2" s="8" t="s">
        <v>14</v>
      </c>
      <c r="AF2" s="9"/>
      <c r="AG2" s="2">
        <f>ABS(AK7-AK6)/ABS(AL7-AL6)*1000</f>
        <v>1370.2699800002238</v>
      </c>
      <c r="AH2" s="2"/>
      <c r="AI2" s="6" t="s">
        <v>15</v>
      </c>
      <c r="AJ2" s="2"/>
      <c r="AK2" s="7" t="s">
        <v>13</v>
      </c>
      <c r="AL2" s="3">
        <f>AL4*AI6*AL9/100*100</f>
        <v>22.703045728395058</v>
      </c>
      <c r="AM2" s="8" t="s">
        <v>14</v>
      </c>
      <c r="AP2" s="9"/>
      <c r="AQ2" s="2">
        <f>ABS(AU7-AU6)/ABS(AV7-AV6)*1000</f>
        <v>453.91064835168902</v>
      </c>
      <c r="AR2" s="2"/>
      <c r="AS2" s="6" t="s">
        <v>12</v>
      </c>
      <c r="AT2" s="2"/>
      <c r="AU2" s="7" t="s">
        <v>13</v>
      </c>
      <c r="AV2" s="3">
        <f>AV4*AS6*AV9/100*100</f>
        <v>23.637296286419744</v>
      </c>
      <c r="AW2" s="8" t="s">
        <v>14</v>
      </c>
      <c r="AX2" s="9"/>
      <c r="AY2" s="2">
        <f>ABS(BC7-BC6)/ABS(BD7-BD6)*1000</f>
        <v>2014.013345901747</v>
      </c>
      <c r="AZ2" s="2"/>
      <c r="BA2" s="6" t="s">
        <v>15</v>
      </c>
      <c r="BB2" s="2"/>
      <c r="BC2" s="7" t="s">
        <v>13</v>
      </c>
      <c r="BD2" s="3">
        <f>BD4*BA6*BD9/100*100</f>
        <v>22.5943100308642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1.72424</v>
      </c>
      <c r="J3" s="2"/>
      <c r="K3" s="10">
        <f>INDEX(L11:L1056,MATCH(I3,K11:K1056,0))</f>
        <v>-0.55881111111111104</v>
      </c>
      <c r="L3" s="26" t="s">
        <v>16</v>
      </c>
      <c r="M3" s="11">
        <f>M9</f>
        <v>23.65064798148148</v>
      </c>
      <c r="N3" s="9"/>
      <c r="O3" s="2" t="s">
        <v>44</v>
      </c>
      <c r="P3" s="2"/>
      <c r="Q3" s="2">
        <f>INDEX(S11:S1056,MATCH(0,T11:T1056,-1))</f>
        <v>1.72272</v>
      </c>
      <c r="R3" s="2"/>
      <c r="S3" s="10">
        <f>INDEX(T11:T1056,MATCH(Q3,S11:S1056,0))</f>
        <v>0.81229506172839494</v>
      </c>
      <c r="T3" s="26" t="s">
        <v>16</v>
      </c>
      <c r="U3" s="11">
        <f>U9</f>
        <v>22.976220296296297</v>
      </c>
      <c r="X3" s="9"/>
      <c r="Y3" s="2" t="s">
        <v>44</v>
      </c>
      <c r="Z3" s="2"/>
      <c r="AA3" s="2">
        <f>INDEX(AC11:AC856,MATCH(0,AD11:AD856,1))</f>
        <v>1.72455</v>
      </c>
      <c r="AB3" s="2"/>
      <c r="AC3" s="10">
        <f>INDEX(AD11:AD1056,MATCH(AA3,AC11:AC1056,0))</f>
        <v>-1.0628407407407408</v>
      </c>
      <c r="AD3" s="26" t="s">
        <v>16</v>
      </c>
      <c r="AE3" s="11">
        <f>AE9</f>
        <v>23.707037476543213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0.60259012345679008</v>
      </c>
      <c r="AL3" s="26" t="s">
        <v>16</v>
      </c>
      <c r="AM3" s="11">
        <f>AM9</f>
        <v>22.703045728395058</v>
      </c>
      <c r="AP3" s="9"/>
      <c r="AQ3" s="2" t="s">
        <v>44</v>
      </c>
      <c r="AR3" s="2"/>
      <c r="AS3" s="2">
        <f>INDEX(AU11:AU856,MATCH(0,AV11:AV856,1))</f>
        <v>1.72424</v>
      </c>
      <c r="AT3" s="2"/>
      <c r="AU3" s="10">
        <f>INDEX(AV11:AV1056,MATCH(AS3,AU11:AU1056,0))</f>
        <v>-1.5062839506172838</v>
      </c>
      <c r="AV3" s="26" t="s">
        <v>16</v>
      </c>
      <c r="AW3" s="11">
        <f>AW9</f>
        <v>23.637296286419748</v>
      </c>
      <c r="AX3" s="9"/>
      <c r="AY3" s="2" t="s">
        <v>44</v>
      </c>
      <c r="AZ3" s="2"/>
      <c r="BA3" s="2">
        <f>INDEX(BC11:BC1056,MATCH(0,BD11:BD1056,-1))</f>
        <v>1.72272</v>
      </c>
      <c r="BB3" s="2"/>
      <c r="BC3" s="10">
        <f>INDEX(BD11:BD1056,MATCH(BA3,BC11:BC1056,0))</f>
        <v>0.30743580246913577</v>
      </c>
      <c r="BD3" s="26" t="s">
        <v>16</v>
      </c>
      <c r="BE3" s="11">
        <f>BE9</f>
        <v>22.594310030864197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3.1636294660614919</v>
      </c>
      <c r="H4" s="2"/>
      <c r="I4" s="2">
        <f>INDEX(K11:K1000,1+MATCH(0,L11:L856,1))</f>
        <v>1.71936</v>
      </c>
      <c r="J4" s="2"/>
      <c r="K4" s="10">
        <f>INDEX(L11:L1056,MATCH(I4,K11:K1056,0))</f>
        <v>0.98372098765432092</v>
      </c>
      <c r="L4" s="25">
        <f>M3/(I6*L9)</f>
        <v>0.71123621981743934</v>
      </c>
      <c r="M4" s="8" t="s">
        <v>17</v>
      </c>
      <c r="N4" s="9"/>
      <c r="O4" s="2">
        <f>ABS(Q3-Q4)/ABS(S3-S4)*1000</f>
        <v>3.2892572043738815</v>
      </c>
      <c r="P4" s="2"/>
      <c r="Q4" s="2">
        <f>INDEX(S11:S856,1+MATCH(0,T11:T856,-1))</f>
        <v>1.72699</v>
      </c>
      <c r="R4" s="2"/>
      <c r="S4" s="10">
        <f>INDEX(T11:T856,MATCH(Q4,S11:S856,0))</f>
        <v>-0.48587037037037034</v>
      </c>
      <c r="T4" s="25">
        <f>U3/(Q6*T9)</f>
        <v>0.69380353927617</v>
      </c>
      <c r="U4" s="8" t="s">
        <v>17</v>
      </c>
      <c r="X4" s="9"/>
      <c r="Y4" s="2">
        <f>ABS(AA3-AA4)/ABS(AC3-AC4)*1000</f>
        <v>3.5841199042816134</v>
      </c>
      <c r="Z4" s="2"/>
      <c r="AA4" s="2">
        <f>INDEX(AC11:AC1000,1+MATCH(0,AD11:AD856,1))</f>
        <v>1.71906</v>
      </c>
      <c r="AB4" s="2"/>
      <c r="AC4" s="10">
        <f>INDEX(AD11:AD1056,MATCH(AA4,AC11:AC1056,0))</f>
        <v>0.46891604938271603</v>
      </c>
      <c r="AD4" s="25">
        <f>AE3/(AA6*AD9)</f>
        <v>0.72318116867434101</v>
      </c>
      <c r="AE4" s="8" t="s">
        <v>17</v>
      </c>
      <c r="AF4" s="9"/>
      <c r="AG4" s="2">
        <f>ABS(AI3-AI4)/ABS(AK3-AK4)*1000</f>
        <v>4.0600050123518381</v>
      </c>
      <c r="AH4" s="2"/>
      <c r="AI4" s="2">
        <f>INDEX(AK11:AK856,1+MATCH(0,AL11:AL856,-1))</f>
        <v>1.72729</v>
      </c>
      <c r="AJ4" s="2"/>
      <c r="AK4" s="10">
        <f>INDEX(AL11:AL856,MATCH(AI4,AK11:AK856,0))</f>
        <v>-0.6732703703703703</v>
      </c>
      <c r="AL4" s="25">
        <f>AM3/(AI6*AL9)</f>
        <v>0.69371058670607111</v>
      </c>
      <c r="AM4" s="8" t="s">
        <v>17</v>
      </c>
      <c r="AP4" s="9"/>
      <c r="AQ4" s="2">
        <f>ABS(AS3-AS4)/ABS(AU3-AU4)*1000</f>
        <v>3.3588614165864494</v>
      </c>
      <c r="AR4" s="2"/>
      <c r="AS4" s="2">
        <f>INDEX(AU11:AU1000,1+MATCH(0,AV11:AV856,1))</f>
        <v>1.71906</v>
      </c>
      <c r="AT4" s="2"/>
      <c r="AU4" s="10">
        <f>INDEX(AV11:AV1056,MATCH(AS4,AU11:AU1056,0))</f>
        <v>3.590530864197531E-2</v>
      </c>
      <c r="AV4" s="25">
        <f>AW3/(AS6*AV9)</f>
        <v>0.7251492020922774</v>
      </c>
      <c r="AW4" s="8" t="s">
        <v>17</v>
      </c>
      <c r="AX4" s="9"/>
      <c r="AY4" s="2">
        <f>ABS(BA3-BA4)/ABS(BC3-BC4)*1000</f>
        <v>3.4034051520439284</v>
      </c>
      <c r="AZ4" s="2"/>
      <c r="BA4" s="2">
        <f>INDEX(BC11:BC856,1+MATCH(0,BD11:BD856,-1))</f>
        <v>1.72729</v>
      </c>
      <c r="BB4" s="2"/>
      <c r="BC4" s="10">
        <f>INDEX(BD11:BD856,MATCH(BA4,BC11:BC856,0))</f>
        <v>-1.0353370370370369</v>
      </c>
      <c r="BD4" s="25">
        <f>BE3/(BA6*BD9)</f>
        <v>0.69398597151219876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16.110246913580244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15.835185185185185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16.038641975308643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15.646913580246911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16.04617283950617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15.903086419753087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1.7224721287029263</v>
      </c>
      <c r="J6" s="25"/>
      <c r="K6" s="2">
        <f>INDEX(K11:K1056,MATCH(L6,L11:L1056,0))</f>
        <v>2.6275600000000001E-3</v>
      </c>
      <c r="L6" s="10">
        <f>INDEX(L11:L1056,MATCH(0,K11:K1056,-1))</f>
        <v>19.29765432098765</v>
      </c>
      <c r="M6" s="8" t="s">
        <v>22</v>
      </c>
      <c r="N6" s="9"/>
      <c r="O6" s="2"/>
      <c r="P6" s="2"/>
      <c r="Q6" s="27">
        <f>(Q3-Q4)/(S3-S4)*(-S4)+Q4</f>
        <v>1.7253918473838674</v>
      </c>
      <c r="R6" s="27"/>
      <c r="S6" s="2">
        <f>INDEX(S11:S1056,MATCH(T6,T11:T1056,0))</f>
        <v>-4.5379599999999997E-3</v>
      </c>
      <c r="T6" s="10">
        <f>INDEX(T11:T1056,MATCH(0,S11:S1056,1))</f>
        <v>19.203456790123457</v>
      </c>
      <c r="U6" s="8" t="s">
        <v>22</v>
      </c>
      <c r="X6" s="9"/>
      <c r="Y6" s="2"/>
      <c r="Z6" s="2"/>
      <c r="AA6" s="25">
        <f>(AA3-AA4)/(AC3-AC4)*(-AC4)+AA4</f>
        <v>1.7207406513460297</v>
      </c>
      <c r="AB6" s="25"/>
      <c r="AC6" s="2">
        <f>INDEX(AC11:AC1056,MATCH(AD6,AD11:AD1056,0))</f>
        <v>2.5482199999999999E-3</v>
      </c>
      <c r="AD6" s="10">
        <f>INDEX(AD11:AD1056,MATCH(0,AC11:AC1056,-1))</f>
        <v>19.045185185185186</v>
      </c>
      <c r="AE6" s="8" t="s">
        <v>22</v>
      </c>
      <c r="AF6" s="9"/>
      <c r="AG6" s="2"/>
      <c r="AH6" s="2"/>
      <c r="AI6" s="27">
        <f>(AI3-AI4)/(AK3-AK4)*(-AK4)+AI4</f>
        <v>1.7245565189216283</v>
      </c>
      <c r="AJ6" s="27"/>
      <c r="AK6" s="2">
        <f>INDEX(AK11:AK1056,MATCH(AL6,AL11:AL1056,0))</f>
        <v>-4.5654299999999997E-3</v>
      </c>
      <c r="AL6" s="10">
        <f>INDEX(AL11:AL1056,MATCH(0,AK11:AK1056,1))</f>
        <v>18.973703703703706</v>
      </c>
      <c r="AM6" s="8" t="s">
        <v>22</v>
      </c>
      <c r="AP6" s="9"/>
      <c r="AQ6" s="2"/>
      <c r="AR6" s="2"/>
      <c r="AS6" s="25">
        <f>(AS3-AS4)/(AU3-AU4)*(-AU4)+AS4</f>
        <v>1.7191806009558481</v>
      </c>
      <c r="AT6" s="25"/>
      <c r="AU6" s="2">
        <f>INDEX(AU11:AU1056,MATCH(AV6,AV11:AV1056,0))</f>
        <v>2.5634799999999999E-3</v>
      </c>
      <c r="AV6" s="10">
        <f>INDEX(AV11:AV1056,MATCH(0,AU11:AU1056,-1))</f>
        <v>18.954814814814814</v>
      </c>
      <c r="AW6" s="8" t="s">
        <v>22</v>
      </c>
      <c r="AX6" s="9"/>
      <c r="AY6" s="2"/>
      <c r="AZ6" s="2"/>
      <c r="BA6" s="27">
        <f>(BA3-BA4)/(BC3-BC4)*(-BC4)+BA4</f>
        <v>1.7237663285940463</v>
      </c>
      <c r="BB6" s="27"/>
      <c r="BC6" s="2">
        <f>INDEX(BC11:BC1056,MATCH(BD6,BD11:BD1056,0))</f>
        <v>-1.4627100000000001E-2</v>
      </c>
      <c r="BD6" s="10">
        <f>INDEX(BD11:BD1056,MATCH(0,BC11:BC1056,1))</f>
        <v>18.894567901234566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-2.53601E-3</v>
      </c>
      <c r="L7" s="10">
        <f>INDEX(L11:L856,1+MATCH(0,K11:K856,-1))</f>
        <v>19.312716049382715</v>
      </c>
      <c r="M7" s="12">
        <f>INDEX(K11:K1056,MATCH(M9,M11:M1056,0))</f>
        <v>1.46759</v>
      </c>
      <c r="N7" s="9"/>
      <c r="O7" s="2"/>
      <c r="P7" s="2"/>
      <c r="Q7" s="2"/>
      <c r="R7" s="2"/>
      <c r="S7" s="2">
        <f>INDEX(S11:S1056,MATCH(T7,T11:T1056,0))</f>
        <v>5.8593700000000002E-4</v>
      </c>
      <c r="T7" s="10">
        <f>INDEX(T11:T1056,1+MATCH(0,S11:S1056,1))</f>
        <v>19.19222222222222</v>
      </c>
      <c r="U7" s="12">
        <f>INDEX(S11:S1056,MATCH(U9,U11:U1056,0))</f>
        <v>1.4504999999999999</v>
      </c>
      <c r="X7" s="9"/>
      <c r="Y7" s="2"/>
      <c r="Z7" s="2"/>
      <c r="AA7" s="2"/>
      <c r="AB7" s="2"/>
      <c r="AC7" s="2">
        <f>INDEX(AC11:AC856,MATCH(AD7,AD11:AD856,1))</f>
        <v>-2.5451699999999998E-3</v>
      </c>
      <c r="AD7" s="10">
        <f>INDEX(AD11:AD856,1+MATCH(0,AC11:AC856,-1))</f>
        <v>19.056543209876541</v>
      </c>
      <c r="AE7" s="12">
        <f>INDEX(AC11:AC1056,MATCH(AE9,AE11:AE1056,0))</f>
        <v>1.47736</v>
      </c>
      <c r="AF7" s="9"/>
      <c r="AG7" s="2"/>
      <c r="AH7" s="2"/>
      <c r="AI7" s="2"/>
      <c r="AJ7" s="2"/>
      <c r="AK7" s="2">
        <f>INDEX(AK11:AK1056,MATCH(AL7,AL11:AL1056,0))</f>
        <v>5.0964399999999996E-4</v>
      </c>
      <c r="AL7" s="10">
        <f>INDEX(AL11:AL1056,1+MATCH(0,AK11:AK1056,1))</f>
        <v>18.977407407407409</v>
      </c>
      <c r="AM7" s="12">
        <f>INDEX(AK11:AK1056,MATCH(AM9,AM11:AM1056,0))</f>
        <v>1.4498899999999999</v>
      </c>
      <c r="AP7" s="9"/>
      <c r="AQ7" s="2"/>
      <c r="AR7" s="2"/>
      <c r="AS7" s="2"/>
      <c r="AT7" s="2"/>
      <c r="AU7" s="2">
        <f>INDEX(AU11:AU856,MATCH(AV7,AV11:AV856,1))</f>
        <v>-2.53601E-3</v>
      </c>
      <c r="AV7" s="10">
        <f>INDEX(AV11:AV856,1+MATCH(0,AU11:AU856,-1))</f>
        <v>18.966049382716047</v>
      </c>
      <c r="AW7" s="12">
        <f>INDEX(AU11:AU1056,MATCH(AW9,AW11:AW1056,0))</f>
        <v>1.47278</v>
      </c>
      <c r="AX7" s="9"/>
      <c r="AY7" s="2"/>
      <c r="AZ7" s="2"/>
      <c r="BA7" s="2"/>
      <c r="BB7" s="2"/>
      <c r="BC7" s="2">
        <f>INDEX(BC11:BC1056,MATCH(BD7,BD11:BD1056,0))</f>
        <v>5.4016100000000005E-4</v>
      </c>
      <c r="BD7" s="10">
        <f>INDEX(BD11:BD1056,1+MATCH(0,BC11:BC1056,1))</f>
        <v>18.887037037037036</v>
      </c>
      <c r="BE7" s="12">
        <f>INDEX(BC11:BC1056,MATCH(BE9,BE11:BE1056,0))</f>
        <v>1.4202900000000001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2.8516245546982817</v>
      </c>
      <c r="J9" s="2"/>
      <c r="K9" s="2"/>
      <c r="L9" s="3">
        <f>(L6-L7)/(K6-K7)*(-K7)+L7</f>
        <v>19.305318707267247</v>
      </c>
      <c r="M9" s="15">
        <f>MAX(M11:M1056)</f>
        <v>23.65064798148148</v>
      </c>
      <c r="N9" s="9"/>
      <c r="O9" s="2"/>
      <c r="P9" s="2"/>
      <c r="Q9" s="2"/>
      <c r="R9" s="2"/>
      <c r="S9" s="2"/>
      <c r="T9" s="3">
        <f>(T6-T7)/(S6-S7)*(-S7)+T7</f>
        <v>19.193506937549703</v>
      </c>
      <c r="U9" s="15">
        <f>MAX(U11:U1056)</f>
        <v>22.976220296296297</v>
      </c>
      <c r="X9" s="9"/>
      <c r="Y9" s="2"/>
      <c r="Z9" s="2"/>
      <c r="AA9" s="14">
        <f>(MAX(AD2,AL2)-MIN(AD2,AL2))/MAX(AD2,AL2)%</f>
        <v>4.2349945628657721</v>
      </c>
      <c r="AB9" s="2"/>
      <c r="AC9" s="2"/>
      <c r="AD9" s="3">
        <f>(AD6-AD7)/(AC6-AC7)*(-AC7)+AD7</f>
        <v>19.050867598210502</v>
      </c>
      <c r="AE9" s="15">
        <f>MAX(AE11:AE1056)</f>
        <v>23.707037476543213</v>
      </c>
      <c r="AF9" s="9"/>
      <c r="AG9" s="2"/>
      <c r="AH9" s="2"/>
      <c r="AI9" s="2"/>
      <c r="AJ9" s="2"/>
      <c r="AK9" s="2"/>
      <c r="AL9" s="3">
        <f>(AL6-AL7)/(AK6-AK7)*(-AK7)+AL7</f>
        <v>18.97703547778227</v>
      </c>
      <c r="AM9" s="15">
        <f>MAX(AM11:AM1056)</f>
        <v>22.703045728395058</v>
      </c>
      <c r="AP9" s="9"/>
      <c r="AQ9" s="2"/>
      <c r="AR9" s="2"/>
      <c r="AS9" s="14">
        <f>(MAX(AV2,BD2)-MIN(AV2,BD2))/MAX(AV2,BD2)%</f>
        <v>4.4124600500725091</v>
      </c>
      <c r="AT9" s="2"/>
      <c r="AU9" s="2"/>
      <c r="AV9" s="3">
        <f>(AV6-AV7)/(AU6-AU7)*(-AU7)+AV7</f>
        <v>18.960462358024714</v>
      </c>
      <c r="AW9" s="15">
        <f>MAX(AW11:AW1056)</f>
        <v>23.637296286419748</v>
      </c>
      <c r="AX9" s="9"/>
      <c r="AY9" s="2"/>
      <c r="AZ9" s="2"/>
      <c r="BA9" s="2"/>
      <c r="BB9" s="2"/>
      <c r="BC9" s="2"/>
      <c r="BD9" s="3">
        <f>(BD6-BD7)/(BC6-BC7)*(-BC7)+BD7</f>
        <v>18.887305238338232</v>
      </c>
      <c r="BE9" s="15">
        <f>MAX(BE11:BE1056)</f>
        <v>22.594310030864197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1.7224721287029263</v>
      </c>
      <c r="B11" s="18">
        <f>IFERROR(L9,0)</f>
        <v>19.305318707267247</v>
      </c>
      <c r="C11" s="19">
        <f>IFERROR(L4,0)</f>
        <v>0.71123621981743934</v>
      </c>
      <c r="D11" s="20">
        <f>IFERROR(L2,0)</f>
        <v>23.65064798148148</v>
      </c>
      <c r="E11" s="20">
        <f>IFERROR(I9,0)</f>
        <v>2.8516245546982817</v>
      </c>
      <c r="F11" s="9"/>
      <c r="G11" s="21">
        <v>1.73492</v>
      </c>
      <c r="H11" s="21">
        <v>5.0223899999999997</v>
      </c>
      <c r="I11" s="21">
        <v>3.5284399999999999E-3</v>
      </c>
      <c r="J11" s="21">
        <v>1</v>
      </c>
      <c r="K11" s="21">
        <v>1.73431</v>
      </c>
      <c r="L11">
        <f>-I11/$F$2*1000</f>
        <v>-4.3560987654320984</v>
      </c>
      <c r="M11">
        <f>L11*G11</f>
        <v>-7.5574828701234562</v>
      </c>
      <c r="N11" s="9"/>
      <c r="O11" s="21">
        <v>-9.49097E-2</v>
      </c>
      <c r="P11" s="21">
        <v>8.7207299999999996</v>
      </c>
      <c r="Q11" s="21">
        <v>-1.56525E-2</v>
      </c>
      <c r="R11" s="21">
        <v>1</v>
      </c>
      <c r="S11" s="21">
        <v>-9.5459000000000002E-2</v>
      </c>
      <c r="T11">
        <f>-Q11/$F$2*1000</f>
        <v>19.324074074074073</v>
      </c>
      <c r="U11">
        <f>T11*O11</f>
        <v>-1.8340420731481479</v>
      </c>
      <c r="V11" s="22"/>
      <c r="W11" s="23"/>
      <c r="X11" s="9"/>
      <c r="Y11" s="21">
        <v>1.73492</v>
      </c>
      <c r="Z11" s="21">
        <v>14.1256</v>
      </c>
      <c r="AA11" s="21">
        <v>3.88916E-3</v>
      </c>
      <c r="AB11" s="21">
        <v>1</v>
      </c>
      <c r="AC11" s="21">
        <v>1.7340100000000001</v>
      </c>
      <c r="AD11">
        <f>-AA11/$F$2*1000</f>
        <v>-4.8014320987654324</v>
      </c>
      <c r="AE11">
        <f>AD11*Y11</f>
        <v>-8.3301005767901248</v>
      </c>
      <c r="AF11" s="9"/>
      <c r="AG11" s="21">
        <v>-9.49097E-2</v>
      </c>
      <c r="AH11" s="21">
        <v>17.823899999999998</v>
      </c>
      <c r="AI11" s="21">
        <v>-1.5472400000000001E-2</v>
      </c>
      <c r="AJ11" s="21">
        <v>1</v>
      </c>
      <c r="AK11" s="21">
        <v>-9.5489500000000005E-2</v>
      </c>
      <c r="AL11">
        <f>-AI11/$F$2*1000</f>
        <v>19.101728395061727</v>
      </c>
      <c r="AM11">
        <f>AL11*AG11</f>
        <v>-1.81293931145679</v>
      </c>
      <c r="AP11" s="9"/>
      <c r="AQ11" s="21">
        <v>1.73492</v>
      </c>
      <c r="AR11" s="21">
        <v>23.220800000000001</v>
      </c>
      <c r="AS11" s="21">
        <v>4.2040999999999997E-3</v>
      </c>
      <c r="AT11" s="21">
        <v>1</v>
      </c>
      <c r="AU11" s="21">
        <v>1.7340100000000001</v>
      </c>
      <c r="AV11">
        <f>-AS11/$F$2*1000</f>
        <v>-5.1902469135802463</v>
      </c>
      <c r="AW11">
        <f>AV11*AQ11</f>
        <v>-9.0046631753086412</v>
      </c>
      <c r="AX11" s="9"/>
      <c r="AY11" s="21">
        <v>-9.49097E-2</v>
      </c>
      <c r="AZ11" s="21">
        <v>26.9192</v>
      </c>
      <c r="BA11" s="21">
        <v>-1.5423600000000001E-2</v>
      </c>
      <c r="BB11" s="21">
        <v>1</v>
      </c>
      <c r="BC11" s="21">
        <v>-9.5428499999999999E-2</v>
      </c>
      <c r="BD11">
        <f>-BA11/$F$2*1000</f>
        <v>19.041481481481483</v>
      </c>
      <c r="BE11">
        <f>BD11*AY11</f>
        <v>-1.8072212949629631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1.7253918473838674</v>
      </c>
      <c r="B12" s="18">
        <f>IFERROR(T9,0)</f>
        <v>19.193506937549703</v>
      </c>
      <c r="C12" s="19">
        <f>IFERROR(T4,0)</f>
        <v>0.69380353927617</v>
      </c>
      <c r="D12" s="20">
        <f>IFERROR(T2,0)</f>
        <v>22.976220296296301</v>
      </c>
      <c r="E12" s="20"/>
      <c r="F12" s="9"/>
      <c r="G12" s="21">
        <v>1.7298899999999999</v>
      </c>
      <c r="H12" s="21">
        <v>5.0324600000000004</v>
      </c>
      <c r="I12" s="21">
        <v>1.8988E-3</v>
      </c>
      <c r="J12" s="21">
        <v>2</v>
      </c>
      <c r="K12" s="21">
        <v>1.72943</v>
      </c>
      <c r="L12">
        <f t="shared" ref="L12:L75" si="0">-I12/$F$2*1000</f>
        <v>-2.3441975308641974</v>
      </c>
      <c r="M12">
        <f t="shared" ref="M12:M75" si="1">L12*G12</f>
        <v>-4.0552038666666661</v>
      </c>
      <c r="N12" s="9"/>
      <c r="O12" s="21">
        <v>-8.9874300000000004E-2</v>
      </c>
      <c r="P12" s="21">
        <v>8.7308000000000003</v>
      </c>
      <c r="Q12" s="21">
        <v>-1.5646400000000001E-2</v>
      </c>
      <c r="R12" s="21">
        <v>2</v>
      </c>
      <c r="S12" s="21">
        <v>-9.0393100000000004E-2</v>
      </c>
      <c r="T12">
        <f t="shared" ref="T12:T75" si="2">-Q12/$F$2*1000</f>
        <v>19.316543209876546</v>
      </c>
      <c r="U12">
        <f t="shared" ref="U12:U75" si="3">T12*O12</f>
        <v>-1.7360607994074078</v>
      </c>
      <c r="V12" s="22"/>
      <c r="W12" s="23"/>
      <c r="X12" s="9"/>
      <c r="Y12" s="21">
        <v>1.7298899999999999</v>
      </c>
      <c r="Z12" s="21">
        <v>14.1357</v>
      </c>
      <c r="AA12" s="21">
        <v>2.28363E-3</v>
      </c>
      <c r="AB12" s="21">
        <v>2</v>
      </c>
      <c r="AC12" s="21">
        <v>1.72943</v>
      </c>
      <c r="AD12">
        <f t="shared" ref="AD12:AD75" si="4">-AA12/$F$2*1000</f>
        <v>-2.8192962962962964</v>
      </c>
      <c r="AE12">
        <f t="shared" ref="AE12:AE75" si="5">AD12*Y12</f>
        <v>-4.8770724699999999</v>
      </c>
      <c r="AF12" s="9"/>
      <c r="AG12" s="21">
        <v>-8.9874300000000004E-2</v>
      </c>
      <c r="AH12" s="21">
        <v>17.834</v>
      </c>
      <c r="AI12" s="21">
        <v>-1.5469399999999999E-2</v>
      </c>
      <c r="AJ12" s="21">
        <v>2</v>
      </c>
      <c r="AK12" s="21">
        <v>-9.0362499999999998E-2</v>
      </c>
      <c r="AL12">
        <f t="shared" ref="AL12:AL75" si="6">-AI12/$F$2*1000</f>
        <v>19.09802469135802</v>
      </c>
      <c r="AM12">
        <f t="shared" ref="AM12:AM75" si="7">AL12*AG12</f>
        <v>-1.7164216005185182</v>
      </c>
      <c r="AP12" s="9"/>
      <c r="AQ12" s="21">
        <v>1.7298899999999999</v>
      </c>
      <c r="AR12" s="21">
        <v>23.230899999999998</v>
      </c>
      <c r="AS12" s="21">
        <v>2.6083399999999998E-3</v>
      </c>
      <c r="AT12" s="21">
        <v>2</v>
      </c>
      <c r="AU12" s="21">
        <v>1.7297400000000001</v>
      </c>
      <c r="AV12">
        <f t="shared" ref="AV12:AV75" si="8">-AS12/$F$2*1000</f>
        <v>-3.2201728395061724</v>
      </c>
      <c r="AW12">
        <f t="shared" ref="AW12:AW75" si="9">AV12*AQ12</f>
        <v>-5.5705447933333323</v>
      </c>
      <c r="AX12" s="9"/>
      <c r="AY12" s="21">
        <v>-8.9874300000000004E-2</v>
      </c>
      <c r="AZ12" s="21">
        <v>26.929200000000002</v>
      </c>
      <c r="BA12" s="21">
        <v>-1.54114E-2</v>
      </c>
      <c r="BB12" s="21">
        <v>2</v>
      </c>
      <c r="BC12" s="21">
        <v>-9.0393100000000004E-2</v>
      </c>
      <c r="BD12">
        <f t="shared" ref="BD12:BD75" si="10">-BA12/$F$2*1000</f>
        <v>19.026419753086419</v>
      </c>
      <c r="BE12">
        <f t="shared" ref="BE12:BE75" si="11">BD12*AY12</f>
        <v>-1.7099861568148147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1.7207406513460297</v>
      </c>
      <c r="B13" s="18">
        <f>IFERROR(AD9,0)</f>
        <v>19.050867598210502</v>
      </c>
      <c r="C13" s="19">
        <f>IFERROR(AD4,0)</f>
        <v>0.72318116867434101</v>
      </c>
      <c r="D13" s="20">
        <f>IFERROR(AD2,0)</f>
        <v>23.707037476543213</v>
      </c>
      <c r="E13" s="20">
        <f>IFERROR(AA9,0)</f>
        <v>4.2349945628657721</v>
      </c>
      <c r="F13" s="9"/>
      <c r="G13" s="21">
        <v>1.72485</v>
      </c>
      <c r="H13" s="21">
        <v>5.0425300000000002</v>
      </c>
      <c r="I13" s="21">
        <v>4.5263699999999998E-4</v>
      </c>
      <c r="J13" s="21">
        <v>3</v>
      </c>
      <c r="K13" s="21">
        <v>1.72424</v>
      </c>
      <c r="L13">
        <f t="shared" si="0"/>
        <v>-0.55881111111111104</v>
      </c>
      <c r="M13">
        <f t="shared" si="1"/>
        <v>-0.96386534499999987</v>
      </c>
      <c r="N13" s="9"/>
      <c r="O13" s="21">
        <v>-8.4838899999999995E-2</v>
      </c>
      <c r="P13" s="21">
        <v>8.7408699999999993</v>
      </c>
      <c r="Q13" s="21">
        <v>-1.56372E-2</v>
      </c>
      <c r="R13" s="21">
        <v>3</v>
      </c>
      <c r="S13" s="21">
        <v>-8.54187E-2</v>
      </c>
      <c r="T13">
        <f t="shared" si="2"/>
        <v>19.305185185185184</v>
      </c>
      <c r="U13">
        <f t="shared" si="3"/>
        <v>-1.6378306754074072</v>
      </c>
      <c r="V13" s="22"/>
      <c r="W13" s="23"/>
      <c r="X13" s="9"/>
      <c r="Y13" s="21">
        <v>1.72485</v>
      </c>
      <c r="Z13" s="21">
        <v>14.1457</v>
      </c>
      <c r="AA13" s="21">
        <v>8.6090099999999996E-4</v>
      </c>
      <c r="AB13" s="21">
        <v>3</v>
      </c>
      <c r="AC13" s="21">
        <v>1.72455</v>
      </c>
      <c r="AD13">
        <f t="shared" si="4"/>
        <v>-1.0628407407407408</v>
      </c>
      <c r="AE13">
        <f t="shared" si="5"/>
        <v>-1.8332408516666667</v>
      </c>
      <c r="AF13" s="9"/>
      <c r="AG13" s="21">
        <v>-8.4838899999999995E-2</v>
      </c>
      <c r="AH13" s="21">
        <v>17.844100000000001</v>
      </c>
      <c r="AI13" s="21">
        <v>-1.5463299999999999E-2</v>
      </c>
      <c r="AJ13" s="21">
        <v>3</v>
      </c>
      <c r="AK13" s="21">
        <v>-8.5388199999999997E-2</v>
      </c>
      <c r="AL13">
        <f t="shared" si="6"/>
        <v>19.090493827160493</v>
      </c>
      <c r="AM13">
        <f t="shared" si="7"/>
        <v>-1.6196164967530864</v>
      </c>
      <c r="AP13" s="9"/>
      <c r="AQ13" s="21">
        <v>1.72485</v>
      </c>
      <c r="AR13" s="21">
        <v>23.241</v>
      </c>
      <c r="AS13" s="21">
        <v>1.2200900000000001E-3</v>
      </c>
      <c r="AT13" s="21">
        <v>3</v>
      </c>
      <c r="AU13" s="21">
        <v>1.72424</v>
      </c>
      <c r="AV13">
        <f t="shared" si="8"/>
        <v>-1.5062839506172838</v>
      </c>
      <c r="AW13">
        <f t="shared" si="9"/>
        <v>-2.5981138722222221</v>
      </c>
      <c r="AX13" s="9"/>
      <c r="AY13" s="21">
        <v>-8.4838899999999995E-2</v>
      </c>
      <c r="AZ13" s="21">
        <v>26.939299999999999</v>
      </c>
      <c r="BA13" s="21">
        <v>-1.53992E-2</v>
      </c>
      <c r="BB13" s="21">
        <v>3</v>
      </c>
      <c r="BC13" s="21">
        <v>-8.5357699999999995E-2</v>
      </c>
      <c r="BD13">
        <f t="shared" si="10"/>
        <v>19.011358024691354</v>
      </c>
      <c r="BE13">
        <f t="shared" si="11"/>
        <v>-1.6129027023209872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1.7245565189216283</v>
      </c>
      <c r="B14" s="18">
        <f>IFERROR(AL9,0)</f>
        <v>18.97703547778227</v>
      </c>
      <c r="C14" s="19">
        <f>IFERROR(AL4,0)</f>
        <v>0.69371058670607111</v>
      </c>
      <c r="D14" s="20">
        <f>IFERROR(AL2,0)</f>
        <v>22.703045728395058</v>
      </c>
      <c r="E14" s="20"/>
      <c r="F14" s="9"/>
      <c r="G14" s="21">
        <v>1.7198199999999999</v>
      </c>
      <c r="H14" s="21">
        <v>5.0526</v>
      </c>
      <c r="I14" s="21">
        <v>-7.9681399999999996E-4</v>
      </c>
      <c r="J14" s="21">
        <v>4</v>
      </c>
      <c r="K14" s="21">
        <v>1.71936</v>
      </c>
      <c r="L14">
        <f t="shared" si="0"/>
        <v>0.98372098765432092</v>
      </c>
      <c r="M14">
        <f t="shared" si="1"/>
        <v>1.6918230289876541</v>
      </c>
      <c r="N14" s="9"/>
      <c r="O14" s="21">
        <v>-7.9803499999999999E-2</v>
      </c>
      <c r="P14" s="21">
        <v>8.7509399999999999</v>
      </c>
      <c r="Q14" s="21">
        <v>-1.5634200000000001E-2</v>
      </c>
      <c r="R14" s="21">
        <v>4</v>
      </c>
      <c r="S14" s="21">
        <v>-8.0322299999999999E-2</v>
      </c>
      <c r="T14">
        <f t="shared" si="2"/>
        <v>19.301481481481481</v>
      </c>
      <c r="U14">
        <f t="shared" si="3"/>
        <v>-1.5403257774074073</v>
      </c>
      <c r="V14" s="22"/>
      <c r="W14" s="23"/>
      <c r="X14" s="9"/>
      <c r="Y14" s="21">
        <v>1.7198199999999999</v>
      </c>
      <c r="Z14" s="21">
        <v>14.155799999999999</v>
      </c>
      <c r="AA14" s="21">
        <v>-3.7982199999999998E-4</v>
      </c>
      <c r="AB14" s="21">
        <v>4</v>
      </c>
      <c r="AC14" s="21">
        <v>1.71906</v>
      </c>
      <c r="AD14">
        <f t="shared" si="4"/>
        <v>0.46891604938271603</v>
      </c>
      <c r="AE14">
        <f t="shared" si="5"/>
        <v>0.80645120004938264</v>
      </c>
      <c r="AF14" s="9"/>
      <c r="AG14" s="21">
        <v>-7.9803499999999999E-2</v>
      </c>
      <c r="AH14" s="21">
        <v>17.854199999999999</v>
      </c>
      <c r="AI14" s="21">
        <v>-1.5457200000000001E-2</v>
      </c>
      <c r="AJ14" s="21">
        <v>4</v>
      </c>
      <c r="AK14" s="21">
        <v>-8.0322299999999999E-2</v>
      </c>
      <c r="AL14">
        <f t="shared" si="6"/>
        <v>19.082962962962963</v>
      </c>
      <c r="AM14">
        <f t="shared" si="7"/>
        <v>-1.5228872348148148</v>
      </c>
      <c r="AP14" s="9"/>
      <c r="AQ14" s="21">
        <v>1.7198199999999999</v>
      </c>
      <c r="AR14" s="21">
        <v>23.251000000000001</v>
      </c>
      <c r="AS14" s="24">
        <v>-2.90833E-5</v>
      </c>
      <c r="AT14" s="21">
        <v>4</v>
      </c>
      <c r="AU14" s="21">
        <v>1.71906</v>
      </c>
      <c r="AV14">
        <f t="shared" si="8"/>
        <v>3.590530864197531E-2</v>
      </c>
      <c r="AW14">
        <f t="shared" si="9"/>
        <v>6.1750667908641976E-2</v>
      </c>
      <c r="AX14" s="9"/>
      <c r="AY14" s="21">
        <v>-7.9803499999999999E-2</v>
      </c>
      <c r="AZ14" s="21">
        <v>26.949400000000001</v>
      </c>
      <c r="BA14" s="21">
        <v>-1.53931E-2</v>
      </c>
      <c r="BB14" s="21">
        <v>4</v>
      </c>
      <c r="BC14" s="21">
        <v>-8.0322299999999999E-2</v>
      </c>
      <c r="BD14">
        <f t="shared" si="10"/>
        <v>19.003827160493824</v>
      </c>
      <c r="BE14">
        <f t="shared" si="11"/>
        <v>-1.5165719208024688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1.7191806009558481</v>
      </c>
      <c r="B15" s="18">
        <f>IFERROR(AV9,0)</f>
        <v>18.960462358024714</v>
      </c>
      <c r="C15" s="19">
        <f>IFERROR(AV4,0)</f>
        <v>0.7251492020922774</v>
      </c>
      <c r="D15" s="20">
        <f>IFERROR(AV2,0)</f>
        <v>23.637296286419744</v>
      </c>
      <c r="E15" s="20">
        <f>IFERROR(AS9,0)</f>
        <v>4.4124600500725091</v>
      </c>
      <c r="F15" s="9"/>
      <c r="G15" s="21">
        <v>1.71478</v>
      </c>
      <c r="H15" s="21">
        <v>5.0626699999999998</v>
      </c>
      <c r="I15" s="21">
        <v>-1.9149799999999999E-3</v>
      </c>
      <c r="J15" s="21">
        <v>5</v>
      </c>
      <c r="K15" s="21">
        <v>1.71387</v>
      </c>
      <c r="L15">
        <f t="shared" si="0"/>
        <v>2.364172839506173</v>
      </c>
      <c r="M15">
        <f t="shared" si="1"/>
        <v>4.0540363017283951</v>
      </c>
      <c r="N15" s="9"/>
      <c r="O15" s="21">
        <v>-7.4768100000000004E-2</v>
      </c>
      <c r="P15" s="21">
        <v>8.7610100000000006</v>
      </c>
      <c r="Q15" s="21">
        <v>-1.5628099999999999E-2</v>
      </c>
      <c r="R15" s="21">
        <v>5</v>
      </c>
      <c r="S15" s="21">
        <v>-7.5256299999999998E-2</v>
      </c>
      <c r="T15">
        <f t="shared" si="2"/>
        <v>19.293950617283947</v>
      </c>
      <c r="U15">
        <f t="shared" si="3"/>
        <v>-1.4425720291481479</v>
      </c>
      <c r="V15" s="22"/>
      <c r="W15" s="23"/>
      <c r="X15" s="9"/>
      <c r="Y15" s="21">
        <v>1.71478</v>
      </c>
      <c r="Z15" s="21">
        <v>14.165900000000001</v>
      </c>
      <c r="AA15" s="21">
        <v>-1.48346E-3</v>
      </c>
      <c r="AB15" s="21">
        <v>5</v>
      </c>
      <c r="AC15" s="21">
        <v>1.71387</v>
      </c>
      <c r="AD15">
        <f t="shared" si="4"/>
        <v>1.831432098765432</v>
      </c>
      <c r="AE15">
        <f t="shared" si="5"/>
        <v>3.1405031343209875</v>
      </c>
      <c r="AF15" s="9"/>
      <c r="AG15" s="21">
        <v>-7.4768100000000004E-2</v>
      </c>
      <c r="AH15" s="21">
        <v>17.8642</v>
      </c>
      <c r="AI15" s="21">
        <v>-1.5448E-2</v>
      </c>
      <c r="AJ15" s="21">
        <v>5</v>
      </c>
      <c r="AK15" s="21">
        <v>-7.5195300000000007E-2</v>
      </c>
      <c r="AL15">
        <f t="shared" si="6"/>
        <v>19.071604938271605</v>
      </c>
      <c r="AM15">
        <f t="shared" si="7"/>
        <v>-1.4259476651851852</v>
      </c>
      <c r="AP15" s="9"/>
      <c r="AQ15" s="21">
        <v>1.71478</v>
      </c>
      <c r="AR15" s="21">
        <v>23.261099999999999</v>
      </c>
      <c r="AS15" s="21">
        <v>-1.1407500000000001E-3</v>
      </c>
      <c r="AT15" s="21">
        <v>5</v>
      </c>
      <c r="AU15" s="21">
        <v>1.71417</v>
      </c>
      <c r="AV15">
        <f t="shared" si="8"/>
        <v>1.4083333333333332</v>
      </c>
      <c r="AW15">
        <f t="shared" si="9"/>
        <v>2.4149818333333331</v>
      </c>
      <c r="AX15" s="9"/>
      <c r="AY15" s="21">
        <v>-7.4768100000000004E-2</v>
      </c>
      <c r="AZ15" s="21">
        <v>26.959499999999998</v>
      </c>
      <c r="BA15" s="21">
        <v>-1.5387E-2</v>
      </c>
      <c r="BB15" s="21">
        <v>5</v>
      </c>
      <c r="BC15" s="21">
        <v>-7.5286900000000004E-2</v>
      </c>
      <c r="BD15">
        <f t="shared" si="10"/>
        <v>18.996296296296297</v>
      </c>
      <c r="BE15">
        <f t="shared" si="11"/>
        <v>-1.4203169811111112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1.7237663285940463</v>
      </c>
      <c r="B16" s="18">
        <f>IFERROR(BD9,0)</f>
        <v>18.887305238338232</v>
      </c>
      <c r="C16" s="19">
        <f>IFERROR(BD4,0)</f>
        <v>0.69398597151219876</v>
      </c>
      <c r="D16" s="20">
        <f>IFERROR(BD2,0)</f>
        <v>22.5943100308642</v>
      </c>
      <c r="E16" s="20"/>
      <c r="F16" s="9"/>
      <c r="G16" s="21">
        <v>1.7097500000000001</v>
      </c>
      <c r="H16" s="21">
        <v>5.0727500000000001</v>
      </c>
      <c r="I16" s="21">
        <v>-2.8979499999999998E-3</v>
      </c>
      <c r="J16" s="21">
        <v>6</v>
      </c>
      <c r="K16" s="21">
        <v>1.70868</v>
      </c>
      <c r="L16">
        <f t="shared" si="0"/>
        <v>3.5777160493827158</v>
      </c>
      <c r="M16">
        <f t="shared" si="1"/>
        <v>6.1170000154320991</v>
      </c>
      <c r="N16" s="9"/>
      <c r="O16" s="21">
        <v>-6.9732699999999995E-2</v>
      </c>
      <c r="P16" s="21">
        <v>8.7710799999999995</v>
      </c>
      <c r="Q16" s="21">
        <v>-1.5615800000000001E-2</v>
      </c>
      <c r="R16" s="21">
        <v>6</v>
      </c>
      <c r="S16" s="21">
        <v>-7.0220900000000003E-2</v>
      </c>
      <c r="T16">
        <f t="shared" si="2"/>
        <v>19.278765432098766</v>
      </c>
      <c r="U16">
        <f t="shared" si="3"/>
        <v>-1.3443603662469135</v>
      </c>
      <c r="V16" s="22"/>
      <c r="W16" s="23"/>
      <c r="X16" s="9"/>
      <c r="Y16" s="21">
        <v>1.7097500000000001</v>
      </c>
      <c r="Z16" s="21">
        <v>14.176</v>
      </c>
      <c r="AA16" s="21">
        <v>-2.47101E-3</v>
      </c>
      <c r="AB16" s="21">
        <v>6</v>
      </c>
      <c r="AC16" s="21">
        <v>1.7089799999999999</v>
      </c>
      <c r="AD16">
        <f t="shared" si="4"/>
        <v>3.0506296296296296</v>
      </c>
      <c r="AE16">
        <f t="shared" si="5"/>
        <v>5.2158140092592591</v>
      </c>
      <c r="AF16" s="9"/>
      <c r="AG16" s="21">
        <v>-6.9732699999999995E-2</v>
      </c>
      <c r="AH16" s="21">
        <v>17.874300000000002</v>
      </c>
      <c r="AI16" s="21">
        <v>-1.5444899999999999E-2</v>
      </c>
      <c r="AJ16" s="21">
        <v>6</v>
      </c>
      <c r="AK16" s="21">
        <v>-7.0373500000000005E-2</v>
      </c>
      <c r="AL16">
        <f t="shared" si="6"/>
        <v>19.067777777777778</v>
      </c>
      <c r="AM16">
        <f t="shared" si="7"/>
        <v>-1.3296476274444444</v>
      </c>
      <c r="AP16" s="9"/>
      <c r="AQ16" s="21">
        <v>1.7097500000000001</v>
      </c>
      <c r="AR16" s="21">
        <v>23.2712</v>
      </c>
      <c r="AS16" s="21">
        <v>-2.1325699999999999E-3</v>
      </c>
      <c r="AT16" s="21">
        <v>6</v>
      </c>
      <c r="AU16" s="21">
        <v>1.70929</v>
      </c>
      <c r="AV16">
        <f t="shared" si="8"/>
        <v>2.6328024691358025</v>
      </c>
      <c r="AW16">
        <f t="shared" si="9"/>
        <v>4.5014340216049389</v>
      </c>
      <c r="AX16" s="9"/>
      <c r="AY16" s="21">
        <v>-6.9732699999999995E-2</v>
      </c>
      <c r="AZ16" s="21">
        <v>26.9695</v>
      </c>
      <c r="BA16" s="21">
        <v>-1.5380899999999999E-2</v>
      </c>
      <c r="BB16" s="21">
        <v>6</v>
      </c>
      <c r="BC16" s="21">
        <v>-7.0251499999999995E-2</v>
      </c>
      <c r="BD16">
        <f t="shared" si="10"/>
        <v>18.988765432098763</v>
      </c>
      <c r="BE16">
        <f t="shared" si="11"/>
        <v>-1.3241378832469133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5.0828199999999999</v>
      </c>
      <c r="I17" s="21">
        <v>-3.7707499999999998E-3</v>
      </c>
      <c r="J17" s="21">
        <v>7</v>
      </c>
      <c r="K17" s="21">
        <v>1.7040999999999999</v>
      </c>
      <c r="L17">
        <f t="shared" si="0"/>
        <v>4.6552469135802461</v>
      </c>
      <c r="M17">
        <f t="shared" si="1"/>
        <v>7.9358459660493814</v>
      </c>
      <c r="N17" s="9"/>
      <c r="O17" s="21">
        <v>-6.4697299999999999E-2</v>
      </c>
      <c r="P17" s="21">
        <v>8.7811500000000002</v>
      </c>
      <c r="Q17" s="21">
        <v>-1.5606699999999999E-2</v>
      </c>
      <c r="R17" s="21">
        <v>7</v>
      </c>
      <c r="S17" s="21">
        <v>-6.5246600000000002E-2</v>
      </c>
      <c r="T17">
        <f t="shared" si="2"/>
        <v>19.267530864197528</v>
      </c>
      <c r="U17">
        <f t="shared" si="3"/>
        <v>-1.2465572245802468</v>
      </c>
      <c r="V17" s="22"/>
      <c r="W17" s="23"/>
      <c r="X17" s="9"/>
      <c r="Y17" s="21">
        <v>1.7047099999999999</v>
      </c>
      <c r="Z17" s="21">
        <v>14.186</v>
      </c>
      <c r="AA17" s="21">
        <v>-3.3123800000000002E-3</v>
      </c>
      <c r="AB17" s="21">
        <v>7</v>
      </c>
      <c r="AC17" s="21">
        <v>1.7040999999999999</v>
      </c>
      <c r="AD17">
        <f t="shared" si="4"/>
        <v>4.0893580246913581</v>
      </c>
      <c r="AE17">
        <f t="shared" si="5"/>
        <v>6.9711695182716049</v>
      </c>
      <c r="AF17" s="9"/>
      <c r="AG17" s="21">
        <v>-6.4697299999999999E-2</v>
      </c>
      <c r="AH17" s="21">
        <v>17.884399999999999</v>
      </c>
      <c r="AI17" s="21">
        <v>-1.54358E-2</v>
      </c>
      <c r="AJ17" s="21">
        <v>7</v>
      </c>
      <c r="AK17" s="21">
        <v>-6.5185499999999993E-2</v>
      </c>
      <c r="AL17">
        <f t="shared" si="6"/>
        <v>19.056543209876541</v>
      </c>
      <c r="AM17">
        <f t="shared" si="7"/>
        <v>-1.2329068930123455</v>
      </c>
      <c r="AP17" s="9"/>
      <c r="AQ17" s="21">
        <v>1.7047099999999999</v>
      </c>
      <c r="AR17" s="21">
        <v>23.281300000000002</v>
      </c>
      <c r="AS17" s="21">
        <v>-3.0264300000000001E-3</v>
      </c>
      <c r="AT17" s="21">
        <v>7</v>
      </c>
      <c r="AU17" s="21">
        <v>1.7040999999999999</v>
      </c>
      <c r="AV17">
        <f t="shared" si="8"/>
        <v>3.7363333333333331</v>
      </c>
      <c r="AW17">
        <f t="shared" si="9"/>
        <v>6.369364796666666</v>
      </c>
      <c r="AX17" s="9"/>
      <c r="AY17" s="21">
        <v>-6.4697299999999999E-2</v>
      </c>
      <c r="AZ17" s="21">
        <v>26.979600000000001</v>
      </c>
      <c r="BA17" s="21">
        <v>-1.5383900000000001E-2</v>
      </c>
      <c r="BB17" s="21">
        <v>7</v>
      </c>
      <c r="BC17" s="21">
        <v>-6.5093999999999999E-2</v>
      </c>
      <c r="BD17">
        <f t="shared" si="10"/>
        <v>18.99246913580247</v>
      </c>
      <c r="BE17">
        <f t="shared" si="11"/>
        <v>-1.2287614734197532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5.0928899999999997</v>
      </c>
      <c r="I18" s="21">
        <v>-4.5346099999999997E-3</v>
      </c>
      <c r="J18" s="21">
        <v>8</v>
      </c>
      <c r="K18" s="21">
        <v>1.6989099999999999</v>
      </c>
      <c r="L18">
        <f t="shared" si="0"/>
        <v>5.5982839506172839</v>
      </c>
      <c r="M18">
        <f t="shared" si="1"/>
        <v>9.5152912651851853</v>
      </c>
      <c r="N18" s="9"/>
      <c r="O18" s="21">
        <v>-5.9661899999999997E-2</v>
      </c>
      <c r="P18" s="21">
        <v>8.7912199999999991</v>
      </c>
      <c r="Q18" s="21">
        <v>-1.5600599999999999E-2</v>
      </c>
      <c r="R18" s="21">
        <v>8</v>
      </c>
      <c r="S18" s="21">
        <v>-6.0180699999999997E-2</v>
      </c>
      <c r="T18">
        <f t="shared" si="2"/>
        <v>19.259999999999998</v>
      </c>
      <c r="U18">
        <f t="shared" si="3"/>
        <v>-1.1490881939999997</v>
      </c>
      <c r="V18" s="22"/>
      <c r="W18" s="23"/>
      <c r="X18" s="9"/>
      <c r="Y18" s="21">
        <v>1.6996800000000001</v>
      </c>
      <c r="Z18" s="21">
        <v>14.196099999999999</v>
      </c>
      <c r="AA18" s="21">
        <v>-4.0832500000000001E-3</v>
      </c>
      <c r="AB18" s="21">
        <v>8</v>
      </c>
      <c r="AC18" s="21">
        <v>1.69922</v>
      </c>
      <c r="AD18">
        <f t="shared" si="4"/>
        <v>5.0410493827160492</v>
      </c>
      <c r="AE18">
        <f t="shared" si="5"/>
        <v>8.568170814814815</v>
      </c>
      <c r="AF18" s="9"/>
      <c r="AG18" s="21">
        <v>-5.9661899999999997E-2</v>
      </c>
      <c r="AH18" s="21">
        <v>17.894400000000001</v>
      </c>
      <c r="AI18" s="21">
        <v>-1.5432700000000001E-2</v>
      </c>
      <c r="AJ18" s="21">
        <v>8</v>
      </c>
      <c r="AK18" s="21">
        <v>-6.0180699999999997E-2</v>
      </c>
      <c r="AL18">
        <f t="shared" si="6"/>
        <v>19.052716049382713</v>
      </c>
      <c r="AM18">
        <f t="shared" si="7"/>
        <v>-1.1367212396666664</v>
      </c>
      <c r="AP18" s="9"/>
      <c r="AQ18" s="21">
        <v>1.6996800000000001</v>
      </c>
      <c r="AR18" s="21">
        <v>23.2913</v>
      </c>
      <c r="AS18" s="21">
        <v>-3.8058499999999999E-3</v>
      </c>
      <c r="AT18" s="21">
        <v>8</v>
      </c>
      <c r="AU18" s="21">
        <v>1.69922</v>
      </c>
      <c r="AV18">
        <f t="shared" si="8"/>
        <v>4.69858024691358</v>
      </c>
      <c r="AW18">
        <f t="shared" si="9"/>
        <v>7.9860828740740741</v>
      </c>
      <c r="AX18" s="9"/>
      <c r="AY18" s="21">
        <v>-5.9661899999999997E-2</v>
      </c>
      <c r="AZ18" s="21">
        <v>26.989699999999999</v>
      </c>
      <c r="BA18" s="21">
        <v>-1.5387E-2</v>
      </c>
      <c r="BB18" s="21">
        <v>8</v>
      </c>
      <c r="BC18" s="21">
        <v>-6.0241700000000002E-2</v>
      </c>
      <c r="BD18">
        <f t="shared" si="10"/>
        <v>18.996296296296297</v>
      </c>
      <c r="BE18">
        <f t="shared" si="11"/>
        <v>-1.13335513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5.1029600000000004</v>
      </c>
      <c r="I19" s="21">
        <v>-5.2123999999999998E-3</v>
      </c>
      <c r="J19" s="21">
        <v>9</v>
      </c>
      <c r="K19" s="21">
        <v>1.6940299999999999</v>
      </c>
      <c r="L19">
        <f t="shared" si="0"/>
        <v>6.4350617283950609</v>
      </c>
      <c r="M19">
        <f t="shared" si="1"/>
        <v>10.905113007407406</v>
      </c>
      <c r="N19" s="9"/>
      <c r="O19" s="21">
        <v>-5.4626500000000001E-2</v>
      </c>
      <c r="P19" s="21">
        <v>8.8012999999999995</v>
      </c>
      <c r="Q19" s="21">
        <v>-1.55975E-2</v>
      </c>
      <c r="R19" s="21">
        <v>9</v>
      </c>
      <c r="S19" s="21">
        <v>-5.5236800000000003E-2</v>
      </c>
      <c r="T19">
        <f t="shared" si="2"/>
        <v>19.256172839506171</v>
      </c>
      <c r="U19">
        <f t="shared" si="3"/>
        <v>-1.0518973256172839</v>
      </c>
      <c r="V19" s="22"/>
      <c r="W19" s="23"/>
      <c r="X19" s="9"/>
      <c r="Y19" s="21">
        <v>1.6946399999999999</v>
      </c>
      <c r="Z19" s="21">
        <v>14.206200000000001</v>
      </c>
      <c r="AA19" s="21">
        <v>-4.77875E-3</v>
      </c>
      <c r="AB19" s="21">
        <v>9</v>
      </c>
      <c r="AC19" s="21">
        <v>1.69434</v>
      </c>
      <c r="AD19">
        <f t="shared" si="4"/>
        <v>5.8996913580246906</v>
      </c>
      <c r="AE19">
        <f t="shared" si="5"/>
        <v>9.9978529629629609</v>
      </c>
      <c r="AF19" s="9"/>
      <c r="AG19" s="21">
        <v>-5.4626500000000001E-2</v>
      </c>
      <c r="AH19" s="21">
        <v>17.904499999999999</v>
      </c>
      <c r="AI19" s="21">
        <v>-1.5429699999999999E-2</v>
      </c>
      <c r="AJ19" s="21">
        <v>9</v>
      </c>
      <c r="AK19" s="21">
        <v>-5.52063E-2</v>
      </c>
      <c r="AL19">
        <f t="shared" si="6"/>
        <v>19.04901234567901</v>
      </c>
      <c r="AM19">
        <f t="shared" si="7"/>
        <v>-1.0405808729012345</v>
      </c>
      <c r="AP19" s="9"/>
      <c r="AQ19" s="21">
        <v>1.6946399999999999</v>
      </c>
      <c r="AR19" s="21">
        <v>23.301400000000001</v>
      </c>
      <c r="AS19" s="21">
        <v>-4.5074499999999997E-3</v>
      </c>
      <c r="AT19" s="21">
        <v>9</v>
      </c>
      <c r="AU19" s="21">
        <v>1.69373</v>
      </c>
      <c r="AV19">
        <f t="shared" si="8"/>
        <v>5.5647530864197519</v>
      </c>
      <c r="AW19">
        <f t="shared" si="9"/>
        <v>9.4302531703703671</v>
      </c>
      <c r="AX19" s="9"/>
      <c r="AY19" s="21">
        <v>-5.4626500000000001E-2</v>
      </c>
      <c r="AZ19" s="21">
        <v>26.999700000000001</v>
      </c>
      <c r="BA19" s="21">
        <v>-1.5374799999999999E-2</v>
      </c>
      <c r="BB19" s="21">
        <v>9</v>
      </c>
      <c r="BC19" s="21">
        <v>-5.5114700000000003E-2</v>
      </c>
      <c r="BD19">
        <f t="shared" si="10"/>
        <v>18.981234567901232</v>
      </c>
      <c r="BE19">
        <f t="shared" si="11"/>
        <v>-1.0368784101234567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5.1130300000000002</v>
      </c>
      <c r="I20" s="21">
        <v>-5.7983399999999999E-3</v>
      </c>
      <c r="J20" s="21">
        <v>10</v>
      </c>
      <c r="K20" s="21">
        <v>1.6897599999999999</v>
      </c>
      <c r="L20">
        <f t="shared" si="0"/>
        <v>7.1584444444444442</v>
      </c>
      <c r="M20">
        <f t="shared" si="1"/>
        <v>12.094979317777778</v>
      </c>
      <c r="N20" s="9"/>
      <c r="O20" s="21">
        <v>-4.9591099999999999E-2</v>
      </c>
      <c r="P20" s="21">
        <v>8.8113700000000001</v>
      </c>
      <c r="Q20" s="21">
        <v>-1.55975E-2</v>
      </c>
      <c r="R20" s="21">
        <v>10</v>
      </c>
      <c r="S20" s="21">
        <v>-5.0140400000000002E-2</v>
      </c>
      <c r="T20">
        <f t="shared" si="2"/>
        <v>19.256172839506171</v>
      </c>
      <c r="U20">
        <f t="shared" si="3"/>
        <v>-0.9549347929012344</v>
      </c>
      <c r="V20" s="22"/>
      <c r="W20" s="23"/>
      <c r="X20" s="9"/>
      <c r="Y20" s="21">
        <v>1.6896100000000001</v>
      </c>
      <c r="Z20" s="21">
        <v>14.216200000000001</v>
      </c>
      <c r="AA20" s="21">
        <v>-5.3985600000000002E-3</v>
      </c>
      <c r="AB20" s="21">
        <v>10</v>
      </c>
      <c r="AC20" s="21">
        <v>1.6894499999999999</v>
      </c>
      <c r="AD20">
        <f t="shared" si="4"/>
        <v>6.6648888888888882</v>
      </c>
      <c r="AE20">
        <f t="shared" si="5"/>
        <v>11.261062915555554</v>
      </c>
      <c r="AF20" s="9"/>
      <c r="AG20" s="21">
        <v>-4.9591099999999999E-2</v>
      </c>
      <c r="AH20" s="21">
        <v>17.9146</v>
      </c>
      <c r="AI20" s="21">
        <v>-1.5432700000000001E-2</v>
      </c>
      <c r="AJ20" s="21">
        <v>10</v>
      </c>
      <c r="AK20" s="21">
        <v>-5.0140400000000002E-2</v>
      </c>
      <c r="AL20">
        <f t="shared" si="6"/>
        <v>19.052716049382713</v>
      </c>
      <c r="AM20">
        <f t="shared" si="7"/>
        <v>-0.94484514687654308</v>
      </c>
      <c r="AP20" s="9"/>
      <c r="AQ20" s="21">
        <v>1.6896100000000001</v>
      </c>
      <c r="AR20" s="21">
        <v>23.311499999999999</v>
      </c>
      <c r="AS20" s="21">
        <v>-5.1422100000000004E-3</v>
      </c>
      <c r="AT20" s="21">
        <v>10</v>
      </c>
      <c r="AU20" s="21">
        <v>1.6888399999999999</v>
      </c>
      <c r="AV20">
        <f t="shared" si="8"/>
        <v>6.3484074074074073</v>
      </c>
      <c r="AW20">
        <f t="shared" si="9"/>
        <v>10.72633263962963</v>
      </c>
      <c r="AX20" s="9"/>
      <c r="AY20" s="21">
        <v>-4.9591099999999999E-2</v>
      </c>
      <c r="AZ20" s="21">
        <v>27.009799999999998</v>
      </c>
      <c r="BA20" s="21">
        <v>-1.5368700000000001E-2</v>
      </c>
      <c r="BB20" s="21">
        <v>10</v>
      </c>
      <c r="BC20" s="21">
        <v>-5.0170899999999997E-2</v>
      </c>
      <c r="BD20">
        <f t="shared" si="10"/>
        <v>18.973703703703706</v>
      </c>
      <c r="BE20">
        <f t="shared" si="11"/>
        <v>-0.94092683774074082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5.1231</v>
      </c>
      <c r="I21" s="21">
        <v>-6.3445999999999997E-3</v>
      </c>
      <c r="J21" s="21">
        <v>11</v>
      </c>
      <c r="K21" s="21">
        <v>1.6839599999999999</v>
      </c>
      <c r="L21">
        <f t="shared" si="0"/>
        <v>7.8328395061728395</v>
      </c>
      <c r="M21">
        <f t="shared" si="1"/>
        <v>13.194966446913579</v>
      </c>
      <c r="N21" s="9"/>
      <c r="O21" s="21">
        <v>-4.4555699999999997E-2</v>
      </c>
      <c r="P21" s="21">
        <v>8.8214400000000008</v>
      </c>
      <c r="Q21" s="21">
        <v>-1.5600599999999999E-2</v>
      </c>
      <c r="R21" s="21">
        <v>11</v>
      </c>
      <c r="S21" s="21">
        <v>-4.48975E-2</v>
      </c>
      <c r="T21">
        <f t="shared" si="2"/>
        <v>19.259999999999998</v>
      </c>
      <c r="U21">
        <f t="shared" si="3"/>
        <v>-0.85814278199999983</v>
      </c>
      <c r="V21" s="22"/>
      <c r="W21" s="23"/>
      <c r="X21" s="9"/>
      <c r="Y21" s="21">
        <v>1.6845699999999999</v>
      </c>
      <c r="Z21" s="21">
        <v>14.2263</v>
      </c>
      <c r="AA21" s="21">
        <v>-5.9722899999999999E-3</v>
      </c>
      <c r="AB21" s="21">
        <v>11</v>
      </c>
      <c r="AC21" s="21">
        <v>1.6833499999999999</v>
      </c>
      <c r="AD21">
        <f t="shared" si="4"/>
        <v>7.3731975308641973</v>
      </c>
      <c r="AE21">
        <f t="shared" si="5"/>
        <v>12.420667364567899</v>
      </c>
      <c r="AF21" s="9"/>
      <c r="AG21" s="21">
        <v>-4.4555699999999997E-2</v>
      </c>
      <c r="AH21" s="21">
        <v>17.924700000000001</v>
      </c>
      <c r="AI21" s="21">
        <v>-1.5438800000000001E-2</v>
      </c>
      <c r="AJ21" s="21">
        <v>11</v>
      </c>
      <c r="AK21" s="21">
        <v>-4.4860799999999999E-2</v>
      </c>
      <c r="AL21">
        <f t="shared" si="6"/>
        <v>19.060246913580247</v>
      </c>
      <c r="AM21">
        <f t="shared" si="7"/>
        <v>-0.8492426434074074</v>
      </c>
      <c r="AP21" s="9"/>
      <c r="AQ21" s="21">
        <v>1.6845699999999999</v>
      </c>
      <c r="AR21" s="21">
        <v>23.3215</v>
      </c>
      <c r="AS21" s="21">
        <v>-5.7281500000000004E-3</v>
      </c>
      <c r="AT21" s="21">
        <v>11</v>
      </c>
      <c r="AU21" s="21">
        <v>1.6836500000000001</v>
      </c>
      <c r="AV21">
        <f t="shared" si="8"/>
        <v>7.0717901234567906</v>
      </c>
      <c r="AW21">
        <f t="shared" si="9"/>
        <v>11.912925488271606</v>
      </c>
      <c r="AX21" s="9"/>
      <c r="AY21" s="21">
        <v>-4.4555699999999997E-2</v>
      </c>
      <c r="AZ21" s="21">
        <v>27.0199</v>
      </c>
      <c r="BA21" s="21">
        <v>-1.53656E-2</v>
      </c>
      <c r="BB21" s="21">
        <v>11</v>
      </c>
      <c r="BC21" s="21">
        <v>-4.4900500000000003E-2</v>
      </c>
      <c r="BD21">
        <f t="shared" si="10"/>
        <v>18.969876543209878</v>
      </c>
      <c r="BE21">
        <f t="shared" si="11"/>
        <v>-0.84521612829629633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5.1331699999999998</v>
      </c>
      <c r="I22" s="21">
        <v>-6.8237300000000001E-3</v>
      </c>
      <c r="J22" s="21">
        <v>12</v>
      </c>
      <c r="K22" s="21">
        <v>1.6790799999999999</v>
      </c>
      <c r="L22">
        <f t="shared" si="0"/>
        <v>8.4243580246913581</v>
      </c>
      <c r="M22">
        <f t="shared" si="1"/>
        <v>14.148962033209877</v>
      </c>
      <c r="N22" s="9"/>
      <c r="O22" s="21">
        <v>-3.9520300000000001E-2</v>
      </c>
      <c r="P22" s="21">
        <v>8.8315099999999997</v>
      </c>
      <c r="Q22" s="21">
        <v>-1.5600599999999999E-2</v>
      </c>
      <c r="R22" s="21">
        <v>12</v>
      </c>
      <c r="S22" s="21">
        <v>-3.9791899999999998E-2</v>
      </c>
      <c r="T22">
        <f t="shared" si="2"/>
        <v>19.259999999999998</v>
      </c>
      <c r="U22">
        <f t="shared" si="3"/>
        <v>-0.76116097799999993</v>
      </c>
      <c r="V22" s="22"/>
      <c r="W22" s="23"/>
      <c r="X22" s="9"/>
      <c r="Y22" s="21">
        <v>1.67953</v>
      </c>
      <c r="Z22" s="21">
        <v>14.2364</v>
      </c>
      <c r="AA22" s="21">
        <v>-6.4819300000000003E-3</v>
      </c>
      <c r="AB22" s="21">
        <v>12</v>
      </c>
      <c r="AC22" s="21">
        <v>1.6787700000000001</v>
      </c>
      <c r="AD22">
        <f t="shared" si="4"/>
        <v>8.0023827160493823</v>
      </c>
      <c r="AE22">
        <f t="shared" si="5"/>
        <v>13.440241843086419</v>
      </c>
      <c r="AF22" s="9"/>
      <c r="AG22" s="21">
        <v>-3.9520300000000001E-2</v>
      </c>
      <c r="AH22" s="21">
        <v>17.934699999999999</v>
      </c>
      <c r="AI22" s="21">
        <v>-1.5432700000000001E-2</v>
      </c>
      <c r="AJ22" s="21">
        <v>12</v>
      </c>
      <c r="AK22" s="21">
        <v>-3.9828500000000003E-2</v>
      </c>
      <c r="AL22">
        <f t="shared" si="6"/>
        <v>19.052716049382713</v>
      </c>
      <c r="AM22">
        <f t="shared" si="7"/>
        <v>-0.75296905408641968</v>
      </c>
      <c r="AP22" s="9"/>
      <c r="AQ22" s="21">
        <v>1.67953</v>
      </c>
      <c r="AR22" s="21">
        <v>23.331600000000002</v>
      </c>
      <c r="AS22" s="21">
        <v>-6.2560999999999997E-3</v>
      </c>
      <c r="AT22" s="21">
        <v>12</v>
      </c>
      <c r="AU22" s="21">
        <v>1.6787700000000001</v>
      </c>
      <c r="AV22">
        <f t="shared" si="8"/>
        <v>7.7235802469135795</v>
      </c>
      <c r="AW22">
        <f t="shared" si="9"/>
        <v>12.971984732098765</v>
      </c>
      <c r="AX22" s="9"/>
      <c r="AY22" s="21">
        <v>-3.9520300000000001E-2</v>
      </c>
      <c r="AZ22" s="21">
        <v>27.03</v>
      </c>
      <c r="BA22" s="21">
        <v>-1.53595E-2</v>
      </c>
      <c r="BB22" s="21">
        <v>12</v>
      </c>
      <c r="BC22" s="21">
        <v>-3.9868199999999999E-2</v>
      </c>
      <c r="BD22">
        <f t="shared" si="10"/>
        <v>18.962345679012344</v>
      </c>
      <c r="BE22">
        <f t="shared" si="11"/>
        <v>-0.74939758993827155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5.1432399999999996</v>
      </c>
      <c r="I23" s="21">
        <v>-7.2509799999999998E-3</v>
      </c>
      <c r="J23" s="21">
        <v>13</v>
      </c>
      <c r="K23" s="21">
        <v>1.6738900000000001</v>
      </c>
      <c r="L23">
        <f t="shared" si="0"/>
        <v>8.951827160493826</v>
      </c>
      <c r="M23">
        <f t="shared" si="1"/>
        <v>14.989834580246912</v>
      </c>
      <c r="N23" s="9"/>
      <c r="O23" s="21">
        <v>-3.4484899999999999E-2</v>
      </c>
      <c r="P23" s="21">
        <v>8.8415800000000004</v>
      </c>
      <c r="Q23" s="21">
        <v>-1.56036E-2</v>
      </c>
      <c r="R23" s="21">
        <v>13</v>
      </c>
      <c r="S23" s="21">
        <v>-3.47839E-2</v>
      </c>
      <c r="T23">
        <f t="shared" si="2"/>
        <v>19.263703703703705</v>
      </c>
      <c r="U23">
        <f t="shared" si="3"/>
        <v>-0.66430689585185188</v>
      </c>
      <c r="V23" s="22"/>
      <c r="W23" s="23"/>
      <c r="X23" s="9"/>
      <c r="Y23" s="21">
        <v>1.6745000000000001</v>
      </c>
      <c r="Z23" s="21">
        <v>14.246499999999999</v>
      </c>
      <c r="AA23" s="21">
        <v>-6.9641099999999999E-3</v>
      </c>
      <c r="AB23" s="21">
        <v>13</v>
      </c>
      <c r="AC23" s="21">
        <v>1.6732800000000001</v>
      </c>
      <c r="AD23">
        <f t="shared" si="4"/>
        <v>8.597666666666667</v>
      </c>
      <c r="AE23">
        <f t="shared" si="5"/>
        <v>14.396792833333334</v>
      </c>
      <c r="AF23" s="9"/>
      <c r="AG23" s="21">
        <v>-3.4484899999999999E-2</v>
      </c>
      <c r="AH23" s="21">
        <v>17.944800000000001</v>
      </c>
      <c r="AI23" s="21">
        <v>-1.5423600000000001E-2</v>
      </c>
      <c r="AJ23" s="21">
        <v>13</v>
      </c>
      <c r="AK23" s="21">
        <v>-3.4786999999999998E-2</v>
      </c>
      <c r="AL23">
        <f t="shared" si="6"/>
        <v>19.041481481481483</v>
      </c>
      <c r="AM23">
        <f t="shared" si="7"/>
        <v>-0.6566435847407408</v>
      </c>
      <c r="AP23" s="9"/>
      <c r="AQ23" s="21">
        <v>1.6745000000000001</v>
      </c>
      <c r="AR23" s="21">
        <v>23.341699999999999</v>
      </c>
      <c r="AS23" s="21">
        <v>-6.7291299999999998E-3</v>
      </c>
      <c r="AT23" s="21">
        <v>13</v>
      </c>
      <c r="AU23" s="21">
        <v>1.6735800000000001</v>
      </c>
      <c r="AV23">
        <f t="shared" si="8"/>
        <v>8.3075679012345685</v>
      </c>
      <c r="AW23">
        <f t="shared" si="9"/>
        <v>13.911022450617285</v>
      </c>
      <c r="AX23" s="9"/>
      <c r="AY23" s="21">
        <v>-3.4484899999999999E-2</v>
      </c>
      <c r="AZ23" s="21">
        <v>27.04</v>
      </c>
      <c r="BA23" s="21">
        <v>-1.5356399999999999E-2</v>
      </c>
      <c r="BB23" s="21">
        <v>13</v>
      </c>
      <c r="BC23" s="21">
        <v>-3.4799200000000002E-2</v>
      </c>
      <c r="BD23">
        <f t="shared" si="10"/>
        <v>18.958518518518517</v>
      </c>
      <c r="BE23">
        <f t="shared" si="11"/>
        <v>-0.65378261525925918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5.1533100000000003</v>
      </c>
      <c r="I24" s="21">
        <v>-7.6507600000000004E-3</v>
      </c>
      <c r="J24" s="21">
        <v>14</v>
      </c>
      <c r="K24" s="21">
        <v>1.6687000000000001</v>
      </c>
      <c r="L24">
        <f t="shared" si="0"/>
        <v>9.4453827160493837</v>
      </c>
      <c r="M24">
        <f t="shared" si="1"/>
        <v>15.768688629135804</v>
      </c>
      <c r="N24" s="9"/>
      <c r="O24" s="21">
        <v>-2.94495E-2</v>
      </c>
      <c r="P24" s="21">
        <v>8.8516499999999994</v>
      </c>
      <c r="Q24" s="21">
        <v>-1.56036E-2</v>
      </c>
      <c r="R24" s="21">
        <v>14</v>
      </c>
      <c r="S24" s="21">
        <v>-2.97638E-2</v>
      </c>
      <c r="T24">
        <f t="shared" si="2"/>
        <v>19.263703703703705</v>
      </c>
      <c r="U24">
        <f t="shared" si="3"/>
        <v>-0.56730644222222226</v>
      </c>
      <c r="V24" s="22"/>
      <c r="W24" s="23"/>
      <c r="X24" s="9"/>
      <c r="Y24" s="21">
        <v>1.6694599999999999</v>
      </c>
      <c r="Z24" s="21">
        <v>14.256500000000001</v>
      </c>
      <c r="AA24" s="21">
        <v>-7.3913599999999996E-3</v>
      </c>
      <c r="AB24" s="21">
        <v>14</v>
      </c>
      <c r="AC24" s="21">
        <v>1.6690100000000001</v>
      </c>
      <c r="AD24">
        <f t="shared" si="4"/>
        <v>9.1251358024691349</v>
      </c>
      <c r="AE24">
        <f t="shared" si="5"/>
        <v>15.234049216790121</v>
      </c>
      <c r="AF24" s="9"/>
      <c r="AG24" s="21">
        <v>-2.94495E-2</v>
      </c>
      <c r="AH24" s="21">
        <v>17.954899999999999</v>
      </c>
      <c r="AI24" s="21">
        <v>-1.54083E-2</v>
      </c>
      <c r="AJ24" s="21">
        <v>14</v>
      </c>
      <c r="AK24" s="21">
        <v>-2.9891999999999998E-2</v>
      </c>
      <c r="AL24">
        <f t="shared" si="6"/>
        <v>19.022592592592591</v>
      </c>
      <c r="AM24">
        <f t="shared" si="7"/>
        <v>-0.56020584055555556</v>
      </c>
      <c r="AP24" s="9"/>
      <c r="AQ24" s="21">
        <v>1.6694599999999999</v>
      </c>
      <c r="AR24" s="21">
        <v>23.351800000000001</v>
      </c>
      <c r="AS24" s="21">
        <v>-7.1624799999999997E-3</v>
      </c>
      <c r="AT24" s="21">
        <v>14</v>
      </c>
      <c r="AU24" s="21">
        <v>1.6690100000000001</v>
      </c>
      <c r="AV24">
        <f t="shared" si="8"/>
        <v>8.8425679012345668</v>
      </c>
      <c r="AW24">
        <f t="shared" si="9"/>
        <v>14.762313408395059</v>
      </c>
      <c r="AX24" s="9"/>
      <c r="AY24" s="21">
        <v>-2.94495E-2</v>
      </c>
      <c r="AZ24" s="21">
        <v>27.0501</v>
      </c>
      <c r="BA24" s="21">
        <v>-1.5341199999999999E-2</v>
      </c>
      <c r="BB24" s="21">
        <v>14</v>
      </c>
      <c r="BC24" s="21">
        <v>-2.9757700000000002E-2</v>
      </c>
      <c r="BD24">
        <f t="shared" si="10"/>
        <v>18.939753086419749</v>
      </c>
      <c r="BE24">
        <f t="shared" si="11"/>
        <v>-0.55776625851851835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5.1633800000000001</v>
      </c>
      <c r="I25" s="21">
        <v>-8.0200199999999992E-3</v>
      </c>
      <c r="J25" s="21">
        <v>15</v>
      </c>
      <c r="K25" s="21">
        <v>1.66351</v>
      </c>
      <c r="L25">
        <f t="shared" si="0"/>
        <v>9.9012592592592572</v>
      </c>
      <c r="M25">
        <f t="shared" si="1"/>
        <v>16.479952948888887</v>
      </c>
      <c r="N25" s="9"/>
      <c r="O25" s="21">
        <v>-2.4414100000000001E-2</v>
      </c>
      <c r="P25" s="21">
        <v>8.86172</v>
      </c>
      <c r="Q25" s="21">
        <v>-1.56036E-2</v>
      </c>
      <c r="R25" s="21">
        <v>15</v>
      </c>
      <c r="S25" s="21">
        <v>-2.4740600000000001E-2</v>
      </c>
      <c r="T25">
        <f t="shared" si="2"/>
        <v>19.263703703703705</v>
      </c>
      <c r="U25">
        <f t="shared" si="3"/>
        <v>-0.47030598859259265</v>
      </c>
      <c r="V25" s="22"/>
      <c r="W25" s="23"/>
      <c r="X25" s="9"/>
      <c r="Y25" s="21">
        <v>1.6644300000000001</v>
      </c>
      <c r="Z25" s="21">
        <v>14.2666</v>
      </c>
      <c r="AA25" s="21">
        <v>-7.7728299999999997E-3</v>
      </c>
      <c r="AB25" s="21">
        <v>15</v>
      </c>
      <c r="AC25" s="21">
        <v>1.6638200000000001</v>
      </c>
      <c r="AD25">
        <f t="shared" si="4"/>
        <v>9.5960864197530853</v>
      </c>
      <c r="AE25">
        <f t="shared" si="5"/>
        <v>15.972014119629629</v>
      </c>
      <c r="AF25" s="9"/>
      <c r="AG25" s="21">
        <v>-2.4414100000000001E-2</v>
      </c>
      <c r="AH25" s="21">
        <v>17.9649</v>
      </c>
      <c r="AI25" s="21">
        <v>-1.53992E-2</v>
      </c>
      <c r="AJ25" s="21">
        <v>15</v>
      </c>
      <c r="AK25" s="21">
        <v>-2.4823000000000001E-2</v>
      </c>
      <c r="AL25">
        <f t="shared" si="6"/>
        <v>19.011358024691354</v>
      </c>
      <c r="AM25">
        <f t="shared" si="7"/>
        <v>-0.46414519595061721</v>
      </c>
      <c r="AP25" s="9"/>
      <c r="AQ25" s="21">
        <v>1.6644300000000001</v>
      </c>
      <c r="AR25" s="21">
        <v>23.361799999999999</v>
      </c>
      <c r="AS25" s="21">
        <v>-7.5622600000000003E-3</v>
      </c>
      <c r="AT25" s="21">
        <v>15</v>
      </c>
      <c r="AU25" s="21">
        <v>1.66412</v>
      </c>
      <c r="AV25">
        <f t="shared" si="8"/>
        <v>9.3361234567901228</v>
      </c>
      <c r="AW25">
        <f t="shared" si="9"/>
        <v>15.539323965185185</v>
      </c>
      <c r="AX25" s="9"/>
      <c r="AY25" s="21">
        <v>-2.4414100000000001E-2</v>
      </c>
      <c r="AZ25" s="21">
        <v>27.060199999999998</v>
      </c>
      <c r="BA25" s="21">
        <v>-1.5332E-2</v>
      </c>
      <c r="BB25" s="21">
        <v>15</v>
      </c>
      <c r="BC25" s="21">
        <v>-2.4716200000000001E-2</v>
      </c>
      <c r="BD25">
        <f t="shared" si="10"/>
        <v>18.928395061728395</v>
      </c>
      <c r="BE25">
        <f t="shared" si="11"/>
        <v>-0.46211972987654321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5.1734600000000004</v>
      </c>
      <c r="I26" s="21">
        <v>-8.3587599999999998E-3</v>
      </c>
      <c r="J26" s="21">
        <v>16</v>
      </c>
      <c r="K26" s="21">
        <v>1.65863</v>
      </c>
      <c r="L26">
        <f t="shared" si="0"/>
        <v>10.319456790123455</v>
      </c>
      <c r="M26">
        <f t="shared" si="1"/>
        <v>17.124003402962959</v>
      </c>
      <c r="N26" s="9"/>
      <c r="O26" s="21">
        <v>-1.9378699999999999E-2</v>
      </c>
      <c r="P26" s="21">
        <v>8.8717900000000007</v>
      </c>
      <c r="Q26" s="21">
        <v>-1.55914E-2</v>
      </c>
      <c r="R26" s="21">
        <v>16</v>
      </c>
      <c r="S26" s="21">
        <v>-1.9705199999999999E-2</v>
      </c>
      <c r="T26">
        <f t="shared" si="2"/>
        <v>19.24864197530864</v>
      </c>
      <c r="U26">
        <f t="shared" si="3"/>
        <v>-0.37301365824691352</v>
      </c>
      <c r="V26" s="22"/>
      <c r="W26" s="23"/>
      <c r="X26" s="9"/>
      <c r="Y26" s="21">
        <v>1.6593899999999999</v>
      </c>
      <c r="Z26" s="21">
        <v>14.2767</v>
      </c>
      <c r="AA26" s="21">
        <v>-8.1176800000000004E-3</v>
      </c>
      <c r="AB26" s="21">
        <v>16</v>
      </c>
      <c r="AC26" s="21">
        <v>1.6583300000000001</v>
      </c>
      <c r="AD26">
        <f t="shared" si="4"/>
        <v>10.021827160493826</v>
      </c>
      <c r="AE26">
        <f t="shared" si="5"/>
        <v>16.630119771851849</v>
      </c>
      <c r="AF26" s="9"/>
      <c r="AG26" s="21">
        <v>-1.9378699999999999E-2</v>
      </c>
      <c r="AH26" s="21">
        <v>17.975000000000001</v>
      </c>
      <c r="AI26" s="21">
        <v>-1.5396099999999999E-2</v>
      </c>
      <c r="AJ26" s="21">
        <v>16</v>
      </c>
      <c r="AK26" s="21">
        <v>-1.9668600000000001E-2</v>
      </c>
      <c r="AL26">
        <f t="shared" si="6"/>
        <v>19.007530864197527</v>
      </c>
      <c r="AM26">
        <f t="shared" si="7"/>
        <v>-0.36834123835802457</v>
      </c>
      <c r="AP26" s="9"/>
      <c r="AQ26" s="21">
        <v>1.6593899999999999</v>
      </c>
      <c r="AR26" s="21">
        <v>23.3719</v>
      </c>
      <c r="AS26" s="21">
        <v>-7.9406700000000004E-3</v>
      </c>
      <c r="AT26" s="21">
        <v>16</v>
      </c>
      <c r="AU26" s="21">
        <v>1.65863</v>
      </c>
      <c r="AV26">
        <f t="shared" si="8"/>
        <v>9.8032962962962955</v>
      </c>
      <c r="AW26">
        <f t="shared" si="9"/>
        <v>16.267491841111109</v>
      </c>
      <c r="AX26" s="9"/>
      <c r="AY26" s="21">
        <v>-1.9378699999999999E-2</v>
      </c>
      <c r="AZ26" s="21">
        <v>27.0702</v>
      </c>
      <c r="BA26" s="21">
        <v>-1.53229E-2</v>
      </c>
      <c r="BB26" s="21">
        <v>16</v>
      </c>
      <c r="BC26" s="21">
        <v>-1.9650299999999999E-2</v>
      </c>
      <c r="BD26">
        <f t="shared" si="10"/>
        <v>18.917160493827158</v>
      </c>
      <c r="BE26">
        <f t="shared" si="11"/>
        <v>-0.36658997806172833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5.1835300000000002</v>
      </c>
      <c r="I27" s="21">
        <v>-8.6639400000000002E-3</v>
      </c>
      <c r="J27" s="21">
        <v>17</v>
      </c>
      <c r="K27" s="21">
        <v>1.65344</v>
      </c>
      <c r="L27">
        <f t="shared" si="0"/>
        <v>10.696222222222222</v>
      </c>
      <c r="M27">
        <f t="shared" si="1"/>
        <v>17.695402195555555</v>
      </c>
      <c r="N27" s="9"/>
      <c r="O27" s="21">
        <v>-1.43433E-2</v>
      </c>
      <c r="P27" s="21">
        <v>8.8818599999999996</v>
      </c>
      <c r="Q27" s="21">
        <v>-1.55853E-2</v>
      </c>
      <c r="R27" s="21">
        <v>17</v>
      </c>
      <c r="S27" s="21">
        <v>-1.46149E-2</v>
      </c>
      <c r="T27">
        <f t="shared" si="2"/>
        <v>19.24111111111111</v>
      </c>
      <c r="U27">
        <f t="shared" si="3"/>
        <v>-0.27598102899999999</v>
      </c>
      <c r="X27" s="9"/>
      <c r="Y27" s="21">
        <v>1.6543600000000001</v>
      </c>
      <c r="Z27" s="21">
        <v>14.2867</v>
      </c>
      <c r="AA27" s="21">
        <v>-8.4411599999999996E-3</v>
      </c>
      <c r="AB27" s="21">
        <v>17</v>
      </c>
      <c r="AC27" s="21">
        <v>1.6537500000000001</v>
      </c>
      <c r="AD27">
        <f t="shared" si="4"/>
        <v>10.421185185185184</v>
      </c>
      <c r="AE27">
        <f t="shared" si="5"/>
        <v>17.24039192296296</v>
      </c>
      <c r="AF27" s="9"/>
      <c r="AG27" s="21">
        <v>-1.43433E-2</v>
      </c>
      <c r="AH27" s="21">
        <v>17.985099999999999</v>
      </c>
      <c r="AI27" s="21">
        <v>-1.5383900000000001E-2</v>
      </c>
      <c r="AJ27" s="21">
        <v>17</v>
      </c>
      <c r="AK27" s="21">
        <v>-1.46149E-2</v>
      </c>
      <c r="AL27">
        <f t="shared" si="6"/>
        <v>18.99246913580247</v>
      </c>
      <c r="AM27">
        <f t="shared" si="7"/>
        <v>-0.27241468255555557</v>
      </c>
      <c r="AP27" s="9"/>
      <c r="AQ27" s="21">
        <v>1.6543600000000001</v>
      </c>
      <c r="AR27" s="21">
        <v>23.382000000000001</v>
      </c>
      <c r="AS27" s="21">
        <v>-8.2855199999999993E-3</v>
      </c>
      <c r="AT27" s="21">
        <v>17</v>
      </c>
      <c r="AU27" s="21">
        <v>1.6537500000000001</v>
      </c>
      <c r="AV27">
        <f t="shared" si="8"/>
        <v>10.229037037037035</v>
      </c>
      <c r="AW27">
        <f t="shared" si="9"/>
        <v>16.922509712592589</v>
      </c>
      <c r="AX27" s="9"/>
      <c r="AY27" s="21">
        <v>-1.43433E-2</v>
      </c>
      <c r="AZ27" s="21">
        <v>27.080300000000001</v>
      </c>
      <c r="BA27" s="21">
        <v>-1.53046E-2</v>
      </c>
      <c r="BB27" s="21">
        <v>17</v>
      </c>
      <c r="BC27" s="21">
        <v>-1.4627100000000001E-2</v>
      </c>
      <c r="BD27">
        <f t="shared" si="10"/>
        <v>18.894567901234566</v>
      </c>
      <c r="BE27">
        <f t="shared" si="11"/>
        <v>-0.27101045577777777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5.1936</v>
      </c>
      <c r="I28" s="21">
        <v>-8.9385999999999997E-3</v>
      </c>
      <c r="J28" s="21">
        <v>18</v>
      </c>
      <c r="K28" s="21">
        <v>1.64825</v>
      </c>
      <c r="L28">
        <f t="shared" si="0"/>
        <v>11.035308641975307</v>
      </c>
      <c r="M28">
        <f t="shared" si="1"/>
        <v>18.200755249382713</v>
      </c>
      <c r="N28" s="9"/>
      <c r="O28" s="21">
        <v>-9.3078599999999994E-3</v>
      </c>
      <c r="P28" s="21">
        <v>8.8919300000000003</v>
      </c>
      <c r="Q28" s="21">
        <v>-1.55701E-2</v>
      </c>
      <c r="R28" s="21">
        <v>18</v>
      </c>
      <c r="S28" s="21">
        <v>-9.6832299999999993E-3</v>
      </c>
      <c r="T28">
        <f t="shared" si="2"/>
        <v>19.222345679012346</v>
      </c>
      <c r="U28">
        <f t="shared" si="3"/>
        <v>-0.17891890245185185</v>
      </c>
      <c r="X28" s="9"/>
      <c r="Y28" s="21">
        <v>1.6493199999999999</v>
      </c>
      <c r="Z28" s="21">
        <v>14.296799999999999</v>
      </c>
      <c r="AA28" s="21">
        <v>-8.74634E-3</v>
      </c>
      <c r="AB28" s="21">
        <v>18</v>
      </c>
      <c r="AC28" s="21">
        <v>1.64825</v>
      </c>
      <c r="AD28">
        <f t="shared" si="4"/>
        <v>10.79795061728395</v>
      </c>
      <c r="AE28">
        <f t="shared" si="5"/>
        <v>17.809275912098762</v>
      </c>
      <c r="AF28" s="9"/>
      <c r="AG28" s="21">
        <v>-9.3078599999999994E-3</v>
      </c>
      <c r="AH28" s="21">
        <v>17.995200000000001</v>
      </c>
      <c r="AI28" s="21">
        <v>-1.5374799999999999E-2</v>
      </c>
      <c r="AJ28" s="21">
        <v>18</v>
      </c>
      <c r="AK28" s="21">
        <v>-9.5764200000000004E-3</v>
      </c>
      <c r="AL28">
        <f t="shared" si="6"/>
        <v>18.981234567901232</v>
      </c>
      <c r="AM28">
        <f t="shared" si="7"/>
        <v>-0.17667467398518516</v>
      </c>
      <c r="AP28" s="9"/>
      <c r="AQ28" s="21">
        <v>1.6493199999999999</v>
      </c>
      <c r="AR28" s="21">
        <v>23.391999999999999</v>
      </c>
      <c r="AS28" s="21">
        <v>-8.5967999999999999E-3</v>
      </c>
      <c r="AT28" s="21">
        <v>18</v>
      </c>
      <c r="AU28" s="21">
        <v>1.64825</v>
      </c>
      <c r="AV28">
        <f t="shared" si="8"/>
        <v>10.613333333333332</v>
      </c>
      <c r="AW28">
        <f t="shared" si="9"/>
        <v>17.504782933333328</v>
      </c>
      <c r="AX28" s="9"/>
      <c r="AY28" s="21">
        <v>-9.3078599999999994E-3</v>
      </c>
      <c r="AZ28" s="21">
        <v>27.090399999999999</v>
      </c>
      <c r="BA28" s="21">
        <v>-1.5301500000000001E-2</v>
      </c>
      <c r="BB28" s="21">
        <v>18</v>
      </c>
      <c r="BC28" s="21">
        <v>-9.5397899999999994E-3</v>
      </c>
      <c r="BD28">
        <f t="shared" si="10"/>
        <v>18.890740740740739</v>
      </c>
      <c r="BE28">
        <f t="shared" si="11"/>
        <v>-0.17583237011111108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5.2036699999999998</v>
      </c>
      <c r="I29" s="21">
        <v>-9.1949500000000003E-3</v>
      </c>
      <c r="J29" s="21">
        <v>19</v>
      </c>
      <c r="K29" s="21">
        <v>1.64307</v>
      </c>
      <c r="L29">
        <f t="shared" si="0"/>
        <v>11.351790123456791</v>
      </c>
      <c r="M29">
        <f t="shared" si="1"/>
        <v>18.665634982098766</v>
      </c>
      <c r="N29" s="9"/>
      <c r="O29" s="21">
        <v>-4.2724599999999996E-3</v>
      </c>
      <c r="P29" s="21">
        <v>8.9020100000000006</v>
      </c>
      <c r="Q29" s="21">
        <v>-1.5554800000000001E-2</v>
      </c>
      <c r="R29" s="21">
        <v>19</v>
      </c>
      <c r="S29" s="21">
        <v>-4.5379599999999997E-3</v>
      </c>
      <c r="T29">
        <f t="shared" si="2"/>
        <v>19.203456790123457</v>
      </c>
      <c r="U29">
        <f t="shared" si="3"/>
        <v>-8.2046000997530857E-2</v>
      </c>
      <c r="X29" s="9"/>
      <c r="Y29" s="21">
        <v>1.64429</v>
      </c>
      <c r="Z29" s="21">
        <v>14.306900000000001</v>
      </c>
      <c r="AA29" s="21">
        <v>-9.0270999999999997E-3</v>
      </c>
      <c r="AB29" s="21">
        <v>19</v>
      </c>
      <c r="AC29" s="21">
        <v>1.64337</v>
      </c>
      <c r="AD29">
        <f t="shared" si="4"/>
        <v>11.144567901234566</v>
      </c>
      <c r="AE29">
        <f t="shared" si="5"/>
        <v>18.324901554320984</v>
      </c>
      <c r="AF29" s="9"/>
      <c r="AG29" s="21">
        <v>-4.2724599999999996E-3</v>
      </c>
      <c r="AH29" s="21">
        <v>18.005199999999999</v>
      </c>
      <c r="AI29" s="21">
        <v>-1.5368700000000001E-2</v>
      </c>
      <c r="AJ29" s="21">
        <v>19</v>
      </c>
      <c r="AK29" s="21">
        <v>-4.5654299999999997E-3</v>
      </c>
      <c r="AL29">
        <f t="shared" si="6"/>
        <v>18.973703703703706</v>
      </c>
      <c r="AM29">
        <f t="shared" si="7"/>
        <v>-8.1064390125925923E-2</v>
      </c>
      <c r="AP29" s="9"/>
      <c r="AQ29" s="21">
        <v>1.64429</v>
      </c>
      <c r="AR29" s="21">
        <v>23.402100000000001</v>
      </c>
      <c r="AS29" s="21">
        <v>-8.8775599999999996E-3</v>
      </c>
      <c r="AT29" s="21">
        <v>19</v>
      </c>
      <c r="AU29" s="21">
        <v>1.64368</v>
      </c>
      <c r="AV29">
        <f t="shared" si="8"/>
        <v>10.959950617283949</v>
      </c>
      <c r="AW29">
        <f t="shared" si="9"/>
        <v>18.021337200493825</v>
      </c>
      <c r="AX29" s="9"/>
      <c r="AY29" s="21">
        <v>-4.2724599999999996E-3</v>
      </c>
      <c r="AZ29" s="21">
        <v>27.1004</v>
      </c>
      <c r="BA29" s="21">
        <v>-1.53046E-2</v>
      </c>
      <c r="BB29" s="21">
        <v>19</v>
      </c>
      <c r="BC29" s="21">
        <v>-4.4860799999999999E-3</v>
      </c>
      <c r="BD29">
        <f t="shared" si="10"/>
        <v>18.894567901234566</v>
      </c>
      <c r="BE29">
        <f t="shared" si="11"/>
        <v>-8.0726285575308629E-2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5.2137399999999996</v>
      </c>
      <c r="I30" s="21">
        <v>-9.4390900000000007E-3</v>
      </c>
      <c r="J30" s="21">
        <v>20</v>
      </c>
      <c r="K30" s="21">
        <v>1.63849</v>
      </c>
      <c r="L30">
        <f t="shared" si="0"/>
        <v>11.653197530864198</v>
      </c>
      <c r="M30">
        <f t="shared" si="1"/>
        <v>19.102504052469136</v>
      </c>
      <c r="N30" s="9"/>
      <c r="O30" s="21">
        <v>7.6293900000000002E-4</v>
      </c>
      <c r="P30" s="21">
        <v>8.9120799999999996</v>
      </c>
      <c r="Q30" s="21">
        <v>-1.5545700000000001E-2</v>
      </c>
      <c r="R30" s="21">
        <v>20</v>
      </c>
      <c r="S30" s="21">
        <v>5.8593700000000002E-4</v>
      </c>
      <c r="T30">
        <f t="shared" si="2"/>
        <v>19.19222222222222</v>
      </c>
      <c r="U30">
        <f t="shared" si="3"/>
        <v>1.4642494829999998E-2</v>
      </c>
      <c r="X30" s="9"/>
      <c r="Y30" s="21">
        <v>1.6392500000000001</v>
      </c>
      <c r="Z30" s="21">
        <v>14.317</v>
      </c>
      <c r="AA30" s="21">
        <v>-9.2895500000000006E-3</v>
      </c>
      <c r="AB30" s="21">
        <v>20</v>
      </c>
      <c r="AC30" s="21">
        <v>1.63879</v>
      </c>
      <c r="AD30">
        <f t="shared" si="4"/>
        <v>11.46858024691358</v>
      </c>
      <c r="AE30">
        <f t="shared" si="5"/>
        <v>18.799870169753088</v>
      </c>
      <c r="AF30" s="9"/>
      <c r="AG30" s="21">
        <v>7.6293900000000002E-4</v>
      </c>
      <c r="AH30" s="21">
        <v>18.0153</v>
      </c>
      <c r="AI30" s="21">
        <v>-1.53717E-2</v>
      </c>
      <c r="AJ30" s="21">
        <v>20</v>
      </c>
      <c r="AK30" s="21">
        <v>5.0964399999999996E-4</v>
      </c>
      <c r="AL30">
        <f t="shared" si="6"/>
        <v>18.977407407407409</v>
      </c>
      <c r="AM30">
        <f t="shared" si="7"/>
        <v>1.4478604230000001E-2</v>
      </c>
      <c r="AP30" s="9"/>
      <c r="AQ30" s="21">
        <v>1.6392500000000001</v>
      </c>
      <c r="AR30" s="21">
        <v>23.412199999999999</v>
      </c>
      <c r="AS30" s="21">
        <v>-9.1430699999999997E-3</v>
      </c>
      <c r="AT30" s="21">
        <v>20</v>
      </c>
      <c r="AU30" s="21">
        <v>1.63849</v>
      </c>
      <c r="AV30">
        <f t="shared" si="8"/>
        <v>11.287740740740739</v>
      </c>
      <c r="AW30">
        <f t="shared" si="9"/>
        <v>18.503429009259257</v>
      </c>
      <c r="AX30" s="9"/>
      <c r="AY30" s="21">
        <v>7.6293900000000002E-4</v>
      </c>
      <c r="AZ30" s="21">
        <v>27.110499999999998</v>
      </c>
      <c r="BA30" s="21">
        <v>-1.52985E-2</v>
      </c>
      <c r="BB30" s="21">
        <v>20</v>
      </c>
      <c r="BC30" s="21">
        <v>5.4016100000000005E-4</v>
      </c>
      <c r="BD30">
        <f t="shared" si="10"/>
        <v>18.887037037037036</v>
      </c>
      <c r="BE30">
        <f t="shared" si="11"/>
        <v>1.440965715E-2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5.2238100000000003</v>
      </c>
      <c r="I31" s="21">
        <v>-9.6649200000000005E-3</v>
      </c>
      <c r="J31" s="21">
        <v>21</v>
      </c>
      <c r="K31" s="21">
        <v>1.633</v>
      </c>
      <c r="L31">
        <f t="shared" si="0"/>
        <v>11.932</v>
      </c>
      <c r="M31">
        <f t="shared" si="1"/>
        <v>19.49951304</v>
      </c>
      <c r="N31" s="9"/>
      <c r="O31" s="21">
        <v>5.7983399999999999E-3</v>
      </c>
      <c r="P31" s="21">
        <v>8.9221500000000002</v>
      </c>
      <c r="Q31" s="21">
        <v>-1.5533399999999999E-2</v>
      </c>
      <c r="R31" s="21">
        <v>21</v>
      </c>
      <c r="S31" s="21">
        <v>5.5602999999999998E-3</v>
      </c>
      <c r="T31">
        <f t="shared" si="2"/>
        <v>19.177037037037035</v>
      </c>
      <c r="U31">
        <f t="shared" si="3"/>
        <v>0.11119498093333333</v>
      </c>
      <c r="X31" s="9"/>
      <c r="Y31" s="21">
        <v>1.63422</v>
      </c>
      <c r="Z31" s="21">
        <v>14.327</v>
      </c>
      <c r="AA31" s="21">
        <v>-9.5184299999999996E-3</v>
      </c>
      <c r="AB31" s="21">
        <v>21</v>
      </c>
      <c r="AC31" s="21">
        <v>1.6333</v>
      </c>
      <c r="AD31">
        <f t="shared" si="4"/>
        <v>11.751148148148149</v>
      </c>
      <c r="AE31">
        <f t="shared" si="5"/>
        <v>19.203961326666668</v>
      </c>
      <c r="AF31" s="9"/>
      <c r="AG31" s="21">
        <v>5.7983399999999999E-3</v>
      </c>
      <c r="AH31" s="21">
        <v>18.025400000000001</v>
      </c>
      <c r="AI31" s="21">
        <v>-1.5362499999999999E-2</v>
      </c>
      <c r="AJ31" s="21">
        <v>21</v>
      </c>
      <c r="AK31" s="21">
        <v>5.6060800000000003E-3</v>
      </c>
      <c r="AL31">
        <f t="shared" si="6"/>
        <v>18.966049382716047</v>
      </c>
      <c r="AM31">
        <f t="shared" si="7"/>
        <v>0.10997160277777776</v>
      </c>
      <c r="AP31" s="9"/>
      <c r="AQ31" s="21">
        <v>1.63422</v>
      </c>
      <c r="AR31" s="21">
        <v>23.4223</v>
      </c>
      <c r="AS31" s="21">
        <v>-9.38721E-3</v>
      </c>
      <c r="AT31" s="21">
        <v>21</v>
      </c>
      <c r="AU31" s="21">
        <v>1.63361</v>
      </c>
      <c r="AV31">
        <f t="shared" si="8"/>
        <v>11.589148148148148</v>
      </c>
      <c r="AW31">
        <f t="shared" si="9"/>
        <v>18.939217686666666</v>
      </c>
      <c r="AX31" s="9"/>
      <c r="AY31" s="21">
        <v>5.7983399999999999E-3</v>
      </c>
      <c r="AZ31" s="21">
        <v>27.1206</v>
      </c>
      <c r="BA31" s="21">
        <v>-1.5301500000000001E-2</v>
      </c>
      <c r="BB31" s="21">
        <v>21</v>
      </c>
      <c r="BC31" s="21">
        <v>5.5419900000000001E-3</v>
      </c>
      <c r="BD31">
        <f t="shared" si="10"/>
        <v>18.890740740740739</v>
      </c>
      <c r="BE31">
        <f t="shared" si="11"/>
        <v>0.10953493766666665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5.2338800000000001</v>
      </c>
      <c r="I32" s="21">
        <v>-9.8846400000000001E-3</v>
      </c>
      <c r="J32" s="21">
        <v>22</v>
      </c>
      <c r="K32" s="21">
        <v>1.62903</v>
      </c>
      <c r="L32">
        <f t="shared" si="0"/>
        <v>12.203259259259259</v>
      </c>
      <c r="M32">
        <f t="shared" si="1"/>
        <v>19.881305919999999</v>
      </c>
      <c r="N32" s="9"/>
      <c r="O32" s="21">
        <v>1.08337E-2</v>
      </c>
      <c r="P32" s="21">
        <v>8.9322199999999992</v>
      </c>
      <c r="Q32" s="21">
        <v>-1.5527300000000001E-2</v>
      </c>
      <c r="R32" s="21">
        <v>22</v>
      </c>
      <c r="S32" s="21">
        <v>1.07758E-2</v>
      </c>
      <c r="T32">
        <f t="shared" si="2"/>
        <v>19.169506172839505</v>
      </c>
      <c r="U32">
        <f t="shared" si="3"/>
        <v>0.20767667902469134</v>
      </c>
      <c r="X32" s="9"/>
      <c r="Y32" s="21">
        <v>1.6291800000000001</v>
      </c>
      <c r="Z32" s="21">
        <v>14.3371</v>
      </c>
      <c r="AA32" s="21">
        <v>-9.7473100000000003E-3</v>
      </c>
      <c r="AB32" s="21">
        <v>22</v>
      </c>
      <c r="AC32" s="21">
        <v>1.62842</v>
      </c>
      <c r="AD32">
        <f t="shared" si="4"/>
        <v>12.033716049382717</v>
      </c>
      <c r="AE32">
        <f t="shared" si="5"/>
        <v>19.605089513333336</v>
      </c>
      <c r="AF32" s="9"/>
      <c r="AG32" s="21">
        <v>1.08337E-2</v>
      </c>
      <c r="AH32" s="21">
        <v>18.035399999999999</v>
      </c>
      <c r="AI32" s="21">
        <v>-1.5344200000000001E-2</v>
      </c>
      <c r="AJ32" s="21">
        <v>22</v>
      </c>
      <c r="AK32" s="21">
        <v>1.0678099999999999E-2</v>
      </c>
      <c r="AL32">
        <f t="shared" si="6"/>
        <v>18.943456790123456</v>
      </c>
      <c r="AM32">
        <f t="shared" si="7"/>
        <v>0.20522772782716048</v>
      </c>
      <c r="AP32" s="9"/>
      <c r="AQ32" s="21">
        <v>1.6291800000000001</v>
      </c>
      <c r="AR32" s="21">
        <v>23.432300000000001</v>
      </c>
      <c r="AS32" s="21">
        <v>-9.6221899999999992E-3</v>
      </c>
      <c r="AT32" s="21">
        <v>22</v>
      </c>
      <c r="AU32" s="21">
        <v>1.62842</v>
      </c>
      <c r="AV32">
        <f t="shared" si="8"/>
        <v>11.879246913580246</v>
      </c>
      <c r="AW32">
        <f t="shared" si="9"/>
        <v>19.353431486666665</v>
      </c>
      <c r="AX32" s="9"/>
      <c r="AY32" s="21">
        <v>1.08337E-2</v>
      </c>
      <c r="AZ32" s="21">
        <v>27.130700000000001</v>
      </c>
      <c r="BA32" s="21">
        <v>-1.5292399999999999E-2</v>
      </c>
      <c r="BB32" s="21">
        <v>22</v>
      </c>
      <c r="BC32" s="21">
        <v>1.07391E-2</v>
      </c>
      <c r="BD32">
        <f t="shared" si="10"/>
        <v>18.879506172839505</v>
      </c>
      <c r="BE32">
        <f t="shared" si="11"/>
        <v>0.20453490602469135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5.2439499999999999</v>
      </c>
      <c r="I33" s="21">
        <v>-1.0092200000000001E-2</v>
      </c>
      <c r="J33" s="21">
        <v>23</v>
      </c>
      <c r="K33" s="21">
        <v>1.62354</v>
      </c>
      <c r="L33">
        <f t="shared" si="0"/>
        <v>12.459506172839507</v>
      </c>
      <c r="M33">
        <f t="shared" si="1"/>
        <v>20.236106950617284</v>
      </c>
      <c r="N33" s="9"/>
      <c r="O33" s="21">
        <v>1.5869100000000001E-2</v>
      </c>
      <c r="P33" s="21">
        <v>8.9422899999999998</v>
      </c>
      <c r="Q33" s="21">
        <v>-1.55151E-2</v>
      </c>
      <c r="R33" s="21">
        <v>23</v>
      </c>
      <c r="S33" s="21">
        <v>1.5646400000000001E-2</v>
      </c>
      <c r="T33">
        <f t="shared" si="2"/>
        <v>19.154444444444444</v>
      </c>
      <c r="U33">
        <f t="shared" si="3"/>
        <v>0.30396379433333331</v>
      </c>
      <c r="X33" s="9"/>
      <c r="Y33" s="21">
        <v>1.62415</v>
      </c>
      <c r="Z33" s="21">
        <v>14.347200000000001</v>
      </c>
      <c r="AA33" s="21">
        <v>-9.9731400000000001E-3</v>
      </c>
      <c r="AB33" s="21">
        <v>23</v>
      </c>
      <c r="AC33" s="21">
        <v>1.62354</v>
      </c>
      <c r="AD33">
        <f t="shared" si="4"/>
        <v>12.312518518518518</v>
      </c>
      <c r="AE33">
        <f t="shared" si="5"/>
        <v>19.997376951851852</v>
      </c>
      <c r="AF33" s="9"/>
      <c r="AG33" s="21">
        <v>1.5869100000000001E-2</v>
      </c>
      <c r="AH33" s="21">
        <v>18.045500000000001</v>
      </c>
      <c r="AI33" s="21">
        <v>-1.5329000000000001E-2</v>
      </c>
      <c r="AJ33" s="21">
        <v>23</v>
      </c>
      <c r="AK33" s="21">
        <v>1.5634200000000001E-2</v>
      </c>
      <c r="AL33">
        <f t="shared" si="6"/>
        <v>18.924691358024692</v>
      </c>
      <c r="AM33">
        <f t="shared" si="7"/>
        <v>0.30031781962962967</v>
      </c>
      <c r="AP33" s="9"/>
      <c r="AQ33" s="21">
        <v>1.62415</v>
      </c>
      <c r="AR33" s="21">
        <v>23.442399999999999</v>
      </c>
      <c r="AS33" s="21">
        <v>-9.8449699999999998E-3</v>
      </c>
      <c r="AT33" s="21">
        <v>23</v>
      </c>
      <c r="AU33" s="21">
        <v>1.62323</v>
      </c>
      <c r="AV33">
        <f t="shared" si="8"/>
        <v>12.154283950617282</v>
      </c>
      <c r="AW33">
        <f t="shared" si="9"/>
        <v>19.740380278395058</v>
      </c>
      <c r="AX33" s="9"/>
      <c r="AY33" s="21">
        <v>1.5869100000000001E-2</v>
      </c>
      <c r="AZ33" s="21">
        <v>27.140699999999999</v>
      </c>
      <c r="BA33" s="21">
        <v>-1.52832E-2</v>
      </c>
      <c r="BB33" s="21">
        <v>23</v>
      </c>
      <c r="BC33" s="21">
        <v>1.5741000000000002E-2</v>
      </c>
      <c r="BD33">
        <f t="shared" si="10"/>
        <v>18.868148148148148</v>
      </c>
      <c r="BE33">
        <f t="shared" si="11"/>
        <v>0.29942052977777778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5.2540199999999997</v>
      </c>
      <c r="I34" s="21">
        <v>-1.02875E-2</v>
      </c>
      <c r="J34" s="21">
        <v>24</v>
      </c>
      <c r="K34" s="21">
        <v>1.6180399999999999</v>
      </c>
      <c r="L34">
        <f t="shared" si="0"/>
        <v>12.700617283950615</v>
      </c>
      <c r="M34">
        <f t="shared" si="1"/>
        <v>20.563696450617282</v>
      </c>
      <c r="N34" s="9"/>
      <c r="O34" s="21">
        <v>2.0904499999999999E-2</v>
      </c>
      <c r="P34" s="21">
        <v>8.9523600000000005</v>
      </c>
      <c r="Q34" s="21">
        <v>-1.55029E-2</v>
      </c>
      <c r="R34" s="21">
        <v>24</v>
      </c>
      <c r="S34" s="21">
        <v>2.07916E-2</v>
      </c>
      <c r="T34">
        <f t="shared" si="2"/>
        <v>19.139382716049383</v>
      </c>
      <c r="U34">
        <f t="shared" si="3"/>
        <v>0.40009922598765429</v>
      </c>
      <c r="X34" s="9"/>
      <c r="Y34" s="21">
        <v>1.61911</v>
      </c>
      <c r="Z34" s="21">
        <v>14.357200000000001</v>
      </c>
      <c r="AA34" s="21">
        <v>-1.0180700000000001E-2</v>
      </c>
      <c r="AB34" s="21">
        <v>24</v>
      </c>
      <c r="AC34" s="21">
        <v>1.61835</v>
      </c>
      <c r="AD34">
        <f t="shared" si="4"/>
        <v>12.568765432098765</v>
      </c>
      <c r="AE34">
        <f t="shared" si="5"/>
        <v>20.350213798765431</v>
      </c>
      <c r="AF34" s="9"/>
      <c r="AG34" s="21">
        <v>2.0904499999999999E-2</v>
      </c>
      <c r="AH34" s="21">
        <v>18.055599999999998</v>
      </c>
      <c r="AI34" s="21">
        <v>-1.53229E-2</v>
      </c>
      <c r="AJ34" s="21">
        <v>24</v>
      </c>
      <c r="AK34" s="21">
        <v>2.0748900000000001E-2</v>
      </c>
      <c r="AL34">
        <f t="shared" si="6"/>
        <v>18.917160493827158</v>
      </c>
      <c r="AM34">
        <f t="shared" si="7"/>
        <v>0.39545378154320981</v>
      </c>
      <c r="AP34" s="9"/>
      <c r="AQ34" s="21">
        <v>1.61911</v>
      </c>
      <c r="AR34" s="21">
        <v>23.452500000000001</v>
      </c>
      <c r="AS34" s="21">
        <v>-1.00403E-2</v>
      </c>
      <c r="AT34" s="21">
        <v>24</v>
      </c>
      <c r="AU34" s="21">
        <v>1.6180399999999999</v>
      </c>
      <c r="AV34">
        <f t="shared" si="8"/>
        <v>12.395432098765431</v>
      </c>
      <c r="AW34">
        <f t="shared" si="9"/>
        <v>20.069568065432097</v>
      </c>
      <c r="AX34" s="9"/>
      <c r="AY34" s="21">
        <v>2.0904499999999999E-2</v>
      </c>
      <c r="AZ34" s="21">
        <v>27.1508</v>
      </c>
      <c r="BA34" s="21">
        <v>-1.5267899999999999E-2</v>
      </c>
      <c r="BB34" s="21">
        <v>24</v>
      </c>
      <c r="BC34" s="21">
        <v>2.0898400000000001E-2</v>
      </c>
      <c r="BD34">
        <f t="shared" si="10"/>
        <v>18.849259259259256</v>
      </c>
      <c r="BE34">
        <f t="shared" si="11"/>
        <v>0.39403434018518513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5.2640900000000004</v>
      </c>
      <c r="I35" s="21">
        <v>-1.0461399999999999E-2</v>
      </c>
      <c r="J35" s="21">
        <v>25</v>
      </c>
      <c r="K35" s="21">
        <v>1.6131599999999999</v>
      </c>
      <c r="L35">
        <f t="shared" si="0"/>
        <v>12.915308641975306</v>
      </c>
      <c r="M35">
        <f t="shared" si="1"/>
        <v>20.846212219753081</v>
      </c>
      <c r="N35" s="9"/>
      <c r="O35" s="21">
        <v>2.5939899999999998E-2</v>
      </c>
      <c r="P35" s="21">
        <v>8.9624299999999995</v>
      </c>
      <c r="Q35" s="21">
        <v>-1.54968E-2</v>
      </c>
      <c r="R35" s="21">
        <v>25</v>
      </c>
      <c r="S35" s="21">
        <v>2.5695800000000001E-2</v>
      </c>
      <c r="T35">
        <f t="shared" si="2"/>
        <v>19.131851851851852</v>
      </c>
      <c r="U35">
        <f t="shared" si="3"/>
        <v>0.49627832385185183</v>
      </c>
      <c r="X35" s="9"/>
      <c r="Y35" s="21">
        <v>1.6140699999999999</v>
      </c>
      <c r="Z35" s="21">
        <v>14.3673</v>
      </c>
      <c r="AA35" s="21">
        <v>-1.0366800000000001E-2</v>
      </c>
      <c r="AB35" s="21">
        <v>25</v>
      </c>
      <c r="AC35" s="21">
        <v>1.6131599999999999</v>
      </c>
      <c r="AD35">
        <f t="shared" si="4"/>
        <v>12.798518518518518</v>
      </c>
      <c r="AE35">
        <f t="shared" si="5"/>
        <v>20.657704785185185</v>
      </c>
      <c r="AF35" s="9"/>
      <c r="AG35" s="21">
        <v>2.5939899999999998E-2</v>
      </c>
      <c r="AH35" s="21">
        <v>18.0656</v>
      </c>
      <c r="AI35" s="21">
        <v>-1.53198E-2</v>
      </c>
      <c r="AJ35" s="21">
        <v>25</v>
      </c>
      <c r="AK35" s="21">
        <v>2.5772099999999999E-2</v>
      </c>
      <c r="AL35">
        <f t="shared" si="6"/>
        <v>18.91333333333333</v>
      </c>
      <c r="AM35">
        <f t="shared" si="7"/>
        <v>0.49060997533333323</v>
      </c>
      <c r="AP35" s="9"/>
      <c r="AQ35" s="21">
        <v>1.6140699999999999</v>
      </c>
      <c r="AR35" s="21">
        <v>23.462499999999999</v>
      </c>
      <c r="AS35" s="21">
        <v>-1.0229500000000001E-2</v>
      </c>
      <c r="AT35" s="21">
        <v>25</v>
      </c>
      <c r="AU35" s="21">
        <v>1.6134599999999999</v>
      </c>
      <c r="AV35">
        <f t="shared" si="8"/>
        <v>12.629012345679012</v>
      </c>
      <c r="AW35">
        <f t="shared" si="9"/>
        <v>20.384109956790123</v>
      </c>
      <c r="AX35" s="9"/>
      <c r="AY35" s="21">
        <v>2.5939899999999998E-2</v>
      </c>
      <c r="AZ35" s="21">
        <v>27.160900000000002</v>
      </c>
      <c r="BA35" s="21">
        <v>-1.5258799999999999E-2</v>
      </c>
      <c r="BB35" s="21">
        <v>25</v>
      </c>
      <c r="BC35" s="21">
        <v>2.5717199999999999E-2</v>
      </c>
      <c r="BD35">
        <f t="shared" si="10"/>
        <v>18.838024691358022</v>
      </c>
      <c r="BE35">
        <f t="shared" si="11"/>
        <v>0.48865647669135792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5.2741699999999998</v>
      </c>
      <c r="I36" s="21">
        <v>-1.0623199999999999E-2</v>
      </c>
      <c r="J36" s="21">
        <v>26</v>
      </c>
      <c r="K36" s="21">
        <v>1.6082799999999999</v>
      </c>
      <c r="L36">
        <f t="shared" si="0"/>
        <v>13.115061728395061</v>
      </c>
      <c r="M36">
        <f t="shared" si="1"/>
        <v>21.10265892345679</v>
      </c>
      <c r="N36" s="9"/>
      <c r="O36" s="21">
        <v>3.0975300000000001E-2</v>
      </c>
      <c r="P36" s="21">
        <v>8.9725000000000001</v>
      </c>
      <c r="Q36" s="21">
        <v>-1.54877E-2</v>
      </c>
      <c r="R36" s="21">
        <v>26</v>
      </c>
      <c r="S36" s="21">
        <v>3.0715900000000001E-2</v>
      </c>
      <c r="T36">
        <f t="shared" si="2"/>
        <v>19.120617283950615</v>
      </c>
      <c r="U36">
        <f t="shared" si="3"/>
        <v>0.59226685655555555</v>
      </c>
      <c r="X36" s="9"/>
      <c r="Y36" s="21">
        <v>1.60904</v>
      </c>
      <c r="Z36" s="21">
        <v>14.3774</v>
      </c>
      <c r="AA36" s="21">
        <v>-1.0540799999999999E-2</v>
      </c>
      <c r="AB36" s="21">
        <v>26</v>
      </c>
      <c r="AC36" s="21">
        <v>1.6088899999999999</v>
      </c>
      <c r="AD36">
        <f t="shared" si="4"/>
        <v>13.013333333333332</v>
      </c>
      <c r="AE36">
        <f t="shared" si="5"/>
        <v>20.938973866666664</v>
      </c>
      <c r="AF36" s="9"/>
      <c r="AG36" s="21">
        <v>3.0975300000000001E-2</v>
      </c>
      <c r="AH36" s="21">
        <v>18.075700000000001</v>
      </c>
      <c r="AI36" s="21">
        <v>-1.53107E-2</v>
      </c>
      <c r="AJ36" s="21">
        <v>26</v>
      </c>
      <c r="AK36" s="21">
        <v>3.0877700000000001E-2</v>
      </c>
      <c r="AL36">
        <f t="shared" si="6"/>
        <v>18.9020987654321</v>
      </c>
      <c r="AM36">
        <f t="shared" si="7"/>
        <v>0.58549817988888897</v>
      </c>
      <c r="AP36" s="9"/>
      <c r="AQ36" s="21">
        <v>1.60904</v>
      </c>
      <c r="AR36" s="21">
        <v>23.4726</v>
      </c>
      <c r="AS36" s="21">
        <v>-1.0412599999999999E-2</v>
      </c>
      <c r="AT36" s="21">
        <v>26</v>
      </c>
      <c r="AU36" s="21">
        <v>1.6085799999999999</v>
      </c>
      <c r="AV36">
        <f t="shared" si="8"/>
        <v>12.855061728395061</v>
      </c>
      <c r="AW36">
        <f t="shared" si="9"/>
        <v>20.684308523456789</v>
      </c>
      <c r="AX36" s="9"/>
      <c r="AY36" s="21">
        <v>3.0975300000000001E-2</v>
      </c>
      <c r="AZ36" s="21">
        <v>27.1709</v>
      </c>
      <c r="BA36" s="21">
        <v>-1.52496E-2</v>
      </c>
      <c r="BB36" s="21">
        <v>26</v>
      </c>
      <c r="BC36" s="21">
        <v>3.0831899999999999E-2</v>
      </c>
      <c r="BD36">
        <f t="shared" si="10"/>
        <v>18.826666666666664</v>
      </c>
      <c r="BE36">
        <f t="shared" si="11"/>
        <v>0.58316164799999992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5.2842399999999996</v>
      </c>
      <c r="I37" s="21">
        <v>-1.07727E-2</v>
      </c>
      <c r="J37" s="21">
        <v>27</v>
      </c>
      <c r="K37" s="21">
        <v>1.6036999999999999</v>
      </c>
      <c r="L37">
        <f t="shared" si="0"/>
        <v>13.299629629629628</v>
      </c>
      <c r="M37">
        <f t="shared" si="1"/>
        <v>21.332605925925925</v>
      </c>
      <c r="N37" s="9"/>
      <c r="O37" s="21">
        <v>3.60107E-2</v>
      </c>
      <c r="P37" s="21">
        <v>8.9825700000000008</v>
      </c>
      <c r="Q37" s="21">
        <v>-1.5478499999999999E-2</v>
      </c>
      <c r="R37" s="21">
        <v>27</v>
      </c>
      <c r="S37" s="21">
        <v>3.5870399999999997E-2</v>
      </c>
      <c r="T37">
        <f t="shared" si="2"/>
        <v>19.109259259259257</v>
      </c>
      <c r="U37">
        <f t="shared" si="3"/>
        <v>0.6881378024074073</v>
      </c>
      <c r="X37" s="9"/>
      <c r="Y37" s="21">
        <v>1.6040000000000001</v>
      </c>
      <c r="Z37" s="21">
        <v>14.387499999999999</v>
      </c>
      <c r="AA37" s="21">
        <v>-1.07025E-2</v>
      </c>
      <c r="AB37" s="21">
        <v>27</v>
      </c>
      <c r="AC37" s="21">
        <v>1.6033900000000001</v>
      </c>
      <c r="AD37">
        <f t="shared" si="4"/>
        <v>13.212962962962964</v>
      </c>
      <c r="AE37">
        <f t="shared" si="5"/>
        <v>21.193592592592594</v>
      </c>
      <c r="AF37" s="9"/>
      <c r="AG37" s="21">
        <v>3.60107E-2</v>
      </c>
      <c r="AH37" s="21">
        <v>18.085799999999999</v>
      </c>
      <c r="AI37" s="21">
        <v>-1.53137E-2</v>
      </c>
      <c r="AJ37" s="21">
        <v>27</v>
      </c>
      <c r="AK37" s="21">
        <v>3.58734E-2</v>
      </c>
      <c r="AL37">
        <f t="shared" si="6"/>
        <v>18.9058024691358</v>
      </c>
      <c r="AM37">
        <f t="shared" si="7"/>
        <v>0.68081118097530857</v>
      </c>
      <c r="AP37" s="9"/>
      <c r="AQ37" s="21">
        <v>1.6040000000000001</v>
      </c>
      <c r="AR37" s="21">
        <v>23.482700000000001</v>
      </c>
      <c r="AS37" s="21">
        <v>-1.0589599999999999E-2</v>
      </c>
      <c r="AT37" s="21">
        <v>27</v>
      </c>
      <c r="AU37" s="21">
        <v>1.6036999999999999</v>
      </c>
      <c r="AV37">
        <f t="shared" si="8"/>
        <v>13.073580246913579</v>
      </c>
      <c r="AW37">
        <f t="shared" si="9"/>
        <v>20.970022716049382</v>
      </c>
      <c r="AX37" s="9"/>
      <c r="AY37" s="21">
        <v>3.60107E-2</v>
      </c>
      <c r="AZ37" s="21">
        <v>27.181000000000001</v>
      </c>
      <c r="BA37" s="21">
        <v>-1.52374E-2</v>
      </c>
      <c r="BB37" s="21">
        <v>27</v>
      </c>
      <c r="BC37" s="21">
        <v>3.5763499999999997E-2</v>
      </c>
      <c r="BD37">
        <f t="shared" si="10"/>
        <v>18.811604938271604</v>
      </c>
      <c r="BE37">
        <f t="shared" si="11"/>
        <v>0.67741906195061719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5.2943100000000003</v>
      </c>
      <c r="I38" s="21">
        <v>-1.091E-2</v>
      </c>
      <c r="J38" s="21">
        <v>28</v>
      </c>
      <c r="K38" s="21">
        <v>1.5982099999999999</v>
      </c>
      <c r="L38">
        <f t="shared" si="0"/>
        <v>13.469135802469134</v>
      </c>
      <c r="M38">
        <f t="shared" si="1"/>
        <v>21.536744074074072</v>
      </c>
      <c r="N38" s="9"/>
      <c r="O38" s="21">
        <v>4.1046100000000002E-2</v>
      </c>
      <c r="P38" s="21">
        <v>8.9926399999999997</v>
      </c>
      <c r="Q38" s="21">
        <v>-1.54602E-2</v>
      </c>
      <c r="R38" s="21">
        <v>28</v>
      </c>
      <c r="S38" s="21">
        <v>4.0927100000000001E-2</v>
      </c>
      <c r="T38">
        <f t="shared" si="2"/>
        <v>19.086666666666666</v>
      </c>
      <c r="U38">
        <f t="shared" si="3"/>
        <v>0.78343322866666665</v>
      </c>
      <c r="X38" s="9"/>
      <c r="Y38" s="21">
        <v>1.59897</v>
      </c>
      <c r="Z38" s="21">
        <v>14.397500000000001</v>
      </c>
      <c r="AA38" s="21">
        <v>-1.08582E-2</v>
      </c>
      <c r="AB38" s="21">
        <v>28</v>
      </c>
      <c r="AC38" s="21">
        <v>1.5985100000000001</v>
      </c>
      <c r="AD38">
        <f t="shared" si="4"/>
        <v>13.405185185185186</v>
      </c>
      <c r="AE38">
        <f t="shared" si="5"/>
        <v>21.434488955555558</v>
      </c>
      <c r="AF38" s="9"/>
      <c r="AG38" s="21">
        <v>4.1046100000000002E-2</v>
      </c>
      <c r="AH38" s="21">
        <v>18.0959</v>
      </c>
      <c r="AI38" s="21">
        <v>-1.5307599999999999E-2</v>
      </c>
      <c r="AJ38" s="21">
        <v>28</v>
      </c>
      <c r="AK38" s="21">
        <v>4.0933200000000003E-2</v>
      </c>
      <c r="AL38">
        <f t="shared" si="6"/>
        <v>18.89827160493827</v>
      </c>
      <c r="AM38">
        <f t="shared" si="7"/>
        <v>0.77570034612345673</v>
      </c>
      <c r="AP38" s="9"/>
      <c r="AQ38" s="21">
        <v>1.59897</v>
      </c>
      <c r="AR38" s="21">
        <v>23.492799999999999</v>
      </c>
      <c r="AS38" s="21">
        <v>-1.07452E-2</v>
      </c>
      <c r="AT38" s="21">
        <v>28</v>
      </c>
      <c r="AU38" s="21">
        <v>1.5985100000000001</v>
      </c>
      <c r="AV38">
        <f t="shared" si="8"/>
        <v>13.265679012345677</v>
      </c>
      <c r="AW38">
        <f t="shared" si="9"/>
        <v>21.211422770370365</v>
      </c>
      <c r="AX38" s="9"/>
      <c r="AY38" s="21">
        <v>4.1046100000000002E-2</v>
      </c>
      <c r="AZ38" s="21">
        <v>27.191099999999999</v>
      </c>
      <c r="BA38" s="21">
        <v>-1.52283E-2</v>
      </c>
      <c r="BB38" s="21">
        <v>28</v>
      </c>
      <c r="BC38" s="21">
        <v>4.0994299999999997E-2</v>
      </c>
      <c r="BD38">
        <f t="shared" si="10"/>
        <v>18.80037037037037</v>
      </c>
      <c r="BE38">
        <f t="shared" si="11"/>
        <v>0.77168188225925927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5.3043800000000001</v>
      </c>
      <c r="I39" s="21">
        <v>-1.1047400000000001E-2</v>
      </c>
      <c r="J39" s="21">
        <v>29</v>
      </c>
      <c r="K39" s="21">
        <v>1.5933200000000001</v>
      </c>
      <c r="L39">
        <f t="shared" si="0"/>
        <v>13.638765432098765</v>
      </c>
      <c r="M39">
        <f t="shared" si="1"/>
        <v>21.739237385185184</v>
      </c>
      <c r="N39" s="9"/>
      <c r="O39" s="21">
        <v>4.6081499999999997E-2</v>
      </c>
      <c r="P39" s="21">
        <v>9.0027200000000001</v>
      </c>
      <c r="Q39" s="21">
        <v>-1.54541E-2</v>
      </c>
      <c r="R39" s="21">
        <v>29</v>
      </c>
      <c r="S39" s="21">
        <v>4.5898399999999999E-2</v>
      </c>
      <c r="T39">
        <f t="shared" si="2"/>
        <v>19.079135802469132</v>
      </c>
      <c r="U39">
        <f t="shared" si="3"/>
        <v>0.87919519648148126</v>
      </c>
      <c r="X39" s="9"/>
      <c r="Y39" s="21">
        <v>1.5939300000000001</v>
      </c>
      <c r="Z39" s="21">
        <v>14.4076</v>
      </c>
      <c r="AA39" s="21">
        <v>-1.10046E-2</v>
      </c>
      <c r="AB39" s="21">
        <v>29</v>
      </c>
      <c r="AC39" s="21">
        <v>1.5936300000000001</v>
      </c>
      <c r="AD39">
        <f t="shared" si="4"/>
        <v>13.585925925925926</v>
      </c>
      <c r="AE39">
        <f t="shared" si="5"/>
        <v>21.655014911111113</v>
      </c>
      <c r="AF39" s="9"/>
      <c r="AG39" s="21">
        <v>4.6081499999999997E-2</v>
      </c>
      <c r="AH39" s="21">
        <v>18.105899999999998</v>
      </c>
      <c r="AI39" s="21">
        <v>-1.5301500000000001E-2</v>
      </c>
      <c r="AJ39" s="21">
        <v>29</v>
      </c>
      <c r="AK39" s="21">
        <v>4.5922900000000003E-2</v>
      </c>
      <c r="AL39">
        <f t="shared" si="6"/>
        <v>18.890740740740739</v>
      </c>
      <c r="AM39">
        <f t="shared" si="7"/>
        <v>0.8705136694444443</v>
      </c>
      <c r="AP39" s="9"/>
      <c r="AQ39" s="21">
        <v>1.5939300000000001</v>
      </c>
      <c r="AR39" s="21">
        <v>23.502800000000001</v>
      </c>
      <c r="AS39" s="21">
        <v>-1.09009E-2</v>
      </c>
      <c r="AT39" s="21">
        <v>29</v>
      </c>
      <c r="AU39" s="21">
        <v>1.5933200000000001</v>
      </c>
      <c r="AV39">
        <f t="shared" si="8"/>
        <v>13.457901234567899</v>
      </c>
      <c r="AW39">
        <f t="shared" si="9"/>
        <v>21.450952514814812</v>
      </c>
      <c r="AX39" s="9"/>
      <c r="AY39" s="21">
        <v>4.6081499999999997E-2</v>
      </c>
      <c r="AZ39" s="21">
        <v>27.2012</v>
      </c>
      <c r="BA39" s="21">
        <v>-1.5225199999999999E-2</v>
      </c>
      <c r="BB39" s="21">
        <v>29</v>
      </c>
      <c r="BC39" s="21">
        <v>4.6060200000000003E-2</v>
      </c>
      <c r="BD39">
        <f t="shared" si="10"/>
        <v>18.796543209876543</v>
      </c>
      <c r="BE39">
        <f t="shared" si="11"/>
        <v>0.86617290592592588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5.3144499999999999</v>
      </c>
      <c r="I40" s="21">
        <v>-1.11755E-2</v>
      </c>
      <c r="J40" s="21">
        <v>30</v>
      </c>
      <c r="K40" s="21">
        <v>1.5878300000000001</v>
      </c>
      <c r="L40">
        <f t="shared" si="0"/>
        <v>13.796913580246912</v>
      </c>
      <c r="M40">
        <f t="shared" si="1"/>
        <v>21.921915987654319</v>
      </c>
      <c r="N40" s="9"/>
      <c r="O40" s="21">
        <v>5.11169E-2</v>
      </c>
      <c r="P40" s="21">
        <v>9.0127900000000007</v>
      </c>
      <c r="Q40" s="21">
        <v>-1.5448E-2</v>
      </c>
      <c r="R40" s="21">
        <v>30</v>
      </c>
      <c r="S40" s="21">
        <v>5.0967400000000003E-2</v>
      </c>
      <c r="T40">
        <f t="shared" si="2"/>
        <v>19.071604938271605</v>
      </c>
      <c r="U40">
        <f t="shared" si="3"/>
        <v>0.97488132246913584</v>
      </c>
      <c r="X40" s="9"/>
      <c r="Y40" s="21">
        <v>1.5889</v>
      </c>
      <c r="Z40" s="21">
        <v>14.4177</v>
      </c>
      <c r="AA40" s="21">
        <v>-1.1142000000000001E-2</v>
      </c>
      <c r="AB40" s="21">
        <v>30</v>
      </c>
      <c r="AC40" s="21">
        <v>1.58752</v>
      </c>
      <c r="AD40">
        <f t="shared" si="4"/>
        <v>13.755555555555556</v>
      </c>
      <c r="AE40">
        <f t="shared" si="5"/>
        <v>21.856202222222223</v>
      </c>
      <c r="AF40" s="9"/>
      <c r="AG40" s="21">
        <v>5.11169E-2</v>
      </c>
      <c r="AH40" s="21">
        <v>18.116</v>
      </c>
      <c r="AI40" s="21">
        <v>-1.5286299999999999E-2</v>
      </c>
      <c r="AJ40" s="21">
        <v>30</v>
      </c>
      <c r="AK40" s="21">
        <v>5.1080300000000002E-2</v>
      </c>
      <c r="AL40">
        <f t="shared" si="6"/>
        <v>18.871975308641971</v>
      </c>
      <c r="AM40">
        <f t="shared" si="7"/>
        <v>0.96467687465432084</v>
      </c>
      <c r="AP40" s="9"/>
      <c r="AQ40" s="21">
        <v>1.5889</v>
      </c>
      <c r="AR40" s="21">
        <v>23.512899999999998</v>
      </c>
      <c r="AS40" s="21">
        <v>-1.10443E-2</v>
      </c>
      <c r="AT40" s="21">
        <v>30</v>
      </c>
      <c r="AU40" s="21">
        <v>1.5884400000000001</v>
      </c>
      <c r="AV40">
        <f t="shared" si="8"/>
        <v>13.634938271604938</v>
      </c>
      <c r="AW40">
        <f t="shared" si="9"/>
        <v>21.664553419753084</v>
      </c>
      <c r="AX40" s="9"/>
      <c r="AY40" s="21">
        <v>5.11169E-2</v>
      </c>
      <c r="AZ40" s="21">
        <v>27.211200000000002</v>
      </c>
      <c r="BA40" s="21">
        <v>-1.52283E-2</v>
      </c>
      <c r="BB40" s="21">
        <v>30</v>
      </c>
      <c r="BC40" s="21">
        <v>5.0927699999999999E-2</v>
      </c>
      <c r="BD40">
        <f t="shared" si="10"/>
        <v>18.80037037037037</v>
      </c>
      <c r="BE40">
        <f t="shared" si="11"/>
        <v>0.96101665218518517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5.3245199999999997</v>
      </c>
      <c r="I41" s="21">
        <v>-1.1312900000000001E-2</v>
      </c>
      <c r="J41" s="21">
        <v>31</v>
      </c>
      <c r="K41" s="21">
        <v>1.58325</v>
      </c>
      <c r="L41">
        <f t="shared" si="0"/>
        <v>13.966543209876543</v>
      </c>
      <c r="M41">
        <f t="shared" si="1"/>
        <v>22.121049128395061</v>
      </c>
      <c r="N41" s="9"/>
      <c r="O41" s="21">
        <v>5.6152300000000002E-2</v>
      </c>
      <c r="P41" s="21">
        <v>9.0228599999999997</v>
      </c>
      <c r="Q41" s="21">
        <v>-1.5448E-2</v>
      </c>
      <c r="R41" s="21">
        <v>31</v>
      </c>
      <c r="S41" s="21">
        <v>5.5481000000000003E-2</v>
      </c>
      <c r="T41">
        <f t="shared" si="2"/>
        <v>19.071604938271605</v>
      </c>
      <c r="U41">
        <f t="shared" si="3"/>
        <v>1.0709144819753087</v>
      </c>
      <c r="X41" s="9"/>
      <c r="Y41" s="21">
        <v>1.58386</v>
      </c>
      <c r="Z41" s="21">
        <v>14.4277</v>
      </c>
      <c r="AA41" s="21">
        <v>-1.12671E-2</v>
      </c>
      <c r="AB41" s="21">
        <v>31</v>
      </c>
      <c r="AC41" s="21">
        <v>1.5829500000000001</v>
      </c>
      <c r="AD41">
        <f t="shared" si="4"/>
        <v>13.909999999999998</v>
      </c>
      <c r="AE41">
        <f t="shared" si="5"/>
        <v>22.031492599999996</v>
      </c>
      <c r="AF41" s="9"/>
      <c r="AG41" s="21">
        <v>5.6152300000000002E-2</v>
      </c>
      <c r="AH41" s="21">
        <v>18.126100000000001</v>
      </c>
      <c r="AI41" s="21">
        <v>-1.52771E-2</v>
      </c>
      <c r="AJ41" s="21">
        <v>31</v>
      </c>
      <c r="AK41" s="21">
        <v>5.5572499999999997E-2</v>
      </c>
      <c r="AL41">
        <f t="shared" si="6"/>
        <v>18.860617283950617</v>
      </c>
      <c r="AM41">
        <f t="shared" si="7"/>
        <v>1.0590670399135802</v>
      </c>
      <c r="AP41" s="9"/>
      <c r="AQ41" s="21">
        <v>1.58386</v>
      </c>
      <c r="AR41" s="21">
        <v>23.523</v>
      </c>
      <c r="AS41" s="21">
        <v>-1.1184700000000001E-2</v>
      </c>
      <c r="AT41" s="21">
        <v>31</v>
      </c>
      <c r="AU41" s="21">
        <v>1.58325</v>
      </c>
      <c r="AV41">
        <f t="shared" si="8"/>
        <v>13.808271604938271</v>
      </c>
      <c r="AW41">
        <f t="shared" si="9"/>
        <v>21.870369064197533</v>
      </c>
      <c r="AX41" s="9"/>
      <c r="AY41" s="21">
        <v>5.6152300000000002E-2</v>
      </c>
      <c r="AZ41" s="21">
        <v>27.221299999999999</v>
      </c>
      <c r="BA41" s="21">
        <v>-1.5219099999999999E-2</v>
      </c>
      <c r="BB41" s="21">
        <v>31</v>
      </c>
      <c r="BC41" s="21">
        <v>5.5633500000000002E-2</v>
      </c>
      <c r="BD41">
        <f t="shared" si="10"/>
        <v>18.789012345679012</v>
      </c>
      <c r="BE41">
        <f t="shared" si="11"/>
        <v>1.0550462579382716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5.3345900000000004</v>
      </c>
      <c r="I42" s="21">
        <v>-1.1428799999999999E-2</v>
      </c>
      <c r="J42" s="21">
        <v>32</v>
      </c>
      <c r="K42" s="21">
        <v>1.5783700000000001</v>
      </c>
      <c r="L42">
        <f t="shared" si="0"/>
        <v>14.109629629629628</v>
      </c>
      <c r="M42">
        <f t="shared" si="1"/>
        <v>22.276706548148145</v>
      </c>
      <c r="N42" s="9"/>
      <c r="O42" s="21">
        <v>6.1187699999999998E-2</v>
      </c>
      <c r="P42" s="21">
        <v>9.0329300000000003</v>
      </c>
      <c r="Q42" s="21">
        <v>-1.5448E-2</v>
      </c>
      <c r="R42" s="21">
        <v>32</v>
      </c>
      <c r="S42" s="21">
        <v>6.0607899999999999E-2</v>
      </c>
      <c r="T42">
        <f t="shared" si="2"/>
        <v>19.071604938271605</v>
      </c>
      <c r="U42">
        <f t="shared" si="3"/>
        <v>1.1669476414814814</v>
      </c>
      <c r="X42" s="9"/>
      <c r="Y42" s="21">
        <v>1.57883</v>
      </c>
      <c r="Z42" s="21">
        <v>14.437799999999999</v>
      </c>
      <c r="AA42" s="21">
        <v>-1.1395300000000001E-2</v>
      </c>
      <c r="AB42" s="21">
        <v>32</v>
      </c>
      <c r="AC42" s="21">
        <v>1.5783700000000001</v>
      </c>
      <c r="AD42">
        <f t="shared" si="4"/>
        <v>14.068271604938271</v>
      </c>
      <c r="AE42">
        <f t="shared" si="5"/>
        <v>22.211409258024691</v>
      </c>
      <c r="AF42" s="9"/>
      <c r="AG42" s="21">
        <v>6.1187699999999998E-2</v>
      </c>
      <c r="AH42" s="21">
        <v>18.136099999999999</v>
      </c>
      <c r="AI42" s="21">
        <v>-1.5267899999999999E-2</v>
      </c>
      <c r="AJ42" s="21">
        <v>32</v>
      </c>
      <c r="AK42" s="21">
        <v>6.0546900000000001E-2</v>
      </c>
      <c r="AL42">
        <f t="shared" si="6"/>
        <v>18.849259259259256</v>
      </c>
      <c r="AM42">
        <f t="shared" si="7"/>
        <v>1.1533428207777776</v>
      </c>
      <c r="AP42" s="9"/>
      <c r="AQ42" s="21">
        <v>1.57883</v>
      </c>
      <c r="AR42" s="21">
        <v>23.533000000000001</v>
      </c>
      <c r="AS42" s="21">
        <v>-1.1312900000000001E-2</v>
      </c>
      <c r="AT42" s="21">
        <v>32</v>
      </c>
      <c r="AU42" s="21">
        <v>1.5783700000000001</v>
      </c>
      <c r="AV42">
        <f t="shared" si="8"/>
        <v>13.966543209876543</v>
      </c>
      <c r="AW42">
        <f t="shared" si="9"/>
        <v>22.050797416049381</v>
      </c>
      <c r="AX42" s="9"/>
      <c r="AY42" s="21">
        <v>6.1187699999999998E-2</v>
      </c>
      <c r="AZ42" s="21">
        <v>27.231400000000001</v>
      </c>
      <c r="BA42" s="21">
        <v>-1.5203899999999999E-2</v>
      </c>
      <c r="BB42" s="21">
        <v>32</v>
      </c>
      <c r="BC42" s="21">
        <v>6.0638400000000002E-2</v>
      </c>
      <c r="BD42">
        <f t="shared" si="10"/>
        <v>18.770246913580245</v>
      </c>
      <c r="BE42">
        <f t="shared" si="11"/>
        <v>1.1485082370740738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5.3446600000000002</v>
      </c>
      <c r="I43" s="21">
        <v>-1.15265E-2</v>
      </c>
      <c r="J43" s="21">
        <v>33</v>
      </c>
      <c r="K43" s="21">
        <v>1.57318</v>
      </c>
      <c r="L43">
        <f t="shared" si="0"/>
        <v>14.230246913580247</v>
      </c>
      <c r="M43">
        <f t="shared" si="1"/>
        <v>22.395420290123457</v>
      </c>
      <c r="N43" s="9"/>
      <c r="O43" s="21">
        <v>6.6223099999999993E-2</v>
      </c>
      <c r="P43" s="21">
        <v>9.0429999999999993</v>
      </c>
      <c r="Q43" s="21">
        <v>-1.5450999999999999E-2</v>
      </c>
      <c r="R43" s="21">
        <v>33</v>
      </c>
      <c r="S43" s="21">
        <v>6.5643300000000002E-2</v>
      </c>
      <c r="T43">
        <f t="shared" si="2"/>
        <v>19.075308641975305</v>
      </c>
      <c r="U43">
        <f t="shared" si="3"/>
        <v>1.2632260717283947</v>
      </c>
      <c r="X43" s="9"/>
      <c r="Y43" s="21">
        <v>1.57379</v>
      </c>
      <c r="Z43" s="21">
        <v>14.447900000000001</v>
      </c>
      <c r="AA43" s="21">
        <v>-1.15143E-2</v>
      </c>
      <c r="AB43" s="21">
        <v>33</v>
      </c>
      <c r="AC43" s="21">
        <v>1.57318</v>
      </c>
      <c r="AD43">
        <f t="shared" si="4"/>
        <v>14.215185185185184</v>
      </c>
      <c r="AE43">
        <f t="shared" si="5"/>
        <v>22.371716292592591</v>
      </c>
      <c r="AF43" s="9"/>
      <c r="AG43" s="21">
        <v>6.6223099999999993E-2</v>
      </c>
      <c r="AH43" s="21">
        <v>18.1462</v>
      </c>
      <c r="AI43" s="21">
        <v>-1.5255700000000001E-2</v>
      </c>
      <c r="AJ43" s="21">
        <v>33</v>
      </c>
      <c r="AK43" s="21">
        <v>6.5612799999999999E-2</v>
      </c>
      <c r="AL43">
        <f t="shared" si="6"/>
        <v>18.834197530864198</v>
      </c>
      <c r="AM43">
        <f t="shared" si="7"/>
        <v>1.2472589465061727</v>
      </c>
      <c r="AP43" s="9"/>
      <c r="AQ43" s="21">
        <v>1.57379</v>
      </c>
      <c r="AR43" s="21">
        <v>23.543099999999999</v>
      </c>
      <c r="AS43" s="21">
        <v>-1.1438E-2</v>
      </c>
      <c r="AT43" s="21">
        <v>33</v>
      </c>
      <c r="AU43" s="21">
        <v>1.57318</v>
      </c>
      <c r="AV43">
        <f t="shared" si="8"/>
        <v>14.120987654320988</v>
      </c>
      <c r="AW43">
        <f t="shared" si="9"/>
        <v>22.223469160493828</v>
      </c>
      <c r="AX43" s="9"/>
      <c r="AY43" s="21">
        <v>6.6223099999999993E-2</v>
      </c>
      <c r="AZ43" s="21">
        <v>27.241399999999999</v>
      </c>
      <c r="BA43" s="21">
        <v>-1.5191700000000001E-2</v>
      </c>
      <c r="BB43" s="21">
        <v>33</v>
      </c>
      <c r="BC43" s="21">
        <v>6.5673800000000004E-2</v>
      </c>
      <c r="BD43">
        <f t="shared" si="10"/>
        <v>18.755185185185184</v>
      </c>
      <c r="BE43">
        <f t="shared" si="11"/>
        <v>1.2420265040370368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5.35473</v>
      </c>
      <c r="I44" s="21">
        <v>-1.1633299999999999E-2</v>
      </c>
      <c r="J44" s="21">
        <v>34</v>
      </c>
      <c r="K44" s="21">
        <v>1.56769</v>
      </c>
      <c r="L44">
        <f t="shared" si="0"/>
        <v>14.362098765432096</v>
      </c>
      <c r="M44">
        <f t="shared" si="1"/>
        <v>22.530686059259253</v>
      </c>
      <c r="N44" s="9"/>
      <c r="O44" s="21">
        <v>7.1258500000000002E-2</v>
      </c>
      <c r="P44" s="21">
        <v>9.05307</v>
      </c>
      <c r="Q44" s="21">
        <v>-1.54541E-2</v>
      </c>
      <c r="R44" s="21">
        <v>34</v>
      </c>
      <c r="S44" s="21">
        <v>7.0648199999999994E-2</v>
      </c>
      <c r="T44">
        <f t="shared" si="2"/>
        <v>19.079135802469132</v>
      </c>
      <c r="U44">
        <f t="shared" si="3"/>
        <v>1.3595505985802467</v>
      </c>
      <c r="X44" s="9"/>
      <c r="Y44" s="21">
        <v>1.5687599999999999</v>
      </c>
      <c r="Z44" s="21">
        <v>14.458</v>
      </c>
      <c r="AA44" s="21">
        <v>-1.1621100000000001E-2</v>
      </c>
      <c r="AB44" s="21">
        <v>34</v>
      </c>
      <c r="AC44" s="21">
        <v>1.5683</v>
      </c>
      <c r="AD44">
        <f t="shared" si="4"/>
        <v>14.347037037037037</v>
      </c>
      <c r="AE44">
        <f t="shared" si="5"/>
        <v>22.507057822222222</v>
      </c>
      <c r="AF44" s="9"/>
      <c r="AG44" s="21">
        <v>7.1258500000000002E-2</v>
      </c>
      <c r="AH44" s="21">
        <v>18.156300000000002</v>
      </c>
      <c r="AI44" s="21">
        <v>-1.5240500000000001E-2</v>
      </c>
      <c r="AJ44" s="21">
        <v>34</v>
      </c>
      <c r="AK44" s="21">
        <v>7.0587200000000003E-2</v>
      </c>
      <c r="AL44">
        <f t="shared" si="6"/>
        <v>18.815432098765431</v>
      </c>
      <c r="AM44">
        <f t="shared" si="7"/>
        <v>1.3407594682098765</v>
      </c>
      <c r="AP44" s="9"/>
      <c r="AQ44" s="21">
        <v>1.5687599999999999</v>
      </c>
      <c r="AR44" s="21">
        <v>23.5532</v>
      </c>
      <c r="AS44" s="21">
        <v>-1.1557E-2</v>
      </c>
      <c r="AT44" s="21">
        <v>34</v>
      </c>
      <c r="AU44" s="21">
        <v>1.5686</v>
      </c>
      <c r="AV44">
        <f t="shared" si="8"/>
        <v>14.267901234567899</v>
      </c>
      <c r="AW44">
        <f t="shared" si="9"/>
        <v>22.382912740740736</v>
      </c>
      <c r="AX44" s="9"/>
      <c r="AY44" s="21">
        <v>7.1258500000000002E-2</v>
      </c>
      <c r="AZ44" s="21">
        <v>27.2515</v>
      </c>
      <c r="BA44" s="21">
        <v>-1.5179399999999999E-2</v>
      </c>
      <c r="BB44" s="21">
        <v>34</v>
      </c>
      <c r="BC44" s="21">
        <v>7.0739700000000003E-2</v>
      </c>
      <c r="BD44">
        <f t="shared" si="10"/>
        <v>18.739999999999995</v>
      </c>
      <c r="BE44">
        <f t="shared" si="11"/>
        <v>1.3353842899999997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5.3647999999999998</v>
      </c>
      <c r="I45" s="21">
        <v>-1.17401E-2</v>
      </c>
      <c r="J45" s="21">
        <v>35</v>
      </c>
      <c r="K45" s="21">
        <v>1.56311</v>
      </c>
      <c r="L45">
        <f t="shared" si="0"/>
        <v>14.49395061728395</v>
      </c>
      <c r="M45">
        <f t="shared" si="1"/>
        <v>22.664480459259259</v>
      </c>
      <c r="N45" s="9"/>
      <c r="O45" s="21">
        <v>7.6293899999999998E-2</v>
      </c>
      <c r="P45" s="21">
        <v>9.0631400000000006</v>
      </c>
      <c r="Q45" s="21">
        <v>-1.54541E-2</v>
      </c>
      <c r="R45" s="21">
        <v>35</v>
      </c>
      <c r="S45" s="21">
        <v>7.5653100000000001E-2</v>
      </c>
      <c r="T45">
        <f t="shared" si="2"/>
        <v>19.079135802469132</v>
      </c>
      <c r="U45">
        <f t="shared" si="3"/>
        <v>1.4556216789999996</v>
      </c>
      <c r="X45" s="9"/>
      <c r="Y45" s="21">
        <v>1.56372</v>
      </c>
      <c r="Z45" s="21">
        <v>14.468</v>
      </c>
      <c r="AA45" s="21">
        <v>-1.1731E-2</v>
      </c>
      <c r="AB45" s="21">
        <v>35</v>
      </c>
      <c r="AC45" s="21">
        <v>1.56281</v>
      </c>
      <c r="AD45">
        <f t="shared" si="4"/>
        <v>14.482716049382715</v>
      </c>
      <c r="AE45">
        <f t="shared" si="5"/>
        <v>22.646912740740738</v>
      </c>
      <c r="AF45" s="9"/>
      <c r="AG45" s="21">
        <v>7.6293899999999998E-2</v>
      </c>
      <c r="AH45" s="21">
        <v>18.166399999999999</v>
      </c>
      <c r="AI45" s="21">
        <v>-1.5225199999999999E-2</v>
      </c>
      <c r="AJ45" s="21">
        <v>35</v>
      </c>
      <c r="AK45" s="21">
        <v>7.5714100000000006E-2</v>
      </c>
      <c r="AL45">
        <f t="shared" si="6"/>
        <v>18.796543209876543</v>
      </c>
      <c r="AM45">
        <f t="shared" si="7"/>
        <v>1.4340615879999998</v>
      </c>
      <c r="AP45" s="9"/>
      <c r="AQ45" s="21">
        <v>1.56372</v>
      </c>
      <c r="AR45" s="21">
        <v>23.563199999999998</v>
      </c>
      <c r="AS45" s="21">
        <v>-1.16699E-2</v>
      </c>
      <c r="AT45" s="21">
        <v>35</v>
      </c>
      <c r="AU45" s="21">
        <v>1.56311</v>
      </c>
      <c r="AV45">
        <f t="shared" si="8"/>
        <v>14.407283950617282</v>
      </c>
      <c r="AW45">
        <f t="shared" si="9"/>
        <v>22.528958059259256</v>
      </c>
      <c r="AX45" s="9"/>
      <c r="AY45" s="21">
        <v>7.6293899999999998E-2</v>
      </c>
      <c r="AZ45" s="21">
        <v>27.261600000000001</v>
      </c>
      <c r="BA45" s="21">
        <v>-1.51825E-2</v>
      </c>
      <c r="BB45" s="21">
        <v>35</v>
      </c>
      <c r="BC45" s="21">
        <v>7.5775099999999998E-2</v>
      </c>
      <c r="BD45">
        <f t="shared" si="10"/>
        <v>18.743827160493826</v>
      </c>
      <c r="BE45">
        <f t="shared" si="11"/>
        <v>1.430039675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5.3748800000000001</v>
      </c>
      <c r="I46" s="21">
        <v>-1.1849999999999999E-2</v>
      </c>
      <c r="J46" s="21">
        <v>36</v>
      </c>
      <c r="K46" s="21">
        <v>1.55792</v>
      </c>
      <c r="L46">
        <f t="shared" si="0"/>
        <v>14.629629629629628</v>
      </c>
      <c r="M46">
        <f t="shared" si="1"/>
        <v>22.803057407407405</v>
      </c>
      <c r="N46" s="9"/>
      <c r="O46" s="21">
        <v>8.1329299999999993E-2</v>
      </c>
      <c r="P46" s="21">
        <v>9.0732099999999996</v>
      </c>
      <c r="Q46" s="21">
        <v>-1.5444899999999999E-2</v>
      </c>
      <c r="R46" s="21">
        <v>36</v>
      </c>
      <c r="S46" s="21">
        <v>8.0841099999999999E-2</v>
      </c>
      <c r="T46">
        <f t="shared" si="2"/>
        <v>19.067777777777778</v>
      </c>
      <c r="U46">
        <f t="shared" si="3"/>
        <v>1.5507690192222221</v>
      </c>
      <c r="X46" s="9"/>
      <c r="Y46" s="21">
        <v>1.5586899999999999</v>
      </c>
      <c r="Z46" s="21">
        <v>14.4781</v>
      </c>
      <c r="AA46" s="21">
        <v>-1.1843899999999999E-2</v>
      </c>
      <c r="AB46" s="21">
        <v>36</v>
      </c>
      <c r="AC46" s="21">
        <v>1.55823</v>
      </c>
      <c r="AD46">
        <f t="shared" si="4"/>
        <v>14.622098765432096</v>
      </c>
      <c r="AE46">
        <f t="shared" si="5"/>
        <v>22.791319124691352</v>
      </c>
      <c r="AF46" s="9"/>
      <c r="AG46" s="21">
        <v>8.1329299999999993E-2</v>
      </c>
      <c r="AH46" s="21">
        <v>18.176400000000001</v>
      </c>
      <c r="AI46" s="21">
        <v>-1.5219099999999999E-2</v>
      </c>
      <c r="AJ46" s="21">
        <v>36</v>
      </c>
      <c r="AK46" s="21">
        <v>8.0810499999999993E-2</v>
      </c>
      <c r="AL46">
        <f t="shared" si="6"/>
        <v>18.789012345679012</v>
      </c>
      <c r="AM46">
        <f t="shared" si="7"/>
        <v>1.5280972217654321</v>
      </c>
      <c r="AP46" s="9"/>
      <c r="AQ46" s="21">
        <v>1.5586899999999999</v>
      </c>
      <c r="AR46" s="21">
        <v>23.5733</v>
      </c>
      <c r="AS46" s="21">
        <v>-1.17737E-2</v>
      </c>
      <c r="AT46" s="21">
        <v>36</v>
      </c>
      <c r="AU46" s="21">
        <v>1.55792</v>
      </c>
      <c r="AV46">
        <f t="shared" si="8"/>
        <v>14.535432098765432</v>
      </c>
      <c r="AW46">
        <f t="shared" si="9"/>
        <v>22.656232658024688</v>
      </c>
      <c r="AX46" s="9"/>
      <c r="AY46" s="21">
        <v>8.1329299999999993E-2</v>
      </c>
      <c r="AZ46" s="21">
        <v>27.271699999999999</v>
      </c>
      <c r="BA46" s="21">
        <v>-1.5179399999999999E-2</v>
      </c>
      <c r="BB46" s="21">
        <v>36</v>
      </c>
      <c r="BC46" s="21">
        <v>8.0810499999999993E-2</v>
      </c>
      <c r="BD46">
        <f t="shared" si="10"/>
        <v>18.739999999999995</v>
      </c>
      <c r="BE46">
        <f t="shared" si="11"/>
        <v>1.5241110819999995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5.3849499999999999</v>
      </c>
      <c r="I47" s="21">
        <v>-1.19446E-2</v>
      </c>
      <c r="J47" s="21">
        <v>37</v>
      </c>
      <c r="K47" s="21">
        <v>1.5527299999999999</v>
      </c>
      <c r="L47">
        <f t="shared" si="0"/>
        <v>14.746419753086418</v>
      </c>
      <c r="M47">
        <f t="shared" si="1"/>
        <v>22.910775049382714</v>
      </c>
      <c r="N47" s="9"/>
      <c r="O47" s="21">
        <v>8.6364700000000003E-2</v>
      </c>
      <c r="P47" s="21">
        <v>9.0832800000000002</v>
      </c>
      <c r="Q47" s="21">
        <v>-1.5432700000000001E-2</v>
      </c>
      <c r="R47" s="21">
        <v>37</v>
      </c>
      <c r="S47" s="21">
        <v>8.58154E-2</v>
      </c>
      <c r="T47">
        <f t="shared" si="2"/>
        <v>19.052716049382713</v>
      </c>
      <c r="U47">
        <f t="shared" si="3"/>
        <v>1.6454821057901232</v>
      </c>
      <c r="X47" s="9"/>
      <c r="Y47" s="21">
        <v>1.55365</v>
      </c>
      <c r="Z47" s="21">
        <v>14.488200000000001</v>
      </c>
      <c r="AA47" s="21">
        <v>-1.1941500000000001E-2</v>
      </c>
      <c r="AB47" s="21">
        <v>37</v>
      </c>
      <c r="AC47" s="21">
        <v>1.55304</v>
      </c>
      <c r="AD47">
        <f t="shared" si="4"/>
        <v>14.742592592592592</v>
      </c>
      <c r="AE47">
        <f t="shared" si="5"/>
        <v>22.904828981481479</v>
      </c>
      <c r="AF47" s="9"/>
      <c r="AG47" s="21">
        <v>8.6364700000000003E-2</v>
      </c>
      <c r="AH47" s="21">
        <v>18.186499999999999</v>
      </c>
      <c r="AI47" s="21">
        <v>-1.5206900000000001E-2</v>
      </c>
      <c r="AJ47" s="21">
        <v>37</v>
      </c>
      <c r="AK47" s="21">
        <v>8.5845900000000003E-2</v>
      </c>
      <c r="AL47">
        <f t="shared" si="6"/>
        <v>18.773950617283951</v>
      </c>
      <c r="AM47">
        <f t="shared" si="7"/>
        <v>1.6214066128765434</v>
      </c>
      <c r="AP47" s="9"/>
      <c r="AQ47" s="21">
        <v>1.55365</v>
      </c>
      <c r="AR47" s="21">
        <v>23.583400000000001</v>
      </c>
      <c r="AS47" s="21">
        <v>-1.18713E-2</v>
      </c>
      <c r="AT47" s="21">
        <v>37</v>
      </c>
      <c r="AU47" s="21">
        <v>1.5527299999999999</v>
      </c>
      <c r="AV47">
        <f t="shared" si="8"/>
        <v>14.655925925925924</v>
      </c>
      <c r="AW47">
        <f t="shared" si="9"/>
        <v>22.770179314814811</v>
      </c>
      <c r="AX47" s="9"/>
      <c r="AY47" s="21">
        <v>8.6364700000000003E-2</v>
      </c>
      <c r="AZ47" s="21">
        <v>27.281700000000001</v>
      </c>
      <c r="BA47" s="21">
        <v>-1.5173300000000001E-2</v>
      </c>
      <c r="BB47" s="21">
        <v>37</v>
      </c>
      <c r="BC47" s="21">
        <v>8.5754399999999995E-2</v>
      </c>
      <c r="BD47">
        <f t="shared" si="10"/>
        <v>18.732469135802468</v>
      </c>
      <c r="BE47">
        <f t="shared" si="11"/>
        <v>1.6178240771728394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5.3950199999999997</v>
      </c>
      <c r="I48" s="21">
        <v>-1.20544E-2</v>
      </c>
      <c r="J48" s="21">
        <v>38</v>
      </c>
      <c r="K48" s="21">
        <v>1.5478499999999999</v>
      </c>
      <c r="L48">
        <f t="shared" si="0"/>
        <v>14.881975308641973</v>
      </c>
      <c r="M48">
        <f t="shared" si="1"/>
        <v>23.046375782716048</v>
      </c>
      <c r="N48" s="9"/>
      <c r="O48" s="21">
        <v>9.1400099999999998E-2</v>
      </c>
      <c r="P48" s="21">
        <v>9.0933499999999992</v>
      </c>
      <c r="Q48" s="21">
        <v>-1.5423600000000001E-2</v>
      </c>
      <c r="R48" s="21">
        <v>38</v>
      </c>
      <c r="S48" s="21">
        <v>9.0881299999999998E-2</v>
      </c>
      <c r="T48">
        <f t="shared" si="2"/>
        <v>19.041481481481483</v>
      </c>
      <c r="U48">
        <f t="shared" si="3"/>
        <v>1.7403933115555557</v>
      </c>
      <c r="X48" s="9"/>
      <c r="Y48" s="21">
        <v>1.54861</v>
      </c>
      <c r="Z48" s="21">
        <v>14.498200000000001</v>
      </c>
      <c r="AA48" s="21">
        <v>-1.2042199999999999E-2</v>
      </c>
      <c r="AB48" s="21">
        <v>38</v>
      </c>
      <c r="AC48" s="21">
        <v>1.5478499999999999</v>
      </c>
      <c r="AD48">
        <f t="shared" si="4"/>
        <v>14.866913580246912</v>
      </c>
      <c r="AE48">
        <f t="shared" si="5"/>
        <v>23.023051039506171</v>
      </c>
      <c r="AF48" s="9"/>
      <c r="AG48" s="21">
        <v>9.1400099999999998E-2</v>
      </c>
      <c r="AH48" s="21">
        <v>18.1966</v>
      </c>
      <c r="AI48" s="21">
        <v>-1.52008E-2</v>
      </c>
      <c r="AJ48" s="21">
        <v>38</v>
      </c>
      <c r="AK48" s="21">
        <v>9.0820300000000007E-2</v>
      </c>
      <c r="AL48">
        <f t="shared" si="6"/>
        <v>18.766419753086421</v>
      </c>
      <c r="AM48">
        <f t="shared" si="7"/>
        <v>1.7152526420740741</v>
      </c>
      <c r="AP48" s="9"/>
      <c r="AQ48" s="21">
        <v>1.54861</v>
      </c>
      <c r="AR48" s="21">
        <v>23.593499999999999</v>
      </c>
      <c r="AS48" s="21">
        <v>-1.1969E-2</v>
      </c>
      <c r="AT48" s="21">
        <v>38</v>
      </c>
      <c r="AU48" s="21">
        <v>1.5478499999999999</v>
      </c>
      <c r="AV48">
        <f t="shared" si="8"/>
        <v>14.776543209876543</v>
      </c>
      <c r="AW48">
        <f t="shared" si="9"/>
        <v>22.883102580246913</v>
      </c>
      <c r="AX48" s="9"/>
      <c r="AY48" s="21">
        <v>9.1400099999999998E-2</v>
      </c>
      <c r="AZ48" s="21">
        <v>27.291799999999999</v>
      </c>
      <c r="BA48" s="21">
        <v>-1.51611E-2</v>
      </c>
      <c r="BB48" s="21">
        <v>38</v>
      </c>
      <c r="BC48" s="21">
        <v>9.0820300000000007E-2</v>
      </c>
      <c r="BD48">
        <f t="shared" si="10"/>
        <v>18.717407407407403</v>
      </c>
      <c r="BE48">
        <f t="shared" si="11"/>
        <v>1.7107729087777774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5.4050900000000004</v>
      </c>
      <c r="I49" s="21">
        <v>-1.2152100000000001E-2</v>
      </c>
      <c r="J49" s="21">
        <v>39</v>
      </c>
      <c r="K49" s="21">
        <v>1.54236</v>
      </c>
      <c r="L49">
        <f t="shared" si="0"/>
        <v>15.002592592592592</v>
      </c>
      <c r="M49">
        <f t="shared" si="1"/>
        <v>23.157701874074071</v>
      </c>
      <c r="N49" s="9"/>
      <c r="O49" s="21">
        <v>9.6435499999999993E-2</v>
      </c>
      <c r="P49" s="21">
        <v>9.1034299999999995</v>
      </c>
      <c r="Q49" s="21">
        <v>-1.54114E-2</v>
      </c>
      <c r="R49" s="21">
        <v>39</v>
      </c>
      <c r="S49" s="21">
        <v>9.5764199999999994E-2</v>
      </c>
      <c r="T49">
        <f t="shared" si="2"/>
        <v>19.026419753086419</v>
      </c>
      <c r="U49">
        <f t="shared" si="3"/>
        <v>1.8348223020987653</v>
      </c>
      <c r="X49" s="9"/>
      <c r="Y49" s="21">
        <v>1.54358</v>
      </c>
      <c r="Z49" s="21">
        <v>14.5083</v>
      </c>
      <c r="AA49" s="21">
        <v>-1.21368E-2</v>
      </c>
      <c r="AB49" s="21">
        <v>39</v>
      </c>
      <c r="AC49" s="21">
        <v>1.5426599999999999</v>
      </c>
      <c r="AD49">
        <f t="shared" si="4"/>
        <v>14.983703703703702</v>
      </c>
      <c r="AE49">
        <f t="shared" si="5"/>
        <v>23.12854536296296</v>
      </c>
      <c r="AF49" s="9"/>
      <c r="AG49" s="21">
        <v>9.6435499999999993E-2</v>
      </c>
      <c r="AH49" s="21">
        <v>18.206600000000002</v>
      </c>
      <c r="AI49" s="21">
        <v>-1.51886E-2</v>
      </c>
      <c r="AJ49" s="21">
        <v>39</v>
      </c>
      <c r="AK49" s="21">
        <v>9.5825199999999999E-2</v>
      </c>
      <c r="AL49">
        <f t="shared" si="6"/>
        <v>18.751358024691356</v>
      </c>
      <c r="AM49">
        <f t="shared" si="7"/>
        <v>1.8082965867901231</v>
      </c>
      <c r="AP49" s="9"/>
      <c r="AQ49" s="21">
        <v>1.54358</v>
      </c>
      <c r="AR49" s="21">
        <v>23.6035</v>
      </c>
      <c r="AS49" s="21">
        <v>-1.2063600000000001E-2</v>
      </c>
      <c r="AT49" s="21">
        <v>39</v>
      </c>
      <c r="AU49" s="21">
        <v>1.54297</v>
      </c>
      <c r="AV49">
        <f t="shared" si="8"/>
        <v>14.893333333333333</v>
      </c>
      <c r="AW49">
        <f t="shared" si="9"/>
        <v>22.989051466666666</v>
      </c>
      <c r="AX49" s="9"/>
      <c r="AY49" s="21">
        <v>9.6435499999999993E-2</v>
      </c>
      <c r="AZ49" s="21">
        <v>27.3019</v>
      </c>
      <c r="BA49" s="21">
        <v>-1.51459E-2</v>
      </c>
      <c r="BB49" s="21">
        <v>39</v>
      </c>
      <c r="BC49" s="21">
        <v>9.5886200000000005E-2</v>
      </c>
      <c r="BD49">
        <f t="shared" si="10"/>
        <v>18.698641975308643</v>
      </c>
      <c r="BE49">
        <f t="shared" si="11"/>
        <v>1.8032128882098766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5.4151600000000002</v>
      </c>
      <c r="I50" s="21">
        <v>-1.22437E-2</v>
      </c>
      <c r="J50" s="21">
        <v>40</v>
      </c>
      <c r="K50" s="21">
        <v>1.5377799999999999</v>
      </c>
      <c r="L50">
        <f t="shared" si="0"/>
        <v>15.115679012345678</v>
      </c>
      <c r="M50">
        <f t="shared" si="1"/>
        <v>23.256076787654319</v>
      </c>
      <c r="N50" s="9"/>
      <c r="O50" s="21">
        <v>0.10147100000000001</v>
      </c>
      <c r="P50" s="21">
        <v>9.1135000000000002</v>
      </c>
      <c r="Q50" s="21">
        <v>-1.5396099999999999E-2</v>
      </c>
      <c r="R50" s="21">
        <v>40</v>
      </c>
      <c r="S50" s="21">
        <v>0.10089099999999999</v>
      </c>
      <c r="T50">
        <f t="shared" si="2"/>
        <v>19.007530864197527</v>
      </c>
      <c r="U50">
        <f t="shared" si="3"/>
        <v>1.9287131643209874</v>
      </c>
      <c r="X50" s="9"/>
      <c r="Y50" s="21">
        <v>1.53854</v>
      </c>
      <c r="Z50" s="21">
        <v>14.5184</v>
      </c>
      <c r="AA50" s="21">
        <v>-1.22162E-2</v>
      </c>
      <c r="AB50" s="21">
        <v>40</v>
      </c>
      <c r="AC50" s="21">
        <v>1.53748</v>
      </c>
      <c r="AD50">
        <f t="shared" si="4"/>
        <v>15.081728395061727</v>
      </c>
      <c r="AE50">
        <f t="shared" si="5"/>
        <v>23.203842404938271</v>
      </c>
      <c r="AF50" s="9"/>
      <c r="AG50" s="21">
        <v>0.10147100000000001</v>
      </c>
      <c r="AH50" s="21">
        <v>18.216699999999999</v>
      </c>
      <c r="AI50" s="21">
        <v>-1.51764E-2</v>
      </c>
      <c r="AJ50" s="21">
        <v>40</v>
      </c>
      <c r="AK50" s="21">
        <v>0.10086100000000001</v>
      </c>
      <c r="AL50">
        <f t="shared" si="6"/>
        <v>18.736296296296295</v>
      </c>
      <c r="AM50">
        <f t="shared" si="7"/>
        <v>1.9011907214814814</v>
      </c>
      <c r="AP50" s="9"/>
      <c r="AQ50" s="21">
        <v>1.53854</v>
      </c>
      <c r="AR50" s="21">
        <v>23.613600000000002</v>
      </c>
      <c r="AS50" s="21">
        <v>-1.2149E-2</v>
      </c>
      <c r="AT50" s="21">
        <v>40</v>
      </c>
      <c r="AU50" s="21">
        <v>1.53809</v>
      </c>
      <c r="AV50">
        <f t="shared" si="8"/>
        <v>14.998765432098764</v>
      </c>
      <c r="AW50">
        <f t="shared" si="9"/>
        <v>23.076200567901232</v>
      </c>
      <c r="AX50" s="9"/>
      <c r="AY50" s="21">
        <v>0.10147100000000001</v>
      </c>
      <c r="AZ50" s="21">
        <v>27.311900000000001</v>
      </c>
      <c r="BA50" s="21">
        <v>-1.5136699999999999E-2</v>
      </c>
      <c r="BB50" s="21">
        <v>40</v>
      </c>
      <c r="BC50" s="21">
        <v>0.100952</v>
      </c>
      <c r="BD50">
        <f t="shared" si="10"/>
        <v>18.687283950617282</v>
      </c>
      <c r="BE50">
        <f t="shared" si="11"/>
        <v>1.8962173897530863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5.42523</v>
      </c>
      <c r="I51" s="21">
        <v>-1.2326E-2</v>
      </c>
      <c r="J51" s="21">
        <v>41</v>
      </c>
      <c r="K51" s="21">
        <v>1.5335099999999999</v>
      </c>
      <c r="L51">
        <f t="shared" si="0"/>
        <v>15.217283950617283</v>
      </c>
      <c r="M51">
        <f t="shared" si="1"/>
        <v>23.335857111111107</v>
      </c>
      <c r="N51" s="9"/>
      <c r="O51" s="21">
        <v>0.106506</v>
      </c>
      <c r="P51" s="21">
        <v>9.1235700000000008</v>
      </c>
      <c r="Q51" s="21">
        <v>-1.5387E-2</v>
      </c>
      <c r="R51" s="21">
        <v>41</v>
      </c>
      <c r="S51" s="21">
        <v>0.105865</v>
      </c>
      <c r="T51">
        <f t="shared" si="2"/>
        <v>18.996296296296297</v>
      </c>
      <c r="U51">
        <f t="shared" si="3"/>
        <v>2.0232195333333336</v>
      </c>
      <c r="X51" s="9"/>
      <c r="Y51" s="21">
        <v>1.5335099999999999</v>
      </c>
      <c r="Z51" s="21">
        <v>14.5284</v>
      </c>
      <c r="AA51" s="21">
        <v>-1.2289400000000001E-2</v>
      </c>
      <c r="AB51" s="21">
        <v>41</v>
      </c>
      <c r="AC51" s="21">
        <v>1.5325899999999999</v>
      </c>
      <c r="AD51">
        <f t="shared" si="4"/>
        <v>15.172098765432098</v>
      </c>
      <c r="AE51">
        <f t="shared" si="5"/>
        <v>23.266565177777775</v>
      </c>
      <c r="AF51" s="9"/>
      <c r="AG51" s="21">
        <v>0.106506</v>
      </c>
      <c r="AH51" s="21">
        <v>18.226800000000001</v>
      </c>
      <c r="AI51" s="21">
        <v>-1.5158100000000001E-2</v>
      </c>
      <c r="AJ51" s="21">
        <v>41</v>
      </c>
      <c r="AK51" s="21">
        <v>0.106018</v>
      </c>
      <c r="AL51">
        <f t="shared" si="6"/>
        <v>18.713703703703704</v>
      </c>
      <c r="AM51">
        <f t="shared" si="7"/>
        <v>1.9931217266666668</v>
      </c>
      <c r="AP51" s="9"/>
      <c r="AQ51" s="21">
        <v>1.5335099999999999</v>
      </c>
      <c r="AR51" s="21">
        <v>23.623699999999999</v>
      </c>
      <c r="AS51" s="21">
        <v>-1.2240600000000001E-2</v>
      </c>
      <c r="AT51" s="21">
        <v>41</v>
      </c>
      <c r="AU51" s="21">
        <v>1.5331999999999999</v>
      </c>
      <c r="AV51">
        <f t="shared" si="8"/>
        <v>15.111851851851853</v>
      </c>
      <c r="AW51">
        <f t="shared" si="9"/>
        <v>23.174175933333334</v>
      </c>
      <c r="AX51" s="9"/>
      <c r="AY51" s="21">
        <v>0.106506</v>
      </c>
      <c r="AZ51" s="21">
        <v>27.321999999999999</v>
      </c>
      <c r="BA51" s="21">
        <v>-1.5136699999999999E-2</v>
      </c>
      <c r="BB51" s="21">
        <v>41</v>
      </c>
      <c r="BC51" s="21">
        <v>0.105804</v>
      </c>
      <c r="BD51">
        <f t="shared" si="10"/>
        <v>18.687283950617282</v>
      </c>
      <c r="BE51">
        <f t="shared" si="11"/>
        <v>1.9903078644444443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5.4352999999999998</v>
      </c>
      <c r="I52" s="21">
        <v>-1.23932E-2</v>
      </c>
      <c r="J52" s="21">
        <v>42</v>
      </c>
      <c r="K52" s="21">
        <v>1.5274000000000001</v>
      </c>
      <c r="L52">
        <f t="shared" si="0"/>
        <v>15.300246913580246</v>
      </c>
      <c r="M52">
        <f t="shared" si="1"/>
        <v>23.385968399999999</v>
      </c>
      <c r="N52" s="9"/>
      <c r="O52" s="21">
        <v>0.111542</v>
      </c>
      <c r="P52" s="21">
        <v>9.1336399999999998</v>
      </c>
      <c r="Q52" s="21">
        <v>-1.5368700000000001E-2</v>
      </c>
      <c r="R52" s="21">
        <v>42</v>
      </c>
      <c r="S52" s="21">
        <v>0.110901</v>
      </c>
      <c r="T52">
        <f t="shared" si="2"/>
        <v>18.973703703703706</v>
      </c>
      <c r="U52">
        <f t="shared" si="3"/>
        <v>2.1163648585185189</v>
      </c>
      <c r="X52" s="9"/>
      <c r="Y52" s="21">
        <v>1.52847</v>
      </c>
      <c r="Z52" s="21">
        <v>14.538500000000001</v>
      </c>
      <c r="AA52" s="21">
        <v>-1.23657E-2</v>
      </c>
      <c r="AB52" s="21">
        <v>42</v>
      </c>
      <c r="AC52" s="21">
        <v>1.5274000000000001</v>
      </c>
      <c r="AD52">
        <f t="shared" si="4"/>
        <v>15.266296296296295</v>
      </c>
      <c r="AE52">
        <f t="shared" si="5"/>
        <v>23.334075899999998</v>
      </c>
      <c r="AF52" s="9"/>
      <c r="AG52" s="21">
        <v>0.111542</v>
      </c>
      <c r="AH52" s="21">
        <v>18.236899999999999</v>
      </c>
      <c r="AI52" s="21">
        <v>-1.5155E-2</v>
      </c>
      <c r="AJ52" s="21">
        <v>42</v>
      </c>
      <c r="AK52" s="21">
        <v>0.111053</v>
      </c>
      <c r="AL52">
        <f t="shared" si="6"/>
        <v>18.709876543209877</v>
      </c>
      <c r="AM52">
        <f t="shared" si="7"/>
        <v>2.086937049382716</v>
      </c>
      <c r="AP52" s="9"/>
      <c r="AQ52" s="21">
        <v>1.52847</v>
      </c>
      <c r="AR52" s="21">
        <v>23.633700000000001</v>
      </c>
      <c r="AS52" s="21">
        <v>-1.23199E-2</v>
      </c>
      <c r="AT52" s="21">
        <v>42</v>
      </c>
      <c r="AU52" s="21">
        <v>1.5274000000000001</v>
      </c>
      <c r="AV52">
        <f t="shared" si="8"/>
        <v>15.209753086419752</v>
      </c>
      <c r="AW52">
        <f t="shared" si="9"/>
        <v>23.247651299999998</v>
      </c>
      <c r="AX52" s="9"/>
      <c r="AY52" s="21">
        <v>0.111542</v>
      </c>
      <c r="AZ52" s="21">
        <v>27.332100000000001</v>
      </c>
      <c r="BA52" s="21">
        <v>-1.5130599999999999E-2</v>
      </c>
      <c r="BB52" s="21">
        <v>42</v>
      </c>
      <c r="BC52" s="21">
        <v>0.11099199999999999</v>
      </c>
      <c r="BD52">
        <f t="shared" si="10"/>
        <v>18.679753086419751</v>
      </c>
      <c r="BE52">
        <f t="shared" si="11"/>
        <v>2.0835770187654319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5.4453699999999996</v>
      </c>
      <c r="I53" s="21">
        <v>-1.24542E-2</v>
      </c>
      <c r="J53" s="21">
        <v>43</v>
      </c>
      <c r="K53" s="21">
        <v>1.5225200000000001</v>
      </c>
      <c r="L53">
        <f t="shared" si="0"/>
        <v>15.375555555555556</v>
      </c>
      <c r="M53">
        <f t="shared" si="1"/>
        <v>23.423736355555555</v>
      </c>
      <c r="N53" s="9"/>
      <c r="O53" s="21">
        <v>0.116577</v>
      </c>
      <c r="P53" s="21">
        <v>9.1437100000000004</v>
      </c>
      <c r="Q53" s="21">
        <v>-1.5356399999999999E-2</v>
      </c>
      <c r="R53" s="21">
        <v>43</v>
      </c>
      <c r="S53" s="21">
        <v>0.115967</v>
      </c>
      <c r="T53">
        <f t="shared" si="2"/>
        <v>18.958518518518517</v>
      </c>
      <c r="U53">
        <f t="shared" si="3"/>
        <v>2.2101272133333332</v>
      </c>
      <c r="X53" s="9"/>
      <c r="Y53" s="21">
        <v>1.5234399999999999</v>
      </c>
      <c r="Z53" s="21">
        <v>14.5486</v>
      </c>
      <c r="AA53" s="21">
        <v>-1.2442E-2</v>
      </c>
      <c r="AB53" s="21">
        <v>43</v>
      </c>
      <c r="AC53" s="21">
        <v>1.5231300000000001</v>
      </c>
      <c r="AD53">
        <f t="shared" si="4"/>
        <v>15.360493827160493</v>
      </c>
      <c r="AE53">
        <f t="shared" si="5"/>
        <v>23.400790716049379</v>
      </c>
      <c r="AF53" s="9"/>
      <c r="AG53" s="21">
        <v>0.116577</v>
      </c>
      <c r="AH53" s="21">
        <v>18.2469</v>
      </c>
      <c r="AI53" s="21">
        <v>-1.5155E-2</v>
      </c>
      <c r="AJ53" s="21">
        <v>43</v>
      </c>
      <c r="AK53" s="21">
        <v>0.11602800000000001</v>
      </c>
      <c r="AL53">
        <f t="shared" si="6"/>
        <v>18.709876543209877</v>
      </c>
      <c r="AM53">
        <f t="shared" si="7"/>
        <v>2.1811412777777779</v>
      </c>
      <c r="AP53" s="9"/>
      <c r="AQ53" s="21">
        <v>1.5234399999999999</v>
      </c>
      <c r="AR53" s="21">
        <v>23.643799999999999</v>
      </c>
      <c r="AS53" s="21">
        <v>-1.23932E-2</v>
      </c>
      <c r="AT53" s="21">
        <v>43</v>
      </c>
      <c r="AU53" s="21">
        <v>1.5231300000000001</v>
      </c>
      <c r="AV53">
        <f t="shared" si="8"/>
        <v>15.300246913580246</v>
      </c>
      <c r="AW53">
        <f t="shared" si="9"/>
        <v>23.309008158024689</v>
      </c>
      <c r="AX53" s="9"/>
      <c r="AY53" s="21">
        <v>0.116577</v>
      </c>
      <c r="AZ53" s="21">
        <v>27.342199999999998</v>
      </c>
      <c r="BA53" s="21">
        <v>-1.5130599999999999E-2</v>
      </c>
      <c r="BB53" s="21">
        <v>43</v>
      </c>
      <c r="BC53" s="21">
        <v>0.115967</v>
      </c>
      <c r="BD53">
        <f t="shared" si="10"/>
        <v>18.679753086419751</v>
      </c>
      <c r="BE53">
        <f t="shared" si="11"/>
        <v>2.1776295755555553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5.4554400000000003</v>
      </c>
      <c r="I54" s="21">
        <v>-1.25183E-2</v>
      </c>
      <c r="J54" s="21">
        <v>44</v>
      </c>
      <c r="K54" s="21">
        <v>1.5173300000000001</v>
      </c>
      <c r="L54">
        <f t="shared" si="0"/>
        <v>15.454691358024689</v>
      </c>
      <c r="M54">
        <f t="shared" si="1"/>
        <v>23.466403358024689</v>
      </c>
      <c r="N54" s="9"/>
      <c r="O54" s="21">
        <v>0.121613</v>
      </c>
      <c r="P54" s="21">
        <v>9.1537799999999994</v>
      </c>
      <c r="Q54" s="21">
        <v>-1.53381E-2</v>
      </c>
      <c r="R54" s="21">
        <v>44</v>
      </c>
      <c r="S54" s="21">
        <v>0.121063</v>
      </c>
      <c r="T54">
        <f t="shared" si="2"/>
        <v>18.935925925925925</v>
      </c>
      <c r="U54">
        <f t="shared" si="3"/>
        <v>2.3028547596296294</v>
      </c>
      <c r="X54" s="9"/>
      <c r="Y54" s="21">
        <v>1.5184</v>
      </c>
      <c r="Z54" s="21">
        <v>14.5587</v>
      </c>
      <c r="AA54" s="21">
        <v>-1.25153E-2</v>
      </c>
      <c r="AB54" s="21">
        <v>44</v>
      </c>
      <c r="AC54" s="21">
        <v>1.5179400000000001</v>
      </c>
      <c r="AD54">
        <f t="shared" si="4"/>
        <v>15.450987654320988</v>
      </c>
      <c r="AE54">
        <f t="shared" si="5"/>
        <v>23.460779654320987</v>
      </c>
      <c r="AF54" s="9"/>
      <c r="AG54" s="21">
        <v>0.121613</v>
      </c>
      <c r="AH54" s="21">
        <v>18.257000000000001</v>
      </c>
      <c r="AI54" s="21">
        <v>-1.51611E-2</v>
      </c>
      <c r="AJ54" s="21">
        <v>44</v>
      </c>
      <c r="AK54" s="21">
        <v>0.12109399999999999</v>
      </c>
      <c r="AL54">
        <f t="shared" si="6"/>
        <v>18.717407407407403</v>
      </c>
      <c r="AM54">
        <f t="shared" si="7"/>
        <v>2.2762800670370367</v>
      </c>
      <c r="AP54" s="9"/>
      <c r="AQ54" s="21">
        <v>1.5184</v>
      </c>
      <c r="AR54" s="21">
        <v>23.6539</v>
      </c>
      <c r="AS54" s="21">
        <v>-1.2463399999999999E-2</v>
      </c>
      <c r="AT54" s="21">
        <v>44</v>
      </c>
      <c r="AU54" s="21">
        <v>1.5182500000000001</v>
      </c>
      <c r="AV54">
        <f t="shared" si="8"/>
        <v>15.386913580246912</v>
      </c>
      <c r="AW54">
        <f t="shared" si="9"/>
        <v>23.36348958024691</v>
      </c>
      <c r="AX54" s="9"/>
      <c r="AY54" s="21">
        <v>0.121613</v>
      </c>
      <c r="AZ54" s="21">
        <v>27.3522</v>
      </c>
      <c r="BA54" s="21">
        <v>-1.51276E-2</v>
      </c>
      <c r="BB54" s="21">
        <v>44</v>
      </c>
      <c r="BC54" s="21">
        <v>0.121002</v>
      </c>
      <c r="BD54">
        <f t="shared" si="10"/>
        <v>18.676049382716048</v>
      </c>
      <c r="BE54">
        <f t="shared" si="11"/>
        <v>2.2712503935802468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5.4655100000000001</v>
      </c>
      <c r="I55" s="21">
        <v>-1.2588500000000001E-2</v>
      </c>
      <c r="J55" s="21">
        <v>45</v>
      </c>
      <c r="K55" s="21">
        <v>1.5124500000000001</v>
      </c>
      <c r="L55">
        <f t="shared" si="0"/>
        <v>15.541358024691359</v>
      </c>
      <c r="M55">
        <f t="shared" si="1"/>
        <v>23.519824993827164</v>
      </c>
      <c r="N55" s="9"/>
      <c r="O55" s="21">
        <v>0.12664800000000001</v>
      </c>
      <c r="P55" s="21">
        <v>9.1638500000000001</v>
      </c>
      <c r="Q55" s="21">
        <v>-1.5335100000000001E-2</v>
      </c>
      <c r="R55" s="21">
        <v>45</v>
      </c>
      <c r="S55" s="21">
        <v>0.125946</v>
      </c>
      <c r="T55">
        <f t="shared" si="2"/>
        <v>18.932222222222222</v>
      </c>
      <c r="U55">
        <f t="shared" si="3"/>
        <v>2.3977280800000003</v>
      </c>
      <c r="X55" s="9"/>
      <c r="Y55" s="21">
        <v>1.5133700000000001</v>
      </c>
      <c r="Z55" s="21">
        <v>14.5687</v>
      </c>
      <c r="AA55" s="21">
        <v>-1.2582400000000001E-2</v>
      </c>
      <c r="AB55" s="21">
        <v>45</v>
      </c>
      <c r="AC55" s="21">
        <v>1.5127600000000001</v>
      </c>
      <c r="AD55">
        <f t="shared" si="4"/>
        <v>15.533827160493827</v>
      </c>
      <c r="AE55">
        <f t="shared" si="5"/>
        <v>23.508428009876543</v>
      </c>
      <c r="AF55" s="9"/>
      <c r="AG55" s="21">
        <v>0.12664800000000001</v>
      </c>
      <c r="AH55" s="21">
        <v>18.267099999999999</v>
      </c>
      <c r="AI55" s="21">
        <v>-1.51672E-2</v>
      </c>
      <c r="AJ55" s="21">
        <v>45</v>
      </c>
      <c r="AK55" s="21">
        <v>0.12609899999999999</v>
      </c>
      <c r="AL55">
        <f t="shared" si="6"/>
        <v>18.724938271604938</v>
      </c>
      <c r="AM55">
        <f t="shared" si="7"/>
        <v>2.3714759822222224</v>
      </c>
      <c r="AP55" s="9"/>
      <c r="AQ55" s="21">
        <v>1.5133700000000001</v>
      </c>
      <c r="AR55" s="21">
        <v>23.664000000000001</v>
      </c>
      <c r="AS55" s="21">
        <v>-1.25275E-2</v>
      </c>
      <c r="AT55" s="21">
        <v>45</v>
      </c>
      <c r="AU55" s="21">
        <v>1.5133700000000001</v>
      </c>
      <c r="AV55">
        <f t="shared" si="8"/>
        <v>15.466049382716049</v>
      </c>
      <c r="AW55">
        <f t="shared" si="9"/>
        <v>23.405855154320989</v>
      </c>
      <c r="AX55" s="9"/>
      <c r="AY55" s="21">
        <v>0.12664800000000001</v>
      </c>
      <c r="AZ55" s="21">
        <v>27.362300000000001</v>
      </c>
      <c r="BA55" s="21">
        <v>-1.5109300000000001E-2</v>
      </c>
      <c r="BB55" s="21">
        <v>45</v>
      </c>
      <c r="BC55" s="21">
        <v>0.12615999999999999</v>
      </c>
      <c r="BD55">
        <f t="shared" si="10"/>
        <v>18.653456790123457</v>
      </c>
      <c r="BE55">
        <f t="shared" si="11"/>
        <v>2.3624229955555558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5.4755900000000004</v>
      </c>
      <c r="I56" s="21">
        <v>-1.26526E-2</v>
      </c>
      <c r="J56" s="21">
        <v>46</v>
      </c>
      <c r="K56" s="21">
        <v>1.50726</v>
      </c>
      <c r="L56">
        <f t="shared" si="0"/>
        <v>15.620493827160493</v>
      </c>
      <c r="M56">
        <f t="shared" si="1"/>
        <v>23.560859454320987</v>
      </c>
      <c r="N56" s="9"/>
      <c r="O56" s="21">
        <v>0.13168299999999999</v>
      </c>
      <c r="P56" s="21">
        <v>9.1739200000000007</v>
      </c>
      <c r="Q56" s="21">
        <v>-1.5329000000000001E-2</v>
      </c>
      <c r="R56" s="21">
        <v>46</v>
      </c>
      <c r="S56" s="21">
        <v>0.131104</v>
      </c>
      <c r="T56">
        <f t="shared" si="2"/>
        <v>18.924691358024692</v>
      </c>
      <c r="U56">
        <f t="shared" si="3"/>
        <v>2.4920601320987652</v>
      </c>
      <c r="X56" s="9"/>
      <c r="Y56" s="21">
        <v>1.5083299999999999</v>
      </c>
      <c r="Z56" s="21">
        <v>14.578799999999999</v>
      </c>
      <c r="AA56" s="21">
        <v>-1.26465E-2</v>
      </c>
      <c r="AB56" s="21">
        <v>46</v>
      </c>
      <c r="AC56" s="21">
        <v>1.5075700000000001</v>
      </c>
      <c r="AD56">
        <f t="shared" si="4"/>
        <v>15.612962962962962</v>
      </c>
      <c r="AE56">
        <f t="shared" si="5"/>
        <v>23.549500425925924</v>
      </c>
      <c r="AF56" s="9"/>
      <c r="AG56" s="21">
        <v>0.13168299999999999</v>
      </c>
      <c r="AH56" s="21">
        <v>18.277100000000001</v>
      </c>
      <c r="AI56" s="21">
        <v>-1.5164199999999999E-2</v>
      </c>
      <c r="AJ56" s="21">
        <v>46</v>
      </c>
      <c r="AK56" s="21">
        <v>0.131165</v>
      </c>
      <c r="AL56">
        <f t="shared" si="6"/>
        <v>18.721234567901234</v>
      </c>
      <c r="AM56">
        <f t="shared" si="7"/>
        <v>2.4652683316049382</v>
      </c>
      <c r="AP56" s="9"/>
      <c r="AQ56" s="21">
        <v>1.5083299999999999</v>
      </c>
      <c r="AR56" s="21">
        <v>23.673999999999999</v>
      </c>
      <c r="AS56" s="21">
        <v>-1.25793E-2</v>
      </c>
      <c r="AT56" s="21">
        <v>46</v>
      </c>
      <c r="AU56" s="21">
        <v>1.50787</v>
      </c>
      <c r="AV56">
        <f t="shared" si="8"/>
        <v>15.53</v>
      </c>
      <c r="AW56">
        <f t="shared" si="9"/>
        <v>23.424364899999997</v>
      </c>
      <c r="AX56" s="9"/>
      <c r="AY56" s="21">
        <v>0.13168299999999999</v>
      </c>
      <c r="AZ56" s="21">
        <v>27.372399999999999</v>
      </c>
      <c r="BA56" s="21">
        <v>-1.5084800000000001E-2</v>
      </c>
      <c r="BB56" s="21">
        <v>46</v>
      </c>
      <c r="BC56" s="21">
        <v>0.131165</v>
      </c>
      <c r="BD56">
        <f t="shared" si="10"/>
        <v>18.623209876543207</v>
      </c>
      <c r="BE56">
        <f t="shared" si="11"/>
        <v>2.4523601461728388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5.4856600000000002</v>
      </c>
      <c r="I57" s="21">
        <v>-1.2716699999999999E-2</v>
      </c>
      <c r="J57" s="21">
        <v>47</v>
      </c>
      <c r="K57" s="21">
        <v>1.5026900000000001</v>
      </c>
      <c r="L57">
        <f t="shared" si="0"/>
        <v>15.699629629629626</v>
      </c>
      <c r="M57">
        <f t="shared" si="1"/>
        <v>23.601253222222219</v>
      </c>
      <c r="N57" s="9"/>
      <c r="O57" s="21">
        <v>0.13671900000000001</v>
      </c>
      <c r="P57" s="21">
        <v>9.1839899999999997</v>
      </c>
      <c r="Q57" s="21">
        <v>-1.53259E-2</v>
      </c>
      <c r="R57" s="21">
        <v>47</v>
      </c>
      <c r="S57" s="21">
        <v>0.13616900000000001</v>
      </c>
      <c r="T57">
        <f t="shared" si="2"/>
        <v>18.920864197530861</v>
      </c>
      <c r="U57">
        <f t="shared" si="3"/>
        <v>2.5868416322222219</v>
      </c>
      <c r="X57" s="9"/>
      <c r="Y57" s="21">
        <v>1.5033000000000001</v>
      </c>
      <c r="Z57" s="21">
        <v>14.588900000000001</v>
      </c>
      <c r="AA57" s="21">
        <v>-1.2710600000000001E-2</v>
      </c>
      <c r="AB57" s="21">
        <v>47</v>
      </c>
      <c r="AC57" s="21">
        <v>1.50238</v>
      </c>
      <c r="AD57">
        <f t="shared" si="4"/>
        <v>15.692098765432098</v>
      </c>
      <c r="AE57">
        <f t="shared" si="5"/>
        <v>23.589932074074074</v>
      </c>
      <c r="AF57" s="9"/>
      <c r="AG57" s="21">
        <v>0.13671900000000001</v>
      </c>
      <c r="AH57" s="21">
        <v>18.287199999999999</v>
      </c>
      <c r="AI57" s="21">
        <v>-1.5158100000000001E-2</v>
      </c>
      <c r="AJ57" s="21">
        <v>47</v>
      </c>
      <c r="AK57" s="21">
        <v>0.13622999999999999</v>
      </c>
      <c r="AL57">
        <f t="shared" si="6"/>
        <v>18.713703703703704</v>
      </c>
      <c r="AM57">
        <f t="shared" si="7"/>
        <v>2.5585188566666668</v>
      </c>
      <c r="AP57" s="9"/>
      <c r="AQ57" s="21">
        <v>1.5033000000000001</v>
      </c>
      <c r="AR57" s="21">
        <v>23.684100000000001</v>
      </c>
      <c r="AS57" s="21">
        <v>-1.26404E-2</v>
      </c>
      <c r="AT57" s="21">
        <v>47</v>
      </c>
      <c r="AU57" s="21">
        <v>1.50238</v>
      </c>
      <c r="AV57">
        <f t="shared" si="8"/>
        <v>15.60543209876543</v>
      </c>
      <c r="AW57">
        <f t="shared" si="9"/>
        <v>23.459646074074072</v>
      </c>
      <c r="AX57" s="9"/>
      <c r="AY57" s="21">
        <v>0.13671900000000001</v>
      </c>
      <c r="AZ57" s="21">
        <v>27.382400000000001</v>
      </c>
      <c r="BA57" s="21">
        <v>-1.50726E-2</v>
      </c>
      <c r="BB57" s="21">
        <v>47</v>
      </c>
      <c r="BC57" s="21">
        <v>0.13616900000000001</v>
      </c>
      <c r="BD57">
        <f t="shared" si="10"/>
        <v>18.60814814814815</v>
      </c>
      <c r="BE57">
        <f t="shared" si="11"/>
        <v>2.5440874066666672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5.49573</v>
      </c>
      <c r="I58" s="21">
        <v>-1.2759400000000001E-2</v>
      </c>
      <c r="J58" s="21">
        <v>48</v>
      </c>
      <c r="K58" s="21">
        <v>1.4975000000000001</v>
      </c>
      <c r="L58">
        <f t="shared" si="0"/>
        <v>15.752345679012343</v>
      </c>
      <c r="M58">
        <f t="shared" si="1"/>
        <v>23.601109437037032</v>
      </c>
      <c r="N58" s="9"/>
      <c r="O58" s="21">
        <v>0.14175399999999999</v>
      </c>
      <c r="P58" s="21">
        <v>9.1940600000000003</v>
      </c>
      <c r="Q58" s="21">
        <v>-1.5329000000000001E-2</v>
      </c>
      <c r="R58" s="21">
        <v>48</v>
      </c>
      <c r="S58" s="21">
        <v>0.14111299999999999</v>
      </c>
      <c r="T58">
        <f t="shared" si="2"/>
        <v>18.924691358024692</v>
      </c>
      <c r="U58">
        <f t="shared" si="3"/>
        <v>2.6826506987654319</v>
      </c>
      <c r="X58" s="9"/>
      <c r="Y58" s="21">
        <v>1.4982599999999999</v>
      </c>
      <c r="Z58" s="21">
        <v>14.5989</v>
      </c>
      <c r="AA58" s="21">
        <v>-1.27838E-2</v>
      </c>
      <c r="AB58" s="21">
        <v>48</v>
      </c>
      <c r="AC58" s="21">
        <v>1.49719</v>
      </c>
      <c r="AD58">
        <f t="shared" si="4"/>
        <v>15.782469135802467</v>
      </c>
      <c r="AE58">
        <f t="shared" si="5"/>
        <v>23.646242207407404</v>
      </c>
      <c r="AF58" s="9"/>
      <c r="AG58" s="21">
        <v>0.14175399999999999</v>
      </c>
      <c r="AH58" s="21">
        <v>18.2973</v>
      </c>
      <c r="AI58" s="21">
        <v>-1.5155E-2</v>
      </c>
      <c r="AJ58" s="21">
        <v>48</v>
      </c>
      <c r="AK58" s="21">
        <v>0.14111299999999999</v>
      </c>
      <c r="AL58">
        <f t="shared" si="6"/>
        <v>18.709876543209877</v>
      </c>
      <c r="AM58">
        <f t="shared" si="7"/>
        <v>2.6521998395061726</v>
      </c>
      <c r="AP58" s="9"/>
      <c r="AQ58" s="21">
        <v>1.4982599999999999</v>
      </c>
      <c r="AR58" s="21">
        <v>23.694199999999999</v>
      </c>
      <c r="AS58" s="21">
        <v>-1.26984E-2</v>
      </c>
      <c r="AT58" s="21">
        <v>48</v>
      </c>
      <c r="AU58" s="21">
        <v>1.4981100000000001</v>
      </c>
      <c r="AV58">
        <f t="shared" si="8"/>
        <v>15.677037037037039</v>
      </c>
      <c r="AW58">
        <f t="shared" si="9"/>
        <v>23.488277511111111</v>
      </c>
      <c r="AX58" s="9"/>
      <c r="AY58" s="21">
        <v>0.14175399999999999</v>
      </c>
      <c r="AZ58" s="21">
        <v>27.392499999999998</v>
      </c>
      <c r="BA58" s="21">
        <v>-1.5063500000000001E-2</v>
      </c>
      <c r="BB58" s="21">
        <v>48</v>
      </c>
      <c r="BC58" s="21">
        <v>0.14108299999999999</v>
      </c>
      <c r="BD58">
        <f t="shared" si="10"/>
        <v>18.596913580246913</v>
      </c>
      <c r="BE58">
        <f t="shared" si="11"/>
        <v>2.6361868876543206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5.5057999999999998</v>
      </c>
      <c r="I59" s="21">
        <v>-1.2796E-2</v>
      </c>
      <c r="J59" s="21">
        <v>49</v>
      </c>
      <c r="K59" s="21">
        <v>1.49292</v>
      </c>
      <c r="L59">
        <f t="shared" si="0"/>
        <v>15.79753086419753</v>
      </c>
      <c r="M59">
        <f t="shared" si="1"/>
        <v>23.589347012345677</v>
      </c>
      <c r="N59" s="9"/>
      <c r="O59" s="21">
        <v>0.14679</v>
      </c>
      <c r="P59" s="21">
        <v>9.2041400000000007</v>
      </c>
      <c r="Q59" s="21">
        <v>-1.53229E-2</v>
      </c>
      <c r="R59" s="21">
        <v>49</v>
      </c>
      <c r="S59" s="21">
        <v>0.14624000000000001</v>
      </c>
      <c r="T59">
        <f t="shared" si="2"/>
        <v>18.917160493827158</v>
      </c>
      <c r="U59">
        <f t="shared" si="3"/>
        <v>2.7768499888888885</v>
      </c>
      <c r="X59" s="9"/>
      <c r="Y59" s="21">
        <v>1.4932300000000001</v>
      </c>
      <c r="Z59" s="21">
        <v>14.609</v>
      </c>
      <c r="AA59" s="21">
        <v>-1.28418E-2</v>
      </c>
      <c r="AB59" s="21">
        <v>49</v>
      </c>
      <c r="AC59" s="21">
        <v>1.49261</v>
      </c>
      <c r="AD59">
        <f t="shared" si="4"/>
        <v>15.854074074074072</v>
      </c>
      <c r="AE59">
        <f t="shared" si="5"/>
        <v>23.673779029629628</v>
      </c>
      <c r="AF59" s="9"/>
      <c r="AG59" s="21">
        <v>0.14679</v>
      </c>
      <c r="AH59" s="21">
        <v>18.307400000000001</v>
      </c>
      <c r="AI59" s="21">
        <v>-1.5155E-2</v>
      </c>
      <c r="AJ59" s="21">
        <v>49</v>
      </c>
      <c r="AK59" s="21">
        <v>0.14633199999999999</v>
      </c>
      <c r="AL59">
        <f t="shared" si="6"/>
        <v>18.709876543209877</v>
      </c>
      <c r="AM59">
        <f t="shared" si="7"/>
        <v>2.7464227777777777</v>
      </c>
      <c r="AP59" s="9"/>
      <c r="AQ59" s="21">
        <v>1.4932300000000001</v>
      </c>
      <c r="AR59" s="21">
        <v>23.7042</v>
      </c>
      <c r="AS59" s="21">
        <v>-1.2759400000000001E-2</v>
      </c>
      <c r="AT59" s="21">
        <v>49</v>
      </c>
      <c r="AU59" s="21">
        <v>1.49231</v>
      </c>
      <c r="AV59">
        <f t="shared" si="8"/>
        <v>15.752345679012343</v>
      </c>
      <c r="AW59">
        <f t="shared" si="9"/>
        <v>23.521875138271604</v>
      </c>
      <c r="AX59" s="9"/>
      <c r="AY59" s="21">
        <v>0.14679</v>
      </c>
      <c r="AZ59" s="21">
        <v>27.4026</v>
      </c>
      <c r="BA59" s="21">
        <v>-1.50543E-2</v>
      </c>
      <c r="BB59" s="21">
        <v>49</v>
      </c>
      <c r="BC59" s="21">
        <v>0.14633199999999999</v>
      </c>
      <c r="BD59">
        <f t="shared" si="10"/>
        <v>18.585555555555555</v>
      </c>
      <c r="BE59">
        <f t="shared" si="11"/>
        <v>2.7281737000000001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5.5158699999999996</v>
      </c>
      <c r="I60" s="21">
        <v>-1.2847900000000001E-2</v>
      </c>
      <c r="J60" s="21">
        <v>50</v>
      </c>
      <c r="K60" s="21">
        <v>1.48773</v>
      </c>
      <c r="L60">
        <f t="shared" si="0"/>
        <v>15.861604938271604</v>
      </c>
      <c r="M60">
        <f t="shared" si="1"/>
        <v>23.605081853086418</v>
      </c>
      <c r="N60" s="9"/>
      <c r="O60" s="21">
        <v>0.15182499999999999</v>
      </c>
      <c r="P60" s="21">
        <v>9.2142099999999996</v>
      </c>
      <c r="Q60" s="21">
        <v>-1.53137E-2</v>
      </c>
      <c r="R60" s="21">
        <v>50</v>
      </c>
      <c r="S60" s="21">
        <v>0.15127599999999999</v>
      </c>
      <c r="T60">
        <f t="shared" si="2"/>
        <v>18.9058024691358</v>
      </c>
      <c r="U60">
        <f t="shared" si="3"/>
        <v>2.8703734598765425</v>
      </c>
      <c r="X60" s="9"/>
      <c r="Y60" s="21">
        <v>1.4881899999999999</v>
      </c>
      <c r="Z60" s="21">
        <v>14.6191</v>
      </c>
      <c r="AA60" s="21">
        <v>-1.2893699999999999E-2</v>
      </c>
      <c r="AB60" s="21">
        <v>50</v>
      </c>
      <c r="AC60" s="21">
        <v>1.48804</v>
      </c>
      <c r="AD60">
        <f t="shared" si="4"/>
        <v>15.918148148148147</v>
      </c>
      <c r="AE60">
        <f t="shared" si="5"/>
        <v>23.689228892592588</v>
      </c>
      <c r="AF60" s="9"/>
      <c r="AG60" s="21">
        <v>0.15182499999999999</v>
      </c>
      <c r="AH60" s="21">
        <v>18.317399999999999</v>
      </c>
      <c r="AI60" s="21">
        <v>-1.5152000000000001E-2</v>
      </c>
      <c r="AJ60" s="21">
        <v>50</v>
      </c>
      <c r="AK60" s="21">
        <v>0.15115400000000001</v>
      </c>
      <c r="AL60">
        <f t="shared" si="6"/>
        <v>18.706172839506173</v>
      </c>
      <c r="AM60">
        <f t="shared" si="7"/>
        <v>2.8400646913580245</v>
      </c>
      <c r="AP60" s="9"/>
      <c r="AQ60" s="21">
        <v>1.4881899999999999</v>
      </c>
      <c r="AR60" s="21">
        <v>23.714300000000001</v>
      </c>
      <c r="AS60" s="21">
        <v>-1.2820399999999999E-2</v>
      </c>
      <c r="AT60" s="21">
        <v>50</v>
      </c>
      <c r="AU60" s="21">
        <v>1.48712</v>
      </c>
      <c r="AV60">
        <f t="shared" si="8"/>
        <v>15.827654320987653</v>
      </c>
      <c r="AW60">
        <f t="shared" si="9"/>
        <v>23.554556883950614</v>
      </c>
      <c r="AX60" s="9"/>
      <c r="AY60" s="21">
        <v>0.15182499999999999</v>
      </c>
      <c r="AZ60" s="21">
        <v>27.412600000000001</v>
      </c>
      <c r="BA60" s="21">
        <v>-1.5048199999999999E-2</v>
      </c>
      <c r="BB60" s="21">
        <v>50</v>
      </c>
      <c r="BC60" s="21">
        <v>0.15121499999999999</v>
      </c>
      <c r="BD60">
        <f t="shared" si="10"/>
        <v>18.578024691358021</v>
      </c>
      <c r="BE60">
        <f t="shared" si="11"/>
        <v>2.8206085987654315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5.5259400000000003</v>
      </c>
      <c r="I61" s="21">
        <v>-1.2893699999999999E-2</v>
      </c>
      <c r="J61" s="21">
        <v>51</v>
      </c>
      <c r="K61" s="21">
        <v>1.48254</v>
      </c>
      <c r="L61">
        <f t="shared" si="0"/>
        <v>15.918148148148147</v>
      </c>
      <c r="M61">
        <f t="shared" si="1"/>
        <v>23.609001425925925</v>
      </c>
      <c r="N61" s="9"/>
      <c r="O61" s="21">
        <v>0.15686</v>
      </c>
      <c r="P61" s="21">
        <v>9.2242800000000003</v>
      </c>
      <c r="Q61" s="21">
        <v>-1.5301500000000001E-2</v>
      </c>
      <c r="R61" s="21">
        <v>51</v>
      </c>
      <c r="S61" s="21">
        <v>0.15625</v>
      </c>
      <c r="T61">
        <f t="shared" si="2"/>
        <v>18.890740740740739</v>
      </c>
      <c r="U61">
        <f t="shared" si="3"/>
        <v>2.9632015925925925</v>
      </c>
      <c r="X61" s="9"/>
      <c r="Y61" s="21">
        <v>1.48315</v>
      </c>
      <c r="Z61" s="21">
        <v>14.629200000000001</v>
      </c>
      <c r="AA61" s="21">
        <v>-1.2942499999999999E-2</v>
      </c>
      <c r="AB61" s="21">
        <v>51</v>
      </c>
      <c r="AC61" s="21">
        <v>1.48254</v>
      </c>
      <c r="AD61">
        <f t="shared" si="4"/>
        <v>15.978395061728392</v>
      </c>
      <c r="AE61">
        <f t="shared" si="5"/>
        <v>23.698356635802465</v>
      </c>
      <c r="AF61" s="9"/>
      <c r="AG61" s="21">
        <v>0.15686</v>
      </c>
      <c r="AH61" s="21">
        <v>18.327500000000001</v>
      </c>
      <c r="AI61" s="21">
        <v>-1.5136699999999999E-2</v>
      </c>
      <c r="AJ61" s="21">
        <v>51</v>
      </c>
      <c r="AK61" s="21">
        <v>0.15625</v>
      </c>
      <c r="AL61">
        <f t="shared" si="6"/>
        <v>18.687283950617282</v>
      </c>
      <c r="AM61">
        <f t="shared" si="7"/>
        <v>2.931287360493827</v>
      </c>
      <c r="AP61" s="9"/>
      <c r="AQ61" s="21">
        <v>1.48315</v>
      </c>
      <c r="AR61" s="21">
        <v>23.724399999999999</v>
      </c>
      <c r="AS61" s="21">
        <v>-1.28754E-2</v>
      </c>
      <c r="AT61" s="21">
        <v>51</v>
      </c>
      <c r="AU61" s="21">
        <v>1.48163</v>
      </c>
      <c r="AV61">
        <f t="shared" si="8"/>
        <v>15.895555555555555</v>
      </c>
      <c r="AW61">
        <f t="shared" si="9"/>
        <v>23.575493222222221</v>
      </c>
      <c r="AX61" s="9"/>
      <c r="AY61" s="21">
        <v>0.15686</v>
      </c>
      <c r="AZ61" s="21">
        <v>27.422699999999999</v>
      </c>
      <c r="BA61" s="21">
        <v>-1.5036000000000001E-2</v>
      </c>
      <c r="BB61" s="21">
        <v>51</v>
      </c>
      <c r="BC61" s="21">
        <v>0.15631100000000001</v>
      </c>
      <c r="BD61">
        <f t="shared" si="10"/>
        <v>18.562962962962963</v>
      </c>
      <c r="BE61">
        <f t="shared" si="11"/>
        <v>2.9117863703703706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5.5360100000000001</v>
      </c>
      <c r="I62" s="21">
        <v>-1.29456E-2</v>
      </c>
      <c r="J62" s="21">
        <v>52</v>
      </c>
      <c r="K62" s="21">
        <v>1.47766</v>
      </c>
      <c r="L62">
        <f t="shared" si="0"/>
        <v>15.982222222222221</v>
      </c>
      <c r="M62">
        <f t="shared" si="1"/>
        <v>23.623642311111112</v>
      </c>
      <c r="N62" s="9"/>
      <c r="O62" s="21">
        <v>0.16189600000000001</v>
      </c>
      <c r="P62" s="21">
        <v>9.2343499999999992</v>
      </c>
      <c r="Q62" s="21">
        <v>-1.5292399999999999E-2</v>
      </c>
      <c r="R62" s="21">
        <v>52</v>
      </c>
      <c r="S62" s="21">
        <v>0.16134599999999999</v>
      </c>
      <c r="T62">
        <f t="shared" si="2"/>
        <v>18.879506172839505</v>
      </c>
      <c r="U62">
        <f t="shared" si="3"/>
        <v>3.0565165313580249</v>
      </c>
      <c r="X62" s="9"/>
      <c r="Y62" s="21">
        <v>1.4781200000000001</v>
      </c>
      <c r="Z62" s="21">
        <v>14.639200000000001</v>
      </c>
      <c r="AA62" s="21">
        <v>-1.2991300000000001E-2</v>
      </c>
      <c r="AB62" s="21">
        <v>52</v>
      </c>
      <c r="AC62" s="21">
        <v>1.47736</v>
      </c>
      <c r="AD62">
        <f t="shared" si="4"/>
        <v>16.038641975308643</v>
      </c>
      <c r="AE62">
        <f t="shared" si="5"/>
        <v>23.707037476543213</v>
      </c>
      <c r="AF62" s="9"/>
      <c r="AG62" s="21">
        <v>0.16189600000000001</v>
      </c>
      <c r="AH62" s="21">
        <v>18.337599999999998</v>
      </c>
      <c r="AI62" s="21">
        <v>-1.5124500000000001E-2</v>
      </c>
      <c r="AJ62" s="21">
        <v>52</v>
      </c>
      <c r="AK62" s="21">
        <v>0.161469</v>
      </c>
      <c r="AL62">
        <f t="shared" si="6"/>
        <v>18.672222222222221</v>
      </c>
      <c r="AM62">
        <f t="shared" si="7"/>
        <v>3.0229580888888887</v>
      </c>
      <c r="AP62" s="9"/>
      <c r="AQ62" s="21">
        <v>1.4781200000000001</v>
      </c>
      <c r="AR62" s="21">
        <v>23.734500000000001</v>
      </c>
      <c r="AS62" s="21">
        <v>-1.2942499999999999E-2</v>
      </c>
      <c r="AT62" s="21">
        <v>52</v>
      </c>
      <c r="AU62" s="21">
        <v>1.47705</v>
      </c>
      <c r="AV62">
        <f t="shared" si="8"/>
        <v>15.978395061728392</v>
      </c>
      <c r="AW62">
        <f t="shared" si="9"/>
        <v>23.617985308641973</v>
      </c>
      <c r="AX62" s="9"/>
      <c r="AY62" s="21">
        <v>0.16189600000000001</v>
      </c>
      <c r="AZ62" s="21">
        <v>27.4328</v>
      </c>
      <c r="BA62" s="21">
        <v>-1.5026899999999999E-2</v>
      </c>
      <c r="BB62" s="21">
        <v>52</v>
      </c>
      <c r="BC62" s="21">
        <v>0.16128500000000001</v>
      </c>
      <c r="BD62">
        <f t="shared" si="10"/>
        <v>18.551728395061726</v>
      </c>
      <c r="BE62">
        <f t="shared" si="11"/>
        <v>3.0034506202469133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5.5460799999999999</v>
      </c>
      <c r="I63" s="21">
        <v>-1.29944E-2</v>
      </c>
      <c r="J63" s="21">
        <v>53</v>
      </c>
      <c r="K63" s="21">
        <v>1.4724699999999999</v>
      </c>
      <c r="L63">
        <f t="shared" si="0"/>
        <v>16.042469135802467</v>
      </c>
      <c r="M63">
        <f t="shared" si="1"/>
        <v>23.631840434567899</v>
      </c>
      <c r="N63" s="9"/>
      <c r="O63" s="21">
        <v>0.166931</v>
      </c>
      <c r="P63" s="21">
        <v>9.2444199999999999</v>
      </c>
      <c r="Q63" s="21">
        <v>-1.5286299999999999E-2</v>
      </c>
      <c r="R63" s="21">
        <v>53</v>
      </c>
      <c r="S63" s="21">
        <v>0.166351</v>
      </c>
      <c r="T63">
        <f t="shared" si="2"/>
        <v>18.871975308641971</v>
      </c>
      <c r="U63">
        <f t="shared" si="3"/>
        <v>3.1503177102469127</v>
      </c>
      <c r="X63" s="9"/>
      <c r="Y63" s="21">
        <v>1.4730799999999999</v>
      </c>
      <c r="Z63" s="21">
        <v>14.6493</v>
      </c>
      <c r="AA63" s="21">
        <v>-1.3024900000000001E-2</v>
      </c>
      <c r="AB63" s="21">
        <v>53</v>
      </c>
      <c r="AC63" s="21">
        <v>1.47217</v>
      </c>
      <c r="AD63">
        <f t="shared" si="4"/>
        <v>16.080123456790126</v>
      </c>
      <c r="AE63">
        <f t="shared" si="5"/>
        <v>23.687308261728397</v>
      </c>
      <c r="AF63" s="9"/>
      <c r="AG63" s="21">
        <v>0.166931</v>
      </c>
      <c r="AH63" s="21">
        <v>18.3476</v>
      </c>
      <c r="AI63" s="21">
        <v>-1.51001E-2</v>
      </c>
      <c r="AJ63" s="21">
        <v>53</v>
      </c>
      <c r="AK63" s="21">
        <v>0.16650400000000001</v>
      </c>
      <c r="AL63">
        <f t="shared" si="6"/>
        <v>18.642098765432099</v>
      </c>
      <c r="AM63">
        <f t="shared" si="7"/>
        <v>3.1119441890123456</v>
      </c>
      <c r="AP63" s="9"/>
      <c r="AQ63" s="21">
        <v>1.4730799999999999</v>
      </c>
      <c r="AR63" s="21">
        <v>23.744499999999999</v>
      </c>
      <c r="AS63" s="21">
        <v>-1.2997399999999999E-2</v>
      </c>
      <c r="AT63" s="21">
        <v>53</v>
      </c>
      <c r="AU63" s="21">
        <v>1.47278</v>
      </c>
      <c r="AV63">
        <f t="shared" si="8"/>
        <v>16.04617283950617</v>
      </c>
      <c r="AW63">
        <f t="shared" si="9"/>
        <v>23.637296286419748</v>
      </c>
      <c r="AX63" s="9"/>
      <c r="AY63" s="21">
        <v>0.166931</v>
      </c>
      <c r="AZ63" s="21">
        <v>27.442900000000002</v>
      </c>
      <c r="BA63" s="21">
        <v>-1.5026899999999999E-2</v>
      </c>
      <c r="BB63" s="21">
        <v>53</v>
      </c>
      <c r="BC63" s="21">
        <v>0.16622899999999999</v>
      </c>
      <c r="BD63">
        <f t="shared" si="10"/>
        <v>18.551728395061726</v>
      </c>
      <c r="BE63">
        <f t="shared" si="11"/>
        <v>3.0968585727160489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5.5561499999999997</v>
      </c>
      <c r="I64" s="21">
        <v>-1.30493E-2</v>
      </c>
      <c r="J64" s="21">
        <v>54</v>
      </c>
      <c r="K64" s="21">
        <v>1.46759</v>
      </c>
      <c r="L64">
        <f t="shared" si="0"/>
        <v>16.110246913580244</v>
      </c>
      <c r="M64">
        <f t="shared" si="1"/>
        <v>23.65064798148148</v>
      </c>
      <c r="N64" s="9"/>
      <c r="O64" s="21">
        <v>0.17196700000000001</v>
      </c>
      <c r="P64" s="21">
        <v>9.2544900000000005</v>
      </c>
      <c r="Q64" s="21">
        <v>-1.52832E-2</v>
      </c>
      <c r="R64" s="21">
        <v>54</v>
      </c>
      <c r="S64" s="21">
        <v>0.17138700000000001</v>
      </c>
      <c r="T64">
        <f t="shared" si="2"/>
        <v>18.868148148148148</v>
      </c>
      <c r="U64">
        <f t="shared" si="3"/>
        <v>3.2446988325925927</v>
      </c>
      <c r="X64" s="9"/>
      <c r="Y64" s="21">
        <v>1.4680500000000001</v>
      </c>
      <c r="Z64" s="21">
        <v>14.6594</v>
      </c>
      <c r="AA64" s="21">
        <v>-1.30676E-2</v>
      </c>
      <c r="AB64" s="21">
        <v>54</v>
      </c>
      <c r="AC64" s="21">
        <v>1.46759</v>
      </c>
      <c r="AD64">
        <f t="shared" si="4"/>
        <v>16.132839506172839</v>
      </c>
      <c r="AE64">
        <f t="shared" si="5"/>
        <v>23.683815037037039</v>
      </c>
      <c r="AF64" s="9"/>
      <c r="AG64" s="21">
        <v>0.17196700000000001</v>
      </c>
      <c r="AH64" s="21">
        <v>18.357700000000001</v>
      </c>
      <c r="AI64" s="21">
        <v>-1.5081799999999999E-2</v>
      </c>
      <c r="AJ64" s="21">
        <v>54</v>
      </c>
      <c r="AK64" s="21">
        <v>0.171265</v>
      </c>
      <c r="AL64">
        <f t="shared" si="6"/>
        <v>18.619506172839504</v>
      </c>
      <c r="AM64">
        <f t="shared" si="7"/>
        <v>3.201940618024691</v>
      </c>
      <c r="AP64" s="9"/>
      <c r="AQ64" s="21">
        <v>1.4680500000000001</v>
      </c>
      <c r="AR64" s="21">
        <v>23.7546</v>
      </c>
      <c r="AS64" s="21">
        <v>-1.3037099999999999E-2</v>
      </c>
      <c r="AT64" s="21">
        <v>54</v>
      </c>
      <c r="AU64" s="21">
        <v>1.46729</v>
      </c>
      <c r="AV64">
        <f t="shared" si="8"/>
        <v>16.095185185185183</v>
      </c>
      <c r="AW64">
        <f t="shared" si="9"/>
        <v>23.628536611111109</v>
      </c>
      <c r="AX64" s="9"/>
      <c r="AY64" s="21">
        <v>0.17196700000000001</v>
      </c>
      <c r="AZ64" s="21">
        <v>27.4529</v>
      </c>
      <c r="BA64" s="21">
        <v>-1.5026899999999999E-2</v>
      </c>
      <c r="BB64" s="21">
        <v>54</v>
      </c>
      <c r="BC64" s="21">
        <v>0.17144799999999999</v>
      </c>
      <c r="BD64">
        <f t="shared" si="10"/>
        <v>18.551728395061726</v>
      </c>
      <c r="BE64">
        <f t="shared" si="11"/>
        <v>3.1902850769135802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5.5662200000000004</v>
      </c>
      <c r="I65" s="21">
        <v>-1.3089E-2</v>
      </c>
      <c r="J65" s="21">
        <v>55</v>
      </c>
      <c r="K65" s="21">
        <v>1.46271</v>
      </c>
      <c r="L65">
        <f t="shared" si="0"/>
        <v>16.159259259259258</v>
      </c>
      <c r="M65">
        <f t="shared" si="1"/>
        <v>23.641157888888888</v>
      </c>
      <c r="N65" s="9"/>
      <c r="O65" s="21">
        <v>0.17700199999999999</v>
      </c>
      <c r="P65" s="21">
        <v>9.2645599999999995</v>
      </c>
      <c r="Q65" s="21">
        <v>-1.5280200000000001E-2</v>
      </c>
      <c r="R65" s="21">
        <v>55</v>
      </c>
      <c r="S65" s="21">
        <v>0.176453</v>
      </c>
      <c r="T65">
        <f t="shared" si="2"/>
        <v>18.864444444444445</v>
      </c>
      <c r="U65">
        <f t="shared" si="3"/>
        <v>3.3390443955555553</v>
      </c>
      <c r="X65" s="9"/>
      <c r="Y65" s="21">
        <v>1.4630099999999999</v>
      </c>
      <c r="Z65" s="21">
        <v>14.6694</v>
      </c>
      <c r="AA65" s="21">
        <v>-1.3110399999999999E-2</v>
      </c>
      <c r="AB65" s="21">
        <v>55</v>
      </c>
      <c r="AC65" s="21">
        <v>1.46271</v>
      </c>
      <c r="AD65">
        <f t="shared" si="4"/>
        <v>16.185679012345677</v>
      </c>
      <c r="AE65">
        <f t="shared" si="5"/>
        <v>23.679810251851848</v>
      </c>
      <c r="AF65" s="9"/>
      <c r="AG65" s="21">
        <v>0.17700199999999999</v>
      </c>
      <c r="AH65" s="21">
        <v>18.367799999999999</v>
      </c>
      <c r="AI65" s="21">
        <v>-1.50787E-2</v>
      </c>
      <c r="AJ65" s="21">
        <v>55</v>
      </c>
      <c r="AK65" s="21">
        <v>0.17633099999999999</v>
      </c>
      <c r="AL65">
        <f t="shared" si="6"/>
        <v>18.61567901234568</v>
      </c>
      <c r="AM65">
        <f t="shared" si="7"/>
        <v>3.29501241654321</v>
      </c>
      <c r="AP65" s="9"/>
      <c r="AQ65" s="21">
        <v>1.4630099999999999</v>
      </c>
      <c r="AR65" s="21">
        <v>23.764700000000001</v>
      </c>
      <c r="AS65" s="21">
        <v>-1.30768E-2</v>
      </c>
      <c r="AT65" s="21">
        <v>55</v>
      </c>
      <c r="AU65" s="21">
        <v>1.46271</v>
      </c>
      <c r="AV65">
        <f t="shared" si="8"/>
        <v>16.144197530864194</v>
      </c>
      <c r="AW65">
        <f t="shared" si="9"/>
        <v>23.619122429629623</v>
      </c>
      <c r="AX65" s="9"/>
      <c r="AY65" s="21">
        <v>0.17700199999999999</v>
      </c>
      <c r="AZ65" s="21">
        <v>27.463000000000001</v>
      </c>
      <c r="BA65" s="21">
        <v>-1.5008499999999999E-2</v>
      </c>
      <c r="BB65" s="21">
        <v>55</v>
      </c>
      <c r="BC65" s="21">
        <v>0.176422</v>
      </c>
      <c r="BD65">
        <f t="shared" si="10"/>
        <v>18.529012345679011</v>
      </c>
      <c r="BE65">
        <f t="shared" si="11"/>
        <v>3.2796722432098759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5.5762999999999998</v>
      </c>
      <c r="I66" s="21">
        <v>-1.31348E-2</v>
      </c>
      <c r="J66" s="21">
        <v>56</v>
      </c>
      <c r="K66" s="21">
        <v>1.4569099999999999</v>
      </c>
      <c r="L66">
        <f t="shared" si="0"/>
        <v>16.215802469135802</v>
      </c>
      <c r="M66">
        <f t="shared" si="1"/>
        <v>23.642315683950617</v>
      </c>
      <c r="N66" s="9"/>
      <c r="O66" s="21">
        <v>0.182037</v>
      </c>
      <c r="P66" s="21">
        <v>9.2746300000000002</v>
      </c>
      <c r="Q66" s="21">
        <v>-1.5271E-2</v>
      </c>
      <c r="R66" s="21">
        <v>56</v>
      </c>
      <c r="S66" s="21">
        <v>0.18145800000000001</v>
      </c>
      <c r="T66">
        <f t="shared" si="2"/>
        <v>18.853086419753083</v>
      </c>
      <c r="U66">
        <f t="shared" si="3"/>
        <v>3.4319592925925919</v>
      </c>
      <c r="X66" s="9"/>
      <c r="Y66" s="21">
        <v>1.4579800000000001</v>
      </c>
      <c r="Z66" s="21">
        <v>14.679500000000001</v>
      </c>
      <c r="AA66" s="21">
        <v>-1.3162200000000001E-2</v>
      </c>
      <c r="AB66" s="21">
        <v>56</v>
      </c>
      <c r="AC66" s="21">
        <v>1.4569099999999999</v>
      </c>
      <c r="AD66">
        <f t="shared" si="4"/>
        <v>16.249629629629627</v>
      </c>
      <c r="AE66">
        <f t="shared" si="5"/>
        <v>23.691635007407406</v>
      </c>
      <c r="AF66" s="9"/>
      <c r="AG66" s="21">
        <v>0.182037</v>
      </c>
      <c r="AH66" s="21">
        <v>18.377800000000001</v>
      </c>
      <c r="AI66" s="21">
        <v>-1.5063500000000001E-2</v>
      </c>
      <c r="AJ66" s="21">
        <v>56</v>
      </c>
      <c r="AK66" s="21">
        <v>0.18145800000000001</v>
      </c>
      <c r="AL66">
        <f t="shared" si="6"/>
        <v>18.596913580246913</v>
      </c>
      <c r="AM66">
        <f t="shared" si="7"/>
        <v>3.3853263574074073</v>
      </c>
      <c r="AP66" s="9"/>
      <c r="AQ66" s="21">
        <v>1.4579800000000001</v>
      </c>
      <c r="AR66" s="21">
        <v>23.774699999999999</v>
      </c>
      <c r="AS66" s="21">
        <v>-1.31165E-2</v>
      </c>
      <c r="AT66" s="21">
        <v>56</v>
      </c>
      <c r="AU66" s="21">
        <v>1.4575199999999999</v>
      </c>
      <c r="AV66">
        <f t="shared" si="8"/>
        <v>16.193209876543211</v>
      </c>
      <c r="AW66">
        <f t="shared" si="9"/>
        <v>23.609376135802471</v>
      </c>
      <c r="AX66" s="9"/>
      <c r="AY66" s="21">
        <v>0.182037</v>
      </c>
      <c r="AZ66" s="21">
        <v>27.473099999999999</v>
      </c>
      <c r="BA66" s="21">
        <v>-1.49902E-2</v>
      </c>
      <c r="BB66" s="21">
        <v>56</v>
      </c>
      <c r="BC66" s="21">
        <v>0.181427</v>
      </c>
      <c r="BD66">
        <f t="shared" si="10"/>
        <v>18.506419753086419</v>
      </c>
      <c r="BE66">
        <f t="shared" si="11"/>
        <v>3.3688531325925926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5.5863699999999996</v>
      </c>
      <c r="I67" s="21">
        <v>-1.31836E-2</v>
      </c>
      <c r="J67" s="21">
        <v>57</v>
      </c>
      <c r="K67" s="21">
        <v>1.4523299999999999</v>
      </c>
      <c r="L67">
        <f t="shared" si="0"/>
        <v>16.276049382716046</v>
      </c>
      <c r="M67">
        <f t="shared" si="1"/>
        <v>23.648123190123449</v>
      </c>
      <c r="N67" s="9"/>
      <c r="O67" s="21">
        <v>0.18707299999999999</v>
      </c>
      <c r="P67" s="21">
        <v>9.2847000000000008</v>
      </c>
      <c r="Q67" s="21">
        <v>-1.5261800000000001E-2</v>
      </c>
      <c r="R67" s="21">
        <v>57</v>
      </c>
      <c r="S67" s="21">
        <v>0.18643199999999999</v>
      </c>
      <c r="T67">
        <f t="shared" si="2"/>
        <v>18.841728395061729</v>
      </c>
      <c r="U67">
        <f t="shared" si="3"/>
        <v>3.5247786560493828</v>
      </c>
      <c r="X67" s="9"/>
      <c r="Y67" s="21">
        <v>1.4529399999999999</v>
      </c>
      <c r="Z67" s="21">
        <v>14.6896</v>
      </c>
      <c r="AA67" s="21">
        <v>-1.3207999999999999E-2</v>
      </c>
      <c r="AB67" s="21">
        <v>57</v>
      </c>
      <c r="AC67" s="21">
        <v>1.4520299999999999</v>
      </c>
      <c r="AD67">
        <f t="shared" si="4"/>
        <v>16.306172839506171</v>
      </c>
      <c r="AE67">
        <f t="shared" si="5"/>
        <v>23.691890765432095</v>
      </c>
      <c r="AF67" s="9"/>
      <c r="AG67" s="21">
        <v>0.18707299999999999</v>
      </c>
      <c r="AH67" s="21">
        <v>18.387899999999998</v>
      </c>
      <c r="AI67" s="21">
        <v>-1.50574E-2</v>
      </c>
      <c r="AJ67" s="21">
        <v>57</v>
      </c>
      <c r="AK67" s="21">
        <v>0.18652299999999999</v>
      </c>
      <c r="AL67">
        <f t="shared" si="6"/>
        <v>18.589382716049382</v>
      </c>
      <c r="AM67">
        <f t="shared" si="7"/>
        <v>3.4775715928395057</v>
      </c>
      <c r="AP67" s="9"/>
      <c r="AQ67" s="21">
        <v>1.4529399999999999</v>
      </c>
      <c r="AR67" s="21">
        <v>23.784800000000001</v>
      </c>
      <c r="AS67" s="21">
        <v>-1.31561E-2</v>
      </c>
      <c r="AT67" s="21">
        <v>57</v>
      </c>
      <c r="AU67" s="21">
        <v>1.4520299999999999</v>
      </c>
      <c r="AV67">
        <f t="shared" si="8"/>
        <v>16.2420987654321</v>
      </c>
      <c r="AW67">
        <f t="shared" si="9"/>
        <v>23.598794980246915</v>
      </c>
      <c r="AX67" s="9"/>
      <c r="AY67" s="21">
        <v>0.18707299999999999</v>
      </c>
      <c r="AZ67" s="21">
        <v>27.4831</v>
      </c>
      <c r="BA67" s="21">
        <v>-1.4975E-2</v>
      </c>
      <c r="BB67" s="21">
        <v>57</v>
      </c>
      <c r="BC67" s="21">
        <v>0.18646199999999999</v>
      </c>
      <c r="BD67">
        <f t="shared" si="10"/>
        <v>18.487654320987652</v>
      </c>
      <c r="BE67">
        <f t="shared" si="11"/>
        <v>3.4585409567901229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5.5964400000000003</v>
      </c>
      <c r="I68" s="21">
        <v>-1.3229400000000001E-2</v>
      </c>
      <c r="J68" s="21">
        <v>58</v>
      </c>
      <c r="K68" s="21">
        <v>1.4474499999999999</v>
      </c>
      <c r="L68">
        <f t="shared" si="0"/>
        <v>16.332592592592594</v>
      </c>
      <c r="M68">
        <f t="shared" si="1"/>
        <v>23.648124140740745</v>
      </c>
      <c r="N68" s="9"/>
      <c r="O68" s="21">
        <v>0.192108</v>
      </c>
      <c r="P68" s="21">
        <v>9.2947699999999998</v>
      </c>
      <c r="Q68" s="21">
        <v>-1.5252699999999999E-2</v>
      </c>
      <c r="R68" s="21">
        <v>58</v>
      </c>
      <c r="S68" s="21">
        <v>0.191437</v>
      </c>
      <c r="T68">
        <f t="shared" si="2"/>
        <v>18.830493827160492</v>
      </c>
      <c r="U68">
        <f t="shared" si="3"/>
        <v>3.6174885081481478</v>
      </c>
      <c r="X68" s="9"/>
      <c r="Y68" s="21">
        <v>1.44791</v>
      </c>
      <c r="Z68" s="21">
        <v>14.6997</v>
      </c>
      <c r="AA68" s="21">
        <v>-1.3241599999999999E-2</v>
      </c>
      <c r="AB68" s="21">
        <v>58</v>
      </c>
      <c r="AC68" s="21">
        <v>1.4468399999999999</v>
      </c>
      <c r="AD68">
        <f t="shared" si="4"/>
        <v>16.347654320987651</v>
      </c>
      <c r="AE68">
        <f t="shared" si="5"/>
        <v>23.66993216790123</v>
      </c>
      <c r="AF68" s="9"/>
      <c r="AG68" s="21">
        <v>0.192108</v>
      </c>
      <c r="AH68" s="21">
        <v>18.398</v>
      </c>
      <c r="AI68" s="21">
        <v>-1.5048199999999999E-2</v>
      </c>
      <c r="AJ68" s="21">
        <v>58</v>
      </c>
      <c r="AK68" s="21">
        <v>0.191437</v>
      </c>
      <c r="AL68">
        <f t="shared" si="6"/>
        <v>18.578024691358021</v>
      </c>
      <c r="AM68">
        <f t="shared" si="7"/>
        <v>3.5689871674074065</v>
      </c>
      <c r="AP68" s="9"/>
      <c r="AQ68" s="21">
        <v>1.44791</v>
      </c>
      <c r="AR68" s="21">
        <v>23.794899999999998</v>
      </c>
      <c r="AS68" s="21">
        <v>-1.31805E-2</v>
      </c>
      <c r="AT68" s="21">
        <v>58</v>
      </c>
      <c r="AU68" s="21">
        <v>1.4471400000000001</v>
      </c>
      <c r="AV68">
        <f t="shared" si="8"/>
        <v>16.272222222222219</v>
      </c>
      <c r="AW68">
        <f t="shared" si="9"/>
        <v>23.560713277777772</v>
      </c>
      <c r="AX68" s="9"/>
      <c r="AY68" s="21">
        <v>0.192108</v>
      </c>
      <c r="AZ68" s="21">
        <v>27.493200000000002</v>
      </c>
      <c r="BA68" s="21">
        <v>-1.49658E-2</v>
      </c>
      <c r="BB68" s="21">
        <v>58</v>
      </c>
      <c r="BC68" s="21">
        <v>0.19162000000000001</v>
      </c>
      <c r="BD68">
        <f t="shared" si="10"/>
        <v>18.476296296296297</v>
      </c>
      <c r="BE68">
        <f t="shared" si="11"/>
        <v>3.5494443288888893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5.6065100000000001</v>
      </c>
      <c r="I69" s="21">
        <v>-1.32599E-2</v>
      </c>
      <c r="J69" s="21">
        <v>59</v>
      </c>
      <c r="K69" s="21">
        <v>1.4422600000000001</v>
      </c>
      <c r="L69">
        <f t="shared" si="0"/>
        <v>16.370246913580246</v>
      </c>
      <c r="M69">
        <f t="shared" si="1"/>
        <v>23.620138164197531</v>
      </c>
      <c r="N69" s="9"/>
      <c r="O69" s="21">
        <v>0.19714400000000001</v>
      </c>
      <c r="P69" s="21">
        <v>9.3048500000000001</v>
      </c>
      <c r="Q69" s="21">
        <v>-1.5240500000000001E-2</v>
      </c>
      <c r="R69" s="21">
        <v>59</v>
      </c>
      <c r="S69" s="21">
        <v>0.19656399999999999</v>
      </c>
      <c r="T69">
        <f t="shared" si="2"/>
        <v>18.815432098765431</v>
      </c>
      <c r="U69">
        <f t="shared" si="3"/>
        <v>3.7093495456790122</v>
      </c>
      <c r="X69" s="9"/>
      <c r="Y69" s="21">
        <v>1.4428700000000001</v>
      </c>
      <c r="Z69" s="21">
        <v>14.7097</v>
      </c>
      <c r="AA69" s="21">
        <v>-1.32782E-2</v>
      </c>
      <c r="AB69" s="21">
        <v>59</v>
      </c>
      <c r="AC69" s="21">
        <v>1.4419599999999999</v>
      </c>
      <c r="AD69">
        <f t="shared" si="4"/>
        <v>16.392839506172837</v>
      </c>
      <c r="AE69">
        <f t="shared" si="5"/>
        <v>23.652736338271602</v>
      </c>
      <c r="AF69" s="9"/>
      <c r="AG69" s="21">
        <v>0.19714400000000001</v>
      </c>
      <c r="AH69" s="21">
        <v>18.408100000000001</v>
      </c>
      <c r="AI69" s="21">
        <v>-1.50452E-2</v>
      </c>
      <c r="AJ69" s="21">
        <v>59</v>
      </c>
      <c r="AK69" s="21">
        <v>0.19659399999999999</v>
      </c>
      <c r="AL69">
        <f t="shared" si="6"/>
        <v>18.574320987654321</v>
      </c>
      <c r="AM69">
        <f t="shared" si="7"/>
        <v>3.661815936790124</v>
      </c>
      <c r="AP69" s="9"/>
      <c r="AQ69" s="21">
        <v>1.4428700000000001</v>
      </c>
      <c r="AR69" s="21">
        <v>23.805</v>
      </c>
      <c r="AS69" s="21">
        <v>-1.32202E-2</v>
      </c>
      <c r="AT69" s="21">
        <v>59</v>
      </c>
      <c r="AU69" s="21">
        <v>1.4422600000000001</v>
      </c>
      <c r="AV69">
        <f t="shared" si="8"/>
        <v>16.321234567901232</v>
      </c>
      <c r="AW69">
        <f t="shared" si="9"/>
        <v>23.549419720987654</v>
      </c>
      <c r="AX69" s="9"/>
      <c r="AY69" s="21">
        <v>0.19714400000000001</v>
      </c>
      <c r="AZ69" s="21">
        <v>27.503299999999999</v>
      </c>
      <c r="BA69" s="21">
        <v>-1.49628E-2</v>
      </c>
      <c r="BB69" s="21">
        <v>59</v>
      </c>
      <c r="BC69" s="21">
        <v>0.19659399999999999</v>
      </c>
      <c r="BD69">
        <f t="shared" si="10"/>
        <v>18.472592592592594</v>
      </c>
      <c r="BE69">
        <f t="shared" si="11"/>
        <v>3.6417607940740746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5.6165799999999999</v>
      </c>
      <c r="I70" s="21">
        <v>-1.3284300000000001E-2</v>
      </c>
      <c r="J70" s="21">
        <v>60</v>
      </c>
      <c r="K70" s="21">
        <v>1.4370700000000001</v>
      </c>
      <c r="L70">
        <f t="shared" si="0"/>
        <v>16.400370370370371</v>
      </c>
      <c r="M70">
        <f t="shared" si="1"/>
        <v>23.581108533333335</v>
      </c>
      <c r="N70" s="9"/>
      <c r="O70" s="21">
        <v>0.202179</v>
      </c>
      <c r="P70" s="21">
        <v>9.3149200000000008</v>
      </c>
      <c r="Q70" s="21">
        <v>-1.52283E-2</v>
      </c>
      <c r="R70" s="21">
        <v>60</v>
      </c>
      <c r="S70" s="21">
        <v>0.20163</v>
      </c>
      <c r="T70">
        <f t="shared" si="2"/>
        <v>18.80037037037037</v>
      </c>
      <c r="U70">
        <f t="shared" si="3"/>
        <v>3.8010400811111111</v>
      </c>
      <c r="X70" s="9"/>
      <c r="Y70" s="21">
        <v>1.43784</v>
      </c>
      <c r="Z70" s="21">
        <v>14.719799999999999</v>
      </c>
      <c r="AA70" s="21">
        <v>-1.3317900000000001E-2</v>
      </c>
      <c r="AB70" s="21">
        <v>60</v>
      </c>
      <c r="AC70" s="21">
        <v>1.4370700000000001</v>
      </c>
      <c r="AD70">
        <f t="shared" si="4"/>
        <v>16.441851851851851</v>
      </c>
      <c r="AE70">
        <f t="shared" si="5"/>
        <v>23.640752266666667</v>
      </c>
      <c r="AF70" s="9"/>
      <c r="AG70" s="21">
        <v>0.202179</v>
      </c>
      <c r="AH70" s="21">
        <v>18.418099999999999</v>
      </c>
      <c r="AI70" s="21">
        <v>-1.50574E-2</v>
      </c>
      <c r="AJ70" s="21">
        <v>60</v>
      </c>
      <c r="AK70" s="21">
        <v>0.20150799999999999</v>
      </c>
      <c r="AL70">
        <f t="shared" si="6"/>
        <v>18.589382716049382</v>
      </c>
      <c r="AM70">
        <f t="shared" si="7"/>
        <v>3.7583828081481481</v>
      </c>
      <c r="AP70" s="9"/>
      <c r="AQ70" s="21">
        <v>1.43784</v>
      </c>
      <c r="AR70" s="21">
        <v>23.815000000000001</v>
      </c>
      <c r="AS70" s="21">
        <v>-1.3250700000000001E-2</v>
      </c>
      <c r="AT70" s="21">
        <v>60</v>
      </c>
      <c r="AU70" s="21">
        <v>1.4376800000000001</v>
      </c>
      <c r="AV70">
        <f t="shared" si="8"/>
        <v>16.358888888888888</v>
      </c>
      <c r="AW70">
        <f t="shared" si="9"/>
        <v>23.5214648</v>
      </c>
      <c r="AX70" s="9"/>
      <c r="AY70" s="21">
        <v>0.202179</v>
      </c>
      <c r="AZ70" s="21">
        <v>27.513400000000001</v>
      </c>
      <c r="BA70" s="21">
        <v>-1.49719E-2</v>
      </c>
      <c r="BB70" s="21">
        <v>60</v>
      </c>
      <c r="BC70" s="21">
        <v>0.20150799999999999</v>
      </c>
      <c r="BD70">
        <f t="shared" si="10"/>
        <v>18.483827160493824</v>
      </c>
      <c r="BE70">
        <f t="shared" si="11"/>
        <v>3.737041691481481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5.6266499999999997</v>
      </c>
      <c r="I71" s="21">
        <v>-1.32996E-2</v>
      </c>
      <c r="J71" s="21">
        <v>61</v>
      </c>
      <c r="K71" s="21">
        <v>1.4321900000000001</v>
      </c>
      <c r="L71">
        <f t="shared" si="0"/>
        <v>16.41925925925926</v>
      </c>
      <c r="M71">
        <f t="shared" si="1"/>
        <v>23.52551466666667</v>
      </c>
      <c r="N71" s="9"/>
      <c r="O71" s="21">
        <v>0.20721400000000001</v>
      </c>
      <c r="P71" s="21">
        <v>9.3249899999999997</v>
      </c>
      <c r="Q71" s="21">
        <v>-1.5213000000000001E-2</v>
      </c>
      <c r="R71" s="21">
        <v>61</v>
      </c>
      <c r="S71" s="21">
        <v>0.20657300000000001</v>
      </c>
      <c r="T71">
        <f t="shared" si="2"/>
        <v>18.781481481481482</v>
      </c>
      <c r="U71">
        <f t="shared" si="3"/>
        <v>3.8917859037037039</v>
      </c>
      <c r="X71" s="9"/>
      <c r="Y71" s="21">
        <v>1.4328000000000001</v>
      </c>
      <c r="Z71" s="21">
        <v>14.729900000000001</v>
      </c>
      <c r="AA71" s="21">
        <v>-1.33545E-2</v>
      </c>
      <c r="AB71" s="21">
        <v>61</v>
      </c>
      <c r="AC71" s="21">
        <v>1.4321900000000001</v>
      </c>
      <c r="AD71">
        <f t="shared" si="4"/>
        <v>16.487037037037037</v>
      </c>
      <c r="AE71">
        <f t="shared" si="5"/>
        <v>23.622626666666669</v>
      </c>
      <c r="AF71" s="9"/>
      <c r="AG71" s="21">
        <v>0.20721400000000001</v>
      </c>
      <c r="AH71" s="21">
        <v>18.4282</v>
      </c>
      <c r="AI71" s="21">
        <v>-1.5063500000000001E-2</v>
      </c>
      <c r="AJ71" s="21">
        <v>61</v>
      </c>
      <c r="AK71" s="21">
        <v>0.20657300000000001</v>
      </c>
      <c r="AL71">
        <f t="shared" si="6"/>
        <v>18.596913580246913</v>
      </c>
      <c r="AM71">
        <f t="shared" si="7"/>
        <v>3.8535408506172839</v>
      </c>
      <c r="AP71" s="9"/>
      <c r="AQ71" s="21">
        <v>1.4328000000000001</v>
      </c>
      <c r="AR71" s="21">
        <v>23.825099999999999</v>
      </c>
      <c r="AS71" s="21">
        <v>-1.32874E-2</v>
      </c>
      <c r="AT71" s="21">
        <v>61</v>
      </c>
      <c r="AU71" s="21">
        <v>1.4325000000000001</v>
      </c>
      <c r="AV71">
        <f t="shared" si="8"/>
        <v>16.404197530864195</v>
      </c>
      <c r="AW71">
        <f t="shared" si="9"/>
        <v>23.50393422222222</v>
      </c>
      <c r="AX71" s="9"/>
      <c r="AY71" s="21">
        <v>0.20721400000000001</v>
      </c>
      <c r="AZ71" s="21">
        <v>27.523399999999999</v>
      </c>
      <c r="BA71" s="21">
        <v>-1.49719E-2</v>
      </c>
      <c r="BB71" s="21">
        <v>61</v>
      </c>
      <c r="BC71" s="21">
        <v>0.20660400000000001</v>
      </c>
      <c r="BD71">
        <f t="shared" si="10"/>
        <v>18.483827160493824</v>
      </c>
      <c r="BE71">
        <f t="shared" si="11"/>
        <v>3.8301077612345673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5.6367200000000004</v>
      </c>
      <c r="I72" s="21">
        <v>-1.3317900000000001E-2</v>
      </c>
      <c r="J72" s="21">
        <v>62</v>
      </c>
      <c r="K72" s="21">
        <v>1.4267000000000001</v>
      </c>
      <c r="L72">
        <f t="shared" si="0"/>
        <v>16.441851851851851</v>
      </c>
      <c r="M72">
        <f t="shared" si="1"/>
        <v>23.475018399999996</v>
      </c>
      <c r="N72" s="9"/>
      <c r="O72" s="21">
        <v>0.21224999999999999</v>
      </c>
      <c r="P72" s="21">
        <v>9.3350600000000004</v>
      </c>
      <c r="Q72" s="21">
        <v>-1.5191700000000001E-2</v>
      </c>
      <c r="R72" s="21">
        <v>62</v>
      </c>
      <c r="S72" s="21">
        <v>0.21167</v>
      </c>
      <c r="T72">
        <f t="shared" si="2"/>
        <v>18.755185185185184</v>
      </c>
      <c r="U72">
        <f t="shared" si="3"/>
        <v>3.9807880555555553</v>
      </c>
      <c r="X72" s="9"/>
      <c r="Y72" s="21">
        <v>1.4277599999999999</v>
      </c>
      <c r="Z72" s="21">
        <v>14.7399</v>
      </c>
      <c r="AA72" s="21">
        <v>-1.33942E-2</v>
      </c>
      <c r="AB72" s="21">
        <v>62</v>
      </c>
      <c r="AC72" s="21">
        <v>1.4267000000000001</v>
      </c>
      <c r="AD72">
        <f t="shared" si="4"/>
        <v>16.536049382716048</v>
      </c>
      <c r="AE72">
        <f t="shared" si="5"/>
        <v>23.609509866666663</v>
      </c>
      <c r="AF72" s="9"/>
      <c r="AG72" s="21">
        <v>0.21224999999999999</v>
      </c>
      <c r="AH72" s="21">
        <v>18.438300000000002</v>
      </c>
      <c r="AI72" s="21">
        <v>-1.5075699999999999E-2</v>
      </c>
      <c r="AJ72" s="21">
        <v>62</v>
      </c>
      <c r="AK72" s="21">
        <v>0.21182300000000001</v>
      </c>
      <c r="AL72">
        <f t="shared" si="6"/>
        <v>18.611975308641973</v>
      </c>
      <c r="AM72">
        <f t="shared" si="7"/>
        <v>3.9503917592592588</v>
      </c>
      <c r="AP72" s="9"/>
      <c r="AQ72" s="21">
        <v>1.4277599999999999</v>
      </c>
      <c r="AR72" s="21">
        <v>23.8352</v>
      </c>
      <c r="AS72" s="21">
        <v>-1.3330099999999999E-2</v>
      </c>
      <c r="AT72" s="21">
        <v>62</v>
      </c>
      <c r="AU72" s="21">
        <v>1.4267000000000001</v>
      </c>
      <c r="AV72">
        <f t="shared" si="8"/>
        <v>16.456913580246912</v>
      </c>
      <c r="AW72">
        <f t="shared" si="9"/>
        <v>23.496522933333331</v>
      </c>
      <c r="AX72" s="9"/>
      <c r="AY72" s="21">
        <v>0.21224999999999999</v>
      </c>
      <c r="AZ72" s="21">
        <v>27.5335</v>
      </c>
      <c r="BA72" s="21">
        <v>-1.49689E-2</v>
      </c>
      <c r="BB72" s="21">
        <v>62</v>
      </c>
      <c r="BC72" s="21">
        <v>0.21160899999999999</v>
      </c>
      <c r="BD72">
        <f t="shared" si="10"/>
        <v>18.480123456790125</v>
      </c>
      <c r="BE72">
        <f t="shared" si="11"/>
        <v>3.9224062037037037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5.6467900000000002</v>
      </c>
      <c r="I73" s="21">
        <v>-1.33545E-2</v>
      </c>
      <c r="J73" s="21">
        <v>63</v>
      </c>
      <c r="K73" s="21">
        <v>1.42181</v>
      </c>
      <c r="L73">
        <f t="shared" si="0"/>
        <v>16.487037037037037</v>
      </c>
      <c r="M73">
        <f t="shared" si="1"/>
        <v>23.456602203703707</v>
      </c>
      <c r="N73" s="9"/>
      <c r="O73" s="21">
        <v>0.21728500000000001</v>
      </c>
      <c r="P73" s="21">
        <v>9.3451299999999993</v>
      </c>
      <c r="Q73" s="21">
        <v>-1.51764E-2</v>
      </c>
      <c r="R73" s="21">
        <v>63</v>
      </c>
      <c r="S73" s="21">
        <v>0.21673600000000001</v>
      </c>
      <c r="T73">
        <f t="shared" si="2"/>
        <v>18.736296296296295</v>
      </c>
      <c r="U73">
        <f t="shared" si="3"/>
        <v>4.0711161407407408</v>
      </c>
      <c r="X73" s="9"/>
      <c r="Y73" s="21">
        <v>1.4227300000000001</v>
      </c>
      <c r="Z73" s="21">
        <v>14.75</v>
      </c>
      <c r="AA73" s="21">
        <v>-1.3427700000000001E-2</v>
      </c>
      <c r="AB73" s="21">
        <v>63</v>
      </c>
      <c r="AC73" s="21">
        <v>1.42181</v>
      </c>
      <c r="AD73">
        <f t="shared" si="4"/>
        <v>16.57740740740741</v>
      </c>
      <c r="AE73">
        <f t="shared" si="5"/>
        <v>23.585174840740745</v>
      </c>
      <c r="AF73" s="9"/>
      <c r="AG73" s="21">
        <v>0.21728500000000001</v>
      </c>
      <c r="AH73" s="21">
        <v>18.4483</v>
      </c>
      <c r="AI73" s="21">
        <v>-1.5063500000000001E-2</v>
      </c>
      <c r="AJ73" s="21">
        <v>63</v>
      </c>
      <c r="AK73" s="21">
        <v>0.21670500000000001</v>
      </c>
      <c r="AL73">
        <f t="shared" si="6"/>
        <v>18.596913580246913</v>
      </c>
      <c r="AM73">
        <f t="shared" si="7"/>
        <v>4.0408303672839505</v>
      </c>
      <c r="AP73" s="9"/>
      <c r="AQ73" s="21">
        <v>1.4227300000000001</v>
      </c>
      <c r="AR73" s="21">
        <v>23.845199999999998</v>
      </c>
      <c r="AS73" s="21">
        <v>-1.3372800000000001E-2</v>
      </c>
      <c r="AT73" s="21">
        <v>63</v>
      </c>
      <c r="AU73" s="21">
        <v>1.42242</v>
      </c>
      <c r="AV73">
        <f t="shared" si="8"/>
        <v>16.509629629629632</v>
      </c>
      <c r="AW73">
        <f t="shared" si="9"/>
        <v>23.488745362962966</v>
      </c>
      <c r="AX73" s="9"/>
      <c r="AY73" s="21">
        <v>0.21728500000000001</v>
      </c>
      <c r="AZ73" s="21">
        <v>27.543600000000001</v>
      </c>
      <c r="BA73" s="21">
        <v>-1.49689E-2</v>
      </c>
      <c r="BB73" s="21">
        <v>63</v>
      </c>
      <c r="BC73" s="21">
        <v>0.216858</v>
      </c>
      <c r="BD73">
        <f t="shared" si="10"/>
        <v>18.480123456790125</v>
      </c>
      <c r="BE73">
        <f t="shared" si="11"/>
        <v>4.0154536253086421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5.65686</v>
      </c>
      <c r="I74" s="21">
        <v>-1.33881E-2</v>
      </c>
      <c r="J74" s="21">
        <v>64</v>
      </c>
      <c r="K74" s="21">
        <v>1.4172400000000001</v>
      </c>
      <c r="L74">
        <f t="shared" si="0"/>
        <v>16.528518518518517</v>
      </c>
      <c r="M74">
        <f t="shared" si="1"/>
        <v>23.432315418518513</v>
      </c>
      <c r="N74" s="9"/>
      <c r="O74" s="21">
        <v>0.22232099999999999</v>
      </c>
      <c r="P74" s="21">
        <v>9.3552</v>
      </c>
      <c r="Q74" s="21">
        <v>-1.51611E-2</v>
      </c>
      <c r="R74" s="21">
        <v>64</v>
      </c>
      <c r="S74" s="21">
        <v>0.22174099999999999</v>
      </c>
      <c r="T74">
        <f t="shared" si="2"/>
        <v>18.717407407407403</v>
      </c>
      <c r="U74">
        <f t="shared" si="3"/>
        <v>4.1612727322222209</v>
      </c>
      <c r="X74" s="9"/>
      <c r="Y74" s="21">
        <v>1.4176899999999999</v>
      </c>
      <c r="Z74" s="21">
        <v>14.7601</v>
      </c>
      <c r="AA74" s="21">
        <v>-1.3458299999999999E-2</v>
      </c>
      <c r="AB74" s="21">
        <v>64</v>
      </c>
      <c r="AC74" s="21">
        <v>1.4172400000000001</v>
      </c>
      <c r="AD74">
        <f t="shared" si="4"/>
        <v>16.615185185185183</v>
      </c>
      <c r="AE74">
        <f t="shared" si="5"/>
        <v>23.555181885185181</v>
      </c>
      <c r="AF74" s="9"/>
      <c r="AG74" s="21">
        <v>0.22232099999999999</v>
      </c>
      <c r="AH74" s="21">
        <v>18.458400000000001</v>
      </c>
      <c r="AI74" s="21">
        <v>-1.5063500000000001E-2</v>
      </c>
      <c r="AJ74" s="21">
        <v>64</v>
      </c>
      <c r="AK74" s="21">
        <v>0.22167999999999999</v>
      </c>
      <c r="AL74">
        <f t="shared" si="6"/>
        <v>18.596913580246913</v>
      </c>
      <c r="AM74">
        <f t="shared" si="7"/>
        <v>4.1344844240740732</v>
      </c>
      <c r="AP74" s="9"/>
      <c r="AQ74" s="21">
        <v>1.4176899999999999</v>
      </c>
      <c r="AR74" s="21">
        <v>23.8553</v>
      </c>
      <c r="AS74" s="21">
        <v>-1.34003E-2</v>
      </c>
      <c r="AT74" s="21">
        <v>64</v>
      </c>
      <c r="AU74" s="21">
        <v>1.4172400000000001</v>
      </c>
      <c r="AV74">
        <f t="shared" si="8"/>
        <v>16.543580246913578</v>
      </c>
      <c r="AW74">
        <f t="shared" si="9"/>
        <v>23.453668280246909</v>
      </c>
      <c r="AX74" s="9"/>
      <c r="AY74" s="21">
        <v>0.22232099999999999</v>
      </c>
      <c r="AZ74" s="21">
        <v>27.553599999999999</v>
      </c>
      <c r="BA74" s="21">
        <v>-1.4978E-2</v>
      </c>
      <c r="BB74" s="21">
        <v>64</v>
      </c>
      <c r="BC74" s="21">
        <v>0.22164900000000001</v>
      </c>
      <c r="BD74">
        <f t="shared" si="10"/>
        <v>18.491358024691355</v>
      </c>
      <c r="BE74">
        <f t="shared" si="11"/>
        <v>4.1110172074074063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5.6669299999999998</v>
      </c>
      <c r="I75" s="21">
        <v>-1.3406400000000001E-2</v>
      </c>
      <c r="J75" s="21">
        <v>65</v>
      </c>
      <c r="K75" s="21">
        <v>1.41205</v>
      </c>
      <c r="L75">
        <f t="shared" si="0"/>
        <v>16.551111111111108</v>
      </c>
      <c r="M75">
        <f t="shared" si="1"/>
        <v>23.381092622222219</v>
      </c>
      <c r="N75" s="9"/>
      <c r="O75" s="21">
        <v>0.227356</v>
      </c>
      <c r="P75" s="21">
        <v>9.3652700000000006</v>
      </c>
      <c r="Q75" s="21">
        <v>-1.5155E-2</v>
      </c>
      <c r="R75" s="21">
        <v>65</v>
      </c>
      <c r="S75" s="21">
        <v>0.226746</v>
      </c>
      <c r="T75">
        <f t="shared" si="2"/>
        <v>18.709876543209877</v>
      </c>
      <c r="U75">
        <f t="shared" si="3"/>
        <v>4.2538026913580245</v>
      </c>
      <c r="X75" s="9"/>
      <c r="Y75" s="21">
        <v>1.41266</v>
      </c>
      <c r="Z75" s="21">
        <v>14.770200000000001</v>
      </c>
      <c r="AA75" s="21">
        <v>-1.34796E-2</v>
      </c>
      <c r="AB75" s="21">
        <v>65</v>
      </c>
      <c r="AC75" s="21">
        <v>1.41205</v>
      </c>
      <c r="AD75">
        <f t="shared" si="4"/>
        <v>16.641481481481478</v>
      </c>
      <c r="AE75">
        <f t="shared" si="5"/>
        <v>23.508755229629624</v>
      </c>
      <c r="AF75" s="9"/>
      <c r="AG75" s="21">
        <v>0.227356</v>
      </c>
      <c r="AH75" s="21">
        <v>18.468499999999999</v>
      </c>
      <c r="AI75" s="21">
        <v>-1.50665E-2</v>
      </c>
      <c r="AJ75" s="21">
        <v>65</v>
      </c>
      <c r="AK75" s="21">
        <v>0.226685</v>
      </c>
      <c r="AL75">
        <f t="shared" si="6"/>
        <v>18.600617283950616</v>
      </c>
      <c r="AM75">
        <f t="shared" si="7"/>
        <v>4.2289619432098764</v>
      </c>
      <c r="AP75" s="9"/>
      <c r="AQ75" s="21">
        <v>1.41266</v>
      </c>
      <c r="AR75" s="21">
        <v>23.865400000000001</v>
      </c>
      <c r="AS75" s="21">
        <v>-1.34308E-2</v>
      </c>
      <c r="AT75" s="21">
        <v>65</v>
      </c>
      <c r="AU75" s="21">
        <v>1.41174</v>
      </c>
      <c r="AV75">
        <f t="shared" si="8"/>
        <v>16.581234567901234</v>
      </c>
      <c r="AW75">
        <f t="shared" si="9"/>
        <v>23.423646824691357</v>
      </c>
      <c r="AX75" s="9"/>
      <c r="AY75" s="21">
        <v>0.227356</v>
      </c>
      <c r="AZ75" s="21">
        <v>27.563700000000001</v>
      </c>
      <c r="BA75" s="21">
        <v>-1.4975E-2</v>
      </c>
      <c r="BB75" s="21">
        <v>65</v>
      </c>
      <c r="BC75" s="21">
        <v>0.22677600000000001</v>
      </c>
      <c r="BD75">
        <f t="shared" si="10"/>
        <v>18.487654320987652</v>
      </c>
      <c r="BE75">
        <f t="shared" si="11"/>
        <v>4.2032791358024681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5.6770100000000001</v>
      </c>
      <c r="I76" s="21">
        <v>-1.3427700000000001E-2</v>
      </c>
      <c r="J76" s="21">
        <v>66</v>
      </c>
      <c r="K76" s="21">
        <v>1.40686</v>
      </c>
      <c r="L76">
        <f t="shared" ref="L76:L139" si="12">-I76/$F$2*1000</f>
        <v>16.57740740740741</v>
      </c>
      <c r="M76">
        <f t="shared" ref="M76:M139" si="13">L76*G76</f>
        <v>23.33469021481482</v>
      </c>
      <c r="N76" s="9"/>
      <c r="O76" s="21">
        <v>0.23239099999999999</v>
      </c>
      <c r="P76" s="21">
        <v>9.3753399999999996</v>
      </c>
      <c r="Q76" s="21">
        <v>-1.51489E-2</v>
      </c>
      <c r="R76" s="21">
        <v>66</v>
      </c>
      <c r="S76" s="21">
        <v>0.23184199999999999</v>
      </c>
      <c r="T76">
        <f t="shared" ref="T76:T139" si="14">-Q76/$F$2*1000</f>
        <v>18.702345679012346</v>
      </c>
      <c r="U76">
        <f t="shared" ref="U76:U139" si="15">T76*O76</f>
        <v>4.3462568146913583</v>
      </c>
      <c r="X76" s="9"/>
      <c r="Y76" s="21">
        <v>1.4076200000000001</v>
      </c>
      <c r="Z76" s="21">
        <v>14.780200000000001</v>
      </c>
      <c r="AA76" s="21">
        <v>-1.3504E-2</v>
      </c>
      <c r="AB76" s="21">
        <v>66</v>
      </c>
      <c r="AC76" s="21">
        <v>1.40656</v>
      </c>
      <c r="AD76">
        <f t="shared" ref="AD76:AD139" si="16">-AA76/$F$2*1000</f>
        <v>16.671604938271606</v>
      </c>
      <c r="AE76">
        <f t="shared" ref="AE76:AE139" si="17">AD76*Y76</f>
        <v>23.467284543209882</v>
      </c>
      <c r="AF76" s="9"/>
      <c r="AG76" s="21">
        <v>0.23239099999999999</v>
      </c>
      <c r="AH76" s="21">
        <v>18.4786</v>
      </c>
      <c r="AI76" s="21">
        <v>-1.50665E-2</v>
      </c>
      <c r="AJ76" s="21">
        <v>66</v>
      </c>
      <c r="AK76" s="21">
        <v>0.23178099999999999</v>
      </c>
      <c r="AL76">
        <f t="shared" ref="AL76:AL139" si="18">-AI76/$F$2*1000</f>
        <v>18.600617283950616</v>
      </c>
      <c r="AM76">
        <f t="shared" ref="AM76:AM139" si="19">AL76*AG76</f>
        <v>4.3226160512345668</v>
      </c>
      <c r="AP76" s="9"/>
      <c r="AQ76" s="21">
        <v>1.4076200000000001</v>
      </c>
      <c r="AR76" s="21">
        <v>23.875399999999999</v>
      </c>
      <c r="AS76" s="21">
        <v>-1.3467399999999999E-2</v>
      </c>
      <c r="AT76" s="21">
        <v>66</v>
      </c>
      <c r="AU76" s="21">
        <v>1.40656</v>
      </c>
      <c r="AV76">
        <f t="shared" ref="AV76:AV139" si="20">-AS76/$F$2*1000</f>
        <v>16.626419753086417</v>
      </c>
      <c r="AW76">
        <f t="shared" ref="AW76:AW139" si="21">AV76*AQ76</f>
        <v>23.403680972839503</v>
      </c>
      <c r="AX76" s="9"/>
      <c r="AY76" s="21">
        <v>0.23239099999999999</v>
      </c>
      <c r="AZ76" s="21">
        <v>27.573799999999999</v>
      </c>
      <c r="BA76" s="21">
        <v>-1.49628E-2</v>
      </c>
      <c r="BB76" s="21">
        <v>66</v>
      </c>
      <c r="BC76" s="21">
        <v>0.231873</v>
      </c>
      <c r="BD76">
        <f t="shared" ref="BD76:BD139" si="22">-BA76/$F$2*1000</f>
        <v>18.472592592592594</v>
      </c>
      <c r="BE76">
        <f t="shared" ref="BE76:BE139" si="23">BD76*AY76</f>
        <v>4.2928642651851856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5.6870799999999999</v>
      </c>
      <c r="I77" s="21">
        <v>-1.3461300000000001E-2</v>
      </c>
      <c r="J77" s="21">
        <v>67</v>
      </c>
      <c r="K77" s="21">
        <v>1.40228</v>
      </c>
      <c r="L77">
        <f t="shared" si="12"/>
        <v>16.618888888888886</v>
      </c>
      <c r="M77">
        <f t="shared" si="13"/>
        <v>23.309487366666662</v>
      </c>
      <c r="N77" s="9"/>
      <c r="O77" s="21">
        <v>0.237427</v>
      </c>
      <c r="P77" s="21">
        <v>9.3854100000000003</v>
      </c>
      <c r="Q77" s="21">
        <v>-1.51459E-2</v>
      </c>
      <c r="R77" s="21">
        <v>67</v>
      </c>
      <c r="S77" s="21">
        <v>0.236786</v>
      </c>
      <c r="T77">
        <f t="shared" si="14"/>
        <v>18.698641975308643</v>
      </c>
      <c r="U77">
        <f t="shared" si="15"/>
        <v>4.4395624682716051</v>
      </c>
      <c r="X77" s="9"/>
      <c r="Y77" s="21">
        <v>1.40259</v>
      </c>
      <c r="Z77" s="21">
        <v>14.7903</v>
      </c>
      <c r="AA77" s="21">
        <v>-1.3528399999999999E-2</v>
      </c>
      <c r="AB77" s="21">
        <v>67</v>
      </c>
      <c r="AC77" s="21">
        <v>1.40228</v>
      </c>
      <c r="AD77">
        <f t="shared" si="16"/>
        <v>16.701728395061725</v>
      </c>
      <c r="AE77">
        <f t="shared" si="17"/>
        <v>23.425677229629624</v>
      </c>
      <c r="AF77" s="9"/>
      <c r="AG77" s="21">
        <v>0.237427</v>
      </c>
      <c r="AH77" s="21">
        <v>18.488600000000002</v>
      </c>
      <c r="AI77" s="21">
        <v>-1.50513E-2</v>
      </c>
      <c r="AJ77" s="21">
        <v>67</v>
      </c>
      <c r="AK77" s="21">
        <v>0.236877</v>
      </c>
      <c r="AL77">
        <f t="shared" si="18"/>
        <v>18.581851851851848</v>
      </c>
      <c r="AM77">
        <f t="shared" si="19"/>
        <v>4.411833339629629</v>
      </c>
      <c r="AP77" s="9"/>
      <c r="AQ77" s="21">
        <v>1.40259</v>
      </c>
      <c r="AR77" s="21">
        <v>23.8855</v>
      </c>
      <c r="AS77" s="21">
        <v>-1.3501000000000001E-2</v>
      </c>
      <c r="AT77" s="21">
        <v>67</v>
      </c>
      <c r="AU77" s="21">
        <v>1.40198</v>
      </c>
      <c r="AV77">
        <f t="shared" si="20"/>
        <v>16.667901234567903</v>
      </c>
      <c r="AW77">
        <f t="shared" si="21"/>
        <v>23.378231592592595</v>
      </c>
      <c r="AX77" s="9"/>
      <c r="AY77" s="21">
        <v>0.237427</v>
      </c>
      <c r="AZ77" s="21">
        <v>27.5839</v>
      </c>
      <c r="BA77" s="21">
        <v>-1.4947500000000001E-2</v>
      </c>
      <c r="BB77" s="21">
        <v>67</v>
      </c>
      <c r="BC77" s="21">
        <v>0.23690800000000001</v>
      </c>
      <c r="BD77">
        <f t="shared" si="22"/>
        <v>18.453703703703706</v>
      </c>
      <c r="BE77">
        <f t="shared" si="23"/>
        <v>4.3814075092592599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5.6971499999999997</v>
      </c>
      <c r="I78" s="21">
        <v>-1.34857E-2</v>
      </c>
      <c r="J78" s="21">
        <v>68</v>
      </c>
      <c r="K78" s="21">
        <v>1.3964799999999999</v>
      </c>
      <c r="L78">
        <f t="shared" si="12"/>
        <v>16.649012345679012</v>
      </c>
      <c r="M78">
        <f t="shared" si="13"/>
        <v>23.267827203703703</v>
      </c>
      <c r="N78" s="9"/>
      <c r="O78" s="21">
        <v>0.24246200000000001</v>
      </c>
      <c r="P78" s="21">
        <v>9.3954799999999992</v>
      </c>
      <c r="Q78" s="21">
        <v>-1.51398E-2</v>
      </c>
      <c r="R78" s="21">
        <v>68</v>
      </c>
      <c r="S78" s="21">
        <v>0.24191299999999999</v>
      </c>
      <c r="T78">
        <f t="shared" si="14"/>
        <v>18.691111111111109</v>
      </c>
      <c r="U78">
        <f t="shared" si="15"/>
        <v>4.531884182222222</v>
      </c>
      <c r="X78" s="9"/>
      <c r="Y78" s="21">
        <v>1.3975500000000001</v>
      </c>
      <c r="Z78" s="21">
        <v>14.8004</v>
      </c>
      <c r="AA78" s="21">
        <v>-1.35406E-2</v>
      </c>
      <c r="AB78" s="21">
        <v>68</v>
      </c>
      <c r="AC78" s="21">
        <v>1.3974</v>
      </c>
      <c r="AD78">
        <f t="shared" si="16"/>
        <v>16.716790123456789</v>
      </c>
      <c r="AE78">
        <f t="shared" si="17"/>
        <v>23.362550037037035</v>
      </c>
      <c r="AF78" s="9"/>
      <c r="AG78" s="21">
        <v>0.24246200000000001</v>
      </c>
      <c r="AH78" s="21">
        <v>18.498699999999999</v>
      </c>
      <c r="AI78" s="21">
        <v>-1.5032999999999999E-2</v>
      </c>
      <c r="AJ78" s="21">
        <v>68</v>
      </c>
      <c r="AK78" s="21">
        <v>0.24185200000000001</v>
      </c>
      <c r="AL78">
        <f t="shared" si="18"/>
        <v>18.559259259259257</v>
      </c>
      <c r="AM78">
        <f t="shared" si="19"/>
        <v>4.4999151185185182</v>
      </c>
      <c r="AP78" s="9"/>
      <c r="AQ78" s="21">
        <v>1.3975500000000001</v>
      </c>
      <c r="AR78" s="21">
        <v>23.895600000000002</v>
      </c>
      <c r="AS78" s="21">
        <v>-1.35193E-2</v>
      </c>
      <c r="AT78" s="21">
        <v>68</v>
      </c>
      <c r="AU78" s="21">
        <v>1.3970899999999999</v>
      </c>
      <c r="AV78">
        <f t="shared" si="20"/>
        <v>16.690493827160495</v>
      </c>
      <c r="AW78">
        <f t="shared" si="21"/>
        <v>23.325799648148152</v>
      </c>
      <c r="AX78" s="9"/>
      <c r="AY78" s="21">
        <v>0.24246200000000001</v>
      </c>
      <c r="AZ78" s="21">
        <v>27.593900000000001</v>
      </c>
      <c r="BA78" s="21">
        <v>-1.4941400000000001E-2</v>
      </c>
      <c r="BB78" s="21">
        <v>68</v>
      </c>
      <c r="BC78" s="21">
        <v>0.24185200000000001</v>
      </c>
      <c r="BD78">
        <f t="shared" si="22"/>
        <v>18.446172839506172</v>
      </c>
      <c r="BE78">
        <f t="shared" si="23"/>
        <v>4.4724959590123454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5.7072200000000004</v>
      </c>
      <c r="I79" s="21">
        <v>-1.3510100000000001E-2</v>
      </c>
      <c r="J79" s="21">
        <v>69</v>
      </c>
      <c r="K79" s="21">
        <v>1.3915999999999999</v>
      </c>
      <c r="L79">
        <f t="shared" si="12"/>
        <v>16.679135802469133</v>
      </c>
      <c r="M79">
        <f t="shared" si="13"/>
        <v>23.226030187654317</v>
      </c>
      <c r="N79" s="9"/>
      <c r="O79" s="21">
        <v>0.247498</v>
      </c>
      <c r="P79" s="21">
        <v>9.4055599999999995</v>
      </c>
      <c r="Q79" s="21">
        <v>-1.5136699999999999E-2</v>
      </c>
      <c r="R79" s="21">
        <v>69</v>
      </c>
      <c r="S79" s="21">
        <v>0.246918</v>
      </c>
      <c r="T79">
        <f t="shared" si="14"/>
        <v>18.687283950617282</v>
      </c>
      <c r="U79">
        <f t="shared" si="15"/>
        <v>4.6250654032098755</v>
      </c>
      <c r="X79" s="9"/>
      <c r="Y79" s="21">
        <v>1.39252</v>
      </c>
      <c r="Z79" s="21">
        <v>14.8104</v>
      </c>
      <c r="AA79" s="21">
        <v>-1.3549800000000001E-2</v>
      </c>
      <c r="AB79" s="21">
        <v>69</v>
      </c>
      <c r="AC79" s="21">
        <v>1.3922099999999999</v>
      </c>
      <c r="AD79">
        <f t="shared" si="16"/>
        <v>16.728148148148147</v>
      </c>
      <c r="AE79">
        <f t="shared" si="17"/>
        <v>23.294280859259256</v>
      </c>
      <c r="AF79" s="9"/>
      <c r="AG79" s="21">
        <v>0.247498</v>
      </c>
      <c r="AH79" s="21">
        <v>18.508800000000001</v>
      </c>
      <c r="AI79" s="21">
        <v>-1.5029900000000001E-2</v>
      </c>
      <c r="AJ79" s="21">
        <v>69</v>
      </c>
      <c r="AK79" s="21">
        <v>0.246979</v>
      </c>
      <c r="AL79">
        <f t="shared" si="18"/>
        <v>18.555432098765429</v>
      </c>
      <c r="AM79">
        <f t="shared" si="19"/>
        <v>4.5924323335802457</v>
      </c>
      <c r="AP79" s="9"/>
      <c r="AQ79" s="21">
        <v>1.39252</v>
      </c>
      <c r="AR79" s="21">
        <v>23.9057</v>
      </c>
      <c r="AS79" s="21">
        <v>-1.35406E-2</v>
      </c>
      <c r="AT79" s="21">
        <v>69</v>
      </c>
      <c r="AU79" s="21">
        <v>1.3922099999999999</v>
      </c>
      <c r="AV79">
        <f t="shared" si="20"/>
        <v>16.716790123456789</v>
      </c>
      <c r="AW79">
        <f t="shared" si="21"/>
        <v>23.278464582716047</v>
      </c>
      <c r="AX79" s="9"/>
      <c r="AY79" s="21">
        <v>0.247498</v>
      </c>
      <c r="AZ79" s="21">
        <v>27.603999999999999</v>
      </c>
      <c r="BA79" s="21">
        <v>-1.4947500000000001E-2</v>
      </c>
      <c r="BB79" s="21">
        <v>69</v>
      </c>
      <c r="BC79" s="21">
        <v>0.246979</v>
      </c>
      <c r="BD79">
        <f t="shared" si="22"/>
        <v>18.453703703703706</v>
      </c>
      <c r="BE79">
        <f t="shared" si="23"/>
        <v>4.5672547592592601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5.7172900000000002</v>
      </c>
      <c r="I80" s="21">
        <v>-1.35254E-2</v>
      </c>
      <c r="J80" s="21">
        <v>70</v>
      </c>
      <c r="K80" s="21">
        <v>1.3870199999999999</v>
      </c>
      <c r="L80">
        <f t="shared" si="12"/>
        <v>16.698024691358025</v>
      </c>
      <c r="M80">
        <f t="shared" si="13"/>
        <v>23.168175298765433</v>
      </c>
      <c r="N80" s="9"/>
      <c r="O80" s="21">
        <v>0.25253300000000001</v>
      </c>
      <c r="P80" s="21">
        <v>9.4156300000000002</v>
      </c>
      <c r="Q80" s="21">
        <v>-1.51337E-2</v>
      </c>
      <c r="R80" s="21">
        <v>70</v>
      </c>
      <c r="S80" s="21">
        <v>0.25192300000000001</v>
      </c>
      <c r="T80">
        <f t="shared" si="14"/>
        <v>18.683580246913579</v>
      </c>
      <c r="U80">
        <f t="shared" si="15"/>
        <v>4.7182205704938269</v>
      </c>
      <c r="X80" s="9"/>
      <c r="Y80" s="21">
        <v>1.38748</v>
      </c>
      <c r="Z80" s="21">
        <v>14.820499999999999</v>
      </c>
      <c r="AA80" s="21">
        <v>-1.35651E-2</v>
      </c>
      <c r="AB80" s="21">
        <v>70</v>
      </c>
      <c r="AC80" s="21">
        <v>1.38611</v>
      </c>
      <c r="AD80">
        <f t="shared" si="16"/>
        <v>16.747037037037035</v>
      </c>
      <c r="AE80">
        <f t="shared" si="17"/>
        <v>23.236178948148147</v>
      </c>
      <c r="AF80" s="9"/>
      <c r="AG80" s="21">
        <v>0.25253300000000001</v>
      </c>
      <c r="AH80" s="21">
        <v>18.518799999999999</v>
      </c>
      <c r="AI80" s="21">
        <v>-1.5026899999999999E-2</v>
      </c>
      <c r="AJ80" s="21">
        <v>70</v>
      </c>
      <c r="AK80" s="21">
        <v>0.25186199999999997</v>
      </c>
      <c r="AL80">
        <f t="shared" si="18"/>
        <v>18.551728395061726</v>
      </c>
      <c r="AM80">
        <f t="shared" si="19"/>
        <v>4.6849236267901233</v>
      </c>
      <c r="AP80" s="9"/>
      <c r="AQ80" s="21">
        <v>1.38748</v>
      </c>
      <c r="AR80" s="21">
        <v>23.915700000000001</v>
      </c>
      <c r="AS80" s="21">
        <v>-1.35681E-2</v>
      </c>
      <c r="AT80" s="21">
        <v>70</v>
      </c>
      <c r="AU80" s="21">
        <v>1.3864099999999999</v>
      </c>
      <c r="AV80">
        <f t="shared" si="20"/>
        <v>16.750740740740738</v>
      </c>
      <c r="AW80">
        <f t="shared" si="21"/>
        <v>23.241317762962961</v>
      </c>
      <c r="AX80" s="9"/>
      <c r="AY80" s="21">
        <v>0.25253300000000001</v>
      </c>
      <c r="AZ80" s="21">
        <v>27.614100000000001</v>
      </c>
      <c r="BA80" s="21">
        <v>-1.4941400000000001E-2</v>
      </c>
      <c r="BB80" s="21">
        <v>70</v>
      </c>
      <c r="BC80" s="21">
        <v>0.25186199999999997</v>
      </c>
      <c r="BD80">
        <f t="shared" si="22"/>
        <v>18.446172839506172</v>
      </c>
      <c r="BE80">
        <f t="shared" si="23"/>
        <v>4.6582673656790119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5.72736</v>
      </c>
      <c r="I81" s="21">
        <v>-1.3549800000000001E-2</v>
      </c>
      <c r="J81" s="21">
        <v>71</v>
      </c>
      <c r="K81" s="21">
        <v>1.38123</v>
      </c>
      <c r="L81">
        <f t="shared" si="12"/>
        <v>16.728148148148147</v>
      </c>
      <c r="M81">
        <f t="shared" si="13"/>
        <v>23.125828407407404</v>
      </c>
      <c r="N81" s="9"/>
      <c r="O81" s="21">
        <v>0.25756800000000002</v>
      </c>
      <c r="P81" s="21">
        <v>9.4257000000000009</v>
      </c>
      <c r="Q81" s="21">
        <v>-1.5124500000000001E-2</v>
      </c>
      <c r="R81" s="21">
        <v>71</v>
      </c>
      <c r="S81" s="21">
        <v>0.25689699999999999</v>
      </c>
      <c r="T81">
        <f t="shared" si="14"/>
        <v>18.672222222222221</v>
      </c>
      <c r="U81">
        <f t="shared" si="15"/>
        <v>4.8093669333333331</v>
      </c>
      <c r="X81" s="9"/>
      <c r="Y81" s="21">
        <v>1.38245</v>
      </c>
      <c r="Z81" s="21">
        <v>14.8306</v>
      </c>
      <c r="AA81" s="21">
        <v>-1.35925E-2</v>
      </c>
      <c r="AB81" s="21">
        <v>71</v>
      </c>
      <c r="AC81" s="21">
        <v>1.38123</v>
      </c>
      <c r="AD81">
        <f t="shared" si="16"/>
        <v>16.780864197530864</v>
      </c>
      <c r="AE81">
        <f t="shared" si="17"/>
        <v>23.198705709876542</v>
      </c>
      <c r="AF81" s="9"/>
      <c r="AG81" s="21">
        <v>0.25756800000000002</v>
      </c>
      <c r="AH81" s="21">
        <v>18.5289</v>
      </c>
      <c r="AI81" s="21">
        <v>-1.5020800000000001E-2</v>
      </c>
      <c r="AJ81" s="21">
        <v>71</v>
      </c>
      <c r="AK81" s="21">
        <v>0.25692700000000002</v>
      </c>
      <c r="AL81">
        <f t="shared" si="18"/>
        <v>18.544197530864199</v>
      </c>
      <c r="AM81">
        <f t="shared" si="19"/>
        <v>4.7763918696296308</v>
      </c>
      <c r="AP81" s="9"/>
      <c r="AQ81" s="21">
        <v>1.38245</v>
      </c>
      <c r="AR81" s="21">
        <v>23.925799999999999</v>
      </c>
      <c r="AS81" s="21">
        <v>-1.35925E-2</v>
      </c>
      <c r="AT81" s="21">
        <v>71</v>
      </c>
      <c r="AU81" s="21">
        <v>1.38245</v>
      </c>
      <c r="AV81">
        <f t="shared" si="20"/>
        <v>16.780864197530864</v>
      </c>
      <c r="AW81">
        <f t="shared" si="21"/>
        <v>23.198705709876542</v>
      </c>
      <c r="AX81" s="9"/>
      <c r="AY81" s="21">
        <v>0.25756800000000002</v>
      </c>
      <c r="AZ81" s="21">
        <v>27.624099999999999</v>
      </c>
      <c r="BA81" s="21">
        <v>-1.4938399999999999E-2</v>
      </c>
      <c r="BB81" s="21">
        <v>71</v>
      </c>
      <c r="BC81" s="21">
        <v>0.25689699999999999</v>
      </c>
      <c r="BD81">
        <f t="shared" si="22"/>
        <v>18.442469135802465</v>
      </c>
      <c r="BE81">
        <f t="shared" si="23"/>
        <v>4.7501898903703701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5.7374299999999998</v>
      </c>
      <c r="I82" s="21">
        <v>-1.35681E-2</v>
      </c>
      <c r="J82" s="21">
        <v>72</v>
      </c>
      <c r="K82" s="21">
        <v>1.3766499999999999</v>
      </c>
      <c r="L82">
        <f t="shared" si="12"/>
        <v>16.750740740740738</v>
      </c>
      <c r="M82">
        <f t="shared" si="13"/>
        <v>23.072637803703699</v>
      </c>
      <c r="N82" s="9"/>
      <c r="O82" s="21">
        <v>0.262604</v>
      </c>
      <c r="P82" s="21">
        <v>9.4357699999999998</v>
      </c>
      <c r="Q82" s="21">
        <v>-1.5118400000000001E-2</v>
      </c>
      <c r="R82" s="21">
        <v>72</v>
      </c>
      <c r="S82" s="21">
        <v>0.261963</v>
      </c>
      <c r="T82">
        <f t="shared" si="14"/>
        <v>18.66469135802469</v>
      </c>
      <c r="U82">
        <f t="shared" si="15"/>
        <v>4.901422609382716</v>
      </c>
      <c r="X82" s="9"/>
      <c r="Y82" s="21">
        <v>1.37741</v>
      </c>
      <c r="Z82" s="21">
        <v>14.8406</v>
      </c>
      <c r="AA82" s="21">
        <v>-1.3610799999999999E-2</v>
      </c>
      <c r="AB82" s="21">
        <v>72</v>
      </c>
      <c r="AC82" s="21">
        <v>1.3760399999999999</v>
      </c>
      <c r="AD82">
        <f t="shared" si="16"/>
        <v>16.803456790123455</v>
      </c>
      <c r="AE82">
        <f t="shared" si="17"/>
        <v>23.145249417283949</v>
      </c>
      <c r="AF82" s="9"/>
      <c r="AG82" s="21">
        <v>0.262604</v>
      </c>
      <c r="AH82" s="21">
        <v>18.539000000000001</v>
      </c>
      <c r="AI82" s="21">
        <v>-1.5014599999999999E-2</v>
      </c>
      <c r="AJ82" s="21">
        <v>72</v>
      </c>
      <c r="AK82" s="21">
        <v>0.26190200000000002</v>
      </c>
      <c r="AL82">
        <f t="shared" si="18"/>
        <v>18.536543209876541</v>
      </c>
      <c r="AM82">
        <f t="shared" si="19"/>
        <v>4.8677703930864196</v>
      </c>
      <c r="AP82" s="9"/>
      <c r="AQ82" s="21">
        <v>1.37741</v>
      </c>
      <c r="AR82" s="21">
        <v>23.9359</v>
      </c>
      <c r="AS82" s="21">
        <v>-1.36078E-2</v>
      </c>
      <c r="AT82" s="21">
        <v>72</v>
      </c>
      <c r="AU82" s="21">
        <v>1.3769499999999999</v>
      </c>
      <c r="AV82">
        <f t="shared" si="20"/>
        <v>16.799753086419752</v>
      </c>
      <c r="AW82">
        <f t="shared" si="21"/>
        <v>23.140147898765431</v>
      </c>
      <c r="AX82" s="9"/>
      <c r="AY82" s="21">
        <v>0.262604</v>
      </c>
      <c r="AZ82" s="21">
        <v>27.6342</v>
      </c>
      <c r="BA82" s="21">
        <v>-1.49353E-2</v>
      </c>
      <c r="BB82" s="21">
        <v>72</v>
      </c>
      <c r="BC82" s="21">
        <v>0.261932</v>
      </c>
      <c r="BD82">
        <f t="shared" si="22"/>
        <v>18.438641975308641</v>
      </c>
      <c r="BE82">
        <f t="shared" si="23"/>
        <v>4.8420611372839506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5.7474999999999996</v>
      </c>
      <c r="I83" s="21">
        <v>-1.35925E-2</v>
      </c>
      <c r="J83" s="21">
        <v>73</v>
      </c>
      <c r="K83" s="21">
        <v>1.3711500000000001</v>
      </c>
      <c r="L83">
        <f t="shared" si="12"/>
        <v>16.780864197530864</v>
      </c>
      <c r="M83">
        <f t="shared" si="13"/>
        <v>23.029722407407405</v>
      </c>
      <c r="N83" s="9"/>
      <c r="O83" s="21">
        <v>0.26763900000000002</v>
      </c>
      <c r="P83" s="21">
        <v>9.4458400000000005</v>
      </c>
      <c r="Q83" s="21">
        <v>-1.51062E-2</v>
      </c>
      <c r="R83" s="21">
        <v>73</v>
      </c>
      <c r="S83" s="21">
        <v>0.26699800000000001</v>
      </c>
      <c r="T83">
        <f t="shared" si="14"/>
        <v>18.649629629629626</v>
      </c>
      <c r="U83">
        <f t="shared" si="15"/>
        <v>4.9913682244444439</v>
      </c>
      <c r="X83" s="9"/>
      <c r="Y83" s="21">
        <v>1.3723799999999999</v>
      </c>
      <c r="Z83" s="21">
        <v>14.8507</v>
      </c>
      <c r="AA83" s="21">
        <v>-1.36261E-2</v>
      </c>
      <c r="AB83" s="21">
        <v>73</v>
      </c>
      <c r="AC83" s="21">
        <v>1.3711500000000001</v>
      </c>
      <c r="AD83">
        <f t="shared" si="16"/>
        <v>16.822345679012344</v>
      </c>
      <c r="AE83">
        <f t="shared" si="17"/>
        <v>23.086650762962957</v>
      </c>
      <c r="AF83" s="9"/>
      <c r="AG83" s="21">
        <v>0.26763900000000002</v>
      </c>
      <c r="AH83" s="21">
        <v>18.549099999999999</v>
      </c>
      <c r="AI83" s="21">
        <v>-1.5008499999999999E-2</v>
      </c>
      <c r="AJ83" s="21">
        <v>73</v>
      </c>
      <c r="AK83" s="21">
        <v>0.26705899999999999</v>
      </c>
      <c r="AL83">
        <f t="shared" si="18"/>
        <v>18.529012345679011</v>
      </c>
      <c r="AM83">
        <f t="shared" si="19"/>
        <v>4.9590863351851846</v>
      </c>
      <c r="AP83" s="9"/>
      <c r="AQ83" s="21">
        <v>1.3723799999999999</v>
      </c>
      <c r="AR83" s="21">
        <v>23.945900000000002</v>
      </c>
      <c r="AS83" s="21">
        <v>-1.3629199999999999E-2</v>
      </c>
      <c r="AT83" s="21">
        <v>73</v>
      </c>
      <c r="AU83" s="21">
        <v>1.3720699999999999</v>
      </c>
      <c r="AV83">
        <f t="shared" si="20"/>
        <v>16.826172839506171</v>
      </c>
      <c r="AW83">
        <f t="shared" si="21"/>
        <v>23.091903081481476</v>
      </c>
      <c r="AX83" s="9"/>
      <c r="AY83" s="21">
        <v>0.26763900000000002</v>
      </c>
      <c r="AZ83" s="21">
        <v>27.644300000000001</v>
      </c>
      <c r="BA83" s="21">
        <v>-1.4938399999999999E-2</v>
      </c>
      <c r="BB83" s="21">
        <v>73</v>
      </c>
      <c r="BC83" s="21">
        <v>0.26708999999999999</v>
      </c>
      <c r="BD83">
        <f t="shared" si="22"/>
        <v>18.442469135802465</v>
      </c>
      <c r="BE83">
        <f t="shared" si="23"/>
        <v>4.9359239970370359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5.7575700000000003</v>
      </c>
      <c r="I84" s="21">
        <v>-1.362E-2</v>
      </c>
      <c r="J84" s="21">
        <v>74</v>
      </c>
      <c r="K84" s="21">
        <v>1.3662700000000001</v>
      </c>
      <c r="L84">
        <f t="shared" si="12"/>
        <v>16.814814814814813</v>
      </c>
      <c r="M84">
        <f t="shared" si="13"/>
        <v>22.991568888888885</v>
      </c>
      <c r="N84" s="9"/>
      <c r="O84" s="21">
        <v>0.272675</v>
      </c>
      <c r="P84" s="21">
        <v>9.4559099999999994</v>
      </c>
      <c r="Q84" s="21">
        <v>-1.51031E-2</v>
      </c>
      <c r="R84" s="21">
        <v>74</v>
      </c>
      <c r="S84" s="21">
        <v>0.272034</v>
      </c>
      <c r="T84">
        <f t="shared" si="14"/>
        <v>18.645802469135798</v>
      </c>
      <c r="U84">
        <f t="shared" si="15"/>
        <v>5.0842441882716036</v>
      </c>
      <c r="X84" s="9"/>
      <c r="Y84" s="21">
        <v>1.36734</v>
      </c>
      <c r="Z84" s="21">
        <v>14.860799999999999</v>
      </c>
      <c r="AA84" s="21">
        <v>-1.36414E-2</v>
      </c>
      <c r="AB84" s="21">
        <v>74</v>
      </c>
      <c r="AC84" s="21">
        <v>1.3668800000000001</v>
      </c>
      <c r="AD84">
        <f t="shared" si="16"/>
        <v>16.841234567901232</v>
      </c>
      <c r="AE84">
        <f t="shared" si="17"/>
        <v>23.027693674074069</v>
      </c>
      <c r="AF84" s="9"/>
      <c r="AG84" s="21">
        <v>0.272675</v>
      </c>
      <c r="AH84" s="21">
        <v>18.559100000000001</v>
      </c>
      <c r="AI84" s="21">
        <v>-1.5002400000000001E-2</v>
      </c>
      <c r="AJ84" s="21">
        <v>74</v>
      </c>
      <c r="AK84" s="21">
        <v>0.27212500000000001</v>
      </c>
      <c r="AL84">
        <f t="shared" si="18"/>
        <v>18.521481481481484</v>
      </c>
      <c r="AM84">
        <f t="shared" si="19"/>
        <v>5.0503449629629635</v>
      </c>
      <c r="AP84" s="9"/>
      <c r="AQ84" s="21">
        <v>1.36734</v>
      </c>
      <c r="AR84" s="21">
        <v>23.956</v>
      </c>
      <c r="AS84" s="21">
        <v>-1.36566E-2</v>
      </c>
      <c r="AT84" s="21">
        <v>74</v>
      </c>
      <c r="AU84" s="21">
        <v>1.3665799999999999</v>
      </c>
      <c r="AV84">
        <f t="shared" si="20"/>
        <v>16.86</v>
      </c>
      <c r="AW84">
        <f t="shared" si="21"/>
        <v>23.053352399999998</v>
      </c>
      <c r="AX84" s="9"/>
      <c r="AY84" s="21">
        <v>0.272675</v>
      </c>
      <c r="AZ84" s="21">
        <v>27.654399999999999</v>
      </c>
      <c r="BA84" s="21">
        <v>-1.4938399999999999E-2</v>
      </c>
      <c r="BB84" s="21">
        <v>74</v>
      </c>
      <c r="BC84" s="21">
        <v>0.27197300000000002</v>
      </c>
      <c r="BD84">
        <f t="shared" si="22"/>
        <v>18.442469135802465</v>
      </c>
      <c r="BE84">
        <f t="shared" si="23"/>
        <v>5.0288002716049371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5.7676400000000001</v>
      </c>
      <c r="I85" s="21">
        <v>-1.36475E-2</v>
      </c>
      <c r="J85" s="21">
        <v>75</v>
      </c>
      <c r="K85" s="21">
        <v>1.3620000000000001</v>
      </c>
      <c r="L85">
        <f t="shared" si="12"/>
        <v>16.848765432098766</v>
      </c>
      <c r="M85">
        <f t="shared" si="13"/>
        <v>22.95307314814815</v>
      </c>
      <c r="N85" s="9"/>
      <c r="O85" s="21">
        <v>0.27771000000000001</v>
      </c>
      <c r="P85" s="21">
        <v>9.4659800000000001</v>
      </c>
      <c r="Q85" s="21">
        <v>-1.51001E-2</v>
      </c>
      <c r="R85" s="21">
        <v>75</v>
      </c>
      <c r="S85" s="21">
        <v>0.27710000000000001</v>
      </c>
      <c r="T85">
        <f t="shared" si="14"/>
        <v>18.642098765432099</v>
      </c>
      <c r="U85">
        <f t="shared" si="15"/>
        <v>5.1770972481481481</v>
      </c>
      <c r="X85" s="9"/>
      <c r="Y85" s="21">
        <v>1.3623000000000001</v>
      </c>
      <c r="Z85" s="21">
        <v>14.870900000000001</v>
      </c>
      <c r="AA85" s="21">
        <v>-1.36597E-2</v>
      </c>
      <c r="AB85" s="21">
        <v>75</v>
      </c>
      <c r="AC85" s="21">
        <v>1.3613900000000001</v>
      </c>
      <c r="AD85">
        <f t="shared" si="16"/>
        <v>16.863827160493827</v>
      </c>
      <c r="AE85">
        <f t="shared" si="17"/>
        <v>22.973591740740741</v>
      </c>
      <c r="AF85" s="9"/>
      <c r="AG85" s="21">
        <v>0.27771000000000001</v>
      </c>
      <c r="AH85" s="21">
        <v>18.569199999999999</v>
      </c>
      <c r="AI85" s="21">
        <v>-1.49994E-2</v>
      </c>
      <c r="AJ85" s="21">
        <v>75</v>
      </c>
      <c r="AK85" s="21">
        <v>0.27710000000000001</v>
      </c>
      <c r="AL85">
        <f t="shared" si="18"/>
        <v>18.517777777777777</v>
      </c>
      <c r="AM85">
        <f t="shared" si="19"/>
        <v>5.1425720666666663</v>
      </c>
      <c r="AP85" s="9"/>
      <c r="AQ85" s="21">
        <v>1.3623000000000001</v>
      </c>
      <c r="AR85" s="21">
        <v>23.966100000000001</v>
      </c>
      <c r="AS85" s="21">
        <v>-1.36963E-2</v>
      </c>
      <c r="AT85" s="21">
        <v>75</v>
      </c>
      <c r="AU85" s="21">
        <v>1.3613900000000001</v>
      </c>
      <c r="AV85">
        <f t="shared" si="20"/>
        <v>16.90901234567901</v>
      </c>
      <c r="AW85">
        <f t="shared" si="21"/>
        <v>23.035147518518517</v>
      </c>
      <c r="AX85" s="9"/>
      <c r="AY85" s="21">
        <v>0.27771000000000001</v>
      </c>
      <c r="AZ85" s="21">
        <v>27.664400000000001</v>
      </c>
      <c r="BA85" s="21">
        <v>-1.4926099999999999E-2</v>
      </c>
      <c r="BB85" s="21">
        <v>75</v>
      </c>
      <c r="BC85" s="21">
        <v>0.27712999999999999</v>
      </c>
      <c r="BD85">
        <f t="shared" si="22"/>
        <v>18.427283950617284</v>
      </c>
      <c r="BE85">
        <f t="shared" si="23"/>
        <v>5.1174410259259258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5.7777200000000004</v>
      </c>
      <c r="I86" s="21">
        <v>-1.3665800000000001E-2</v>
      </c>
      <c r="J86" s="21">
        <v>76</v>
      </c>
      <c r="K86" s="21">
        <v>1.3562000000000001</v>
      </c>
      <c r="L86">
        <f t="shared" si="12"/>
        <v>16.871358024691357</v>
      </c>
      <c r="M86">
        <f t="shared" si="13"/>
        <v>22.898988106172837</v>
      </c>
      <c r="N86" s="9"/>
      <c r="O86" s="21">
        <v>0.28274500000000002</v>
      </c>
      <c r="P86" s="21">
        <v>9.4760500000000008</v>
      </c>
      <c r="Q86" s="21">
        <v>-1.5096999999999999E-2</v>
      </c>
      <c r="R86" s="21">
        <v>76</v>
      </c>
      <c r="S86" s="21">
        <v>0.28213500000000002</v>
      </c>
      <c r="T86">
        <f t="shared" si="14"/>
        <v>18.638271604938272</v>
      </c>
      <c r="U86">
        <f t="shared" si="15"/>
        <v>5.2698781049382717</v>
      </c>
      <c r="X86" s="9"/>
      <c r="Y86" s="21">
        <v>1.35727</v>
      </c>
      <c r="Z86" s="21">
        <v>14.8809</v>
      </c>
      <c r="AA86" s="21">
        <v>-1.3693200000000001E-2</v>
      </c>
      <c r="AB86" s="21">
        <v>76</v>
      </c>
      <c r="AC86" s="21">
        <v>1.3562000000000001</v>
      </c>
      <c r="AD86">
        <f t="shared" si="16"/>
        <v>16.905185185185186</v>
      </c>
      <c r="AE86">
        <f t="shared" si="17"/>
        <v>22.944900696296298</v>
      </c>
      <c r="AF86" s="9"/>
      <c r="AG86" s="21">
        <v>0.28274500000000002</v>
      </c>
      <c r="AH86" s="21">
        <v>18.5793</v>
      </c>
      <c r="AI86" s="21">
        <v>-1.5002400000000001E-2</v>
      </c>
      <c r="AJ86" s="21">
        <v>76</v>
      </c>
      <c r="AK86" s="21">
        <v>0.28201300000000001</v>
      </c>
      <c r="AL86">
        <f t="shared" si="18"/>
        <v>18.521481481481484</v>
      </c>
      <c r="AM86">
        <f t="shared" si="19"/>
        <v>5.236856281481483</v>
      </c>
      <c r="AP86" s="9"/>
      <c r="AQ86" s="21">
        <v>1.35727</v>
      </c>
      <c r="AR86" s="21">
        <v>23.976199999999999</v>
      </c>
      <c r="AS86" s="21">
        <v>-1.37238E-2</v>
      </c>
      <c r="AT86" s="21">
        <v>76</v>
      </c>
      <c r="AU86" s="21">
        <v>1.3565100000000001</v>
      </c>
      <c r="AV86">
        <f t="shared" si="20"/>
        <v>16.942962962962962</v>
      </c>
      <c r="AW86">
        <f t="shared" si="21"/>
        <v>22.996175340740738</v>
      </c>
      <c r="AX86" s="9"/>
      <c r="AY86" s="21">
        <v>0.28274500000000002</v>
      </c>
      <c r="AZ86" s="21">
        <v>27.674499999999998</v>
      </c>
      <c r="BA86" s="21">
        <v>-1.4919999999999999E-2</v>
      </c>
      <c r="BB86" s="21">
        <v>76</v>
      </c>
      <c r="BC86" s="21">
        <v>0.28207399999999999</v>
      </c>
      <c r="BD86">
        <f t="shared" si="22"/>
        <v>18.41975308641975</v>
      </c>
      <c r="BE86">
        <f t="shared" si="23"/>
        <v>5.208093086419753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5.7877900000000002</v>
      </c>
      <c r="I87" s="21">
        <v>-1.3687100000000001E-2</v>
      </c>
      <c r="J87" s="21">
        <v>77</v>
      </c>
      <c r="K87" s="21">
        <v>1.3513200000000001</v>
      </c>
      <c r="L87">
        <f t="shared" si="12"/>
        <v>16.897654320987655</v>
      </c>
      <c r="M87">
        <f t="shared" si="13"/>
        <v>22.849515102469137</v>
      </c>
      <c r="N87" s="9"/>
      <c r="O87" s="21">
        <v>0.28778100000000001</v>
      </c>
      <c r="P87" s="21">
        <v>9.4861199999999997</v>
      </c>
      <c r="Q87" s="21">
        <v>-1.5084800000000001E-2</v>
      </c>
      <c r="R87" s="21">
        <v>77</v>
      </c>
      <c r="S87" s="21">
        <v>0.28720099999999998</v>
      </c>
      <c r="T87">
        <f t="shared" si="14"/>
        <v>18.623209876543207</v>
      </c>
      <c r="U87">
        <f t="shared" si="15"/>
        <v>5.3594059614814809</v>
      </c>
      <c r="X87" s="9"/>
      <c r="Y87" s="21">
        <v>1.35223</v>
      </c>
      <c r="Z87" s="21">
        <v>14.891</v>
      </c>
      <c r="AA87" s="21">
        <v>-1.37054E-2</v>
      </c>
      <c r="AB87" s="21">
        <v>77</v>
      </c>
      <c r="AC87" s="21">
        <v>1.35162</v>
      </c>
      <c r="AD87">
        <f t="shared" si="16"/>
        <v>16.920246913580247</v>
      </c>
      <c r="AE87">
        <f t="shared" si="17"/>
        <v>22.880065483950617</v>
      </c>
      <c r="AF87" s="9"/>
      <c r="AG87" s="21">
        <v>0.28778100000000001</v>
      </c>
      <c r="AH87" s="21">
        <v>18.589300000000001</v>
      </c>
      <c r="AI87" s="21">
        <v>-1.4987199999999999E-2</v>
      </c>
      <c r="AJ87" s="21">
        <v>77</v>
      </c>
      <c r="AK87" s="21">
        <v>0.28698699999999999</v>
      </c>
      <c r="AL87">
        <f t="shared" si="18"/>
        <v>18.502716049382713</v>
      </c>
      <c r="AM87">
        <f t="shared" si="19"/>
        <v>5.3247301274074061</v>
      </c>
      <c r="AP87" s="9"/>
      <c r="AQ87" s="21">
        <v>1.35223</v>
      </c>
      <c r="AR87" s="21">
        <v>23.9862</v>
      </c>
      <c r="AS87" s="21">
        <v>-1.37421E-2</v>
      </c>
      <c r="AT87" s="21">
        <v>77</v>
      </c>
      <c r="AU87" s="21">
        <v>1.3513200000000001</v>
      </c>
      <c r="AV87">
        <f t="shared" si="20"/>
        <v>16.965555555555554</v>
      </c>
      <c r="AW87">
        <f t="shared" si="21"/>
        <v>22.941333188888887</v>
      </c>
      <c r="AX87" s="9"/>
      <c r="AY87" s="21">
        <v>0.28778100000000001</v>
      </c>
      <c r="AZ87" s="21">
        <v>27.6846</v>
      </c>
      <c r="BA87" s="21">
        <v>-1.4904799999999999E-2</v>
      </c>
      <c r="BB87" s="21">
        <v>77</v>
      </c>
      <c r="BC87" s="21">
        <v>0.28716999999999998</v>
      </c>
      <c r="BD87">
        <f t="shared" si="22"/>
        <v>18.400987654320986</v>
      </c>
      <c r="BE87">
        <f t="shared" si="23"/>
        <v>5.295454628148148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5.79786</v>
      </c>
      <c r="I88" s="21">
        <v>-1.3699299999999999E-2</v>
      </c>
      <c r="J88" s="21">
        <v>78</v>
      </c>
      <c r="K88" s="21">
        <v>1.3464400000000001</v>
      </c>
      <c r="L88">
        <f t="shared" si="12"/>
        <v>16.912716049382716</v>
      </c>
      <c r="M88">
        <f t="shared" si="13"/>
        <v>22.784811061728394</v>
      </c>
      <c r="N88" s="9"/>
      <c r="O88" s="21">
        <v>0.29281600000000002</v>
      </c>
      <c r="P88" s="21">
        <v>9.4961900000000004</v>
      </c>
      <c r="Q88" s="21">
        <v>-1.5075699999999999E-2</v>
      </c>
      <c r="R88" s="21">
        <v>78</v>
      </c>
      <c r="S88" s="21">
        <v>0.29217500000000002</v>
      </c>
      <c r="T88">
        <f t="shared" si="14"/>
        <v>18.611975308641973</v>
      </c>
      <c r="U88">
        <f t="shared" si="15"/>
        <v>5.4498841619753087</v>
      </c>
      <c r="X88" s="9"/>
      <c r="Y88" s="21">
        <v>1.3472</v>
      </c>
      <c r="Z88" s="21">
        <v>14.9011</v>
      </c>
      <c r="AA88" s="21">
        <v>-1.3736E-2</v>
      </c>
      <c r="AB88" s="21">
        <v>78</v>
      </c>
      <c r="AC88" s="21">
        <v>1.34613</v>
      </c>
      <c r="AD88">
        <f t="shared" si="16"/>
        <v>16.958024691358023</v>
      </c>
      <c r="AE88">
        <f t="shared" si="17"/>
        <v>22.845850864197526</v>
      </c>
      <c r="AF88" s="9"/>
      <c r="AG88" s="21">
        <v>0.29281600000000002</v>
      </c>
      <c r="AH88" s="21">
        <v>18.599399999999999</v>
      </c>
      <c r="AI88" s="21">
        <v>-1.49719E-2</v>
      </c>
      <c r="AJ88" s="21">
        <v>78</v>
      </c>
      <c r="AK88" s="21">
        <v>0.29217500000000002</v>
      </c>
      <c r="AL88">
        <f t="shared" si="18"/>
        <v>18.483827160493824</v>
      </c>
      <c r="AM88">
        <f t="shared" si="19"/>
        <v>5.4123603338271602</v>
      </c>
      <c r="AP88" s="9"/>
      <c r="AQ88" s="21">
        <v>1.3472</v>
      </c>
      <c r="AR88" s="21">
        <v>23.996300000000002</v>
      </c>
      <c r="AS88" s="21">
        <v>-1.3766499999999999E-2</v>
      </c>
      <c r="AT88" s="21">
        <v>78</v>
      </c>
      <c r="AU88" s="21">
        <v>1.34613</v>
      </c>
      <c r="AV88">
        <f t="shared" si="20"/>
        <v>16.995679012345676</v>
      </c>
      <c r="AW88">
        <f t="shared" si="21"/>
        <v>22.896578765432093</v>
      </c>
      <c r="AX88" s="9"/>
      <c r="AY88" s="21">
        <v>0.29281600000000002</v>
      </c>
      <c r="AZ88" s="21">
        <v>27.694600000000001</v>
      </c>
      <c r="BA88" s="21">
        <v>-1.4898700000000001E-2</v>
      </c>
      <c r="BB88" s="21">
        <v>78</v>
      </c>
      <c r="BC88" s="21">
        <v>0.292267</v>
      </c>
      <c r="BD88">
        <f t="shared" si="22"/>
        <v>18.393456790123455</v>
      </c>
      <c r="BE88">
        <f t="shared" si="23"/>
        <v>5.3858984434567896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5.8079299999999998</v>
      </c>
      <c r="I89" s="21">
        <v>-1.37054E-2</v>
      </c>
      <c r="J89" s="21">
        <v>79</v>
      </c>
      <c r="K89" s="21">
        <v>1.34094</v>
      </c>
      <c r="L89">
        <f t="shared" si="12"/>
        <v>16.920246913580247</v>
      </c>
      <c r="M89">
        <f t="shared" si="13"/>
        <v>22.709678597530864</v>
      </c>
      <c r="N89" s="9"/>
      <c r="O89" s="21">
        <v>0.29785200000000001</v>
      </c>
      <c r="P89" s="21">
        <v>9.5062700000000007</v>
      </c>
      <c r="Q89" s="21">
        <v>-1.5063500000000001E-2</v>
      </c>
      <c r="R89" s="21">
        <v>79</v>
      </c>
      <c r="S89" s="21">
        <v>0.29715000000000003</v>
      </c>
      <c r="T89">
        <f t="shared" si="14"/>
        <v>18.596913580246913</v>
      </c>
      <c r="U89">
        <f t="shared" si="15"/>
        <v>5.5391279037037036</v>
      </c>
      <c r="X89" s="9"/>
      <c r="Y89" s="21">
        <v>1.34216</v>
      </c>
      <c r="Z89" s="21">
        <v>14.911099999999999</v>
      </c>
      <c r="AA89" s="21">
        <v>-1.37573E-2</v>
      </c>
      <c r="AB89" s="21">
        <v>79</v>
      </c>
      <c r="AC89" s="21">
        <v>1.34155</v>
      </c>
      <c r="AD89">
        <f t="shared" si="16"/>
        <v>16.984320987654321</v>
      </c>
      <c r="AE89">
        <f t="shared" si="17"/>
        <v>22.795676256790124</v>
      </c>
      <c r="AF89" s="9"/>
      <c r="AG89" s="21">
        <v>0.29785200000000001</v>
      </c>
      <c r="AH89" s="21">
        <v>18.609500000000001</v>
      </c>
      <c r="AI89" s="21">
        <v>-1.49567E-2</v>
      </c>
      <c r="AJ89" s="21">
        <v>79</v>
      </c>
      <c r="AK89" s="21">
        <v>0.29724099999999998</v>
      </c>
      <c r="AL89">
        <f t="shared" si="18"/>
        <v>18.46506172839506</v>
      </c>
      <c r="AM89">
        <f t="shared" si="19"/>
        <v>5.4998555659259258</v>
      </c>
      <c r="AP89" s="9"/>
      <c r="AQ89" s="21">
        <v>1.34216</v>
      </c>
      <c r="AR89" s="21">
        <v>24.006399999999999</v>
      </c>
      <c r="AS89" s="21">
        <v>-1.3775600000000001E-2</v>
      </c>
      <c r="AT89" s="21">
        <v>79</v>
      </c>
      <c r="AU89" s="21">
        <v>1.3412500000000001</v>
      </c>
      <c r="AV89">
        <f t="shared" si="20"/>
        <v>17.006913580246916</v>
      </c>
      <c r="AW89">
        <f t="shared" si="21"/>
        <v>22.825999130864201</v>
      </c>
      <c r="AX89" s="9"/>
      <c r="AY89" s="21">
        <v>0.29785200000000001</v>
      </c>
      <c r="AZ89" s="21">
        <v>27.704699999999999</v>
      </c>
      <c r="BA89" s="21">
        <v>-1.48956E-2</v>
      </c>
      <c r="BB89" s="21">
        <v>79</v>
      </c>
      <c r="BC89" s="21">
        <v>0.297211</v>
      </c>
      <c r="BD89">
        <f t="shared" si="22"/>
        <v>18.389629629629628</v>
      </c>
      <c r="BE89">
        <f t="shared" si="23"/>
        <v>5.4773879644444436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5.8179999999999996</v>
      </c>
      <c r="I90" s="21">
        <v>-1.37299E-2</v>
      </c>
      <c r="J90" s="21">
        <v>80</v>
      </c>
      <c r="K90" s="21">
        <v>1.33606</v>
      </c>
      <c r="L90">
        <f t="shared" si="12"/>
        <v>16.950493827160493</v>
      </c>
      <c r="M90">
        <f t="shared" si="13"/>
        <v>22.665013811111109</v>
      </c>
      <c r="N90" s="9"/>
      <c r="O90" s="21">
        <v>0.30288700000000002</v>
      </c>
      <c r="P90" s="21">
        <v>9.5163399999999996</v>
      </c>
      <c r="Q90" s="21">
        <v>-1.5048199999999999E-2</v>
      </c>
      <c r="R90" s="21">
        <v>80</v>
      </c>
      <c r="S90" s="21">
        <v>0.30230699999999999</v>
      </c>
      <c r="T90">
        <f t="shared" si="14"/>
        <v>18.578024691358021</v>
      </c>
      <c r="U90">
        <f t="shared" si="15"/>
        <v>5.6270421646913569</v>
      </c>
      <c r="X90" s="9"/>
      <c r="Y90" s="21">
        <v>1.3371299999999999</v>
      </c>
      <c r="Z90" s="21">
        <v>14.921200000000001</v>
      </c>
      <c r="AA90" s="21">
        <v>-1.3775600000000001E-2</v>
      </c>
      <c r="AB90" s="21">
        <v>80</v>
      </c>
      <c r="AC90" s="21">
        <v>1.33636</v>
      </c>
      <c r="AD90">
        <f t="shared" si="16"/>
        <v>17.006913580246916</v>
      </c>
      <c r="AE90">
        <f t="shared" si="17"/>
        <v>22.740454355555556</v>
      </c>
      <c r="AF90" s="9"/>
      <c r="AG90" s="21">
        <v>0.30288700000000002</v>
      </c>
      <c r="AH90" s="21">
        <v>18.619599999999998</v>
      </c>
      <c r="AI90" s="21">
        <v>-1.49353E-2</v>
      </c>
      <c r="AJ90" s="21">
        <v>80</v>
      </c>
      <c r="AK90" s="21">
        <v>0.30227700000000002</v>
      </c>
      <c r="AL90">
        <f t="shared" si="18"/>
        <v>18.438641975308641</v>
      </c>
      <c r="AM90">
        <f t="shared" si="19"/>
        <v>5.5848249519753086</v>
      </c>
      <c r="AP90" s="9"/>
      <c r="AQ90" s="21">
        <v>1.3371299999999999</v>
      </c>
      <c r="AR90" s="21">
        <v>24.016400000000001</v>
      </c>
      <c r="AS90" s="21">
        <v>-1.3787799999999999E-2</v>
      </c>
      <c r="AT90" s="21">
        <v>80</v>
      </c>
      <c r="AU90" s="21">
        <v>1.33606</v>
      </c>
      <c r="AV90">
        <f t="shared" si="20"/>
        <v>17.021975308641974</v>
      </c>
      <c r="AW90">
        <f t="shared" si="21"/>
        <v>22.76059384444444</v>
      </c>
      <c r="AX90" s="9"/>
      <c r="AY90" s="21">
        <v>0.30288700000000002</v>
      </c>
      <c r="AZ90" s="21">
        <v>27.7148</v>
      </c>
      <c r="BA90" s="21">
        <v>-1.4898700000000001E-2</v>
      </c>
      <c r="BB90" s="21">
        <v>80</v>
      </c>
      <c r="BC90" s="21">
        <v>0.302338</v>
      </c>
      <c r="BD90">
        <f t="shared" si="22"/>
        <v>18.393456790123455</v>
      </c>
      <c r="BE90">
        <f t="shared" si="23"/>
        <v>5.5711389467901231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5.8280700000000003</v>
      </c>
      <c r="I91" s="21">
        <v>-1.3760400000000001E-2</v>
      </c>
      <c r="J91" s="21">
        <v>81</v>
      </c>
      <c r="K91" s="21">
        <v>1.33148</v>
      </c>
      <c r="L91">
        <f t="shared" si="12"/>
        <v>16.988148148148149</v>
      </c>
      <c r="M91">
        <f t="shared" si="13"/>
        <v>22.629742266666668</v>
      </c>
      <c r="N91" s="9"/>
      <c r="O91" s="21">
        <v>0.30792199999999997</v>
      </c>
      <c r="P91" s="21">
        <v>9.5264100000000003</v>
      </c>
      <c r="Q91" s="21">
        <v>-1.5032999999999999E-2</v>
      </c>
      <c r="R91" s="21">
        <v>81</v>
      </c>
      <c r="S91" s="21">
        <v>0.30737300000000001</v>
      </c>
      <c r="T91">
        <f t="shared" si="14"/>
        <v>18.559259259259257</v>
      </c>
      <c r="U91">
        <f t="shared" si="15"/>
        <v>5.7148042296296282</v>
      </c>
      <c r="X91" s="9"/>
      <c r="Y91" s="21">
        <v>1.33209</v>
      </c>
      <c r="Z91" s="21">
        <v>14.9313</v>
      </c>
      <c r="AA91" s="21">
        <v>-1.38E-2</v>
      </c>
      <c r="AB91" s="21">
        <v>81</v>
      </c>
      <c r="AC91" s="21">
        <v>1.33118</v>
      </c>
      <c r="AD91">
        <f t="shared" si="16"/>
        <v>17.037037037037035</v>
      </c>
      <c r="AE91">
        <f t="shared" si="17"/>
        <v>22.694866666666663</v>
      </c>
      <c r="AF91" s="9"/>
      <c r="AG91" s="21">
        <v>0.30792199999999997</v>
      </c>
      <c r="AH91" s="21">
        <v>18.6296</v>
      </c>
      <c r="AI91" s="21">
        <v>-1.4919999999999999E-2</v>
      </c>
      <c r="AJ91" s="21">
        <v>81</v>
      </c>
      <c r="AK91" s="21">
        <v>0.30728100000000003</v>
      </c>
      <c r="AL91">
        <f t="shared" si="18"/>
        <v>18.41975308641975</v>
      </c>
      <c r="AM91">
        <f t="shared" si="19"/>
        <v>5.6718472098765416</v>
      </c>
      <c r="AP91" s="9"/>
      <c r="AQ91" s="21">
        <v>1.33209</v>
      </c>
      <c r="AR91" s="21">
        <v>24.026499999999999</v>
      </c>
      <c r="AS91" s="21">
        <v>-1.3806199999999999E-2</v>
      </c>
      <c r="AT91" s="21">
        <v>81</v>
      </c>
      <c r="AU91" s="21">
        <v>1.33118</v>
      </c>
      <c r="AV91">
        <f t="shared" si="20"/>
        <v>17.044691358024689</v>
      </c>
      <c r="AW91">
        <f t="shared" si="21"/>
        <v>22.70506291111111</v>
      </c>
      <c r="AX91" s="9"/>
      <c r="AY91" s="21">
        <v>0.30792199999999997</v>
      </c>
      <c r="AZ91" s="21">
        <v>27.724900000000002</v>
      </c>
      <c r="BA91" s="21">
        <v>-1.48956E-2</v>
      </c>
      <c r="BB91" s="21">
        <v>81</v>
      </c>
      <c r="BC91" s="21">
        <v>0.30712899999999999</v>
      </c>
      <c r="BD91">
        <f t="shared" si="22"/>
        <v>18.389629629629628</v>
      </c>
      <c r="BE91">
        <f t="shared" si="23"/>
        <v>5.6625715348148136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5.8381400000000001</v>
      </c>
      <c r="I92" s="21">
        <v>-1.37848E-2</v>
      </c>
      <c r="J92" s="21">
        <v>82</v>
      </c>
      <c r="K92" s="21">
        <v>1.32629</v>
      </c>
      <c r="L92">
        <f t="shared" si="12"/>
        <v>17.018271604938271</v>
      </c>
      <c r="M92">
        <f t="shared" si="13"/>
        <v>22.58426751604938</v>
      </c>
      <c r="N92" s="9"/>
      <c r="O92" s="21">
        <v>0.31295800000000001</v>
      </c>
      <c r="P92" s="21">
        <v>9.5364799999999992</v>
      </c>
      <c r="Q92" s="21">
        <v>-1.5029900000000001E-2</v>
      </c>
      <c r="R92" s="21">
        <v>82</v>
      </c>
      <c r="S92" s="21">
        <v>0.312469</v>
      </c>
      <c r="T92">
        <f t="shared" si="14"/>
        <v>18.555432098765429</v>
      </c>
      <c r="U92">
        <f t="shared" si="15"/>
        <v>5.8070709187654312</v>
      </c>
      <c r="X92" s="9"/>
      <c r="Y92" s="21">
        <v>1.3270599999999999</v>
      </c>
      <c r="Z92" s="21">
        <v>14.9414</v>
      </c>
      <c r="AA92" s="21">
        <v>-1.38275E-2</v>
      </c>
      <c r="AB92" s="21">
        <v>82</v>
      </c>
      <c r="AC92" s="21">
        <v>1.32629</v>
      </c>
      <c r="AD92">
        <f t="shared" si="16"/>
        <v>17.070987654320987</v>
      </c>
      <c r="AE92">
        <f t="shared" si="17"/>
        <v>22.654224876543207</v>
      </c>
      <c r="AF92" s="9"/>
      <c r="AG92" s="21">
        <v>0.31295800000000001</v>
      </c>
      <c r="AH92" s="21">
        <v>18.639700000000001</v>
      </c>
      <c r="AI92" s="21">
        <v>-1.4913900000000001E-2</v>
      </c>
      <c r="AJ92" s="21">
        <v>82</v>
      </c>
      <c r="AK92" s="21">
        <v>0.31231700000000001</v>
      </c>
      <c r="AL92">
        <f t="shared" si="18"/>
        <v>18.412222222222223</v>
      </c>
      <c r="AM92">
        <f t="shared" si="19"/>
        <v>5.7622522422222229</v>
      </c>
      <c r="AP92" s="9"/>
      <c r="AQ92" s="21">
        <v>1.3270599999999999</v>
      </c>
      <c r="AR92" s="21">
        <v>24.0366</v>
      </c>
      <c r="AS92" s="21">
        <v>-1.3821399999999999E-2</v>
      </c>
      <c r="AT92" s="21">
        <v>82</v>
      </c>
      <c r="AU92" s="21">
        <v>1.32629</v>
      </c>
      <c r="AV92">
        <f t="shared" si="20"/>
        <v>17.063456790123453</v>
      </c>
      <c r="AW92">
        <f t="shared" si="21"/>
        <v>22.64423096790123</v>
      </c>
      <c r="AX92" s="9"/>
      <c r="AY92" s="21">
        <v>0.31295800000000001</v>
      </c>
      <c r="AZ92" s="21">
        <v>27.7349</v>
      </c>
      <c r="BA92" s="21">
        <v>-1.48865E-2</v>
      </c>
      <c r="BB92" s="21">
        <v>82</v>
      </c>
      <c r="BC92" s="21">
        <v>0.31234699999999999</v>
      </c>
      <c r="BD92">
        <f t="shared" si="22"/>
        <v>18.378395061728394</v>
      </c>
      <c r="BE92">
        <f t="shared" si="23"/>
        <v>5.7516657617283951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5.8482099999999999</v>
      </c>
      <c r="I93" s="21">
        <v>-1.38031E-2</v>
      </c>
      <c r="J93" s="21">
        <v>83</v>
      </c>
      <c r="K93" s="21">
        <v>1.32172</v>
      </c>
      <c r="L93">
        <f t="shared" si="12"/>
        <v>17.040864197530862</v>
      </c>
      <c r="M93">
        <f t="shared" si="13"/>
        <v>22.528363286419751</v>
      </c>
      <c r="N93" s="9"/>
      <c r="O93" s="21">
        <v>0.31799300000000003</v>
      </c>
      <c r="P93" s="21">
        <v>9.5465499999999999</v>
      </c>
      <c r="Q93" s="21">
        <v>-1.5020800000000001E-2</v>
      </c>
      <c r="R93" s="21">
        <v>83</v>
      </c>
      <c r="S93" s="21">
        <v>0.31723000000000001</v>
      </c>
      <c r="T93">
        <f t="shared" si="14"/>
        <v>18.544197530864199</v>
      </c>
      <c r="U93">
        <f t="shared" si="15"/>
        <v>5.8969250054320996</v>
      </c>
      <c r="X93" s="9"/>
      <c r="Y93" s="21">
        <v>1.32202</v>
      </c>
      <c r="Z93" s="21">
        <v>14.9514</v>
      </c>
      <c r="AA93" s="21">
        <v>-1.38458E-2</v>
      </c>
      <c r="AB93" s="21">
        <v>83</v>
      </c>
      <c r="AC93" s="21">
        <v>1.32141</v>
      </c>
      <c r="AD93">
        <f t="shared" si="16"/>
        <v>17.093580246913579</v>
      </c>
      <c r="AE93">
        <f t="shared" si="17"/>
        <v>22.59805495802469</v>
      </c>
      <c r="AF93" s="9"/>
      <c r="AG93" s="21">
        <v>0.31799300000000003</v>
      </c>
      <c r="AH93" s="21">
        <v>18.649799999999999</v>
      </c>
      <c r="AI93" s="21">
        <v>-1.49017E-2</v>
      </c>
      <c r="AJ93" s="21">
        <v>83</v>
      </c>
      <c r="AK93" s="21">
        <v>0.31732199999999999</v>
      </c>
      <c r="AL93">
        <f t="shared" si="18"/>
        <v>18.397160493827158</v>
      </c>
      <c r="AM93">
        <f t="shared" si="19"/>
        <v>5.8501682569135802</v>
      </c>
      <c r="AP93" s="9"/>
      <c r="AQ93" s="21">
        <v>1.32202</v>
      </c>
      <c r="AR93" s="21">
        <v>24.046700000000001</v>
      </c>
      <c r="AS93" s="21">
        <v>-1.3848900000000001E-2</v>
      </c>
      <c r="AT93" s="21">
        <v>83</v>
      </c>
      <c r="AU93" s="21">
        <v>1.32111</v>
      </c>
      <c r="AV93">
        <f t="shared" si="20"/>
        <v>17.09740740740741</v>
      </c>
      <c r="AW93">
        <f t="shared" si="21"/>
        <v>22.603114540740744</v>
      </c>
      <c r="AX93" s="9"/>
      <c r="AY93" s="21">
        <v>0.31799300000000003</v>
      </c>
      <c r="AZ93" s="21">
        <v>27.745000000000001</v>
      </c>
      <c r="BA93" s="21">
        <v>-1.48834E-2</v>
      </c>
      <c r="BB93" s="21">
        <v>83</v>
      </c>
      <c r="BC93" s="21">
        <v>0.31747399999999998</v>
      </c>
      <c r="BD93">
        <f t="shared" si="22"/>
        <v>18.374567901234567</v>
      </c>
      <c r="BE93">
        <f t="shared" si="23"/>
        <v>5.8429839706172837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5.8582799999999997</v>
      </c>
      <c r="I94" s="21">
        <v>-1.3815300000000001E-2</v>
      </c>
      <c r="J94" s="21">
        <v>84</v>
      </c>
      <c r="K94" s="21">
        <v>1.31653</v>
      </c>
      <c r="L94">
        <f t="shared" si="12"/>
        <v>17.055925925925926</v>
      </c>
      <c r="M94">
        <f t="shared" si="13"/>
        <v>22.462483885185186</v>
      </c>
      <c r="N94" s="9"/>
      <c r="O94" s="21">
        <v>0.32302900000000001</v>
      </c>
      <c r="P94" s="21">
        <v>9.5566200000000006</v>
      </c>
      <c r="Q94" s="21">
        <v>-1.5014599999999999E-2</v>
      </c>
      <c r="R94" s="21">
        <v>84</v>
      </c>
      <c r="S94" s="21">
        <v>0.322266</v>
      </c>
      <c r="T94">
        <f t="shared" si="14"/>
        <v>18.536543209876541</v>
      </c>
      <c r="U94">
        <f t="shared" si="15"/>
        <v>5.987841016543209</v>
      </c>
      <c r="X94" s="9"/>
      <c r="Y94" s="21">
        <v>1.3169900000000001</v>
      </c>
      <c r="Z94" s="21">
        <v>14.961499999999999</v>
      </c>
      <c r="AA94" s="21">
        <v>-1.3858000000000001E-2</v>
      </c>
      <c r="AB94" s="21">
        <v>84</v>
      </c>
      <c r="AC94" s="21">
        <v>1.31653</v>
      </c>
      <c r="AD94">
        <f t="shared" si="16"/>
        <v>17.10864197530864</v>
      </c>
      <c r="AE94">
        <f t="shared" si="17"/>
        <v>22.531910395061725</v>
      </c>
      <c r="AF94" s="9"/>
      <c r="AG94" s="21">
        <v>0.32302900000000001</v>
      </c>
      <c r="AH94" s="21">
        <v>18.659800000000001</v>
      </c>
      <c r="AI94" s="21">
        <v>-1.48956E-2</v>
      </c>
      <c r="AJ94" s="21">
        <v>84</v>
      </c>
      <c r="AK94" s="21">
        <v>0.32260100000000003</v>
      </c>
      <c r="AL94">
        <f t="shared" si="18"/>
        <v>18.389629629629628</v>
      </c>
      <c r="AM94">
        <f t="shared" si="19"/>
        <v>5.9403836696296288</v>
      </c>
      <c r="AP94" s="9"/>
      <c r="AQ94" s="21">
        <v>1.3169900000000001</v>
      </c>
      <c r="AR94" s="21">
        <v>24.056699999999999</v>
      </c>
      <c r="AS94" s="21">
        <v>-1.3876299999999999E-2</v>
      </c>
      <c r="AT94" s="21">
        <v>84</v>
      </c>
      <c r="AU94" s="21">
        <v>1.31592</v>
      </c>
      <c r="AV94">
        <f t="shared" si="20"/>
        <v>17.131234567901231</v>
      </c>
      <c r="AW94">
        <f t="shared" si="21"/>
        <v>22.561664613580245</v>
      </c>
      <c r="AX94" s="9"/>
      <c r="AY94" s="21">
        <v>0.32302900000000001</v>
      </c>
      <c r="AZ94" s="21">
        <v>27.755099999999999</v>
      </c>
      <c r="BA94" s="21">
        <v>-1.4871199999999999E-2</v>
      </c>
      <c r="BB94" s="21">
        <v>84</v>
      </c>
      <c r="BC94" s="21">
        <v>0.32238800000000001</v>
      </c>
      <c r="BD94">
        <f t="shared" si="22"/>
        <v>18.359506172839506</v>
      </c>
      <c r="BE94">
        <f t="shared" si="23"/>
        <v>5.9306529195061728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5.8683500000000004</v>
      </c>
      <c r="I95" s="21">
        <v>-1.38275E-2</v>
      </c>
      <c r="J95" s="21">
        <v>85</v>
      </c>
      <c r="K95" s="21">
        <v>1.31134</v>
      </c>
      <c r="L95">
        <f t="shared" si="12"/>
        <v>17.070987654320987</v>
      </c>
      <c r="M95">
        <f t="shared" si="13"/>
        <v>22.396282253086419</v>
      </c>
      <c r="N95" s="9"/>
      <c r="O95" s="21">
        <v>0.32806400000000002</v>
      </c>
      <c r="P95" s="21">
        <v>9.5666899999999995</v>
      </c>
      <c r="Q95" s="21">
        <v>-1.50116E-2</v>
      </c>
      <c r="R95" s="21">
        <v>85</v>
      </c>
      <c r="S95" s="21">
        <v>0.32733200000000001</v>
      </c>
      <c r="T95">
        <f t="shared" si="14"/>
        <v>18.532839506172838</v>
      </c>
      <c r="U95">
        <f t="shared" si="15"/>
        <v>6.0799574597530865</v>
      </c>
      <c r="X95" s="9"/>
      <c r="Y95" s="21">
        <v>1.3119499999999999</v>
      </c>
      <c r="Z95" s="21">
        <v>14.9716</v>
      </c>
      <c r="AA95" s="21">
        <v>-1.3870199999999999E-2</v>
      </c>
      <c r="AB95" s="21">
        <v>85</v>
      </c>
      <c r="AC95" s="21">
        <v>1.3119499999999999</v>
      </c>
      <c r="AD95">
        <f t="shared" si="16"/>
        <v>17.123703703703701</v>
      </c>
      <c r="AE95">
        <f t="shared" si="17"/>
        <v>22.46544307407407</v>
      </c>
      <c r="AF95" s="9"/>
      <c r="AG95" s="21">
        <v>0.32806400000000002</v>
      </c>
      <c r="AH95" s="21">
        <v>18.669899999999998</v>
      </c>
      <c r="AI95" s="21">
        <v>-1.48956E-2</v>
      </c>
      <c r="AJ95" s="21">
        <v>85</v>
      </c>
      <c r="AK95" s="21">
        <v>0.32745400000000002</v>
      </c>
      <c r="AL95">
        <f t="shared" si="18"/>
        <v>18.389629629629628</v>
      </c>
      <c r="AM95">
        <f t="shared" si="19"/>
        <v>6.0329754548148147</v>
      </c>
      <c r="AP95" s="9"/>
      <c r="AQ95" s="21">
        <v>1.3119499999999999</v>
      </c>
      <c r="AR95" s="21">
        <v>24.066800000000001</v>
      </c>
      <c r="AS95" s="21">
        <v>-1.38885E-2</v>
      </c>
      <c r="AT95" s="21">
        <v>85</v>
      </c>
      <c r="AU95" s="21">
        <v>1.31134</v>
      </c>
      <c r="AV95">
        <f t="shared" si="20"/>
        <v>17.146296296296295</v>
      </c>
      <c r="AW95">
        <f t="shared" si="21"/>
        <v>22.495083425925923</v>
      </c>
      <c r="AX95" s="9"/>
      <c r="AY95" s="21">
        <v>0.32806400000000002</v>
      </c>
      <c r="AZ95" s="21">
        <v>27.7651</v>
      </c>
      <c r="BA95" s="21">
        <v>-1.48621E-2</v>
      </c>
      <c r="BB95" s="21">
        <v>85</v>
      </c>
      <c r="BC95" s="21">
        <v>0.32739299999999999</v>
      </c>
      <c r="BD95">
        <f t="shared" si="22"/>
        <v>18.348271604938269</v>
      </c>
      <c r="BE95">
        <f t="shared" si="23"/>
        <v>6.0194073758024684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5.8784299999999998</v>
      </c>
      <c r="I96" s="21">
        <v>-1.3848900000000001E-2</v>
      </c>
      <c r="J96" s="21">
        <v>86</v>
      </c>
      <c r="K96" s="21">
        <v>1.3067599999999999</v>
      </c>
      <c r="L96">
        <f t="shared" si="12"/>
        <v>17.09740740740741</v>
      </c>
      <c r="M96">
        <f t="shared" si="13"/>
        <v>22.344943688888893</v>
      </c>
      <c r="N96" s="9"/>
      <c r="O96" s="21">
        <v>0.33309899999999998</v>
      </c>
      <c r="P96" s="21">
        <v>9.5767600000000002</v>
      </c>
      <c r="Q96" s="21">
        <v>-1.5014599999999999E-2</v>
      </c>
      <c r="R96" s="21">
        <v>86</v>
      </c>
      <c r="S96" s="21">
        <v>0.33248899999999998</v>
      </c>
      <c r="T96">
        <f t="shared" si="14"/>
        <v>18.536543209876541</v>
      </c>
      <c r="U96">
        <f t="shared" si="15"/>
        <v>6.1745040066666652</v>
      </c>
      <c r="X96" s="9"/>
      <c r="Y96" s="21">
        <v>1.3069200000000001</v>
      </c>
      <c r="Z96" s="21">
        <v>14.9816</v>
      </c>
      <c r="AA96" s="21">
        <v>-1.38855E-2</v>
      </c>
      <c r="AB96" s="21">
        <v>86</v>
      </c>
      <c r="AC96" s="21">
        <v>1.30646</v>
      </c>
      <c r="AD96">
        <f t="shared" si="16"/>
        <v>17.142592592592592</v>
      </c>
      <c r="AE96">
        <f t="shared" si="17"/>
        <v>22.403997111111114</v>
      </c>
      <c r="AF96" s="9"/>
      <c r="AG96" s="21">
        <v>0.33309899999999998</v>
      </c>
      <c r="AH96" s="21">
        <v>18.68</v>
      </c>
      <c r="AI96" s="21">
        <v>-1.48895E-2</v>
      </c>
      <c r="AJ96" s="21">
        <v>86</v>
      </c>
      <c r="AK96" s="21">
        <v>0.33248899999999998</v>
      </c>
      <c r="AL96">
        <f t="shared" si="18"/>
        <v>18.382098765432101</v>
      </c>
      <c r="AM96">
        <f t="shared" si="19"/>
        <v>6.1230587166666668</v>
      </c>
      <c r="AP96" s="9"/>
      <c r="AQ96" s="21">
        <v>1.3069200000000001</v>
      </c>
      <c r="AR96" s="21">
        <v>24.076899999999998</v>
      </c>
      <c r="AS96" s="21">
        <v>-1.38916E-2</v>
      </c>
      <c r="AT96" s="21">
        <v>86</v>
      </c>
      <c r="AU96" s="21">
        <v>1.3067599999999999</v>
      </c>
      <c r="AV96">
        <f t="shared" si="20"/>
        <v>17.150123456790123</v>
      </c>
      <c r="AW96">
        <f t="shared" si="21"/>
        <v>22.413839348148148</v>
      </c>
      <c r="AX96" s="9"/>
      <c r="AY96" s="21">
        <v>0.33309899999999998</v>
      </c>
      <c r="AZ96" s="21">
        <v>27.775200000000002</v>
      </c>
      <c r="BA96" s="21">
        <v>-1.4855999999999999E-2</v>
      </c>
      <c r="BB96" s="21">
        <v>86</v>
      </c>
      <c r="BC96" s="21">
        <v>0.33248899999999998</v>
      </c>
      <c r="BD96">
        <f t="shared" si="22"/>
        <v>18.340740740740738</v>
      </c>
      <c r="BE96">
        <f t="shared" si="23"/>
        <v>6.1092823999999988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5.8884999999999996</v>
      </c>
      <c r="I97" s="21">
        <v>-1.3864100000000001E-2</v>
      </c>
      <c r="J97" s="21">
        <v>87</v>
      </c>
      <c r="K97" s="21">
        <v>1.3012699999999999</v>
      </c>
      <c r="L97">
        <f t="shared" si="12"/>
        <v>17.11617283950617</v>
      </c>
      <c r="M97">
        <f t="shared" si="13"/>
        <v>22.28320309629629</v>
      </c>
      <c r="N97" s="9"/>
      <c r="O97" s="21">
        <v>0.33813500000000002</v>
      </c>
      <c r="P97" s="21">
        <v>9.5868300000000009</v>
      </c>
      <c r="Q97" s="21">
        <v>-1.5026899999999999E-2</v>
      </c>
      <c r="R97" s="21">
        <v>87</v>
      </c>
      <c r="S97" s="21">
        <v>0.33749400000000002</v>
      </c>
      <c r="T97">
        <f t="shared" si="14"/>
        <v>18.551728395061726</v>
      </c>
      <c r="U97">
        <f t="shared" si="15"/>
        <v>6.2729886808641968</v>
      </c>
      <c r="X97" s="9"/>
      <c r="Y97" s="21">
        <v>1.3018799999999999</v>
      </c>
      <c r="Z97" s="21">
        <v>14.9917</v>
      </c>
      <c r="AA97" s="21">
        <v>-1.3894699999999999E-2</v>
      </c>
      <c r="AB97" s="21">
        <v>87</v>
      </c>
      <c r="AC97" s="21">
        <v>1.3006599999999999</v>
      </c>
      <c r="AD97">
        <f t="shared" si="16"/>
        <v>17.153950617283947</v>
      </c>
      <c r="AE97">
        <f t="shared" si="17"/>
        <v>22.332385229629622</v>
      </c>
      <c r="AF97" s="9"/>
      <c r="AG97" s="21">
        <v>0.33813500000000002</v>
      </c>
      <c r="AH97" s="21">
        <v>18.690100000000001</v>
      </c>
      <c r="AI97" s="21">
        <v>-1.48834E-2</v>
      </c>
      <c r="AJ97" s="21">
        <v>87</v>
      </c>
      <c r="AK97" s="21">
        <v>0.33746300000000001</v>
      </c>
      <c r="AL97">
        <f t="shared" si="18"/>
        <v>18.374567901234567</v>
      </c>
      <c r="AM97">
        <f t="shared" si="19"/>
        <v>6.2130845172839502</v>
      </c>
      <c r="AP97" s="9"/>
      <c r="AQ97" s="21">
        <v>1.3018799999999999</v>
      </c>
      <c r="AR97" s="21">
        <v>24.0869</v>
      </c>
      <c r="AS97" s="21">
        <v>-1.3903799999999999E-2</v>
      </c>
      <c r="AT97" s="21">
        <v>87</v>
      </c>
      <c r="AU97" s="21">
        <v>1.3012699999999999</v>
      </c>
      <c r="AV97">
        <f t="shared" si="20"/>
        <v>17.165185185185184</v>
      </c>
      <c r="AW97">
        <f t="shared" si="21"/>
        <v>22.347011288888886</v>
      </c>
      <c r="AX97" s="9"/>
      <c r="AY97" s="21">
        <v>0.33813500000000002</v>
      </c>
      <c r="AZ97" s="21">
        <v>27.785299999999999</v>
      </c>
      <c r="BA97" s="21">
        <v>-1.4843800000000001E-2</v>
      </c>
      <c r="BB97" s="21">
        <v>87</v>
      </c>
      <c r="BC97" s="21">
        <v>0.33755499999999999</v>
      </c>
      <c r="BD97">
        <f t="shared" si="22"/>
        <v>18.325679012345677</v>
      </c>
      <c r="BE97">
        <f t="shared" si="23"/>
        <v>6.196553472839506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5.8985700000000003</v>
      </c>
      <c r="I98" s="21">
        <v>-1.38733E-2</v>
      </c>
      <c r="J98" s="21">
        <v>88</v>
      </c>
      <c r="K98" s="21">
        <v>1.2963899999999999</v>
      </c>
      <c r="L98">
        <f t="shared" si="12"/>
        <v>17.127530864197528</v>
      </c>
      <c r="M98">
        <f t="shared" si="13"/>
        <v>22.211667125925921</v>
      </c>
      <c r="N98" s="9"/>
      <c r="O98" s="21">
        <v>0.34316999999999998</v>
      </c>
      <c r="P98" s="21">
        <v>9.5968999999999998</v>
      </c>
      <c r="Q98" s="21">
        <v>-1.5036000000000001E-2</v>
      </c>
      <c r="R98" s="21">
        <v>88</v>
      </c>
      <c r="S98" s="21">
        <v>0.34246799999999999</v>
      </c>
      <c r="T98">
        <f t="shared" si="14"/>
        <v>18.562962962962963</v>
      </c>
      <c r="U98">
        <f t="shared" si="15"/>
        <v>6.3702519999999998</v>
      </c>
      <c r="X98" s="9"/>
      <c r="Y98" s="21">
        <v>1.29684</v>
      </c>
      <c r="Z98" s="21">
        <v>15.001799999999999</v>
      </c>
      <c r="AA98" s="21">
        <v>-1.3916E-2</v>
      </c>
      <c r="AB98" s="21">
        <v>88</v>
      </c>
      <c r="AC98" s="21">
        <v>1.2957799999999999</v>
      </c>
      <c r="AD98">
        <f t="shared" si="16"/>
        <v>17.180246913580245</v>
      </c>
      <c r="AE98">
        <f t="shared" si="17"/>
        <v>22.280031407407403</v>
      </c>
      <c r="AF98" s="9"/>
      <c r="AG98" s="21">
        <v>0.34316999999999998</v>
      </c>
      <c r="AH98" s="21">
        <v>18.700099999999999</v>
      </c>
      <c r="AI98" s="21">
        <v>-1.48773E-2</v>
      </c>
      <c r="AJ98" s="21">
        <v>88</v>
      </c>
      <c r="AK98" s="21">
        <v>0.34237699999999999</v>
      </c>
      <c r="AL98">
        <f t="shared" si="18"/>
        <v>18.367037037037036</v>
      </c>
      <c r="AM98">
        <f t="shared" si="19"/>
        <v>6.3030160999999989</v>
      </c>
      <c r="AP98" s="9"/>
      <c r="AQ98" s="21">
        <v>1.29684</v>
      </c>
      <c r="AR98" s="21">
        <v>24.097000000000001</v>
      </c>
      <c r="AS98" s="21">
        <v>-1.39221E-2</v>
      </c>
      <c r="AT98" s="21">
        <v>88</v>
      </c>
      <c r="AU98" s="21">
        <v>1.2960799999999999</v>
      </c>
      <c r="AV98">
        <f t="shared" si="20"/>
        <v>17.187777777777779</v>
      </c>
      <c r="AW98">
        <f t="shared" si="21"/>
        <v>22.289797733333334</v>
      </c>
      <c r="AX98" s="9"/>
      <c r="AY98" s="21">
        <v>0.34316999999999998</v>
      </c>
      <c r="AZ98" s="21">
        <v>27.795300000000001</v>
      </c>
      <c r="BA98" s="21">
        <v>-1.48407E-2</v>
      </c>
      <c r="BB98" s="21">
        <v>88</v>
      </c>
      <c r="BC98" s="21">
        <v>0.34265099999999998</v>
      </c>
      <c r="BD98">
        <f t="shared" si="22"/>
        <v>18.32185185185185</v>
      </c>
      <c r="BE98">
        <f t="shared" si="23"/>
        <v>6.287509899999999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5.9086400000000001</v>
      </c>
      <c r="I99" s="21">
        <v>-1.38824E-2</v>
      </c>
      <c r="J99" s="21">
        <v>89</v>
      </c>
      <c r="K99" s="21">
        <v>1.2908900000000001</v>
      </c>
      <c r="L99">
        <f t="shared" si="12"/>
        <v>17.138765432098765</v>
      </c>
      <c r="M99">
        <f t="shared" si="13"/>
        <v>22.140028572839505</v>
      </c>
      <c r="N99" s="9"/>
      <c r="O99" s="21">
        <v>0.34820600000000002</v>
      </c>
      <c r="P99" s="21">
        <v>9.6069800000000001</v>
      </c>
      <c r="Q99" s="21">
        <v>-1.5036000000000001E-2</v>
      </c>
      <c r="R99" s="21">
        <v>89</v>
      </c>
      <c r="S99" s="21">
        <v>0.34750399999999998</v>
      </c>
      <c r="T99">
        <f t="shared" si="14"/>
        <v>18.562962962962963</v>
      </c>
      <c r="U99">
        <f t="shared" si="15"/>
        <v>6.4637350814814818</v>
      </c>
      <c r="X99" s="9"/>
      <c r="Y99" s="21">
        <v>1.2918099999999999</v>
      </c>
      <c r="Z99" s="21">
        <v>15.011900000000001</v>
      </c>
      <c r="AA99" s="21">
        <v>-1.39252E-2</v>
      </c>
      <c r="AB99" s="21">
        <v>89</v>
      </c>
      <c r="AC99" s="21">
        <v>1.2902800000000001</v>
      </c>
      <c r="AD99">
        <f t="shared" si="16"/>
        <v>17.191604938271606</v>
      </c>
      <c r="AE99">
        <f t="shared" si="17"/>
        <v>22.208287175308641</v>
      </c>
      <c r="AF99" s="9"/>
      <c r="AG99" s="21">
        <v>0.34820600000000002</v>
      </c>
      <c r="AH99" s="21">
        <v>18.7102</v>
      </c>
      <c r="AI99" s="21">
        <v>-1.48621E-2</v>
      </c>
      <c r="AJ99" s="21">
        <v>89</v>
      </c>
      <c r="AK99" s="21">
        <v>0.34762599999999999</v>
      </c>
      <c r="AL99">
        <f t="shared" si="18"/>
        <v>18.348271604938269</v>
      </c>
      <c r="AM99">
        <f t="shared" si="19"/>
        <v>6.3889782624691351</v>
      </c>
      <c r="AP99" s="9"/>
      <c r="AQ99" s="21">
        <v>1.2918099999999999</v>
      </c>
      <c r="AR99" s="21">
        <v>24.107099999999999</v>
      </c>
      <c r="AS99" s="21">
        <v>-1.39404E-2</v>
      </c>
      <c r="AT99" s="21">
        <v>89</v>
      </c>
      <c r="AU99" s="21">
        <v>1.2911999999999999</v>
      </c>
      <c r="AV99">
        <f t="shared" si="20"/>
        <v>17.21037037037037</v>
      </c>
      <c r="AW99">
        <f t="shared" si="21"/>
        <v>22.232528548148146</v>
      </c>
      <c r="AX99" s="9"/>
      <c r="AY99" s="21">
        <v>0.34820600000000002</v>
      </c>
      <c r="AZ99" s="21">
        <v>27.805399999999999</v>
      </c>
      <c r="BA99" s="21">
        <v>-1.4837599999999999E-2</v>
      </c>
      <c r="BB99" s="21">
        <v>89</v>
      </c>
      <c r="BC99" s="21">
        <v>0.34759499999999999</v>
      </c>
      <c r="BD99">
        <f t="shared" si="22"/>
        <v>18.318024691358023</v>
      </c>
      <c r="BE99">
        <f t="shared" si="23"/>
        <v>6.3784461056790116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5.9187099999999999</v>
      </c>
      <c r="I100" s="21">
        <v>-1.38916E-2</v>
      </c>
      <c r="J100" s="21">
        <v>90</v>
      </c>
      <c r="K100" s="21">
        <v>1.2857099999999999</v>
      </c>
      <c r="L100">
        <f t="shared" si="12"/>
        <v>17.150123456790123</v>
      </c>
      <c r="M100">
        <f t="shared" si="13"/>
        <v>22.068264360493824</v>
      </c>
      <c r="N100" s="9"/>
      <c r="O100" s="21">
        <v>0.35324100000000003</v>
      </c>
      <c r="P100" s="21">
        <v>9.6170500000000008</v>
      </c>
      <c r="Q100" s="21">
        <v>-1.5029900000000001E-2</v>
      </c>
      <c r="R100" s="21">
        <v>90</v>
      </c>
      <c r="S100" s="21">
        <v>0.35263100000000003</v>
      </c>
      <c r="T100">
        <f t="shared" si="14"/>
        <v>18.555432098765429</v>
      </c>
      <c r="U100">
        <f t="shared" si="15"/>
        <v>6.5545393899999995</v>
      </c>
      <c r="X100" s="9"/>
      <c r="Y100" s="21">
        <v>1.28677</v>
      </c>
      <c r="Z100" s="21">
        <v>15.0219</v>
      </c>
      <c r="AA100" s="21">
        <v>-1.3937400000000001E-2</v>
      </c>
      <c r="AB100" s="21">
        <v>90</v>
      </c>
      <c r="AC100" s="21">
        <v>1.2854000000000001</v>
      </c>
      <c r="AD100">
        <f t="shared" si="16"/>
        <v>17.206666666666667</v>
      </c>
      <c r="AE100">
        <f t="shared" si="17"/>
        <v>22.141022466666666</v>
      </c>
      <c r="AF100" s="9"/>
      <c r="AG100" s="21">
        <v>0.35324100000000003</v>
      </c>
      <c r="AH100" s="21">
        <v>18.720300000000002</v>
      </c>
      <c r="AI100" s="21">
        <v>-1.48682E-2</v>
      </c>
      <c r="AJ100" s="21">
        <v>90</v>
      </c>
      <c r="AK100" s="21">
        <v>0.35263100000000003</v>
      </c>
      <c r="AL100">
        <f t="shared" si="18"/>
        <v>18.355802469135799</v>
      </c>
      <c r="AM100">
        <f t="shared" si="19"/>
        <v>6.4840220199999994</v>
      </c>
      <c r="AP100" s="9"/>
      <c r="AQ100" s="21">
        <v>1.28677</v>
      </c>
      <c r="AR100" s="21">
        <v>24.1172</v>
      </c>
      <c r="AS100" s="21">
        <v>-1.39557E-2</v>
      </c>
      <c r="AT100" s="21">
        <v>90</v>
      </c>
      <c r="AU100" s="21">
        <v>1.2866200000000001</v>
      </c>
      <c r="AV100">
        <f t="shared" si="20"/>
        <v>17.229259259259258</v>
      </c>
      <c r="AW100">
        <f t="shared" si="21"/>
        <v>22.170093937037034</v>
      </c>
      <c r="AX100" s="9"/>
      <c r="AY100" s="21">
        <v>0.35324100000000003</v>
      </c>
      <c r="AZ100" s="21">
        <v>27.8155</v>
      </c>
      <c r="BA100" s="21">
        <v>-1.4837599999999999E-2</v>
      </c>
      <c r="BB100" s="21">
        <v>90</v>
      </c>
      <c r="BC100" s="21">
        <v>0.35269200000000001</v>
      </c>
      <c r="BD100">
        <f t="shared" si="22"/>
        <v>18.318024691358023</v>
      </c>
      <c r="BE100">
        <f t="shared" si="23"/>
        <v>6.4706773599999998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5.9287799999999997</v>
      </c>
      <c r="I101" s="21">
        <v>-1.3897700000000001E-2</v>
      </c>
      <c r="J101" s="21">
        <v>91</v>
      </c>
      <c r="K101" s="21">
        <v>1.2805200000000001</v>
      </c>
      <c r="L101">
        <f t="shared" si="12"/>
        <v>17.157654320987653</v>
      </c>
      <c r="M101">
        <f t="shared" si="13"/>
        <v>21.991651849382716</v>
      </c>
      <c r="N101" s="9"/>
      <c r="O101" s="21">
        <v>0.35827599999999998</v>
      </c>
      <c r="P101" s="21">
        <v>9.6271199999999997</v>
      </c>
      <c r="Q101" s="21">
        <v>-1.5014599999999999E-2</v>
      </c>
      <c r="R101" s="21">
        <v>91</v>
      </c>
      <c r="S101" s="21">
        <v>0.35763499999999998</v>
      </c>
      <c r="T101">
        <f t="shared" si="14"/>
        <v>18.536543209876541</v>
      </c>
      <c r="U101">
        <f t="shared" si="15"/>
        <v>6.6411985550617274</v>
      </c>
      <c r="X101" s="9"/>
      <c r="Y101" s="21">
        <v>1.2817400000000001</v>
      </c>
      <c r="Z101" s="21">
        <v>15.032</v>
      </c>
      <c r="AA101" s="21">
        <v>-1.3943499999999999E-2</v>
      </c>
      <c r="AB101" s="21">
        <v>91</v>
      </c>
      <c r="AC101" s="21">
        <v>1.2808200000000001</v>
      </c>
      <c r="AD101">
        <f t="shared" si="16"/>
        <v>17.214197530864197</v>
      </c>
      <c r="AE101">
        <f t="shared" si="17"/>
        <v>22.06412554320988</v>
      </c>
      <c r="AF101" s="9"/>
      <c r="AG101" s="21">
        <v>0.35827599999999998</v>
      </c>
      <c r="AH101" s="21">
        <v>18.7303</v>
      </c>
      <c r="AI101" s="21">
        <v>-1.4871199999999999E-2</v>
      </c>
      <c r="AJ101" s="21">
        <v>91</v>
      </c>
      <c r="AK101" s="21">
        <v>0.35772700000000002</v>
      </c>
      <c r="AL101">
        <f t="shared" si="18"/>
        <v>18.359506172839506</v>
      </c>
      <c r="AM101">
        <f t="shared" si="19"/>
        <v>6.5777704335802465</v>
      </c>
      <c r="AP101" s="9"/>
      <c r="AQ101" s="21">
        <v>1.2817400000000001</v>
      </c>
      <c r="AR101" s="21">
        <v>24.127199999999998</v>
      </c>
      <c r="AS101" s="21">
        <v>-1.3964799999999999E-2</v>
      </c>
      <c r="AT101" s="21">
        <v>91</v>
      </c>
      <c r="AU101" s="21">
        <v>1.2814300000000001</v>
      </c>
      <c r="AV101">
        <f t="shared" si="20"/>
        <v>17.240493827160492</v>
      </c>
      <c r="AW101">
        <f t="shared" si="21"/>
        <v>22.09783055802469</v>
      </c>
      <c r="AX101" s="9"/>
      <c r="AY101" s="21">
        <v>0.35827599999999998</v>
      </c>
      <c r="AZ101" s="21">
        <v>27.825600000000001</v>
      </c>
      <c r="BA101" s="21">
        <v>-1.4819300000000001E-2</v>
      </c>
      <c r="BB101" s="21">
        <v>91</v>
      </c>
      <c r="BC101" s="21">
        <v>0.35772700000000002</v>
      </c>
      <c r="BD101">
        <f t="shared" si="22"/>
        <v>18.295432098765431</v>
      </c>
      <c r="BE101">
        <f t="shared" si="23"/>
        <v>6.554814230617283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5.9388500000000004</v>
      </c>
      <c r="I102" s="21">
        <v>-1.39069E-2</v>
      </c>
      <c r="J102" s="21">
        <v>92</v>
      </c>
      <c r="K102" s="21">
        <v>1.2759400000000001</v>
      </c>
      <c r="L102">
        <f t="shared" si="12"/>
        <v>17.169012345679011</v>
      </c>
      <c r="M102">
        <f t="shared" si="13"/>
        <v>21.919678061728394</v>
      </c>
      <c r="N102" s="9"/>
      <c r="O102" s="21">
        <v>0.36331200000000002</v>
      </c>
      <c r="P102" s="21">
        <v>9.6371900000000004</v>
      </c>
      <c r="Q102" s="21">
        <v>-1.50055E-2</v>
      </c>
      <c r="R102" s="21">
        <v>92</v>
      </c>
      <c r="S102" s="21">
        <v>0.36254900000000001</v>
      </c>
      <c r="T102">
        <f t="shared" si="14"/>
        <v>18.525308641975307</v>
      </c>
      <c r="U102">
        <f t="shared" si="15"/>
        <v>6.7304669333333331</v>
      </c>
      <c r="X102" s="9"/>
      <c r="Y102" s="21">
        <v>1.2766999999999999</v>
      </c>
      <c r="Z102" s="21">
        <v>15.0421</v>
      </c>
      <c r="AA102" s="21">
        <v>-1.3964799999999999E-2</v>
      </c>
      <c r="AB102" s="21">
        <v>92</v>
      </c>
      <c r="AC102" s="21">
        <v>1.27563</v>
      </c>
      <c r="AD102">
        <f t="shared" si="16"/>
        <v>17.240493827160492</v>
      </c>
      <c r="AE102">
        <f t="shared" si="17"/>
        <v>22.010938469135798</v>
      </c>
      <c r="AF102" s="9"/>
      <c r="AG102" s="21">
        <v>0.36331200000000002</v>
      </c>
      <c r="AH102" s="21">
        <v>18.740400000000001</v>
      </c>
      <c r="AI102" s="21">
        <v>-1.48682E-2</v>
      </c>
      <c r="AJ102" s="21">
        <v>92</v>
      </c>
      <c r="AK102" s="21">
        <v>0.362732</v>
      </c>
      <c r="AL102">
        <f t="shared" si="18"/>
        <v>18.355802469135799</v>
      </c>
      <c r="AM102">
        <f t="shared" si="19"/>
        <v>6.6688833066666655</v>
      </c>
      <c r="AP102" s="9"/>
      <c r="AQ102" s="21">
        <v>1.2766999999999999</v>
      </c>
      <c r="AR102" s="21">
        <v>24.1373</v>
      </c>
      <c r="AS102" s="21">
        <v>-1.3974E-2</v>
      </c>
      <c r="AT102" s="21">
        <v>92</v>
      </c>
      <c r="AU102" s="21">
        <v>1.2759400000000001</v>
      </c>
      <c r="AV102">
        <f t="shared" si="20"/>
        <v>17.251851851851853</v>
      </c>
      <c r="AW102">
        <f t="shared" si="21"/>
        <v>22.025439259259262</v>
      </c>
      <c r="AX102" s="9"/>
      <c r="AY102" s="21">
        <v>0.36331200000000002</v>
      </c>
      <c r="AZ102" s="21">
        <v>27.835599999999999</v>
      </c>
      <c r="BA102" s="21">
        <v>-1.48071E-2</v>
      </c>
      <c r="BB102" s="21">
        <v>92</v>
      </c>
      <c r="BC102" s="21">
        <v>0.362701</v>
      </c>
      <c r="BD102">
        <f t="shared" si="22"/>
        <v>18.28037037037037</v>
      </c>
      <c r="BE102">
        <f t="shared" si="23"/>
        <v>6.6414779200000007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5.9489200000000002</v>
      </c>
      <c r="I103" s="21">
        <v>-1.39282E-2</v>
      </c>
      <c r="J103" s="21">
        <v>93</v>
      </c>
      <c r="K103" s="21">
        <v>1.27075</v>
      </c>
      <c r="L103">
        <f t="shared" si="12"/>
        <v>17.195308641975309</v>
      </c>
      <c r="M103">
        <f t="shared" si="13"/>
        <v>21.866758140740743</v>
      </c>
      <c r="N103" s="9"/>
      <c r="O103" s="21">
        <v>0.36834699999999998</v>
      </c>
      <c r="P103" s="21">
        <v>9.6472599999999993</v>
      </c>
      <c r="Q103" s="21">
        <v>-1.4993299999999999E-2</v>
      </c>
      <c r="R103" s="21">
        <v>93</v>
      </c>
      <c r="S103" s="21">
        <v>0.36773699999999998</v>
      </c>
      <c r="T103">
        <f t="shared" si="14"/>
        <v>18.510246913580243</v>
      </c>
      <c r="U103">
        <f t="shared" si="15"/>
        <v>6.8181939198765411</v>
      </c>
      <c r="X103" s="9"/>
      <c r="Y103" s="21">
        <v>1.2716700000000001</v>
      </c>
      <c r="Z103" s="21">
        <v>15.052099999999999</v>
      </c>
      <c r="AA103" s="21">
        <v>-1.3992299999999999E-2</v>
      </c>
      <c r="AB103" s="21">
        <v>93</v>
      </c>
      <c r="AC103" s="21">
        <v>1.27136</v>
      </c>
      <c r="AD103">
        <f t="shared" si="16"/>
        <v>17.274444444444445</v>
      </c>
      <c r="AE103">
        <f t="shared" si="17"/>
        <v>21.96739276666667</v>
      </c>
      <c r="AF103" s="9"/>
      <c r="AG103" s="21">
        <v>0.36834699999999998</v>
      </c>
      <c r="AH103" s="21">
        <v>18.750499999999999</v>
      </c>
      <c r="AI103" s="21">
        <v>-1.4855999999999999E-2</v>
      </c>
      <c r="AJ103" s="21">
        <v>93</v>
      </c>
      <c r="AK103" s="21">
        <v>0.36770599999999998</v>
      </c>
      <c r="AL103">
        <f t="shared" si="18"/>
        <v>18.340740740740738</v>
      </c>
      <c r="AM103">
        <f t="shared" si="19"/>
        <v>6.755756829629628</v>
      </c>
      <c r="AP103" s="9"/>
      <c r="AQ103" s="21">
        <v>1.2716700000000001</v>
      </c>
      <c r="AR103" s="21">
        <v>24.147400000000001</v>
      </c>
      <c r="AS103" s="21">
        <v>-1.39893E-2</v>
      </c>
      <c r="AT103" s="21">
        <v>93</v>
      </c>
      <c r="AU103" s="21">
        <v>1.2704500000000001</v>
      </c>
      <c r="AV103">
        <f t="shared" si="20"/>
        <v>17.270740740740738</v>
      </c>
      <c r="AW103">
        <f t="shared" si="21"/>
        <v>21.962682877777777</v>
      </c>
      <c r="AX103" s="9"/>
      <c r="AY103" s="21">
        <v>0.36834699999999998</v>
      </c>
      <c r="AZ103" s="21">
        <v>27.845700000000001</v>
      </c>
      <c r="BA103" s="21">
        <v>-1.47949E-2</v>
      </c>
      <c r="BB103" s="21">
        <v>93</v>
      </c>
      <c r="BC103" s="21">
        <v>0.36770599999999998</v>
      </c>
      <c r="BD103">
        <f t="shared" si="22"/>
        <v>18.265308641975306</v>
      </c>
      <c r="BE103">
        <f t="shared" si="23"/>
        <v>6.7279716423456772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5.95899</v>
      </c>
      <c r="I104" s="21">
        <v>-1.3943499999999999E-2</v>
      </c>
      <c r="J104" s="21">
        <v>94</v>
      </c>
      <c r="K104" s="21">
        <v>1.2658700000000001</v>
      </c>
      <c r="L104">
        <f t="shared" si="12"/>
        <v>17.214197530864197</v>
      </c>
      <c r="M104">
        <f t="shared" si="13"/>
        <v>21.804019018518517</v>
      </c>
      <c r="N104" s="9"/>
      <c r="O104" s="21">
        <v>0.37338300000000002</v>
      </c>
      <c r="P104" s="21">
        <v>9.65733</v>
      </c>
      <c r="Q104" s="21">
        <v>-1.4987199999999999E-2</v>
      </c>
      <c r="R104" s="21">
        <v>94</v>
      </c>
      <c r="S104" s="21">
        <v>0.37283300000000003</v>
      </c>
      <c r="T104">
        <f t="shared" si="14"/>
        <v>18.502716049382713</v>
      </c>
      <c r="U104">
        <f t="shared" si="15"/>
        <v>6.9085996266666658</v>
      </c>
      <c r="X104" s="9"/>
      <c r="Y104" s="21">
        <v>1.2666299999999999</v>
      </c>
      <c r="Z104" s="21">
        <v>15.062200000000001</v>
      </c>
      <c r="AA104" s="21">
        <v>-1.40076E-2</v>
      </c>
      <c r="AB104" s="21">
        <v>94</v>
      </c>
      <c r="AC104" s="21">
        <v>1.26617</v>
      </c>
      <c r="AD104">
        <f t="shared" si="16"/>
        <v>17.293333333333333</v>
      </c>
      <c r="AE104">
        <f t="shared" si="17"/>
        <v>21.904254799999997</v>
      </c>
      <c r="AF104" s="9"/>
      <c r="AG104" s="21">
        <v>0.37338300000000002</v>
      </c>
      <c r="AH104" s="21">
        <v>18.7605</v>
      </c>
      <c r="AI104" s="21">
        <v>-1.48468E-2</v>
      </c>
      <c r="AJ104" s="21">
        <v>94</v>
      </c>
      <c r="AK104" s="21">
        <v>0.37286399999999997</v>
      </c>
      <c r="AL104">
        <f t="shared" si="18"/>
        <v>18.329382716049381</v>
      </c>
      <c r="AM104">
        <f t="shared" si="19"/>
        <v>6.8438799066666665</v>
      </c>
      <c r="AP104" s="9"/>
      <c r="AQ104" s="21">
        <v>1.2666299999999999</v>
      </c>
      <c r="AR104" s="21">
        <v>24.157399999999999</v>
      </c>
      <c r="AS104" s="21">
        <v>-1.3998399999999999E-2</v>
      </c>
      <c r="AT104" s="21">
        <v>94</v>
      </c>
      <c r="AU104" s="21">
        <v>1.26556</v>
      </c>
      <c r="AV104">
        <f t="shared" si="20"/>
        <v>17.281975308641975</v>
      </c>
      <c r="AW104">
        <f t="shared" si="21"/>
        <v>21.889868385185185</v>
      </c>
      <c r="AX104" s="9"/>
      <c r="AY104" s="21">
        <v>0.37338300000000002</v>
      </c>
      <c r="AZ104" s="21">
        <v>27.855799999999999</v>
      </c>
      <c r="BA104" s="21">
        <v>-1.4776600000000001E-2</v>
      </c>
      <c r="BB104" s="21">
        <v>94</v>
      </c>
      <c r="BC104" s="21">
        <v>0.37277199999999999</v>
      </c>
      <c r="BD104">
        <f t="shared" si="22"/>
        <v>18.242716049382715</v>
      </c>
      <c r="BE104">
        <f t="shared" si="23"/>
        <v>6.8115200466666668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5.9690599999999998</v>
      </c>
      <c r="I105" s="21">
        <v>-1.3952600000000001E-2</v>
      </c>
      <c r="J105" s="21">
        <v>95</v>
      </c>
      <c r="K105" s="21">
        <v>1.2609900000000001</v>
      </c>
      <c r="L105">
        <f t="shared" si="12"/>
        <v>17.225432098765431</v>
      </c>
      <c r="M105">
        <f t="shared" si="13"/>
        <v>21.731605135802468</v>
      </c>
      <c r="N105" s="9"/>
      <c r="O105" s="21">
        <v>0.37841799999999998</v>
      </c>
      <c r="P105" s="21">
        <v>9.6674000000000007</v>
      </c>
      <c r="Q105" s="21">
        <v>-1.4981100000000001E-2</v>
      </c>
      <c r="R105" s="21">
        <v>95</v>
      </c>
      <c r="S105" s="21">
        <v>0.37783800000000001</v>
      </c>
      <c r="T105">
        <f t="shared" si="14"/>
        <v>18.495185185185186</v>
      </c>
      <c r="U105">
        <f t="shared" si="15"/>
        <v>6.9989109874074069</v>
      </c>
      <c r="X105" s="9"/>
      <c r="Y105" s="21">
        <v>1.2616000000000001</v>
      </c>
      <c r="Z105" s="21">
        <v>15.0723</v>
      </c>
      <c r="AA105" s="21">
        <v>-1.40167E-2</v>
      </c>
      <c r="AB105" s="21">
        <v>95</v>
      </c>
      <c r="AC105" s="21">
        <v>1.26068</v>
      </c>
      <c r="AD105">
        <f t="shared" si="16"/>
        <v>17.304567901234567</v>
      </c>
      <c r="AE105">
        <f t="shared" si="17"/>
        <v>21.83144286419753</v>
      </c>
      <c r="AF105" s="9"/>
      <c r="AG105" s="21">
        <v>0.37841799999999998</v>
      </c>
      <c r="AH105" s="21">
        <v>18.770600000000002</v>
      </c>
      <c r="AI105" s="21">
        <v>-1.48468E-2</v>
      </c>
      <c r="AJ105" s="21">
        <v>95</v>
      </c>
      <c r="AK105" s="21">
        <v>0.37765500000000002</v>
      </c>
      <c r="AL105">
        <f t="shared" si="18"/>
        <v>18.329382716049381</v>
      </c>
      <c r="AM105">
        <f t="shared" si="19"/>
        <v>6.9361683486419743</v>
      </c>
      <c r="AP105" s="9"/>
      <c r="AQ105" s="21">
        <v>1.2616000000000001</v>
      </c>
      <c r="AR105" s="21">
        <v>24.1675</v>
      </c>
      <c r="AS105" s="21">
        <v>-1.40045E-2</v>
      </c>
      <c r="AT105" s="21">
        <v>95</v>
      </c>
      <c r="AU105" s="21">
        <v>1.2609900000000001</v>
      </c>
      <c r="AV105">
        <f t="shared" si="20"/>
        <v>17.289506172839506</v>
      </c>
      <c r="AW105">
        <f t="shared" si="21"/>
        <v>21.81244098765432</v>
      </c>
      <c r="AX105" s="9"/>
      <c r="AY105" s="21">
        <v>0.37841799999999998</v>
      </c>
      <c r="AZ105" s="21">
        <v>27.8658</v>
      </c>
      <c r="BA105" s="21">
        <v>-1.4770500000000001E-2</v>
      </c>
      <c r="BB105" s="21">
        <v>95</v>
      </c>
      <c r="BC105" s="21">
        <v>0.37789899999999998</v>
      </c>
      <c r="BD105">
        <f t="shared" si="22"/>
        <v>18.235185185185184</v>
      </c>
      <c r="BE105">
        <f t="shared" si="23"/>
        <v>6.9005223074074067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5.9791400000000001</v>
      </c>
      <c r="I106" s="21">
        <v>-1.3974E-2</v>
      </c>
      <c r="J106" s="21">
        <v>96</v>
      </c>
      <c r="K106" s="21">
        <v>1.25519</v>
      </c>
      <c r="L106">
        <f t="shared" si="12"/>
        <v>17.251851851851853</v>
      </c>
      <c r="M106">
        <f t="shared" si="13"/>
        <v>21.677986962962962</v>
      </c>
      <c r="N106" s="9"/>
      <c r="O106" s="21">
        <v>0.38345299999999999</v>
      </c>
      <c r="P106" s="21">
        <v>9.6774699999999996</v>
      </c>
      <c r="Q106" s="21">
        <v>-1.49719E-2</v>
      </c>
      <c r="R106" s="21">
        <v>96</v>
      </c>
      <c r="S106" s="21">
        <v>0.38293500000000003</v>
      </c>
      <c r="T106">
        <f t="shared" si="14"/>
        <v>18.483827160493824</v>
      </c>
      <c r="U106">
        <f t="shared" si="15"/>
        <v>7.087678976172838</v>
      </c>
      <c r="X106" s="9"/>
      <c r="Y106" s="21">
        <v>1.2565599999999999</v>
      </c>
      <c r="Z106" s="21">
        <v>15.0824</v>
      </c>
      <c r="AA106" s="21">
        <v>-1.4019800000000001E-2</v>
      </c>
      <c r="AB106" s="21">
        <v>96</v>
      </c>
      <c r="AC106" s="21">
        <v>1.25549</v>
      </c>
      <c r="AD106">
        <f t="shared" si="16"/>
        <v>17.308395061728394</v>
      </c>
      <c r="AE106">
        <f t="shared" si="17"/>
        <v>21.749036898765429</v>
      </c>
      <c r="AF106" s="9"/>
      <c r="AG106" s="21">
        <v>0.38345299999999999</v>
      </c>
      <c r="AH106" s="21">
        <v>18.7807</v>
      </c>
      <c r="AI106" s="21">
        <v>-1.4855999999999999E-2</v>
      </c>
      <c r="AJ106" s="21">
        <v>96</v>
      </c>
      <c r="AK106" s="21">
        <v>0.38281300000000001</v>
      </c>
      <c r="AL106">
        <f t="shared" si="18"/>
        <v>18.340740740740738</v>
      </c>
      <c r="AM106">
        <f t="shared" si="19"/>
        <v>7.0328120592592578</v>
      </c>
      <c r="AP106" s="9"/>
      <c r="AQ106" s="21">
        <v>1.2565599999999999</v>
      </c>
      <c r="AR106" s="21">
        <v>24.177600000000002</v>
      </c>
      <c r="AS106" s="21">
        <v>-1.40167E-2</v>
      </c>
      <c r="AT106" s="21">
        <v>96</v>
      </c>
      <c r="AU106" s="21">
        <v>1.25549</v>
      </c>
      <c r="AV106">
        <f t="shared" si="20"/>
        <v>17.304567901234567</v>
      </c>
      <c r="AW106">
        <f t="shared" si="21"/>
        <v>21.744227841975306</v>
      </c>
      <c r="AX106" s="9"/>
      <c r="AY106" s="21">
        <v>0.38345299999999999</v>
      </c>
      <c r="AZ106" s="21">
        <v>27.875900000000001</v>
      </c>
      <c r="BA106" s="21">
        <v>-1.47736E-2</v>
      </c>
      <c r="BB106" s="21">
        <v>96</v>
      </c>
      <c r="BC106" s="21">
        <v>0.38281300000000001</v>
      </c>
      <c r="BD106">
        <f t="shared" si="22"/>
        <v>18.239012345679011</v>
      </c>
      <c r="BE106">
        <f t="shared" si="23"/>
        <v>6.9938040009876534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5.9892099999999999</v>
      </c>
      <c r="I107" s="21">
        <v>-1.3977099999999999E-2</v>
      </c>
      <c r="J107" s="21">
        <v>97</v>
      </c>
      <c r="K107" s="21">
        <v>1.25092</v>
      </c>
      <c r="L107">
        <f t="shared" si="12"/>
        <v>17.255679012345677</v>
      </c>
      <c r="M107">
        <f t="shared" si="13"/>
        <v>21.595999954320988</v>
      </c>
      <c r="N107" s="9"/>
      <c r="O107" s="21">
        <v>0.38848899999999997</v>
      </c>
      <c r="P107" s="21">
        <v>9.6875400000000003</v>
      </c>
      <c r="Q107" s="21">
        <v>-1.4975E-2</v>
      </c>
      <c r="R107" s="21">
        <v>97</v>
      </c>
      <c r="S107" s="21">
        <v>0.38803100000000001</v>
      </c>
      <c r="T107">
        <f t="shared" si="14"/>
        <v>18.487654320987652</v>
      </c>
      <c r="U107">
        <f t="shared" si="15"/>
        <v>7.1822503395061714</v>
      </c>
      <c r="X107" s="9"/>
      <c r="Y107" s="21">
        <v>1.25153</v>
      </c>
      <c r="Z107" s="21">
        <v>15.0924</v>
      </c>
      <c r="AA107" s="21">
        <v>-1.40289E-2</v>
      </c>
      <c r="AB107" s="21">
        <v>97</v>
      </c>
      <c r="AC107" s="21">
        <v>1.25092</v>
      </c>
      <c r="AD107">
        <f t="shared" si="16"/>
        <v>17.319629629629631</v>
      </c>
      <c r="AE107">
        <f t="shared" si="17"/>
        <v>21.676036070370372</v>
      </c>
      <c r="AF107" s="9"/>
      <c r="AG107" s="21">
        <v>0.38848899999999997</v>
      </c>
      <c r="AH107" s="21">
        <v>18.790800000000001</v>
      </c>
      <c r="AI107" s="21">
        <v>-1.4865099999999999E-2</v>
      </c>
      <c r="AJ107" s="21">
        <v>97</v>
      </c>
      <c r="AK107" s="21">
        <v>0.38775599999999999</v>
      </c>
      <c r="AL107">
        <f t="shared" si="18"/>
        <v>18.351975308641972</v>
      </c>
      <c r="AM107">
        <f t="shared" si="19"/>
        <v>7.1295405356790109</v>
      </c>
      <c r="AP107" s="9"/>
      <c r="AQ107" s="21">
        <v>1.25153</v>
      </c>
      <c r="AR107" s="21">
        <v>24.1876</v>
      </c>
      <c r="AS107" s="21">
        <v>-1.4025900000000001E-2</v>
      </c>
      <c r="AT107" s="21">
        <v>97</v>
      </c>
      <c r="AU107" s="21">
        <v>1.25031</v>
      </c>
      <c r="AV107">
        <f t="shared" si="20"/>
        <v>17.315925925925924</v>
      </c>
      <c r="AW107">
        <f t="shared" si="21"/>
        <v>21.671400774074073</v>
      </c>
      <c r="AX107" s="9"/>
      <c r="AY107" s="21">
        <v>0.38848899999999997</v>
      </c>
      <c r="AZ107" s="21">
        <v>27.885999999999999</v>
      </c>
      <c r="BA107" s="21">
        <v>-1.47888E-2</v>
      </c>
      <c r="BB107" s="21">
        <v>97</v>
      </c>
      <c r="BC107" s="21">
        <v>0.387878</v>
      </c>
      <c r="BD107">
        <f t="shared" si="22"/>
        <v>18.257777777777775</v>
      </c>
      <c r="BE107">
        <f t="shared" si="23"/>
        <v>7.09294583111111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5.9992799999999997</v>
      </c>
      <c r="I108" s="21">
        <v>-1.39709E-2</v>
      </c>
      <c r="J108" s="21">
        <v>98</v>
      </c>
      <c r="K108" s="21">
        <v>1.24573</v>
      </c>
      <c r="L108">
        <f t="shared" si="12"/>
        <v>17.248024691358022</v>
      </c>
      <c r="M108">
        <f t="shared" si="13"/>
        <v>21.499490297530862</v>
      </c>
      <c r="N108" s="9"/>
      <c r="O108" s="21">
        <v>0.39352399999999998</v>
      </c>
      <c r="P108" s="21">
        <v>9.6976099999999992</v>
      </c>
      <c r="Q108" s="21">
        <v>-1.49689E-2</v>
      </c>
      <c r="R108" s="21">
        <v>98</v>
      </c>
      <c r="S108" s="21">
        <v>0.39288299999999998</v>
      </c>
      <c r="T108">
        <f t="shared" si="14"/>
        <v>18.480123456790125</v>
      </c>
      <c r="U108">
        <f t="shared" si="15"/>
        <v>7.2723721032098769</v>
      </c>
      <c r="X108" s="9"/>
      <c r="Y108" s="21">
        <v>1.2464900000000001</v>
      </c>
      <c r="Z108" s="21">
        <v>15.102499999999999</v>
      </c>
      <c r="AA108" s="21">
        <v>-1.4035000000000001E-2</v>
      </c>
      <c r="AB108" s="21">
        <v>98</v>
      </c>
      <c r="AC108" s="21">
        <v>1.24512</v>
      </c>
      <c r="AD108">
        <f t="shared" si="16"/>
        <v>17.327160493827162</v>
      </c>
      <c r="AE108">
        <f t="shared" si="17"/>
        <v>21.598132283950619</v>
      </c>
      <c r="AF108" s="9"/>
      <c r="AG108" s="21">
        <v>0.39352399999999998</v>
      </c>
      <c r="AH108" s="21">
        <v>18.800799999999999</v>
      </c>
      <c r="AI108" s="21">
        <v>-1.48743E-2</v>
      </c>
      <c r="AJ108" s="21">
        <v>98</v>
      </c>
      <c r="AK108" s="21">
        <v>0.39294400000000002</v>
      </c>
      <c r="AL108">
        <f t="shared" si="18"/>
        <v>18.363333333333333</v>
      </c>
      <c r="AM108">
        <f t="shared" si="19"/>
        <v>7.2264123866666665</v>
      </c>
      <c r="AP108" s="9"/>
      <c r="AQ108" s="21">
        <v>1.2464900000000001</v>
      </c>
      <c r="AR108" s="21">
        <v>24.197700000000001</v>
      </c>
      <c r="AS108" s="21">
        <v>-1.4035000000000001E-2</v>
      </c>
      <c r="AT108" s="21">
        <v>98</v>
      </c>
      <c r="AU108" s="21">
        <v>1.24512</v>
      </c>
      <c r="AV108">
        <f t="shared" si="20"/>
        <v>17.327160493827162</v>
      </c>
      <c r="AW108">
        <f t="shared" si="21"/>
        <v>21.598132283950619</v>
      </c>
      <c r="AX108" s="9"/>
      <c r="AY108" s="21">
        <v>0.39352399999999998</v>
      </c>
      <c r="AZ108" s="21">
        <v>27.896100000000001</v>
      </c>
      <c r="BA108" s="21">
        <v>-1.47888E-2</v>
      </c>
      <c r="BB108" s="21">
        <v>98</v>
      </c>
      <c r="BC108" s="21">
        <v>0.39291399999999999</v>
      </c>
      <c r="BD108">
        <f t="shared" si="22"/>
        <v>18.257777777777775</v>
      </c>
      <c r="BE108">
        <f t="shared" si="23"/>
        <v>7.1848737422222211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6.0093500000000004</v>
      </c>
      <c r="I109" s="21">
        <v>-1.39709E-2</v>
      </c>
      <c r="J109" s="21">
        <v>99</v>
      </c>
      <c r="K109" s="21">
        <v>1.2402299999999999</v>
      </c>
      <c r="L109">
        <f t="shared" si="12"/>
        <v>17.248024691358022</v>
      </c>
      <c r="M109">
        <f t="shared" si="13"/>
        <v>21.412732733333332</v>
      </c>
      <c r="N109" s="9"/>
      <c r="O109" s="21">
        <v>0.39856000000000003</v>
      </c>
      <c r="P109" s="21">
        <v>9.7076899999999995</v>
      </c>
      <c r="Q109" s="21">
        <v>-1.49628E-2</v>
      </c>
      <c r="R109" s="21">
        <v>99</v>
      </c>
      <c r="S109" s="21">
        <v>0.39788800000000002</v>
      </c>
      <c r="T109">
        <f t="shared" si="14"/>
        <v>18.472592592592594</v>
      </c>
      <c r="U109">
        <f t="shared" si="15"/>
        <v>7.3624365037037052</v>
      </c>
      <c r="X109" s="9"/>
      <c r="Y109" s="21">
        <v>1.24146</v>
      </c>
      <c r="Z109" s="21">
        <v>15.1126</v>
      </c>
      <c r="AA109" s="21">
        <v>-1.40381E-2</v>
      </c>
      <c r="AB109" s="21">
        <v>99</v>
      </c>
      <c r="AC109" s="21">
        <v>1.24054</v>
      </c>
      <c r="AD109">
        <f t="shared" si="16"/>
        <v>17.330987654320985</v>
      </c>
      <c r="AE109">
        <f t="shared" si="17"/>
        <v>21.515727933333331</v>
      </c>
      <c r="AF109" s="9"/>
      <c r="AG109" s="21">
        <v>0.39856000000000003</v>
      </c>
      <c r="AH109" s="21">
        <v>18.8109</v>
      </c>
      <c r="AI109" s="21">
        <v>-1.48682E-2</v>
      </c>
      <c r="AJ109" s="21">
        <v>99</v>
      </c>
      <c r="AK109" s="21">
        <v>0.39798</v>
      </c>
      <c r="AL109">
        <f t="shared" si="18"/>
        <v>18.355802469135799</v>
      </c>
      <c r="AM109">
        <f t="shared" si="19"/>
        <v>7.3158886320987646</v>
      </c>
      <c r="AP109" s="9"/>
      <c r="AQ109" s="21">
        <v>1.24146</v>
      </c>
      <c r="AR109" s="21">
        <v>24.207799999999999</v>
      </c>
      <c r="AS109" s="21">
        <v>-1.4041100000000001E-2</v>
      </c>
      <c r="AT109" s="21">
        <v>99</v>
      </c>
      <c r="AU109" s="21">
        <v>1.24054</v>
      </c>
      <c r="AV109">
        <f t="shared" si="20"/>
        <v>17.334691358024692</v>
      </c>
      <c r="AW109">
        <f t="shared" si="21"/>
        <v>21.520325933333336</v>
      </c>
      <c r="AX109" s="9"/>
      <c r="AY109" s="21">
        <v>0.39856000000000003</v>
      </c>
      <c r="AZ109" s="21">
        <v>27.906099999999999</v>
      </c>
      <c r="BA109" s="21">
        <v>-1.47858E-2</v>
      </c>
      <c r="BB109" s="21">
        <v>99</v>
      </c>
      <c r="BC109" s="21">
        <v>0.39798</v>
      </c>
      <c r="BD109">
        <f t="shared" si="22"/>
        <v>18.254074074074072</v>
      </c>
      <c r="BE109">
        <f t="shared" si="23"/>
        <v>7.2753437629629625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6.0194200000000002</v>
      </c>
      <c r="I110" s="21">
        <v>-1.3974E-2</v>
      </c>
      <c r="J110" s="21">
        <v>100</v>
      </c>
      <c r="K110" s="21">
        <v>1.2353499999999999</v>
      </c>
      <c r="L110">
        <f t="shared" si="12"/>
        <v>17.251851851851853</v>
      </c>
      <c r="M110">
        <f t="shared" si="13"/>
        <v>21.330534666666669</v>
      </c>
      <c r="N110" s="9"/>
      <c r="O110" s="21">
        <v>0.40359499999999998</v>
      </c>
      <c r="P110" s="21">
        <v>9.7177600000000002</v>
      </c>
      <c r="Q110" s="21">
        <v>-1.4953599999999999E-2</v>
      </c>
      <c r="R110" s="21">
        <v>100</v>
      </c>
      <c r="S110" s="21">
        <v>0.40304600000000002</v>
      </c>
      <c r="T110">
        <f t="shared" si="14"/>
        <v>18.461234567901233</v>
      </c>
      <c r="U110">
        <f t="shared" si="15"/>
        <v>7.4508619654320976</v>
      </c>
      <c r="X110" s="9"/>
      <c r="Y110" s="21">
        <v>1.2364200000000001</v>
      </c>
      <c r="Z110" s="21">
        <v>15.1226</v>
      </c>
      <c r="AA110" s="21">
        <v>-1.4053299999999999E-2</v>
      </c>
      <c r="AB110" s="21">
        <v>100</v>
      </c>
      <c r="AC110" s="21">
        <v>1.23566</v>
      </c>
      <c r="AD110">
        <f t="shared" si="16"/>
        <v>17.349753086419753</v>
      </c>
      <c r="AE110">
        <f t="shared" si="17"/>
        <v>21.45158171111111</v>
      </c>
      <c r="AF110" s="9"/>
      <c r="AG110" s="21">
        <v>0.40359499999999998</v>
      </c>
      <c r="AH110" s="21">
        <v>18.821000000000002</v>
      </c>
      <c r="AI110" s="21">
        <v>-1.4871199999999999E-2</v>
      </c>
      <c r="AJ110" s="21">
        <v>100</v>
      </c>
      <c r="AK110" s="21">
        <v>0.40298499999999998</v>
      </c>
      <c r="AL110">
        <f t="shared" si="18"/>
        <v>18.359506172839506</v>
      </c>
      <c r="AM110">
        <f t="shared" si="19"/>
        <v>7.4098048938271601</v>
      </c>
      <c r="AP110" s="9"/>
      <c r="AQ110" s="21">
        <v>1.2364200000000001</v>
      </c>
      <c r="AR110" s="21">
        <v>24.2179</v>
      </c>
      <c r="AS110" s="21">
        <v>-1.4041100000000001E-2</v>
      </c>
      <c r="AT110" s="21">
        <v>100</v>
      </c>
      <c r="AU110" s="21">
        <v>1.23566</v>
      </c>
      <c r="AV110">
        <f t="shared" si="20"/>
        <v>17.334691358024692</v>
      </c>
      <c r="AW110">
        <f t="shared" si="21"/>
        <v>21.432959088888889</v>
      </c>
      <c r="AX110" s="9"/>
      <c r="AY110" s="21">
        <v>0.40359499999999998</v>
      </c>
      <c r="AZ110" s="21">
        <v>27.9162</v>
      </c>
      <c r="BA110" s="21">
        <v>-1.4770500000000001E-2</v>
      </c>
      <c r="BB110" s="21">
        <v>100</v>
      </c>
      <c r="BC110" s="21">
        <v>0.402924</v>
      </c>
      <c r="BD110">
        <f t="shared" si="22"/>
        <v>18.235185185185184</v>
      </c>
      <c r="BE110">
        <f t="shared" si="23"/>
        <v>7.3596295648148145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6.02949</v>
      </c>
      <c r="I111" s="21">
        <v>-1.39954E-2</v>
      </c>
      <c r="J111" s="21">
        <v>101</v>
      </c>
      <c r="K111" s="21">
        <v>1.23047</v>
      </c>
      <c r="L111">
        <f t="shared" si="12"/>
        <v>17.278271604938272</v>
      </c>
      <c r="M111">
        <f t="shared" si="13"/>
        <v>21.276118088888889</v>
      </c>
      <c r="N111" s="9"/>
      <c r="O111" s="21">
        <v>0.40862999999999999</v>
      </c>
      <c r="P111" s="21">
        <v>9.7278300000000009</v>
      </c>
      <c r="Q111" s="21">
        <v>-1.4953599999999999E-2</v>
      </c>
      <c r="R111" s="21">
        <v>101</v>
      </c>
      <c r="S111" s="21">
        <v>0.40801999999999999</v>
      </c>
      <c r="T111">
        <f t="shared" si="14"/>
        <v>18.461234567901233</v>
      </c>
      <c r="U111">
        <f t="shared" si="15"/>
        <v>7.543814281481481</v>
      </c>
      <c r="X111" s="9"/>
      <c r="Y111" s="21">
        <v>1.2313799999999999</v>
      </c>
      <c r="Z111" s="21">
        <v>15.1327</v>
      </c>
      <c r="AA111" s="21">
        <v>-1.40594E-2</v>
      </c>
      <c r="AB111" s="21">
        <v>101</v>
      </c>
      <c r="AC111" s="21">
        <v>1.2301599999999999</v>
      </c>
      <c r="AD111">
        <f t="shared" si="16"/>
        <v>17.357283950617283</v>
      </c>
      <c r="AE111">
        <f t="shared" si="17"/>
        <v>21.37341231111111</v>
      </c>
      <c r="AF111" s="9"/>
      <c r="AG111" s="21">
        <v>0.40862999999999999</v>
      </c>
      <c r="AH111" s="21">
        <v>18.831</v>
      </c>
      <c r="AI111" s="21">
        <v>-1.4855999999999999E-2</v>
      </c>
      <c r="AJ111" s="21">
        <v>101</v>
      </c>
      <c r="AK111" s="21">
        <v>0.40795900000000002</v>
      </c>
      <c r="AL111">
        <f t="shared" si="18"/>
        <v>18.340740740740738</v>
      </c>
      <c r="AM111">
        <f t="shared" si="19"/>
        <v>7.4945768888888882</v>
      </c>
      <c r="AP111" s="9"/>
      <c r="AQ111" s="21">
        <v>1.2313799999999999</v>
      </c>
      <c r="AR111" s="21">
        <v>24.227900000000002</v>
      </c>
      <c r="AS111" s="21">
        <v>-1.40381E-2</v>
      </c>
      <c r="AT111" s="21">
        <v>101</v>
      </c>
      <c r="AU111" s="21">
        <v>1.23108</v>
      </c>
      <c r="AV111">
        <f t="shared" si="20"/>
        <v>17.330987654320985</v>
      </c>
      <c r="AW111">
        <f t="shared" si="21"/>
        <v>21.341031577777773</v>
      </c>
      <c r="AX111" s="9"/>
      <c r="AY111" s="21">
        <v>0.40862999999999999</v>
      </c>
      <c r="AZ111" s="21">
        <v>27.926300000000001</v>
      </c>
      <c r="BA111" s="21">
        <v>-1.4761399999999999E-2</v>
      </c>
      <c r="BB111" s="21">
        <v>101</v>
      </c>
      <c r="BC111" s="21">
        <v>0.40792800000000001</v>
      </c>
      <c r="BD111">
        <f t="shared" si="22"/>
        <v>18.22395061728395</v>
      </c>
      <c r="BE111">
        <f t="shared" si="23"/>
        <v>7.4468529407407402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6.0395599999999998</v>
      </c>
      <c r="I112" s="21">
        <v>-1.40106E-2</v>
      </c>
      <c r="J112" s="21">
        <v>102</v>
      </c>
      <c r="K112" s="21">
        <v>1.2252799999999999</v>
      </c>
      <c r="L112">
        <f t="shared" si="12"/>
        <v>17.297037037037036</v>
      </c>
      <c r="M112">
        <f t="shared" si="13"/>
        <v>21.212221370370369</v>
      </c>
      <c r="N112" s="9"/>
      <c r="O112" s="21">
        <v>0.41366599999999998</v>
      </c>
      <c r="P112" s="21">
        <v>9.7378999999999998</v>
      </c>
      <c r="Q112" s="21">
        <v>-1.49506E-2</v>
      </c>
      <c r="R112" s="21">
        <v>102</v>
      </c>
      <c r="S112" s="21">
        <v>0.41302499999999998</v>
      </c>
      <c r="T112">
        <f t="shared" si="14"/>
        <v>18.45753086419753</v>
      </c>
      <c r="U112">
        <f t="shared" si="15"/>
        <v>7.635252962469135</v>
      </c>
      <c r="X112" s="9"/>
      <c r="Y112" s="21">
        <v>1.2263500000000001</v>
      </c>
      <c r="Z112" s="21">
        <v>15.142799999999999</v>
      </c>
      <c r="AA112" s="21">
        <v>-1.40594E-2</v>
      </c>
      <c r="AB112" s="21">
        <v>102</v>
      </c>
      <c r="AC112" s="21">
        <v>1.2252799999999999</v>
      </c>
      <c r="AD112">
        <f t="shared" si="16"/>
        <v>17.357283950617283</v>
      </c>
      <c r="AE112">
        <f t="shared" si="17"/>
        <v>21.286105172839505</v>
      </c>
      <c r="AF112" s="9"/>
      <c r="AG112" s="21">
        <v>0.41366599999999998</v>
      </c>
      <c r="AH112" s="21">
        <v>18.841100000000001</v>
      </c>
      <c r="AI112" s="21">
        <v>-1.48407E-2</v>
      </c>
      <c r="AJ112" s="21">
        <v>102</v>
      </c>
      <c r="AK112" s="21">
        <v>0.41299400000000003</v>
      </c>
      <c r="AL112">
        <f t="shared" si="18"/>
        <v>18.32185185185185</v>
      </c>
      <c r="AM112">
        <f t="shared" si="19"/>
        <v>7.5791271681481467</v>
      </c>
      <c r="AP112" s="9"/>
      <c r="AQ112" s="21">
        <v>1.2263500000000001</v>
      </c>
      <c r="AR112" s="21">
        <v>24.238</v>
      </c>
      <c r="AS112" s="21">
        <v>-1.4041100000000001E-2</v>
      </c>
      <c r="AT112" s="21">
        <v>102</v>
      </c>
      <c r="AU112" s="21">
        <v>1.2252799999999999</v>
      </c>
      <c r="AV112">
        <f t="shared" si="20"/>
        <v>17.334691358024692</v>
      </c>
      <c r="AW112">
        <f t="shared" si="21"/>
        <v>21.258398746913581</v>
      </c>
      <c r="AX112" s="9"/>
      <c r="AY112" s="21">
        <v>0.41366599999999998</v>
      </c>
      <c r="AZ112" s="21">
        <v>27.936299999999999</v>
      </c>
      <c r="BA112" s="21">
        <v>-1.47522E-2</v>
      </c>
      <c r="BB112" s="21">
        <v>102</v>
      </c>
      <c r="BC112" s="21">
        <v>0.41299400000000003</v>
      </c>
      <c r="BD112">
        <f t="shared" si="22"/>
        <v>18.212592592592593</v>
      </c>
      <c r="BE112">
        <f t="shared" si="23"/>
        <v>7.5339303274074068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6.0496299999999996</v>
      </c>
      <c r="I113" s="21">
        <v>-1.40167E-2</v>
      </c>
      <c r="J113" s="21">
        <v>103</v>
      </c>
      <c r="K113" s="21">
        <v>1.2206999999999999</v>
      </c>
      <c r="L113">
        <f t="shared" si="12"/>
        <v>17.304567901234567</v>
      </c>
      <c r="M113">
        <f t="shared" si="13"/>
        <v>21.134241823456787</v>
      </c>
      <c r="N113" s="9"/>
      <c r="O113" s="21">
        <v>0.41870099999999999</v>
      </c>
      <c r="P113" s="21">
        <v>9.7479700000000005</v>
      </c>
      <c r="Q113" s="21">
        <v>-1.4944499999999999E-2</v>
      </c>
      <c r="R113" s="21">
        <v>103</v>
      </c>
      <c r="S113" s="21">
        <v>0.41805999999999999</v>
      </c>
      <c r="T113">
        <f t="shared" si="14"/>
        <v>18.45</v>
      </c>
      <c r="U113">
        <f t="shared" si="15"/>
        <v>7.7250334499999997</v>
      </c>
      <c r="X113" s="9"/>
      <c r="Y113" s="21">
        <v>1.2213099999999999</v>
      </c>
      <c r="Z113" s="21">
        <v>15.152799999999999</v>
      </c>
      <c r="AA113" s="21">
        <v>-1.4080799999999999E-2</v>
      </c>
      <c r="AB113" s="21">
        <v>103</v>
      </c>
      <c r="AC113" s="21">
        <v>1.2203999999999999</v>
      </c>
      <c r="AD113">
        <f t="shared" si="16"/>
        <v>17.383703703703702</v>
      </c>
      <c r="AE113">
        <f t="shared" si="17"/>
        <v>21.230891170370366</v>
      </c>
      <c r="AF113" s="9"/>
      <c r="AG113" s="21">
        <v>0.41870099999999999</v>
      </c>
      <c r="AH113" s="21">
        <v>18.851199999999999</v>
      </c>
      <c r="AI113" s="21">
        <v>-1.48346E-2</v>
      </c>
      <c r="AJ113" s="21">
        <v>103</v>
      </c>
      <c r="AK113" s="21">
        <v>0.41812100000000002</v>
      </c>
      <c r="AL113">
        <f t="shared" si="18"/>
        <v>18.31432098765432</v>
      </c>
      <c r="AM113">
        <f t="shared" si="19"/>
        <v>7.6682245118518511</v>
      </c>
      <c r="AP113" s="9"/>
      <c r="AQ113" s="21">
        <v>1.2213099999999999</v>
      </c>
      <c r="AR113" s="21">
        <v>24.248100000000001</v>
      </c>
      <c r="AS113" s="21">
        <v>-1.40381E-2</v>
      </c>
      <c r="AT113" s="21">
        <v>103</v>
      </c>
      <c r="AU113" s="21">
        <v>1.2203999999999999</v>
      </c>
      <c r="AV113">
        <f t="shared" si="20"/>
        <v>17.330987654320985</v>
      </c>
      <c r="AW113">
        <f t="shared" si="21"/>
        <v>21.16650853209876</v>
      </c>
      <c r="AX113" s="9"/>
      <c r="AY113" s="21">
        <v>0.41870099999999999</v>
      </c>
      <c r="AZ113" s="21">
        <v>27.946400000000001</v>
      </c>
      <c r="BA113" s="21">
        <v>-1.47461E-2</v>
      </c>
      <c r="BB113" s="21">
        <v>103</v>
      </c>
      <c r="BC113" s="21">
        <v>0.41805999999999999</v>
      </c>
      <c r="BD113">
        <f t="shared" si="22"/>
        <v>18.205061728395062</v>
      </c>
      <c r="BE113">
        <f t="shared" si="23"/>
        <v>7.622477550740741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6.0597000000000003</v>
      </c>
      <c r="I114" s="21">
        <v>-1.40228E-2</v>
      </c>
      <c r="J114" s="21">
        <v>104</v>
      </c>
      <c r="K114" s="21">
        <v>1.2155199999999999</v>
      </c>
      <c r="L114">
        <f t="shared" si="12"/>
        <v>17.312098765432097</v>
      </c>
      <c r="M114">
        <f t="shared" si="13"/>
        <v>21.056359486419751</v>
      </c>
      <c r="N114" s="9"/>
      <c r="O114" s="21">
        <v>0.42373699999999997</v>
      </c>
      <c r="P114" s="21">
        <v>9.7580399999999994</v>
      </c>
      <c r="Q114" s="21">
        <v>-1.4932300000000001E-2</v>
      </c>
      <c r="R114" s="21">
        <v>104</v>
      </c>
      <c r="S114" s="21">
        <v>0.42303499999999999</v>
      </c>
      <c r="T114">
        <f t="shared" si="14"/>
        <v>18.434938271604938</v>
      </c>
      <c r="U114">
        <f t="shared" si="15"/>
        <v>7.8115654383950615</v>
      </c>
      <c r="X114" s="9"/>
      <c r="Y114" s="21">
        <v>1.21628</v>
      </c>
      <c r="Z114" s="21">
        <v>15.1629</v>
      </c>
      <c r="AA114" s="21">
        <v>-1.40991E-2</v>
      </c>
      <c r="AB114" s="21">
        <v>104</v>
      </c>
      <c r="AC114" s="21">
        <v>1.2155199999999999</v>
      </c>
      <c r="AD114">
        <f t="shared" si="16"/>
        <v>17.406296296296293</v>
      </c>
      <c r="AE114">
        <f t="shared" si="17"/>
        <v>21.170930059259256</v>
      </c>
      <c r="AF114" s="9"/>
      <c r="AG114" s="21">
        <v>0.42373699999999997</v>
      </c>
      <c r="AH114" s="21">
        <v>18.8613</v>
      </c>
      <c r="AI114" s="21">
        <v>-1.48285E-2</v>
      </c>
      <c r="AJ114" s="21">
        <v>104</v>
      </c>
      <c r="AK114" s="21">
        <v>0.42309600000000003</v>
      </c>
      <c r="AL114">
        <f t="shared" si="18"/>
        <v>18.306790123456789</v>
      </c>
      <c r="AM114">
        <f t="shared" si="19"/>
        <v>7.7572643265432086</v>
      </c>
      <c r="AP114" s="9"/>
      <c r="AQ114" s="21">
        <v>1.21628</v>
      </c>
      <c r="AR114" s="21">
        <v>24.258099999999999</v>
      </c>
      <c r="AS114" s="21">
        <v>-1.40381E-2</v>
      </c>
      <c r="AT114" s="21">
        <v>104</v>
      </c>
      <c r="AU114" s="21">
        <v>1.2152099999999999</v>
      </c>
      <c r="AV114">
        <f t="shared" si="20"/>
        <v>17.330987654320985</v>
      </c>
      <c r="AW114">
        <f t="shared" si="21"/>
        <v>21.079333664197527</v>
      </c>
      <c r="AX114" s="9"/>
      <c r="AY114" s="21">
        <v>0.42373699999999997</v>
      </c>
      <c r="AZ114" s="21">
        <v>27.956499999999998</v>
      </c>
      <c r="BA114" s="21">
        <v>-1.474E-2</v>
      </c>
      <c r="BB114" s="21">
        <v>104</v>
      </c>
      <c r="BC114" s="21">
        <v>0.42294300000000001</v>
      </c>
      <c r="BD114">
        <f t="shared" si="22"/>
        <v>18.197530864197528</v>
      </c>
      <c r="BE114">
        <f t="shared" si="23"/>
        <v>7.7109671358024672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6.0697700000000001</v>
      </c>
      <c r="I115" s="21">
        <v>-1.40289E-2</v>
      </c>
      <c r="J115" s="21">
        <v>105</v>
      </c>
      <c r="K115" s="21">
        <v>1.2100200000000001</v>
      </c>
      <c r="L115">
        <f t="shared" si="12"/>
        <v>17.319629629629631</v>
      </c>
      <c r="M115">
        <f t="shared" si="13"/>
        <v>20.978228192592596</v>
      </c>
      <c r="N115" s="9"/>
      <c r="O115" s="21">
        <v>0.42877199999999999</v>
      </c>
      <c r="P115" s="21">
        <v>9.7681100000000001</v>
      </c>
      <c r="Q115" s="21">
        <v>-1.4917E-2</v>
      </c>
      <c r="R115" s="21">
        <v>105</v>
      </c>
      <c r="S115" s="21">
        <v>0.42816199999999999</v>
      </c>
      <c r="T115">
        <f t="shared" si="14"/>
        <v>18.416049382716047</v>
      </c>
      <c r="U115">
        <f t="shared" si="15"/>
        <v>7.8962863259259244</v>
      </c>
      <c r="X115" s="9"/>
      <c r="Y115" s="21">
        <v>1.2112400000000001</v>
      </c>
      <c r="Z115" s="21">
        <v>15.173</v>
      </c>
      <c r="AA115" s="21">
        <v>-1.41113E-2</v>
      </c>
      <c r="AB115" s="21">
        <v>105</v>
      </c>
      <c r="AC115" s="21">
        <v>1.2106300000000001</v>
      </c>
      <c r="AD115">
        <f t="shared" si="16"/>
        <v>17.421358024691358</v>
      </c>
      <c r="AE115">
        <f t="shared" si="17"/>
        <v>21.101445693827163</v>
      </c>
      <c r="AF115" s="9"/>
      <c r="AG115" s="21">
        <v>0.42877199999999999</v>
      </c>
      <c r="AH115" s="21">
        <v>18.871300000000002</v>
      </c>
      <c r="AI115" s="21">
        <v>-1.4819300000000001E-2</v>
      </c>
      <c r="AJ115" s="21">
        <v>105</v>
      </c>
      <c r="AK115" s="21">
        <v>0.42813099999999998</v>
      </c>
      <c r="AL115">
        <f t="shared" si="18"/>
        <v>18.295432098765431</v>
      </c>
      <c r="AM115">
        <f t="shared" si="19"/>
        <v>7.844569011851851</v>
      </c>
      <c r="AP115" s="9"/>
      <c r="AQ115" s="21">
        <v>1.2112400000000001</v>
      </c>
      <c r="AR115" s="21">
        <v>24.2682</v>
      </c>
      <c r="AS115" s="21">
        <v>-1.4053299999999999E-2</v>
      </c>
      <c r="AT115" s="21">
        <v>105</v>
      </c>
      <c r="AU115" s="21">
        <v>1.2106300000000001</v>
      </c>
      <c r="AV115">
        <f t="shared" si="20"/>
        <v>17.349753086419753</v>
      </c>
      <c r="AW115">
        <f t="shared" si="21"/>
        <v>21.014714928395062</v>
      </c>
      <c r="AX115" s="9"/>
      <c r="AY115" s="21">
        <v>0.42877199999999999</v>
      </c>
      <c r="AZ115" s="21">
        <v>27.9666</v>
      </c>
      <c r="BA115" s="21">
        <v>-1.474E-2</v>
      </c>
      <c r="BB115" s="21">
        <v>105</v>
      </c>
      <c r="BC115" s="21">
        <v>0.42813099999999998</v>
      </c>
      <c r="BD115">
        <f t="shared" si="22"/>
        <v>18.197530864197528</v>
      </c>
      <c r="BE115">
        <f t="shared" si="23"/>
        <v>7.802591703703702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6.0798500000000004</v>
      </c>
      <c r="I116" s="21">
        <v>-1.4047199999999999E-2</v>
      </c>
      <c r="J116" s="21">
        <v>106</v>
      </c>
      <c r="K116" s="21">
        <v>1.2051400000000001</v>
      </c>
      <c r="L116">
        <f t="shared" si="12"/>
        <v>17.342222222222222</v>
      </c>
      <c r="M116">
        <f t="shared" si="13"/>
        <v>20.918361866666668</v>
      </c>
      <c r="N116" s="9"/>
      <c r="O116" s="21">
        <v>0.433807</v>
      </c>
      <c r="P116" s="21">
        <v>9.7781800000000008</v>
      </c>
      <c r="Q116" s="21">
        <v>-1.49109E-2</v>
      </c>
      <c r="R116" s="21">
        <v>106</v>
      </c>
      <c r="S116" s="21">
        <v>0.433197</v>
      </c>
      <c r="T116">
        <f t="shared" si="14"/>
        <v>18.408518518518516</v>
      </c>
      <c r="U116">
        <f t="shared" si="15"/>
        <v>7.9857441929629616</v>
      </c>
      <c r="X116" s="9"/>
      <c r="Y116" s="21">
        <v>1.20621</v>
      </c>
      <c r="Z116" s="21">
        <v>15.1831</v>
      </c>
      <c r="AA116" s="21">
        <v>-1.41174E-2</v>
      </c>
      <c r="AB116" s="21">
        <v>106</v>
      </c>
      <c r="AC116" s="21">
        <v>1.2054400000000001</v>
      </c>
      <c r="AD116">
        <f t="shared" si="16"/>
        <v>17.428888888888888</v>
      </c>
      <c r="AE116">
        <f t="shared" si="17"/>
        <v>21.022900066666665</v>
      </c>
      <c r="AF116" s="9"/>
      <c r="AG116" s="21">
        <v>0.433807</v>
      </c>
      <c r="AH116" s="21">
        <v>18.881399999999999</v>
      </c>
      <c r="AI116" s="21">
        <v>-1.4819300000000001E-2</v>
      </c>
      <c r="AJ116" s="21">
        <v>106</v>
      </c>
      <c r="AK116" s="21">
        <v>0.43316700000000002</v>
      </c>
      <c r="AL116">
        <f t="shared" si="18"/>
        <v>18.295432098765431</v>
      </c>
      <c r="AM116">
        <f t="shared" si="19"/>
        <v>7.9366865124691355</v>
      </c>
      <c r="AP116" s="9"/>
      <c r="AQ116" s="21">
        <v>1.20621</v>
      </c>
      <c r="AR116" s="21">
        <v>24.278300000000002</v>
      </c>
      <c r="AS116" s="21">
        <v>-1.4068600000000001E-2</v>
      </c>
      <c r="AT116" s="21">
        <v>106</v>
      </c>
      <c r="AU116" s="21">
        <v>1.2051400000000001</v>
      </c>
      <c r="AV116">
        <f t="shared" si="20"/>
        <v>17.368641975308641</v>
      </c>
      <c r="AW116">
        <f t="shared" si="21"/>
        <v>20.950229637037037</v>
      </c>
      <c r="AX116" s="9"/>
      <c r="AY116" s="21">
        <v>0.433807</v>
      </c>
      <c r="AZ116" s="21">
        <v>27.976600000000001</v>
      </c>
      <c r="BA116" s="21">
        <v>-1.47308E-2</v>
      </c>
      <c r="BB116" s="21">
        <v>106</v>
      </c>
      <c r="BC116" s="21">
        <v>0.43328899999999998</v>
      </c>
      <c r="BD116">
        <f t="shared" si="22"/>
        <v>18.186172839506174</v>
      </c>
      <c r="BE116">
        <f t="shared" si="23"/>
        <v>7.8892890809876546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6.0899200000000002</v>
      </c>
      <c r="I117" s="21">
        <v>-1.4065599999999999E-2</v>
      </c>
      <c r="J117" s="21">
        <v>107</v>
      </c>
      <c r="K117" s="21">
        <v>1.2002600000000001</v>
      </c>
      <c r="L117">
        <f t="shared" si="12"/>
        <v>17.364938271604938</v>
      </c>
      <c r="M117">
        <f t="shared" si="13"/>
        <v>20.858242903703704</v>
      </c>
      <c r="N117" s="9"/>
      <c r="O117" s="21">
        <v>0.43884299999999998</v>
      </c>
      <c r="P117" s="21">
        <v>9.7882499999999997</v>
      </c>
      <c r="Q117" s="21">
        <v>-1.49109E-2</v>
      </c>
      <c r="R117" s="21">
        <v>107</v>
      </c>
      <c r="S117" s="21">
        <v>0.43804900000000002</v>
      </c>
      <c r="T117">
        <f t="shared" si="14"/>
        <v>18.408518518518516</v>
      </c>
      <c r="U117">
        <f t="shared" si="15"/>
        <v>8.0784494922222212</v>
      </c>
      <c r="X117" s="9"/>
      <c r="Y117" s="21">
        <v>1.2011700000000001</v>
      </c>
      <c r="Z117" s="21">
        <v>15.193099999999999</v>
      </c>
      <c r="AA117" s="21">
        <v>-1.4114399999999999E-2</v>
      </c>
      <c r="AB117" s="21">
        <v>107</v>
      </c>
      <c r="AC117" s="21">
        <v>1.2002600000000001</v>
      </c>
      <c r="AD117">
        <f t="shared" si="16"/>
        <v>17.425185185185182</v>
      </c>
      <c r="AE117">
        <f t="shared" si="17"/>
        <v>20.930609688888886</v>
      </c>
      <c r="AF117" s="9"/>
      <c r="AG117" s="21">
        <v>0.43884299999999998</v>
      </c>
      <c r="AH117" s="21">
        <v>18.891500000000001</v>
      </c>
      <c r="AI117" s="21">
        <v>-1.48071E-2</v>
      </c>
      <c r="AJ117" s="21">
        <v>107</v>
      </c>
      <c r="AK117" s="21">
        <v>0.43823200000000001</v>
      </c>
      <c r="AL117">
        <f t="shared" si="18"/>
        <v>18.28037037037037</v>
      </c>
      <c r="AM117">
        <f t="shared" si="19"/>
        <v>8.0222125744444437</v>
      </c>
      <c r="AP117" s="9"/>
      <c r="AQ117" s="21">
        <v>1.2011700000000001</v>
      </c>
      <c r="AR117" s="21">
        <v>24.288399999999999</v>
      </c>
      <c r="AS117" s="21">
        <v>-1.409E-2</v>
      </c>
      <c r="AT117" s="21">
        <v>107</v>
      </c>
      <c r="AU117" s="21">
        <v>1.2002600000000001</v>
      </c>
      <c r="AV117">
        <f t="shared" si="20"/>
        <v>17.39506172839506</v>
      </c>
      <c r="AW117">
        <f t="shared" si="21"/>
        <v>20.894426296296295</v>
      </c>
      <c r="AX117" s="9"/>
      <c r="AY117" s="21">
        <v>0.43884299999999998</v>
      </c>
      <c r="AZ117" s="21">
        <v>27.986699999999999</v>
      </c>
      <c r="BA117" s="21">
        <v>-1.47308E-2</v>
      </c>
      <c r="BB117" s="21">
        <v>107</v>
      </c>
      <c r="BC117" s="21">
        <v>0.43823200000000001</v>
      </c>
      <c r="BD117">
        <f t="shared" si="22"/>
        <v>18.186172839506174</v>
      </c>
      <c r="BE117">
        <f t="shared" si="23"/>
        <v>7.9808746474074077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6.09999</v>
      </c>
      <c r="I118" s="21">
        <v>-1.4074700000000001E-2</v>
      </c>
      <c r="J118" s="21">
        <v>108</v>
      </c>
      <c r="K118" s="21">
        <v>1.1956800000000001</v>
      </c>
      <c r="L118">
        <f t="shared" si="12"/>
        <v>17.376172839506172</v>
      </c>
      <c r="M118">
        <f t="shared" si="13"/>
        <v>20.784335380246912</v>
      </c>
      <c r="N118" s="9"/>
      <c r="O118" s="21">
        <v>0.44387799999999999</v>
      </c>
      <c r="P118" s="21">
        <v>9.7983200000000004</v>
      </c>
      <c r="Q118" s="21">
        <v>-1.4913900000000001E-2</v>
      </c>
      <c r="R118" s="21">
        <v>108</v>
      </c>
      <c r="S118" s="21">
        <v>0.443268</v>
      </c>
      <c r="T118">
        <f t="shared" si="14"/>
        <v>18.412222222222223</v>
      </c>
      <c r="U118">
        <f t="shared" si="15"/>
        <v>8.1727803755555559</v>
      </c>
      <c r="X118" s="9"/>
      <c r="Y118" s="21">
        <v>1.19614</v>
      </c>
      <c r="Z118" s="21">
        <v>15.203200000000001</v>
      </c>
      <c r="AA118" s="21">
        <v>-1.4114399999999999E-2</v>
      </c>
      <c r="AB118" s="21">
        <v>108</v>
      </c>
      <c r="AC118" s="21">
        <v>1.1956800000000001</v>
      </c>
      <c r="AD118">
        <f t="shared" si="16"/>
        <v>17.425185185185182</v>
      </c>
      <c r="AE118">
        <f t="shared" si="17"/>
        <v>20.842961007407403</v>
      </c>
      <c r="AF118" s="9"/>
      <c r="AG118" s="21">
        <v>0.44387799999999999</v>
      </c>
      <c r="AH118" s="21">
        <v>18.901499999999999</v>
      </c>
      <c r="AI118" s="21">
        <v>-1.4798E-2</v>
      </c>
      <c r="AJ118" s="21">
        <v>108</v>
      </c>
      <c r="AK118" s="21">
        <v>0.44320700000000002</v>
      </c>
      <c r="AL118">
        <f t="shared" si="18"/>
        <v>18.269135802469137</v>
      </c>
      <c r="AM118">
        <f t="shared" si="19"/>
        <v>8.1092674617283951</v>
      </c>
      <c r="AP118" s="9"/>
      <c r="AQ118" s="21">
        <v>1.19614</v>
      </c>
      <c r="AR118" s="21">
        <v>24.298400000000001</v>
      </c>
      <c r="AS118" s="21">
        <v>-1.41113E-2</v>
      </c>
      <c r="AT118" s="21">
        <v>108</v>
      </c>
      <c r="AU118" s="21">
        <v>1.19598</v>
      </c>
      <c r="AV118">
        <f t="shared" si="20"/>
        <v>17.421358024691358</v>
      </c>
      <c r="AW118">
        <f t="shared" si="21"/>
        <v>20.838383187654319</v>
      </c>
      <c r="AX118" s="9"/>
      <c r="AY118" s="21">
        <v>0.44387799999999999</v>
      </c>
      <c r="AZ118" s="21">
        <v>27.9968</v>
      </c>
      <c r="BA118" s="21">
        <v>-1.47247E-2</v>
      </c>
      <c r="BB118" s="21">
        <v>108</v>
      </c>
      <c r="BC118" s="21">
        <v>0.44317600000000001</v>
      </c>
      <c r="BD118">
        <f t="shared" si="22"/>
        <v>18.178641975308643</v>
      </c>
      <c r="BE118">
        <f t="shared" si="23"/>
        <v>8.0690992427160495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6.1100599999999998</v>
      </c>
      <c r="I119" s="21">
        <v>-1.4080799999999999E-2</v>
      </c>
      <c r="J119" s="21">
        <v>109</v>
      </c>
      <c r="K119" s="21">
        <v>1.18988</v>
      </c>
      <c r="L119">
        <f t="shared" si="12"/>
        <v>17.383703703703702</v>
      </c>
      <c r="M119">
        <f t="shared" si="13"/>
        <v>20.70572948148148</v>
      </c>
      <c r="N119" s="9"/>
      <c r="O119" s="21">
        <v>0.44891399999999998</v>
      </c>
      <c r="P119" s="21">
        <v>9.8084000000000007</v>
      </c>
      <c r="Q119" s="21">
        <v>-1.4904799999999999E-2</v>
      </c>
      <c r="R119" s="21">
        <v>109</v>
      </c>
      <c r="S119" s="21">
        <v>0.44836399999999998</v>
      </c>
      <c r="T119">
        <f t="shared" si="14"/>
        <v>18.400987654320986</v>
      </c>
      <c r="U119">
        <f t="shared" si="15"/>
        <v>8.2604609718518507</v>
      </c>
      <c r="X119" s="9"/>
      <c r="Y119" s="21">
        <v>1.1911</v>
      </c>
      <c r="Z119" s="21">
        <v>15.2133</v>
      </c>
      <c r="AA119" s="21">
        <v>-1.41113E-2</v>
      </c>
      <c r="AB119" s="21">
        <v>109</v>
      </c>
      <c r="AC119" s="21">
        <v>1.19049</v>
      </c>
      <c r="AD119">
        <f t="shared" si="16"/>
        <v>17.421358024691358</v>
      </c>
      <c r="AE119">
        <f t="shared" si="17"/>
        <v>20.750579543209877</v>
      </c>
      <c r="AF119" s="9"/>
      <c r="AG119" s="21">
        <v>0.44891399999999998</v>
      </c>
      <c r="AH119" s="21">
        <v>18.9116</v>
      </c>
      <c r="AI119" s="21">
        <v>-1.4801E-2</v>
      </c>
      <c r="AJ119" s="21">
        <v>109</v>
      </c>
      <c r="AK119" s="21">
        <v>0.448212</v>
      </c>
      <c r="AL119">
        <f t="shared" si="18"/>
        <v>18.27283950617284</v>
      </c>
      <c r="AM119">
        <f t="shared" si="19"/>
        <v>8.202933474074074</v>
      </c>
      <c r="AP119" s="9"/>
      <c r="AQ119" s="21">
        <v>1.1911</v>
      </c>
      <c r="AR119" s="21">
        <v>24.308499999999999</v>
      </c>
      <c r="AS119" s="21">
        <v>-1.4123500000000001E-2</v>
      </c>
      <c r="AT119" s="21">
        <v>109</v>
      </c>
      <c r="AU119" s="21">
        <v>1.19049</v>
      </c>
      <c r="AV119">
        <f t="shared" si="20"/>
        <v>17.436419753086419</v>
      </c>
      <c r="AW119">
        <f t="shared" si="21"/>
        <v>20.768519567901233</v>
      </c>
      <c r="AX119" s="9"/>
      <c r="AY119" s="21">
        <v>0.44891399999999998</v>
      </c>
      <c r="AZ119" s="21">
        <v>28.006799999999998</v>
      </c>
      <c r="BA119" s="21">
        <v>-1.47247E-2</v>
      </c>
      <c r="BB119" s="21">
        <v>109</v>
      </c>
      <c r="BC119" s="21">
        <v>0.44830300000000001</v>
      </c>
      <c r="BD119">
        <f t="shared" si="22"/>
        <v>18.178641975308643</v>
      </c>
      <c r="BE119">
        <f t="shared" si="23"/>
        <v>8.1606468837037038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6.1201299999999996</v>
      </c>
      <c r="I120" s="21">
        <v>-1.40839E-2</v>
      </c>
      <c r="J120" s="21">
        <v>110</v>
      </c>
      <c r="K120" s="21">
        <v>1.1853</v>
      </c>
      <c r="L120">
        <f t="shared" si="12"/>
        <v>17.387530864197529</v>
      </c>
      <c r="M120">
        <f t="shared" si="13"/>
        <v>20.622828732098764</v>
      </c>
      <c r="N120" s="9"/>
      <c r="O120" s="21">
        <v>0.45394899999999999</v>
      </c>
      <c r="P120" s="21">
        <v>9.8184699999999996</v>
      </c>
      <c r="Q120" s="21">
        <v>-1.4904799999999999E-2</v>
      </c>
      <c r="R120" s="21">
        <v>110</v>
      </c>
      <c r="S120" s="21">
        <v>0.45327800000000001</v>
      </c>
      <c r="T120">
        <f t="shared" si="14"/>
        <v>18.400987654320986</v>
      </c>
      <c r="U120">
        <f t="shared" si="15"/>
        <v>8.3531099446913561</v>
      </c>
      <c r="X120" s="9"/>
      <c r="Y120" s="21">
        <v>1.18607</v>
      </c>
      <c r="Z120" s="21">
        <v>15.2233</v>
      </c>
      <c r="AA120" s="21">
        <v>-1.41174E-2</v>
      </c>
      <c r="AB120" s="21">
        <v>110</v>
      </c>
      <c r="AC120" s="21">
        <v>1.1856100000000001</v>
      </c>
      <c r="AD120">
        <f t="shared" si="16"/>
        <v>17.428888888888888</v>
      </c>
      <c r="AE120">
        <f t="shared" si="17"/>
        <v>20.671882244444443</v>
      </c>
      <c r="AF120" s="9"/>
      <c r="AG120" s="21">
        <v>0.45394899999999999</v>
      </c>
      <c r="AH120" s="21">
        <v>18.921700000000001</v>
      </c>
      <c r="AI120" s="21">
        <v>-1.47949E-2</v>
      </c>
      <c r="AJ120" s="21">
        <v>110</v>
      </c>
      <c r="AK120" s="21">
        <v>0.453125</v>
      </c>
      <c r="AL120">
        <f t="shared" si="18"/>
        <v>18.265308641975306</v>
      </c>
      <c r="AM120">
        <f t="shared" si="19"/>
        <v>8.2915185927160486</v>
      </c>
      <c r="AP120" s="9"/>
      <c r="AQ120" s="21">
        <v>1.18607</v>
      </c>
      <c r="AR120" s="21">
        <v>24.3186</v>
      </c>
      <c r="AS120" s="21">
        <v>-1.41327E-2</v>
      </c>
      <c r="AT120" s="21">
        <v>110</v>
      </c>
      <c r="AU120" s="21">
        <v>1.18469</v>
      </c>
      <c r="AV120">
        <f t="shared" si="20"/>
        <v>17.447777777777777</v>
      </c>
      <c r="AW120">
        <f t="shared" si="21"/>
        <v>20.694285788888887</v>
      </c>
      <c r="AX120" s="9"/>
      <c r="AY120" s="21">
        <v>0.45394899999999999</v>
      </c>
      <c r="AZ120" s="21">
        <v>28.0169</v>
      </c>
      <c r="BA120" s="21">
        <v>-1.47186E-2</v>
      </c>
      <c r="BB120" s="21">
        <v>110</v>
      </c>
      <c r="BC120" s="21">
        <v>0.45330799999999999</v>
      </c>
      <c r="BD120">
        <f t="shared" si="22"/>
        <v>18.171111111111109</v>
      </c>
      <c r="BE120">
        <f t="shared" si="23"/>
        <v>8.2487577177777762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6.1302000000000003</v>
      </c>
      <c r="I121" s="21">
        <v>-1.40991E-2</v>
      </c>
      <c r="J121" s="21">
        <v>111</v>
      </c>
      <c r="K121" s="21">
        <v>1.18011</v>
      </c>
      <c r="L121">
        <f t="shared" si="12"/>
        <v>17.406296296296293</v>
      </c>
      <c r="M121">
        <f t="shared" si="13"/>
        <v>20.557358114814811</v>
      </c>
      <c r="N121" s="9"/>
      <c r="O121" s="21">
        <v>0.458984</v>
      </c>
      <c r="P121" s="21">
        <v>9.8285400000000003</v>
      </c>
      <c r="Q121" s="21">
        <v>-1.4898700000000001E-2</v>
      </c>
      <c r="R121" s="21">
        <v>111</v>
      </c>
      <c r="S121" s="21">
        <v>0.45834399999999997</v>
      </c>
      <c r="T121">
        <f t="shared" si="14"/>
        <v>18.393456790123455</v>
      </c>
      <c r="U121">
        <f t="shared" si="15"/>
        <v>8.4423023713580232</v>
      </c>
      <c r="X121" s="9"/>
      <c r="Y121" s="21">
        <v>1.18103</v>
      </c>
      <c r="Z121" s="21">
        <v>15.2334</v>
      </c>
      <c r="AA121" s="21">
        <v>-1.41327E-2</v>
      </c>
      <c r="AB121" s="21">
        <v>111</v>
      </c>
      <c r="AC121" s="21">
        <v>1.18011</v>
      </c>
      <c r="AD121">
        <f t="shared" si="16"/>
        <v>17.447777777777777</v>
      </c>
      <c r="AE121">
        <f t="shared" si="17"/>
        <v>20.60634898888889</v>
      </c>
      <c r="AF121" s="9"/>
      <c r="AG121" s="21">
        <v>0.458984</v>
      </c>
      <c r="AH121" s="21">
        <v>18.931799999999999</v>
      </c>
      <c r="AI121" s="21">
        <v>-1.47919E-2</v>
      </c>
      <c r="AJ121" s="21">
        <v>111</v>
      </c>
      <c r="AK121" s="21">
        <v>0.45822099999999999</v>
      </c>
      <c r="AL121">
        <f t="shared" si="18"/>
        <v>18.261604938271603</v>
      </c>
      <c r="AM121">
        <f t="shared" si="19"/>
        <v>8.3817844809876529</v>
      </c>
      <c r="AP121" s="9"/>
      <c r="AQ121" s="21">
        <v>1.18103</v>
      </c>
      <c r="AR121" s="21">
        <v>24.328600000000002</v>
      </c>
      <c r="AS121" s="21">
        <v>-1.41388E-2</v>
      </c>
      <c r="AT121" s="21">
        <v>111</v>
      </c>
      <c r="AU121" s="21">
        <v>1.18011</v>
      </c>
      <c r="AV121">
        <f t="shared" si="20"/>
        <v>17.455308641975307</v>
      </c>
      <c r="AW121">
        <f t="shared" si="21"/>
        <v>20.615243165432098</v>
      </c>
      <c r="AX121" s="9"/>
      <c r="AY121" s="21">
        <v>0.458984</v>
      </c>
      <c r="AZ121" s="21">
        <v>28.027000000000001</v>
      </c>
      <c r="BA121" s="21">
        <v>-1.47095E-2</v>
      </c>
      <c r="BB121" s="21">
        <v>111</v>
      </c>
      <c r="BC121" s="21">
        <v>0.458374</v>
      </c>
      <c r="BD121">
        <f t="shared" si="22"/>
        <v>18.159876543209876</v>
      </c>
      <c r="BE121">
        <f t="shared" si="23"/>
        <v>8.3350927753086417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6.1402700000000001</v>
      </c>
      <c r="I122" s="21">
        <v>-1.4114399999999999E-2</v>
      </c>
      <c r="J122" s="21">
        <v>112</v>
      </c>
      <c r="K122" s="21">
        <v>1.17493</v>
      </c>
      <c r="L122">
        <f t="shared" si="12"/>
        <v>17.425185185185182</v>
      </c>
      <c r="M122">
        <f t="shared" si="13"/>
        <v>20.491843525925923</v>
      </c>
      <c r="N122" s="9"/>
      <c r="O122" s="21">
        <v>0.46401999999999999</v>
      </c>
      <c r="P122" s="21">
        <v>9.8386099999999992</v>
      </c>
      <c r="Q122" s="21">
        <v>-1.48865E-2</v>
      </c>
      <c r="R122" s="21">
        <v>112</v>
      </c>
      <c r="S122" s="21">
        <v>0.46337899999999999</v>
      </c>
      <c r="T122">
        <f t="shared" si="14"/>
        <v>18.378395061728394</v>
      </c>
      <c r="U122">
        <f t="shared" si="15"/>
        <v>8.527942876543209</v>
      </c>
      <c r="X122" s="9"/>
      <c r="Y122" s="21">
        <v>1.1759900000000001</v>
      </c>
      <c r="Z122" s="21">
        <v>15.243499999999999</v>
      </c>
      <c r="AA122" s="21">
        <v>-1.41418E-2</v>
      </c>
      <c r="AB122" s="21">
        <v>112</v>
      </c>
      <c r="AC122" s="21">
        <v>1.17523</v>
      </c>
      <c r="AD122">
        <f t="shared" si="16"/>
        <v>17.45901234567901</v>
      </c>
      <c r="AE122">
        <f t="shared" si="17"/>
        <v>20.53162392839506</v>
      </c>
      <c r="AF122" s="9"/>
      <c r="AG122" s="21">
        <v>0.46401999999999999</v>
      </c>
      <c r="AH122" s="21">
        <v>18.941800000000001</v>
      </c>
      <c r="AI122" s="21">
        <v>-1.47919E-2</v>
      </c>
      <c r="AJ122" s="21">
        <v>112</v>
      </c>
      <c r="AK122" s="21">
        <v>0.46344000000000002</v>
      </c>
      <c r="AL122">
        <f t="shared" si="18"/>
        <v>18.261604938271603</v>
      </c>
      <c r="AM122">
        <f t="shared" si="19"/>
        <v>8.4737499234567881</v>
      </c>
      <c r="AP122" s="9"/>
      <c r="AQ122" s="21">
        <v>1.1759900000000001</v>
      </c>
      <c r="AR122" s="21">
        <v>24.338699999999999</v>
      </c>
      <c r="AS122" s="21">
        <v>-1.41388E-2</v>
      </c>
      <c r="AT122" s="21">
        <v>112</v>
      </c>
      <c r="AU122" s="21">
        <v>1.17432</v>
      </c>
      <c r="AV122">
        <f t="shared" si="20"/>
        <v>17.455308641975307</v>
      </c>
      <c r="AW122">
        <f t="shared" si="21"/>
        <v>20.527268409876545</v>
      </c>
      <c r="AX122" s="9"/>
      <c r="AY122" s="21">
        <v>0.46401999999999999</v>
      </c>
      <c r="AZ122" s="21">
        <v>28.037099999999999</v>
      </c>
      <c r="BA122" s="21">
        <v>-1.46973E-2</v>
      </c>
      <c r="BB122" s="21">
        <v>112</v>
      </c>
      <c r="BC122" s="21">
        <v>0.463287</v>
      </c>
      <c r="BD122">
        <f t="shared" si="22"/>
        <v>18.144814814814815</v>
      </c>
      <c r="BE122">
        <f t="shared" si="23"/>
        <v>8.4195569703703708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6.1503399999999999</v>
      </c>
      <c r="I123" s="21">
        <v>-1.41266E-2</v>
      </c>
      <c r="J123" s="21">
        <v>113</v>
      </c>
      <c r="K123" s="21">
        <v>1.17004</v>
      </c>
      <c r="L123">
        <f t="shared" si="12"/>
        <v>17.440246913580246</v>
      </c>
      <c r="M123">
        <f t="shared" si="13"/>
        <v>20.421831525925924</v>
      </c>
      <c r="N123" s="9"/>
      <c r="O123" s="21">
        <v>0.469055</v>
      </c>
      <c r="P123" s="21">
        <v>9.8486799999999999</v>
      </c>
      <c r="Q123" s="21">
        <v>-1.48865E-2</v>
      </c>
      <c r="R123" s="21">
        <v>113</v>
      </c>
      <c r="S123" s="21">
        <v>0.468445</v>
      </c>
      <c r="T123">
        <f t="shared" si="14"/>
        <v>18.378395061728394</v>
      </c>
      <c r="U123">
        <f t="shared" si="15"/>
        <v>8.6204780956790117</v>
      </c>
      <c r="X123" s="9"/>
      <c r="Y123" s="21">
        <v>1.17096</v>
      </c>
      <c r="Z123" s="21">
        <v>15.2536</v>
      </c>
      <c r="AA123" s="21">
        <v>-1.41418E-2</v>
      </c>
      <c r="AB123" s="21">
        <v>113</v>
      </c>
      <c r="AC123" s="21">
        <v>1.17004</v>
      </c>
      <c r="AD123">
        <f t="shared" si="16"/>
        <v>17.45901234567901</v>
      </c>
      <c r="AE123">
        <f t="shared" si="17"/>
        <v>20.443805096296295</v>
      </c>
      <c r="AF123" s="9"/>
      <c r="AG123" s="21">
        <v>0.469055</v>
      </c>
      <c r="AH123" s="21">
        <v>18.951899999999998</v>
      </c>
      <c r="AI123" s="21">
        <v>-1.47858E-2</v>
      </c>
      <c r="AJ123" s="21">
        <v>113</v>
      </c>
      <c r="AK123" s="21">
        <v>0.468445</v>
      </c>
      <c r="AL123">
        <f t="shared" si="18"/>
        <v>18.254074074074072</v>
      </c>
      <c r="AM123">
        <f t="shared" si="19"/>
        <v>8.5621647148148146</v>
      </c>
      <c r="AP123" s="9"/>
      <c r="AQ123" s="21">
        <v>1.17096</v>
      </c>
      <c r="AR123" s="21">
        <v>24.348800000000001</v>
      </c>
      <c r="AS123" s="21">
        <v>-1.4135699999999999E-2</v>
      </c>
      <c r="AT123" s="21">
        <v>113</v>
      </c>
      <c r="AU123" s="21">
        <v>1.17035</v>
      </c>
      <c r="AV123">
        <f t="shared" si="20"/>
        <v>17.45148148148148</v>
      </c>
      <c r="AW123">
        <f t="shared" si="21"/>
        <v>20.434986755555553</v>
      </c>
      <c r="AX123" s="9"/>
      <c r="AY123" s="21">
        <v>0.469055</v>
      </c>
      <c r="AZ123" s="21">
        <v>28.0471</v>
      </c>
      <c r="BA123" s="21">
        <v>-1.46973E-2</v>
      </c>
      <c r="BB123" s="21">
        <v>113</v>
      </c>
      <c r="BC123" s="21">
        <v>0.46838400000000002</v>
      </c>
      <c r="BD123">
        <f t="shared" si="22"/>
        <v>18.144814814814815</v>
      </c>
      <c r="BE123">
        <f t="shared" si="23"/>
        <v>8.5109161129629634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6.1604099999999997</v>
      </c>
      <c r="I124" s="21">
        <v>-1.41327E-2</v>
      </c>
      <c r="J124" s="21">
        <v>114</v>
      </c>
      <c r="K124" s="21">
        <v>1.16516</v>
      </c>
      <c r="L124">
        <f t="shared" si="12"/>
        <v>17.447777777777777</v>
      </c>
      <c r="M124">
        <f t="shared" si="13"/>
        <v>20.342713066666665</v>
      </c>
      <c r="N124" s="9"/>
      <c r="O124" s="21">
        <v>0.47409099999999998</v>
      </c>
      <c r="P124" s="21">
        <v>9.8587500000000006</v>
      </c>
      <c r="Q124" s="21">
        <v>-1.48743E-2</v>
      </c>
      <c r="R124" s="21">
        <v>114</v>
      </c>
      <c r="S124" s="21">
        <v>0.47357199999999999</v>
      </c>
      <c r="T124">
        <f t="shared" si="14"/>
        <v>18.363333333333333</v>
      </c>
      <c r="U124">
        <f t="shared" si="15"/>
        <v>8.7058910633333326</v>
      </c>
      <c r="X124" s="9"/>
      <c r="Y124" s="21">
        <v>1.1659200000000001</v>
      </c>
      <c r="Z124" s="21">
        <v>15.2636</v>
      </c>
      <c r="AA124" s="21">
        <v>-1.41327E-2</v>
      </c>
      <c r="AB124" s="21">
        <v>114</v>
      </c>
      <c r="AC124" s="21">
        <v>1.16486</v>
      </c>
      <c r="AD124">
        <f t="shared" si="16"/>
        <v>17.447777777777777</v>
      </c>
      <c r="AE124">
        <f t="shared" si="17"/>
        <v>20.342713066666665</v>
      </c>
      <c r="AF124" s="9"/>
      <c r="AG124" s="21">
        <v>0.47409099999999998</v>
      </c>
      <c r="AH124" s="21">
        <v>18.962</v>
      </c>
      <c r="AI124" s="21">
        <v>-1.4782699999999999E-2</v>
      </c>
      <c r="AJ124" s="21">
        <v>114</v>
      </c>
      <c r="AK124" s="21">
        <v>0.473389</v>
      </c>
      <c r="AL124">
        <f t="shared" si="18"/>
        <v>18.250246913580245</v>
      </c>
      <c r="AM124">
        <f t="shared" si="19"/>
        <v>8.6522778095061721</v>
      </c>
      <c r="AP124" s="9"/>
      <c r="AQ124" s="21">
        <v>1.1659200000000001</v>
      </c>
      <c r="AR124" s="21">
        <v>24.358899999999998</v>
      </c>
      <c r="AS124" s="21">
        <v>-1.41479E-2</v>
      </c>
      <c r="AT124" s="21">
        <v>114</v>
      </c>
      <c r="AU124" s="21">
        <v>1.16547</v>
      </c>
      <c r="AV124">
        <f t="shared" si="20"/>
        <v>17.466543209876541</v>
      </c>
      <c r="AW124">
        <f t="shared" si="21"/>
        <v>20.364592059259259</v>
      </c>
      <c r="AX124" s="9"/>
      <c r="AY124" s="21">
        <v>0.47409099999999998</v>
      </c>
      <c r="AZ124" s="21">
        <v>28.057200000000002</v>
      </c>
      <c r="BA124" s="21">
        <v>-1.47034E-2</v>
      </c>
      <c r="BB124" s="21">
        <v>114</v>
      </c>
      <c r="BC124" s="21">
        <v>0.47341899999999998</v>
      </c>
      <c r="BD124">
        <f t="shared" si="22"/>
        <v>18.152345679012342</v>
      </c>
      <c r="BE124">
        <f t="shared" si="23"/>
        <v>8.6058637153086401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6.1704800000000004</v>
      </c>
      <c r="I125" s="21">
        <v>-1.41449E-2</v>
      </c>
      <c r="J125" s="21">
        <v>115</v>
      </c>
      <c r="K125" s="21">
        <v>1.16028</v>
      </c>
      <c r="L125">
        <f t="shared" si="12"/>
        <v>17.462839506172838</v>
      </c>
      <c r="M125">
        <f t="shared" si="13"/>
        <v>20.272435754320984</v>
      </c>
      <c r="N125" s="9"/>
      <c r="O125" s="21">
        <v>0.479126</v>
      </c>
      <c r="P125" s="21">
        <v>9.8688199999999995</v>
      </c>
      <c r="Q125" s="21">
        <v>-1.48682E-2</v>
      </c>
      <c r="R125" s="21">
        <v>115</v>
      </c>
      <c r="S125" s="21">
        <v>0.47848499999999999</v>
      </c>
      <c r="T125">
        <f t="shared" si="14"/>
        <v>18.355802469135799</v>
      </c>
      <c r="U125">
        <f t="shared" si="15"/>
        <v>8.794742213827158</v>
      </c>
      <c r="X125" s="9"/>
      <c r="Y125" s="21">
        <v>1.16089</v>
      </c>
      <c r="Z125" s="21">
        <v>15.2737</v>
      </c>
      <c r="AA125" s="21">
        <v>-1.41418E-2</v>
      </c>
      <c r="AB125" s="21">
        <v>115</v>
      </c>
      <c r="AC125" s="21">
        <v>1.1605799999999999</v>
      </c>
      <c r="AD125">
        <f t="shared" si="16"/>
        <v>17.45901234567901</v>
      </c>
      <c r="AE125">
        <f t="shared" si="17"/>
        <v>20.267992841975307</v>
      </c>
      <c r="AF125" s="9"/>
      <c r="AG125" s="21">
        <v>0.479126</v>
      </c>
      <c r="AH125" s="21">
        <v>18.972000000000001</v>
      </c>
      <c r="AI125" s="21">
        <v>-1.47858E-2</v>
      </c>
      <c r="AJ125" s="21">
        <v>115</v>
      </c>
      <c r="AK125" s="21">
        <v>0.47839399999999999</v>
      </c>
      <c r="AL125">
        <f t="shared" si="18"/>
        <v>18.254074074074072</v>
      </c>
      <c r="AM125">
        <f t="shared" si="19"/>
        <v>8.7460014948148146</v>
      </c>
      <c r="AP125" s="9"/>
      <c r="AQ125" s="21">
        <v>1.16089</v>
      </c>
      <c r="AR125" s="21">
        <v>24.3689</v>
      </c>
      <c r="AS125" s="21">
        <v>-1.41724E-2</v>
      </c>
      <c r="AT125" s="21">
        <v>115</v>
      </c>
      <c r="AU125" s="21">
        <v>1.1599699999999999</v>
      </c>
      <c r="AV125">
        <f t="shared" si="20"/>
        <v>17.496790123456787</v>
      </c>
      <c r="AW125">
        <f t="shared" si="21"/>
        <v>20.311848686419747</v>
      </c>
      <c r="AX125" s="9"/>
      <c r="AY125" s="21">
        <v>0.479126</v>
      </c>
      <c r="AZ125" s="21">
        <v>28.067299999999999</v>
      </c>
      <c r="BA125" s="21">
        <v>-1.47034E-2</v>
      </c>
      <c r="BB125" s="21">
        <v>115</v>
      </c>
      <c r="BC125" s="21">
        <v>0.47845500000000002</v>
      </c>
      <c r="BD125">
        <f t="shared" si="22"/>
        <v>18.152345679012342</v>
      </c>
      <c r="BE125">
        <f t="shared" si="23"/>
        <v>8.6972607758024676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6.1805599999999998</v>
      </c>
      <c r="I126" s="21">
        <v>-1.4157100000000001E-2</v>
      </c>
      <c r="J126" s="21">
        <v>116</v>
      </c>
      <c r="K126" s="21">
        <v>1.1541699999999999</v>
      </c>
      <c r="L126">
        <f t="shared" si="12"/>
        <v>17.477901234567902</v>
      </c>
      <c r="M126">
        <f t="shared" si="13"/>
        <v>20.201832141975309</v>
      </c>
      <c r="N126" s="9"/>
      <c r="O126" s="21">
        <v>0.48416100000000001</v>
      </c>
      <c r="P126" s="21">
        <v>9.8788900000000002</v>
      </c>
      <c r="Q126" s="21">
        <v>-1.4865099999999999E-2</v>
      </c>
      <c r="R126" s="21">
        <v>116</v>
      </c>
      <c r="S126" s="21">
        <v>0.48355100000000001</v>
      </c>
      <c r="T126">
        <f t="shared" si="14"/>
        <v>18.351975308641972</v>
      </c>
      <c r="U126">
        <f t="shared" si="15"/>
        <v>8.8853107174074051</v>
      </c>
      <c r="X126" s="9"/>
      <c r="Y126" s="21">
        <v>1.15585</v>
      </c>
      <c r="Z126" s="21">
        <v>15.283799999999999</v>
      </c>
      <c r="AA126" s="21">
        <v>-1.4151E-2</v>
      </c>
      <c r="AB126" s="21">
        <v>116</v>
      </c>
      <c r="AC126" s="21">
        <v>1.1554</v>
      </c>
      <c r="AD126">
        <f t="shared" si="16"/>
        <v>17.470370370370368</v>
      </c>
      <c r="AE126">
        <f t="shared" si="17"/>
        <v>20.193127592592592</v>
      </c>
      <c r="AF126" s="9"/>
      <c r="AG126" s="21">
        <v>0.48416100000000001</v>
      </c>
      <c r="AH126" s="21">
        <v>18.982099999999999</v>
      </c>
      <c r="AI126" s="21">
        <v>-1.4798E-2</v>
      </c>
      <c r="AJ126" s="21">
        <v>116</v>
      </c>
      <c r="AK126" s="21">
        <v>0.48348999999999998</v>
      </c>
      <c r="AL126">
        <f t="shared" si="18"/>
        <v>18.269135802469137</v>
      </c>
      <c r="AM126">
        <f t="shared" si="19"/>
        <v>8.8452030592592603</v>
      </c>
      <c r="AP126" s="9"/>
      <c r="AQ126" s="21">
        <v>1.15585</v>
      </c>
      <c r="AR126" s="21">
        <v>24.379000000000001</v>
      </c>
      <c r="AS126" s="21">
        <v>-1.41846E-2</v>
      </c>
      <c r="AT126" s="21">
        <v>116</v>
      </c>
      <c r="AU126" s="21">
        <v>1.15509</v>
      </c>
      <c r="AV126">
        <f t="shared" si="20"/>
        <v>17.511851851851851</v>
      </c>
      <c r="AW126">
        <f t="shared" si="21"/>
        <v>20.241073962962965</v>
      </c>
      <c r="AX126" s="9"/>
      <c r="AY126" s="21">
        <v>0.48416100000000001</v>
      </c>
      <c r="AZ126" s="21">
        <v>28.077300000000001</v>
      </c>
      <c r="BA126" s="21">
        <v>-1.47064E-2</v>
      </c>
      <c r="BB126" s="21">
        <v>116</v>
      </c>
      <c r="BC126" s="21">
        <v>0.48345900000000003</v>
      </c>
      <c r="BD126">
        <f t="shared" si="22"/>
        <v>18.156049382716049</v>
      </c>
      <c r="BE126">
        <f t="shared" si="23"/>
        <v>8.7904510251851846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6.1906299999999996</v>
      </c>
      <c r="I127" s="21">
        <v>-1.41724E-2</v>
      </c>
      <c r="J127" s="21">
        <v>117</v>
      </c>
      <c r="K127" s="21">
        <v>1.1505099999999999</v>
      </c>
      <c r="L127">
        <f t="shared" si="12"/>
        <v>17.496790123456787</v>
      </c>
      <c r="M127">
        <f t="shared" si="13"/>
        <v>20.135656009876538</v>
      </c>
      <c r="N127" s="9"/>
      <c r="O127" s="21">
        <v>0.48919699999999999</v>
      </c>
      <c r="P127" s="21">
        <v>9.8889600000000009</v>
      </c>
      <c r="Q127" s="21">
        <v>-1.4859000000000001E-2</v>
      </c>
      <c r="R127" s="21">
        <v>117</v>
      </c>
      <c r="S127" s="21">
        <v>0.48855599999999999</v>
      </c>
      <c r="T127">
        <f t="shared" si="14"/>
        <v>18.344444444444445</v>
      </c>
      <c r="U127">
        <f t="shared" si="15"/>
        <v>8.9740471888888891</v>
      </c>
      <c r="X127" s="9"/>
      <c r="Y127" s="21">
        <v>1.15082</v>
      </c>
      <c r="Z127" s="21">
        <v>15.293799999999999</v>
      </c>
      <c r="AA127" s="21">
        <v>-1.4169299999999999E-2</v>
      </c>
      <c r="AB127" s="21">
        <v>117</v>
      </c>
      <c r="AC127" s="21">
        <v>1.15021</v>
      </c>
      <c r="AD127">
        <f t="shared" si="16"/>
        <v>17.492962962962959</v>
      </c>
      <c r="AE127">
        <f t="shared" si="17"/>
        <v>20.131251637037032</v>
      </c>
      <c r="AF127" s="9"/>
      <c r="AG127" s="21">
        <v>0.48919699999999999</v>
      </c>
      <c r="AH127" s="21">
        <v>18.9922</v>
      </c>
      <c r="AI127" s="21">
        <v>-1.48132E-2</v>
      </c>
      <c r="AJ127" s="21">
        <v>117</v>
      </c>
      <c r="AK127" s="21">
        <v>0.48855599999999999</v>
      </c>
      <c r="AL127">
        <f t="shared" si="18"/>
        <v>18.287901234567901</v>
      </c>
      <c r="AM127">
        <f t="shared" si="19"/>
        <v>8.9463864202469132</v>
      </c>
      <c r="AP127" s="9"/>
      <c r="AQ127" s="21">
        <v>1.15082</v>
      </c>
      <c r="AR127" s="21">
        <v>24.389099999999999</v>
      </c>
      <c r="AS127" s="21">
        <v>-1.41876E-2</v>
      </c>
      <c r="AT127" s="21">
        <v>117</v>
      </c>
      <c r="AU127" s="21">
        <v>1.1492899999999999</v>
      </c>
      <c r="AV127">
        <f t="shared" si="20"/>
        <v>17.515555555555554</v>
      </c>
      <c r="AW127">
        <f t="shared" si="21"/>
        <v>20.157251644444443</v>
      </c>
      <c r="AX127" s="9"/>
      <c r="AY127" s="21">
        <v>0.48919699999999999</v>
      </c>
      <c r="AZ127" s="21">
        <v>28.087399999999999</v>
      </c>
      <c r="BA127" s="21">
        <v>-1.47064E-2</v>
      </c>
      <c r="BB127" s="21">
        <v>117</v>
      </c>
      <c r="BC127" s="21">
        <v>0.48849500000000001</v>
      </c>
      <c r="BD127">
        <f t="shared" si="22"/>
        <v>18.156049382716049</v>
      </c>
      <c r="BE127">
        <f t="shared" si="23"/>
        <v>8.8818848898765435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6.2007000000000003</v>
      </c>
      <c r="I128" s="21">
        <v>-1.41876E-2</v>
      </c>
      <c r="J128" s="21">
        <v>118</v>
      </c>
      <c r="K128" s="21">
        <v>1.1444099999999999</v>
      </c>
      <c r="L128">
        <f t="shared" si="12"/>
        <v>17.515555555555554</v>
      </c>
      <c r="M128">
        <f t="shared" si="13"/>
        <v>20.068973244444443</v>
      </c>
      <c r="N128" s="9"/>
      <c r="O128" s="21">
        <v>0.494232</v>
      </c>
      <c r="P128" s="21">
        <v>9.8990299999999998</v>
      </c>
      <c r="Q128" s="21">
        <v>-1.4855999999999999E-2</v>
      </c>
      <c r="R128" s="21">
        <v>118</v>
      </c>
      <c r="S128" s="21">
        <v>0.49356100000000003</v>
      </c>
      <c r="T128">
        <f t="shared" si="14"/>
        <v>18.340740740740738</v>
      </c>
      <c r="U128">
        <f t="shared" si="15"/>
        <v>9.0645809777777764</v>
      </c>
      <c r="X128" s="9"/>
      <c r="Y128" s="21">
        <v>1.14578</v>
      </c>
      <c r="Z128" s="21">
        <v>15.303900000000001</v>
      </c>
      <c r="AA128" s="21">
        <v>-1.41876E-2</v>
      </c>
      <c r="AB128" s="21">
        <v>118</v>
      </c>
      <c r="AC128" s="21">
        <v>1.1453199999999999</v>
      </c>
      <c r="AD128">
        <f t="shared" si="16"/>
        <v>17.515555555555554</v>
      </c>
      <c r="AE128">
        <f t="shared" si="17"/>
        <v>20.068973244444443</v>
      </c>
      <c r="AF128" s="9"/>
      <c r="AG128" s="21">
        <v>0.494232</v>
      </c>
      <c r="AH128" s="21">
        <v>19.002300000000002</v>
      </c>
      <c r="AI128" s="21">
        <v>-1.4816299999999999E-2</v>
      </c>
      <c r="AJ128" s="21">
        <v>118</v>
      </c>
      <c r="AK128" s="21">
        <v>0.49349999999999999</v>
      </c>
      <c r="AL128">
        <f t="shared" si="18"/>
        <v>18.291728395061728</v>
      </c>
      <c r="AM128">
        <f t="shared" si="19"/>
        <v>9.0403575081481478</v>
      </c>
      <c r="AP128" s="9"/>
      <c r="AQ128" s="21">
        <v>1.14578</v>
      </c>
      <c r="AR128" s="21">
        <v>24.399100000000001</v>
      </c>
      <c r="AS128" s="21">
        <v>-1.41815E-2</v>
      </c>
      <c r="AT128" s="21">
        <v>118</v>
      </c>
      <c r="AU128" s="21">
        <v>1.1450199999999999</v>
      </c>
      <c r="AV128">
        <f t="shared" si="20"/>
        <v>17.508024691358024</v>
      </c>
      <c r="AW128">
        <f t="shared" si="21"/>
        <v>20.060344530864196</v>
      </c>
      <c r="AX128" s="9"/>
      <c r="AY128" s="21">
        <v>0.494232</v>
      </c>
      <c r="AZ128" s="21">
        <v>28.0975</v>
      </c>
      <c r="BA128" s="21">
        <v>-1.4694199999999999E-2</v>
      </c>
      <c r="BB128" s="21">
        <v>118</v>
      </c>
      <c r="BC128" s="21">
        <v>0.49356100000000003</v>
      </c>
      <c r="BD128">
        <f t="shared" si="22"/>
        <v>18.140987654320988</v>
      </c>
      <c r="BE128">
        <f t="shared" si="23"/>
        <v>8.9658566103703699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6.2107700000000001</v>
      </c>
      <c r="I129" s="21">
        <v>-1.4190700000000001E-2</v>
      </c>
      <c r="J129" s="21">
        <v>119</v>
      </c>
      <c r="K129" s="21">
        <v>1.1404399999999999</v>
      </c>
      <c r="L129">
        <f t="shared" si="12"/>
        <v>17.519382716049382</v>
      </c>
      <c r="M129">
        <f t="shared" si="13"/>
        <v>19.985235833333331</v>
      </c>
      <c r="N129" s="9"/>
      <c r="O129" s="21">
        <v>0.49926799999999999</v>
      </c>
      <c r="P129" s="21">
        <v>9.9091100000000001</v>
      </c>
      <c r="Q129" s="21">
        <v>-1.4859000000000001E-2</v>
      </c>
      <c r="R129" s="21">
        <v>119</v>
      </c>
      <c r="S129" s="21">
        <v>0.49871799999999999</v>
      </c>
      <c r="T129">
        <f t="shared" si="14"/>
        <v>18.344444444444445</v>
      </c>
      <c r="U129">
        <f t="shared" si="15"/>
        <v>9.1587940888888895</v>
      </c>
      <c r="X129" s="9"/>
      <c r="Y129" s="21">
        <v>1.1407499999999999</v>
      </c>
      <c r="Z129" s="21">
        <v>15.314</v>
      </c>
      <c r="AA129" s="21">
        <v>-1.4202899999999999E-2</v>
      </c>
      <c r="AB129" s="21">
        <v>119</v>
      </c>
      <c r="AC129" s="21">
        <v>1.1401399999999999</v>
      </c>
      <c r="AD129">
        <f t="shared" si="16"/>
        <v>17.534444444444443</v>
      </c>
      <c r="AE129">
        <f t="shared" si="17"/>
        <v>20.002417499999996</v>
      </c>
      <c r="AF129" s="9"/>
      <c r="AG129" s="21">
        <v>0.49926799999999999</v>
      </c>
      <c r="AH129" s="21">
        <v>19.0123</v>
      </c>
      <c r="AI129" s="21">
        <v>-1.4810200000000001E-2</v>
      </c>
      <c r="AJ129" s="21">
        <v>119</v>
      </c>
      <c r="AK129" s="21">
        <v>0.49859599999999998</v>
      </c>
      <c r="AL129">
        <f t="shared" si="18"/>
        <v>18.284197530864198</v>
      </c>
      <c r="AM129">
        <f t="shared" si="19"/>
        <v>9.1287147328395069</v>
      </c>
      <c r="AP129" s="9"/>
      <c r="AQ129" s="21">
        <v>1.1407499999999999</v>
      </c>
      <c r="AR129" s="21">
        <v>24.409199999999998</v>
      </c>
      <c r="AS129" s="21">
        <v>-1.4175399999999999E-2</v>
      </c>
      <c r="AT129" s="21">
        <v>119</v>
      </c>
      <c r="AU129" s="21">
        <v>1.1398299999999999</v>
      </c>
      <c r="AV129">
        <f t="shared" si="20"/>
        <v>17.500493827160494</v>
      </c>
      <c r="AW129">
        <f t="shared" si="21"/>
        <v>19.96368833333333</v>
      </c>
      <c r="AX129" s="9"/>
      <c r="AY129" s="21">
        <v>0.49926799999999999</v>
      </c>
      <c r="AZ129" s="21">
        <v>28.107500000000002</v>
      </c>
      <c r="BA129" s="21">
        <v>-1.4682000000000001E-2</v>
      </c>
      <c r="BB129" s="21">
        <v>119</v>
      </c>
      <c r="BC129" s="21">
        <v>0.49871799999999999</v>
      </c>
      <c r="BD129">
        <f t="shared" si="22"/>
        <v>18.125925925925923</v>
      </c>
      <c r="BE129">
        <f t="shared" si="23"/>
        <v>9.0496947851851832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6.2208399999999999</v>
      </c>
      <c r="I130" s="21">
        <v>-1.4196800000000001E-2</v>
      </c>
      <c r="J130" s="21">
        <v>120</v>
      </c>
      <c r="K130" s="21">
        <v>1.1343399999999999</v>
      </c>
      <c r="L130">
        <f t="shared" si="12"/>
        <v>17.526913580246916</v>
      </c>
      <c r="M130">
        <f t="shared" si="13"/>
        <v>19.905491022222225</v>
      </c>
      <c r="N130" s="9"/>
      <c r="O130" s="21">
        <v>0.50430299999999995</v>
      </c>
      <c r="P130" s="21">
        <v>9.9191800000000008</v>
      </c>
      <c r="Q130" s="21">
        <v>-1.4855999999999999E-2</v>
      </c>
      <c r="R130" s="21">
        <v>120</v>
      </c>
      <c r="S130" s="21">
        <v>0.50357099999999999</v>
      </c>
      <c r="T130">
        <f t="shared" si="14"/>
        <v>18.340740740740738</v>
      </c>
      <c r="U130">
        <f t="shared" si="15"/>
        <v>9.2492905777777761</v>
      </c>
      <c r="X130" s="9"/>
      <c r="Y130" s="21">
        <v>1.13571</v>
      </c>
      <c r="Z130" s="21">
        <v>15.3241</v>
      </c>
      <c r="AA130" s="21">
        <v>-1.4218099999999999E-2</v>
      </c>
      <c r="AB130" s="21">
        <v>120</v>
      </c>
      <c r="AC130" s="21">
        <v>1.1349499999999999</v>
      </c>
      <c r="AD130">
        <f t="shared" si="16"/>
        <v>17.553209876543207</v>
      </c>
      <c r="AE130">
        <f t="shared" si="17"/>
        <v>19.935355988888887</v>
      </c>
      <c r="AF130" s="9"/>
      <c r="AG130" s="21">
        <v>0.50430299999999995</v>
      </c>
      <c r="AH130" s="21">
        <v>19.022400000000001</v>
      </c>
      <c r="AI130" s="21">
        <v>-1.47919E-2</v>
      </c>
      <c r="AJ130" s="21">
        <v>120</v>
      </c>
      <c r="AK130" s="21">
        <v>0.50353999999999999</v>
      </c>
      <c r="AL130">
        <f t="shared" si="18"/>
        <v>18.261604938271603</v>
      </c>
      <c r="AM130">
        <f t="shared" si="19"/>
        <v>9.2093821551851835</v>
      </c>
      <c r="AP130" s="9"/>
      <c r="AQ130" s="21">
        <v>1.13571</v>
      </c>
      <c r="AR130" s="21">
        <v>24.4193</v>
      </c>
      <c r="AS130" s="21">
        <v>-1.4169299999999999E-2</v>
      </c>
      <c r="AT130" s="21">
        <v>120</v>
      </c>
      <c r="AU130" s="21">
        <v>1.1343399999999999</v>
      </c>
      <c r="AV130">
        <f t="shared" si="20"/>
        <v>17.492962962962959</v>
      </c>
      <c r="AW130">
        <f t="shared" si="21"/>
        <v>19.866932966666663</v>
      </c>
      <c r="AX130" s="9"/>
      <c r="AY130" s="21">
        <v>0.50430299999999995</v>
      </c>
      <c r="AZ130" s="21">
        <v>28.117599999999999</v>
      </c>
      <c r="BA130" s="21">
        <v>-1.46637E-2</v>
      </c>
      <c r="BB130" s="21">
        <v>120</v>
      </c>
      <c r="BC130" s="21">
        <v>0.50369299999999995</v>
      </c>
      <c r="BD130">
        <f t="shared" si="22"/>
        <v>18.103333333333332</v>
      </c>
      <c r="BE130">
        <f t="shared" si="23"/>
        <v>9.1295653099999985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6.2309099999999997</v>
      </c>
      <c r="I131" s="21">
        <v>-1.41998E-2</v>
      </c>
      <c r="J131" s="21">
        <v>121</v>
      </c>
      <c r="K131" s="21">
        <v>1.1294599999999999</v>
      </c>
      <c r="L131">
        <f t="shared" si="12"/>
        <v>17.530617283950615</v>
      </c>
      <c r="M131">
        <f t="shared" si="13"/>
        <v>19.821518350617279</v>
      </c>
      <c r="N131" s="9"/>
      <c r="O131" s="21">
        <v>0.50933799999999996</v>
      </c>
      <c r="P131" s="21">
        <v>9.9292499999999997</v>
      </c>
      <c r="Q131" s="21">
        <v>-1.48529E-2</v>
      </c>
      <c r="R131" s="21">
        <v>121</v>
      </c>
      <c r="S131" s="21">
        <v>0.50854500000000002</v>
      </c>
      <c r="T131">
        <f t="shared" si="14"/>
        <v>18.336913580246915</v>
      </c>
      <c r="U131">
        <f t="shared" si="15"/>
        <v>9.3396868891358018</v>
      </c>
      <c r="X131" s="9"/>
      <c r="Y131" s="21">
        <v>1.1306799999999999</v>
      </c>
      <c r="Z131" s="21">
        <v>15.334099999999999</v>
      </c>
      <c r="AA131" s="21">
        <v>-1.42395E-2</v>
      </c>
      <c r="AB131" s="21">
        <v>121</v>
      </c>
      <c r="AC131" s="21">
        <v>1.1294599999999999</v>
      </c>
      <c r="AD131">
        <f t="shared" si="16"/>
        <v>17.579629629629629</v>
      </c>
      <c r="AE131">
        <f t="shared" si="17"/>
        <v>19.876935629629628</v>
      </c>
      <c r="AF131" s="9"/>
      <c r="AG131" s="21">
        <v>0.50933799999999996</v>
      </c>
      <c r="AH131" s="21">
        <v>19.032499999999999</v>
      </c>
      <c r="AI131" s="21">
        <v>-1.4776600000000001E-2</v>
      </c>
      <c r="AJ131" s="21">
        <v>121</v>
      </c>
      <c r="AK131" s="21">
        <v>0.50869799999999998</v>
      </c>
      <c r="AL131">
        <f t="shared" si="18"/>
        <v>18.242716049382715</v>
      </c>
      <c r="AM131">
        <f t="shared" si="19"/>
        <v>9.291708507160493</v>
      </c>
      <c r="AP131" s="9"/>
      <c r="AQ131" s="21">
        <v>1.1306799999999999</v>
      </c>
      <c r="AR131" s="21">
        <v>24.429400000000001</v>
      </c>
      <c r="AS131" s="21">
        <v>-1.4169299999999999E-2</v>
      </c>
      <c r="AT131" s="21">
        <v>121</v>
      </c>
      <c r="AU131" s="21">
        <v>1.1300699999999999</v>
      </c>
      <c r="AV131">
        <f t="shared" si="20"/>
        <v>17.492962962962959</v>
      </c>
      <c r="AW131">
        <f t="shared" si="21"/>
        <v>19.778943362962959</v>
      </c>
      <c r="AX131" s="9"/>
      <c r="AY131" s="21">
        <v>0.50933799999999996</v>
      </c>
      <c r="AZ131" s="21">
        <v>28.127700000000001</v>
      </c>
      <c r="BA131" s="21">
        <v>-1.46515E-2</v>
      </c>
      <c r="BB131" s="21">
        <v>121</v>
      </c>
      <c r="BC131" s="21">
        <v>0.50863599999999998</v>
      </c>
      <c r="BD131">
        <f t="shared" si="22"/>
        <v>18.088271604938271</v>
      </c>
      <c r="BE131">
        <f t="shared" si="23"/>
        <v>9.2130440827160474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6.2409800000000004</v>
      </c>
      <c r="I132" s="21">
        <v>-1.4196800000000001E-2</v>
      </c>
      <c r="J132" s="21">
        <v>122</v>
      </c>
      <c r="K132" s="21">
        <v>1.1248800000000001</v>
      </c>
      <c r="L132">
        <f t="shared" si="12"/>
        <v>17.526913580246916</v>
      </c>
      <c r="M132">
        <f t="shared" si="13"/>
        <v>19.728995002469137</v>
      </c>
      <c r="N132" s="9"/>
      <c r="O132" s="21">
        <v>0.514374</v>
      </c>
      <c r="P132" s="21">
        <v>9.9393200000000004</v>
      </c>
      <c r="Q132" s="21">
        <v>-1.4843800000000001E-2</v>
      </c>
      <c r="R132" s="21">
        <v>122</v>
      </c>
      <c r="S132" s="21">
        <v>0.51367200000000002</v>
      </c>
      <c r="T132">
        <f t="shared" si="14"/>
        <v>18.325679012345677</v>
      </c>
      <c r="U132">
        <f t="shared" si="15"/>
        <v>9.4262528162962962</v>
      </c>
      <c r="X132" s="9"/>
      <c r="Y132" s="21">
        <v>1.12564</v>
      </c>
      <c r="Z132" s="21">
        <v>15.344200000000001</v>
      </c>
      <c r="AA132" s="21">
        <v>-1.42548E-2</v>
      </c>
      <c r="AB132" s="21">
        <v>122</v>
      </c>
      <c r="AC132" s="21">
        <v>1.1242700000000001</v>
      </c>
      <c r="AD132">
        <f t="shared" si="16"/>
        <v>17.598518518518517</v>
      </c>
      <c r="AE132">
        <f t="shared" si="17"/>
        <v>19.809596385185184</v>
      </c>
      <c r="AF132" s="9"/>
      <c r="AG132" s="21">
        <v>0.514374</v>
      </c>
      <c r="AH132" s="21">
        <v>19.0425</v>
      </c>
      <c r="AI132" s="21">
        <v>-1.4767499999999999E-2</v>
      </c>
      <c r="AJ132" s="21">
        <v>122</v>
      </c>
      <c r="AK132" s="21">
        <v>0.51358000000000004</v>
      </c>
      <c r="AL132">
        <f t="shared" si="18"/>
        <v>18.231481481481481</v>
      </c>
      <c r="AM132">
        <f t="shared" si="19"/>
        <v>9.3778000555555554</v>
      </c>
      <c r="AP132" s="9"/>
      <c r="AQ132" s="21">
        <v>1.12564</v>
      </c>
      <c r="AR132" s="21">
        <v>24.439399999999999</v>
      </c>
      <c r="AS132" s="21">
        <v>-1.4157100000000001E-2</v>
      </c>
      <c r="AT132" s="21">
        <v>122</v>
      </c>
      <c r="AU132" s="21">
        <v>1.1248800000000001</v>
      </c>
      <c r="AV132">
        <f t="shared" si="20"/>
        <v>17.477901234567902</v>
      </c>
      <c r="AW132">
        <f t="shared" si="21"/>
        <v>19.673824745679013</v>
      </c>
      <c r="AX132" s="9"/>
      <c r="AY132" s="21">
        <v>0.514374</v>
      </c>
      <c r="AZ132" s="21">
        <v>28.137799999999999</v>
      </c>
      <c r="BA132" s="21">
        <v>-1.46423E-2</v>
      </c>
      <c r="BB132" s="21">
        <v>122</v>
      </c>
      <c r="BC132" s="21">
        <v>0.51376299999999997</v>
      </c>
      <c r="BD132">
        <f t="shared" si="22"/>
        <v>18.076913580246913</v>
      </c>
      <c r="BE132">
        <f t="shared" si="23"/>
        <v>9.2982943459259264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6.2510500000000002</v>
      </c>
      <c r="I133" s="21">
        <v>-1.41998E-2</v>
      </c>
      <c r="J133" s="21">
        <v>123</v>
      </c>
      <c r="K133" s="21">
        <v>1.1196900000000001</v>
      </c>
      <c r="L133">
        <f t="shared" si="12"/>
        <v>17.530617283950615</v>
      </c>
      <c r="M133">
        <f t="shared" si="13"/>
        <v>19.644985034567902</v>
      </c>
      <c r="N133" s="9"/>
      <c r="O133" s="21">
        <v>0.51940900000000001</v>
      </c>
      <c r="P133" s="21">
        <v>9.9493899999999993</v>
      </c>
      <c r="Q133" s="21">
        <v>-1.48407E-2</v>
      </c>
      <c r="R133" s="21">
        <v>123</v>
      </c>
      <c r="S133" s="21">
        <v>0.51876800000000001</v>
      </c>
      <c r="T133">
        <f t="shared" si="14"/>
        <v>18.32185185185185</v>
      </c>
      <c r="U133">
        <f t="shared" si="15"/>
        <v>9.5165347485185183</v>
      </c>
      <c r="X133" s="9"/>
      <c r="Y133" s="21">
        <v>1.1206100000000001</v>
      </c>
      <c r="Z133" s="21">
        <v>15.3543</v>
      </c>
      <c r="AA133" s="21">
        <v>-1.42548E-2</v>
      </c>
      <c r="AB133" s="21">
        <v>123</v>
      </c>
      <c r="AC133" s="21">
        <v>1.1196900000000001</v>
      </c>
      <c r="AD133">
        <f t="shared" si="16"/>
        <v>17.598518518518517</v>
      </c>
      <c r="AE133">
        <f t="shared" si="17"/>
        <v>19.721075837037038</v>
      </c>
      <c r="AF133" s="9"/>
      <c r="AG133" s="21">
        <v>0.51940900000000001</v>
      </c>
      <c r="AH133" s="21">
        <v>19.052600000000002</v>
      </c>
      <c r="AI133" s="21">
        <v>-1.47552E-2</v>
      </c>
      <c r="AJ133" s="21">
        <v>123</v>
      </c>
      <c r="AK133" s="21">
        <v>0.51867700000000005</v>
      </c>
      <c r="AL133">
        <f t="shared" si="18"/>
        <v>18.216296296296292</v>
      </c>
      <c r="AM133">
        <f t="shared" si="19"/>
        <v>9.4617082429629615</v>
      </c>
      <c r="AP133" s="9"/>
      <c r="AQ133" s="21">
        <v>1.1206100000000001</v>
      </c>
      <c r="AR133" s="21">
        <v>24.4495</v>
      </c>
      <c r="AS133" s="21">
        <v>-1.41602E-2</v>
      </c>
      <c r="AT133" s="21">
        <v>123</v>
      </c>
      <c r="AU133" s="21">
        <v>1.1200000000000001</v>
      </c>
      <c r="AV133">
        <f t="shared" si="20"/>
        <v>17.481728395061729</v>
      </c>
      <c r="AW133">
        <f t="shared" si="21"/>
        <v>19.590199656790126</v>
      </c>
      <c r="AX133" s="9"/>
      <c r="AY133" s="21">
        <v>0.51940900000000001</v>
      </c>
      <c r="AZ133" s="21">
        <v>28.1478</v>
      </c>
      <c r="BA133" s="21">
        <v>-1.4648400000000001E-2</v>
      </c>
      <c r="BB133" s="21">
        <v>123</v>
      </c>
      <c r="BC133" s="21">
        <v>0.51855499999999999</v>
      </c>
      <c r="BD133">
        <f t="shared" si="22"/>
        <v>18.084444444444443</v>
      </c>
      <c r="BE133">
        <f t="shared" si="23"/>
        <v>9.3932232044444444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6.26112</v>
      </c>
      <c r="I134" s="21">
        <v>-1.4208999999999999E-2</v>
      </c>
      <c r="J134" s="21">
        <v>124</v>
      </c>
      <c r="K134" s="21">
        <v>1.1142000000000001</v>
      </c>
      <c r="L134">
        <f t="shared" si="12"/>
        <v>17.541975308641973</v>
      </c>
      <c r="M134">
        <f t="shared" si="13"/>
        <v>19.569301395061725</v>
      </c>
      <c r="N134" s="9"/>
      <c r="O134" s="21">
        <v>0.52444500000000005</v>
      </c>
      <c r="P134" s="21">
        <v>9.95946</v>
      </c>
      <c r="Q134" s="21">
        <v>-1.4843800000000001E-2</v>
      </c>
      <c r="R134" s="21">
        <v>124</v>
      </c>
      <c r="S134" s="21">
        <v>0.52383400000000002</v>
      </c>
      <c r="T134">
        <f t="shared" si="14"/>
        <v>18.325679012345677</v>
      </c>
      <c r="U134">
        <f t="shared" si="15"/>
        <v>9.6108107296296303</v>
      </c>
      <c r="X134" s="9"/>
      <c r="Y134" s="21">
        <v>1.11557</v>
      </c>
      <c r="Z134" s="21">
        <v>15.3643</v>
      </c>
      <c r="AA134" s="21">
        <v>-1.4267E-2</v>
      </c>
      <c r="AB134" s="21">
        <v>124</v>
      </c>
      <c r="AC134" s="21">
        <v>1.1148100000000001</v>
      </c>
      <c r="AD134">
        <f t="shared" si="16"/>
        <v>17.613580246913582</v>
      </c>
      <c r="AE134">
        <f t="shared" si="17"/>
        <v>19.649181716049384</v>
      </c>
      <c r="AF134" s="9"/>
      <c r="AG134" s="21">
        <v>0.52444500000000005</v>
      </c>
      <c r="AH134" s="21">
        <v>19.0627</v>
      </c>
      <c r="AI134" s="21">
        <v>-1.4742999999999999E-2</v>
      </c>
      <c r="AJ134" s="21">
        <v>124</v>
      </c>
      <c r="AK134" s="21">
        <v>0.52371199999999996</v>
      </c>
      <c r="AL134">
        <f t="shared" si="18"/>
        <v>18.201234567901235</v>
      </c>
      <c r="AM134">
        <f t="shared" si="19"/>
        <v>9.5455464629629638</v>
      </c>
      <c r="AP134" s="9"/>
      <c r="AQ134" s="21">
        <v>1.11557</v>
      </c>
      <c r="AR134" s="21">
        <v>24.459599999999998</v>
      </c>
      <c r="AS134" s="21">
        <v>-1.4169299999999999E-2</v>
      </c>
      <c r="AT134" s="21">
        <v>124</v>
      </c>
      <c r="AU134" s="21">
        <v>1.1148100000000001</v>
      </c>
      <c r="AV134">
        <f t="shared" si="20"/>
        <v>17.492962962962959</v>
      </c>
      <c r="AW134">
        <f t="shared" si="21"/>
        <v>19.514624692592587</v>
      </c>
      <c r="AX134" s="9"/>
      <c r="AY134" s="21">
        <v>0.52444500000000005</v>
      </c>
      <c r="AZ134" s="21">
        <v>28.157900000000001</v>
      </c>
      <c r="BA134" s="21">
        <v>-1.46515E-2</v>
      </c>
      <c r="BB134" s="21">
        <v>124</v>
      </c>
      <c r="BC134" s="21">
        <v>0.52359</v>
      </c>
      <c r="BD134">
        <f t="shared" si="22"/>
        <v>18.088271604938271</v>
      </c>
      <c r="BE134">
        <f t="shared" si="23"/>
        <v>9.4863036018518532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6.2711899999999998</v>
      </c>
      <c r="I135" s="21">
        <v>-1.42059E-2</v>
      </c>
      <c r="J135" s="21">
        <v>125</v>
      </c>
      <c r="K135" s="21">
        <v>1.10992</v>
      </c>
      <c r="L135">
        <f t="shared" si="12"/>
        <v>17.538148148148146</v>
      </c>
      <c r="M135">
        <f t="shared" si="13"/>
        <v>19.47663966296296</v>
      </c>
      <c r="N135" s="9"/>
      <c r="O135" s="21">
        <v>0.52947999999999995</v>
      </c>
      <c r="P135" s="21">
        <v>9.9695300000000007</v>
      </c>
      <c r="Q135" s="21">
        <v>-1.48407E-2</v>
      </c>
      <c r="R135" s="21">
        <v>125</v>
      </c>
      <c r="S135" s="21">
        <v>0.52877799999999997</v>
      </c>
      <c r="T135">
        <f t="shared" si="14"/>
        <v>18.32185185185185</v>
      </c>
      <c r="U135">
        <f t="shared" si="15"/>
        <v>9.7010541185185168</v>
      </c>
      <c r="X135" s="9"/>
      <c r="Y135" s="21">
        <v>1.11053</v>
      </c>
      <c r="Z135" s="21">
        <v>15.3744</v>
      </c>
      <c r="AA135" s="21">
        <v>-1.4279200000000001E-2</v>
      </c>
      <c r="AB135" s="21">
        <v>125</v>
      </c>
      <c r="AC135" s="21">
        <v>1.10992</v>
      </c>
      <c r="AD135">
        <f t="shared" si="16"/>
        <v>17.628641975308639</v>
      </c>
      <c r="AE135">
        <f t="shared" si="17"/>
        <v>19.577135772839505</v>
      </c>
      <c r="AF135" s="9"/>
      <c r="AG135" s="21">
        <v>0.52947999999999995</v>
      </c>
      <c r="AH135" s="21">
        <v>19.072700000000001</v>
      </c>
      <c r="AI135" s="21">
        <v>-1.474E-2</v>
      </c>
      <c r="AJ135" s="21">
        <v>125</v>
      </c>
      <c r="AK135" s="21">
        <v>0.52880899999999997</v>
      </c>
      <c r="AL135">
        <f t="shared" si="18"/>
        <v>18.197530864197528</v>
      </c>
      <c r="AM135">
        <f t="shared" si="19"/>
        <v>9.6352286419753064</v>
      </c>
      <c r="AP135" s="9"/>
      <c r="AQ135" s="21">
        <v>1.11053</v>
      </c>
      <c r="AR135" s="21">
        <v>24.4696</v>
      </c>
      <c r="AS135" s="21">
        <v>-1.41846E-2</v>
      </c>
      <c r="AT135" s="21">
        <v>125</v>
      </c>
      <c r="AU135" s="21">
        <v>1.10992</v>
      </c>
      <c r="AV135">
        <f t="shared" si="20"/>
        <v>17.511851851851851</v>
      </c>
      <c r="AW135">
        <f t="shared" si="21"/>
        <v>19.447436837037039</v>
      </c>
      <c r="AX135" s="9"/>
      <c r="AY135" s="21">
        <v>0.52947999999999995</v>
      </c>
      <c r="AZ135" s="21">
        <v>28.167999999999999</v>
      </c>
      <c r="BA135" s="21">
        <v>-1.4654500000000001E-2</v>
      </c>
      <c r="BB135" s="21">
        <v>125</v>
      </c>
      <c r="BC135" s="21">
        <v>0.52880899999999997</v>
      </c>
      <c r="BD135">
        <f t="shared" si="22"/>
        <v>18.091975308641977</v>
      </c>
      <c r="BE135">
        <f t="shared" si="23"/>
        <v>9.5793390864197541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6.2812700000000001</v>
      </c>
      <c r="I136" s="21">
        <v>-1.4212000000000001E-2</v>
      </c>
      <c r="J136" s="21">
        <v>126</v>
      </c>
      <c r="K136" s="21">
        <v>1.1047400000000001</v>
      </c>
      <c r="L136">
        <f t="shared" si="12"/>
        <v>17.54567901234568</v>
      </c>
      <c r="M136">
        <f t="shared" si="13"/>
        <v>19.396748148148149</v>
      </c>
      <c r="N136" s="9"/>
      <c r="O136" s="21">
        <v>0.53451499999999996</v>
      </c>
      <c r="P136" s="21">
        <v>9.9795999999999996</v>
      </c>
      <c r="Q136" s="21">
        <v>-1.48407E-2</v>
      </c>
      <c r="R136" s="21">
        <v>126</v>
      </c>
      <c r="S136" s="21">
        <v>0.53381299999999998</v>
      </c>
      <c r="T136">
        <f t="shared" si="14"/>
        <v>18.32185185185185</v>
      </c>
      <c r="U136">
        <f t="shared" si="15"/>
        <v>9.7933046425925916</v>
      </c>
      <c r="X136" s="9"/>
      <c r="Y136" s="21">
        <v>1.1054999999999999</v>
      </c>
      <c r="Z136" s="21">
        <v>15.384499999999999</v>
      </c>
      <c r="AA136" s="21">
        <v>-1.4291399999999999E-2</v>
      </c>
      <c r="AB136" s="21">
        <v>126</v>
      </c>
      <c r="AC136" s="21">
        <v>1.10443</v>
      </c>
      <c r="AD136">
        <f t="shared" si="16"/>
        <v>17.643703703703704</v>
      </c>
      <c r="AE136">
        <f t="shared" si="17"/>
        <v>19.505114444444445</v>
      </c>
      <c r="AF136" s="9"/>
      <c r="AG136" s="21">
        <v>0.53451499999999996</v>
      </c>
      <c r="AH136" s="21">
        <v>19.082799999999999</v>
      </c>
      <c r="AI136" s="21">
        <v>-1.474E-2</v>
      </c>
      <c r="AJ136" s="21">
        <v>126</v>
      </c>
      <c r="AK136" s="21">
        <v>0.53366100000000005</v>
      </c>
      <c r="AL136">
        <f t="shared" si="18"/>
        <v>18.197530864197528</v>
      </c>
      <c r="AM136">
        <f t="shared" si="19"/>
        <v>9.7268532098765412</v>
      </c>
      <c r="AP136" s="9"/>
      <c r="AQ136" s="21">
        <v>1.1054999999999999</v>
      </c>
      <c r="AR136" s="21">
        <v>24.479700000000001</v>
      </c>
      <c r="AS136" s="21">
        <v>-1.4196800000000001E-2</v>
      </c>
      <c r="AT136" s="21">
        <v>126</v>
      </c>
      <c r="AU136" s="21">
        <v>1.10443</v>
      </c>
      <c r="AV136">
        <f t="shared" si="20"/>
        <v>17.526913580246916</v>
      </c>
      <c r="AW136">
        <f t="shared" si="21"/>
        <v>19.376002962962964</v>
      </c>
      <c r="AX136" s="9"/>
      <c r="AY136" s="21">
        <v>0.53451499999999996</v>
      </c>
      <c r="AZ136" s="21">
        <v>28.178000000000001</v>
      </c>
      <c r="BA136" s="21">
        <v>-1.46698E-2</v>
      </c>
      <c r="BB136" s="21">
        <v>126</v>
      </c>
      <c r="BC136" s="21">
        <v>0.533752</v>
      </c>
      <c r="BD136">
        <f t="shared" si="22"/>
        <v>18.110864197530866</v>
      </c>
      <c r="BE136">
        <f t="shared" si="23"/>
        <v>9.6805285765432103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6.2913399999999999</v>
      </c>
      <c r="I137" s="21">
        <v>-1.42273E-2</v>
      </c>
      <c r="J137" s="21">
        <v>127</v>
      </c>
      <c r="K137" s="21">
        <v>1.09985</v>
      </c>
      <c r="L137">
        <f t="shared" si="12"/>
        <v>17.564567901234565</v>
      </c>
      <c r="M137">
        <f t="shared" si="13"/>
        <v>19.329104392592591</v>
      </c>
      <c r="N137" s="9"/>
      <c r="O137" s="21">
        <v>0.539551</v>
      </c>
      <c r="P137" s="21">
        <v>9.9896700000000003</v>
      </c>
      <c r="Q137" s="21">
        <v>-1.4825400000000001E-2</v>
      </c>
      <c r="R137" s="21">
        <v>127</v>
      </c>
      <c r="S137" s="21">
        <v>0.53881800000000002</v>
      </c>
      <c r="T137">
        <f t="shared" si="14"/>
        <v>18.302962962962962</v>
      </c>
      <c r="U137">
        <f t="shared" si="15"/>
        <v>9.875381969629629</v>
      </c>
      <c r="X137" s="9"/>
      <c r="Y137" s="21">
        <v>1.10046</v>
      </c>
      <c r="Z137" s="21">
        <v>15.394600000000001</v>
      </c>
      <c r="AA137" s="21">
        <v>-1.4291399999999999E-2</v>
      </c>
      <c r="AB137" s="21">
        <v>127</v>
      </c>
      <c r="AC137" s="21">
        <v>1.09924</v>
      </c>
      <c r="AD137">
        <f t="shared" si="16"/>
        <v>17.643703703703704</v>
      </c>
      <c r="AE137">
        <f t="shared" si="17"/>
        <v>19.416190177777779</v>
      </c>
      <c r="AF137" s="9"/>
      <c r="AG137" s="21">
        <v>0.539551</v>
      </c>
      <c r="AH137" s="21">
        <v>19.0929</v>
      </c>
      <c r="AI137" s="21">
        <v>-1.4736900000000001E-2</v>
      </c>
      <c r="AJ137" s="21">
        <v>127</v>
      </c>
      <c r="AK137" s="21">
        <v>0.53891</v>
      </c>
      <c r="AL137">
        <f t="shared" si="18"/>
        <v>18.193703703703704</v>
      </c>
      <c r="AM137">
        <f t="shared" si="19"/>
        <v>9.8164310270370372</v>
      </c>
      <c r="AP137" s="9"/>
      <c r="AQ137" s="21">
        <v>1.10046</v>
      </c>
      <c r="AR137" s="21">
        <v>24.489799999999999</v>
      </c>
      <c r="AS137" s="21">
        <v>-1.4196800000000001E-2</v>
      </c>
      <c r="AT137" s="21">
        <v>127</v>
      </c>
      <c r="AU137" s="21">
        <v>1.09985</v>
      </c>
      <c r="AV137">
        <f t="shared" si="20"/>
        <v>17.526913580246916</v>
      </c>
      <c r="AW137">
        <f t="shared" si="21"/>
        <v>19.287667318518523</v>
      </c>
      <c r="AX137" s="9"/>
      <c r="AY137" s="21">
        <v>0.539551</v>
      </c>
      <c r="AZ137" s="21">
        <v>28.188099999999999</v>
      </c>
      <c r="BA137" s="21">
        <v>-1.46851E-2</v>
      </c>
      <c r="BB137" s="21">
        <v>127</v>
      </c>
      <c r="BC137" s="21">
        <v>0.53884900000000002</v>
      </c>
      <c r="BD137">
        <f t="shared" si="22"/>
        <v>18.12975308641975</v>
      </c>
      <c r="BE137">
        <f t="shared" si="23"/>
        <v>9.7819264075308627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6.3014099999999997</v>
      </c>
      <c r="I138" s="21">
        <v>-1.4236499999999999E-2</v>
      </c>
      <c r="J138" s="21">
        <v>128</v>
      </c>
      <c r="K138" s="21">
        <v>1.09467</v>
      </c>
      <c r="L138">
        <f t="shared" si="12"/>
        <v>17.575925925925926</v>
      </c>
      <c r="M138">
        <f t="shared" si="13"/>
        <v>19.253196537037034</v>
      </c>
      <c r="N138" s="9"/>
      <c r="O138" s="21">
        <v>0.54458600000000001</v>
      </c>
      <c r="P138" s="21">
        <v>9.9997399999999992</v>
      </c>
      <c r="Q138" s="21">
        <v>-1.48132E-2</v>
      </c>
      <c r="R138" s="21">
        <v>128</v>
      </c>
      <c r="S138" s="21">
        <v>0.54397600000000002</v>
      </c>
      <c r="T138">
        <f t="shared" si="14"/>
        <v>18.287901234567901</v>
      </c>
      <c r="U138">
        <f t="shared" si="15"/>
        <v>9.9593349817283947</v>
      </c>
      <c r="X138" s="9"/>
      <c r="Y138" s="21">
        <v>1.0954299999999999</v>
      </c>
      <c r="Z138" s="21">
        <v>15.4046</v>
      </c>
      <c r="AA138" s="21">
        <v>-1.4297499999999999E-2</v>
      </c>
      <c r="AB138" s="21">
        <v>128</v>
      </c>
      <c r="AC138" s="21">
        <v>1.09436</v>
      </c>
      <c r="AD138">
        <f t="shared" si="16"/>
        <v>17.651234567901231</v>
      </c>
      <c r="AE138">
        <f t="shared" si="17"/>
        <v>19.335691882716045</v>
      </c>
      <c r="AF138" s="9"/>
      <c r="AG138" s="21">
        <v>0.54458600000000001</v>
      </c>
      <c r="AH138" s="21">
        <v>19.103000000000002</v>
      </c>
      <c r="AI138" s="21">
        <v>-1.4727799999999999E-2</v>
      </c>
      <c r="AJ138" s="21">
        <v>128</v>
      </c>
      <c r="AK138" s="21">
        <v>0.54397600000000002</v>
      </c>
      <c r="AL138">
        <f t="shared" si="18"/>
        <v>18.182469135802467</v>
      </c>
      <c r="AM138">
        <f t="shared" si="19"/>
        <v>9.9019181367901226</v>
      </c>
      <c r="AP138" s="9"/>
      <c r="AQ138" s="21">
        <v>1.0954299999999999</v>
      </c>
      <c r="AR138" s="21">
        <v>24.4999</v>
      </c>
      <c r="AS138" s="21">
        <v>-1.4202899999999999E-2</v>
      </c>
      <c r="AT138" s="21">
        <v>128</v>
      </c>
      <c r="AU138" s="21">
        <v>1.09436</v>
      </c>
      <c r="AV138">
        <f t="shared" si="20"/>
        <v>17.534444444444443</v>
      </c>
      <c r="AW138">
        <f t="shared" si="21"/>
        <v>19.207756477777775</v>
      </c>
      <c r="AX138" s="9"/>
      <c r="AY138" s="21">
        <v>0.54458600000000001</v>
      </c>
      <c r="AZ138" s="21">
        <v>28.1982</v>
      </c>
      <c r="BA138" s="21">
        <v>-1.4678999999999999E-2</v>
      </c>
      <c r="BB138" s="21">
        <v>128</v>
      </c>
      <c r="BC138" s="21">
        <v>0.54385399999999995</v>
      </c>
      <c r="BD138">
        <f t="shared" si="22"/>
        <v>18.12222222222222</v>
      </c>
      <c r="BE138">
        <f t="shared" si="23"/>
        <v>9.8691085111111096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6.3114800000000004</v>
      </c>
      <c r="I139" s="21">
        <v>-1.4236499999999999E-2</v>
      </c>
      <c r="J139" s="21">
        <v>129</v>
      </c>
      <c r="K139" s="21">
        <v>1.08948</v>
      </c>
      <c r="L139">
        <f t="shared" si="12"/>
        <v>17.575925925925926</v>
      </c>
      <c r="M139">
        <f t="shared" si="13"/>
        <v>19.164613870370371</v>
      </c>
      <c r="N139" s="9"/>
      <c r="O139" s="21">
        <v>0.54962200000000005</v>
      </c>
      <c r="P139" s="21">
        <v>10.0098</v>
      </c>
      <c r="Q139" s="21">
        <v>-1.47919E-2</v>
      </c>
      <c r="R139" s="21">
        <v>129</v>
      </c>
      <c r="S139" s="21">
        <v>0.54895000000000005</v>
      </c>
      <c r="T139">
        <f t="shared" si="14"/>
        <v>18.261604938271603</v>
      </c>
      <c r="U139">
        <f t="shared" si="15"/>
        <v>10.036979829382716</v>
      </c>
      <c r="X139" s="9"/>
      <c r="Y139" s="21">
        <v>1.09039</v>
      </c>
      <c r="Z139" s="21">
        <v>15.4147</v>
      </c>
      <c r="AA139" s="21">
        <v>-1.43036E-2</v>
      </c>
      <c r="AB139" s="21">
        <v>129</v>
      </c>
      <c r="AC139" s="21">
        <v>1.08978</v>
      </c>
      <c r="AD139">
        <f t="shared" si="16"/>
        <v>17.658765432098765</v>
      </c>
      <c r="AE139">
        <f t="shared" si="17"/>
        <v>19.25494123950617</v>
      </c>
      <c r="AF139" s="9"/>
      <c r="AG139" s="21">
        <v>0.54962200000000005</v>
      </c>
      <c r="AH139" s="21">
        <v>19.113</v>
      </c>
      <c r="AI139" s="21">
        <v>-1.47308E-2</v>
      </c>
      <c r="AJ139" s="21">
        <v>129</v>
      </c>
      <c r="AK139" s="21">
        <v>0.54888899999999996</v>
      </c>
      <c r="AL139">
        <f t="shared" si="18"/>
        <v>18.186172839506174</v>
      </c>
      <c r="AM139">
        <f t="shared" si="19"/>
        <v>9.9955206883950627</v>
      </c>
      <c r="AP139" s="9"/>
      <c r="AQ139" s="21">
        <v>1.09039</v>
      </c>
      <c r="AR139" s="21">
        <v>24.509899999999998</v>
      </c>
      <c r="AS139" s="21">
        <v>-1.4218099999999999E-2</v>
      </c>
      <c r="AT139" s="21">
        <v>129</v>
      </c>
      <c r="AU139" s="21">
        <v>1.08948</v>
      </c>
      <c r="AV139">
        <f t="shared" si="20"/>
        <v>17.553209876543207</v>
      </c>
      <c r="AW139">
        <f t="shared" si="21"/>
        <v>19.139844517283947</v>
      </c>
      <c r="AX139" s="9"/>
      <c r="AY139" s="21">
        <v>0.54962200000000005</v>
      </c>
      <c r="AZ139" s="21">
        <v>28.208300000000001</v>
      </c>
      <c r="BA139" s="21">
        <v>-1.46637E-2</v>
      </c>
      <c r="BB139" s="21">
        <v>129</v>
      </c>
      <c r="BC139" s="21">
        <v>0.54888899999999996</v>
      </c>
      <c r="BD139">
        <f t="shared" si="22"/>
        <v>18.103333333333332</v>
      </c>
      <c r="BE139">
        <f t="shared" si="23"/>
        <v>9.9499902733333343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6.3215500000000002</v>
      </c>
      <c r="I140" s="21">
        <v>-1.4236499999999999E-2</v>
      </c>
      <c r="J140" s="21">
        <v>130</v>
      </c>
      <c r="K140" s="21">
        <v>1.0845899999999999</v>
      </c>
      <c r="L140">
        <f t="shared" ref="L140:L203" si="24">-I140/$F$2*1000</f>
        <v>17.575925925925926</v>
      </c>
      <c r="M140">
        <f t="shared" ref="M140:M203" si="25">L140*G140</f>
        <v>19.076206962962964</v>
      </c>
      <c r="N140" s="9"/>
      <c r="O140" s="21">
        <v>0.55465699999999996</v>
      </c>
      <c r="P140" s="21">
        <v>10.0199</v>
      </c>
      <c r="Q140" s="21">
        <v>-1.47797E-2</v>
      </c>
      <c r="R140" s="21">
        <v>130</v>
      </c>
      <c r="S140" s="21">
        <v>0.55395499999999998</v>
      </c>
      <c r="T140">
        <f t="shared" ref="T140:T203" si="26">-Q140/$F$2*1000</f>
        <v>18.246543209876542</v>
      </c>
      <c r="U140">
        <f t="shared" ref="U140:U203" si="27">T140*O140</f>
        <v>10.120572917160493</v>
      </c>
      <c r="X140" s="9"/>
      <c r="Y140" s="21">
        <v>1.0853600000000001</v>
      </c>
      <c r="Z140" s="21">
        <v>15.424799999999999</v>
      </c>
      <c r="AA140" s="21">
        <v>-1.4297499999999999E-2</v>
      </c>
      <c r="AB140" s="21">
        <v>130</v>
      </c>
      <c r="AC140" s="21">
        <v>1.08429</v>
      </c>
      <c r="AD140">
        <f t="shared" ref="AD140:AD203" si="28">-AA140/$F$2*1000</f>
        <v>17.651234567901231</v>
      </c>
      <c r="AE140">
        <f t="shared" ref="AE140:AE203" si="29">AD140*Y140</f>
        <v>19.15794395061728</v>
      </c>
      <c r="AF140" s="9"/>
      <c r="AG140" s="21">
        <v>0.55465699999999996</v>
      </c>
      <c r="AH140" s="21">
        <v>19.123100000000001</v>
      </c>
      <c r="AI140" s="21">
        <v>-1.47308E-2</v>
      </c>
      <c r="AJ140" s="21">
        <v>130</v>
      </c>
      <c r="AK140" s="21">
        <v>0.55401599999999995</v>
      </c>
      <c r="AL140">
        <f t="shared" ref="AL140:AL203" si="30">-AI140/$F$2*1000</f>
        <v>18.186172839506174</v>
      </c>
      <c r="AM140">
        <f t="shared" ref="AM140:AM203" si="31">AL140*AG140</f>
        <v>10.087088068641975</v>
      </c>
      <c r="AP140" s="9"/>
      <c r="AQ140" s="21">
        <v>1.0853600000000001</v>
      </c>
      <c r="AR140" s="21">
        <v>24.52</v>
      </c>
      <c r="AS140" s="21">
        <v>-1.42273E-2</v>
      </c>
      <c r="AT140" s="21">
        <v>130</v>
      </c>
      <c r="AU140" s="21">
        <v>1.08429</v>
      </c>
      <c r="AV140">
        <f t="shared" ref="AV140:AV203" si="32">-AS140/$F$2*1000</f>
        <v>17.564567901234565</v>
      </c>
      <c r="AW140">
        <f t="shared" ref="AW140:AW203" si="33">AV140*AQ140</f>
        <v>19.06387941728395</v>
      </c>
      <c r="AX140" s="9"/>
      <c r="AY140" s="21">
        <v>0.55465699999999996</v>
      </c>
      <c r="AZ140" s="21">
        <v>28.218299999999999</v>
      </c>
      <c r="BA140" s="21">
        <v>-1.4639299999999999E-2</v>
      </c>
      <c r="BB140" s="21">
        <v>130</v>
      </c>
      <c r="BC140" s="21">
        <v>0.553894</v>
      </c>
      <c r="BD140">
        <f t="shared" ref="BD140:BD203" si="34">-BA140/$F$2*1000</f>
        <v>18.07320987654321</v>
      </c>
      <c r="BE140">
        <f t="shared" ref="BE140:BE203" si="35">BD140*AY140</f>
        <v>10.024432370493827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6.33162</v>
      </c>
      <c r="I141" s="21">
        <v>-1.42487E-2</v>
      </c>
      <c r="J141" s="21">
        <v>131</v>
      </c>
      <c r="K141" s="21">
        <v>1.0797099999999999</v>
      </c>
      <c r="L141">
        <f t="shared" si="24"/>
        <v>17.590987654320987</v>
      </c>
      <c r="M141">
        <f t="shared" si="25"/>
        <v>19.003895782716047</v>
      </c>
      <c r="N141" s="9"/>
      <c r="O141" s="21">
        <v>0.55969199999999997</v>
      </c>
      <c r="P141" s="21">
        <v>10.029999999999999</v>
      </c>
      <c r="Q141" s="21">
        <v>-1.47736E-2</v>
      </c>
      <c r="R141" s="21">
        <v>131</v>
      </c>
      <c r="S141" s="21">
        <v>0.55905199999999999</v>
      </c>
      <c r="T141">
        <f t="shared" si="26"/>
        <v>18.239012345679011</v>
      </c>
      <c r="U141">
        <f t="shared" si="27"/>
        <v>10.208229297777777</v>
      </c>
      <c r="X141" s="9"/>
      <c r="Y141" s="21">
        <v>1.0803199999999999</v>
      </c>
      <c r="Z141" s="21">
        <v>15.434799999999999</v>
      </c>
      <c r="AA141" s="21">
        <v>-1.4297499999999999E-2</v>
      </c>
      <c r="AB141" s="21">
        <v>131</v>
      </c>
      <c r="AC141" s="21">
        <v>1.0790999999999999</v>
      </c>
      <c r="AD141">
        <f t="shared" si="28"/>
        <v>17.651234567901231</v>
      </c>
      <c r="AE141">
        <f t="shared" si="29"/>
        <v>19.068981728395055</v>
      </c>
      <c r="AF141" s="9"/>
      <c r="AG141" s="21">
        <v>0.55969199999999997</v>
      </c>
      <c r="AH141" s="21">
        <v>19.133199999999999</v>
      </c>
      <c r="AI141" s="21">
        <v>-1.47247E-2</v>
      </c>
      <c r="AJ141" s="21">
        <v>131</v>
      </c>
      <c r="AK141" s="21">
        <v>0.55905199999999999</v>
      </c>
      <c r="AL141">
        <f t="shared" si="30"/>
        <v>18.178641975308643</v>
      </c>
      <c r="AM141">
        <f t="shared" si="31"/>
        <v>10.174440484444444</v>
      </c>
      <c r="AP141" s="9"/>
      <c r="AQ141" s="21">
        <v>1.0803199999999999</v>
      </c>
      <c r="AR141" s="21">
        <v>24.530100000000001</v>
      </c>
      <c r="AS141" s="21">
        <v>-1.4224199999999999E-2</v>
      </c>
      <c r="AT141" s="21">
        <v>131</v>
      </c>
      <c r="AU141" s="21">
        <v>1.07941</v>
      </c>
      <c r="AV141">
        <f t="shared" si="32"/>
        <v>17.560740740740737</v>
      </c>
      <c r="AW141">
        <f t="shared" si="33"/>
        <v>18.971219437037032</v>
      </c>
      <c r="AX141" s="9"/>
      <c r="AY141" s="21">
        <v>0.55969199999999997</v>
      </c>
      <c r="AZ141" s="21">
        <v>28.228400000000001</v>
      </c>
      <c r="BA141" s="21">
        <v>-1.4627100000000001E-2</v>
      </c>
      <c r="BB141" s="21">
        <v>131</v>
      </c>
      <c r="BC141" s="21">
        <v>0.55902099999999999</v>
      </c>
      <c r="BD141">
        <f t="shared" si="34"/>
        <v>18.058148148148145</v>
      </c>
      <c r="BE141">
        <f t="shared" si="35"/>
        <v>10.107001053333331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6.3416899999999998</v>
      </c>
      <c r="I142" s="21">
        <v>-1.4257799999999999E-2</v>
      </c>
      <c r="J142" s="21">
        <v>132</v>
      </c>
      <c r="K142" s="21">
        <v>1.07422</v>
      </c>
      <c r="L142">
        <f t="shared" si="24"/>
        <v>17.60222222222222</v>
      </c>
      <c r="M142">
        <f t="shared" si="25"/>
        <v>18.927493533333333</v>
      </c>
      <c r="N142" s="9"/>
      <c r="O142" s="21">
        <v>0.56472800000000001</v>
      </c>
      <c r="P142" s="21">
        <v>10.039999999999999</v>
      </c>
      <c r="Q142" s="21">
        <v>-1.4767499999999999E-2</v>
      </c>
      <c r="R142" s="21">
        <v>132</v>
      </c>
      <c r="S142" s="21">
        <v>0.564056</v>
      </c>
      <c r="T142">
        <f t="shared" si="26"/>
        <v>18.231481481481481</v>
      </c>
      <c r="U142">
        <f t="shared" si="27"/>
        <v>10.295828074074073</v>
      </c>
      <c r="X142" s="9"/>
      <c r="Y142" s="21">
        <v>1.0752900000000001</v>
      </c>
      <c r="Z142" s="21">
        <v>15.444900000000001</v>
      </c>
      <c r="AA142" s="21">
        <v>-1.43097E-2</v>
      </c>
      <c r="AB142" s="21">
        <v>132</v>
      </c>
      <c r="AC142" s="21">
        <v>1.0745199999999999</v>
      </c>
      <c r="AD142">
        <f t="shared" si="28"/>
        <v>17.666296296296295</v>
      </c>
      <c r="AE142">
        <f t="shared" si="29"/>
        <v>18.996391744444445</v>
      </c>
      <c r="AF142" s="9"/>
      <c r="AG142" s="21">
        <v>0.56472800000000001</v>
      </c>
      <c r="AH142" s="21">
        <v>19.1432</v>
      </c>
      <c r="AI142" s="21">
        <v>-1.4715600000000001E-2</v>
      </c>
      <c r="AJ142" s="21">
        <v>132</v>
      </c>
      <c r="AK142" s="21">
        <v>0.56408700000000001</v>
      </c>
      <c r="AL142">
        <f t="shared" si="30"/>
        <v>18.167407407407406</v>
      </c>
      <c r="AM142">
        <f t="shared" si="31"/>
        <v>10.25964365037037</v>
      </c>
      <c r="AP142" s="9"/>
      <c r="AQ142" s="21">
        <v>1.0752900000000001</v>
      </c>
      <c r="AR142" s="21">
        <v>24.540099999999999</v>
      </c>
      <c r="AS142" s="21">
        <v>-1.4218099999999999E-2</v>
      </c>
      <c r="AT142" s="21">
        <v>132</v>
      </c>
      <c r="AU142" s="21">
        <v>1.0745199999999999</v>
      </c>
      <c r="AV142">
        <f t="shared" si="32"/>
        <v>17.553209876543207</v>
      </c>
      <c r="AW142">
        <f t="shared" si="33"/>
        <v>18.874791048148147</v>
      </c>
      <c r="AX142" s="9"/>
      <c r="AY142" s="21">
        <v>0.56472800000000001</v>
      </c>
      <c r="AZ142" s="21">
        <v>28.238499999999998</v>
      </c>
      <c r="BA142" s="21">
        <v>-1.4621E-2</v>
      </c>
      <c r="BB142" s="21">
        <v>132</v>
      </c>
      <c r="BC142" s="21">
        <v>0.56402600000000003</v>
      </c>
      <c r="BD142">
        <f t="shared" si="34"/>
        <v>18.050617283950618</v>
      </c>
      <c r="BE142">
        <f t="shared" si="35"/>
        <v>10.193688997530865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6.3517599999999996</v>
      </c>
      <c r="I143" s="21">
        <v>-1.4257799999999999E-2</v>
      </c>
      <c r="J143" s="21">
        <v>133</v>
      </c>
      <c r="K143" s="21">
        <v>1.06873</v>
      </c>
      <c r="L143">
        <f t="shared" si="24"/>
        <v>17.60222222222222</v>
      </c>
      <c r="M143">
        <f t="shared" si="25"/>
        <v>18.83877833333333</v>
      </c>
      <c r="N143" s="9"/>
      <c r="O143" s="21">
        <v>0.56976300000000002</v>
      </c>
      <c r="P143" s="21">
        <v>10.0501</v>
      </c>
      <c r="Q143" s="21">
        <v>-1.47552E-2</v>
      </c>
      <c r="R143" s="21">
        <v>133</v>
      </c>
      <c r="S143" s="21">
        <v>0.56909200000000004</v>
      </c>
      <c r="T143">
        <f t="shared" si="26"/>
        <v>18.216296296296292</v>
      </c>
      <c r="U143">
        <f t="shared" si="27"/>
        <v>10.378971626666665</v>
      </c>
      <c r="X143" s="9"/>
      <c r="Y143" s="21">
        <v>1.0702499999999999</v>
      </c>
      <c r="Z143" s="21">
        <v>15.455</v>
      </c>
      <c r="AA143" s="21">
        <v>-1.4328E-2</v>
      </c>
      <c r="AB143" s="21">
        <v>133</v>
      </c>
      <c r="AC143" s="21">
        <v>1.06873</v>
      </c>
      <c r="AD143">
        <f t="shared" si="28"/>
        <v>17.68888888888889</v>
      </c>
      <c r="AE143">
        <f t="shared" si="29"/>
        <v>18.931533333333334</v>
      </c>
      <c r="AF143" s="9"/>
      <c r="AG143" s="21">
        <v>0.56976300000000002</v>
      </c>
      <c r="AH143" s="21">
        <v>19.153300000000002</v>
      </c>
      <c r="AI143" s="21">
        <v>-1.47064E-2</v>
      </c>
      <c r="AJ143" s="21">
        <v>133</v>
      </c>
      <c r="AK143" s="21">
        <v>0.569214</v>
      </c>
      <c r="AL143">
        <f t="shared" si="30"/>
        <v>18.156049382716049</v>
      </c>
      <c r="AM143">
        <f t="shared" si="31"/>
        <v>10.344645164444444</v>
      </c>
      <c r="AP143" s="9"/>
      <c r="AQ143" s="21">
        <v>1.0702499999999999</v>
      </c>
      <c r="AR143" s="21">
        <v>24.5502</v>
      </c>
      <c r="AS143" s="21">
        <v>-1.4224199999999999E-2</v>
      </c>
      <c r="AT143" s="21">
        <v>133</v>
      </c>
      <c r="AU143" s="21">
        <v>1.06873</v>
      </c>
      <c r="AV143">
        <f t="shared" si="32"/>
        <v>17.560740740740737</v>
      </c>
      <c r="AW143">
        <f t="shared" si="33"/>
        <v>18.794382777777773</v>
      </c>
      <c r="AX143" s="9"/>
      <c r="AY143" s="21">
        <v>0.56976300000000002</v>
      </c>
      <c r="AZ143" s="21">
        <v>28.2485</v>
      </c>
      <c r="BA143" s="21">
        <v>-1.46179E-2</v>
      </c>
      <c r="BB143" s="21">
        <v>133</v>
      </c>
      <c r="BC143" s="21">
        <v>0.56909200000000004</v>
      </c>
      <c r="BD143">
        <f t="shared" si="34"/>
        <v>18.046790123456791</v>
      </c>
      <c r="BE143">
        <f t="shared" si="35"/>
        <v>10.282393281111112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6.3618300000000003</v>
      </c>
      <c r="I144" s="21">
        <v>-1.42731E-2</v>
      </c>
      <c r="J144" s="21">
        <v>134</v>
      </c>
      <c r="K144" s="21">
        <v>1.0638399999999999</v>
      </c>
      <c r="L144">
        <f t="shared" si="24"/>
        <v>17.621111111111112</v>
      </c>
      <c r="M144">
        <f t="shared" si="25"/>
        <v>18.77035997777778</v>
      </c>
      <c r="N144" s="9"/>
      <c r="O144" s="21">
        <v>0.57479899999999995</v>
      </c>
      <c r="P144" s="21">
        <v>10.0602</v>
      </c>
      <c r="Q144" s="21">
        <v>-1.474E-2</v>
      </c>
      <c r="R144" s="21">
        <v>134</v>
      </c>
      <c r="S144" s="21">
        <v>0.57412700000000005</v>
      </c>
      <c r="T144">
        <f t="shared" si="26"/>
        <v>18.197530864197528</v>
      </c>
      <c r="U144">
        <f t="shared" si="27"/>
        <v>10.459922543209874</v>
      </c>
      <c r="X144" s="9"/>
      <c r="Y144" s="21">
        <v>1.0652200000000001</v>
      </c>
      <c r="Z144" s="21">
        <v>15.4651</v>
      </c>
      <c r="AA144" s="21">
        <v>-1.4328E-2</v>
      </c>
      <c r="AB144" s="21">
        <v>134</v>
      </c>
      <c r="AC144" s="21">
        <v>1.0641499999999999</v>
      </c>
      <c r="AD144">
        <f t="shared" si="28"/>
        <v>17.68888888888889</v>
      </c>
      <c r="AE144">
        <f t="shared" si="29"/>
        <v>18.842558222222223</v>
      </c>
      <c r="AF144" s="9"/>
      <c r="AG144" s="21">
        <v>0.57479899999999995</v>
      </c>
      <c r="AH144" s="21">
        <v>19.163399999999999</v>
      </c>
      <c r="AI144" s="21">
        <v>-1.4694199999999999E-2</v>
      </c>
      <c r="AJ144" s="21">
        <v>134</v>
      </c>
      <c r="AK144" s="21">
        <v>0.57406599999999997</v>
      </c>
      <c r="AL144">
        <f t="shared" si="30"/>
        <v>18.140987654320988</v>
      </c>
      <c r="AM144">
        <f t="shared" si="31"/>
        <v>10.427421562716049</v>
      </c>
      <c r="AP144" s="9"/>
      <c r="AQ144" s="21">
        <v>1.0652200000000001</v>
      </c>
      <c r="AR144" s="21">
        <v>24.560300000000002</v>
      </c>
      <c r="AS144" s="21">
        <v>-1.4236499999999999E-2</v>
      </c>
      <c r="AT144" s="21">
        <v>134</v>
      </c>
      <c r="AU144" s="21">
        <v>1.0644499999999999</v>
      </c>
      <c r="AV144">
        <f t="shared" si="32"/>
        <v>17.575925925925926</v>
      </c>
      <c r="AW144">
        <f t="shared" si="33"/>
        <v>18.722227814814815</v>
      </c>
      <c r="AX144" s="9"/>
      <c r="AY144" s="21">
        <v>0.57479899999999995</v>
      </c>
      <c r="AZ144" s="21">
        <v>28.258600000000001</v>
      </c>
      <c r="BA144" s="21">
        <v>-1.46301E-2</v>
      </c>
      <c r="BB144" s="21">
        <v>134</v>
      </c>
      <c r="BC144" s="21">
        <v>0.57421900000000003</v>
      </c>
      <c r="BD144">
        <f t="shared" si="34"/>
        <v>18.061851851851848</v>
      </c>
      <c r="BE144">
        <f t="shared" si="35"/>
        <v>10.38193438259259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6.3719000000000001</v>
      </c>
      <c r="I145" s="21">
        <v>-1.4294400000000001E-2</v>
      </c>
      <c r="J145" s="21">
        <v>135</v>
      </c>
      <c r="K145" s="21">
        <v>1.0592699999999999</v>
      </c>
      <c r="L145">
        <f t="shared" si="24"/>
        <v>17.647407407407407</v>
      </c>
      <c r="M145">
        <f t="shared" si="25"/>
        <v>18.709428385185184</v>
      </c>
      <c r="N145" s="9"/>
      <c r="O145" s="21">
        <v>0.57983399999999996</v>
      </c>
      <c r="P145" s="21">
        <v>10.0702</v>
      </c>
      <c r="Q145" s="21">
        <v>-1.4727799999999999E-2</v>
      </c>
      <c r="R145" s="21">
        <v>135</v>
      </c>
      <c r="S145" s="21">
        <v>0.57916299999999998</v>
      </c>
      <c r="T145">
        <f t="shared" si="26"/>
        <v>18.182469135802467</v>
      </c>
      <c r="U145">
        <f t="shared" si="27"/>
        <v>10.542813808888887</v>
      </c>
      <c r="X145" s="9"/>
      <c r="Y145" s="21">
        <v>1.0601799999999999</v>
      </c>
      <c r="Z145" s="21">
        <v>15.475099999999999</v>
      </c>
      <c r="AA145" s="21">
        <v>-1.4331099999999999E-2</v>
      </c>
      <c r="AB145" s="21">
        <v>135</v>
      </c>
      <c r="AC145" s="21">
        <v>1.0586500000000001</v>
      </c>
      <c r="AD145">
        <f t="shared" si="28"/>
        <v>17.692716049382714</v>
      </c>
      <c r="AE145">
        <f t="shared" si="29"/>
        <v>18.757463701234563</v>
      </c>
      <c r="AF145" s="9"/>
      <c r="AG145" s="21">
        <v>0.57983399999999996</v>
      </c>
      <c r="AH145" s="21">
        <v>19.173500000000001</v>
      </c>
      <c r="AI145" s="21">
        <v>-1.4678999999999999E-2</v>
      </c>
      <c r="AJ145" s="21">
        <v>135</v>
      </c>
      <c r="AK145" s="21">
        <v>0.57919299999999996</v>
      </c>
      <c r="AL145">
        <f t="shared" si="30"/>
        <v>18.12222222222222</v>
      </c>
      <c r="AM145">
        <f t="shared" si="31"/>
        <v>10.507880599999998</v>
      </c>
      <c r="AP145" s="9"/>
      <c r="AQ145" s="21">
        <v>1.0601799999999999</v>
      </c>
      <c r="AR145" s="21">
        <v>24.5703</v>
      </c>
      <c r="AS145" s="21">
        <v>-1.4245600000000001E-2</v>
      </c>
      <c r="AT145" s="21">
        <v>135</v>
      </c>
      <c r="AU145" s="21">
        <v>1.0589599999999999</v>
      </c>
      <c r="AV145">
        <f t="shared" si="32"/>
        <v>17.58716049382716</v>
      </c>
      <c r="AW145">
        <f t="shared" si="33"/>
        <v>18.645555812345677</v>
      </c>
      <c r="AX145" s="9"/>
      <c r="AY145" s="21">
        <v>0.57983399999999996</v>
      </c>
      <c r="AZ145" s="21">
        <v>28.268699999999999</v>
      </c>
      <c r="BA145" s="21">
        <v>-1.46301E-2</v>
      </c>
      <c r="BB145" s="21">
        <v>135</v>
      </c>
      <c r="BC145" s="21">
        <v>0.57922399999999996</v>
      </c>
      <c r="BD145">
        <f t="shared" si="34"/>
        <v>18.061851851851848</v>
      </c>
      <c r="BE145">
        <f t="shared" si="35"/>
        <v>10.472875806666664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6.3819800000000004</v>
      </c>
      <c r="I146" s="21">
        <v>-1.4312699999999999E-2</v>
      </c>
      <c r="J146" s="21">
        <v>136</v>
      </c>
      <c r="K146" s="21">
        <v>1.0540799999999999</v>
      </c>
      <c r="L146">
        <f t="shared" si="24"/>
        <v>17.669999999999998</v>
      </c>
      <c r="M146">
        <f t="shared" si="25"/>
        <v>18.644500499999999</v>
      </c>
      <c r="N146" s="9"/>
      <c r="O146" s="21">
        <v>0.58486899999999997</v>
      </c>
      <c r="P146" s="21">
        <v>10.080299999999999</v>
      </c>
      <c r="Q146" s="21">
        <v>-1.47095E-2</v>
      </c>
      <c r="R146" s="21">
        <v>136</v>
      </c>
      <c r="S146" s="21">
        <v>0.584229</v>
      </c>
      <c r="T146">
        <f t="shared" si="26"/>
        <v>18.159876543209876</v>
      </c>
      <c r="U146">
        <f t="shared" si="27"/>
        <v>10.621148833950617</v>
      </c>
      <c r="X146" s="9"/>
      <c r="Y146" s="21">
        <v>1.05515</v>
      </c>
      <c r="Z146" s="21">
        <v>15.485200000000001</v>
      </c>
      <c r="AA146" s="21">
        <v>-1.43372E-2</v>
      </c>
      <c r="AB146" s="21">
        <v>136</v>
      </c>
      <c r="AC146" s="21">
        <v>1.0543800000000001</v>
      </c>
      <c r="AD146">
        <f t="shared" si="28"/>
        <v>17.700246913580244</v>
      </c>
      <c r="AE146">
        <f t="shared" si="29"/>
        <v>18.676415530864194</v>
      </c>
      <c r="AF146" s="9"/>
      <c r="AG146" s="21">
        <v>0.58486899999999997</v>
      </c>
      <c r="AH146" s="21">
        <v>19.183499999999999</v>
      </c>
      <c r="AI146" s="21">
        <v>-1.46698E-2</v>
      </c>
      <c r="AJ146" s="21">
        <v>136</v>
      </c>
      <c r="AK146" s="21">
        <v>0.584229</v>
      </c>
      <c r="AL146">
        <f t="shared" si="30"/>
        <v>18.110864197530866</v>
      </c>
      <c r="AM146">
        <f t="shared" si="31"/>
        <v>10.59248303234568</v>
      </c>
      <c r="AP146" s="9"/>
      <c r="AQ146" s="21">
        <v>1.05515</v>
      </c>
      <c r="AR146" s="21">
        <v>24.580400000000001</v>
      </c>
      <c r="AS146" s="21">
        <v>-1.4263899999999999E-2</v>
      </c>
      <c r="AT146" s="21">
        <v>136</v>
      </c>
      <c r="AU146" s="21">
        <v>1.0537700000000001</v>
      </c>
      <c r="AV146">
        <f t="shared" si="32"/>
        <v>17.609753086419751</v>
      </c>
      <c r="AW146">
        <f t="shared" si="33"/>
        <v>18.5809309691358</v>
      </c>
      <c r="AX146" s="9"/>
      <c r="AY146" s="21">
        <v>0.58486899999999997</v>
      </c>
      <c r="AZ146" s="21">
        <v>28.2788</v>
      </c>
      <c r="BA146" s="21">
        <v>-1.4627100000000001E-2</v>
      </c>
      <c r="BB146" s="21">
        <v>136</v>
      </c>
      <c r="BC146" s="21">
        <v>0.58416699999999999</v>
      </c>
      <c r="BD146">
        <f t="shared" si="34"/>
        <v>18.058148148148145</v>
      </c>
      <c r="BE146">
        <f t="shared" si="35"/>
        <v>10.561651049259257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6.3920500000000002</v>
      </c>
      <c r="I147" s="21">
        <v>-1.43188E-2</v>
      </c>
      <c r="J147" s="21">
        <v>137</v>
      </c>
      <c r="K147" s="21">
        <v>1.0485800000000001</v>
      </c>
      <c r="L147">
        <f t="shared" si="24"/>
        <v>17.677530864197529</v>
      </c>
      <c r="M147">
        <f t="shared" si="25"/>
        <v>18.563351935802469</v>
      </c>
      <c r="N147" s="9"/>
      <c r="O147" s="21">
        <v>0.58990500000000001</v>
      </c>
      <c r="P147" s="21">
        <v>10.090400000000001</v>
      </c>
      <c r="Q147" s="21">
        <v>-1.47095E-2</v>
      </c>
      <c r="R147" s="21">
        <v>137</v>
      </c>
      <c r="S147" s="21">
        <v>0.58932499999999999</v>
      </c>
      <c r="T147">
        <f t="shared" si="26"/>
        <v>18.159876543209876</v>
      </c>
      <c r="U147">
        <f t="shared" si="27"/>
        <v>10.712601972222222</v>
      </c>
      <c r="X147" s="9"/>
      <c r="Y147" s="21">
        <v>1.0501100000000001</v>
      </c>
      <c r="Z147" s="21">
        <v>15.4953</v>
      </c>
      <c r="AA147" s="21">
        <v>-1.43372E-2</v>
      </c>
      <c r="AB147" s="21">
        <v>137</v>
      </c>
      <c r="AC147" s="21">
        <v>1.0495000000000001</v>
      </c>
      <c r="AD147">
        <f t="shared" si="28"/>
        <v>17.700246913580244</v>
      </c>
      <c r="AE147">
        <f t="shared" si="29"/>
        <v>18.587206286419754</v>
      </c>
      <c r="AF147" s="9"/>
      <c r="AG147" s="21">
        <v>0.58990500000000001</v>
      </c>
      <c r="AH147" s="21">
        <v>19.1936</v>
      </c>
      <c r="AI147" s="21">
        <v>-1.46637E-2</v>
      </c>
      <c r="AJ147" s="21">
        <v>137</v>
      </c>
      <c r="AK147" s="21">
        <v>0.58926400000000001</v>
      </c>
      <c r="AL147">
        <f t="shared" si="30"/>
        <v>18.103333333333332</v>
      </c>
      <c r="AM147">
        <f t="shared" si="31"/>
        <v>10.679246849999998</v>
      </c>
      <c r="AP147" s="9"/>
      <c r="AQ147" s="21">
        <v>1.0501100000000001</v>
      </c>
      <c r="AR147" s="21">
        <v>24.590499999999999</v>
      </c>
      <c r="AS147" s="21">
        <v>-1.4263899999999999E-2</v>
      </c>
      <c r="AT147" s="21">
        <v>137</v>
      </c>
      <c r="AU147" s="21">
        <v>1.0488900000000001</v>
      </c>
      <c r="AV147">
        <f t="shared" si="32"/>
        <v>17.609753086419751</v>
      </c>
      <c r="AW147">
        <f t="shared" si="33"/>
        <v>18.492177813580245</v>
      </c>
      <c r="AX147" s="9"/>
      <c r="AY147" s="21">
        <v>0.58990500000000001</v>
      </c>
      <c r="AZ147" s="21">
        <v>28.288799999999998</v>
      </c>
      <c r="BA147" s="21">
        <v>-1.4624E-2</v>
      </c>
      <c r="BB147" s="21">
        <v>137</v>
      </c>
      <c r="BC147" s="21">
        <v>0.58929399999999998</v>
      </c>
      <c r="BD147">
        <f t="shared" si="34"/>
        <v>18.054320987654318</v>
      </c>
      <c r="BE147">
        <f t="shared" si="35"/>
        <v>10.65033422222222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6.40212</v>
      </c>
      <c r="I148" s="21">
        <v>-1.4324999999999999E-2</v>
      </c>
      <c r="J148" s="21">
        <v>138</v>
      </c>
      <c r="K148" s="21">
        <v>1.0437000000000001</v>
      </c>
      <c r="L148">
        <f t="shared" si="24"/>
        <v>17.685185185185183</v>
      </c>
      <c r="M148">
        <f t="shared" si="25"/>
        <v>18.482256481481478</v>
      </c>
      <c r="N148" s="9"/>
      <c r="O148" s="21">
        <v>0.59494000000000002</v>
      </c>
      <c r="P148" s="21">
        <v>10.1005</v>
      </c>
      <c r="Q148" s="21">
        <v>-1.47095E-2</v>
      </c>
      <c r="R148" s="21">
        <v>138</v>
      </c>
      <c r="S148" s="21">
        <v>0.59423800000000004</v>
      </c>
      <c r="T148">
        <f t="shared" si="26"/>
        <v>18.159876543209876</v>
      </c>
      <c r="U148">
        <f t="shared" si="27"/>
        <v>10.804036950617284</v>
      </c>
      <c r="X148" s="9"/>
      <c r="Y148" s="21">
        <v>1.0450699999999999</v>
      </c>
      <c r="Z148" s="21">
        <v>15.5053</v>
      </c>
      <c r="AA148" s="21">
        <v>-1.43433E-2</v>
      </c>
      <c r="AB148" s="21">
        <v>138</v>
      </c>
      <c r="AC148" s="21">
        <v>1.0449200000000001</v>
      </c>
      <c r="AD148">
        <f t="shared" si="28"/>
        <v>17.707777777777778</v>
      </c>
      <c r="AE148">
        <f t="shared" si="29"/>
        <v>18.505867322222223</v>
      </c>
      <c r="AF148" s="9"/>
      <c r="AG148" s="21">
        <v>0.59494000000000002</v>
      </c>
      <c r="AH148" s="21">
        <v>19.203700000000001</v>
      </c>
      <c r="AI148" s="21">
        <v>-1.4648400000000001E-2</v>
      </c>
      <c r="AJ148" s="21">
        <v>138</v>
      </c>
      <c r="AK148" s="21">
        <v>0.59426900000000005</v>
      </c>
      <c r="AL148">
        <f t="shared" si="30"/>
        <v>18.084444444444443</v>
      </c>
      <c r="AM148">
        <f t="shared" si="31"/>
        <v>10.759159377777777</v>
      </c>
      <c r="AP148" s="9"/>
      <c r="AQ148" s="21">
        <v>1.0450699999999999</v>
      </c>
      <c r="AR148" s="21">
        <v>24.6006</v>
      </c>
      <c r="AS148" s="21">
        <v>-1.42609E-2</v>
      </c>
      <c r="AT148" s="21">
        <v>138</v>
      </c>
      <c r="AU148" s="21">
        <v>1.0440100000000001</v>
      </c>
      <c r="AV148">
        <f t="shared" si="32"/>
        <v>17.606049382716048</v>
      </c>
      <c r="AW148">
        <f t="shared" si="33"/>
        <v>18.399554028395059</v>
      </c>
      <c r="AX148" s="9"/>
      <c r="AY148" s="21">
        <v>0.59494000000000002</v>
      </c>
      <c r="AZ148" s="21">
        <v>28.2989</v>
      </c>
      <c r="BA148" s="21">
        <v>-1.46179E-2</v>
      </c>
      <c r="BB148" s="21">
        <v>138</v>
      </c>
      <c r="BC148" s="21">
        <v>0.59433000000000002</v>
      </c>
      <c r="BD148">
        <f t="shared" si="34"/>
        <v>18.046790123456791</v>
      </c>
      <c r="BE148">
        <f t="shared" si="35"/>
        <v>10.736757316049383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6.4121899999999998</v>
      </c>
      <c r="I149" s="21">
        <v>-1.4334100000000001E-2</v>
      </c>
      <c r="J149" s="21">
        <v>139</v>
      </c>
      <c r="K149" s="21">
        <v>1.03912</v>
      </c>
      <c r="L149">
        <f t="shared" si="24"/>
        <v>17.69641975308642</v>
      </c>
      <c r="M149">
        <f t="shared" si="25"/>
        <v>18.404984400000004</v>
      </c>
      <c r="N149" s="9"/>
      <c r="O149" s="21">
        <v>0.59997599999999995</v>
      </c>
      <c r="P149" s="21">
        <v>10.1105</v>
      </c>
      <c r="Q149" s="21">
        <v>-1.47064E-2</v>
      </c>
      <c r="R149" s="21">
        <v>139</v>
      </c>
      <c r="S149" s="21">
        <v>0.59933499999999995</v>
      </c>
      <c r="T149">
        <f t="shared" si="26"/>
        <v>18.156049382716049</v>
      </c>
      <c r="U149">
        <f t="shared" si="27"/>
        <v>10.893193884444443</v>
      </c>
      <c r="X149" s="9"/>
      <c r="Y149" s="21">
        <v>1.0400400000000001</v>
      </c>
      <c r="Z149" s="21">
        <v>15.5154</v>
      </c>
      <c r="AA149" s="21">
        <v>-1.43372E-2</v>
      </c>
      <c r="AB149" s="21">
        <v>139</v>
      </c>
      <c r="AC149" s="21">
        <v>1.0388200000000001</v>
      </c>
      <c r="AD149">
        <f t="shared" si="28"/>
        <v>17.700246913580244</v>
      </c>
      <c r="AE149">
        <f t="shared" si="29"/>
        <v>18.4089648</v>
      </c>
      <c r="AF149" s="9"/>
      <c r="AG149" s="21">
        <v>0.59997599999999995</v>
      </c>
      <c r="AH149" s="21">
        <v>19.213699999999999</v>
      </c>
      <c r="AI149" s="21">
        <v>-1.4639299999999999E-2</v>
      </c>
      <c r="AJ149" s="21">
        <v>139</v>
      </c>
      <c r="AK149" s="21">
        <v>0.59939600000000004</v>
      </c>
      <c r="AL149">
        <f t="shared" si="30"/>
        <v>18.07320987654321</v>
      </c>
      <c r="AM149">
        <f t="shared" si="31"/>
        <v>10.843492168888888</v>
      </c>
      <c r="AP149" s="9"/>
      <c r="AQ149" s="21">
        <v>1.0400400000000001</v>
      </c>
      <c r="AR149" s="21">
        <v>24.610600000000002</v>
      </c>
      <c r="AS149" s="21">
        <v>-1.4257799999999999E-2</v>
      </c>
      <c r="AT149" s="21">
        <v>139</v>
      </c>
      <c r="AU149" s="21">
        <v>1.03912</v>
      </c>
      <c r="AV149">
        <f t="shared" si="32"/>
        <v>17.60222222222222</v>
      </c>
      <c r="AW149">
        <f t="shared" si="33"/>
        <v>18.307015199999999</v>
      </c>
      <c r="AX149" s="9"/>
      <c r="AY149" s="21">
        <v>0.59997599999999995</v>
      </c>
      <c r="AZ149" s="21">
        <v>28.309000000000001</v>
      </c>
      <c r="BA149" s="21">
        <v>-1.4605699999999999E-2</v>
      </c>
      <c r="BB149" s="21">
        <v>139</v>
      </c>
      <c r="BC149" s="21">
        <v>0.59930399999999995</v>
      </c>
      <c r="BD149">
        <f t="shared" si="34"/>
        <v>18.031728395061727</v>
      </c>
      <c r="BE149">
        <f t="shared" si="35"/>
        <v>10.818604275555554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6.4222599999999996</v>
      </c>
      <c r="I150" s="21">
        <v>-1.4346299999999999E-2</v>
      </c>
      <c r="J150" s="21">
        <v>140</v>
      </c>
      <c r="K150" s="21">
        <v>1.03424</v>
      </c>
      <c r="L150">
        <f t="shared" si="24"/>
        <v>17.711481481481481</v>
      </c>
      <c r="M150">
        <f t="shared" si="25"/>
        <v>18.331383333333331</v>
      </c>
      <c r="N150" s="9"/>
      <c r="O150" s="21">
        <v>0.60501099999999997</v>
      </c>
      <c r="P150" s="21">
        <v>10.1206</v>
      </c>
      <c r="Q150" s="21">
        <v>-1.4700299999999999E-2</v>
      </c>
      <c r="R150" s="21">
        <v>140</v>
      </c>
      <c r="S150" s="21">
        <v>0.60421800000000003</v>
      </c>
      <c r="T150">
        <f t="shared" si="26"/>
        <v>18.148518518518514</v>
      </c>
      <c r="U150">
        <f t="shared" si="27"/>
        <v>10.980053337407405</v>
      </c>
      <c r="X150" s="9"/>
      <c r="Y150" s="21">
        <v>1.0349999999999999</v>
      </c>
      <c r="Z150" s="21">
        <v>15.525499999999999</v>
      </c>
      <c r="AA150" s="21">
        <v>-1.4340200000000001E-2</v>
      </c>
      <c r="AB150" s="21">
        <v>140</v>
      </c>
      <c r="AC150" s="21">
        <v>1.03424</v>
      </c>
      <c r="AD150">
        <f t="shared" si="28"/>
        <v>17.703950617283951</v>
      </c>
      <c r="AE150">
        <f t="shared" si="29"/>
        <v>18.323588888888889</v>
      </c>
      <c r="AF150" s="9"/>
      <c r="AG150" s="21">
        <v>0.60501099999999997</v>
      </c>
      <c r="AH150" s="21">
        <v>19.223800000000001</v>
      </c>
      <c r="AI150" s="21">
        <v>-1.46301E-2</v>
      </c>
      <c r="AJ150" s="21">
        <v>140</v>
      </c>
      <c r="AK150" s="21">
        <v>0.60433999999999999</v>
      </c>
      <c r="AL150">
        <f t="shared" si="30"/>
        <v>18.061851851851848</v>
      </c>
      <c r="AM150">
        <f t="shared" si="31"/>
        <v>10.927619050740738</v>
      </c>
      <c r="AP150" s="9"/>
      <c r="AQ150" s="21">
        <v>1.0349999999999999</v>
      </c>
      <c r="AR150" s="21">
        <v>24.620699999999999</v>
      </c>
      <c r="AS150" s="21">
        <v>-1.42731E-2</v>
      </c>
      <c r="AT150" s="21">
        <v>140</v>
      </c>
      <c r="AU150" s="21">
        <v>1.0339400000000001</v>
      </c>
      <c r="AV150">
        <f t="shared" si="32"/>
        <v>17.621111111111112</v>
      </c>
      <c r="AW150">
        <f t="shared" si="33"/>
        <v>18.237849999999998</v>
      </c>
      <c r="AX150" s="9"/>
      <c r="AY150" s="21">
        <v>0.60501099999999997</v>
      </c>
      <c r="AZ150" s="21">
        <v>28.318999999999999</v>
      </c>
      <c r="BA150" s="21">
        <v>-1.4599600000000001E-2</v>
      </c>
      <c r="BB150" s="21">
        <v>140</v>
      </c>
      <c r="BC150" s="21">
        <v>0.60418700000000003</v>
      </c>
      <c r="BD150">
        <f t="shared" si="34"/>
        <v>18.0241975308642</v>
      </c>
      <c r="BE150">
        <f t="shared" si="35"/>
        <v>10.90483777234568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6.4323300000000003</v>
      </c>
      <c r="I151" s="21">
        <v>-1.43433E-2</v>
      </c>
      <c r="J151" s="21">
        <v>141</v>
      </c>
      <c r="K151" s="21">
        <v>1.0293600000000001</v>
      </c>
      <c r="L151">
        <f t="shared" si="24"/>
        <v>17.707777777777778</v>
      </c>
      <c r="M151">
        <f t="shared" si="25"/>
        <v>18.238479877777777</v>
      </c>
      <c r="N151" s="9"/>
      <c r="O151" s="21">
        <v>0.61004599999999998</v>
      </c>
      <c r="P151" s="21">
        <v>10.130699999999999</v>
      </c>
      <c r="Q151" s="21">
        <v>-1.4694199999999999E-2</v>
      </c>
      <c r="R151" s="21">
        <v>141</v>
      </c>
      <c r="S151" s="21">
        <v>0.609406</v>
      </c>
      <c r="T151">
        <f t="shared" si="26"/>
        <v>18.140987654320988</v>
      </c>
      <c r="U151">
        <f t="shared" si="27"/>
        <v>11.066836954567901</v>
      </c>
      <c r="X151" s="9"/>
      <c r="Y151" s="21">
        <v>1.0299700000000001</v>
      </c>
      <c r="Z151" s="21">
        <v>15.535500000000001</v>
      </c>
      <c r="AA151" s="21">
        <v>-1.4346299999999999E-2</v>
      </c>
      <c r="AB151" s="21">
        <v>141</v>
      </c>
      <c r="AC151" s="21">
        <v>1.0287500000000001</v>
      </c>
      <c r="AD151">
        <f t="shared" si="28"/>
        <v>17.711481481481481</v>
      </c>
      <c r="AE151">
        <f t="shared" si="29"/>
        <v>18.242294581481481</v>
      </c>
      <c r="AF151" s="9"/>
      <c r="AG151" s="21">
        <v>0.61004599999999998</v>
      </c>
      <c r="AH151" s="21">
        <v>19.233899999999998</v>
      </c>
      <c r="AI151" s="21">
        <v>-1.4624E-2</v>
      </c>
      <c r="AJ151" s="21">
        <v>141</v>
      </c>
      <c r="AK151" s="21">
        <v>0.60928300000000002</v>
      </c>
      <c r="AL151">
        <f t="shared" si="30"/>
        <v>18.054320987654318</v>
      </c>
      <c r="AM151">
        <f t="shared" si="31"/>
        <v>11.013966301234566</v>
      </c>
      <c r="AP151" s="9"/>
      <c r="AQ151" s="21">
        <v>1.0299700000000001</v>
      </c>
      <c r="AR151" s="21">
        <v>24.630800000000001</v>
      </c>
      <c r="AS151" s="21">
        <v>-1.4291399999999999E-2</v>
      </c>
      <c r="AT151" s="21">
        <v>141</v>
      </c>
      <c r="AU151" s="21">
        <v>1.0287500000000001</v>
      </c>
      <c r="AV151">
        <f t="shared" si="32"/>
        <v>17.643703703703704</v>
      </c>
      <c r="AW151">
        <f t="shared" si="33"/>
        <v>18.172485503703705</v>
      </c>
      <c r="AX151" s="9"/>
      <c r="AY151" s="21">
        <v>0.61004599999999998</v>
      </c>
      <c r="AZ151" s="21">
        <v>28.3291</v>
      </c>
      <c r="BA151" s="21">
        <v>-1.4599600000000001E-2</v>
      </c>
      <c r="BB151" s="21">
        <v>141</v>
      </c>
      <c r="BC151" s="21">
        <v>0.60949699999999996</v>
      </c>
      <c r="BD151">
        <f t="shared" si="34"/>
        <v>18.0241975308642</v>
      </c>
      <c r="BE151">
        <f t="shared" si="35"/>
        <v>10.995589606913581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6.4424000000000001</v>
      </c>
      <c r="I152" s="21">
        <v>-1.43646E-2</v>
      </c>
      <c r="J152" s="21">
        <v>142</v>
      </c>
      <c r="K152" s="21">
        <v>1.02386</v>
      </c>
      <c r="L152">
        <f t="shared" si="24"/>
        <v>17.734074074074073</v>
      </c>
      <c r="M152">
        <f t="shared" si="25"/>
        <v>18.176184540740739</v>
      </c>
      <c r="N152" s="9"/>
      <c r="O152" s="21">
        <v>0.61508200000000002</v>
      </c>
      <c r="P152" s="21">
        <v>10.140700000000001</v>
      </c>
      <c r="Q152" s="21">
        <v>-1.46851E-2</v>
      </c>
      <c r="R152" s="21">
        <v>142</v>
      </c>
      <c r="S152" s="21">
        <v>0.61428799999999995</v>
      </c>
      <c r="T152">
        <f t="shared" si="26"/>
        <v>18.12975308641975</v>
      </c>
      <c r="U152">
        <f t="shared" si="27"/>
        <v>11.151284787901233</v>
      </c>
      <c r="X152" s="9"/>
      <c r="Y152" s="21">
        <v>1.0249299999999999</v>
      </c>
      <c r="Z152" s="21">
        <v>15.5456</v>
      </c>
      <c r="AA152" s="21">
        <v>-1.43555E-2</v>
      </c>
      <c r="AB152" s="21">
        <v>142</v>
      </c>
      <c r="AC152" s="21">
        <v>1.02325</v>
      </c>
      <c r="AD152">
        <f t="shared" si="28"/>
        <v>17.722839506172836</v>
      </c>
      <c r="AE152">
        <f t="shared" si="29"/>
        <v>18.164669895061724</v>
      </c>
      <c r="AF152" s="9"/>
      <c r="AG152" s="21">
        <v>0.61508200000000002</v>
      </c>
      <c r="AH152" s="21">
        <v>19.244</v>
      </c>
      <c r="AI152" s="21">
        <v>-1.46179E-2</v>
      </c>
      <c r="AJ152" s="21">
        <v>142</v>
      </c>
      <c r="AK152" s="21">
        <v>0.61434900000000003</v>
      </c>
      <c r="AL152">
        <f t="shared" si="30"/>
        <v>18.046790123456791</v>
      </c>
      <c r="AM152">
        <f t="shared" si="31"/>
        <v>11.100255762716051</v>
      </c>
      <c r="AP152" s="9"/>
      <c r="AQ152" s="21">
        <v>1.0249299999999999</v>
      </c>
      <c r="AR152" s="21">
        <v>24.640799999999999</v>
      </c>
      <c r="AS152" s="21">
        <v>-1.4294400000000001E-2</v>
      </c>
      <c r="AT152" s="21">
        <v>142</v>
      </c>
      <c r="AU152" s="21">
        <v>1.02386</v>
      </c>
      <c r="AV152">
        <f t="shared" si="32"/>
        <v>17.647407407407407</v>
      </c>
      <c r="AW152">
        <f t="shared" si="33"/>
        <v>18.087357274074073</v>
      </c>
      <c r="AX152" s="9"/>
      <c r="AY152" s="21">
        <v>0.61508200000000002</v>
      </c>
      <c r="AZ152" s="21">
        <v>28.339200000000002</v>
      </c>
      <c r="BA152" s="21">
        <v>-1.46027E-2</v>
      </c>
      <c r="BB152" s="21">
        <v>142</v>
      </c>
      <c r="BC152" s="21">
        <v>0.61431899999999995</v>
      </c>
      <c r="BD152">
        <f t="shared" si="34"/>
        <v>18.028024691358024</v>
      </c>
      <c r="BE152">
        <f t="shared" si="35"/>
        <v>11.088713483209876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6.4524699999999999</v>
      </c>
      <c r="I153" s="21">
        <v>-1.4367700000000001E-2</v>
      </c>
      <c r="J153" s="21">
        <v>143</v>
      </c>
      <c r="K153" s="21">
        <v>1.01959</v>
      </c>
      <c r="L153">
        <f t="shared" si="24"/>
        <v>17.7379012345679</v>
      </c>
      <c r="M153">
        <f t="shared" si="25"/>
        <v>18.090885469135802</v>
      </c>
      <c r="N153" s="9"/>
      <c r="O153" s="21">
        <v>0.62011700000000003</v>
      </c>
      <c r="P153" s="21">
        <v>10.1508</v>
      </c>
      <c r="Q153" s="21">
        <v>-1.46759E-2</v>
      </c>
      <c r="R153" s="21">
        <v>143</v>
      </c>
      <c r="S153" s="21">
        <v>0.61941500000000005</v>
      </c>
      <c r="T153">
        <f t="shared" si="26"/>
        <v>18.118395061728396</v>
      </c>
      <c r="U153">
        <f t="shared" si="27"/>
        <v>11.235524790493828</v>
      </c>
      <c r="X153" s="9"/>
      <c r="Y153" s="21">
        <v>1.0199</v>
      </c>
      <c r="Z153" s="21">
        <v>15.5557</v>
      </c>
      <c r="AA153" s="21">
        <v>-1.43707E-2</v>
      </c>
      <c r="AB153" s="21">
        <v>143</v>
      </c>
      <c r="AC153" s="21">
        <v>1.01868</v>
      </c>
      <c r="AD153">
        <f t="shared" si="28"/>
        <v>17.741604938271603</v>
      </c>
      <c r="AE153">
        <f t="shared" si="29"/>
        <v>18.094662876543207</v>
      </c>
      <c r="AF153" s="9"/>
      <c r="AG153" s="21">
        <v>0.62011700000000003</v>
      </c>
      <c r="AH153" s="21">
        <v>19.254000000000001</v>
      </c>
      <c r="AI153" s="21">
        <v>-1.46179E-2</v>
      </c>
      <c r="AJ153" s="21">
        <v>143</v>
      </c>
      <c r="AK153" s="21">
        <v>0.61947600000000003</v>
      </c>
      <c r="AL153">
        <f t="shared" si="30"/>
        <v>18.046790123456791</v>
      </c>
      <c r="AM153">
        <f t="shared" si="31"/>
        <v>11.191121350987656</v>
      </c>
      <c r="AP153" s="9"/>
      <c r="AQ153" s="21">
        <v>1.0199</v>
      </c>
      <c r="AR153" s="21">
        <v>24.6509</v>
      </c>
      <c r="AS153" s="21">
        <v>-1.43158E-2</v>
      </c>
      <c r="AT153" s="21">
        <v>143</v>
      </c>
      <c r="AU153" s="21">
        <v>1.01868</v>
      </c>
      <c r="AV153">
        <f t="shared" si="32"/>
        <v>17.673827160493826</v>
      </c>
      <c r="AW153">
        <f t="shared" si="33"/>
        <v>18.025536320987655</v>
      </c>
      <c r="AX153" s="9"/>
      <c r="AY153" s="21">
        <v>0.62011700000000003</v>
      </c>
      <c r="AZ153" s="21">
        <v>28.349299999999999</v>
      </c>
      <c r="BA153" s="21">
        <v>-1.4605699999999999E-2</v>
      </c>
      <c r="BB153" s="21">
        <v>143</v>
      </c>
      <c r="BC153" s="21">
        <v>0.61944600000000005</v>
      </c>
      <c r="BD153">
        <f t="shared" si="34"/>
        <v>18.031728395061727</v>
      </c>
      <c r="BE153">
        <f t="shared" si="35"/>
        <v>11.181781317160493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6.4625399999999997</v>
      </c>
      <c r="I154" s="21">
        <v>-1.4367700000000001E-2</v>
      </c>
      <c r="J154" s="21">
        <v>144</v>
      </c>
      <c r="K154" s="21">
        <v>1.0144</v>
      </c>
      <c r="L154">
        <f t="shared" si="24"/>
        <v>17.7379012345679</v>
      </c>
      <c r="M154">
        <f t="shared" si="25"/>
        <v>18.001486446913582</v>
      </c>
      <c r="N154" s="9"/>
      <c r="O154" s="21">
        <v>0.62515299999999996</v>
      </c>
      <c r="P154" s="21">
        <v>10.1609</v>
      </c>
      <c r="Q154" s="21">
        <v>-1.4672899999999999E-2</v>
      </c>
      <c r="R154" s="21">
        <v>144</v>
      </c>
      <c r="S154" s="21">
        <v>0.62451199999999996</v>
      </c>
      <c r="T154">
        <f t="shared" si="26"/>
        <v>18.11469135802469</v>
      </c>
      <c r="U154">
        <f t="shared" si="27"/>
        <v>11.324453646543208</v>
      </c>
      <c r="X154" s="9"/>
      <c r="Y154" s="21">
        <v>1.0148600000000001</v>
      </c>
      <c r="Z154" s="21">
        <v>15.565799999999999</v>
      </c>
      <c r="AA154" s="21">
        <v>-1.4379899999999999E-2</v>
      </c>
      <c r="AB154" s="21">
        <v>144</v>
      </c>
      <c r="AC154" s="21">
        <v>1.01471</v>
      </c>
      <c r="AD154">
        <f t="shared" si="28"/>
        <v>17.752962962962961</v>
      </c>
      <c r="AE154">
        <f t="shared" si="29"/>
        <v>18.016771992592592</v>
      </c>
      <c r="AF154" s="9"/>
      <c r="AG154" s="21">
        <v>0.62515299999999996</v>
      </c>
      <c r="AH154" s="21">
        <v>19.264099999999999</v>
      </c>
      <c r="AI154" s="21">
        <v>-1.46149E-2</v>
      </c>
      <c r="AJ154" s="21">
        <v>144</v>
      </c>
      <c r="AK154" s="21">
        <v>0.62451199999999996</v>
      </c>
      <c r="AL154">
        <f t="shared" si="30"/>
        <v>18.043086419753088</v>
      </c>
      <c r="AM154">
        <f t="shared" si="31"/>
        <v>11.279689604567901</v>
      </c>
      <c r="AP154" s="9"/>
      <c r="AQ154" s="21">
        <v>1.0148600000000001</v>
      </c>
      <c r="AR154" s="21">
        <v>24.661000000000001</v>
      </c>
      <c r="AS154" s="21">
        <v>-1.4340200000000001E-2</v>
      </c>
      <c r="AT154" s="21">
        <v>144</v>
      </c>
      <c r="AU154" s="21">
        <v>1.0144</v>
      </c>
      <c r="AV154">
        <f t="shared" si="32"/>
        <v>17.703950617283951</v>
      </c>
      <c r="AW154">
        <f t="shared" si="33"/>
        <v>17.967031323456791</v>
      </c>
      <c r="AX154" s="9"/>
      <c r="AY154" s="21">
        <v>0.62515299999999996</v>
      </c>
      <c r="AZ154" s="21">
        <v>28.359300000000001</v>
      </c>
      <c r="BA154" s="21">
        <v>-1.46027E-2</v>
      </c>
      <c r="BB154" s="21">
        <v>144</v>
      </c>
      <c r="BC154" s="21">
        <v>0.62448099999999995</v>
      </c>
      <c r="BD154">
        <f t="shared" si="34"/>
        <v>18.028024691358024</v>
      </c>
      <c r="BE154">
        <f t="shared" si="35"/>
        <v>11.270273719876542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6.4726100000000004</v>
      </c>
      <c r="I155" s="21">
        <v>-1.43616E-2</v>
      </c>
      <c r="J155" s="21">
        <v>145</v>
      </c>
      <c r="K155" s="21">
        <v>1.00952</v>
      </c>
      <c r="L155">
        <f t="shared" si="24"/>
        <v>17.73037037037037</v>
      </c>
      <c r="M155">
        <f t="shared" si="25"/>
        <v>17.904659911111111</v>
      </c>
      <c r="N155" s="9"/>
      <c r="O155" s="21">
        <v>0.63018799999999997</v>
      </c>
      <c r="P155" s="21">
        <v>10.170999999999999</v>
      </c>
      <c r="Q155" s="21">
        <v>-1.46667E-2</v>
      </c>
      <c r="R155" s="21">
        <v>145</v>
      </c>
      <c r="S155" s="21">
        <v>0.62951699999999999</v>
      </c>
      <c r="T155">
        <f t="shared" si="26"/>
        <v>18.107037037037035</v>
      </c>
      <c r="U155">
        <f t="shared" si="27"/>
        <v>11.410837456296294</v>
      </c>
      <c r="X155" s="9"/>
      <c r="Y155" s="21">
        <v>1.00983</v>
      </c>
      <c r="Z155" s="21">
        <v>15.575799999999999</v>
      </c>
      <c r="AA155" s="21">
        <v>-1.4373800000000001E-2</v>
      </c>
      <c r="AB155" s="21">
        <v>145</v>
      </c>
      <c r="AC155" s="21">
        <v>1.00891</v>
      </c>
      <c r="AD155">
        <f t="shared" si="28"/>
        <v>17.745432098765431</v>
      </c>
      <c r="AE155">
        <f t="shared" si="29"/>
        <v>17.919869696296296</v>
      </c>
      <c r="AF155" s="9"/>
      <c r="AG155" s="21">
        <v>0.63018799999999997</v>
      </c>
      <c r="AH155" s="21">
        <v>19.2742</v>
      </c>
      <c r="AI155" s="21">
        <v>-1.46149E-2</v>
      </c>
      <c r="AJ155" s="21">
        <v>145</v>
      </c>
      <c r="AK155" s="21">
        <v>0.62957799999999997</v>
      </c>
      <c r="AL155">
        <f t="shared" si="30"/>
        <v>18.043086419753088</v>
      </c>
      <c r="AM155">
        <f t="shared" si="31"/>
        <v>11.370536544691358</v>
      </c>
      <c r="AP155" s="9"/>
      <c r="AQ155" s="21">
        <v>1.00983</v>
      </c>
      <c r="AR155" s="21">
        <v>24.671099999999999</v>
      </c>
      <c r="AS155" s="21">
        <v>-1.4340200000000001E-2</v>
      </c>
      <c r="AT155" s="21">
        <v>145</v>
      </c>
      <c r="AU155" s="21">
        <v>1.00952</v>
      </c>
      <c r="AV155">
        <f t="shared" si="32"/>
        <v>17.703950617283951</v>
      </c>
      <c r="AW155">
        <f t="shared" si="33"/>
        <v>17.877980451851851</v>
      </c>
      <c r="AX155" s="9"/>
      <c r="AY155" s="21">
        <v>0.63018799999999997</v>
      </c>
      <c r="AZ155" s="21">
        <v>28.369399999999999</v>
      </c>
      <c r="BA155" s="21">
        <v>-1.46088E-2</v>
      </c>
      <c r="BB155" s="21">
        <v>145</v>
      </c>
      <c r="BC155" s="21">
        <v>0.62951699999999999</v>
      </c>
      <c r="BD155">
        <f t="shared" si="34"/>
        <v>18.035555555555554</v>
      </c>
      <c r="BE155">
        <f t="shared" si="35"/>
        <v>11.365790684444443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6.4826899999999998</v>
      </c>
      <c r="I156" s="21">
        <v>-1.43646E-2</v>
      </c>
      <c r="J156" s="21">
        <v>146</v>
      </c>
      <c r="K156" s="21">
        <v>1.0031099999999999</v>
      </c>
      <c r="L156">
        <f t="shared" si="24"/>
        <v>17.734074074074073</v>
      </c>
      <c r="M156">
        <f t="shared" si="25"/>
        <v>17.81902028888889</v>
      </c>
      <c r="N156" s="9"/>
      <c r="O156" s="21">
        <v>0.63522299999999998</v>
      </c>
      <c r="P156" s="21">
        <v>10.180999999999999</v>
      </c>
      <c r="Q156" s="21">
        <v>-1.46698E-2</v>
      </c>
      <c r="R156" s="21">
        <v>146</v>
      </c>
      <c r="S156" s="21">
        <v>0.63458300000000001</v>
      </c>
      <c r="T156">
        <f t="shared" si="26"/>
        <v>18.110864197530866</v>
      </c>
      <c r="U156">
        <f t="shared" si="27"/>
        <v>11.504437488148149</v>
      </c>
      <c r="X156" s="9"/>
      <c r="Y156" s="21">
        <v>1.0047900000000001</v>
      </c>
      <c r="Z156" s="21">
        <v>15.585900000000001</v>
      </c>
      <c r="AA156" s="21">
        <v>-1.4367700000000001E-2</v>
      </c>
      <c r="AB156" s="21">
        <v>146</v>
      </c>
      <c r="AC156" s="21">
        <v>1.00403</v>
      </c>
      <c r="AD156">
        <f t="shared" si="28"/>
        <v>17.7379012345679</v>
      </c>
      <c r="AE156">
        <f t="shared" si="29"/>
        <v>17.822865781481482</v>
      </c>
      <c r="AF156" s="9"/>
      <c r="AG156" s="21">
        <v>0.63522299999999998</v>
      </c>
      <c r="AH156" s="21">
        <v>19.284199999999998</v>
      </c>
      <c r="AI156" s="21">
        <v>-1.46027E-2</v>
      </c>
      <c r="AJ156" s="21">
        <v>146</v>
      </c>
      <c r="AK156" s="21">
        <v>0.634552</v>
      </c>
      <c r="AL156">
        <f t="shared" si="30"/>
        <v>18.028024691358024</v>
      </c>
      <c r="AM156">
        <f t="shared" si="31"/>
        <v>11.451815928518517</v>
      </c>
      <c r="AP156" s="9"/>
      <c r="AQ156" s="21">
        <v>1.0047900000000001</v>
      </c>
      <c r="AR156" s="21">
        <v>24.681100000000001</v>
      </c>
      <c r="AS156" s="21">
        <v>-1.4331099999999999E-2</v>
      </c>
      <c r="AT156" s="21">
        <v>146</v>
      </c>
      <c r="AU156" s="21">
        <v>1.0043299999999999</v>
      </c>
      <c r="AV156">
        <f t="shared" si="32"/>
        <v>17.692716049382714</v>
      </c>
      <c r="AW156">
        <f t="shared" si="33"/>
        <v>17.777464159259257</v>
      </c>
      <c r="AX156" s="9"/>
      <c r="AY156" s="21">
        <v>0.63522299999999998</v>
      </c>
      <c r="AZ156" s="21">
        <v>28.3795</v>
      </c>
      <c r="BA156" s="21">
        <v>-1.4605699999999999E-2</v>
      </c>
      <c r="BB156" s="21">
        <v>146</v>
      </c>
      <c r="BC156" s="21">
        <v>0.634521</v>
      </c>
      <c r="BD156">
        <f t="shared" si="34"/>
        <v>18.031728395061727</v>
      </c>
      <c r="BE156">
        <f t="shared" si="35"/>
        <v>11.454168606296294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6.4927599999999996</v>
      </c>
      <c r="I157" s="21">
        <v>-1.43707E-2</v>
      </c>
      <c r="J157" s="21">
        <v>147</v>
      </c>
      <c r="K157" s="21">
        <v>0.99945099999999998</v>
      </c>
      <c r="L157">
        <f t="shared" si="24"/>
        <v>17.741604938271603</v>
      </c>
      <c r="M157">
        <f t="shared" si="25"/>
        <v>17.737275986666663</v>
      </c>
      <c r="N157" s="9"/>
      <c r="O157" s="21">
        <v>0.64025900000000002</v>
      </c>
      <c r="P157" s="21">
        <v>10.1911</v>
      </c>
      <c r="Q157" s="21">
        <v>-1.46667E-2</v>
      </c>
      <c r="R157" s="21">
        <v>147</v>
      </c>
      <c r="S157" s="21">
        <v>0.63955700000000004</v>
      </c>
      <c r="T157">
        <f t="shared" si="26"/>
        <v>18.107037037037035</v>
      </c>
      <c r="U157">
        <f t="shared" si="27"/>
        <v>11.593193426296295</v>
      </c>
      <c r="X157" s="9"/>
      <c r="Y157" s="21">
        <v>0.99975599999999998</v>
      </c>
      <c r="Z157" s="21">
        <v>15.596</v>
      </c>
      <c r="AA157" s="21">
        <v>-1.4367700000000001E-2</v>
      </c>
      <c r="AB157" s="21">
        <v>147</v>
      </c>
      <c r="AC157" s="21">
        <v>0.99883999999999995</v>
      </c>
      <c r="AD157">
        <f t="shared" si="28"/>
        <v>17.7379012345679</v>
      </c>
      <c r="AE157">
        <f t="shared" si="29"/>
        <v>17.733573186666664</v>
      </c>
      <c r="AF157" s="9"/>
      <c r="AG157" s="21">
        <v>0.64025900000000002</v>
      </c>
      <c r="AH157" s="21">
        <v>19.2943</v>
      </c>
      <c r="AI157" s="21">
        <v>-1.4590499999999999E-2</v>
      </c>
      <c r="AJ157" s="21">
        <v>147</v>
      </c>
      <c r="AK157" s="21">
        <v>0.63955700000000004</v>
      </c>
      <c r="AL157">
        <f t="shared" si="30"/>
        <v>18.012962962962959</v>
      </c>
      <c r="AM157">
        <f t="shared" si="31"/>
        <v>11.532961653703701</v>
      </c>
      <c r="AP157" s="9"/>
      <c r="AQ157" s="21">
        <v>0.99975599999999998</v>
      </c>
      <c r="AR157" s="21">
        <v>24.691199999999998</v>
      </c>
      <c r="AS157" s="21">
        <v>-1.4331099999999999E-2</v>
      </c>
      <c r="AT157" s="21">
        <v>147</v>
      </c>
      <c r="AU157" s="21">
        <v>0.99914599999999998</v>
      </c>
      <c r="AV157">
        <f t="shared" si="32"/>
        <v>17.692716049382714</v>
      </c>
      <c r="AW157">
        <f t="shared" si="33"/>
        <v>17.688399026666666</v>
      </c>
      <c r="AX157" s="9"/>
      <c r="AY157" s="21">
        <v>0.64025900000000002</v>
      </c>
      <c r="AZ157" s="21">
        <v>28.389500000000002</v>
      </c>
      <c r="BA157" s="21">
        <v>-1.4605699999999999E-2</v>
      </c>
      <c r="BB157" s="21">
        <v>147</v>
      </c>
      <c r="BC157" s="21">
        <v>0.63949599999999995</v>
      </c>
      <c r="BD157">
        <f t="shared" si="34"/>
        <v>18.031728395061727</v>
      </c>
      <c r="BE157">
        <f t="shared" si="35"/>
        <v>11.544976390493826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6.5028300000000003</v>
      </c>
      <c r="I158" s="21">
        <v>-1.43707E-2</v>
      </c>
      <c r="J158" s="21">
        <v>148</v>
      </c>
      <c r="K158" s="21">
        <v>0.99365199999999998</v>
      </c>
      <c r="L158">
        <f t="shared" si="24"/>
        <v>17.741604938271603</v>
      </c>
      <c r="M158">
        <f t="shared" si="25"/>
        <v>17.647929264197529</v>
      </c>
      <c r="N158" s="9"/>
      <c r="O158" s="21">
        <v>0.64529400000000003</v>
      </c>
      <c r="P158" s="21">
        <v>10.2012</v>
      </c>
      <c r="Q158" s="21">
        <v>-1.46576E-2</v>
      </c>
      <c r="R158" s="21">
        <v>148</v>
      </c>
      <c r="S158" s="21">
        <v>0.64471400000000001</v>
      </c>
      <c r="T158">
        <f t="shared" si="26"/>
        <v>18.095802469135801</v>
      </c>
      <c r="U158">
        <f t="shared" si="27"/>
        <v>11.677112758518518</v>
      </c>
      <c r="X158" s="9"/>
      <c r="Y158" s="21">
        <v>0.99472000000000005</v>
      </c>
      <c r="Z158" s="21">
        <v>15.606</v>
      </c>
      <c r="AA158" s="21">
        <v>-1.43707E-2</v>
      </c>
      <c r="AB158" s="21">
        <v>148</v>
      </c>
      <c r="AC158" s="21">
        <v>0.99365199999999998</v>
      </c>
      <c r="AD158">
        <f t="shared" si="28"/>
        <v>17.741604938271603</v>
      </c>
      <c r="AE158">
        <f t="shared" si="29"/>
        <v>17.647929264197529</v>
      </c>
      <c r="AF158" s="9"/>
      <c r="AG158" s="21">
        <v>0.64529400000000003</v>
      </c>
      <c r="AH158" s="21">
        <v>19.304400000000001</v>
      </c>
      <c r="AI158" s="21">
        <v>-1.45813E-2</v>
      </c>
      <c r="AJ158" s="21">
        <v>148</v>
      </c>
      <c r="AK158" s="21">
        <v>0.64468400000000003</v>
      </c>
      <c r="AL158">
        <f t="shared" si="30"/>
        <v>18.001604938271605</v>
      </c>
      <c r="AM158">
        <f t="shared" si="31"/>
        <v>11.616327657037038</v>
      </c>
      <c r="AP158" s="9"/>
      <c r="AQ158" s="21">
        <v>0.99472000000000005</v>
      </c>
      <c r="AR158" s="21">
        <v>24.7013</v>
      </c>
      <c r="AS158" s="21">
        <v>-1.4346299999999999E-2</v>
      </c>
      <c r="AT158" s="21">
        <v>148</v>
      </c>
      <c r="AU158" s="21">
        <v>0.99426300000000001</v>
      </c>
      <c r="AV158">
        <f t="shared" si="32"/>
        <v>17.711481481481481</v>
      </c>
      <c r="AW158">
        <f t="shared" si="33"/>
        <v>17.61796485925926</v>
      </c>
      <c r="AX158" s="9"/>
      <c r="AY158" s="21">
        <v>0.64529400000000003</v>
      </c>
      <c r="AZ158" s="21">
        <v>28.3996</v>
      </c>
      <c r="BA158" s="21">
        <v>-1.4605699999999999E-2</v>
      </c>
      <c r="BB158" s="21">
        <v>148</v>
      </c>
      <c r="BC158" s="21">
        <v>0.64459200000000005</v>
      </c>
      <c r="BD158">
        <f t="shared" si="34"/>
        <v>18.031728395061727</v>
      </c>
      <c r="BE158">
        <f t="shared" si="35"/>
        <v>11.635766142962963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6.5129000000000001</v>
      </c>
      <c r="I159" s="21">
        <v>-1.43707E-2</v>
      </c>
      <c r="J159" s="21">
        <v>149</v>
      </c>
      <c r="K159" s="21">
        <v>0.98877000000000004</v>
      </c>
      <c r="L159">
        <f t="shared" si="24"/>
        <v>17.741604938271603</v>
      </c>
      <c r="M159">
        <f t="shared" si="25"/>
        <v>17.558600283333334</v>
      </c>
      <c r="N159" s="9"/>
      <c r="O159" s="21">
        <v>0.65032999999999996</v>
      </c>
      <c r="P159" s="21">
        <v>10.2112</v>
      </c>
      <c r="Q159" s="21">
        <v>-1.4645399999999999E-2</v>
      </c>
      <c r="R159" s="21">
        <v>149</v>
      </c>
      <c r="S159" s="21">
        <v>0.64968899999999996</v>
      </c>
      <c r="T159">
        <f t="shared" si="26"/>
        <v>18.080740740740737</v>
      </c>
      <c r="U159">
        <f t="shared" si="27"/>
        <v>11.758448125925923</v>
      </c>
      <c r="X159" s="9"/>
      <c r="Y159" s="21">
        <v>0.98968500000000004</v>
      </c>
      <c r="Z159" s="21">
        <v>15.616099999999999</v>
      </c>
      <c r="AA159" s="21">
        <v>-1.4373800000000001E-2</v>
      </c>
      <c r="AB159" s="21">
        <v>149</v>
      </c>
      <c r="AC159" s="21">
        <v>0.98846400000000001</v>
      </c>
      <c r="AD159">
        <f t="shared" si="28"/>
        <v>17.745432098765431</v>
      </c>
      <c r="AE159">
        <f t="shared" si="29"/>
        <v>17.562387966666666</v>
      </c>
      <c r="AF159" s="9"/>
      <c r="AG159" s="21">
        <v>0.65032999999999996</v>
      </c>
      <c r="AH159" s="21">
        <v>19.314499999999999</v>
      </c>
      <c r="AI159" s="21">
        <v>-1.4566000000000001E-2</v>
      </c>
      <c r="AJ159" s="21">
        <v>149</v>
      </c>
      <c r="AK159" s="21">
        <v>0.64965799999999996</v>
      </c>
      <c r="AL159">
        <f t="shared" si="30"/>
        <v>17.982716049382717</v>
      </c>
      <c r="AM159">
        <f t="shared" si="31"/>
        <v>11.694699728395062</v>
      </c>
      <c r="AP159" s="9"/>
      <c r="AQ159" s="21">
        <v>0.98968500000000004</v>
      </c>
      <c r="AR159" s="21">
        <v>24.711300000000001</v>
      </c>
      <c r="AS159" s="21">
        <v>-1.43494E-2</v>
      </c>
      <c r="AT159" s="21">
        <v>149</v>
      </c>
      <c r="AU159" s="21">
        <v>0.98907500000000004</v>
      </c>
      <c r="AV159">
        <f t="shared" si="32"/>
        <v>17.715308641975309</v>
      </c>
      <c r="AW159">
        <f t="shared" si="33"/>
        <v>17.532575233333333</v>
      </c>
      <c r="AX159" s="9"/>
      <c r="AY159" s="21">
        <v>0.65032999999999996</v>
      </c>
      <c r="AZ159" s="21">
        <v>28.409700000000001</v>
      </c>
      <c r="BA159" s="21">
        <v>-1.46027E-2</v>
      </c>
      <c r="BB159" s="21">
        <v>149</v>
      </c>
      <c r="BC159" s="21">
        <v>0.64968899999999996</v>
      </c>
      <c r="BD159">
        <f t="shared" si="34"/>
        <v>18.028024691358024</v>
      </c>
      <c r="BE159">
        <f t="shared" si="35"/>
        <v>11.724165297530863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6.5229699999999999</v>
      </c>
      <c r="I160" s="21">
        <v>-1.4385999999999999E-2</v>
      </c>
      <c r="J160" s="21">
        <v>150</v>
      </c>
      <c r="K160" s="21">
        <v>0.98358199999999996</v>
      </c>
      <c r="L160">
        <f t="shared" si="24"/>
        <v>17.760493827160492</v>
      </c>
      <c r="M160">
        <f t="shared" si="25"/>
        <v>17.487870246913577</v>
      </c>
      <c r="N160" s="9"/>
      <c r="O160" s="21">
        <v>0.65536499999999998</v>
      </c>
      <c r="P160" s="21">
        <v>10.221299999999999</v>
      </c>
      <c r="Q160" s="21">
        <v>-1.4648400000000001E-2</v>
      </c>
      <c r="R160" s="21">
        <v>150</v>
      </c>
      <c r="S160" s="21">
        <v>0.65460200000000002</v>
      </c>
      <c r="T160">
        <f t="shared" si="26"/>
        <v>18.084444444444443</v>
      </c>
      <c r="U160">
        <f t="shared" si="27"/>
        <v>11.851911933333332</v>
      </c>
      <c r="X160" s="9"/>
      <c r="Y160" s="21">
        <v>0.98465000000000003</v>
      </c>
      <c r="Z160" s="21">
        <v>15.626200000000001</v>
      </c>
      <c r="AA160" s="21">
        <v>-1.4379899999999999E-2</v>
      </c>
      <c r="AB160" s="21">
        <v>150</v>
      </c>
      <c r="AC160" s="21">
        <v>0.98388699999999996</v>
      </c>
      <c r="AD160">
        <f t="shared" si="28"/>
        <v>17.752962962962961</v>
      </c>
      <c r="AE160">
        <f t="shared" si="29"/>
        <v>17.480454981481479</v>
      </c>
      <c r="AF160" s="9"/>
      <c r="AG160" s="21">
        <v>0.65536499999999998</v>
      </c>
      <c r="AH160" s="21">
        <v>19.3245</v>
      </c>
      <c r="AI160" s="21">
        <v>-1.45477E-2</v>
      </c>
      <c r="AJ160" s="21">
        <v>150</v>
      </c>
      <c r="AK160" s="21">
        <v>0.65466299999999999</v>
      </c>
      <c r="AL160">
        <f t="shared" si="30"/>
        <v>17.960123456790122</v>
      </c>
      <c r="AM160">
        <f t="shared" si="31"/>
        <v>11.770436309259258</v>
      </c>
      <c r="AP160" s="9"/>
      <c r="AQ160" s="21">
        <v>0.98465000000000003</v>
      </c>
      <c r="AR160" s="21">
        <v>24.721399999999999</v>
      </c>
      <c r="AS160" s="21">
        <v>-1.43555E-2</v>
      </c>
      <c r="AT160" s="21">
        <v>150</v>
      </c>
      <c r="AU160" s="21">
        <v>0.98327600000000004</v>
      </c>
      <c r="AV160">
        <f t="shared" si="32"/>
        <v>17.722839506172836</v>
      </c>
      <c r="AW160">
        <f t="shared" si="33"/>
        <v>17.450793919753082</v>
      </c>
      <c r="AX160" s="9"/>
      <c r="AY160" s="21">
        <v>0.65536499999999998</v>
      </c>
      <c r="AZ160" s="21">
        <v>28.419699999999999</v>
      </c>
      <c r="BA160" s="21">
        <v>-1.4593500000000001E-2</v>
      </c>
      <c r="BB160" s="21">
        <v>150</v>
      </c>
      <c r="BC160" s="21">
        <v>0.65466299999999999</v>
      </c>
      <c r="BD160">
        <f t="shared" si="34"/>
        <v>18.016666666666666</v>
      </c>
      <c r="BE160">
        <f t="shared" si="35"/>
        <v>11.80749275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6.5330399999999997</v>
      </c>
      <c r="I161" s="21">
        <v>-1.43921E-2</v>
      </c>
      <c r="J161" s="21">
        <v>151</v>
      </c>
      <c r="K161" s="21">
        <v>0.97900399999999999</v>
      </c>
      <c r="L161">
        <f t="shared" si="24"/>
        <v>17.768024691358022</v>
      </c>
      <c r="M161">
        <f t="shared" si="25"/>
        <v>17.405805739999998</v>
      </c>
      <c r="N161" s="9"/>
      <c r="O161" s="21">
        <v>0.66039999999999999</v>
      </c>
      <c r="P161" s="21">
        <v>10.231400000000001</v>
      </c>
      <c r="Q161" s="21">
        <v>-1.46423E-2</v>
      </c>
      <c r="R161" s="21">
        <v>151</v>
      </c>
      <c r="S161" s="21">
        <v>0.65963700000000003</v>
      </c>
      <c r="T161">
        <f t="shared" si="26"/>
        <v>18.076913580246913</v>
      </c>
      <c r="U161">
        <f t="shared" si="27"/>
        <v>11.93799372839506</v>
      </c>
      <c r="X161" s="9"/>
      <c r="Y161" s="21">
        <v>0.97961399999999998</v>
      </c>
      <c r="Z161" s="21">
        <v>15.6363</v>
      </c>
      <c r="AA161" s="21">
        <v>-1.4382900000000001E-2</v>
      </c>
      <c r="AB161" s="21">
        <v>151</v>
      </c>
      <c r="AC161" s="21">
        <v>0.97869899999999999</v>
      </c>
      <c r="AD161">
        <f t="shared" si="28"/>
        <v>17.756666666666668</v>
      </c>
      <c r="AE161">
        <f t="shared" si="29"/>
        <v>17.39467926</v>
      </c>
      <c r="AF161" s="9"/>
      <c r="AG161" s="21">
        <v>0.66039999999999999</v>
      </c>
      <c r="AH161" s="21">
        <v>19.334599999999998</v>
      </c>
      <c r="AI161" s="21">
        <v>-1.4544700000000001E-2</v>
      </c>
      <c r="AJ161" s="21">
        <v>151</v>
      </c>
      <c r="AK161" s="21">
        <v>0.65969800000000001</v>
      </c>
      <c r="AL161">
        <f t="shared" si="30"/>
        <v>17.956419753086422</v>
      </c>
      <c r="AM161">
        <f t="shared" si="31"/>
        <v>11.858419604938273</v>
      </c>
      <c r="AP161" s="9"/>
      <c r="AQ161" s="21">
        <v>0.97961399999999998</v>
      </c>
      <c r="AR161" s="21">
        <v>24.7315</v>
      </c>
      <c r="AS161" s="21">
        <v>-1.43524E-2</v>
      </c>
      <c r="AT161" s="21">
        <v>151</v>
      </c>
      <c r="AU161" s="21">
        <v>0.97839399999999999</v>
      </c>
      <c r="AV161">
        <f t="shared" si="32"/>
        <v>17.719012345679008</v>
      </c>
      <c r="AW161">
        <f t="shared" si="33"/>
        <v>17.357792559999996</v>
      </c>
      <c r="AX161" s="9"/>
      <c r="AY161" s="21">
        <v>0.66039999999999999</v>
      </c>
      <c r="AZ161" s="21">
        <v>28.4298</v>
      </c>
      <c r="BA161" s="21">
        <v>-1.4572099999999999E-2</v>
      </c>
      <c r="BB161" s="21">
        <v>151</v>
      </c>
      <c r="BC161" s="21">
        <v>0.65972900000000001</v>
      </c>
      <c r="BD161">
        <f t="shared" si="34"/>
        <v>17.990246913580243</v>
      </c>
      <c r="BE161">
        <f t="shared" si="35"/>
        <v>11.880759061728392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6.5431100000000004</v>
      </c>
      <c r="I162" s="21">
        <v>-1.43982E-2</v>
      </c>
      <c r="J162" s="21">
        <v>152</v>
      </c>
      <c r="K162" s="21">
        <v>0.97442600000000001</v>
      </c>
      <c r="L162">
        <f t="shared" si="24"/>
        <v>17.775555555555556</v>
      </c>
      <c r="M162">
        <f t="shared" si="25"/>
        <v>17.323683157777779</v>
      </c>
      <c r="N162" s="9"/>
      <c r="O162" s="21">
        <v>0.66543600000000003</v>
      </c>
      <c r="P162" s="21">
        <v>10.241400000000001</v>
      </c>
      <c r="Q162" s="21">
        <v>-1.46423E-2</v>
      </c>
      <c r="R162" s="21">
        <v>152</v>
      </c>
      <c r="S162" s="21">
        <v>0.66476400000000002</v>
      </c>
      <c r="T162">
        <f t="shared" si="26"/>
        <v>18.076913580246913</v>
      </c>
      <c r="U162">
        <f t="shared" si="27"/>
        <v>12.029029065185185</v>
      </c>
      <c r="X162" s="9"/>
      <c r="Y162" s="21">
        <v>0.97457899999999997</v>
      </c>
      <c r="Z162" s="21">
        <v>15.6463</v>
      </c>
      <c r="AA162" s="21">
        <v>-1.4389000000000001E-2</v>
      </c>
      <c r="AB162" s="21">
        <v>152</v>
      </c>
      <c r="AC162" s="21">
        <v>0.97351100000000002</v>
      </c>
      <c r="AD162">
        <f t="shared" si="28"/>
        <v>17.764197530864198</v>
      </c>
      <c r="AE162">
        <f t="shared" si="29"/>
        <v>17.312613865432098</v>
      </c>
      <c r="AF162" s="9"/>
      <c r="AG162" s="21">
        <v>0.66543600000000003</v>
      </c>
      <c r="AH162" s="21">
        <v>19.3447</v>
      </c>
      <c r="AI162" s="21">
        <v>-1.4563E-2</v>
      </c>
      <c r="AJ162" s="21">
        <v>152</v>
      </c>
      <c r="AK162" s="21">
        <v>0.66470300000000004</v>
      </c>
      <c r="AL162">
        <f t="shared" si="30"/>
        <v>17.979012345679013</v>
      </c>
      <c r="AM162">
        <f t="shared" si="31"/>
        <v>11.963882059259261</v>
      </c>
      <c r="AP162" s="9"/>
      <c r="AQ162" s="21">
        <v>0.97457899999999997</v>
      </c>
      <c r="AR162" s="21">
        <v>24.741599999999998</v>
      </c>
      <c r="AS162" s="21">
        <v>-1.43524E-2</v>
      </c>
      <c r="AT162" s="21">
        <v>152</v>
      </c>
      <c r="AU162" s="21">
        <v>0.97381600000000001</v>
      </c>
      <c r="AV162">
        <f t="shared" si="32"/>
        <v>17.719012345679008</v>
      </c>
      <c r="AW162">
        <f t="shared" si="33"/>
        <v>17.268577332839502</v>
      </c>
      <c r="AX162" s="9"/>
      <c r="AY162" s="21">
        <v>0.66543600000000003</v>
      </c>
      <c r="AZ162" s="21">
        <v>28.439900000000002</v>
      </c>
      <c r="BA162" s="21">
        <v>-1.4556899999999999E-2</v>
      </c>
      <c r="BB162" s="21">
        <v>152</v>
      </c>
      <c r="BC162" s="21">
        <v>0.66479500000000002</v>
      </c>
      <c r="BD162">
        <f t="shared" si="34"/>
        <v>17.971481481481479</v>
      </c>
      <c r="BE162">
        <f t="shared" si="35"/>
        <v>11.95887075111111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6.5531800000000002</v>
      </c>
      <c r="I163" s="21">
        <v>-1.44073E-2</v>
      </c>
      <c r="J163" s="21">
        <v>153</v>
      </c>
      <c r="K163" s="21">
        <v>0.96862800000000004</v>
      </c>
      <c r="L163">
        <f t="shared" si="24"/>
        <v>17.78679012345679</v>
      </c>
      <c r="M163">
        <f t="shared" si="25"/>
        <v>17.245057856666666</v>
      </c>
      <c r="N163" s="9"/>
      <c r="O163" s="21">
        <v>0.67047100000000004</v>
      </c>
      <c r="P163" s="21">
        <v>10.2515</v>
      </c>
      <c r="Q163" s="21">
        <v>-1.4645399999999999E-2</v>
      </c>
      <c r="R163" s="21">
        <v>153</v>
      </c>
      <c r="S163" s="21">
        <v>0.66976899999999995</v>
      </c>
      <c r="T163">
        <f t="shared" si="26"/>
        <v>18.080740740740737</v>
      </c>
      <c r="U163">
        <f t="shared" si="27"/>
        <v>12.122612325185184</v>
      </c>
      <c r="X163" s="9"/>
      <c r="Y163" s="21">
        <v>0.96954300000000004</v>
      </c>
      <c r="Z163" s="21">
        <v>15.6564</v>
      </c>
      <c r="AA163" s="21">
        <v>-1.43921E-2</v>
      </c>
      <c r="AB163" s="21">
        <v>153</v>
      </c>
      <c r="AC163" s="21">
        <v>0.96893300000000004</v>
      </c>
      <c r="AD163">
        <f t="shared" si="28"/>
        <v>17.768024691358022</v>
      </c>
      <c r="AE163">
        <f t="shared" si="29"/>
        <v>17.226863963333333</v>
      </c>
      <c r="AF163" s="9"/>
      <c r="AG163" s="21">
        <v>0.67047100000000004</v>
      </c>
      <c r="AH163" s="21">
        <v>19.354700000000001</v>
      </c>
      <c r="AI163" s="21">
        <v>-1.45813E-2</v>
      </c>
      <c r="AJ163" s="21">
        <v>153</v>
      </c>
      <c r="AK163" s="21">
        <v>0.66983000000000004</v>
      </c>
      <c r="AL163">
        <f t="shared" si="30"/>
        <v>18.001604938271605</v>
      </c>
      <c r="AM163">
        <f t="shared" si="31"/>
        <v>12.069554064567901</v>
      </c>
      <c r="AP163" s="9"/>
      <c r="AQ163" s="21">
        <v>0.96954300000000004</v>
      </c>
      <c r="AR163" s="21">
        <v>24.7516</v>
      </c>
      <c r="AS163" s="21">
        <v>-1.43707E-2</v>
      </c>
      <c r="AT163" s="21">
        <v>153</v>
      </c>
      <c r="AU163" s="21">
        <v>0.96893300000000004</v>
      </c>
      <c r="AV163">
        <f t="shared" si="32"/>
        <v>17.741604938271603</v>
      </c>
      <c r="AW163">
        <f t="shared" si="33"/>
        <v>17.201248876666664</v>
      </c>
      <c r="AX163" s="9"/>
      <c r="AY163" s="21">
        <v>0.67047100000000004</v>
      </c>
      <c r="AZ163" s="21">
        <v>28.45</v>
      </c>
      <c r="BA163" s="21">
        <v>-1.45538E-2</v>
      </c>
      <c r="BB163" s="21">
        <v>153</v>
      </c>
      <c r="BC163" s="21">
        <v>0.66973899999999997</v>
      </c>
      <c r="BD163">
        <f t="shared" si="34"/>
        <v>17.967654320987652</v>
      </c>
      <c r="BE163">
        <f t="shared" si="35"/>
        <v>12.046791160246913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6.56325</v>
      </c>
      <c r="I164" s="21">
        <v>-1.4422600000000001E-2</v>
      </c>
      <c r="J164" s="21">
        <v>154</v>
      </c>
      <c r="K164" s="21">
        <v>0.96404999999999996</v>
      </c>
      <c r="L164">
        <f t="shared" si="24"/>
        <v>17.805679012345678</v>
      </c>
      <c r="M164">
        <f t="shared" si="25"/>
        <v>17.173719852839504</v>
      </c>
      <c r="N164" s="9"/>
      <c r="O164" s="21">
        <v>0.67550699999999997</v>
      </c>
      <c r="P164" s="21">
        <v>10.2616</v>
      </c>
      <c r="Q164" s="21">
        <v>-1.46515E-2</v>
      </c>
      <c r="R164" s="21">
        <v>154</v>
      </c>
      <c r="S164" s="21">
        <v>0.67483499999999996</v>
      </c>
      <c r="T164">
        <f t="shared" si="26"/>
        <v>18.088271604938271</v>
      </c>
      <c r="U164">
        <f t="shared" si="27"/>
        <v>12.218754087037036</v>
      </c>
      <c r="X164" s="9"/>
      <c r="Y164" s="21">
        <v>0.96450800000000003</v>
      </c>
      <c r="Z164" s="21">
        <v>15.666499999999999</v>
      </c>
      <c r="AA164" s="21">
        <v>-1.43982E-2</v>
      </c>
      <c r="AB164" s="21">
        <v>154</v>
      </c>
      <c r="AC164" s="21">
        <v>0.96404999999999996</v>
      </c>
      <c r="AD164">
        <f t="shared" si="28"/>
        <v>17.775555555555556</v>
      </c>
      <c r="AE164">
        <f t="shared" si="29"/>
        <v>17.144665537777779</v>
      </c>
      <c r="AF164" s="9"/>
      <c r="AG164" s="21">
        <v>0.67550699999999997</v>
      </c>
      <c r="AH164" s="21">
        <v>19.364799999999999</v>
      </c>
      <c r="AI164" s="21">
        <v>-1.4584400000000001E-2</v>
      </c>
      <c r="AJ164" s="21">
        <v>154</v>
      </c>
      <c r="AK164" s="21">
        <v>0.67483499999999996</v>
      </c>
      <c r="AL164">
        <f t="shared" si="30"/>
        <v>18.005432098765432</v>
      </c>
      <c r="AM164">
        <f t="shared" si="31"/>
        <v>12.162795420740741</v>
      </c>
      <c r="AP164" s="9"/>
      <c r="AQ164" s="21">
        <v>0.96450800000000003</v>
      </c>
      <c r="AR164" s="21">
        <v>24.761700000000001</v>
      </c>
      <c r="AS164" s="21">
        <v>-1.4389000000000001E-2</v>
      </c>
      <c r="AT164" s="21">
        <v>154</v>
      </c>
      <c r="AU164" s="21">
        <v>0.96374499999999996</v>
      </c>
      <c r="AV164">
        <f t="shared" si="32"/>
        <v>17.764197530864198</v>
      </c>
      <c r="AW164">
        <f t="shared" si="33"/>
        <v>17.133710632098765</v>
      </c>
      <c r="AX164" s="9"/>
      <c r="AY164" s="21">
        <v>0.67550699999999997</v>
      </c>
      <c r="AZ164" s="21">
        <v>28.46</v>
      </c>
      <c r="BA164" s="21">
        <v>-1.4550799999999999E-2</v>
      </c>
      <c r="BB164" s="21">
        <v>154</v>
      </c>
      <c r="BC164" s="21">
        <v>0.67489600000000005</v>
      </c>
      <c r="BD164">
        <f t="shared" si="34"/>
        <v>17.963950617283949</v>
      </c>
      <c r="BE164">
        <f t="shared" si="35"/>
        <v>12.134774389629628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6.5733199999999998</v>
      </c>
      <c r="I165" s="21">
        <v>-1.4428699999999999E-2</v>
      </c>
      <c r="J165" s="21">
        <v>155</v>
      </c>
      <c r="K165" s="21">
        <v>0.95855699999999999</v>
      </c>
      <c r="L165">
        <f t="shared" si="24"/>
        <v>17.813209876543205</v>
      </c>
      <c r="M165">
        <f t="shared" si="25"/>
        <v>17.091293919876538</v>
      </c>
      <c r="N165" s="9"/>
      <c r="O165" s="21">
        <v>0.68054199999999998</v>
      </c>
      <c r="P165" s="21">
        <v>10.271699999999999</v>
      </c>
      <c r="Q165" s="21">
        <v>-1.4639299999999999E-2</v>
      </c>
      <c r="R165" s="21">
        <v>155</v>
      </c>
      <c r="S165" s="21">
        <v>0.67996199999999996</v>
      </c>
      <c r="T165">
        <f t="shared" si="26"/>
        <v>18.07320987654321</v>
      </c>
      <c r="U165">
        <f t="shared" si="27"/>
        <v>12.299578395802468</v>
      </c>
      <c r="X165" s="9"/>
      <c r="Y165" s="21">
        <v>0.95947300000000002</v>
      </c>
      <c r="Z165" s="21">
        <v>15.676500000000001</v>
      </c>
      <c r="AA165" s="21">
        <v>-1.4401199999999999E-2</v>
      </c>
      <c r="AB165" s="21">
        <v>155</v>
      </c>
      <c r="AC165" s="21">
        <v>0.95794699999999999</v>
      </c>
      <c r="AD165">
        <f t="shared" si="28"/>
        <v>17.779259259259259</v>
      </c>
      <c r="AE165">
        <f t="shared" si="29"/>
        <v>17.05871921925926</v>
      </c>
      <c r="AF165" s="9"/>
      <c r="AG165" s="21">
        <v>0.68054199999999998</v>
      </c>
      <c r="AH165" s="21">
        <v>19.3749</v>
      </c>
      <c r="AI165" s="21">
        <v>-1.4578199999999999E-2</v>
      </c>
      <c r="AJ165" s="21">
        <v>155</v>
      </c>
      <c r="AK165" s="21">
        <v>0.67984</v>
      </c>
      <c r="AL165">
        <f t="shared" si="30"/>
        <v>17.997777777777777</v>
      </c>
      <c r="AM165">
        <f t="shared" si="31"/>
        <v>12.248243684444445</v>
      </c>
      <c r="AP165" s="9"/>
      <c r="AQ165" s="21">
        <v>0.95947300000000002</v>
      </c>
      <c r="AR165" s="21">
        <v>24.771799999999999</v>
      </c>
      <c r="AS165" s="21">
        <v>-1.4401199999999999E-2</v>
      </c>
      <c r="AT165" s="21">
        <v>155</v>
      </c>
      <c r="AU165" s="21">
        <v>0.95855699999999999</v>
      </c>
      <c r="AV165">
        <f t="shared" si="32"/>
        <v>17.779259259259259</v>
      </c>
      <c r="AW165">
        <f t="shared" si="33"/>
        <v>17.05871921925926</v>
      </c>
      <c r="AX165" s="9"/>
      <c r="AY165" s="21">
        <v>0.68054199999999998</v>
      </c>
      <c r="AZ165" s="21">
        <v>28.470099999999999</v>
      </c>
      <c r="BA165" s="21">
        <v>-1.4563E-2</v>
      </c>
      <c r="BB165" s="21">
        <v>155</v>
      </c>
      <c r="BC165" s="21">
        <v>0.67999299999999996</v>
      </c>
      <c r="BD165">
        <f t="shared" si="34"/>
        <v>17.979012345679013</v>
      </c>
      <c r="BE165">
        <f t="shared" si="35"/>
        <v>12.235473019753087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6.5834000000000001</v>
      </c>
      <c r="I166" s="21">
        <v>-1.44318E-2</v>
      </c>
      <c r="J166" s="21">
        <v>156</v>
      </c>
      <c r="K166" s="21">
        <v>0.95367400000000002</v>
      </c>
      <c r="L166">
        <f t="shared" si="24"/>
        <v>17.817037037037036</v>
      </c>
      <c r="M166">
        <f t="shared" si="25"/>
        <v>17.005239378518517</v>
      </c>
      <c r="N166" s="9"/>
      <c r="O166" s="21">
        <v>0.68557699999999999</v>
      </c>
      <c r="P166" s="21">
        <v>10.281700000000001</v>
      </c>
      <c r="Q166" s="21">
        <v>-1.4639299999999999E-2</v>
      </c>
      <c r="R166" s="21">
        <v>156</v>
      </c>
      <c r="S166" s="21">
        <v>0.68478399999999995</v>
      </c>
      <c r="T166">
        <f t="shared" si="26"/>
        <v>18.07320987654321</v>
      </c>
      <c r="U166">
        <f t="shared" si="27"/>
        <v>12.390577007530863</v>
      </c>
      <c r="X166" s="9"/>
      <c r="Y166" s="21">
        <v>0.95443699999999998</v>
      </c>
      <c r="Z166" s="21">
        <v>15.6866</v>
      </c>
      <c r="AA166" s="21">
        <v>-1.43982E-2</v>
      </c>
      <c r="AB166" s="21">
        <v>156</v>
      </c>
      <c r="AC166" s="21">
        <v>0.95367400000000002</v>
      </c>
      <c r="AD166">
        <f t="shared" si="28"/>
        <v>17.775555555555556</v>
      </c>
      <c r="AE166">
        <f t="shared" si="29"/>
        <v>16.965647917777776</v>
      </c>
      <c r="AF166" s="9"/>
      <c r="AG166" s="21">
        <v>0.68557699999999999</v>
      </c>
      <c r="AH166" s="21">
        <v>19.384899999999998</v>
      </c>
      <c r="AI166" s="21">
        <v>-1.4566000000000001E-2</v>
      </c>
      <c r="AJ166" s="21">
        <v>156</v>
      </c>
      <c r="AK166" s="21">
        <v>0.68490600000000001</v>
      </c>
      <c r="AL166">
        <f t="shared" si="30"/>
        <v>17.982716049382717</v>
      </c>
      <c r="AM166">
        <f t="shared" si="31"/>
        <v>12.328536520987655</v>
      </c>
      <c r="AP166" s="9"/>
      <c r="AQ166" s="21">
        <v>0.95443699999999998</v>
      </c>
      <c r="AR166" s="21">
        <v>24.7818</v>
      </c>
      <c r="AS166" s="21">
        <v>-1.44043E-2</v>
      </c>
      <c r="AT166" s="21">
        <v>156</v>
      </c>
      <c r="AU166" s="21">
        <v>0.95336900000000002</v>
      </c>
      <c r="AV166">
        <f t="shared" si="32"/>
        <v>17.783086419753086</v>
      </c>
      <c r="AW166">
        <f t="shared" si="33"/>
        <v>16.972835653209877</v>
      </c>
      <c r="AX166" s="9"/>
      <c r="AY166" s="21">
        <v>0.68557699999999999</v>
      </c>
      <c r="AZ166" s="21">
        <v>28.4802</v>
      </c>
      <c r="BA166" s="21">
        <v>-1.45752E-2</v>
      </c>
      <c r="BB166" s="21">
        <v>156</v>
      </c>
      <c r="BC166" s="21">
        <v>0.68490600000000001</v>
      </c>
      <c r="BD166">
        <f t="shared" si="34"/>
        <v>17.994074074074071</v>
      </c>
      <c r="BE166">
        <f t="shared" si="35"/>
        <v>12.33632332148148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6.5934699999999999</v>
      </c>
      <c r="I167" s="21">
        <v>-1.44257E-2</v>
      </c>
      <c r="J167" s="21">
        <v>157</v>
      </c>
      <c r="K167" s="21">
        <v>0.94818100000000005</v>
      </c>
      <c r="L167">
        <f t="shared" si="24"/>
        <v>17.809506172839505</v>
      </c>
      <c r="M167">
        <f t="shared" si="25"/>
        <v>16.908380779506171</v>
      </c>
      <c r="N167" s="9"/>
      <c r="O167" s="21">
        <v>0.69061300000000003</v>
      </c>
      <c r="P167" s="21">
        <v>10.2918</v>
      </c>
      <c r="Q167" s="21">
        <v>-1.46362E-2</v>
      </c>
      <c r="R167" s="21">
        <v>157</v>
      </c>
      <c r="S167" s="21">
        <v>0.690002</v>
      </c>
      <c r="T167">
        <f t="shared" si="26"/>
        <v>18.069382716049383</v>
      </c>
      <c r="U167">
        <f t="shared" si="27"/>
        <v>12.478950605679012</v>
      </c>
      <c r="X167" s="9"/>
      <c r="Y167" s="21">
        <v>0.94940199999999997</v>
      </c>
      <c r="Z167" s="21">
        <v>15.6967</v>
      </c>
      <c r="AA167" s="21">
        <v>-1.44043E-2</v>
      </c>
      <c r="AB167" s="21">
        <v>157</v>
      </c>
      <c r="AC167" s="21">
        <v>0.94848600000000005</v>
      </c>
      <c r="AD167">
        <f t="shared" si="28"/>
        <v>17.783086419753086</v>
      </c>
      <c r="AE167">
        <f t="shared" si="29"/>
        <v>16.883297813086418</v>
      </c>
      <c r="AF167" s="9"/>
      <c r="AG167" s="21">
        <v>0.69061300000000003</v>
      </c>
      <c r="AH167" s="21">
        <v>19.395</v>
      </c>
      <c r="AI167" s="21">
        <v>-1.4566000000000001E-2</v>
      </c>
      <c r="AJ167" s="21">
        <v>157</v>
      </c>
      <c r="AK167" s="21">
        <v>0.68991100000000005</v>
      </c>
      <c r="AL167">
        <f t="shared" si="30"/>
        <v>17.982716049382717</v>
      </c>
      <c r="AM167">
        <f t="shared" si="31"/>
        <v>12.419097479012347</v>
      </c>
      <c r="AP167" s="9"/>
      <c r="AQ167" s="21">
        <v>0.94940199999999997</v>
      </c>
      <c r="AR167" s="21">
        <v>24.791899999999998</v>
      </c>
      <c r="AS167" s="21">
        <v>-1.4401199999999999E-2</v>
      </c>
      <c r="AT167" s="21">
        <v>157</v>
      </c>
      <c r="AU167" s="21">
        <v>0.94848600000000005</v>
      </c>
      <c r="AV167">
        <f t="shared" si="32"/>
        <v>17.779259259259259</v>
      </c>
      <c r="AW167">
        <f t="shared" si="33"/>
        <v>16.879664299259257</v>
      </c>
      <c r="AX167" s="9"/>
      <c r="AY167" s="21">
        <v>0.69061300000000003</v>
      </c>
      <c r="AZ167" s="21">
        <v>28.490200000000002</v>
      </c>
      <c r="BA167" s="21">
        <v>-1.4578199999999999E-2</v>
      </c>
      <c r="BB167" s="21">
        <v>157</v>
      </c>
      <c r="BC167" s="21">
        <v>0.690002</v>
      </c>
      <c r="BD167">
        <f t="shared" si="34"/>
        <v>17.997777777777777</v>
      </c>
      <c r="BE167">
        <f t="shared" si="35"/>
        <v>12.429499304444445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6.6035399999999997</v>
      </c>
      <c r="I168" s="21">
        <v>-1.4422600000000001E-2</v>
      </c>
      <c r="J168" s="21">
        <v>158</v>
      </c>
      <c r="K168" s="21">
        <v>0.94329799999999997</v>
      </c>
      <c r="L168">
        <f t="shared" si="24"/>
        <v>17.805679012345678</v>
      </c>
      <c r="M168">
        <f t="shared" si="25"/>
        <v>16.815077866172839</v>
      </c>
      <c r="N168" s="9"/>
      <c r="O168" s="21">
        <v>0.69564800000000004</v>
      </c>
      <c r="P168" s="21">
        <v>10.3019</v>
      </c>
      <c r="Q168" s="21">
        <v>-1.4633200000000001E-2</v>
      </c>
      <c r="R168" s="21">
        <v>158</v>
      </c>
      <c r="S168" s="21">
        <v>0.69488499999999997</v>
      </c>
      <c r="T168">
        <f t="shared" si="26"/>
        <v>18.065679012345679</v>
      </c>
      <c r="U168">
        <f t="shared" si="27"/>
        <v>12.567353473580248</v>
      </c>
      <c r="X168" s="9"/>
      <c r="Y168" s="21">
        <v>0.94436600000000004</v>
      </c>
      <c r="Z168" s="21">
        <v>15.706799999999999</v>
      </c>
      <c r="AA168" s="21">
        <v>-1.44104E-2</v>
      </c>
      <c r="AB168" s="21">
        <v>158</v>
      </c>
      <c r="AC168" s="21">
        <v>0.94329799999999997</v>
      </c>
      <c r="AD168">
        <f t="shared" si="28"/>
        <v>17.790617283950617</v>
      </c>
      <c r="AE168">
        <f t="shared" si="29"/>
        <v>16.800854081975309</v>
      </c>
      <c r="AF168" s="9"/>
      <c r="AG168" s="21">
        <v>0.69564800000000004</v>
      </c>
      <c r="AH168" s="21">
        <v>19.405100000000001</v>
      </c>
      <c r="AI168" s="21">
        <v>-1.4572099999999999E-2</v>
      </c>
      <c r="AJ168" s="21">
        <v>158</v>
      </c>
      <c r="AK168" s="21">
        <v>0.69500700000000004</v>
      </c>
      <c r="AL168">
        <f t="shared" si="30"/>
        <v>17.990246913580243</v>
      </c>
      <c r="AM168">
        <f t="shared" si="31"/>
        <v>12.514879284938271</v>
      </c>
      <c r="AP168" s="9"/>
      <c r="AQ168" s="21">
        <v>0.94436600000000004</v>
      </c>
      <c r="AR168" s="21">
        <v>24.802</v>
      </c>
      <c r="AS168" s="21">
        <v>-1.44043E-2</v>
      </c>
      <c r="AT168" s="21">
        <v>158</v>
      </c>
      <c r="AU168" s="21">
        <v>0.94299299999999997</v>
      </c>
      <c r="AV168">
        <f t="shared" si="32"/>
        <v>17.783086419753086</v>
      </c>
      <c r="AW168">
        <f t="shared" si="33"/>
        <v>16.793742189876543</v>
      </c>
      <c r="AX168" s="9"/>
      <c r="AY168" s="21">
        <v>0.69564800000000004</v>
      </c>
      <c r="AZ168" s="21">
        <v>28.500299999999999</v>
      </c>
      <c r="BA168" s="21">
        <v>-1.45752E-2</v>
      </c>
      <c r="BB168" s="21">
        <v>158</v>
      </c>
      <c r="BC168" s="21">
        <v>0.69494599999999995</v>
      </c>
      <c r="BD168">
        <f t="shared" si="34"/>
        <v>17.994074074074071</v>
      </c>
      <c r="BE168">
        <f t="shared" si="35"/>
        <v>12.517541641481481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6.6136100000000004</v>
      </c>
      <c r="I169" s="21">
        <v>-1.4422600000000001E-2</v>
      </c>
      <c r="J169" s="21">
        <v>159</v>
      </c>
      <c r="K169" s="21">
        <v>0.93872100000000003</v>
      </c>
      <c r="L169">
        <f t="shared" si="24"/>
        <v>17.805679012345678</v>
      </c>
      <c r="M169">
        <f t="shared" si="25"/>
        <v>16.725426272345679</v>
      </c>
      <c r="N169" s="9"/>
      <c r="O169" s="21">
        <v>0.70068399999999997</v>
      </c>
      <c r="P169" s="21">
        <v>10.3119</v>
      </c>
      <c r="Q169" s="21">
        <v>-1.46149E-2</v>
      </c>
      <c r="R169" s="21">
        <v>159</v>
      </c>
      <c r="S169" s="21">
        <v>0.70001199999999997</v>
      </c>
      <c r="T169">
        <f t="shared" si="26"/>
        <v>18.043086419753088</v>
      </c>
      <c r="U169">
        <f t="shared" si="27"/>
        <v>12.642501964938273</v>
      </c>
      <c r="X169" s="9"/>
      <c r="Y169" s="21">
        <v>0.93933100000000003</v>
      </c>
      <c r="Z169" s="21">
        <v>15.716799999999999</v>
      </c>
      <c r="AA169" s="21">
        <v>-1.4401199999999999E-2</v>
      </c>
      <c r="AB169" s="21">
        <v>159</v>
      </c>
      <c r="AC169" s="21">
        <v>0.93872100000000003</v>
      </c>
      <c r="AD169">
        <f t="shared" si="28"/>
        <v>17.779259259259259</v>
      </c>
      <c r="AE169">
        <f t="shared" si="29"/>
        <v>16.700609379259259</v>
      </c>
      <c r="AF169" s="9"/>
      <c r="AG169" s="21">
        <v>0.70068399999999997</v>
      </c>
      <c r="AH169" s="21">
        <v>19.415199999999999</v>
      </c>
      <c r="AI169" s="21">
        <v>-1.45691E-2</v>
      </c>
      <c r="AJ169" s="21">
        <v>159</v>
      </c>
      <c r="AK169" s="21">
        <v>0.70010399999999995</v>
      </c>
      <c r="AL169">
        <f t="shared" si="30"/>
        <v>17.98654320987654</v>
      </c>
      <c r="AM169">
        <f t="shared" si="31"/>
        <v>12.602883042469132</v>
      </c>
      <c r="AP169" s="9"/>
      <c r="AQ169" s="21">
        <v>0.93933100000000003</v>
      </c>
      <c r="AR169" s="21">
        <v>24.812100000000001</v>
      </c>
      <c r="AS169" s="21">
        <v>-1.4413499999999999E-2</v>
      </c>
      <c r="AT169" s="21">
        <v>159</v>
      </c>
      <c r="AU169" s="21">
        <v>0.93902600000000003</v>
      </c>
      <c r="AV169">
        <f t="shared" si="32"/>
        <v>17.794444444444444</v>
      </c>
      <c r="AW169">
        <f t="shared" si="33"/>
        <v>16.714873294444445</v>
      </c>
      <c r="AX169" s="9"/>
      <c r="AY169" s="21">
        <v>0.70068399999999997</v>
      </c>
      <c r="AZ169" s="21">
        <v>28.510400000000001</v>
      </c>
      <c r="BA169" s="21">
        <v>-1.4566000000000001E-2</v>
      </c>
      <c r="BB169" s="21">
        <v>159</v>
      </c>
      <c r="BC169" s="21">
        <v>0.70004299999999997</v>
      </c>
      <c r="BD169">
        <f t="shared" si="34"/>
        <v>17.982716049382717</v>
      </c>
      <c r="BE169">
        <f t="shared" si="35"/>
        <v>12.60020141234568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6.6236800000000002</v>
      </c>
      <c r="I170" s="21">
        <v>-1.4422600000000001E-2</v>
      </c>
      <c r="J170" s="21">
        <v>160</v>
      </c>
      <c r="K170" s="21">
        <v>0.93383799999999995</v>
      </c>
      <c r="L170">
        <f t="shared" si="24"/>
        <v>17.805679012345678</v>
      </c>
      <c r="M170">
        <f t="shared" si="25"/>
        <v>16.635774678518519</v>
      </c>
      <c r="N170" s="9"/>
      <c r="O170" s="21">
        <v>0.70571899999999999</v>
      </c>
      <c r="P170" s="21">
        <v>10.321999999999999</v>
      </c>
      <c r="Q170" s="21">
        <v>-1.4599600000000001E-2</v>
      </c>
      <c r="R170" s="21">
        <v>160</v>
      </c>
      <c r="S170" s="21">
        <v>0.70498700000000003</v>
      </c>
      <c r="T170">
        <f t="shared" si="26"/>
        <v>18.0241975308642</v>
      </c>
      <c r="U170">
        <f t="shared" si="27"/>
        <v>12.720018657283951</v>
      </c>
      <c r="X170" s="9"/>
      <c r="Y170" s="21">
        <v>0.93429600000000002</v>
      </c>
      <c r="Z170" s="21">
        <v>15.726900000000001</v>
      </c>
      <c r="AA170" s="21">
        <v>-1.43982E-2</v>
      </c>
      <c r="AB170" s="21">
        <v>160</v>
      </c>
      <c r="AC170" s="21">
        <v>0.93353299999999995</v>
      </c>
      <c r="AD170">
        <f t="shared" si="28"/>
        <v>17.775555555555556</v>
      </c>
      <c r="AE170">
        <f t="shared" si="29"/>
        <v>16.607630453333336</v>
      </c>
      <c r="AF170" s="9"/>
      <c r="AG170" s="21">
        <v>0.70571899999999999</v>
      </c>
      <c r="AH170" s="21">
        <v>19.4252</v>
      </c>
      <c r="AI170" s="21">
        <v>-1.45752E-2</v>
      </c>
      <c r="AJ170" s="21">
        <v>160</v>
      </c>
      <c r="AK170" s="21">
        <v>0.70513899999999996</v>
      </c>
      <c r="AL170">
        <f t="shared" si="30"/>
        <v>17.994074074074071</v>
      </c>
      <c r="AM170">
        <f t="shared" si="31"/>
        <v>12.698759961481478</v>
      </c>
      <c r="AP170" s="9"/>
      <c r="AQ170" s="21">
        <v>0.93429600000000002</v>
      </c>
      <c r="AR170" s="21">
        <v>24.822099999999999</v>
      </c>
      <c r="AS170" s="21">
        <v>-1.44257E-2</v>
      </c>
      <c r="AT170" s="21">
        <v>160</v>
      </c>
      <c r="AU170" s="21">
        <v>0.93353299999999995</v>
      </c>
      <c r="AV170">
        <f t="shared" si="32"/>
        <v>17.809506172839505</v>
      </c>
      <c r="AW170">
        <f t="shared" si="33"/>
        <v>16.639350379259259</v>
      </c>
      <c r="AX170" s="9"/>
      <c r="AY170" s="21">
        <v>0.70571899999999999</v>
      </c>
      <c r="AZ170" s="21">
        <v>28.520499999999998</v>
      </c>
      <c r="BA170" s="21">
        <v>-1.4556899999999999E-2</v>
      </c>
      <c r="BB170" s="21">
        <v>160</v>
      </c>
      <c r="BC170" s="21">
        <v>0.70520000000000005</v>
      </c>
      <c r="BD170">
        <f t="shared" si="34"/>
        <v>17.971481481481479</v>
      </c>
      <c r="BE170">
        <f t="shared" si="35"/>
        <v>12.682815939629627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6.63375</v>
      </c>
      <c r="I171" s="21">
        <v>-1.44318E-2</v>
      </c>
      <c r="J171" s="21">
        <v>161</v>
      </c>
      <c r="K171" s="21">
        <v>0.92864999999999998</v>
      </c>
      <c r="L171">
        <f t="shared" si="24"/>
        <v>17.817037037037036</v>
      </c>
      <c r="M171">
        <f t="shared" si="25"/>
        <v>16.556659837037035</v>
      </c>
      <c r="N171" s="9"/>
      <c r="O171" s="21">
        <v>0.710754</v>
      </c>
      <c r="P171" s="21">
        <v>10.332100000000001</v>
      </c>
      <c r="Q171" s="21">
        <v>-1.45966E-2</v>
      </c>
      <c r="R171" s="21">
        <v>161</v>
      </c>
      <c r="S171" s="21">
        <v>0.71011400000000002</v>
      </c>
      <c r="T171">
        <f t="shared" si="26"/>
        <v>18.020493827160493</v>
      </c>
      <c r="U171">
        <f t="shared" si="27"/>
        <v>12.80813806962963</v>
      </c>
      <c r="X171" s="9"/>
      <c r="Y171" s="21">
        <v>0.92925999999999997</v>
      </c>
      <c r="Z171" s="21">
        <v>15.737</v>
      </c>
      <c r="AA171" s="21">
        <v>-1.44073E-2</v>
      </c>
      <c r="AB171" s="21">
        <v>161</v>
      </c>
      <c r="AC171" s="21">
        <v>0.92895499999999998</v>
      </c>
      <c r="AD171">
        <f t="shared" si="28"/>
        <v>17.78679012345679</v>
      </c>
      <c r="AE171">
        <f t="shared" si="29"/>
        <v>16.528552590123457</v>
      </c>
      <c r="AF171" s="9"/>
      <c r="AG171" s="21">
        <v>0.710754</v>
      </c>
      <c r="AH171" s="21">
        <v>19.435300000000002</v>
      </c>
      <c r="AI171" s="21">
        <v>-1.4566000000000001E-2</v>
      </c>
      <c r="AJ171" s="21">
        <v>161</v>
      </c>
      <c r="AK171" s="21">
        <v>0.71008300000000002</v>
      </c>
      <c r="AL171">
        <f t="shared" si="30"/>
        <v>17.982716049382717</v>
      </c>
      <c r="AM171">
        <f t="shared" si="31"/>
        <v>12.781287362962964</v>
      </c>
      <c r="AP171" s="9"/>
      <c r="AQ171" s="21">
        <v>0.92925999999999997</v>
      </c>
      <c r="AR171" s="21">
        <v>24.8322</v>
      </c>
      <c r="AS171" s="21">
        <v>-1.44318E-2</v>
      </c>
      <c r="AT171" s="21">
        <v>161</v>
      </c>
      <c r="AU171" s="21">
        <v>0.92834499999999998</v>
      </c>
      <c r="AV171">
        <f t="shared" si="32"/>
        <v>17.817037037037036</v>
      </c>
      <c r="AW171">
        <f t="shared" si="33"/>
        <v>16.556659837037035</v>
      </c>
      <c r="AX171" s="9"/>
      <c r="AY171" s="21">
        <v>0.710754</v>
      </c>
      <c r="AZ171" s="21">
        <v>28.5305</v>
      </c>
      <c r="BA171" s="21">
        <v>-1.45538E-2</v>
      </c>
      <c r="BB171" s="21">
        <v>161</v>
      </c>
      <c r="BC171" s="21">
        <v>0.71008300000000002</v>
      </c>
      <c r="BD171">
        <f t="shared" si="34"/>
        <v>17.967654320987652</v>
      </c>
      <c r="BE171">
        <f t="shared" si="35"/>
        <v>12.770582179259257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6.6438199999999998</v>
      </c>
      <c r="I172" s="21">
        <v>-1.4434799999999999E-2</v>
      </c>
      <c r="J172" s="21">
        <v>162</v>
      </c>
      <c r="K172" s="21">
        <v>0.923767</v>
      </c>
      <c r="L172">
        <f t="shared" si="24"/>
        <v>17.820740740740739</v>
      </c>
      <c r="M172">
        <f t="shared" si="25"/>
        <v>16.470374111111109</v>
      </c>
      <c r="N172" s="9"/>
      <c r="O172" s="21">
        <v>0.71579000000000004</v>
      </c>
      <c r="P172" s="21">
        <v>10.3422</v>
      </c>
      <c r="Q172" s="21">
        <v>-1.4584400000000001E-2</v>
      </c>
      <c r="R172" s="21">
        <v>162</v>
      </c>
      <c r="S172" s="21">
        <v>0.71502699999999997</v>
      </c>
      <c r="T172">
        <f t="shared" si="26"/>
        <v>18.005432098765432</v>
      </c>
      <c r="U172">
        <f t="shared" si="27"/>
        <v>12.88810824197531</v>
      </c>
      <c r="X172" s="9"/>
      <c r="Y172" s="21">
        <v>0.92422499999999996</v>
      </c>
      <c r="Z172" s="21">
        <v>15.747</v>
      </c>
      <c r="AA172" s="21">
        <v>-1.44318E-2</v>
      </c>
      <c r="AB172" s="21">
        <v>162</v>
      </c>
      <c r="AC172" s="21">
        <v>0.92315700000000001</v>
      </c>
      <c r="AD172">
        <f t="shared" si="28"/>
        <v>17.817037037037036</v>
      </c>
      <c r="AE172">
        <f t="shared" si="29"/>
        <v>16.466951055555555</v>
      </c>
      <c r="AF172" s="9"/>
      <c r="AG172" s="21">
        <v>0.71579000000000004</v>
      </c>
      <c r="AH172" s="21">
        <v>19.445399999999999</v>
      </c>
      <c r="AI172" s="21">
        <v>-1.4563E-2</v>
      </c>
      <c r="AJ172" s="21">
        <v>162</v>
      </c>
      <c r="AK172" s="21">
        <v>0.71517900000000001</v>
      </c>
      <c r="AL172">
        <f t="shared" si="30"/>
        <v>17.979012345679013</v>
      </c>
      <c r="AM172">
        <f t="shared" si="31"/>
        <v>12.869197246913581</v>
      </c>
      <c r="AP172" s="9"/>
      <c r="AQ172" s="21">
        <v>0.92422499999999996</v>
      </c>
      <c r="AR172" s="21">
        <v>24.842300000000002</v>
      </c>
      <c r="AS172" s="21">
        <v>-1.4434799999999999E-2</v>
      </c>
      <c r="AT172" s="21">
        <v>162</v>
      </c>
      <c r="AU172" s="21">
        <v>0.92346200000000001</v>
      </c>
      <c r="AV172">
        <f t="shared" si="32"/>
        <v>17.820740740740739</v>
      </c>
      <c r="AW172">
        <f t="shared" si="33"/>
        <v>16.470374111111109</v>
      </c>
      <c r="AX172" s="9"/>
      <c r="AY172" s="21">
        <v>0.71579000000000004</v>
      </c>
      <c r="AZ172" s="21">
        <v>28.540600000000001</v>
      </c>
      <c r="BA172" s="21">
        <v>-1.45538E-2</v>
      </c>
      <c r="BB172" s="21">
        <v>162</v>
      </c>
      <c r="BC172" s="21">
        <v>0.71508799999999995</v>
      </c>
      <c r="BD172">
        <f t="shared" si="34"/>
        <v>17.967654320987652</v>
      </c>
      <c r="BE172">
        <f t="shared" si="35"/>
        <v>12.861067286419752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6.6538899999999996</v>
      </c>
      <c r="I173" s="21">
        <v>-1.44409E-2</v>
      </c>
      <c r="J173" s="21">
        <v>163</v>
      </c>
      <c r="K173" s="21">
        <v>0.91827400000000003</v>
      </c>
      <c r="L173">
        <f t="shared" si="24"/>
        <v>17.828271604938269</v>
      </c>
      <c r="M173">
        <f t="shared" si="25"/>
        <v>16.387551148271605</v>
      </c>
      <c r="N173" s="9"/>
      <c r="O173" s="21">
        <v>0.72082500000000005</v>
      </c>
      <c r="P173" s="21">
        <v>10.3522</v>
      </c>
      <c r="Q173" s="21">
        <v>-1.4578199999999999E-2</v>
      </c>
      <c r="R173" s="21">
        <v>163</v>
      </c>
      <c r="S173" s="21">
        <v>0.720001</v>
      </c>
      <c r="T173">
        <f t="shared" si="26"/>
        <v>17.997777777777777</v>
      </c>
      <c r="U173">
        <f t="shared" si="27"/>
        <v>12.973248166666668</v>
      </c>
      <c r="X173" s="9"/>
      <c r="Y173" s="21">
        <v>0.91918900000000003</v>
      </c>
      <c r="Z173" s="21">
        <v>15.757099999999999</v>
      </c>
      <c r="AA173" s="21">
        <v>-1.44379E-2</v>
      </c>
      <c r="AB173" s="21">
        <v>163</v>
      </c>
      <c r="AC173" s="21">
        <v>0.91796900000000003</v>
      </c>
      <c r="AD173">
        <f t="shared" si="28"/>
        <v>17.824567901234566</v>
      </c>
      <c r="AE173">
        <f t="shared" si="29"/>
        <v>16.3841467445679</v>
      </c>
      <c r="AF173" s="9"/>
      <c r="AG173" s="21">
        <v>0.72082500000000005</v>
      </c>
      <c r="AH173" s="21">
        <v>19.455400000000001</v>
      </c>
      <c r="AI173" s="21">
        <v>-1.45538E-2</v>
      </c>
      <c r="AJ173" s="21">
        <v>163</v>
      </c>
      <c r="AK173" s="21">
        <v>0.72009299999999998</v>
      </c>
      <c r="AL173">
        <f t="shared" si="30"/>
        <v>17.967654320987652</v>
      </c>
      <c r="AM173">
        <f t="shared" si="31"/>
        <v>12.951534425925924</v>
      </c>
      <c r="AP173" s="9"/>
      <c r="AQ173" s="21">
        <v>0.91918900000000003</v>
      </c>
      <c r="AR173" s="21">
        <v>24.8523</v>
      </c>
      <c r="AS173" s="21">
        <v>-1.44501E-2</v>
      </c>
      <c r="AT173" s="21">
        <v>163</v>
      </c>
      <c r="AU173" s="21">
        <v>0.91827400000000003</v>
      </c>
      <c r="AV173">
        <f t="shared" si="32"/>
        <v>17.839629629629631</v>
      </c>
      <c r="AW173">
        <f t="shared" si="33"/>
        <v>16.397991319629632</v>
      </c>
      <c r="AX173" s="9"/>
      <c r="AY173" s="21">
        <v>0.72082500000000005</v>
      </c>
      <c r="AZ173" s="21">
        <v>28.550699999999999</v>
      </c>
      <c r="BA173" s="21">
        <v>-1.4550799999999999E-2</v>
      </c>
      <c r="BB173" s="21">
        <v>163</v>
      </c>
      <c r="BC173" s="21">
        <v>0.72012299999999996</v>
      </c>
      <c r="BD173">
        <f t="shared" si="34"/>
        <v>17.963950617283949</v>
      </c>
      <c r="BE173">
        <f t="shared" si="35"/>
        <v>12.948864703703704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6.6639600000000003</v>
      </c>
      <c r="I174" s="21">
        <v>-1.44531E-2</v>
      </c>
      <c r="J174" s="21">
        <v>164</v>
      </c>
      <c r="K174" s="21">
        <v>0.91339099999999995</v>
      </c>
      <c r="L174">
        <f t="shared" si="24"/>
        <v>17.843333333333334</v>
      </c>
      <c r="M174">
        <f t="shared" si="25"/>
        <v>16.311554539999999</v>
      </c>
      <c r="N174" s="9"/>
      <c r="O174" s="21">
        <v>0.72586099999999998</v>
      </c>
      <c r="P174" s="21">
        <v>10.362299999999999</v>
      </c>
      <c r="Q174" s="21">
        <v>-1.45752E-2</v>
      </c>
      <c r="R174" s="21">
        <v>164</v>
      </c>
      <c r="S174" s="21">
        <v>0.72509800000000002</v>
      </c>
      <c r="T174">
        <f t="shared" si="26"/>
        <v>17.994074074074071</v>
      </c>
      <c r="U174">
        <f t="shared" si="27"/>
        <v>13.061196601481479</v>
      </c>
      <c r="X174" s="9"/>
      <c r="Y174" s="21">
        <v>0.91415400000000002</v>
      </c>
      <c r="Z174" s="21">
        <v>15.767200000000001</v>
      </c>
      <c r="AA174" s="21">
        <v>-1.4444E-2</v>
      </c>
      <c r="AB174" s="21">
        <v>164</v>
      </c>
      <c r="AC174" s="21">
        <v>0.91278099999999995</v>
      </c>
      <c r="AD174">
        <f t="shared" si="28"/>
        <v>17.832098765432097</v>
      </c>
      <c r="AE174">
        <f t="shared" si="29"/>
        <v>16.301284414814813</v>
      </c>
      <c r="AF174" s="9"/>
      <c r="AG174" s="21">
        <v>0.72586099999999998</v>
      </c>
      <c r="AH174" s="21">
        <v>19.465499999999999</v>
      </c>
      <c r="AI174" s="21">
        <v>-1.45294E-2</v>
      </c>
      <c r="AJ174" s="21">
        <v>164</v>
      </c>
      <c r="AK174" s="21">
        <v>0.72537200000000002</v>
      </c>
      <c r="AL174">
        <f t="shared" si="30"/>
        <v>17.93753086419753</v>
      </c>
      <c r="AM174">
        <f t="shared" si="31"/>
        <v>13.020154090617282</v>
      </c>
      <c r="AP174" s="9"/>
      <c r="AQ174" s="21">
        <v>0.91415400000000002</v>
      </c>
      <c r="AR174" s="21">
        <v>24.862400000000001</v>
      </c>
      <c r="AS174" s="21">
        <v>-1.44531E-2</v>
      </c>
      <c r="AT174" s="21">
        <v>164</v>
      </c>
      <c r="AU174" s="21">
        <v>0.91369599999999995</v>
      </c>
      <c r="AV174">
        <f t="shared" si="32"/>
        <v>17.843333333333334</v>
      </c>
      <c r="AW174">
        <f t="shared" si="33"/>
        <v>16.311554539999999</v>
      </c>
      <c r="AX174" s="9"/>
      <c r="AY174" s="21">
        <v>0.72586099999999998</v>
      </c>
      <c r="AZ174" s="21">
        <v>28.560700000000001</v>
      </c>
      <c r="BA174" s="21">
        <v>-1.4556899999999999E-2</v>
      </c>
      <c r="BB174" s="21">
        <v>164</v>
      </c>
      <c r="BC174" s="21">
        <v>0.72521999999999998</v>
      </c>
      <c r="BD174">
        <f t="shared" si="34"/>
        <v>17.971481481481479</v>
      </c>
      <c r="BE174">
        <f t="shared" si="35"/>
        <v>13.044797519629627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6.6740300000000001</v>
      </c>
      <c r="I175" s="21">
        <v>-1.4468399999999999E-2</v>
      </c>
      <c r="J175" s="21">
        <v>165</v>
      </c>
      <c r="K175" s="21">
        <v>0.90820299999999998</v>
      </c>
      <c r="L175">
        <f t="shared" si="24"/>
        <v>17.862222222222222</v>
      </c>
      <c r="M175">
        <f t="shared" si="25"/>
        <v>16.238885604444445</v>
      </c>
      <c r="N175" s="9"/>
      <c r="O175" s="21">
        <v>0.73089599999999999</v>
      </c>
      <c r="P175" s="21">
        <v>10.372400000000001</v>
      </c>
      <c r="Q175" s="21">
        <v>-1.45752E-2</v>
      </c>
      <c r="R175" s="21">
        <v>165</v>
      </c>
      <c r="S175" s="21">
        <v>0.73022500000000001</v>
      </c>
      <c r="T175">
        <f t="shared" si="26"/>
        <v>17.994074074074071</v>
      </c>
      <c r="U175">
        <f t="shared" si="27"/>
        <v>13.151796764444441</v>
      </c>
      <c r="X175" s="9"/>
      <c r="Y175" s="21">
        <v>0.90911900000000001</v>
      </c>
      <c r="Z175" s="21">
        <v>15.7773</v>
      </c>
      <c r="AA175" s="21">
        <v>-1.4444E-2</v>
      </c>
      <c r="AB175" s="21">
        <v>165</v>
      </c>
      <c r="AC175" s="21">
        <v>0.90850799999999998</v>
      </c>
      <c r="AD175">
        <f t="shared" si="28"/>
        <v>17.832098765432097</v>
      </c>
      <c r="AE175">
        <f t="shared" si="29"/>
        <v>16.211499797530863</v>
      </c>
      <c r="AF175" s="9"/>
      <c r="AG175" s="21">
        <v>0.73089599999999999</v>
      </c>
      <c r="AH175" s="21">
        <v>19.4756</v>
      </c>
      <c r="AI175" s="21">
        <v>-1.4517199999999999E-2</v>
      </c>
      <c r="AJ175" s="21">
        <v>165</v>
      </c>
      <c r="AK175" s="21">
        <v>0.73031599999999997</v>
      </c>
      <c r="AL175">
        <f t="shared" si="30"/>
        <v>17.922469135802466</v>
      </c>
      <c r="AM175">
        <f t="shared" si="31"/>
        <v>13.09946100148148</v>
      </c>
      <c r="AP175" s="9"/>
      <c r="AQ175" s="21">
        <v>0.90911900000000001</v>
      </c>
      <c r="AR175" s="21">
        <v>24.872499999999999</v>
      </c>
      <c r="AS175" s="21">
        <v>-1.4444E-2</v>
      </c>
      <c r="AT175" s="21">
        <v>165</v>
      </c>
      <c r="AU175" s="21">
        <v>0.90850799999999998</v>
      </c>
      <c r="AV175">
        <f t="shared" si="32"/>
        <v>17.832098765432097</v>
      </c>
      <c r="AW175">
        <f t="shared" si="33"/>
        <v>16.211499797530863</v>
      </c>
      <c r="AX175" s="9"/>
      <c r="AY175" s="21">
        <v>0.73089599999999999</v>
      </c>
      <c r="AZ175" s="21">
        <v>28.570799999999998</v>
      </c>
      <c r="BA175" s="21">
        <v>-1.45477E-2</v>
      </c>
      <c r="BB175" s="21">
        <v>165</v>
      </c>
      <c r="BC175" s="21">
        <v>0.73019400000000001</v>
      </c>
      <c r="BD175">
        <f t="shared" si="34"/>
        <v>17.960123456790122</v>
      </c>
      <c r="BE175">
        <f t="shared" si="35"/>
        <v>13.126982394074073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6.6841100000000004</v>
      </c>
      <c r="I176" s="21">
        <v>-1.4477500000000001E-2</v>
      </c>
      <c r="J176" s="21">
        <v>166</v>
      </c>
      <c r="K176" s="21">
        <v>0.90332000000000001</v>
      </c>
      <c r="L176">
        <f t="shared" si="24"/>
        <v>17.873456790123456</v>
      </c>
      <c r="M176">
        <f t="shared" si="25"/>
        <v>16.159088435185183</v>
      </c>
      <c r="N176" s="9"/>
      <c r="O176" s="21">
        <v>0.735931</v>
      </c>
      <c r="P176" s="21">
        <v>10.382400000000001</v>
      </c>
      <c r="Q176" s="21">
        <v>-1.4566000000000001E-2</v>
      </c>
      <c r="R176" s="21">
        <v>166</v>
      </c>
      <c r="S176" s="21">
        <v>0.73516800000000004</v>
      </c>
      <c r="T176">
        <f t="shared" si="26"/>
        <v>17.982716049382717</v>
      </c>
      <c r="U176">
        <f t="shared" si="27"/>
        <v>13.234038204938273</v>
      </c>
      <c r="X176" s="9"/>
      <c r="Y176" s="21">
        <v>0.90408299999999997</v>
      </c>
      <c r="Z176" s="21">
        <v>15.7873</v>
      </c>
      <c r="AA176" s="21">
        <v>-1.4444E-2</v>
      </c>
      <c r="AB176" s="21">
        <v>166</v>
      </c>
      <c r="AC176" s="21">
        <v>0.90362500000000001</v>
      </c>
      <c r="AD176">
        <f t="shared" si="28"/>
        <v>17.832098765432097</v>
      </c>
      <c r="AE176">
        <f t="shared" si="29"/>
        <v>16.121697348148146</v>
      </c>
      <c r="AF176" s="9"/>
      <c r="AG176" s="21">
        <v>0.735931</v>
      </c>
      <c r="AH176" s="21">
        <v>19.485700000000001</v>
      </c>
      <c r="AI176" s="21">
        <v>-1.44989E-2</v>
      </c>
      <c r="AJ176" s="21">
        <v>166</v>
      </c>
      <c r="AK176" s="21">
        <v>0.73526000000000002</v>
      </c>
      <c r="AL176">
        <f t="shared" si="30"/>
        <v>17.899876543209874</v>
      </c>
      <c r="AM176">
        <f t="shared" si="31"/>
        <v>13.173074044320986</v>
      </c>
      <c r="AP176" s="9"/>
      <c r="AQ176" s="21">
        <v>0.90408299999999997</v>
      </c>
      <c r="AR176" s="21">
        <v>24.8825</v>
      </c>
      <c r="AS176" s="21">
        <v>-1.44379E-2</v>
      </c>
      <c r="AT176" s="21">
        <v>166</v>
      </c>
      <c r="AU176" s="21">
        <v>0.90301500000000001</v>
      </c>
      <c r="AV176">
        <f t="shared" si="32"/>
        <v>17.824567901234566</v>
      </c>
      <c r="AW176">
        <f t="shared" si="33"/>
        <v>16.114888821851849</v>
      </c>
      <c r="AX176" s="9"/>
      <c r="AY176" s="21">
        <v>0.735931</v>
      </c>
      <c r="AZ176" s="21">
        <v>28.5809</v>
      </c>
      <c r="BA176" s="21">
        <v>-1.45355E-2</v>
      </c>
      <c r="BB176" s="21">
        <v>166</v>
      </c>
      <c r="BC176" s="21">
        <v>0.73535200000000001</v>
      </c>
      <c r="BD176">
        <f t="shared" si="34"/>
        <v>17.945061728395061</v>
      </c>
      <c r="BE176">
        <f t="shared" si="35"/>
        <v>13.206327222839505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6.6941800000000002</v>
      </c>
      <c r="I177" s="21">
        <v>-1.4483599999999999E-2</v>
      </c>
      <c r="J177" s="21">
        <v>167</v>
      </c>
      <c r="K177" s="21">
        <v>0.89813200000000004</v>
      </c>
      <c r="L177">
        <f t="shared" si="24"/>
        <v>17.880987654320986</v>
      </c>
      <c r="M177">
        <f t="shared" si="25"/>
        <v>16.075866188641974</v>
      </c>
      <c r="N177" s="9"/>
      <c r="O177" s="21">
        <v>0.74096700000000004</v>
      </c>
      <c r="P177" s="21">
        <v>10.3925</v>
      </c>
      <c r="Q177" s="21">
        <v>-1.4563E-2</v>
      </c>
      <c r="R177" s="21">
        <v>167</v>
      </c>
      <c r="S177" s="21">
        <v>0.74035600000000001</v>
      </c>
      <c r="T177">
        <f t="shared" si="26"/>
        <v>17.979012345679013</v>
      </c>
      <c r="U177">
        <f t="shared" si="27"/>
        <v>13.321854840740743</v>
      </c>
      <c r="X177" s="9"/>
      <c r="Y177" s="21">
        <v>0.89904799999999996</v>
      </c>
      <c r="Z177" s="21">
        <v>15.7974</v>
      </c>
      <c r="AA177" s="21">
        <v>-1.44592E-2</v>
      </c>
      <c r="AB177" s="21">
        <v>167</v>
      </c>
      <c r="AC177" s="21">
        <v>0.89813200000000004</v>
      </c>
      <c r="AD177">
        <f t="shared" si="28"/>
        <v>17.850864197530864</v>
      </c>
      <c r="AE177">
        <f t="shared" si="29"/>
        <v>16.048783755061727</v>
      </c>
      <c r="AF177" s="9"/>
      <c r="AG177" s="21">
        <v>0.74096700000000004</v>
      </c>
      <c r="AH177" s="21">
        <v>19.495699999999999</v>
      </c>
      <c r="AI177" s="21">
        <v>-1.44867E-2</v>
      </c>
      <c r="AJ177" s="21">
        <v>167</v>
      </c>
      <c r="AK177" s="21">
        <v>0.74032600000000004</v>
      </c>
      <c r="AL177">
        <f t="shared" si="30"/>
        <v>17.884814814814817</v>
      </c>
      <c r="AM177">
        <f t="shared" si="31"/>
        <v>13.252057578888891</v>
      </c>
      <c r="AP177" s="9"/>
      <c r="AQ177" s="21">
        <v>0.89904799999999996</v>
      </c>
      <c r="AR177" s="21">
        <v>24.892600000000002</v>
      </c>
      <c r="AS177" s="21">
        <v>-1.44409E-2</v>
      </c>
      <c r="AT177" s="21">
        <v>167</v>
      </c>
      <c r="AU177" s="21">
        <v>0.89843799999999996</v>
      </c>
      <c r="AV177">
        <f t="shared" si="32"/>
        <v>17.828271604938269</v>
      </c>
      <c r="AW177">
        <f t="shared" si="33"/>
        <v>16.028471929876542</v>
      </c>
      <c r="AX177" s="9"/>
      <c r="AY177" s="21">
        <v>0.74096700000000004</v>
      </c>
      <c r="AZ177" s="21">
        <v>28.591000000000001</v>
      </c>
      <c r="BA177" s="21">
        <v>-1.45294E-2</v>
      </c>
      <c r="BB177" s="21">
        <v>167</v>
      </c>
      <c r="BC177" s="21">
        <v>0.74026499999999995</v>
      </c>
      <c r="BD177">
        <f t="shared" si="34"/>
        <v>17.93753086419753</v>
      </c>
      <c r="BE177">
        <f t="shared" si="35"/>
        <v>13.291118431851853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6.70425</v>
      </c>
      <c r="I178" s="21">
        <v>-1.44958E-2</v>
      </c>
      <c r="J178" s="21">
        <v>168</v>
      </c>
      <c r="K178" s="21">
        <v>0.89324999999999999</v>
      </c>
      <c r="L178">
        <f t="shared" si="24"/>
        <v>17.896049382716047</v>
      </c>
      <c r="M178">
        <f t="shared" si="25"/>
        <v>15.99928290074074</v>
      </c>
      <c r="N178" s="9"/>
      <c r="O178" s="21">
        <v>0.74600200000000005</v>
      </c>
      <c r="P178" s="21">
        <v>10.4026</v>
      </c>
      <c r="Q178" s="21">
        <v>-1.4559900000000001E-2</v>
      </c>
      <c r="R178" s="21">
        <v>168</v>
      </c>
      <c r="S178" s="21">
        <v>0.74529999999999996</v>
      </c>
      <c r="T178">
        <f t="shared" si="26"/>
        <v>17.975185185185186</v>
      </c>
      <c r="U178">
        <f t="shared" si="27"/>
        <v>13.409524098518521</v>
      </c>
      <c r="X178" s="9"/>
      <c r="Y178" s="21">
        <v>0.89401200000000003</v>
      </c>
      <c r="Z178" s="21">
        <v>15.807499999999999</v>
      </c>
      <c r="AA178" s="21">
        <v>-1.4471400000000001E-2</v>
      </c>
      <c r="AB178" s="21">
        <v>168</v>
      </c>
      <c r="AC178" s="21">
        <v>0.89324999999999999</v>
      </c>
      <c r="AD178">
        <f t="shared" si="28"/>
        <v>17.865925925925925</v>
      </c>
      <c r="AE178">
        <f t="shared" si="29"/>
        <v>15.972352168888889</v>
      </c>
      <c r="AF178" s="9"/>
      <c r="AG178" s="21">
        <v>0.74600200000000005</v>
      </c>
      <c r="AH178" s="21">
        <v>19.505800000000001</v>
      </c>
      <c r="AI178" s="21">
        <v>-1.4471400000000001E-2</v>
      </c>
      <c r="AJ178" s="21">
        <v>168</v>
      </c>
      <c r="AK178" s="21">
        <v>0.74533099999999997</v>
      </c>
      <c r="AL178">
        <f t="shared" si="30"/>
        <v>17.865925925925925</v>
      </c>
      <c r="AM178">
        <f t="shared" si="31"/>
        <v>13.328016472592592</v>
      </c>
      <c r="AP178" s="9"/>
      <c r="AQ178" s="21">
        <v>0.89401200000000003</v>
      </c>
      <c r="AR178" s="21">
        <v>24.902699999999999</v>
      </c>
      <c r="AS178" s="21">
        <v>-1.44379E-2</v>
      </c>
      <c r="AT178" s="21">
        <v>168</v>
      </c>
      <c r="AU178" s="21">
        <v>0.89324999999999999</v>
      </c>
      <c r="AV178">
        <f t="shared" si="32"/>
        <v>17.824567901234566</v>
      </c>
      <c r="AW178">
        <f t="shared" si="33"/>
        <v>15.935377598518517</v>
      </c>
      <c r="AX178" s="9"/>
      <c r="AY178" s="21">
        <v>0.74600200000000005</v>
      </c>
      <c r="AZ178" s="21">
        <v>28.600999999999999</v>
      </c>
      <c r="BA178" s="21">
        <v>-1.45325E-2</v>
      </c>
      <c r="BB178" s="21">
        <v>168</v>
      </c>
      <c r="BC178" s="21">
        <v>0.74536100000000005</v>
      </c>
      <c r="BD178">
        <f t="shared" si="34"/>
        <v>17.941358024691358</v>
      </c>
      <c r="BE178">
        <f t="shared" si="35"/>
        <v>13.384288969135802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6.7143199999999998</v>
      </c>
      <c r="I179" s="21">
        <v>-1.44958E-2</v>
      </c>
      <c r="J179" s="21">
        <v>169</v>
      </c>
      <c r="K179" s="21">
        <v>0.88867200000000002</v>
      </c>
      <c r="L179">
        <f t="shared" si="24"/>
        <v>17.896049382716047</v>
      </c>
      <c r="M179">
        <f t="shared" si="25"/>
        <v>15.909176292098763</v>
      </c>
      <c r="N179" s="9"/>
      <c r="O179" s="21">
        <v>0.75103799999999998</v>
      </c>
      <c r="P179" s="21">
        <v>10.412699999999999</v>
      </c>
      <c r="Q179" s="21">
        <v>-1.45477E-2</v>
      </c>
      <c r="R179" s="21">
        <v>169</v>
      </c>
      <c r="S179" s="21">
        <v>0.75027500000000003</v>
      </c>
      <c r="T179">
        <f t="shared" si="26"/>
        <v>17.960123456790122</v>
      </c>
      <c r="U179">
        <f t="shared" si="27"/>
        <v>13.48873520074074</v>
      </c>
      <c r="X179" s="9"/>
      <c r="Y179" s="21">
        <v>0.88897700000000002</v>
      </c>
      <c r="Z179" s="21">
        <v>15.817500000000001</v>
      </c>
      <c r="AA179" s="21">
        <v>-1.4468399999999999E-2</v>
      </c>
      <c r="AB179" s="21">
        <v>169</v>
      </c>
      <c r="AC179" s="21">
        <v>0.88775599999999999</v>
      </c>
      <c r="AD179">
        <f t="shared" si="28"/>
        <v>17.862222222222222</v>
      </c>
      <c r="AE179">
        <f t="shared" si="29"/>
        <v>15.879104724444444</v>
      </c>
      <c r="AF179" s="9"/>
      <c r="AG179" s="21">
        <v>0.75103799999999998</v>
      </c>
      <c r="AH179" s="21">
        <v>19.515899999999998</v>
      </c>
      <c r="AI179" s="21">
        <v>-1.4462300000000001E-2</v>
      </c>
      <c r="AJ179" s="21">
        <v>169</v>
      </c>
      <c r="AK179" s="21">
        <v>0.750305</v>
      </c>
      <c r="AL179">
        <f t="shared" si="30"/>
        <v>17.854691358024692</v>
      </c>
      <c r="AM179">
        <f t="shared" si="31"/>
        <v>13.409551688148149</v>
      </c>
      <c r="AP179" s="9"/>
      <c r="AQ179" s="21">
        <v>0.88897700000000002</v>
      </c>
      <c r="AR179" s="21">
        <v>24.912800000000001</v>
      </c>
      <c r="AS179" s="21">
        <v>-1.4447E-2</v>
      </c>
      <c r="AT179" s="21">
        <v>169</v>
      </c>
      <c r="AU179" s="21">
        <v>0.88806200000000002</v>
      </c>
      <c r="AV179">
        <f t="shared" si="32"/>
        <v>17.8358024691358</v>
      </c>
      <c r="AW179">
        <f t="shared" si="33"/>
        <v>15.855618171604936</v>
      </c>
      <c r="AX179" s="9"/>
      <c r="AY179" s="21">
        <v>0.75103799999999998</v>
      </c>
      <c r="AZ179" s="21">
        <v>28.6111</v>
      </c>
      <c r="BA179" s="21">
        <v>-1.45355E-2</v>
      </c>
      <c r="BB179" s="21">
        <v>169</v>
      </c>
      <c r="BC179" s="21">
        <v>0.750305</v>
      </c>
      <c r="BD179">
        <f t="shared" si="34"/>
        <v>17.945061728395061</v>
      </c>
      <c r="BE179">
        <f t="shared" si="35"/>
        <v>13.47742327037037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6.7243899999999996</v>
      </c>
      <c r="I180" s="21">
        <v>-1.4505000000000001E-2</v>
      </c>
      <c r="J180" s="21">
        <v>170</v>
      </c>
      <c r="K180" s="21">
        <v>0.88317900000000005</v>
      </c>
      <c r="L180">
        <f t="shared" si="24"/>
        <v>17.907407407407408</v>
      </c>
      <c r="M180">
        <f t="shared" si="25"/>
        <v>15.82910951851852</v>
      </c>
      <c r="N180" s="9"/>
      <c r="O180" s="21">
        <v>0.756073</v>
      </c>
      <c r="P180" s="21">
        <v>10.422700000000001</v>
      </c>
      <c r="Q180" s="21">
        <v>-1.4544700000000001E-2</v>
      </c>
      <c r="R180" s="21">
        <v>170</v>
      </c>
      <c r="S180" s="21">
        <v>0.75531000000000004</v>
      </c>
      <c r="T180">
        <f t="shared" si="26"/>
        <v>17.956419753086422</v>
      </c>
      <c r="U180">
        <f t="shared" si="27"/>
        <v>13.57636415197531</v>
      </c>
      <c r="X180" s="9"/>
      <c r="Y180" s="21">
        <v>0.88394200000000001</v>
      </c>
      <c r="Z180" s="21">
        <v>15.8276</v>
      </c>
      <c r="AA180" s="21">
        <v>-1.44806E-2</v>
      </c>
      <c r="AB180" s="21">
        <v>170</v>
      </c>
      <c r="AC180" s="21">
        <v>0.88317900000000005</v>
      </c>
      <c r="AD180">
        <f t="shared" si="28"/>
        <v>17.877283950617283</v>
      </c>
      <c r="AE180">
        <f t="shared" si="29"/>
        <v>15.802482129876543</v>
      </c>
      <c r="AF180" s="9"/>
      <c r="AG180" s="21">
        <v>0.756073</v>
      </c>
      <c r="AH180" s="21">
        <v>19.5259</v>
      </c>
      <c r="AI180" s="21">
        <v>-1.44501E-2</v>
      </c>
      <c r="AJ180" s="21">
        <v>170</v>
      </c>
      <c r="AK180" s="21">
        <v>0.75500500000000004</v>
      </c>
      <c r="AL180">
        <f t="shared" si="30"/>
        <v>17.839629629629631</v>
      </c>
      <c r="AM180">
        <f t="shared" si="31"/>
        <v>13.488062292962963</v>
      </c>
      <c r="AP180" s="9"/>
      <c r="AQ180" s="21">
        <v>0.88394200000000001</v>
      </c>
      <c r="AR180" s="21">
        <v>24.922799999999999</v>
      </c>
      <c r="AS180" s="21">
        <v>-1.4456200000000001E-2</v>
      </c>
      <c r="AT180" s="21">
        <v>170</v>
      </c>
      <c r="AU180" s="21">
        <v>0.88317900000000005</v>
      </c>
      <c r="AV180">
        <f t="shared" si="32"/>
        <v>17.847160493827161</v>
      </c>
      <c r="AW180">
        <f t="shared" si="33"/>
        <v>15.775854741234568</v>
      </c>
      <c r="AX180" s="9"/>
      <c r="AY180" s="21">
        <v>0.756073</v>
      </c>
      <c r="AZ180" s="21">
        <v>28.621200000000002</v>
      </c>
      <c r="BA180" s="21">
        <v>-1.45325E-2</v>
      </c>
      <c r="BB180" s="21">
        <v>170</v>
      </c>
      <c r="BC180" s="21">
        <v>0.75561500000000004</v>
      </c>
      <c r="BD180">
        <f t="shared" si="34"/>
        <v>17.941358024691358</v>
      </c>
      <c r="BE180">
        <f t="shared" si="35"/>
        <v>13.564976385802469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6.7344600000000003</v>
      </c>
      <c r="I181" s="21">
        <v>-1.4511100000000001E-2</v>
      </c>
      <c r="J181" s="21">
        <v>171</v>
      </c>
      <c r="K181" s="21">
        <v>0.87768599999999997</v>
      </c>
      <c r="L181">
        <f t="shared" si="24"/>
        <v>17.914938271604939</v>
      </c>
      <c r="M181">
        <f t="shared" si="25"/>
        <v>15.74554673654321</v>
      </c>
      <c r="N181" s="9"/>
      <c r="O181" s="21">
        <v>0.76110800000000001</v>
      </c>
      <c r="P181" s="21">
        <v>10.4328</v>
      </c>
      <c r="Q181" s="21">
        <v>-1.45294E-2</v>
      </c>
      <c r="R181" s="21">
        <v>171</v>
      </c>
      <c r="S181" s="21">
        <v>0.75988800000000001</v>
      </c>
      <c r="T181">
        <f t="shared" si="26"/>
        <v>17.93753086419753</v>
      </c>
      <c r="U181">
        <f t="shared" si="27"/>
        <v>13.652398240987655</v>
      </c>
      <c r="X181" s="9"/>
      <c r="Y181" s="21">
        <v>0.87890599999999997</v>
      </c>
      <c r="Z181" s="21">
        <v>15.8377</v>
      </c>
      <c r="AA181" s="21">
        <v>-1.44928E-2</v>
      </c>
      <c r="AB181" s="21">
        <v>171</v>
      </c>
      <c r="AC181" s="21">
        <v>0.87768599999999997</v>
      </c>
      <c r="AD181">
        <f t="shared" si="28"/>
        <v>17.892345679012344</v>
      </c>
      <c r="AE181">
        <f t="shared" si="29"/>
        <v>15.725689971358022</v>
      </c>
      <c r="AF181" s="9"/>
      <c r="AG181" s="21">
        <v>0.76110800000000001</v>
      </c>
      <c r="AH181" s="21">
        <v>19.536000000000001</v>
      </c>
      <c r="AI181" s="21">
        <v>-1.44379E-2</v>
      </c>
      <c r="AJ181" s="21">
        <v>171</v>
      </c>
      <c r="AK181" s="21">
        <v>0.75988800000000001</v>
      </c>
      <c r="AL181">
        <f t="shared" si="30"/>
        <v>17.824567901234566</v>
      </c>
      <c r="AM181">
        <f t="shared" si="31"/>
        <v>13.566421226172839</v>
      </c>
      <c r="AP181" s="9"/>
      <c r="AQ181" s="21">
        <v>0.87890599999999997</v>
      </c>
      <c r="AR181" s="21">
        <v>24.9329</v>
      </c>
      <c r="AS181" s="21">
        <v>-1.44653E-2</v>
      </c>
      <c r="AT181" s="21">
        <v>171</v>
      </c>
      <c r="AU181" s="21">
        <v>0.87799099999999997</v>
      </c>
      <c r="AV181">
        <f t="shared" si="32"/>
        <v>17.858395061728395</v>
      </c>
      <c r="AW181">
        <f t="shared" si="33"/>
        <v>15.695850570123456</v>
      </c>
      <c r="AX181" s="9"/>
      <c r="AY181" s="21">
        <v>0.76110800000000001</v>
      </c>
      <c r="AZ181" s="21">
        <v>28.6312</v>
      </c>
      <c r="BA181" s="21">
        <v>-1.4517199999999999E-2</v>
      </c>
      <c r="BB181" s="21">
        <v>171</v>
      </c>
      <c r="BC181" s="21">
        <v>0.76019300000000001</v>
      </c>
      <c r="BD181">
        <f t="shared" si="34"/>
        <v>17.922469135802466</v>
      </c>
      <c r="BE181">
        <f t="shared" si="35"/>
        <v>13.640934639012343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6.7445300000000001</v>
      </c>
      <c r="I182" s="21">
        <v>-1.45142E-2</v>
      </c>
      <c r="J182" s="21">
        <v>172</v>
      </c>
      <c r="K182" s="21">
        <v>0.873108</v>
      </c>
      <c r="L182">
        <f t="shared" si="24"/>
        <v>17.918765432098763</v>
      </c>
      <c r="M182">
        <f t="shared" si="25"/>
        <v>15.658689466913577</v>
      </c>
      <c r="N182" s="9"/>
      <c r="O182" s="21">
        <v>0.76614400000000005</v>
      </c>
      <c r="P182" s="21">
        <v>10.4429</v>
      </c>
      <c r="Q182" s="21">
        <v>-1.45264E-2</v>
      </c>
      <c r="R182" s="21">
        <v>172</v>
      </c>
      <c r="S182" s="21">
        <v>0.76507599999999998</v>
      </c>
      <c r="T182">
        <f t="shared" si="26"/>
        <v>17.933827160493827</v>
      </c>
      <c r="U182">
        <f t="shared" si="27"/>
        <v>13.739894076049383</v>
      </c>
      <c r="X182" s="9"/>
      <c r="Y182" s="21">
        <v>0.87387099999999995</v>
      </c>
      <c r="Z182" s="21">
        <v>15.8477</v>
      </c>
      <c r="AA182" s="21">
        <v>-1.45142E-2</v>
      </c>
      <c r="AB182" s="21">
        <v>172</v>
      </c>
      <c r="AC182" s="21">
        <v>0.872803</v>
      </c>
      <c r="AD182">
        <f t="shared" si="28"/>
        <v>17.918765432098763</v>
      </c>
      <c r="AE182">
        <f t="shared" si="29"/>
        <v>15.658689466913577</v>
      </c>
      <c r="AF182" s="9"/>
      <c r="AG182" s="21">
        <v>0.76614400000000005</v>
      </c>
      <c r="AH182" s="21">
        <v>19.546099999999999</v>
      </c>
      <c r="AI182" s="21">
        <v>-1.44409E-2</v>
      </c>
      <c r="AJ182" s="21">
        <v>172</v>
      </c>
      <c r="AK182" s="21">
        <v>0.76507599999999998</v>
      </c>
      <c r="AL182">
        <f t="shared" si="30"/>
        <v>17.828271604938269</v>
      </c>
      <c r="AM182">
        <f t="shared" si="31"/>
        <v>13.659023320493827</v>
      </c>
      <c r="AP182" s="9"/>
      <c r="AQ182" s="21">
        <v>0.87387099999999995</v>
      </c>
      <c r="AR182" s="21">
        <v>24.943000000000001</v>
      </c>
      <c r="AS182" s="21">
        <v>-1.4468399999999999E-2</v>
      </c>
      <c r="AT182" s="21">
        <v>172</v>
      </c>
      <c r="AU182" s="21">
        <v>0.873108</v>
      </c>
      <c r="AV182">
        <f t="shared" si="32"/>
        <v>17.862222222222222</v>
      </c>
      <c r="AW182">
        <f t="shared" si="33"/>
        <v>15.609277995555555</v>
      </c>
      <c r="AX182" s="9"/>
      <c r="AY182" s="21">
        <v>0.76614400000000005</v>
      </c>
      <c r="AZ182" s="21">
        <v>28.641300000000001</v>
      </c>
      <c r="BA182" s="21">
        <v>-1.45142E-2</v>
      </c>
      <c r="BB182" s="21">
        <v>172</v>
      </c>
      <c r="BC182" s="21">
        <v>0.76477099999999998</v>
      </c>
      <c r="BD182">
        <f t="shared" si="34"/>
        <v>17.918765432098763</v>
      </c>
      <c r="BE182">
        <f t="shared" si="35"/>
        <v>13.728354623209876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6.7545999999999999</v>
      </c>
      <c r="I183" s="21">
        <v>-1.45142E-2</v>
      </c>
      <c r="J183" s="21">
        <v>173</v>
      </c>
      <c r="K183" s="21">
        <v>0.86792000000000002</v>
      </c>
      <c r="L183">
        <f t="shared" si="24"/>
        <v>17.918765432098763</v>
      </c>
      <c r="M183">
        <f t="shared" si="25"/>
        <v>15.568450564197528</v>
      </c>
      <c r="N183" s="9"/>
      <c r="O183" s="21">
        <v>0.77117899999999995</v>
      </c>
      <c r="P183" s="21">
        <v>10.4529</v>
      </c>
      <c r="Q183" s="21">
        <v>-1.4523299999999999E-2</v>
      </c>
      <c r="R183" s="21">
        <v>173</v>
      </c>
      <c r="S183" s="21">
        <v>0.77056899999999995</v>
      </c>
      <c r="T183">
        <f t="shared" si="26"/>
        <v>17.93</v>
      </c>
      <c r="U183">
        <f t="shared" si="27"/>
        <v>13.827239469999999</v>
      </c>
      <c r="X183" s="9"/>
      <c r="Y183" s="21">
        <v>0.86883500000000002</v>
      </c>
      <c r="Z183" s="21">
        <v>15.857799999999999</v>
      </c>
      <c r="AA183" s="21">
        <v>-1.4523299999999999E-2</v>
      </c>
      <c r="AB183" s="21">
        <v>173</v>
      </c>
      <c r="AC183" s="21">
        <v>0.86792000000000002</v>
      </c>
      <c r="AD183">
        <f t="shared" si="28"/>
        <v>17.93</v>
      </c>
      <c r="AE183">
        <f t="shared" si="29"/>
        <v>15.578211550000001</v>
      </c>
      <c r="AF183" s="9"/>
      <c r="AG183" s="21">
        <v>0.77117899999999995</v>
      </c>
      <c r="AH183" s="21">
        <v>19.5562</v>
      </c>
      <c r="AI183" s="21">
        <v>-1.44501E-2</v>
      </c>
      <c r="AJ183" s="21">
        <v>173</v>
      </c>
      <c r="AK183" s="21">
        <v>0.76995800000000003</v>
      </c>
      <c r="AL183">
        <f t="shared" si="30"/>
        <v>17.839629629629631</v>
      </c>
      <c r="AM183">
        <f t="shared" si="31"/>
        <v>13.757547738148148</v>
      </c>
      <c r="AP183" s="9"/>
      <c r="AQ183" s="21">
        <v>0.86883500000000002</v>
      </c>
      <c r="AR183" s="21">
        <v>24.952999999999999</v>
      </c>
      <c r="AS183" s="21">
        <v>-1.44867E-2</v>
      </c>
      <c r="AT183" s="21">
        <v>173</v>
      </c>
      <c r="AU183" s="21">
        <v>0.86822500000000002</v>
      </c>
      <c r="AV183">
        <f t="shared" si="32"/>
        <v>17.884814814814817</v>
      </c>
      <c r="AW183">
        <f t="shared" si="33"/>
        <v>15.538953079629632</v>
      </c>
      <c r="AX183" s="9"/>
      <c r="AY183" s="21">
        <v>0.77117899999999995</v>
      </c>
      <c r="AZ183" s="21">
        <v>28.651399999999999</v>
      </c>
      <c r="BA183" s="21">
        <v>-1.44958E-2</v>
      </c>
      <c r="BB183" s="21">
        <v>173</v>
      </c>
      <c r="BC183" s="21">
        <v>0.77026399999999995</v>
      </c>
      <c r="BD183">
        <f t="shared" si="34"/>
        <v>17.896049382716047</v>
      </c>
      <c r="BE183">
        <f t="shared" si="35"/>
        <v>13.801057466913578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6.7646699999999997</v>
      </c>
      <c r="I184" s="21">
        <v>-1.45203E-2</v>
      </c>
      <c r="J184" s="21">
        <v>174</v>
      </c>
      <c r="K184" s="21">
        <v>0.86303700000000005</v>
      </c>
      <c r="L184">
        <f t="shared" si="24"/>
        <v>17.926296296296293</v>
      </c>
      <c r="M184">
        <f t="shared" si="25"/>
        <v>15.484734740740738</v>
      </c>
      <c r="N184" s="9"/>
      <c r="O184" s="21">
        <v>0.77621499999999999</v>
      </c>
      <c r="P184" s="21">
        <v>10.462999999999999</v>
      </c>
      <c r="Q184" s="21">
        <v>-1.45264E-2</v>
      </c>
      <c r="R184" s="21">
        <v>174</v>
      </c>
      <c r="S184" s="21">
        <v>0.775146</v>
      </c>
      <c r="T184">
        <f t="shared" si="26"/>
        <v>17.933827160493827</v>
      </c>
      <c r="U184">
        <f t="shared" si="27"/>
        <v>13.920505649382715</v>
      </c>
      <c r="X184" s="9"/>
      <c r="Y184" s="21">
        <v>0.86380000000000001</v>
      </c>
      <c r="Z184" s="21">
        <v>15.867900000000001</v>
      </c>
      <c r="AA184" s="21">
        <v>-1.45264E-2</v>
      </c>
      <c r="AB184" s="21">
        <v>174</v>
      </c>
      <c r="AC184" s="21">
        <v>0.86303700000000005</v>
      </c>
      <c r="AD184">
        <f t="shared" si="28"/>
        <v>17.933827160493827</v>
      </c>
      <c r="AE184">
        <f t="shared" si="29"/>
        <v>15.491239901234568</v>
      </c>
      <c r="AF184" s="9"/>
      <c r="AG184" s="21">
        <v>0.77621499999999999</v>
      </c>
      <c r="AH184" s="21">
        <v>19.566199999999998</v>
      </c>
      <c r="AI184" s="21">
        <v>-1.44592E-2</v>
      </c>
      <c r="AJ184" s="21">
        <v>174</v>
      </c>
      <c r="AK184" s="21">
        <v>0.774841</v>
      </c>
      <c r="AL184">
        <f t="shared" si="30"/>
        <v>17.850864197530864</v>
      </c>
      <c r="AM184">
        <f t="shared" si="31"/>
        <v>13.85610855308642</v>
      </c>
      <c r="AP184" s="9"/>
      <c r="AQ184" s="21">
        <v>0.86380000000000001</v>
      </c>
      <c r="AR184" s="21">
        <v>24.963100000000001</v>
      </c>
      <c r="AS184" s="21">
        <v>-1.44928E-2</v>
      </c>
      <c r="AT184" s="21">
        <v>174</v>
      </c>
      <c r="AU184" s="21">
        <v>0.86303700000000005</v>
      </c>
      <c r="AV184">
        <f t="shared" si="32"/>
        <v>17.892345679012344</v>
      </c>
      <c r="AW184">
        <f t="shared" si="33"/>
        <v>15.455408197530863</v>
      </c>
      <c r="AX184" s="9"/>
      <c r="AY184" s="21">
        <v>0.77621499999999999</v>
      </c>
      <c r="AZ184" s="21">
        <v>28.6615</v>
      </c>
      <c r="BA184" s="21">
        <v>-1.44928E-2</v>
      </c>
      <c r="BB184" s="21">
        <v>174</v>
      </c>
      <c r="BC184" s="21">
        <v>0.77575700000000003</v>
      </c>
      <c r="BD184">
        <f t="shared" si="34"/>
        <v>17.892345679012344</v>
      </c>
      <c r="BE184">
        <f t="shared" si="35"/>
        <v>13.888307101234567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6.7747400000000004</v>
      </c>
      <c r="I185" s="21">
        <v>-1.45294E-2</v>
      </c>
      <c r="J185" s="21">
        <v>175</v>
      </c>
      <c r="K185" s="21">
        <v>0.85784899999999997</v>
      </c>
      <c r="L185">
        <f t="shared" si="24"/>
        <v>17.93753086419753</v>
      </c>
      <c r="M185">
        <f t="shared" si="25"/>
        <v>15.404123692592592</v>
      </c>
      <c r="N185" s="9"/>
      <c r="O185" s="21">
        <v>0.78125</v>
      </c>
      <c r="P185" s="21">
        <v>10.473100000000001</v>
      </c>
      <c r="Q185" s="21">
        <v>-1.45386E-2</v>
      </c>
      <c r="R185" s="21">
        <v>175</v>
      </c>
      <c r="S185" s="21">
        <v>0.780945</v>
      </c>
      <c r="T185">
        <f t="shared" si="26"/>
        <v>17.948888888888888</v>
      </c>
      <c r="U185">
        <f t="shared" si="27"/>
        <v>14.022569444444443</v>
      </c>
      <c r="X185" s="9"/>
      <c r="Y185" s="21">
        <v>0.858765</v>
      </c>
      <c r="Z185" s="21">
        <v>15.878</v>
      </c>
      <c r="AA185" s="21">
        <v>-1.45294E-2</v>
      </c>
      <c r="AB185" s="21">
        <v>175</v>
      </c>
      <c r="AC185" s="21">
        <v>0.85845899999999997</v>
      </c>
      <c r="AD185">
        <f t="shared" si="28"/>
        <v>17.93753086419753</v>
      </c>
      <c r="AE185">
        <f t="shared" si="29"/>
        <v>15.404123692592592</v>
      </c>
      <c r="AF185" s="9"/>
      <c r="AG185" s="21">
        <v>0.78125</v>
      </c>
      <c r="AH185" s="21">
        <v>19.5763</v>
      </c>
      <c r="AI185" s="21">
        <v>-1.44653E-2</v>
      </c>
      <c r="AJ185" s="21">
        <v>175</v>
      </c>
      <c r="AK185" s="21">
        <v>0.78002899999999997</v>
      </c>
      <c r="AL185">
        <f t="shared" si="30"/>
        <v>17.858395061728395</v>
      </c>
      <c r="AM185">
        <f t="shared" si="31"/>
        <v>13.951871141975309</v>
      </c>
      <c r="AP185" s="9"/>
      <c r="AQ185" s="21">
        <v>0.858765</v>
      </c>
      <c r="AR185" s="21">
        <v>24.973199999999999</v>
      </c>
      <c r="AS185" s="21">
        <v>-1.44958E-2</v>
      </c>
      <c r="AT185" s="21">
        <v>175</v>
      </c>
      <c r="AU185" s="21">
        <v>0.85784899999999997</v>
      </c>
      <c r="AV185">
        <f t="shared" si="32"/>
        <v>17.896049382716047</v>
      </c>
      <c r="AW185">
        <f t="shared" si="33"/>
        <v>15.368500848148146</v>
      </c>
      <c r="AX185" s="9"/>
      <c r="AY185" s="21">
        <v>0.78125</v>
      </c>
      <c r="AZ185" s="21">
        <v>28.671500000000002</v>
      </c>
      <c r="BA185" s="21">
        <v>-1.44867E-2</v>
      </c>
      <c r="BB185" s="21">
        <v>175</v>
      </c>
      <c r="BC185" s="21">
        <v>0.78033399999999997</v>
      </c>
      <c r="BD185">
        <f t="shared" si="34"/>
        <v>17.884814814814817</v>
      </c>
      <c r="BE185">
        <f t="shared" si="35"/>
        <v>13.972511574074076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6.7848199999999999</v>
      </c>
      <c r="I186" s="21">
        <v>-1.45355E-2</v>
      </c>
      <c r="J186" s="21">
        <v>176</v>
      </c>
      <c r="K186" s="21">
        <v>0.852966</v>
      </c>
      <c r="L186">
        <f t="shared" si="24"/>
        <v>17.945061728395061</v>
      </c>
      <c r="M186">
        <f t="shared" si="25"/>
        <v>15.320219604320986</v>
      </c>
      <c r="N186" s="9"/>
      <c r="O186" s="21">
        <v>0.78628500000000001</v>
      </c>
      <c r="P186" s="21">
        <v>10.4832</v>
      </c>
      <c r="Q186" s="21">
        <v>-1.45477E-2</v>
      </c>
      <c r="R186" s="21">
        <v>176</v>
      </c>
      <c r="S186" s="21">
        <v>0.78521700000000005</v>
      </c>
      <c r="T186">
        <f t="shared" si="26"/>
        <v>17.960123456790122</v>
      </c>
      <c r="U186">
        <f t="shared" si="27"/>
        <v>14.121775672222221</v>
      </c>
      <c r="X186" s="9"/>
      <c r="Y186" s="21">
        <v>0.85372899999999996</v>
      </c>
      <c r="Z186" s="21">
        <v>15.888</v>
      </c>
      <c r="AA186" s="21">
        <v>-1.45325E-2</v>
      </c>
      <c r="AB186" s="21">
        <v>176</v>
      </c>
      <c r="AC186" s="21">
        <v>0.852661</v>
      </c>
      <c r="AD186">
        <f t="shared" si="28"/>
        <v>17.941358024691358</v>
      </c>
      <c r="AE186">
        <f t="shared" si="29"/>
        <v>15.317057645061727</v>
      </c>
      <c r="AF186" s="9"/>
      <c r="AG186" s="21">
        <v>0.78628500000000001</v>
      </c>
      <c r="AH186" s="21">
        <v>19.586400000000001</v>
      </c>
      <c r="AI186" s="21">
        <v>-1.44653E-2</v>
      </c>
      <c r="AJ186" s="21">
        <v>176</v>
      </c>
      <c r="AK186" s="21">
        <v>0.78521700000000005</v>
      </c>
      <c r="AL186">
        <f t="shared" si="30"/>
        <v>17.858395061728395</v>
      </c>
      <c r="AM186">
        <f t="shared" si="31"/>
        <v>14.041788161111111</v>
      </c>
      <c r="AP186" s="9"/>
      <c r="AQ186" s="21">
        <v>0.85372899999999996</v>
      </c>
      <c r="AR186" s="21">
        <v>24.9833</v>
      </c>
      <c r="AS186" s="21">
        <v>-1.44958E-2</v>
      </c>
      <c r="AT186" s="21">
        <v>176</v>
      </c>
      <c r="AU186" s="21">
        <v>0.853271</v>
      </c>
      <c r="AV186">
        <f t="shared" si="32"/>
        <v>17.896049382716047</v>
      </c>
      <c r="AW186">
        <f t="shared" si="33"/>
        <v>15.278376343456788</v>
      </c>
      <c r="AX186" s="9"/>
      <c r="AY186" s="21">
        <v>0.78628500000000001</v>
      </c>
      <c r="AZ186" s="21">
        <v>28.6816</v>
      </c>
      <c r="BA186" s="21">
        <v>-1.4483599999999999E-2</v>
      </c>
      <c r="BB186" s="21">
        <v>176</v>
      </c>
      <c r="BC186" s="21">
        <v>0.78491200000000005</v>
      </c>
      <c r="BD186">
        <f t="shared" si="34"/>
        <v>17.880987654320986</v>
      </c>
      <c r="BE186">
        <f t="shared" si="35"/>
        <v>14.059552377777777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6.7948899999999997</v>
      </c>
      <c r="I187" s="21">
        <v>-1.45355E-2</v>
      </c>
      <c r="J187" s="21">
        <v>177</v>
      </c>
      <c r="K187" s="21">
        <v>0.84808300000000003</v>
      </c>
      <c r="L187">
        <f t="shared" si="24"/>
        <v>17.945061728395061</v>
      </c>
      <c r="M187">
        <f t="shared" si="25"/>
        <v>15.229866218518517</v>
      </c>
      <c r="N187" s="9"/>
      <c r="O187" s="21">
        <v>0.79132100000000005</v>
      </c>
      <c r="P187" s="21">
        <v>10.4932</v>
      </c>
      <c r="Q187" s="21">
        <v>-1.4563E-2</v>
      </c>
      <c r="R187" s="21">
        <v>177</v>
      </c>
      <c r="S187" s="21">
        <v>0.79071000000000002</v>
      </c>
      <c r="T187">
        <f t="shared" si="26"/>
        <v>17.979012345679013</v>
      </c>
      <c r="U187">
        <f t="shared" si="27"/>
        <v>14.227170028395063</v>
      </c>
      <c r="X187" s="9"/>
      <c r="Y187" s="21">
        <v>0.84869399999999995</v>
      </c>
      <c r="Z187" s="21">
        <v>15.898099999999999</v>
      </c>
      <c r="AA187" s="21">
        <v>-1.45355E-2</v>
      </c>
      <c r="AB187" s="21">
        <v>177</v>
      </c>
      <c r="AC187" s="21">
        <v>0.84808300000000003</v>
      </c>
      <c r="AD187">
        <f t="shared" si="28"/>
        <v>17.945061728395061</v>
      </c>
      <c r="AE187">
        <f t="shared" si="29"/>
        <v>15.229866218518517</v>
      </c>
      <c r="AF187" s="9"/>
      <c r="AG187" s="21">
        <v>0.79132100000000005</v>
      </c>
      <c r="AH187" s="21">
        <v>19.596399999999999</v>
      </c>
      <c r="AI187" s="21">
        <v>-1.4456200000000001E-2</v>
      </c>
      <c r="AJ187" s="21">
        <v>177</v>
      </c>
      <c r="AK187" s="21">
        <v>0.79071000000000002</v>
      </c>
      <c r="AL187">
        <f t="shared" si="30"/>
        <v>17.847160493827161</v>
      </c>
      <c r="AM187">
        <f t="shared" si="31"/>
        <v>14.122832889135804</v>
      </c>
      <c r="AP187" s="9"/>
      <c r="AQ187" s="21">
        <v>0.84869399999999995</v>
      </c>
      <c r="AR187" s="21">
        <v>24.993300000000001</v>
      </c>
      <c r="AS187" s="21">
        <v>-1.4505000000000001E-2</v>
      </c>
      <c r="AT187" s="21">
        <v>177</v>
      </c>
      <c r="AU187" s="21">
        <v>0.84808300000000003</v>
      </c>
      <c r="AV187">
        <f t="shared" si="32"/>
        <v>17.907407407407408</v>
      </c>
      <c r="AW187">
        <f t="shared" si="33"/>
        <v>15.197909222222222</v>
      </c>
      <c r="AX187" s="9"/>
      <c r="AY187" s="21">
        <v>0.79132100000000005</v>
      </c>
      <c r="AZ187" s="21">
        <v>28.691700000000001</v>
      </c>
      <c r="BA187" s="21">
        <v>-1.4477500000000001E-2</v>
      </c>
      <c r="BB187" s="21">
        <v>177</v>
      </c>
      <c r="BC187" s="21">
        <v>0.79040500000000002</v>
      </c>
      <c r="BD187">
        <f t="shared" si="34"/>
        <v>17.873456790123456</v>
      </c>
      <c r="BE187">
        <f t="shared" si="35"/>
        <v>14.143641700617284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6.8049600000000003</v>
      </c>
      <c r="I188" s="21">
        <v>-1.45477E-2</v>
      </c>
      <c r="J188" s="21">
        <v>178</v>
      </c>
      <c r="K188" s="21">
        <v>0.84289599999999998</v>
      </c>
      <c r="L188">
        <f t="shared" si="24"/>
        <v>17.960123456790122</v>
      </c>
      <c r="M188">
        <f t="shared" si="25"/>
        <v>15.15220183530864</v>
      </c>
      <c r="N188" s="9"/>
      <c r="O188" s="21">
        <v>0.79635599999999995</v>
      </c>
      <c r="P188" s="21">
        <v>10.503299999999999</v>
      </c>
      <c r="Q188" s="21">
        <v>-1.45752E-2</v>
      </c>
      <c r="R188" s="21">
        <v>178</v>
      </c>
      <c r="S188" s="21">
        <v>0.79589799999999999</v>
      </c>
      <c r="T188">
        <f t="shared" si="26"/>
        <v>17.994074074074071</v>
      </c>
      <c r="U188">
        <f t="shared" si="27"/>
        <v>14.32968885333333</v>
      </c>
      <c r="X188" s="9"/>
      <c r="Y188" s="21">
        <v>0.84365800000000002</v>
      </c>
      <c r="Z188" s="21">
        <v>15.908200000000001</v>
      </c>
      <c r="AA188" s="21">
        <v>-1.45355E-2</v>
      </c>
      <c r="AB188" s="21">
        <v>178</v>
      </c>
      <c r="AC188" s="21">
        <v>0.84258999999999995</v>
      </c>
      <c r="AD188">
        <f t="shared" si="28"/>
        <v>17.945061728395061</v>
      </c>
      <c r="AE188">
        <f t="shared" si="29"/>
        <v>15.139494887654321</v>
      </c>
      <c r="AF188" s="9"/>
      <c r="AG188" s="21">
        <v>0.79635599999999995</v>
      </c>
      <c r="AH188" s="21">
        <v>19.6065</v>
      </c>
      <c r="AI188" s="21">
        <v>-1.44501E-2</v>
      </c>
      <c r="AJ188" s="21">
        <v>178</v>
      </c>
      <c r="AK188" s="21">
        <v>0.79528799999999999</v>
      </c>
      <c r="AL188">
        <f t="shared" si="30"/>
        <v>17.839629629629631</v>
      </c>
      <c r="AM188">
        <f t="shared" si="31"/>
        <v>14.206696093333333</v>
      </c>
      <c r="AP188" s="9"/>
      <c r="AQ188" s="21">
        <v>0.84365800000000002</v>
      </c>
      <c r="AR188" s="21">
        <v>25.003399999999999</v>
      </c>
      <c r="AS188" s="21">
        <v>-1.4511100000000001E-2</v>
      </c>
      <c r="AT188" s="21">
        <v>178</v>
      </c>
      <c r="AU188" s="21">
        <v>0.84258999999999995</v>
      </c>
      <c r="AV188">
        <f t="shared" si="32"/>
        <v>17.914938271604939</v>
      </c>
      <c r="AW188">
        <f t="shared" si="33"/>
        <v>15.114080992345679</v>
      </c>
      <c r="AX188" s="9"/>
      <c r="AY188" s="21">
        <v>0.79635599999999995</v>
      </c>
      <c r="AZ188" s="21">
        <v>28.701699999999999</v>
      </c>
      <c r="BA188" s="21">
        <v>-1.44745E-2</v>
      </c>
      <c r="BB188" s="21">
        <v>178</v>
      </c>
      <c r="BC188" s="21">
        <v>0.79559299999999999</v>
      </c>
      <c r="BD188">
        <f t="shared" si="34"/>
        <v>17.869753086419752</v>
      </c>
      <c r="BE188">
        <f t="shared" si="35"/>
        <v>14.230685088888887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6.8150300000000001</v>
      </c>
      <c r="I189" s="21">
        <v>-1.45538E-2</v>
      </c>
      <c r="J189" s="21">
        <v>179</v>
      </c>
      <c r="K189" s="21">
        <v>0.83801300000000001</v>
      </c>
      <c r="L189">
        <f t="shared" si="24"/>
        <v>17.967654320987652</v>
      </c>
      <c r="M189">
        <f t="shared" si="25"/>
        <v>15.068088169629627</v>
      </c>
      <c r="N189" s="9"/>
      <c r="O189" s="21">
        <v>0.80139199999999999</v>
      </c>
      <c r="P189" s="21">
        <v>10.513400000000001</v>
      </c>
      <c r="Q189" s="21">
        <v>-1.4566000000000001E-2</v>
      </c>
      <c r="R189" s="21">
        <v>179</v>
      </c>
      <c r="S189" s="21">
        <v>0.80017099999999997</v>
      </c>
      <c r="T189">
        <f t="shared" si="26"/>
        <v>17.982716049382717</v>
      </c>
      <c r="U189">
        <f t="shared" si="27"/>
        <v>14.411204780246914</v>
      </c>
      <c r="X189" s="9"/>
      <c r="Y189" s="21">
        <v>0.83862300000000001</v>
      </c>
      <c r="Z189" s="21">
        <v>15.918200000000001</v>
      </c>
      <c r="AA189" s="21">
        <v>-1.45355E-2</v>
      </c>
      <c r="AB189" s="21">
        <v>179</v>
      </c>
      <c r="AC189" s="21">
        <v>0.83770800000000001</v>
      </c>
      <c r="AD189">
        <f t="shared" si="28"/>
        <v>17.945061728395061</v>
      </c>
      <c r="AE189">
        <f t="shared" si="29"/>
        <v>15.049141501851851</v>
      </c>
      <c r="AF189" s="9"/>
      <c r="AG189" s="21">
        <v>0.80139199999999999</v>
      </c>
      <c r="AH189" s="21">
        <v>19.616599999999998</v>
      </c>
      <c r="AI189" s="21">
        <v>-1.4444E-2</v>
      </c>
      <c r="AJ189" s="21">
        <v>179</v>
      </c>
      <c r="AK189" s="21">
        <v>0.80078099999999997</v>
      </c>
      <c r="AL189">
        <f t="shared" si="30"/>
        <v>17.832098765432097</v>
      </c>
      <c r="AM189">
        <f t="shared" si="31"/>
        <v>14.290501293827159</v>
      </c>
      <c r="AP189" s="9"/>
      <c r="AQ189" s="21">
        <v>0.83862300000000001</v>
      </c>
      <c r="AR189" s="21">
        <v>25.013500000000001</v>
      </c>
      <c r="AS189" s="21">
        <v>-1.4523299999999999E-2</v>
      </c>
      <c r="AT189" s="21">
        <v>179</v>
      </c>
      <c r="AU189" s="21">
        <v>0.83770800000000001</v>
      </c>
      <c r="AV189">
        <f t="shared" si="32"/>
        <v>17.93</v>
      </c>
      <c r="AW189">
        <f t="shared" si="33"/>
        <v>15.03651039</v>
      </c>
      <c r="AX189" s="9"/>
      <c r="AY189" s="21">
        <v>0.80139199999999999</v>
      </c>
      <c r="AZ189" s="21">
        <v>28.7118</v>
      </c>
      <c r="BA189" s="21">
        <v>-1.44745E-2</v>
      </c>
      <c r="BB189" s="21">
        <v>179</v>
      </c>
      <c r="BC189" s="21">
        <v>0.80047599999999997</v>
      </c>
      <c r="BD189">
        <f t="shared" si="34"/>
        <v>17.869753086419752</v>
      </c>
      <c r="BE189">
        <f t="shared" si="35"/>
        <v>14.320677165432098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6.8250999999999999</v>
      </c>
      <c r="I190" s="21">
        <v>-1.4556899999999999E-2</v>
      </c>
      <c r="J190" s="21">
        <v>180</v>
      </c>
      <c r="K190" s="21">
        <v>0.83282500000000004</v>
      </c>
      <c r="L190">
        <f t="shared" si="24"/>
        <v>17.971481481481479</v>
      </c>
      <c r="M190">
        <f t="shared" si="25"/>
        <v>14.980811305185183</v>
      </c>
      <c r="N190" s="9"/>
      <c r="O190" s="21">
        <v>0.806427</v>
      </c>
      <c r="P190" s="21">
        <v>10.523400000000001</v>
      </c>
      <c r="Q190" s="21">
        <v>-1.4563E-2</v>
      </c>
      <c r="R190" s="21">
        <v>180</v>
      </c>
      <c r="S190" s="21">
        <v>0.80627400000000005</v>
      </c>
      <c r="T190">
        <f t="shared" si="26"/>
        <v>17.979012345679013</v>
      </c>
      <c r="U190">
        <f t="shared" si="27"/>
        <v>14.49876098888889</v>
      </c>
      <c r="X190" s="9"/>
      <c r="Y190" s="21">
        <v>0.833588</v>
      </c>
      <c r="Z190" s="21">
        <v>15.9283</v>
      </c>
      <c r="AA190" s="21">
        <v>-1.45325E-2</v>
      </c>
      <c r="AB190" s="21">
        <v>180</v>
      </c>
      <c r="AC190" s="21">
        <v>0.83221400000000001</v>
      </c>
      <c r="AD190">
        <f t="shared" si="28"/>
        <v>17.941358024691358</v>
      </c>
      <c r="AE190">
        <f t="shared" si="29"/>
        <v>14.95570075308642</v>
      </c>
      <c r="AF190" s="9"/>
      <c r="AG190" s="21">
        <v>0.806427</v>
      </c>
      <c r="AH190" s="21">
        <v>19.6267</v>
      </c>
      <c r="AI190" s="21">
        <v>-1.4447E-2</v>
      </c>
      <c r="AJ190" s="21">
        <v>180</v>
      </c>
      <c r="AK190" s="21">
        <v>0.80596900000000005</v>
      </c>
      <c r="AL190">
        <f t="shared" si="30"/>
        <v>17.8358024691358</v>
      </c>
      <c r="AM190">
        <f t="shared" si="31"/>
        <v>14.383272677777775</v>
      </c>
      <c r="AP190" s="9"/>
      <c r="AQ190" s="21">
        <v>0.833588</v>
      </c>
      <c r="AR190" s="21">
        <v>25.023499999999999</v>
      </c>
      <c r="AS190" s="21">
        <v>-1.45203E-2</v>
      </c>
      <c r="AT190" s="21">
        <v>180</v>
      </c>
      <c r="AU190" s="21">
        <v>0.83313000000000004</v>
      </c>
      <c r="AV190">
        <f t="shared" si="32"/>
        <v>17.926296296296293</v>
      </c>
      <c r="AW190">
        <f t="shared" si="33"/>
        <v>14.943145477037035</v>
      </c>
      <c r="AX190" s="9"/>
      <c r="AY190" s="21">
        <v>0.806427</v>
      </c>
      <c r="AZ190" s="21">
        <v>28.721900000000002</v>
      </c>
      <c r="BA190" s="21">
        <v>-1.44745E-2</v>
      </c>
      <c r="BB190" s="21">
        <v>180</v>
      </c>
      <c r="BC190" s="21">
        <v>0.80566400000000005</v>
      </c>
      <c r="BD190">
        <f t="shared" si="34"/>
        <v>17.869753086419752</v>
      </c>
      <c r="BE190">
        <f t="shared" si="35"/>
        <v>14.410651372222222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6.8351699999999997</v>
      </c>
      <c r="I191" s="21">
        <v>-1.4556899999999999E-2</v>
      </c>
      <c r="J191" s="21">
        <v>181</v>
      </c>
      <c r="K191" s="21">
        <v>0.82733199999999996</v>
      </c>
      <c r="L191">
        <f t="shared" si="24"/>
        <v>17.971481481481479</v>
      </c>
      <c r="M191">
        <f t="shared" si="25"/>
        <v>14.890306924444442</v>
      </c>
      <c r="N191" s="9"/>
      <c r="O191" s="21">
        <v>0.81146200000000002</v>
      </c>
      <c r="P191" s="21">
        <v>10.5335</v>
      </c>
      <c r="Q191" s="21">
        <v>-1.4556899999999999E-2</v>
      </c>
      <c r="R191" s="21">
        <v>181</v>
      </c>
      <c r="S191" s="21">
        <v>0.81085200000000002</v>
      </c>
      <c r="T191">
        <f t="shared" si="26"/>
        <v>17.971481481481479</v>
      </c>
      <c r="U191">
        <f t="shared" si="27"/>
        <v>14.583174305925924</v>
      </c>
      <c r="X191" s="9"/>
      <c r="Y191" s="21">
        <v>0.82855199999999996</v>
      </c>
      <c r="Z191" s="21">
        <v>15.9384</v>
      </c>
      <c r="AA191" s="21">
        <v>-1.45416E-2</v>
      </c>
      <c r="AB191" s="21">
        <v>181</v>
      </c>
      <c r="AC191" s="21">
        <v>0.82794199999999996</v>
      </c>
      <c r="AD191">
        <f t="shared" si="28"/>
        <v>17.952592592592595</v>
      </c>
      <c r="AE191">
        <f t="shared" si="29"/>
        <v>14.874656497777778</v>
      </c>
      <c r="AF191" s="9"/>
      <c r="AG191" s="21">
        <v>0.81146200000000002</v>
      </c>
      <c r="AH191" s="21">
        <v>19.636700000000001</v>
      </c>
      <c r="AI191" s="21">
        <v>-1.4434799999999999E-2</v>
      </c>
      <c r="AJ191" s="21">
        <v>181</v>
      </c>
      <c r="AK191" s="21">
        <v>0.81024200000000002</v>
      </c>
      <c r="AL191">
        <f t="shared" si="30"/>
        <v>17.820740740740739</v>
      </c>
      <c r="AM191">
        <f t="shared" si="31"/>
        <v>14.460853922962961</v>
      </c>
      <c r="AP191" s="9"/>
      <c r="AQ191" s="21">
        <v>0.82855199999999996</v>
      </c>
      <c r="AR191" s="21">
        <v>25.0336</v>
      </c>
      <c r="AS191" s="21">
        <v>-1.4517199999999999E-2</v>
      </c>
      <c r="AT191" s="21">
        <v>181</v>
      </c>
      <c r="AU191" s="21">
        <v>0.82794199999999996</v>
      </c>
      <c r="AV191">
        <f t="shared" si="32"/>
        <v>17.922469135802466</v>
      </c>
      <c r="AW191">
        <f t="shared" si="33"/>
        <v>14.849697647407403</v>
      </c>
      <c r="AX191" s="9"/>
      <c r="AY191" s="21">
        <v>0.81146200000000002</v>
      </c>
      <c r="AZ191" s="21">
        <v>28.731999999999999</v>
      </c>
      <c r="BA191" s="21">
        <v>-1.4483599999999999E-2</v>
      </c>
      <c r="BB191" s="21">
        <v>181</v>
      </c>
      <c r="BC191" s="21">
        <v>0.81085200000000002</v>
      </c>
      <c r="BD191">
        <f t="shared" si="34"/>
        <v>17.880987654320986</v>
      </c>
      <c r="BE191">
        <f t="shared" si="35"/>
        <v>14.509742003950617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6.8452400000000004</v>
      </c>
      <c r="I192" s="21">
        <v>-1.4550799999999999E-2</v>
      </c>
      <c r="J192" s="21">
        <v>182</v>
      </c>
      <c r="K192" s="21">
        <v>0.82244899999999999</v>
      </c>
      <c r="L192">
        <f t="shared" si="24"/>
        <v>17.963950617283949</v>
      </c>
      <c r="M192">
        <f t="shared" si="25"/>
        <v>14.793618720493827</v>
      </c>
      <c r="N192" s="9"/>
      <c r="O192" s="21">
        <v>0.81649799999999995</v>
      </c>
      <c r="P192" s="21">
        <v>10.5436</v>
      </c>
      <c r="Q192" s="21">
        <v>-1.4544700000000001E-2</v>
      </c>
      <c r="R192" s="21">
        <v>182</v>
      </c>
      <c r="S192" s="21">
        <v>0.81603999999999999</v>
      </c>
      <c r="T192">
        <f t="shared" si="26"/>
        <v>17.956419753086422</v>
      </c>
      <c r="U192">
        <f t="shared" si="27"/>
        <v>14.661380815555557</v>
      </c>
      <c r="X192" s="9"/>
      <c r="Y192" s="21">
        <v>0.82351700000000005</v>
      </c>
      <c r="Z192" s="21">
        <v>15.948499999999999</v>
      </c>
      <c r="AA192" s="21">
        <v>-1.4563E-2</v>
      </c>
      <c r="AB192" s="21">
        <v>182</v>
      </c>
      <c r="AC192" s="21">
        <v>0.82244899999999999</v>
      </c>
      <c r="AD192">
        <f t="shared" si="28"/>
        <v>17.979012345679013</v>
      </c>
      <c r="AE192">
        <f t="shared" si="29"/>
        <v>14.806022309876544</v>
      </c>
      <c r="AF192" s="9"/>
      <c r="AG192" s="21">
        <v>0.81649799999999995</v>
      </c>
      <c r="AH192" s="21">
        <v>19.646799999999999</v>
      </c>
      <c r="AI192" s="21">
        <v>-1.44257E-2</v>
      </c>
      <c r="AJ192" s="21">
        <v>182</v>
      </c>
      <c r="AK192" s="21">
        <v>0.81542999999999999</v>
      </c>
      <c r="AL192">
        <f t="shared" si="30"/>
        <v>17.809506172839505</v>
      </c>
      <c r="AM192">
        <f t="shared" si="31"/>
        <v>14.541426171111109</v>
      </c>
      <c r="AP192" s="9"/>
      <c r="AQ192" s="21">
        <v>0.82351700000000005</v>
      </c>
      <c r="AR192" s="21">
        <v>25.043700000000001</v>
      </c>
      <c r="AS192" s="21">
        <v>-1.45203E-2</v>
      </c>
      <c r="AT192" s="21">
        <v>182</v>
      </c>
      <c r="AU192" s="21">
        <v>0.82366899999999998</v>
      </c>
      <c r="AV192">
        <f t="shared" si="32"/>
        <v>17.926296296296293</v>
      </c>
      <c r="AW192">
        <f t="shared" si="33"/>
        <v>14.762609747037036</v>
      </c>
      <c r="AX192" s="9"/>
      <c r="AY192" s="21">
        <v>0.81649799999999995</v>
      </c>
      <c r="AZ192" s="21">
        <v>28.742000000000001</v>
      </c>
      <c r="BA192" s="21">
        <v>-1.4477500000000001E-2</v>
      </c>
      <c r="BB192" s="21">
        <v>182</v>
      </c>
      <c r="BC192" s="21">
        <v>0.81542999999999999</v>
      </c>
      <c r="BD192">
        <f t="shared" si="34"/>
        <v>17.873456790123456</v>
      </c>
      <c r="BE192">
        <f t="shared" si="35"/>
        <v>14.59364172222222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6.8553100000000002</v>
      </c>
      <c r="I193" s="21">
        <v>-1.4544700000000001E-2</v>
      </c>
      <c r="J193" s="21">
        <v>183</v>
      </c>
      <c r="K193" s="21">
        <v>0.81756600000000001</v>
      </c>
      <c r="L193">
        <f t="shared" si="24"/>
        <v>17.956419753086422</v>
      </c>
      <c r="M193">
        <f t="shared" si="25"/>
        <v>14.696988395925928</v>
      </c>
      <c r="N193" s="9"/>
      <c r="O193" s="21">
        <v>0.82153299999999996</v>
      </c>
      <c r="P193" s="21">
        <v>10.553599999999999</v>
      </c>
      <c r="Q193" s="21">
        <v>-1.45294E-2</v>
      </c>
      <c r="R193" s="21">
        <v>183</v>
      </c>
      <c r="S193" s="21">
        <v>0.82092299999999996</v>
      </c>
      <c r="T193">
        <f t="shared" si="26"/>
        <v>17.93753086419753</v>
      </c>
      <c r="U193">
        <f t="shared" si="27"/>
        <v>14.73627354345679</v>
      </c>
      <c r="X193" s="9"/>
      <c r="Y193" s="21">
        <v>0.81848100000000001</v>
      </c>
      <c r="Z193" s="21">
        <v>15.958500000000001</v>
      </c>
      <c r="AA193" s="21">
        <v>-1.4566000000000001E-2</v>
      </c>
      <c r="AB193" s="21">
        <v>183</v>
      </c>
      <c r="AC193" s="21">
        <v>0.81787100000000001</v>
      </c>
      <c r="AD193">
        <f t="shared" si="28"/>
        <v>17.982716049382717</v>
      </c>
      <c r="AE193">
        <f t="shared" si="29"/>
        <v>14.718511414814815</v>
      </c>
      <c r="AF193" s="9"/>
      <c r="AG193" s="21">
        <v>0.82153299999999996</v>
      </c>
      <c r="AH193" s="21">
        <v>19.6569</v>
      </c>
      <c r="AI193" s="21">
        <v>-1.4422600000000001E-2</v>
      </c>
      <c r="AJ193" s="21">
        <v>183</v>
      </c>
      <c r="AK193" s="21">
        <v>0.82122799999999996</v>
      </c>
      <c r="AL193">
        <f t="shared" si="30"/>
        <v>17.805679012345678</v>
      </c>
      <c r="AM193">
        <f t="shared" si="31"/>
        <v>14.627952896049381</v>
      </c>
      <c r="AP193" s="9"/>
      <c r="AQ193" s="21">
        <v>0.81848100000000001</v>
      </c>
      <c r="AR193" s="21">
        <v>25.053799999999999</v>
      </c>
      <c r="AS193" s="21">
        <v>-1.4523299999999999E-2</v>
      </c>
      <c r="AT193" s="21">
        <v>183</v>
      </c>
      <c r="AU193" s="21">
        <v>0.81726100000000002</v>
      </c>
      <c r="AV193">
        <f t="shared" si="32"/>
        <v>17.93</v>
      </c>
      <c r="AW193">
        <f t="shared" si="33"/>
        <v>14.675364330000001</v>
      </c>
      <c r="AX193" s="9"/>
      <c r="AY193" s="21">
        <v>0.82153299999999996</v>
      </c>
      <c r="AZ193" s="21">
        <v>28.752099999999999</v>
      </c>
      <c r="BA193" s="21">
        <v>-1.44653E-2</v>
      </c>
      <c r="BB193" s="21">
        <v>183</v>
      </c>
      <c r="BC193" s="21">
        <v>0.82092299999999996</v>
      </c>
      <c r="BD193">
        <f t="shared" si="34"/>
        <v>17.858395061728395</v>
      </c>
      <c r="BE193">
        <f t="shared" si="35"/>
        <v>14.671260870246913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6.86538</v>
      </c>
      <c r="I194" s="21">
        <v>-1.45538E-2</v>
      </c>
      <c r="J194" s="21">
        <v>184</v>
      </c>
      <c r="K194" s="21">
        <v>0.81268300000000004</v>
      </c>
      <c r="L194">
        <f t="shared" si="24"/>
        <v>17.967654320987652</v>
      </c>
      <c r="M194">
        <f t="shared" si="25"/>
        <v>14.615716536790123</v>
      </c>
      <c r="N194" s="9"/>
      <c r="O194" s="21">
        <v>0.826569</v>
      </c>
      <c r="P194" s="21">
        <v>10.563700000000001</v>
      </c>
      <c r="Q194" s="21">
        <v>-1.4517199999999999E-2</v>
      </c>
      <c r="R194" s="21">
        <v>184</v>
      </c>
      <c r="S194" s="21">
        <v>0.82580600000000004</v>
      </c>
      <c r="T194">
        <f t="shared" si="26"/>
        <v>17.922469135802466</v>
      </c>
      <c r="U194">
        <f t="shared" si="27"/>
        <v>14.814157391111108</v>
      </c>
      <c r="X194" s="9"/>
      <c r="Y194" s="21">
        <v>0.813446</v>
      </c>
      <c r="Z194" s="21">
        <v>15.9686</v>
      </c>
      <c r="AA194" s="21">
        <v>-1.4566000000000001E-2</v>
      </c>
      <c r="AB194" s="21">
        <v>184</v>
      </c>
      <c r="AC194" s="21">
        <v>0.81237800000000004</v>
      </c>
      <c r="AD194">
        <f t="shared" si="28"/>
        <v>17.982716049382717</v>
      </c>
      <c r="AE194">
        <f t="shared" si="29"/>
        <v>14.627968439506173</v>
      </c>
      <c r="AF194" s="9"/>
      <c r="AG194" s="21">
        <v>0.826569</v>
      </c>
      <c r="AH194" s="21">
        <v>19.666899999999998</v>
      </c>
      <c r="AI194" s="21">
        <v>-1.44165E-2</v>
      </c>
      <c r="AJ194" s="21">
        <v>184</v>
      </c>
      <c r="AK194" s="21">
        <v>0.82611100000000004</v>
      </c>
      <c r="AL194">
        <f t="shared" si="30"/>
        <v>17.798148148148147</v>
      </c>
      <c r="AM194">
        <f t="shared" si="31"/>
        <v>14.711397516666667</v>
      </c>
      <c r="AP194" s="9"/>
      <c r="AQ194" s="21">
        <v>0.813446</v>
      </c>
      <c r="AR194" s="21">
        <v>25.063800000000001</v>
      </c>
      <c r="AS194" s="21">
        <v>-1.45355E-2</v>
      </c>
      <c r="AT194" s="21">
        <v>184</v>
      </c>
      <c r="AU194" s="21">
        <v>0.81268300000000004</v>
      </c>
      <c r="AV194">
        <f t="shared" si="32"/>
        <v>17.945061728395061</v>
      </c>
      <c r="AW194">
        <f t="shared" si="33"/>
        <v>14.597338682716048</v>
      </c>
      <c r="AX194" s="9"/>
      <c r="AY194" s="21">
        <v>0.826569</v>
      </c>
      <c r="AZ194" s="21">
        <v>28.7622</v>
      </c>
      <c r="BA194" s="21">
        <v>-1.44501E-2</v>
      </c>
      <c r="BB194" s="21">
        <v>184</v>
      </c>
      <c r="BC194" s="21">
        <v>0.82580600000000004</v>
      </c>
      <c r="BD194">
        <f t="shared" si="34"/>
        <v>17.839629629629631</v>
      </c>
      <c r="BE194">
        <f t="shared" si="35"/>
        <v>14.745684823333335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6.8754499999999998</v>
      </c>
      <c r="I195" s="21">
        <v>-1.4572099999999999E-2</v>
      </c>
      <c r="J195" s="21">
        <v>185</v>
      </c>
      <c r="K195" s="21">
        <v>0.80749499999999996</v>
      </c>
      <c r="L195">
        <f t="shared" si="24"/>
        <v>17.990246913580243</v>
      </c>
      <c r="M195">
        <f t="shared" si="25"/>
        <v>14.543513497654319</v>
      </c>
      <c r="N195" s="9"/>
      <c r="O195" s="21">
        <v>0.83160400000000001</v>
      </c>
      <c r="P195" s="21">
        <v>10.5738</v>
      </c>
      <c r="Q195" s="21">
        <v>-1.45142E-2</v>
      </c>
      <c r="R195" s="21">
        <v>185</v>
      </c>
      <c r="S195" s="21">
        <v>0.83099400000000001</v>
      </c>
      <c r="T195">
        <f t="shared" si="26"/>
        <v>17.918765432098763</v>
      </c>
      <c r="U195">
        <f t="shared" si="27"/>
        <v>14.901317008395059</v>
      </c>
      <c r="X195" s="9"/>
      <c r="Y195" s="21">
        <v>0.80841099999999999</v>
      </c>
      <c r="Z195" s="21">
        <v>15.9787</v>
      </c>
      <c r="AA195" s="21">
        <v>-1.4572099999999999E-2</v>
      </c>
      <c r="AB195" s="21">
        <v>185</v>
      </c>
      <c r="AC195" s="21">
        <v>0.80810499999999996</v>
      </c>
      <c r="AD195">
        <f t="shared" si="28"/>
        <v>17.990246913580243</v>
      </c>
      <c r="AE195">
        <f t="shared" si="29"/>
        <v>14.543513497654319</v>
      </c>
      <c r="AF195" s="9"/>
      <c r="AG195" s="21">
        <v>0.83160400000000001</v>
      </c>
      <c r="AH195" s="21">
        <v>19.677</v>
      </c>
      <c r="AI195" s="21">
        <v>-1.44073E-2</v>
      </c>
      <c r="AJ195" s="21">
        <v>185</v>
      </c>
      <c r="AK195" s="21">
        <v>0.83099400000000001</v>
      </c>
      <c r="AL195">
        <f t="shared" si="30"/>
        <v>17.78679012345679</v>
      </c>
      <c r="AM195">
        <f t="shared" si="31"/>
        <v>14.791565813827161</v>
      </c>
      <c r="AP195" s="9"/>
      <c r="AQ195" s="21">
        <v>0.80841099999999999</v>
      </c>
      <c r="AR195" s="21">
        <v>25.073899999999998</v>
      </c>
      <c r="AS195" s="21">
        <v>-1.45477E-2</v>
      </c>
      <c r="AT195" s="21">
        <v>185</v>
      </c>
      <c r="AU195" s="21">
        <v>0.80749499999999996</v>
      </c>
      <c r="AV195">
        <f t="shared" si="32"/>
        <v>17.960123456790122</v>
      </c>
      <c r="AW195">
        <f t="shared" si="33"/>
        <v>14.519161363827159</v>
      </c>
      <c r="AX195" s="9"/>
      <c r="AY195" s="21">
        <v>0.83160400000000001</v>
      </c>
      <c r="AZ195" s="21">
        <v>28.772200000000002</v>
      </c>
      <c r="BA195" s="21">
        <v>-1.44409E-2</v>
      </c>
      <c r="BB195" s="21">
        <v>185</v>
      </c>
      <c r="BC195" s="21">
        <v>0.83068799999999998</v>
      </c>
      <c r="BD195">
        <f t="shared" si="34"/>
        <v>17.828271604938269</v>
      </c>
      <c r="BE195">
        <f t="shared" si="35"/>
        <v>14.826061979753085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6.8855300000000002</v>
      </c>
      <c r="I196" s="21">
        <v>-1.45874E-2</v>
      </c>
      <c r="J196" s="21">
        <v>186</v>
      </c>
      <c r="K196" s="21">
        <v>0.80291699999999999</v>
      </c>
      <c r="L196">
        <f t="shared" si="24"/>
        <v>18.009135802469135</v>
      </c>
      <c r="M196">
        <f t="shared" si="25"/>
        <v>14.468089475308641</v>
      </c>
      <c r="N196" s="9"/>
      <c r="O196" s="21">
        <v>0.83663900000000002</v>
      </c>
      <c r="P196" s="21">
        <v>10.5839</v>
      </c>
      <c r="Q196" s="21">
        <v>-1.4508099999999999E-2</v>
      </c>
      <c r="R196" s="21">
        <v>186</v>
      </c>
      <c r="S196" s="21">
        <v>0.83526599999999995</v>
      </c>
      <c r="T196">
        <f t="shared" si="26"/>
        <v>17.911234567901232</v>
      </c>
      <c r="U196">
        <f t="shared" si="27"/>
        <v>14.98523737765432</v>
      </c>
      <c r="X196" s="9"/>
      <c r="Y196" s="21">
        <v>0.80337499999999995</v>
      </c>
      <c r="Z196" s="21">
        <v>15.9887</v>
      </c>
      <c r="AA196" s="21">
        <v>-1.4578199999999999E-2</v>
      </c>
      <c r="AB196" s="21">
        <v>186</v>
      </c>
      <c r="AC196" s="21">
        <v>0.80261199999999999</v>
      </c>
      <c r="AD196">
        <f t="shared" si="28"/>
        <v>17.997777777777777</v>
      </c>
      <c r="AE196">
        <f t="shared" si="29"/>
        <v>14.458964722222222</v>
      </c>
      <c r="AF196" s="9"/>
      <c r="AG196" s="21">
        <v>0.83663900000000002</v>
      </c>
      <c r="AH196" s="21">
        <v>19.687100000000001</v>
      </c>
      <c r="AI196" s="21">
        <v>-1.44043E-2</v>
      </c>
      <c r="AJ196" s="21">
        <v>186</v>
      </c>
      <c r="AK196" s="21">
        <v>0.83618199999999998</v>
      </c>
      <c r="AL196">
        <f t="shared" si="30"/>
        <v>17.783086419753086</v>
      </c>
      <c r="AM196">
        <f t="shared" si="31"/>
        <v>14.878023639135803</v>
      </c>
      <c r="AP196" s="9"/>
      <c r="AQ196" s="21">
        <v>0.80337499999999995</v>
      </c>
      <c r="AR196" s="21">
        <v>25.084</v>
      </c>
      <c r="AS196" s="21">
        <v>-1.4559900000000001E-2</v>
      </c>
      <c r="AT196" s="21">
        <v>186</v>
      </c>
      <c r="AU196" s="21">
        <v>0.80200199999999999</v>
      </c>
      <c r="AV196">
        <f t="shared" si="32"/>
        <v>17.975185185185186</v>
      </c>
      <c r="AW196">
        <f t="shared" si="33"/>
        <v>14.440814398148149</v>
      </c>
      <c r="AX196" s="9"/>
      <c r="AY196" s="21">
        <v>0.83663900000000002</v>
      </c>
      <c r="AZ196" s="21">
        <v>28.782299999999999</v>
      </c>
      <c r="BA196" s="21">
        <v>-1.4434799999999999E-2</v>
      </c>
      <c r="BB196" s="21">
        <v>186</v>
      </c>
      <c r="BC196" s="21">
        <v>0.83496099999999995</v>
      </c>
      <c r="BD196">
        <f t="shared" si="34"/>
        <v>17.820740740740739</v>
      </c>
      <c r="BE196">
        <f t="shared" si="35"/>
        <v>14.909526712592591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6.8956</v>
      </c>
      <c r="I197" s="21">
        <v>-1.45966E-2</v>
      </c>
      <c r="J197" s="21">
        <v>187</v>
      </c>
      <c r="K197" s="21">
        <v>0.79742400000000002</v>
      </c>
      <c r="L197">
        <f t="shared" si="24"/>
        <v>18.020493827160493</v>
      </c>
      <c r="M197">
        <f t="shared" si="25"/>
        <v>14.386481041975308</v>
      </c>
      <c r="N197" s="9"/>
      <c r="O197" s="21">
        <v>0.84167499999999995</v>
      </c>
      <c r="P197" s="21">
        <v>10.5939</v>
      </c>
      <c r="Q197" s="21">
        <v>-1.44958E-2</v>
      </c>
      <c r="R197" s="21">
        <v>187</v>
      </c>
      <c r="S197" s="21">
        <v>0.84106400000000003</v>
      </c>
      <c r="T197">
        <f t="shared" si="26"/>
        <v>17.896049382716047</v>
      </c>
      <c r="U197">
        <f t="shared" si="27"/>
        <v>15.062657364197529</v>
      </c>
      <c r="X197" s="9"/>
      <c r="Y197" s="21">
        <v>0.79834000000000005</v>
      </c>
      <c r="Z197" s="21">
        <v>15.998799999999999</v>
      </c>
      <c r="AA197" s="21">
        <v>-1.45813E-2</v>
      </c>
      <c r="AB197" s="21">
        <v>187</v>
      </c>
      <c r="AC197" s="21">
        <v>0.79772900000000002</v>
      </c>
      <c r="AD197">
        <f t="shared" si="28"/>
        <v>18.001604938271605</v>
      </c>
      <c r="AE197">
        <f t="shared" si="29"/>
        <v>14.371401286419754</v>
      </c>
      <c r="AF197" s="9"/>
      <c r="AG197" s="21">
        <v>0.84167499999999995</v>
      </c>
      <c r="AH197" s="21">
        <v>19.697199999999999</v>
      </c>
      <c r="AI197" s="21">
        <v>-1.44043E-2</v>
      </c>
      <c r="AJ197" s="21">
        <v>187</v>
      </c>
      <c r="AK197" s="21">
        <v>0.84014900000000003</v>
      </c>
      <c r="AL197">
        <f t="shared" si="30"/>
        <v>17.783086419753086</v>
      </c>
      <c r="AM197">
        <f t="shared" si="31"/>
        <v>14.967579262345678</v>
      </c>
      <c r="AP197" s="9"/>
      <c r="AQ197" s="21">
        <v>0.79834000000000005</v>
      </c>
      <c r="AR197" s="21">
        <v>25.094000000000001</v>
      </c>
      <c r="AS197" s="21">
        <v>-1.45691E-2</v>
      </c>
      <c r="AT197" s="21">
        <v>187</v>
      </c>
      <c r="AU197" s="21">
        <v>0.79772900000000002</v>
      </c>
      <c r="AV197">
        <f t="shared" si="32"/>
        <v>17.98654320987654</v>
      </c>
      <c r="AW197">
        <f t="shared" si="33"/>
        <v>14.359376906172837</v>
      </c>
      <c r="AX197" s="9"/>
      <c r="AY197" s="21">
        <v>0.84167499999999995</v>
      </c>
      <c r="AZ197" s="21">
        <v>28.792400000000001</v>
      </c>
      <c r="BA197" s="21">
        <v>-1.4422600000000001E-2</v>
      </c>
      <c r="BB197" s="21">
        <v>187</v>
      </c>
      <c r="BC197" s="21">
        <v>0.84106400000000003</v>
      </c>
      <c r="BD197">
        <f t="shared" si="34"/>
        <v>17.805679012345678</v>
      </c>
      <c r="BE197">
        <f t="shared" si="35"/>
        <v>14.986594882716048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6.9056699999999998</v>
      </c>
      <c r="I198" s="21">
        <v>-1.4605699999999999E-2</v>
      </c>
      <c r="J198" s="21">
        <v>188</v>
      </c>
      <c r="K198" s="21">
        <v>0.79193100000000005</v>
      </c>
      <c r="L198">
        <f t="shared" si="24"/>
        <v>18.031728395061727</v>
      </c>
      <c r="M198">
        <f t="shared" si="25"/>
        <v>14.304642262716047</v>
      </c>
      <c r="N198" s="9"/>
      <c r="O198" s="21">
        <v>0.84670999999999996</v>
      </c>
      <c r="P198" s="21">
        <v>10.603999999999999</v>
      </c>
      <c r="Q198" s="21">
        <v>-1.44928E-2</v>
      </c>
      <c r="R198" s="21">
        <v>188</v>
      </c>
      <c r="S198" s="21">
        <v>0.84655800000000003</v>
      </c>
      <c r="T198">
        <f t="shared" si="26"/>
        <v>17.892345679012344</v>
      </c>
      <c r="U198">
        <f t="shared" si="27"/>
        <v>15.14962800987654</v>
      </c>
      <c r="X198" s="9"/>
      <c r="Y198" s="21">
        <v>0.79330400000000001</v>
      </c>
      <c r="Z198" s="21">
        <v>16.008900000000001</v>
      </c>
      <c r="AA198" s="21">
        <v>-1.4584400000000001E-2</v>
      </c>
      <c r="AB198" s="21">
        <v>188</v>
      </c>
      <c r="AC198" s="21">
        <v>0.79223600000000005</v>
      </c>
      <c r="AD198">
        <f t="shared" si="28"/>
        <v>18.005432098765432</v>
      </c>
      <c r="AE198">
        <f t="shared" si="29"/>
        <v>14.283781305679012</v>
      </c>
      <c r="AF198" s="9"/>
      <c r="AG198" s="21">
        <v>0.84670999999999996</v>
      </c>
      <c r="AH198" s="21">
        <v>19.7072</v>
      </c>
      <c r="AI198" s="21">
        <v>-1.44043E-2</v>
      </c>
      <c r="AJ198" s="21">
        <v>188</v>
      </c>
      <c r="AK198" s="21">
        <v>0.845947</v>
      </c>
      <c r="AL198">
        <f t="shared" si="30"/>
        <v>17.783086419753086</v>
      </c>
      <c r="AM198">
        <f t="shared" si="31"/>
        <v>15.057117102469135</v>
      </c>
      <c r="AP198" s="9"/>
      <c r="AQ198" s="21">
        <v>0.79330400000000001</v>
      </c>
      <c r="AR198" s="21">
        <v>25.104099999999999</v>
      </c>
      <c r="AS198" s="21">
        <v>-1.45813E-2</v>
      </c>
      <c r="AT198" s="21">
        <v>188</v>
      </c>
      <c r="AU198" s="21">
        <v>0.79284699999999997</v>
      </c>
      <c r="AV198">
        <f t="shared" si="32"/>
        <v>18.001604938271605</v>
      </c>
      <c r="AW198">
        <f t="shared" si="33"/>
        <v>14.280745203950618</v>
      </c>
      <c r="AX198" s="9"/>
      <c r="AY198" s="21">
        <v>0.84670999999999996</v>
      </c>
      <c r="AZ198" s="21">
        <v>28.802399999999999</v>
      </c>
      <c r="BA198" s="21">
        <v>-1.44073E-2</v>
      </c>
      <c r="BB198" s="21">
        <v>188</v>
      </c>
      <c r="BC198" s="21">
        <v>0.845642</v>
      </c>
      <c r="BD198">
        <f t="shared" si="34"/>
        <v>17.78679012345679</v>
      </c>
      <c r="BE198">
        <f t="shared" si="35"/>
        <v>15.060253065432098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6.9157400000000004</v>
      </c>
      <c r="I199" s="21">
        <v>-1.4611799999999999E-2</v>
      </c>
      <c r="J199" s="21">
        <v>189</v>
      </c>
      <c r="K199" s="21">
        <v>0.78704799999999997</v>
      </c>
      <c r="L199">
        <f t="shared" si="24"/>
        <v>18.039259259259257</v>
      </c>
      <c r="M199">
        <f t="shared" si="25"/>
        <v>14.219788857037035</v>
      </c>
      <c r="N199" s="9"/>
      <c r="O199" s="21">
        <v>0.851746</v>
      </c>
      <c r="P199" s="21">
        <v>10.614100000000001</v>
      </c>
      <c r="Q199" s="21">
        <v>-1.44958E-2</v>
      </c>
      <c r="R199" s="21">
        <v>189</v>
      </c>
      <c r="S199" s="21">
        <v>0.85143999999999997</v>
      </c>
      <c r="T199">
        <f t="shared" si="26"/>
        <v>17.896049382716047</v>
      </c>
      <c r="U199">
        <f t="shared" si="27"/>
        <v>15.242888477530862</v>
      </c>
      <c r="X199" s="9"/>
      <c r="Y199" s="21">
        <v>0.788269</v>
      </c>
      <c r="Z199" s="21">
        <v>16.018999999999998</v>
      </c>
      <c r="AA199" s="21">
        <v>-1.4584400000000001E-2</v>
      </c>
      <c r="AB199" s="21">
        <v>189</v>
      </c>
      <c r="AC199" s="21">
        <v>0.787659</v>
      </c>
      <c r="AD199">
        <f t="shared" si="28"/>
        <v>18.005432098765432</v>
      </c>
      <c r="AE199">
        <f t="shared" si="29"/>
        <v>14.193123955061729</v>
      </c>
      <c r="AF199" s="9"/>
      <c r="AG199" s="21">
        <v>0.851746</v>
      </c>
      <c r="AH199" s="21">
        <v>19.717300000000002</v>
      </c>
      <c r="AI199" s="21">
        <v>-1.44104E-2</v>
      </c>
      <c r="AJ199" s="21">
        <v>189</v>
      </c>
      <c r="AK199" s="21">
        <v>0.85113499999999997</v>
      </c>
      <c r="AL199">
        <f t="shared" si="30"/>
        <v>17.790617283950617</v>
      </c>
      <c r="AM199">
        <f t="shared" si="31"/>
        <v>15.153087109135802</v>
      </c>
      <c r="AP199" s="9"/>
      <c r="AQ199" s="21">
        <v>0.788269</v>
      </c>
      <c r="AR199" s="21">
        <v>25.1142</v>
      </c>
      <c r="AS199" s="21">
        <v>-1.4593500000000001E-2</v>
      </c>
      <c r="AT199" s="21">
        <v>189</v>
      </c>
      <c r="AU199" s="21">
        <v>0.78674299999999997</v>
      </c>
      <c r="AV199">
        <f t="shared" si="32"/>
        <v>18.016666666666666</v>
      </c>
      <c r="AW199">
        <f t="shared" si="33"/>
        <v>14.201979816666666</v>
      </c>
      <c r="AX199" s="9"/>
      <c r="AY199" s="21">
        <v>0.851746</v>
      </c>
      <c r="AZ199" s="21">
        <v>28.8125</v>
      </c>
      <c r="BA199" s="21">
        <v>-1.44073E-2</v>
      </c>
      <c r="BB199" s="21">
        <v>189</v>
      </c>
      <c r="BC199" s="21">
        <v>0.85052499999999998</v>
      </c>
      <c r="BD199">
        <f t="shared" si="34"/>
        <v>17.78679012345679</v>
      </c>
      <c r="BE199">
        <f t="shared" si="35"/>
        <v>15.149827340493827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6.9258100000000002</v>
      </c>
      <c r="I200" s="21">
        <v>-1.46179E-2</v>
      </c>
      <c r="J200" s="21">
        <v>190</v>
      </c>
      <c r="K200" s="21">
        <v>0.78216600000000003</v>
      </c>
      <c r="L200">
        <f t="shared" si="24"/>
        <v>18.046790123456791</v>
      </c>
      <c r="M200">
        <f t="shared" si="25"/>
        <v>14.134859615555555</v>
      </c>
      <c r="N200" s="9"/>
      <c r="O200" s="21">
        <v>0.85678100000000001</v>
      </c>
      <c r="P200" s="21">
        <v>10.6241</v>
      </c>
      <c r="Q200" s="21">
        <v>-1.44867E-2</v>
      </c>
      <c r="R200" s="21">
        <v>190</v>
      </c>
      <c r="S200" s="21">
        <v>0.85540799999999995</v>
      </c>
      <c r="T200">
        <f t="shared" si="26"/>
        <v>17.884814814814817</v>
      </c>
      <c r="U200">
        <f t="shared" si="27"/>
        <v>15.323369521851854</v>
      </c>
      <c r="X200" s="9"/>
      <c r="Y200" s="21">
        <v>0.78323399999999999</v>
      </c>
      <c r="Z200" s="21">
        <v>16.029</v>
      </c>
      <c r="AA200" s="21">
        <v>-1.45752E-2</v>
      </c>
      <c r="AB200" s="21">
        <v>190</v>
      </c>
      <c r="AC200" s="21">
        <v>0.78247100000000003</v>
      </c>
      <c r="AD200">
        <f t="shared" si="28"/>
        <v>17.994074074074071</v>
      </c>
      <c r="AE200">
        <f t="shared" si="29"/>
        <v>14.09357061333333</v>
      </c>
      <c r="AF200" s="9"/>
      <c r="AG200" s="21">
        <v>0.85678100000000001</v>
      </c>
      <c r="AH200" s="21">
        <v>19.727399999999999</v>
      </c>
      <c r="AI200" s="21">
        <v>-1.44043E-2</v>
      </c>
      <c r="AJ200" s="21">
        <v>190</v>
      </c>
      <c r="AK200" s="21">
        <v>0.85601799999999995</v>
      </c>
      <c r="AL200">
        <f t="shared" si="30"/>
        <v>17.783086419753086</v>
      </c>
      <c r="AM200">
        <f t="shared" si="31"/>
        <v>15.23621056580247</v>
      </c>
      <c r="AP200" s="9"/>
      <c r="AQ200" s="21">
        <v>0.78323399999999999</v>
      </c>
      <c r="AR200" s="21">
        <v>25.124300000000002</v>
      </c>
      <c r="AS200" s="21">
        <v>-1.45966E-2</v>
      </c>
      <c r="AT200" s="21">
        <v>190</v>
      </c>
      <c r="AU200" s="21">
        <v>0.78277600000000003</v>
      </c>
      <c r="AV200">
        <f t="shared" si="32"/>
        <v>18.020493827160493</v>
      </c>
      <c r="AW200">
        <f t="shared" si="33"/>
        <v>14.114263462222221</v>
      </c>
      <c r="AX200" s="9"/>
      <c r="AY200" s="21">
        <v>0.85678100000000001</v>
      </c>
      <c r="AZ200" s="21">
        <v>28.822600000000001</v>
      </c>
      <c r="BA200" s="21">
        <v>-1.43982E-2</v>
      </c>
      <c r="BB200" s="21">
        <v>190</v>
      </c>
      <c r="BC200" s="21">
        <v>0.85601799999999995</v>
      </c>
      <c r="BD200">
        <f t="shared" si="34"/>
        <v>17.775555555555556</v>
      </c>
      <c r="BE200">
        <f t="shared" si="35"/>
        <v>15.229758264444445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6.93588</v>
      </c>
      <c r="I201" s="21">
        <v>-1.46179E-2</v>
      </c>
      <c r="J201" s="21">
        <v>191</v>
      </c>
      <c r="K201" s="21">
        <v>0.77758799999999995</v>
      </c>
      <c r="L201">
        <f t="shared" si="24"/>
        <v>18.046790123456791</v>
      </c>
      <c r="M201">
        <f t="shared" si="25"/>
        <v>14.043975980493826</v>
      </c>
      <c r="N201" s="9"/>
      <c r="O201" s="21">
        <v>0.86181600000000003</v>
      </c>
      <c r="P201" s="21">
        <v>10.6342</v>
      </c>
      <c r="Q201" s="21">
        <v>-1.4477500000000001E-2</v>
      </c>
      <c r="R201" s="21">
        <v>191</v>
      </c>
      <c r="S201" s="21">
        <v>0.86090100000000003</v>
      </c>
      <c r="T201">
        <f t="shared" si="26"/>
        <v>17.873456790123456</v>
      </c>
      <c r="U201">
        <f t="shared" si="27"/>
        <v>15.403631037037037</v>
      </c>
      <c r="X201" s="9"/>
      <c r="Y201" s="21">
        <v>0.77819799999999995</v>
      </c>
      <c r="Z201" s="21">
        <v>16.039100000000001</v>
      </c>
      <c r="AA201" s="21">
        <v>-1.45813E-2</v>
      </c>
      <c r="AB201" s="21">
        <v>191</v>
      </c>
      <c r="AC201" s="21">
        <v>0.77728299999999995</v>
      </c>
      <c r="AD201">
        <f t="shared" si="28"/>
        <v>18.001604938271605</v>
      </c>
      <c r="AE201">
        <f t="shared" si="29"/>
        <v>14.008812959753085</v>
      </c>
      <c r="AF201" s="9"/>
      <c r="AG201" s="21">
        <v>0.86181600000000003</v>
      </c>
      <c r="AH201" s="21">
        <v>19.737400000000001</v>
      </c>
      <c r="AI201" s="21">
        <v>-1.43982E-2</v>
      </c>
      <c r="AJ201" s="21">
        <v>191</v>
      </c>
      <c r="AK201" s="21">
        <v>0.86059600000000003</v>
      </c>
      <c r="AL201">
        <f t="shared" si="30"/>
        <v>17.775555555555556</v>
      </c>
      <c r="AM201">
        <f t="shared" si="31"/>
        <v>15.319258186666667</v>
      </c>
      <c r="AP201" s="9"/>
      <c r="AQ201" s="21">
        <v>0.77819799999999995</v>
      </c>
      <c r="AR201" s="21">
        <v>25.1343</v>
      </c>
      <c r="AS201" s="21">
        <v>-1.4599600000000001E-2</v>
      </c>
      <c r="AT201" s="21">
        <v>191</v>
      </c>
      <c r="AU201" s="21">
        <v>0.77789299999999995</v>
      </c>
      <c r="AV201">
        <f t="shared" si="32"/>
        <v>18.0241975308642</v>
      </c>
      <c r="AW201">
        <f t="shared" si="33"/>
        <v>14.026394470123458</v>
      </c>
      <c r="AX201" s="9"/>
      <c r="AY201" s="21">
        <v>0.86181600000000003</v>
      </c>
      <c r="AZ201" s="21">
        <v>28.832699999999999</v>
      </c>
      <c r="BA201" s="21">
        <v>-1.44043E-2</v>
      </c>
      <c r="BB201" s="21">
        <v>191</v>
      </c>
      <c r="BC201" s="21">
        <v>0.86090100000000003</v>
      </c>
      <c r="BD201">
        <f t="shared" si="34"/>
        <v>17.783086419753086</v>
      </c>
      <c r="BE201">
        <f t="shared" si="35"/>
        <v>15.325748405925927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6.9459499999999998</v>
      </c>
      <c r="I202" s="21">
        <v>-1.4633200000000001E-2</v>
      </c>
      <c r="J202" s="21">
        <v>192</v>
      </c>
      <c r="K202" s="21">
        <v>0.77270499999999998</v>
      </c>
      <c r="L202">
        <f t="shared" si="24"/>
        <v>18.065679012345679</v>
      </c>
      <c r="M202">
        <f t="shared" si="25"/>
        <v>13.967714582222223</v>
      </c>
      <c r="N202" s="9"/>
      <c r="O202" s="21">
        <v>0.86685199999999996</v>
      </c>
      <c r="P202" s="21">
        <v>10.644299999999999</v>
      </c>
      <c r="Q202" s="21">
        <v>-1.4477500000000001E-2</v>
      </c>
      <c r="R202" s="21">
        <v>192</v>
      </c>
      <c r="S202" s="21">
        <v>0.866089</v>
      </c>
      <c r="T202">
        <f t="shared" si="26"/>
        <v>17.873456790123456</v>
      </c>
      <c r="U202">
        <f t="shared" si="27"/>
        <v>15.493641765432097</v>
      </c>
      <c r="X202" s="9"/>
      <c r="Y202" s="21">
        <v>0.77316300000000004</v>
      </c>
      <c r="Z202" s="21">
        <v>16.049199999999999</v>
      </c>
      <c r="AA202" s="21">
        <v>-1.45874E-2</v>
      </c>
      <c r="AB202" s="21">
        <v>192</v>
      </c>
      <c r="AC202" s="21">
        <v>0.77209499999999998</v>
      </c>
      <c r="AD202">
        <f t="shared" si="28"/>
        <v>18.009135802469135</v>
      </c>
      <c r="AE202">
        <f t="shared" si="29"/>
        <v>13.923997464444446</v>
      </c>
      <c r="AF202" s="9"/>
      <c r="AG202" s="21">
        <v>0.86685199999999996</v>
      </c>
      <c r="AH202" s="21">
        <v>19.747499999999999</v>
      </c>
      <c r="AI202" s="21">
        <v>-1.4389000000000001E-2</v>
      </c>
      <c r="AJ202" s="21">
        <v>192</v>
      </c>
      <c r="AK202" s="21">
        <v>0.86517299999999997</v>
      </c>
      <c r="AL202">
        <f t="shared" si="30"/>
        <v>17.764197530864198</v>
      </c>
      <c r="AM202">
        <f t="shared" si="31"/>
        <v>15.398930158024692</v>
      </c>
      <c r="AP202" s="9"/>
      <c r="AQ202" s="21">
        <v>0.77316300000000004</v>
      </c>
      <c r="AR202" s="21">
        <v>25.144400000000001</v>
      </c>
      <c r="AS202" s="21">
        <v>-1.4590499999999999E-2</v>
      </c>
      <c r="AT202" s="21">
        <v>192</v>
      </c>
      <c r="AU202" s="21">
        <v>0.77209499999999998</v>
      </c>
      <c r="AV202">
        <f t="shared" si="32"/>
        <v>18.012962962962959</v>
      </c>
      <c r="AW202">
        <f t="shared" si="33"/>
        <v>13.926956483333331</v>
      </c>
      <c r="AX202" s="9"/>
      <c r="AY202" s="21">
        <v>0.86685199999999996</v>
      </c>
      <c r="AZ202" s="21">
        <v>28.842700000000001</v>
      </c>
      <c r="BA202" s="21">
        <v>-1.4413499999999999E-2</v>
      </c>
      <c r="BB202" s="21">
        <v>192</v>
      </c>
      <c r="BC202" s="21">
        <v>0.866089</v>
      </c>
      <c r="BD202">
        <f t="shared" si="34"/>
        <v>17.794444444444444</v>
      </c>
      <c r="BE202">
        <f t="shared" si="35"/>
        <v>15.425149755555555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6.9560199999999996</v>
      </c>
      <c r="I203" s="21">
        <v>-1.4639299999999999E-2</v>
      </c>
      <c r="J203" s="21">
        <v>193</v>
      </c>
      <c r="K203" s="21">
        <v>0.76690700000000001</v>
      </c>
      <c r="L203">
        <f t="shared" si="24"/>
        <v>18.07320987654321</v>
      </c>
      <c r="M203">
        <f t="shared" si="25"/>
        <v>13.882520482839507</v>
      </c>
      <c r="N203" s="9"/>
      <c r="O203" s="21">
        <v>0.87188699999999997</v>
      </c>
      <c r="P203" s="21">
        <v>10.654400000000001</v>
      </c>
      <c r="Q203" s="21">
        <v>-1.44745E-2</v>
      </c>
      <c r="R203" s="21">
        <v>193</v>
      </c>
      <c r="S203" s="21">
        <v>0.87097199999999997</v>
      </c>
      <c r="T203">
        <f t="shared" si="26"/>
        <v>17.869753086419752</v>
      </c>
      <c r="U203">
        <f t="shared" si="27"/>
        <v>15.580405409259258</v>
      </c>
      <c r="X203" s="9"/>
      <c r="Y203" s="21">
        <v>0.768127</v>
      </c>
      <c r="Z203" s="21">
        <v>16.059200000000001</v>
      </c>
      <c r="AA203" s="21">
        <v>-1.4590499999999999E-2</v>
      </c>
      <c r="AB203" s="21">
        <v>193</v>
      </c>
      <c r="AC203" s="21">
        <v>0.767517</v>
      </c>
      <c r="AD203">
        <f t="shared" si="28"/>
        <v>18.012962962962959</v>
      </c>
      <c r="AE203">
        <f t="shared" si="29"/>
        <v>13.836243201851849</v>
      </c>
      <c r="AF203" s="9"/>
      <c r="AG203" s="21">
        <v>0.87188699999999997</v>
      </c>
      <c r="AH203" s="21">
        <v>19.7576</v>
      </c>
      <c r="AI203" s="21">
        <v>-1.4379899999999999E-2</v>
      </c>
      <c r="AJ203" s="21">
        <v>193</v>
      </c>
      <c r="AK203" s="21">
        <v>0.87158199999999997</v>
      </c>
      <c r="AL203">
        <f t="shared" si="30"/>
        <v>17.752962962962961</v>
      </c>
      <c r="AM203">
        <f t="shared" si="31"/>
        <v>15.478577618888886</v>
      </c>
      <c r="AP203" s="9"/>
      <c r="AQ203" s="21">
        <v>0.768127</v>
      </c>
      <c r="AR203" s="21">
        <v>25.154499999999999</v>
      </c>
      <c r="AS203" s="21">
        <v>-1.4593500000000001E-2</v>
      </c>
      <c r="AT203" s="21">
        <v>193</v>
      </c>
      <c r="AU203" s="21">
        <v>0.767517</v>
      </c>
      <c r="AV203">
        <f t="shared" si="32"/>
        <v>18.016666666666666</v>
      </c>
      <c r="AW203">
        <f t="shared" si="33"/>
        <v>13.839088116666666</v>
      </c>
      <c r="AX203" s="9"/>
      <c r="AY203" s="21">
        <v>0.87188699999999997</v>
      </c>
      <c r="AZ203" s="21">
        <v>28.852799999999998</v>
      </c>
      <c r="BA203" s="21">
        <v>-1.44043E-2</v>
      </c>
      <c r="BB203" s="21">
        <v>193</v>
      </c>
      <c r="BC203" s="21">
        <v>0.87066699999999997</v>
      </c>
      <c r="BD203">
        <f t="shared" si="34"/>
        <v>17.783086419753086</v>
      </c>
      <c r="BE203">
        <f t="shared" si="35"/>
        <v>15.504841869259259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6.9660900000000003</v>
      </c>
      <c r="I204" s="21">
        <v>-1.46515E-2</v>
      </c>
      <c r="J204" s="21">
        <v>194</v>
      </c>
      <c r="K204" s="21">
        <v>0.76202400000000003</v>
      </c>
      <c r="L204">
        <f t="shared" ref="L204:L267" si="36">-I204/$F$2*1000</f>
        <v>18.088271604938271</v>
      </c>
      <c r="M204">
        <f t="shared" ref="M204:M267" si="37">L204*G204</f>
        <v>13.803015355555555</v>
      </c>
      <c r="N204" s="9"/>
      <c r="O204" s="21">
        <v>0.87692300000000001</v>
      </c>
      <c r="P204" s="21">
        <v>10.664400000000001</v>
      </c>
      <c r="Q204" s="21">
        <v>-1.4477500000000001E-2</v>
      </c>
      <c r="R204" s="21">
        <v>194</v>
      </c>
      <c r="S204" s="21">
        <v>0.87585400000000002</v>
      </c>
      <c r="T204">
        <f t="shared" ref="T204:T267" si="38">-Q204/$F$2*1000</f>
        <v>17.873456790123456</v>
      </c>
      <c r="U204">
        <f t="shared" ref="U204:U267" si="39">T204*O204</f>
        <v>15.673645348765431</v>
      </c>
      <c r="X204" s="9"/>
      <c r="Y204" s="21">
        <v>0.76309199999999999</v>
      </c>
      <c r="Z204" s="21">
        <v>16.069299999999998</v>
      </c>
      <c r="AA204" s="21">
        <v>-1.45874E-2</v>
      </c>
      <c r="AB204" s="21">
        <v>194</v>
      </c>
      <c r="AC204" s="21">
        <v>0.76232900000000003</v>
      </c>
      <c r="AD204">
        <f t="shared" ref="AD204:AD267" si="40">-AA204/$F$2*1000</f>
        <v>18.009135802469135</v>
      </c>
      <c r="AE204">
        <f t="shared" ref="AE204:AE267" si="41">AD204*Y204</f>
        <v>13.742627457777777</v>
      </c>
      <c r="AF204" s="9"/>
      <c r="AG204" s="21">
        <v>0.87692300000000001</v>
      </c>
      <c r="AH204" s="21">
        <v>19.767600000000002</v>
      </c>
      <c r="AI204" s="21">
        <v>-1.43768E-2</v>
      </c>
      <c r="AJ204" s="21">
        <v>194</v>
      </c>
      <c r="AK204" s="21">
        <v>0.87616000000000005</v>
      </c>
      <c r="AL204">
        <f t="shared" ref="AL204:AL267" si="42">-AI204/$F$2*1000</f>
        <v>17.749135802469137</v>
      </c>
      <c r="AM204">
        <f t="shared" ref="AM204:AM267" si="43">AL204*AG204</f>
        <v>15.564625415308644</v>
      </c>
      <c r="AP204" s="9"/>
      <c r="AQ204" s="21">
        <v>0.76309199999999999</v>
      </c>
      <c r="AR204" s="21">
        <v>25.1645</v>
      </c>
      <c r="AS204" s="21">
        <v>-1.4590499999999999E-2</v>
      </c>
      <c r="AT204" s="21">
        <v>194</v>
      </c>
      <c r="AU204" s="21">
        <v>0.76232900000000003</v>
      </c>
      <c r="AV204">
        <f t="shared" ref="AV204:AV267" si="44">-AS204/$F$2*1000</f>
        <v>18.012962962962959</v>
      </c>
      <c r="AW204">
        <f t="shared" ref="AW204:AW267" si="45">AV204*AQ204</f>
        <v>13.745547933333331</v>
      </c>
      <c r="AX204" s="9"/>
      <c r="AY204" s="21">
        <v>0.87692300000000001</v>
      </c>
      <c r="AZ204" s="21">
        <v>28.8629</v>
      </c>
      <c r="BA204" s="21">
        <v>-1.4401199999999999E-2</v>
      </c>
      <c r="BB204" s="21">
        <v>194</v>
      </c>
      <c r="BC204" s="21">
        <v>0.87616000000000005</v>
      </c>
      <c r="BD204">
        <f t="shared" ref="BD204:BD267" si="46">-BA204/$F$2*1000</f>
        <v>17.779259259259259</v>
      </c>
      <c r="BE204">
        <f t="shared" ref="BE204:BE267" si="47">BD204*AY204</f>
        <v>15.591041367407408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6.9761600000000001</v>
      </c>
      <c r="I205" s="21">
        <v>-1.4645399999999999E-2</v>
      </c>
      <c r="J205" s="21">
        <v>195</v>
      </c>
      <c r="K205" s="21">
        <v>0.75744599999999995</v>
      </c>
      <c r="L205">
        <f t="shared" si="36"/>
        <v>18.080740740740737</v>
      </c>
      <c r="M205">
        <f t="shared" si="37"/>
        <v>13.7062320837037</v>
      </c>
      <c r="N205" s="9"/>
      <c r="O205" s="21">
        <v>0.88195800000000002</v>
      </c>
      <c r="P205" s="21">
        <v>10.6745</v>
      </c>
      <c r="Q205" s="21">
        <v>-1.4477500000000001E-2</v>
      </c>
      <c r="R205" s="21">
        <v>195</v>
      </c>
      <c r="S205" s="21">
        <v>0.88104199999999999</v>
      </c>
      <c r="T205">
        <f t="shared" si="38"/>
        <v>17.873456790123456</v>
      </c>
      <c r="U205">
        <f t="shared" si="39"/>
        <v>15.763638203703703</v>
      </c>
      <c r="X205" s="9"/>
      <c r="Y205" s="21">
        <v>0.75805699999999998</v>
      </c>
      <c r="Z205" s="21">
        <v>16.0794</v>
      </c>
      <c r="AA205" s="21">
        <v>-1.4578199999999999E-2</v>
      </c>
      <c r="AB205" s="21">
        <v>195</v>
      </c>
      <c r="AC205" s="21">
        <v>0.75683599999999995</v>
      </c>
      <c r="AD205">
        <f t="shared" si="40"/>
        <v>17.997777777777777</v>
      </c>
      <c r="AE205">
        <f t="shared" si="41"/>
        <v>13.643341428888888</v>
      </c>
      <c r="AF205" s="9"/>
      <c r="AG205" s="21">
        <v>0.88195800000000002</v>
      </c>
      <c r="AH205" s="21">
        <v>19.777699999999999</v>
      </c>
      <c r="AI205" s="21">
        <v>-1.43707E-2</v>
      </c>
      <c r="AJ205" s="21">
        <v>195</v>
      </c>
      <c r="AK205" s="21">
        <v>0.88073699999999999</v>
      </c>
      <c r="AL205">
        <f t="shared" si="42"/>
        <v>17.741604938271603</v>
      </c>
      <c r="AM205">
        <f t="shared" si="43"/>
        <v>15.647350408148148</v>
      </c>
      <c r="AP205" s="9"/>
      <c r="AQ205" s="21">
        <v>0.75805699999999998</v>
      </c>
      <c r="AR205" s="21">
        <v>25.174600000000002</v>
      </c>
      <c r="AS205" s="21">
        <v>-1.4593500000000001E-2</v>
      </c>
      <c r="AT205" s="21">
        <v>195</v>
      </c>
      <c r="AU205" s="21">
        <v>0.75683599999999995</v>
      </c>
      <c r="AV205">
        <f t="shared" si="44"/>
        <v>18.016666666666666</v>
      </c>
      <c r="AW205">
        <f t="shared" si="45"/>
        <v>13.657660283333332</v>
      </c>
      <c r="AX205" s="9"/>
      <c r="AY205" s="21">
        <v>0.88195800000000002</v>
      </c>
      <c r="AZ205" s="21">
        <v>28.872900000000001</v>
      </c>
      <c r="BA205" s="21">
        <v>-1.44043E-2</v>
      </c>
      <c r="BB205" s="21">
        <v>195</v>
      </c>
      <c r="BC205" s="21">
        <v>0.88104199999999999</v>
      </c>
      <c r="BD205">
        <f t="shared" si="46"/>
        <v>17.783086419753086</v>
      </c>
      <c r="BE205">
        <f t="shared" si="47"/>
        <v>15.683935332592593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6.9862399999999996</v>
      </c>
      <c r="I206" s="21">
        <v>-1.4639299999999999E-2</v>
      </c>
      <c r="J206" s="21">
        <v>196</v>
      </c>
      <c r="K206" s="21">
        <v>0.75256299999999998</v>
      </c>
      <c r="L206">
        <f t="shared" si="36"/>
        <v>18.07320987654321</v>
      </c>
      <c r="M206">
        <f t="shared" si="37"/>
        <v>13.609506574444445</v>
      </c>
      <c r="N206" s="9"/>
      <c r="O206" s="21">
        <v>0.88699300000000003</v>
      </c>
      <c r="P206" s="21">
        <v>10.6846</v>
      </c>
      <c r="Q206" s="21">
        <v>-1.44745E-2</v>
      </c>
      <c r="R206" s="21">
        <v>196</v>
      </c>
      <c r="S206" s="21">
        <v>0.88622999999999996</v>
      </c>
      <c r="T206">
        <f t="shared" si="38"/>
        <v>17.869753086419752</v>
      </c>
      <c r="U206">
        <f t="shared" si="39"/>
        <v>15.850345899382717</v>
      </c>
      <c r="X206" s="9"/>
      <c r="Y206" s="21">
        <v>0.75302100000000005</v>
      </c>
      <c r="Z206" s="21">
        <v>16.089500000000001</v>
      </c>
      <c r="AA206" s="21">
        <v>-1.4572099999999999E-2</v>
      </c>
      <c r="AB206" s="21">
        <v>196</v>
      </c>
      <c r="AC206" s="21">
        <v>0.75195299999999998</v>
      </c>
      <c r="AD206">
        <f t="shared" si="40"/>
        <v>17.990246913580243</v>
      </c>
      <c r="AE206">
        <f t="shared" si="41"/>
        <v>13.547033721111109</v>
      </c>
      <c r="AF206" s="9"/>
      <c r="AG206" s="21">
        <v>0.88699300000000003</v>
      </c>
      <c r="AH206" s="21">
        <v>19.787800000000001</v>
      </c>
      <c r="AI206" s="21">
        <v>-1.43585E-2</v>
      </c>
      <c r="AJ206" s="21">
        <v>196</v>
      </c>
      <c r="AK206" s="21">
        <v>0.88561999999999996</v>
      </c>
      <c r="AL206">
        <f t="shared" si="42"/>
        <v>17.726543209876542</v>
      </c>
      <c r="AM206">
        <f t="shared" si="43"/>
        <v>15.723319741358024</v>
      </c>
      <c r="AP206" s="9"/>
      <c r="AQ206" s="21">
        <v>0.75302100000000005</v>
      </c>
      <c r="AR206" s="21">
        <v>25.184699999999999</v>
      </c>
      <c r="AS206" s="21">
        <v>-1.45966E-2</v>
      </c>
      <c r="AT206" s="21">
        <v>196</v>
      </c>
      <c r="AU206" s="21">
        <v>0.75225799999999998</v>
      </c>
      <c r="AV206">
        <f t="shared" si="44"/>
        <v>18.020493827160493</v>
      </c>
      <c r="AW206">
        <f t="shared" si="45"/>
        <v>13.569810282222223</v>
      </c>
      <c r="AX206" s="9"/>
      <c r="AY206" s="21">
        <v>0.88699300000000003</v>
      </c>
      <c r="AZ206" s="21">
        <v>28.882999999999999</v>
      </c>
      <c r="BA206" s="21">
        <v>-1.43921E-2</v>
      </c>
      <c r="BB206" s="21">
        <v>196</v>
      </c>
      <c r="BC206" s="21">
        <v>0.88561999999999996</v>
      </c>
      <c r="BD206">
        <f t="shared" si="46"/>
        <v>17.768024691358022</v>
      </c>
      <c r="BE206">
        <f t="shared" si="47"/>
        <v>15.760113525061726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6.9963100000000003</v>
      </c>
      <c r="I207" s="21">
        <v>-1.46362E-2</v>
      </c>
      <c r="J207" s="21">
        <v>197</v>
      </c>
      <c r="K207" s="21">
        <v>0.74731400000000003</v>
      </c>
      <c r="L207">
        <f t="shared" si="36"/>
        <v>18.069382716049383</v>
      </c>
      <c r="M207">
        <f t="shared" si="37"/>
        <v>13.515645300246915</v>
      </c>
      <c r="N207" s="9"/>
      <c r="O207" s="21">
        <v>0.89202899999999996</v>
      </c>
      <c r="P207" s="21">
        <v>10.694599999999999</v>
      </c>
      <c r="Q207" s="21">
        <v>-1.44806E-2</v>
      </c>
      <c r="R207" s="21">
        <v>197</v>
      </c>
      <c r="S207" s="21">
        <v>0.89050300000000004</v>
      </c>
      <c r="T207">
        <f t="shared" si="38"/>
        <v>17.877283950617283</v>
      </c>
      <c r="U207">
        <f t="shared" si="39"/>
        <v>15.947055725185184</v>
      </c>
      <c r="X207" s="9"/>
      <c r="Y207" s="21">
        <v>0.74798600000000004</v>
      </c>
      <c r="Z207" s="21">
        <v>16.099499999999999</v>
      </c>
      <c r="AA207" s="21">
        <v>-1.45752E-2</v>
      </c>
      <c r="AB207" s="21">
        <v>197</v>
      </c>
      <c r="AC207" s="21">
        <v>0.74725299999999995</v>
      </c>
      <c r="AD207">
        <f t="shared" si="40"/>
        <v>17.994074074074071</v>
      </c>
      <c r="AE207">
        <f t="shared" si="41"/>
        <v>13.459315490370368</v>
      </c>
      <c r="AF207" s="9"/>
      <c r="AG207" s="21">
        <v>0.89202899999999996</v>
      </c>
      <c r="AH207" s="21">
        <v>19.797899999999998</v>
      </c>
      <c r="AI207" s="21">
        <v>-1.43524E-2</v>
      </c>
      <c r="AJ207" s="21">
        <v>197</v>
      </c>
      <c r="AK207" s="21">
        <v>0.89080800000000004</v>
      </c>
      <c r="AL207">
        <f t="shared" si="42"/>
        <v>17.719012345679008</v>
      </c>
      <c r="AM207">
        <f t="shared" si="43"/>
        <v>15.8058728637037</v>
      </c>
      <c r="AP207" s="9"/>
      <c r="AQ207" s="21">
        <v>0.74798600000000004</v>
      </c>
      <c r="AR207" s="21">
        <v>25.194700000000001</v>
      </c>
      <c r="AS207" s="21">
        <v>-1.4605699999999999E-2</v>
      </c>
      <c r="AT207" s="21">
        <v>197</v>
      </c>
      <c r="AU207" s="21">
        <v>0.74740600000000001</v>
      </c>
      <c r="AV207">
        <f t="shared" si="44"/>
        <v>18.031728395061727</v>
      </c>
      <c r="AW207">
        <f t="shared" si="45"/>
        <v>13.487480395308641</v>
      </c>
      <c r="AX207" s="9"/>
      <c r="AY207" s="21">
        <v>0.89202899999999996</v>
      </c>
      <c r="AZ207" s="21">
        <v>28.8931</v>
      </c>
      <c r="BA207" s="21">
        <v>-1.4385999999999999E-2</v>
      </c>
      <c r="BB207" s="21">
        <v>197</v>
      </c>
      <c r="BC207" s="21">
        <v>0.89141800000000004</v>
      </c>
      <c r="BD207">
        <f t="shared" si="46"/>
        <v>17.760493827160492</v>
      </c>
      <c r="BE207">
        <f t="shared" si="47"/>
        <v>15.842875548148145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7.0063800000000001</v>
      </c>
      <c r="I208" s="21">
        <v>-1.4639299999999999E-2</v>
      </c>
      <c r="J208" s="21">
        <v>198</v>
      </c>
      <c r="K208" s="21">
        <v>0.74234</v>
      </c>
      <c r="L208">
        <f t="shared" si="36"/>
        <v>18.07320987654321</v>
      </c>
      <c r="M208">
        <f t="shared" si="37"/>
        <v>13.427491277777778</v>
      </c>
      <c r="N208" s="9"/>
      <c r="O208" s="21">
        <v>0.89706399999999997</v>
      </c>
      <c r="P208" s="21">
        <v>10.704700000000001</v>
      </c>
      <c r="Q208" s="21">
        <v>-1.4477500000000001E-2</v>
      </c>
      <c r="R208" s="21">
        <v>198</v>
      </c>
      <c r="S208" s="21">
        <v>0.89599600000000001</v>
      </c>
      <c r="T208">
        <f t="shared" si="38"/>
        <v>17.873456790123456</v>
      </c>
      <c r="U208">
        <f t="shared" si="39"/>
        <v>16.033634641975308</v>
      </c>
      <c r="X208" s="9"/>
      <c r="Y208" s="21">
        <v>0.74295</v>
      </c>
      <c r="Z208" s="21">
        <v>16.1096</v>
      </c>
      <c r="AA208" s="21">
        <v>-1.4578199999999999E-2</v>
      </c>
      <c r="AB208" s="21">
        <v>198</v>
      </c>
      <c r="AC208" s="21">
        <v>0.74215699999999996</v>
      </c>
      <c r="AD208">
        <f t="shared" si="40"/>
        <v>17.997777777777777</v>
      </c>
      <c r="AE208">
        <f t="shared" si="41"/>
        <v>13.371449</v>
      </c>
      <c r="AF208" s="9"/>
      <c r="AG208" s="21">
        <v>0.89706399999999997</v>
      </c>
      <c r="AH208" s="21">
        <v>19.8079</v>
      </c>
      <c r="AI208" s="21">
        <v>-1.43555E-2</v>
      </c>
      <c r="AJ208" s="21">
        <v>198</v>
      </c>
      <c r="AK208" s="21">
        <v>0.89569100000000001</v>
      </c>
      <c r="AL208">
        <f t="shared" si="42"/>
        <v>17.722839506172836</v>
      </c>
      <c r="AM208">
        <f t="shared" si="43"/>
        <v>15.898521298765429</v>
      </c>
      <c r="AP208" s="9"/>
      <c r="AQ208" s="21">
        <v>0.74295</v>
      </c>
      <c r="AR208" s="21">
        <v>25.204799999999999</v>
      </c>
      <c r="AS208" s="21">
        <v>-1.4624E-2</v>
      </c>
      <c r="AT208" s="21">
        <v>198</v>
      </c>
      <c r="AU208" s="21">
        <v>0.74231000000000003</v>
      </c>
      <c r="AV208">
        <f t="shared" si="44"/>
        <v>18.054320987654318</v>
      </c>
      <c r="AW208">
        <f t="shared" si="45"/>
        <v>13.413457777777776</v>
      </c>
      <c r="AX208" s="9"/>
      <c r="AY208" s="21">
        <v>0.89706399999999997</v>
      </c>
      <c r="AZ208" s="21">
        <v>28.903199999999998</v>
      </c>
      <c r="BA208" s="21">
        <v>-1.4395099999999999E-2</v>
      </c>
      <c r="BB208" s="21">
        <v>198</v>
      </c>
      <c r="BC208" s="21">
        <v>0.89599600000000001</v>
      </c>
      <c r="BD208">
        <f t="shared" si="46"/>
        <v>17.771728395061729</v>
      </c>
      <c r="BE208">
        <f t="shared" si="47"/>
        <v>15.942377760987654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7.0164499999999999</v>
      </c>
      <c r="I209" s="21">
        <v>-1.4645399999999999E-2</v>
      </c>
      <c r="J209" s="21">
        <v>199</v>
      </c>
      <c r="K209" s="21">
        <v>0.73718300000000003</v>
      </c>
      <c r="L209">
        <f t="shared" si="36"/>
        <v>18.080740740740737</v>
      </c>
      <c r="M209">
        <f t="shared" si="37"/>
        <v>13.3420498037037</v>
      </c>
      <c r="N209" s="9"/>
      <c r="O209" s="21">
        <v>0.90210000000000001</v>
      </c>
      <c r="P209" s="21">
        <v>10.7148</v>
      </c>
      <c r="Q209" s="21">
        <v>-1.44745E-2</v>
      </c>
      <c r="R209" s="21">
        <v>199</v>
      </c>
      <c r="S209" s="21">
        <v>0.90118399999999999</v>
      </c>
      <c r="T209">
        <f t="shared" si="38"/>
        <v>17.869753086419752</v>
      </c>
      <c r="U209">
        <f t="shared" si="39"/>
        <v>16.12030425925926</v>
      </c>
      <c r="X209" s="9"/>
      <c r="Y209" s="21">
        <v>0.73791499999999999</v>
      </c>
      <c r="Z209" s="21">
        <v>16.119700000000002</v>
      </c>
      <c r="AA209" s="21">
        <v>-1.45813E-2</v>
      </c>
      <c r="AB209" s="21">
        <v>199</v>
      </c>
      <c r="AC209" s="21">
        <v>0.73727399999999998</v>
      </c>
      <c r="AD209">
        <f t="shared" si="40"/>
        <v>18.001604938271605</v>
      </c>
      <c r="AE209">
        <f t="shared" si="41"/>
        <v>13.28365430802469</v>
      </c>
      <c r="AF209" s="9"/>
      <c r="AG209" s="21">
        <v>0.90210000000000001</v>
      </c>
      <c r="AH209" s="21">
        <v>19.818000000000001</v>
      </c>
      <c r="AI209" s="21">
        <v>-1.43524E-2</v>
      </c>
      <c r="AJ209" s="21">
        <v>199</v>
      </c>
      <c r="AK209" s="21">
        <v>0.90118399999999999</v>
      </c>
      <c r="AL209">
        <f t="shared" si="42"/>
        <v>17.719012345679008</v>
      </c>
      <c r="AM209">
        <f t="shared" si="43"/>
        <v>15.984321037037034</v>
      </c>
      <c r="AP209" s="9"/>
      <c r="AQ209" s="21">
        <v>0.73791499999999999</v>
      </c>
      <c r="AR209" s="21">
        <v>25.2149</v>
      </c>
      <c r="AS209" s="21">
        <v>-1.4633200000000001E-2</v>
      </c>
      <c r="AT209" s="21">
        <v>199</v>
      </c>
      <c r="AU209" s="21">
        <v>0.73712200000000005</v>
      </c>
      <c r="AV209">
        <f t="shared" si="44"/>
        <v>18.065679012345679</v>
      </c>
      <c r="AW209">
        <f t="shared" si="45"/>
        <v>13.330935528395061</v>
      </c>
      <c r="AX209" s="9"/>
      <c r="AY209" s="21">
        <v>0.90210000000000001</v>
      </c>
      <c r="AZ209" s="21">
        <v>28.9132</v>
      </c>
      <c r="BA209" s="21">
        <v>-1.4395099999999999E-2</v>
      </c>
      <c r="BB209" s="21">
        <v>199</v>
      </c>
      <c r="BC209" s="21">
        <v>0.90087899999999999</v>
      </c>
      <c r="BD209">
        <f t="shared" si="46"/>
        <v>17.771728395061729</v>
      </c>
      <c r="BE209">
        <f t="shared" si="47"/>
        <v>16.031876185185187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7.0265199999999997</v>
      </c>
      <c r="I210" s="21">
        <v>-1.4648400000000001E-2</v>
      </c>
      <c r="J210" s="21">
        <v>200</v>
      </c>
      <c r="K210" s="21">
        <v>0.73214699999999999</v>
      </c>
      <c r="L210">
        <f t="shared" si="36"/>
        <v>18.084444444444443</v>
      </c>
      <c r="M210">
        <f t="shared" si="37"/>
        <v>13.253727644444444</v>
      </c>
      <c r="N210" s="9"/>
      <c r="O210" s="21">
        <v>0.90713500000000002</v>
      </c>
      <c r="P210" s="21">
        <v>10.7249</v>
      </c>
      <c r="Q210" s="21">
        <v>-1.44501E-2</v>
      </c>
      <c r="R210" s="21">
        <v>200</v>
      </c>
      <c r="S210" s="21">
        <v>0.90606699999999996</v>
      </c>
      <c r="T210">
        <f t="shared" si="38"/>
        <v>17.839629629629631</v>
      </c>
      <c r="U210">
        <f t="shared" si="39"/>
        <v>16.182952424074074</v>
      </c>
      <c r="X210" s="9"/>
      <c r="Y210" s="21">
        <v>0.73287999999999998</v>
      </c>
      <c r="Z210" s="21">
        <v>16.1297</v>
      </c>
      <c r="AA210" s="21">
        <v>-1.45874E-2</v>
      </c>
      <c r="AB210" s="21">
        <v>200</v>
      </c>
      <c r="AC210" s="21">
        <v>0.73223899999999997</v>
      </c>
      <c r="AD210">
        <f t="shared" si="40"/>
        <v>18.009135802469135</v>
      </c>
      <c r="AE210">
        <f t="shared" si="41"/>
        <v>13.19853544691358</v>
      </c>
      <c r="AF210" s="9"/>
      <c r="AG210" s="21">
        <v>0.90713500000000002</v>
      </c>
      <c r="AH210" s="21">
        <v>19.828099999999999</v>
      </c>
      <c r="AI210" s="21">
        <v>-1.43494E-2</v>
      </c>
      <c r="AJ210" s="21">
        <v>200</v>
      </c>
      <c r="AK210" s="21">
        <v>0.90576199999999996</v>
      </c>
      <c r="AL210">
        <f t="shared" si="42"/>
        <v>17.715308641975309</v>
      </c>
      <c r="AM210">
        <f t="shared" si="43"/>
        <v>16.070176504938271</v>
      </c>
      <c r="AP210" s="9"/>
      <c r="AQ210" s="21">
        <v>0.73287999999999998</v>
      </c>
      <c r="AR210" s="21">
        <v>25.225000000000001</v>
      </c>
      <c r="AS210" s="21">
        <v>-1.4648400000000001E-2</v>
      </c>
      <c r="AT210" s="21">
        <v>200</v>
      </c>
      <c r="AU210" s="21">
        <v>0.73214699999999999</v>
      </c>
      <c r="AV210">
        <f t="shared" si="44"/>
        <v>18.084444444444443</v>
      </c>
      <c r="AW210">
        <f t="shared" si="45"/>
        <v>13.253727644444444</v>
      </c>
      <c r="AX210" s="9"/>
      <c r="AY210" s="21">
        <v>0.90713500000000002</v>
      </c>
      <c r="AZ210" s="21">
        <v>28.923300000000001</v>
      </c>
      <c r="BA210" s="21">
        <v>-1.43982E-2</v>
      </c>
      <c r="BB210" s="21">
        <v>200</v>
      </c>
      <c r="BC210" s="21">
        <v>0.90576199999999996</v>
      </c>
      <c r="BD210">
        <f t="shared" si="46"/>
        <v>17.775555555555556</v>
      </c>
      <c r="BE210">
        <f t="shared" si="47"/>
        <v>16.124828588888889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7.0365900000000003</v>
      </c>
      <c r="I211" s="21">
        <v>-1.4648400000000001E-2</v>
      </c>
      <c r="J211" s="21">
        <v>201</v>
      </c>
      <c r="K211" s="21">
        <v>0.72726400000000002</v>
      </c>
      <c r="L211">
        <f t="shared" si="36"/>
        <v>18.084444444444443</v>
      </c>
      <c r="M211">
        <f t="shared" si="37"/>
        <v>13.162654382222222</v>
      </c>
      <c r="N211" s="9"/>
      <c r="O211" s="21">
        <v>0.91217000000000004</v>
      </c>
      <c r="P211" s="21">
        <v>10.7349</v>
      </c>
      <c r="Q211" s="21">
        <v>-1.4434799999999999E-2</v>
      </c>
      <c r="R211" s="21">
        <v>201</v>
      </c>
      <c r="S211" s="21">
        <v>0.91064500000000004</v>
      </c>
      <c r="T211">
        <f t="shared" si="38"/>
        <v>17.820740740740739</v>
      </c>
      <c r="U211">
        <f t="shared" si="39"/>
        <v>16.255545081481479</v>
      </c>
      <c r="X211" s="9"/>
      <c r="Y211" s="21">
        <v>0.72784400000000005</v>
      </c>
      <c r="Z211" s="21">
        <v>16.139800000000001</v>
      </c>
      <c r="AA211" s="21">
        <v>-1.4590499999999999E-2</v>
      </c>
      <c r="AB211" s="21">
        <v>201</v>
      </c>
      <c r="AC211" s="21">
        <v>0.72711199999999998</v>
      </c>
      <c r="AD211">
        <f t="shared" si="40"/>
        <v>18.012962962962959</v>
      </c>
      <c r="AE211">
        <f t="shared" si="41"/>
        <v>13.110627014814813</v>
      </c>
      <c r="AF211" s="9"/>
      <c r="AG211" s="21">
        <v>0.91217000000000004</v>
      </c>
      <c r="AH211" s="21">
        <v>19.838100000000001</v>
      </c>
      <c r="AI211" s="21">
        <v>-1.43524E-2</v>
      </c>
      <c r="AJ211" s="21">
        <v>201</v>
      </c>
      <c r="AK211" s="21">
        <v>0.91125500000000004</v>
      </c>
      <c r="AL211">
        <f t="shared" si="42"/>
        <v>17.719012345679008</v>
      </c>
      <c r="AM211">
        <f t="shared" si="43"/>
        <v>16.162751491358023</v>
      </c>
      <c r="AP211" s="9"/>
      <c r="AQ211" s="21">
        <v>0.72784400000000005</v>
      </c>
      <c r="AR211" s="21">
        <v>25.234999999999999</v>
      </c>
      <c r="AS211" s="21">
        <v>-1.4654500000000001E-2</v>
      </c>
      <c r="AT211" s="21">
        <v>201</v>
      </c>
      <c r="AU211" s="21">
        <v>0.72714199999999996</v>
      </c>
      <c r="AV211">
        <f t="shared" si="44"/>
        <v>18.091975308641977</v>
      </c>
      <c r="AW211">
        <f t="shared" si="45"/>
        <v>13.168135676543212</v>
      </c>
      <c r="AX211" s="9"/>
      <c r="AY211" s="21">
        <v>0.91217000000000004</v>
      </c>
      <c r="AZ211" s="21">
        <v>28.933399999999999</v>
      </c>
      <c r="BA211" s="21">
        <v>-1.4395099999999999E-2</v>
      </c>
      <c r="BB211" s="21">
        <v>201</v>
      </c>
      <c r="BC211" s="21">
        <v>0.91125500000000004</v>
      </c>
      <c r="BD211">
        <f t="shared" si="46"/>
        <v>17.771728395061729</v>
      </c>
      <c r="BE211">
        <f t="shared" si="47"/>
        <v>16.210837490123456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7.0466600000000001</v>
      </c>
      <c r="I212" s="21">
        <v>-1.4648400000000001E-2</v>
      </c>
      <c r="J212" s="21">
        <v>202</v>
      </c>
      <c r="K212" s="21">
        <v>0.72216800000000003</v>
      </c>
      <c r="L212">
        <f t="shared" si="36"/>
        <v>18.084444444444443</v>
      </c>
      <c r="M212">
        <f t="shared" si="37"/>
        <v>13.071599204444444</v>
      </c>
      <c r="N212" s="9"/>
      <c r="O212" s="21">
        <v>0.91720599999999997</v>
      </c>
      <c r="P212" s="21">
        <v>10.744999999999999</v>
      </c>
      <c r="Q212" s="21">
        <v>-1.4428699999999999E-2</v>
      </c>
      <c r="R212" s="21">
        <v>202</v>
      </c>
      <c r="S212" s="21">
        <v>0.91644300000000001</v>
      </c>
      <c r="T212">
        <f t="shared" si="38"/>
        <v>17.813209876543205</v>
      </c>
      <c r="U212">
        <f t="shared" si="39"/>
        <v>16.338382978024686</v>
      </c>
      <c r="X212" s="9"/>
      <c r="Y212" s="21">
        <v>0.72280900000000003</v>
      </c>
      <c r="Z212" s="21">
        <v>16.149899999999999</v>
      </c>
      <c r="AA212" s="21">
        <v>-1.45966E-2</v>
      </c>
      <c r="AB212" s="21">
        <v>202</v>
      </c>
      <c r="AC212" s="21">
        <v>0.72216800000000003</v>
      </c>
      <c r="AD212">
        <f t="shared" si="40"/>
        <v>18.020493827160493</v>
      </c>
      <c r="AE212">
        <f t="shared" si="41"/>
        <v>13.025375122716049</v>
      </c>
      <c r="AF212" s="9"/>
      <c r="AG212" s="21">
        <v>0.91720599999999997</v>
      </c>
      <c r="AH212" s="21">
        <v>19.848199999999999</v>
      </c>
      <c r="AI212" s="21">
        <v>-1.43494E-2</v>
      </c>
      <c r="AJ212" s="21">
        <v>202</v>
      </c>
      <c r="AK212" s="21">
        <v>0.91613800000000001</v>
      </c>
      <c r="AL212">
        <f t="shared" si="42"/>
        <v>17.715308641975309</v>
      </c>
      <c r="AM212">
        <f t="shared" si="43"/>
        <v>16.248587378271605</v>
      </c>
      <c r="AP212" s="9"/>
      <c r="AQ212" s="21">
        <v>0.72280900000000003</v>
      </c>
      <c r="AR212" s="21">
        <v>25.245100000000001</v>
      </c>
      <c r="AS212" s="21">
        <v>-1.4645399999999999E-2</v>
      </c>
      <c r="AT212" s="21">
        <v>202</v>
      </c>
      <c r="AU212" s="21">
        <v>0.72216800000000003</v>
      </c>
      <c r="AV212">
        <f t="shared" si="44"/>
        <v>18.080740740740737</v>
      </c>
      <c r="AW212">
        <f t="shared" si="45"/>
        <v>13.068922134074072</v>
      </c>
      <c r="AX212" s="9"/>
      <c r="AY212" s="21">
        <v>0.91720599999999997</v>
      </c>
      <c r="AZ212" s="21">
        <v>28.9434</v>
      </c>
      <c r="BA212" s="21">
        <v>-1.43921E-2</v>
      </c>
      <c r="BB212" s="21">
        <v>202</v>
      </c>
      <c r="BC212" s="21">
        <v>0.91613800000000001</v>
      </c>
      <c r="BD212">
        <f t="shared" si="46"/>
        <v>17.768024691358022</v>
      </c>
      <c r="BE212">
        <f t="shared" si="47"/>
        <v>16.296938855061725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7.0567299999999999</v>
      </c>
      <c r="I213" s="21">
        <v>-1.46637E-2</v>
      </c>
      <c r="J213" s="21">
        <v>203</v>
      </c>
      <c r="K213" s="21">
        <v>0.717194</v>
      </c>
      <c r="L213">
        <f t="shared" si="36"/>
        <v>18.103333333333332</v>
      </c>
      <c r="M213">
        <f t="shared" si="37"/>
        <v>12.994083876666666</v>
      </c>
      <c r="N213" s="9"/>
      <c r="O213" s="21">
        <v>0.92224099999999998</v>
      </c>
      <c r="P213" s="21">
        <v>10.755100000000001</v>
      </c>
      <c r="Q213" s="21">
        <v>-1.4422600000000001E-2</v>
      </c>
      <c r="R213" s="21">
        <v>203</v>
      </c>
      <c r="S213" s="21">
        <v>0.92163099999999998</v>
      </c>
      <c r="T213">
        <f t="shared" si="38"/>
        <v>17.805679012345678</v>
      </c>
      <c r="U213">
        <f t="shared" si="39"/>
        <v>16.42112721802469</v>
      </c>
      <c r="X213" s="9"/>
      <c r="Y213" s="21">
        <v>0.71777299999999999</v>
      </c>
      <c r="Z213" s="21">
        <v>16.1599</v>
      </c>
      <c r="AA213" s="21">
        <v>-1.45966E-2</v>
      </c>
      <c r="AB213" s="21">
        <v>203</v>
      </c>
      <c r="AC213" s="21">
        <v>0.71707200000000004</v>
      </c>
      <c r="AD213">
        <f t="shared" si="40"/>
        <v>18.020493827160493</v>
      </c>
      <c r="AE213">
        <f t="shared" si="41"/>
        <v>12.934623915802469</v>
      </c>
      <c r="AF213" s="9"/>
      <c r="AG213" s="21">
        <v>0.92224099999999998</v>
      </c>
      <c r="AH213" s="21">
        <v>19.8583</v>
      </c>
      <c r="AI213" s="21">
        <v>-1.4346299999999999E-2</v>
      </c>
      <c r="AJ213" s="21">
        <v>203</v>
      </c>
      <c r="AK213" s="21">
        <v>0.92163099999999998</v>
      </c>
      <c r="AL213">
        <f t="shared" si="42"/>
        <v>17.711481481481481</v>
      </c>
      <c r="AM213">
        <f t="shared" si="43"/>
        <v>16.334254392962961</v>
      </c>
      <c r="AP213" s="9"/>
      <c r="AQ213" s="21">
        <v>0.71777299999999999</v>
      </c>
      <c r="AR213" s="21">
        <v>25.255199999999999</v>
      </c>
      <c r="AS213" s="21">
        <v>-1.4645399999999999E-2</v>
      </c>
      <c r="AT213" s="21">
        <v>203</v>
      </c>
      <c r="AU213" s="21">
        <v>0.71713300000000002</v>
      </c>
      <c r="AV213">
        <f t="shared" si="44"/>
        <v>18.080740740740737</v>
      </c>
      <c r="AW213">
        <f t="shared" si="45"/>
        <v>12.977867523703701</v>
      </c>
      <c r="AX213" s="9"/>
      <c r="AY213" s="21">
        <v>0.92224099999999998</v>
      </c>
      <c r="AZ213" s="21">
        <v>28.953499999999998</v>
      </c>
      <c r="BA213" s="21">
        <v>-1.4382900000000001E-2</v>
      </c>
      <c r="BB213" s="21">
        <v>203</v>
      </c>
      <c r="BC213" s="21">
        <v>0.92132599999999998</v>
      </c>
      <c r="BD213">
        <f t="shared" si="46"/>
        <v>17.756666666666668</v>
      </c>
      <c r="BE213">
        <f t="shared" si="47"/>
        <v>16.375926023333335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7.0667999999999997</v>
      </c>
      <c r="I214" s="21">
        <v>-1.46698E-2</v>
      </c>
      <c r="J214" s="21">
        <v>204</v>
      </c>
      <c r="K214" s="21">
        <v>0.71200600000000003</v>
      </c>
      <c r="L214">
        <f t="shared" si="36"/>
        <v>18.110864197530866</v>
      </c>
      <c r="M214">
        <f t="shared" si="37"/>
        <v>12.908301126419754</v>
      </c>
      <c r="N214" s="9"/>
      <c r="O214" s="21">
        <v>0.92727700000000002</v>
      </c>
      <c r="P214" s="21">
        <v>10.7651</v>
      </c>
      <c r="Q214" s="21">
        <v>-1.4422600000000001E-2</v>
      </c>
      <c r="R214" s="21">
        <v>204</v>
      </c>
      <c r="S214" s="21">
        <v>0.92620800000000003</v>
      </c>
      <c r="T214">
        <f t="shared" si="38"/>
        <v>17.805679012345678</v>
      </c>
      <c r="U214">
        <f t="shared" si="39"/>
        <v>16.510796617530865</v>
      </c>
      <c r="X214" s="9"/>
      <c r="Y214" s="21">
        <v>0.71273799999999998</v>
      </c>
      <c r="Z214" s="21">
        <v>16.170000000000002</v>
      </c>
      <c r="AA214" s="21">
        <v>-1.4599600000000001E-2</v>
      </c>
      <c r="AB214" s="21">
        <v>204</v>
      </c>
      <c r="AC214" s="21">
        <v>0.71209699999999998</v>
      </c>
      <c r="AD214">
        <f t="shared" si="40"/>
        <v>18.0241975308642</v>
      </c>
      <c r="AE214">
        <f t="shared" si="41"/>
        <v>12.846530499753088</v>
      </c>
      <c r="AF214" s="9"/>
      <c r="AG214" s="21">
        <v>0.92727700000000002</v>
      </c>
      <c r="AH214" s="21">
        <v>19.868400000000001</v>
      </c>
      <c r="AI214" s="21">
        <v>-1.4340200000000001E-2</v>
      </c>
      <c r="AJ214" s="21">
        <v>204</v>
      </c>
      <c r="AK214" s="21">
        <v>0.92651399999999995</v>
      </c>
      <c r="AL214">
        <f t="shared" si="42"/>
        <v>17.703950617283951</v>
      </c>
      <c r="AM214">
        <f t="shared" si="43"/>
        <v>16.41646621654321</v>
      </c>
      <c r="AP214" s="9"/>
      <c r="AQ214" s="21">
        <v>0.71273799999999998</v>
      </c>
      <c r="AR214" s="21">
        <v>25.2652</v>
      </c>
      <c r="AS214" s="21">
        <v>-1.4660599999999999E-2</v>
      </c>
      <c r="AT214" s="21">
        <v>204</v>
      </c>
      <c r="AU214" s="21">
        <v>0.71206700000000001</v>
      </c>
      <c r="AV214">
        <f t="shared" si="44"/>
        <v>18.099506172839504</v>
      </c>
      <c r="AW214">
        <f t="shared" si="45"/>
        <v>12.900205830617283</v>
      </c>
      <c r="AX214" s="9"/>
      <c r="AY214" s="21">
        <v>0.92727700000000002</v>
      </c>
      <c r="AZ214" s="21">
        <v>28.9636</v>
      </c>
      <c r="BA214" s="21">
        <v>-1.43768E-2</v>
      </c>
      <c r="BB214" s="21">
        <v>204</v>
      </c>
      <c r="BC214" s="21">
        <v>0.92651399999999995</v>
      </c>
      <c r="BD214">
        <f t="shared" si="46"/>
        <v>17.749135802469137</v>
      </c>
      <c r="BE214">
        <f t="shared" si="47"/>
        <v>16.458365399506174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7.0768700000000004</v>
      </c>
      <c r="I215" s="21">
        <v>-1.46637E-2</v>
      </c>
      <c r="J215" s="21">
        <v>205</v>
      </c>
      <c r="K215" s="21">
        <v>0.70721400000000001</v>
      </c>
      <c r="L215">
        <f t="shared" si="36"/>
        <v>18.103333333333332</v>
      </c>
      <c r="M215">
        <f t="shared" si="37"/>
        <v>12.811783309999999</v>
      </c>
      <c r="N215" s="9"/>
      <c r="O215" s="21">
        <v>0.93231200000000003</v>
      </c>
      <c r="P215" s="21">
        <v>10.7752</v>
      </c>
      <c r="Q215" s="21">
        <v>-1.4419599999999999E-2</v>
      </c>
      <c r="R215" s="21">
        <v>205</v>
      </c>
      <c r="S215" s="21">
        <v>0.93200700000000003</v>
      </c>
      <c r="T215">
        <f t="shared" si="38"/>
        <v>17.801975308641975</v>
      </c>
      <c r="U215">
        <f t="shared" si="39"/>
        <v>16.596995203950616</v>
      </c>
      <c r="X215" s="9"/>
      <c r="Y215" s="21">
        <v>0.70770299999999997</v>
      </c>
      <c r="Z215" s="21">
        <v>16.180099999999999</v>
      </c>
      <c r="AA215" s="21">
        <v>-1.46088E-2</v>
      </c>
      <c r="AB215" s="21">
        <v>205</v>
      </c>
      <c r="AC215" s="21">
        <v>0.70712299999999995</v>
      </c>
      <c r="AD215">
        <f t="shared" si="40"/>
        <v>18.035555555555554</v>
      </c>
      <c r="AE215">
        <f t="shared" si="41"/>
        <v>12.763816773333332</v>
      </c>
      <c r="AF215" s="9"/>
      <c r="AG215" s="21">
        <v>0.93231200000000003</v>
      </c>
      <c r="AH215" s="21">
        <v>19.878399999999999</v>
      </c>
      <c r="AI215" s="21">
        <v>-1.43372E-2</v>
      </c>
      <c r="AJ215" s="21">
        <v>205</v>
      </c>
      <c r="AK215" s="21">
        <v>0.931396</v>
      </c>
      <c r="AL215">
        <f t="shared" si="42"/>
        <v>17.700246913580244</v>
      </c>
      <c r="AM215">
        <f t="shared" si="43"/>
        <v>16.502152600493826</v>
      </c>
      <c r="AP215" s="9"/>
      <c r="AQ215" s="21">
        <v>0.70770299999999997</v>
      </c>
      <c r="AR215" s="21">
        <v>25.275300000000001</v>
      </c>
      <c r="AS215" s="21">
        <v>-1.46698E-2</v>
      </c>
      <c r="AT215" s="21">
        <v>205</v>
      </c>
      <c r="AU215" s="21">
        <v>0.70709200000000005</v>
      </c>
      <c r="AV215">
        <f t="shared" si="44"/>
        <v>18.110864197530866</v>
      </c>
      <c r="AW215">
        <f t="shared" si="45"/>
        <v>12.817112925185185</v>
      </c>
      <c r="AX215" s="9"/>
      <c r="AY215" s="21">
        <v>0.93231200000000003</v>
      </c>
      <c r="AZ215" s="21">
        <v>28.973700000000001</v>
      </c>
      <c r="BA215" s="21">
        <v>-1.43616E-2</v>
      </c>
      <c r="BB215" s="21">
        <v>205</v>
      </c>
      <c r="BC215" s="21">
        <v>0.931091</v>
      </c>
      <c r="BD215">
        <f t="shared" si="46"/>
        <v>17.73037037037037</v>
      </c>
      <c r="BE215">
        <f t="shared" si="47"/>
        <v>16.530237060740742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7.0869499999999999</v>
      </c>
      <c r="I216" s="21">
        <v>-1.46698E-2</v>
      </c>
      <c r="J216" s="21">
        <v>206</v>
      </c>
      <c r="K216" s="21">
        <v>0.70202600000000004</v>
      </c>
      <c r="L216">
        <f t="shared" si="36"/>
        <v>18.110864197530866</v>
      </c>
      <c r="M216">
        <f t="shared" si="37"/>
        <v>12.725906613086421</v>
      </c>
      <c r="N216" s="9"/>
      <c r="O216" s="21">
        <v>0.93734700000000004</v>
      </c>
      <c r="P216" s="21">
        <v>10.785299999999999</v>
      </c>
      <c r="Q216" s="21">
        <v>-1.4413499999999999E-2</v>
      </c>
      <c r="R216" s="21">
        <v>206</v>
      </c>
      <c r="S216" s="21">
        <v>0.93658399999999997</v>
      </c>
      <c r="T216">
        <f t="shared" si="38"/>
        <v>17.794444444444444</v>
      </c>
      <c r="U216">
        <f t="shared" si="39"/>
        <v>16.679569116666666</v>
      </c>
      <c r="X216" s="9"/>
      <c r="Y216" s="21">
        <v>0.70266700000000004</v>
      </c>
      <c r="Z216" s="21">
        <v>16.190200000000001</v>
      </c>
      <c r="AA216" s="21">
        <v>-1.4621E-2</v>
      </c>
      <c r="AB216" s="21">
        <v>206</v>
      </c>
      <c r="AC216" s="21">
        <v>0.70208700000000002</v>
      </c>
      <c r="AD216">
        <f t="shared" si="40"/>
        <v>18.050617283950618</v>
      </c>
      <c r="AE216">
        <f t="shared" si="41"/>
        <v>12.68357309506173</v>
      </c>
      <c r="AF216" s="9"/>
      <c r="AG216" s="21">
        <v>0.93734700000000004</v>
      </c>
      <c r="AH216" s="21">
        <v>19.888500000000001</v>
      </c>
      <c r="AI216" s="21">
        <v>-1.4346299999999999E-2</v>
      </c>
      <c r="AJ216" s="21">
        <v>206</v>
      </c>
      <c r="AK216" s="21">
        <v>0.93658399999999997</v>
      </c>
      <c r="AL216">
        <f t="shared" si="42"/>
        <v>17.711481481481481</v>
      </c>
      <c r="AM216">
        <f t="shared" si="43"/>
        <v>16.601804032222223</v>
      </c>
      <c r="AP216" s="9"/>
      <c r="AQ216" s="21">
        <v>0.70266700000000004</v>
      </c>
      <c r="AR216" s="21">
        <v>25.285399999999999</v>
      </c>
      <c r="AS216" s="21">
        <v>-1.4682000000000001E-2</v>
      </c>
      <c r="AT216" s="21">
        <v>206</v>
      </c>
      <c r="AU216" s="21">
        <v>0.70211800000000002</v>
      </c>
      <c r="AV216">
        <f t="shared" si="44"/>
        <v>18.125925925925923</v>
      </c>
      <c r="AW216">
        <f t="shared" si="45"/>
        <v>12.736489992592592</v>
      </c>
      <c r="AX216" s="9"/>
      <c r="AY216" s="21">
        <v>0.93734700000000004</v>
      </c>
      <c r="AZ216" s="21">
        <v>28.983699999999999</v>
      </c>
      <c r="BA216" s="21">
        <v>-1.4334100000000001E-2</v>
      </c>
      <c r="BB216" s="21">
        <v>206</v>
      </c>
      <c r="BC216" s="21">
        <v>0.93658399999999997</v>
      </c>
      <c r="BD216">
        <f t="shared" si="46"/>
        <v>17.69641975308642</v>
      </c>
      <c r="BE216">
        <f t="shared" si="47"/>
        <v>16.587685966296299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7.0970199999999997</v>
      </c>
      <c r="I217" s="21">
        <v>-1.4682000000000001E-2</v>
      </c>
      <c r="J217" s="21">
        <v>207</v>
      </c>
      <c r="K217" s="21">
        <v>0.697021</v>
      </c>
      <c r="L217">
        <f t="shared" si="36"/>
        <v>18.125925925925923</v>
      </c>
      <c r="M217">
        <f t="shared" si="37"/>
        <v>12.645225955555555</v>
      </c>
      <c r="N217" s="9"/>
      <c r="O217" s="21">
        <v>0.94238299999999997</v>
      </c>
      <c r="P217" s="21">
        <v>10.795400000000001</v>
      </c>
      <c r="Q217" s="21">
        <v>-1.4389000000000001E-2</v>
      </c>
      <c r="R217" s="21">
        <v>207</v>
      </c>
      <c r="S217" s="21">
        <v>0.94116200000000005</v>
      </c>
      <c r="T217">
        <f t="shared" si="38"/>
        <v>17.764197530864198</v>
      </c>
      <c r="U217">
        <f t="shared" si="39"/>
        <v>16.740677761728396</v>
      </c>
      <c r="X217" s="9"/>
      <c r="Y217" s="21">
        <v>0.69763200000000003</v>
      </c>
      <c r="Z217" s="21">
        <v>16.200199999999999</v>
      </c>
      <c r="AA217" s="21">
        <v>-1.4627100000000001E-2</v>
      </c>
      <c r="AB217" s="21">
        <v>207</v>
      </c>
      <c r="AC217" s="21">
        <v>0.69699100000000003</v>
      </c>
      <c r="AD217">
        <f t="shared" si="40"/>
        <v>18.058148148148145</v>
      </c>
      <c r="AE217">
        <f t="shared" si="41"/>
        <v>12.597942008888888</v>
      </c>
      <c r="AF217" s="9"/>
      <c r="AG217" s="21">
        <v>0.94238299999999997</v>
      </c>
      <c r="AH217" s="21">
        <v>19.898599999999998</v>
      </c>
      <c r="AI217" s="21">
        <v>-1.43524E-2</v>
      </c>
      <c r="AJ217" s="21">
        <v>207</v>
      </c>
      <c r="AK217" s="21">
        <v>0.94116200000000005</v>
      </c>
      <c r="AL217">
        <f t="shared" si="42"/>
        <v>17.719012345679008</v>
      </c>
      <c r="AM217">
        <f t="shared" si="43"/>
        <v>16.698096011358022</v>
      </c>
      <c r="AP217" s="9"/>
      <c r="AQ217" s="21">
        <v>0.69763200000000003</v>
      </c>
      <c r="AR217" s="21">
        <v>25.295500000000001</v>
      </c>
      <c r="AS217" s="21">
        <v>-1.4672899999999999E-2</v>
      </c>
      <c r="AT217" s="21">
        <v>207</v>
      </c>
      <c r="AU217" s="21">
        <v>0.69689900000000005</v>
      </c>
      <c r="AV217">
        <f t="shared" si="44"/>
        <v>18.11469135802469</v>
      </c>
      <c r="AW217">
        <f t="shared" si="45"/>
        <v>12.637388361481481</v>
      </c>
      <c r="AX217" s="9"/>
      <c r="AY217" s="21">
        <v>0.94238299999999997</v>
      </c>
      <c r="AZ217" s="21">
        <v>28.9938</v>
      </c>
      <c r="BA217" s="21">
        <v>-1.43036E-2</v>
      </c>
      <c r="BB217" s="21">
        <v>207</v>
      </c>
      <c r="BC217" s="21">
        <v>0.94146700000000005</v>
      </c>
      <c r="BD217">
        <f t="shared" si="46"/>
        <v>17.658765432098765</v>
      </c>
      <c r="BE217">
        <f t="shared" si="47"/>
        <v>16.641320344197531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7.1070900000000004</v>
      </c>
      <c r="I218" s="21">
        <v>-1.46973E-2</v>
      </c>
      <c r="J218" s="21">
        <v>208</v>
      </c>
      <c r="K218" s="21">
        <v>0.69186400000000003</v>
      </c>
      <c r="L218">
        <f t="shared" si="36"/>
        <v>18.144814814814815</v>
      </c>
      <c r="M218">
        <f t="shared" si="37"/>
        <v>12.567026161481481</v>
      </c>
      <c r="N218" s="9"/>
      <c r="O218" s="21">
        <v>0.94741799999999998</v>
      </c>
      <c r="P218" s="21">
        <v>10.805400000000001</v>
      </c>
      <c r="Q218" s="21">
        <v>-1.4367700000000001E-2</v>
      </c>
      <c r="R218" s="21">
        <v>208</v>
      </c>
      <c r="S218" s="21">
        <v>0.94635000000000002</v>
      </c>
      <c r="T218">
        <f t="shared" si="38"/>
        <v>17.7379012345679</v>
      </c>
      <c r="U218">
        <f t="shared" si="39"/>
        <v>16.805206911851851</v>
      </c>
      <c r="X218" s="9"/>
      <c r="Y218" s="21">
        <v>0.69259599999999999</v>
      </c>
      <c r="Z218" s="21">
        <v>16.2103</v>
      </c>
      <c r="AA218" s="21">
        <v>-1.4639299999999999E-2</v>
      </c>
      <c r="AB218" s="21">
        <v>208</v>
      </c>
      <c r="AC218" s="21">
        <v>0.69186400000000003</v>
      </c>
      <c r="AD218">
        <f t="shared" si="40"/>
        <v>18.07320987654321</v>
      </c>
      <c r="AE218">
        <f t="shared" si="41"/>
        <v>12.517432867654321</v>
      </c>
      <c r="AF218" s="9"/>
      <c r="AG218" s="21">
        <v>0.94741799999999998</v>
      </c>
      <c r="AH218" s="21">
        <v>19.9086</v>
      </c>
      <c r="AI218" s="21">
        <v>-1.43433E-2</v>
      </c>
      <c r="AJ218" s="21">
        <v>208</v>
      </c>
      <c r="AK218" s="21">
        <v>0.94726600000000005</v>
      </c>
      <c r="AL218">
        <f t="shared" si="42"/>
        <v>17.707777777777778</v>
      </c>
      <c r="AM218">
        <f t="shared" si="43"/>
        <v>16.776667406666668</v>
      </c>
      <c r="AP218" s="9"/>
      <c r="AQ218" s="21">
        <v>0.69259599999999999</v>
      </c>
      <c r="AR218" s="21">
        <v>25.305499999999999</v>
      </c>
      <c r="AS218" s="21">
        <v>-1.4678999999999999E-2</v>
      </c>
      <c r="AT218" s="21">
        <v>208</v>
      </c>
      <c r="AU218" s="21">
        <v>0.69192500000000001</v>
      </c>
      <c r="AV218">
        <f t="shared" si="44"/>
        <v>18.12222222222222</v>
      </c>
      <c r="AW218">
        <f t="shared" si="45"/>
        <v>12.55137862222222</v>
      </c>
      <c r="AX218" s="9"/>
      <c r="AY218" s="21">
        <v>0.94741799999999998</v>
      </c>
      <c r="AZ218" s="21">
        <v>29.003900000000002</v>
      </c>
      <c r="BA218" s="21">
        <v>-1.4300500000000001E-2</v>
      </c>
      <c r="BB218" s="21">
        <v>208</v>
      </c>
      <c r="BC218" s="21">
        <v>0.94604500000000002</v>
      </c>
      <c r="BD218">
        <f t="shared" si="46"/>
        <v>17.654938271604937</v>
      </c>
      <c r="BE218">
        <f t="shared" si="47"/>
        <v>16.726606307407405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7.1171600000000002</v>
      </c>
      <c r="I219" s="21">
        <v>-1.46973E-2</v>
      </c>
      <c r="J219" s="21">
        <v>209</v>
      </c>
      <c r="K219" s="21">
        <v>0.68689</v>
      </c>
      <c r="L219">
        <f t="shared" si="36"/>
        <v>18.144814814814815</v>
      </c>
      <c r="M219">
        <f t="shared" si="37"/>
        <v>12.475667018888888</v>
      </c>
      <c r="N219" s="9"/>
      <c r="O219" s="21">
        <v>0.95245400000000002</v>
      </c>
      <c r="P219" s="21">
        <v>10.8155</v>
      </c>
      <c r="Q219" s="21">
        <v>-1.43585E-2</v>
      </c>
      <c r="R219" s="21">
        <v>209</v>
      </c>
      <c r="S219" s="21">
        <v>0.95184299999999999</v>
      </c>
      <c r="T219">
        <f t="shared" si="38"/>
        <v>17.726543209876542</v>
      </c>
      <c r="U219">
        <f t="shared" si="39"/>
        <v>16.883716986419753</v>
      </c>
      <c r="X219" s="9"/>
      <c r="Y219" s="21">
        <v>0.68756099999999998</v>
      </c>
      <c r="Z219" s="21">
        <v>16.220400000000001</v>
      </c>
      <c r="AA219" s="21">
        <v>-1.46515E-2</v>
      </c>
      <c r="AB219" s="21">
        <v>209</v>
      </c>
      <c r="AC219" s="21">
        <v>0.68689</v>
      </c>
      <c r="AD219">
        <f t="shared" si="40"/>
        <v>18.088271604938271</v>
      </c>
      <c r="AE219">
        <f t="shared" si="41"/>
        <v>12.436790112962962</v>
      </c>
      <c r="AF219" s="9"/>
      <c r="AG219" s="21">
        <v>0.95245400000000002</v>
      </c>
      <c r="AH219" s="21">
        <v>19.918700000000001</v>
      </c>
      <c r="AI219" s="21">
        <v>-1.43372E-2</v>
      </c>
      <c r="AJ219" s="21">
        <v>209</v>
      </c>
      <c r="AK219" s="21">
        <v>0.950928</v>
      </c>
      <c r="AL219">
        <f t="shared" si="42"/>
        <v>17.700246913580244</v>
      </c>
      <c r="AM219">
        <f t="shared" si="43"/>
        <v>16.858670973827159</v>
      </c>
      <c r="AP219" s="9"/>
      <c r="AQ219" s="21">
        <v>0.68756099999999998</v>
      </c>
      <c r="AR219" s="21">
        <v>25.3156</v>
      </c>
      <c r="AS219" s="21">
        <v>-1.4678999999999999E-2</v>
      </c>
      <c r="AT219" s="21">
        <v>209</v>
      </c>
      <c r="AU219" s="21">
        <v>0.686859</v>
      </c>
      <c r="AV219">
        <f t="shared" si="44"/>
        <v>18.12222222222222</v>
      </c>
      <c r="AW219">
        <f t="shared" si="45"/>
        <v>12.460133233333332</v>
      </c>
      <c r="AX219" s="9"/>
      <c r="AY219" s="21">
        <v>0.95245400000000002</v>
      </c>
      <c r="AZ219" s="21">
        <v>29.0139</v>
      </c>
      <c r="BA219" s="21">
        <v>-1.4294400000000001E-2</v>
      </c>
      <c r="BB219" s="21">
        <v>209</v>
      </c>
      <c r="BC219" s="21">
        <v>0.95184299999999999</v>
      </c>
      <c r="BD219">
        <f t="shared" si="46"/>
        <v>17.647407407407407</v>
      </c>
      <c r="BE219">
        <f t="shared" si="47"/>
        <v>16.808343774814816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7.12723</v>
      </c>
      <c r="I220" s="21">
        <v>-1.46973E-2</v>
      </c>
      <c r="J220" s="21">
        <v>210</v>
      </c>
      <c r="K220" s="21">
        <v>0.68182399999999999</v>
      </c>
      <c r="L220">
        <f t="shared" si="36"/>
        <v>18.144814814814815</v>
      </c>
      <c r="M220">
        <f t="shared" si="37"/>
        <v>12.384307876296296</v>
      </c>
      <c r="N220" s="9"/>
      <c r="O220" s="21">
        <v>0.95748900000000003</v>
      </c>
      <c r="P220" s="21">
        <v>10.8256</v>
      </c>
      <c r="Q220" s="21">
        <v>-1.43433E-2</v>
      </c>
      <c r="R220" s="21">
        <v>210</v>
      </c>
      <c r="S220" s="21">
        <v>0.95581099999999997</v>
      </c>
      <c r="T220">
        <f t="shared" si="38"/>
        <v>17.707777777777778</v>
      </c>
      <c r="U220">
        <f t="shared" si="39"/>
        <v>16.955002436666668</v>
      </c>
      <c r="X220" s="9"/>
      <c r="Y220" s="21">
        <v>0.68252599999999997</v>
      </c>
      <c r="Z220" s="21">
        <v>16.230399999999999</v>
      </c>
      <c r="AA220" s="21">
        <v>-1.46576E-2</v>
      </c>
      <c r="AB220" s="21">
        <v>210</v>
      </c>
      <c r="AC220" s="21">
        <v>0.68185399999999996</v>
      </c>
      <c r="AD220">
        <f t="shared" si="40"/>
        <v>18.095802469135801</v>
      </c>
      <c r="AE220">
        <f t="shared" si="41"/>
        <v>12.350855676049381</v>
      </c>
      <c r="AF220" s="9"/>
      <c r="AG220" s="21">
        <v>0.95748900000000003</v>
      </c>
      <c r="AH220" s="21">
        <v>19.928799999999999</v>
      </c>
      <c r="AI220" s="21">
        <v>-1.4334100000000001E-2</v>
      </c>
      <c r="AJ220" s="21">
        <v>210</v>
      </c>
      <c r="AK220" s="21">
        <v>0.95611599999999997</v>
      </c>
      <c r="AL220">
        <f t="shared" si="42"/>
        <v>17.69641975308642</v>
      </c>
      <c r="AM220">
        <f t="shared" si="43"/>
        <v>16.944127252962964</v>
      </c>
      <c r="AP220" s="9"/>
      <c r="AQ220" s="21">
        <v>0.68252599999999997</v>
      </c>
      <c r="AR220" s="21">
        <v>25.325700000000001</v>
      </c>
      <c r="AS220" s="21">
        <v>-1.4678999999999999E-2</v>
      </c>
      <c r="AT220" s="21">
        <v>210</v>
      </c>
      <c r="AU220" s="21">
        <v>0.68191500000000005</v>
      </c>
      <c r="AV220">
        <f t="shared" si="44"/>
        <v>18.12222222222222</v>
      </c>
      <c r="AW220">
        <f t="shared" si="45"/>
        <v>12.368887844444442</v>
      </c>
      <c r="AX220" s="9"/>
      <c r="AY220" s="21">
        <v>0.95748900000000003</v>
      </c>
      <c r="AZ220" s="21">
        <v>29.024000000000001</v>
      </c>
      <c r="BA220" s="21">
        <v>-1.42883E-2</v>
      </c>
      <c r="BB220" s="21">
        <v>210</v>
      </c>
      <c r="BC220" s="21">
        <v>0.95642099999999997</v>
      </c>
      <c r="BD220">
        <f t="shared" si="46"/>
        <v>17.639876543209876</v>
      </c>
      <c r="BE220">
        <f t="shared" si="47"/>
        <v>16.889987751481481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7.1372999999999998</v>
      </c>
      <c r="I221" s="21">
        <v>-1.47064E-2</v>
      </c>
      <c r="J221" s="21">
        <v>211</v>
      </c>
      <c r="K221" s="21">
        <v>0.67684900000000003</v>
      </c>
      <c r="L221">
        <f t="shared" si="36"/>
        <v>18.156049382716049</v>
      </c>
      <c r="M221">
        <f t="shared" si="37"/>
        <v>12.300541896296297</v>
      </c>
      <c r="N221" s="9"/>
      <c r="O221" s="21">
        <v>0.96252400000000005</v>
      </c>
      <c r="P221" s="21">
        <v>10.835599999999999</v>
      </c>
      <c r="Q221" s="21">
        <v>-1.4334100000000001E-2</v>
      </c>
      <c r="R221" s="21">
        <v>211</v>
      </c>
      <c r="S221" s="21">
        <v>0.96130400000000005</v>
      </c>
      <c r="T221">
        <f t="shared" si="38"/>
        <v>17.69641975308642</v>
      </c>
      <c r="U221">
        <f t="shared" si="39"/>
        <v>17.033228726419754</v>
      </c>
      <c r="X221" s="9"/>
      <c r="Y221" s="21">
        <v>0.67749000000000004</v>
      </c>
      <c r="Z221" s="21">
        <v>16.240500000000001</v>
      </c>
      <c r="AA221" s="21">
        <v>-1.46698E-2</v>
      </c>
      <c r="AB221" s="21">
        <v>211</v>
      </c>
      <c r="AC221" s="21">
        <v>0.67681899999999995</v>
      </c>
      <c r="AD221">
        <f t="shared" si="40"/>
        <v>18.110864197530866</v>
      </c>
      <c r="AE221">
        <f t="shared" si="41"/>
        <v>12.269929385185186</v>
      </c>
      <c r="AF221" s="9"/>
      <c r="AG221" s="21">
        <v>0.96252400000000005</v>
      </c>
      <c r="AH221" s="21">
        <v>19.9389</v>
      </c>
      <c r="AI221" s="21">
        <v>-1.43188E-2</v>
      </c>
      <c r="AJ221" s="21">
        <v>211</v>
      </c>
      <c r="AK221" s="21">
        <v>0.96191400000000005</v>
      </c>
      <c r="AL221">
        <f t="shared" si="42"/>
        <v>17.677530864197529</v>
      </c>
      <c r="AM221">
        <f t="shared" si="43"/>
        <v>17.015047717530862</v>
      </c>
      <c r="AP221" s="9"/>
      <c r="AQ221" s="21">
        <v>0.67749000000000004</v>
      </c>
      <c r="AR221" s="21">
        <v>25.335699999999999</v>
      </c>
      <c r="AS221" s="21">
        <v>-1.46515E-2</v>
      </c>
      <c r="AT221" s="21">
        <v>211</v>
      </c>
      <c r="AU221" s="21">
        <v>0.67681899999999995</v>
      </c>
      <c r="AV221">
        <f t="shared" si="44"/>
        <v>18.088271604938271</v>
      </c>
      <c r="AW221">
        <f t="shared" si="45"/>
        <v>12.25462312962963</v>
      </c>
      <c r="AX221" s="9"/>
      <c r="AY221" s="21">
        <v>0.96252400000000005</v>
      </c>
      <c r="AZ221" s="21">
        <v>29.034099999999999</v>
      </c>
      <c r="BA221" s="21">
        <v>-1.4291399999999999E-2</v>
      </c>
      <c r="BB221" s="21">
        <v>211</v>
      </c>
      <c r="BC221" s="21">
        <v>0.96130400000000005</v>
      </c>
      <c r="BD221">
        <f t="shared" si="46"/>
        <v>17.643703703703704</v>
      </c>
      <c r="BE221">
        <f t="shared" si="47"/>
        <v>16.982488263703704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7.1473699999999996</v>
      </c>
      <c r="I222" s="21">
        <v>-1.4715600000000001E-2</v>
      </c>
      <c r="J222" s="21">
        <v>212</v>
      </c>
      <c r="K222" s="21">
        <v>0.67172200000000004</v>
      </c>
      <c r="L222">
        <f t="shared" si="36"/>
        <v>18.167407407407406</v>
      </c>
      <c r="M222">
        <f t="shared" si="37"/>
        <v>12.216763948148149</v>
      </c>
      <c r="N222" s="9"/>
      <c r="O222" s="21">
        <v>0.96755999999999998</v>
      </c>
      <c r="P222" s="21">
        <v>10.845700000000001</v>
      </c>
      <c r="Q222" s="21">
        <v>-1.4331099999999999E-2</v>
      </c>
      <c r="R222" s="21">
        <v>212</v>
      </c>
      <c r="S222" s="21">
        <v>0.96649200000000002</v>
      </c>
      <c r="T222">
        <f t="shared" si="38"/>
        <v>17.692716049382714</v>
      </c>
      <c r="U222">
        <f t="shared" si="39"/>
        <v>17.118764340740739</v>
      </c>
      <c r="X222" s="9"/>
      <c r="Y222" s="21">
        <v>0.67245500000000002</v>
      </c>
      <c r="Z222" s="21">
        <v>16.250599999999999</v>
      </c>
      <c r="AA222" s="21">
        <v>-1.4678999999999999E-2</v>
      </c>
      <c r="AB222" s="21">
        <v>212</v>
      </c>
      <c r="AC222" s="21">
        <v>0.67163099999999998</v>
      </c>
      <c r="AD222">
        <f t="shared" si="40"/>
        <v>18.12222222222222</v>
      </c>
      <c r="AE222">
        <f t="shared" si="41"/>
        <v>12.186378944444444</v>
      </c>
      <c r="AF222" s="9"/>
      <c r="AG222" s="21">
        <v>0.96755999999999998</v>
      </c>
      <c r="AH222" s="21">
        <v>19.948899999999998</v>
      </c>
      <c r="AI222" s="21">
        <v>-1.4306599999999999E-2</v>
      </c>
      <c r="AJ222" s="21">
        <v>212</v>
      </c>
      <c r="AK222" s="21">
        <v>0.96649200000000002</v>
      </c>
      <c r="AL222">
        <f t="shared" si="42"/>
        <v>17.662469135802468</v>
      </c>
      <c r="AM222">
        <f t="shared" si="43"/>
        <v>17.089498637037035</v>
      </c>
      <c r="AP222" s="9"/>
      <c r="AQ222" s="21">
        <v>0.67245500000000002</v>
      </c>
      <c r="AR222" s="21">
        <v>25.345800000000001</v>
      </c>
      <c r="AS222" s="21">
        <v>-1.46423E-2</v>
      </c>
      <c r="AT222" s="21">
        <v>212</v>
      </c>
      <c r="AU222" s="21">
        <v>0.67178300000000002</v>
      </c>
      <c r="AV222">
        <f t="shared" si="44"/>
        <v>18.076913580246913</v>
      </c>
      <c r="AW222">
        <f t="shared" si="45"/>
        <v>12.155910921604939</v>
      </c>
      <c r="AX222" s="9"/>
      <c r="AY222" s="21">
        <v>0.96755999999999998</v>
      </c>
      <c r="AZ222" s="21">
        <v>29.0442</v>
      </c>
      <c r="BA222" s="21">
        <v>-1.42822E-2</v>
      </c>
      <c r="BB222" s="21">
        <v>212</v>
      </c>
      <c r="BC222" s="21">
        <v>0.96618700000000002</v>
      </c>
      <c r="BD222">
        <f t="shared" si="46"/>
        <v>17.632345679012342</v>
      </c>
      <c r="BE222">
        <f t="shared" si="47"/>
        <v>17.06035238518518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7.1574400000000002</v>
      </c>
      <c r="I223" s="21">
        <v>-1.47186E-2</v>
      </c>
      <c r="J223" s="21">
        <v>213</v>
      </c>
      <c r="K223" s="21">
        <v>0.66677900000000001</v>
      </c>
      <c r="L223">
        <f t="shared" si="36"/>
        <v>18.171111111111109</v>
      </c>
      <c r="M223">
        <f t="shared" si="37"/>
        <v>12.127744806666666</v>
      </c>
      <c r="N223" s="9"/>
      <c r="O223" s="21">
        <v>0.97259499999999999</v>
      </c>
      <c r="P223" s="21">
        <v>10.8558</v>
      </c>
      <c r="Q223" s="21">
        <v>-1.4334100000000001E-2</v>
      </c>
      <c r="R223" s="21">
        <v>213</v>
      </c>
      <c r="S223" s="21">
        <v>0.97106899999999996</v>
      </c>
      <c r="T223">
        <f t="shared" si="38"/>
        <v>17.69641975308642</v>
      </c>
      <c r="U223">
        <f t="shared" si="39"/>
        <v>17.211449369753087</v>
      </c>
      <c r="X223" s="9"/>
      <c r="Y223" s="21">
        <v>0.66741899999999998</v>
      </c>
      <c r="Z223" s="21">
        <v>16.2607</v>
      </c>
      <c r="AA223" s="21">
        <v>-1.4688100000000001E-2</v>
      </c>
      <c r="AB223" s="21">
        <v>213</v>
      </c>
      <c r="AC223" s="21">
        <v>0.66671800000000003</v>
      </c>
      <c r="AD223">
        <f t="shared" si="40"/>
        <v>18.133456790123457</v>
      </c>
      <c r="AE223">
        <f t="shared" si="41"/>
        <v>12.102613597407407</v>
      </c>
      <c r="AF223" s="9"/>
      <c r="AG223" s="21">
        <v>0.97259499999999999</v>
      </c>
      <c r="AH223" s="21">
        <v>19.959</v>
      </c>
      <c r="AI223" s="21">
        <v>-1.4306599999999999E-2</v>
      </c>
      <c r="AJ223" s="21">
        <v>213</v>
      </c>
      <c r="AK223" s="21">
        <v>0.97198499999999999</v>
      </c>
      <c r="AL223">
        <f t="shared" si="42"/>
        <v>17.662469135802468</v>
      </c>
      <c r="AM223">
        <f t="shared" si="43"/>
        <v>17.1784291691358</v>
      </c>
      <c r="AP223" s="9"/>
      <c r="AQ223" s="21">
        <v>0.66741899999999998</v>
      </c>
      <c r="AR223" s="21">
        <v>25.355899999999998</v>
      </c>
      <c r="AS223" s="21">
        <v>-1.4624E-2</v>
      </c>
      <c r="AT223" s="21">
        <v>213</v>
      </c>
      <c r="AU223" s="21">
        <v>0.66677900000000001</v>
      </c>
      <c r="AV223">
        <f t="shared" si="44"/>
        <v>18.054320987654318</v>
      </c>
      <c r="AW223">
        <f t="shared" si="45"/>
        <v>12.049796859259256</v>
      </c>
      <c r="AX223" s="9"/>
      <c r="AY223" s="21">
        <v>0.97259499999999999</v>
      </c>
      <c r="AZ223" s="21">
        <v>29.054200000000002</v>
      </c>
      <c r="BA223" s="21">
        <v>-1.42822E-2</v>
      </c>
      <c r="BB223" s="21">
        <v>213</v>
      </c>
      <c r="BC223" s="21">
        <v>0.97106899999999996</v>
      </c>
      <c r="BD223">
        <f t="shared" si="46"/>
        <v>17.632345679012342</v>
      </c>
      <c r="BE223">
        <f t="shared" si="47"/>
        <v>17.149131245679008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7.16751</v>
      </c>
      <c r="I224" s="21">
        <v>-1.47308E-2</v>
      </c>
      <c r="J224" s="21">
        <v>214</v>
      </c>
      <c r="K224" s="21">
        <v>0.661713</v>
      </c>
      <c r="L224">
        <f t="shared" si="36"/>
        <v>18.186172839506174</v>
      </c>
      <c r="M224">
        <f t="shared" si="37"/>
        <v>12.046229910123458</v>
      </c>
      <c r="N224" s="9"/>
      <c r="O224" s="21">
        <v>0.97763100000000003</v>
      </c>
      <c r="P224" s="21">
        <v>10.8659</v>
      </c>
      <c r="Q224" s="21">
        <v>-1.4331099999999999E-2</v>
      </c>
      <c r="R224" s="21">
        <v>214</v>
      </c>
      <c r="S224" s="21">
        <v>0.97717299999999996</v>
      </c>
      <c r="T224">
        <f t="shared" si="38"/>
        <v>17.692716049382714</v>
      </c>
      <c r="U224">
        <f t="shared" si="39"/>
        <v>17.296947684074073</v>
      </c>
      <c r="X224" s="9"/>
      <c r="Y224" s="21">
        <v>0.66238399999999997</v>
      </c>
      <c r="Z224" s="21">
        <v>16.270700000000001</v>
      </c>
      <c r="AA224" s="21">
        <v>-1.4700299999999999E-2</v>
      </c>
      <c r="AB224" s="21">
        <v>214</v>
      </c>
      <c r="AC224" s="21">
        <v>0.661713</v>
      </c>
      <c r="AD224">
        <f t="shared" si="40"/>
        <v>18.148518518518514</v>
      </c>
      <c r="AE224">
        <f t="shared" si="41"/>
        <v>12.021288290370368</v>
      </c>
      <c r="AF224" s="9"/>
      <c r="AG224" s="21">
        <v>0.97763100000000003</v>
      </c>
      <c r="AH224" s="21">
        <v>19.969100000000001</v>
      </c>
      <c r="AI224" s="21">
        <v>-1.43036E-2</v>
      </c>
      <c r="AJ224" s="21">
        <v>214</v>
      </c>
      <c r="AK224" s="21">
        <v>0.97686799999999996</v>
      </c>
      <c r="AL224">
        <f t="shared" si="42"/>
        <v>17.658765432098765</v>
      </c>
      <c r="AM224">
        <f t="shared" si="43"/>
        <v>17.263756508148148</v>
      </c>
      <c r="AP224" s="9"/>
      <c r="AQ224" s="21">
        <v>0.66238399999999997</v>
      </c>
      <c r="AR224" s="21">
        <v>25.366</v>
      </c>
      <c r="AS224" s="21">
        <v>-1.46149E-2</v>
      </c>
      <c r="AT224" s="21">
        <v>214</v>
      </c>
      <c r="AU224" s="21">
        <v>0.661713</v>
      </c>
      <c r="AV224">
        <f t="shared" si="44"/>
        <v>18.043086419753088</v>
      </c>
      <c r="AW224">
        <f t="shared" si="45"/>
        <v>11.951451755061729</v>
      </c>
      <c r="AX224" s="9"/>
      <c r="AY224" s="21">
        <v>0.97763100000000003</v>
      </c>
      <c r="AZ224" s="21">
        <v>29.064299999999999</v>
      </c>
      <c r="BA224" s="21">
        <v>-1.42822E-2</v>
      </c>
      <c r="BB224" s="21">
        <v>214</v>
      </c>
      <c r="BC224" s="21">
        <v>0.97686799999999996</v>
      </c>
      <c r="BD224">
        <f t="shared" si="46"/>
        <v>17.632345679012342</v>
      </c>
      <c r="BE224">
        <f t="shared" si="47"/>
        <v>17.237927738518515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7.1775799999999998</v>
      </c>
      <c r="I225" s="21">
        <v>-1.4736900000000001E-2</v>
      </c>
      <c r="J225" s="21">
        <v>215</v>
      </c>
      <c r="K225" s="21">
        <v>0.65664699999999998</v>
      </c>
      <c r="L225">
        <f t="shared" si="36"/>
        <v>18.193703703703704</v>
      </c>
      <c r="M225">
        <f t="shared" si="37"/>
        <v>11.959612935925925</v>
      </c>
      <c r="N225" s="9"/>
      <c r="O225" s="21">
        <v>0.98266600000000004</v>
      </c>
      <c r="P225" s="21">
        <v>10.8759</v>
      </c>
      <c r="Q225" s="21">
        <v>-1.4324999999999999E-2</v>
      </c>
      <c r="R225" s="21">
        <v>215</v>
      </c>
      <c r="S225" s="21">
        <v>0.98175000000000001</v>
      </c>
      <c r="T225">
        <f t="shared" si="38"/>
        <v>17.685185185185183</v>
      </c>
      <c r="U225">
        <f t="shared" si="39"/>
        <v>17.378630185185184</v>
      </c>
      <c r="X225" s="9"/>
      <c r="Y225" s="21">
        <v>0.65734899999999996</v>
      </c>
      <c r="Z225" s="21">
        <v>16.280799999999999</v>
      </c>
      <c r="AA225" s="21">
        <v>-1.4721700000000001E-2</v>
      </c>
      <c r="AB225" s="21">
        <v>215</v>
      </c>
      <c r="AC225" s="21">
        <v>0.65661599999999998</v>
      </c>
      <c r="AD225">
        <f t="shared" si="40"/>
        <v>18.174938271604937</v>
      </c>
      <c r="AE225">
        <f t="shared" si="41"/>
        <v>11.947277497901233</v>
      </c>
      <c r="AF225" s="9"/>
      <c r="AG225" s="21">
        <v>0.98266600000000004</v>
      </c>
      <c r="AH225" s="21">
        <v>19.979099999999999</v>
      </c>
      <c r="AI225" s="21">
        <v>-1.4297499999999999E-2</v>
      </c>
      <c r="AJ225" s="21">
        <v>215</v>
      </c>
      <c r="AK225" s="21">
        <v>0.98144500000000001</v>
      </c>
      <c r="AL225">
        <f t="shared" si="42"/>
        <v>17.651234567901231</v>
      </c>
      <c r="AM225">
        <f t="shared" si="43"/>
        <v>17.34526806790123</v>
      </c>
      <c r="AP225" s="9"/>
      <c r="AQ225" s="21">
        <v>0.65734899999999996</v>
      </c>
      <c r="AR225" s="21">
        <v>25.376000000000001</v>
      </c>
      <c r="AS225" s="21">
        <v>-1.4605699999999999E-2</v>
      </c>
      <c r="AT225" s="21">
        <v>215</v>
      </c>
      <c r="AU225" s="21">
        <v>0.65649400000000002</v>
      </c>
      <c r="AV225">
        <f t="shared" si="44"/>
        <v>18.031728395061727</v>
      </c>
      <c r="AW225">
        <f t="shared" si="45"/>
        <v>11.85313862876543</v>
      </c>
      <c r="AX225" s="9"/>
      <c r="AY225" s="21">
        <v>0.98266600000000004</v>
      </c>
      <c r="AZ225" s="21">
        <v>29.074400000000001</v>
      </c>
      <c r="BA225" s="21">
        <v>-1.42822E-2</v>
      </c>
      <c r="BB225" s="21">
        <v>215</v>
      </c>
      <c r="BC225" s="21">
        <v>0.98175000000000001</v>
      </c>
      <c r="BD225">
        <f t="shared" si="46"/>
        <v>17.632345679012342</v>
      </c>
      <c r="BE225">
        <f t="shared" si="47"/>
        <v>17.326706599012343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7.1876600000000002</v>
      </c>
      <c r="I226" s="21">
        <v>-1.474E-2</v>
      </c>
      <c r="J226" s="21">
        <v>216</v>
      </c>
      <c r="K226" s="21">
        <v>0.65151999999999999</v>
      </c>
      <c r="L226">
        <f t="shared" si="36"/>
        <v>18.197530864197528</v>
      </c>
      <c r="M226">
        <f t="shared" si="37"/>
        <v>11.870485950617283</v>
      </c>
      <c r="N226" s="9"/>
      <c r="O226" s="21">
        <v>0.98770100000000005</v>
      </c>
      <c r="P226" s="21">
        <v>10.885999999999999</v>
      </c>
      <c r="Q226" s="21">
        <v>-1.4312699999999999E-2</v>
      </c>
      <c r="R226" s="21">
        <v>216</v>
      </c>
      <c r="S226" s="21">
        <v>0.98663299999999998</v>
      </c>
      <c r="T226">
        <f t="shared" si="38"/>
        <v>17.669999999999998</v>
      </c>
      <c r="U226">
        <f t="shared" si="39"/>
        <v>17.452676669999999</v>
      </c>
      <c r="X226" s="9"/>
      <c r="Y226" s="21">
        <v>0.65231300000000003</v>
      </c>
      <c r="Z226" s="21">
        <v>16.290900000000001</v>
      </c>
      <c r="AA226" s="21">
        <v>-1.4733899999999999E-2</v>
      </c>
      <c r="AB226" s="21">
        <v>216</v>
      </c>
      <c r="AC226" s="21">
        <v>0.65151999999999999</v>
      </c>
      <c r="AD226">
        <f t="shared" si="40"/>
        <v>18.189999999999998</v>
      </c>
      <c r="AE226">
        <f t="shared" si="41"/>
        <v>11.865573469999999</v>
      </c>
      <c r="AF226" s="9"/>
      <c r="AG226" s="21">
        <v>0.98770100000000005</v>
      </c>
      <c r="AH226" s="21">
        <v>19.9892</v>
      </c>
      <c r="AI226" s="21">
        <v>-1.4285300000000001E-2</v>
      </c>
      <c r="AJ226" s="21">
        <v>216</v>
      </c>
      <c r="AK226" s="21">
        <v>0.98663299999999998</v>
      </c>
      <c r="AL226">
        <f t="shared" si="42"/>
        <v>17.636172839506173</v>
      </c>
      <c r="AM226">
        <f t="shared" si="43"/>
        <v>17.419265549753089</v>
      </c>
      <c r="AP226" s="9"/>
      <c r="AQ226" s="21">
        <v>0.65231300000000003</v>
      </c>
      <c r="AR226" s="21">
        <v>25.386099999999999</v>
      </c>
      <c r="AS226" s="21">
        <v>-1.46027E-2</v>
      </c>
      <c r="AT226" s="21">
        <v>216</v>
      </c>
      <c r="AU226" s="21">
        <v>0.65170300000000003</v>
      </c>
      <c r="AV226">
        <f t="shared" si="44"/>
        <v>18.028024691358024</v>
      </c>
      <c r="AW226">
        <f t="shared" si="45"/>
        <v>11.759914870493827</v>
      </c>
      <c r="AX226" s="9"/>
      <c r="AY226" s="21">
        <v>0.98770100000000005</v>
      </c>
      <c r="AZ226" s="21">
        <v>29.084399999999999</v>
      </c>
      <c r="BA226" s="21">
        <v>-1.4263899999999999E-2</v>
      </c>
      <c r="BB226" s="21">
        <v>216</v>
      </c>
      <c r="BC226" s="21">
        <v>0.98632799999999998</v>
      </c>
      <c r="BD226">
        <f t="shared" si="46"/>
        <v>17.609753086419751</v>
      </c>
      <c r="BE226">
        <f t="shared" si="47"/>
        <v>17.393170733209875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7.19773</v>
      </c>
      <c r="I227" s="21">
        <v>-1.474E-2</v>
      </c>
      <c r="J227" s="21">
        <v>217</v>
      </c>
      <c r="K227" s="21">
        <v>0.64663700000000002</v>
      </c>
      <c r="L227">
        <f t="shared" si="36"/>
        <v>18.197530864197528</v>
      </c>
      <c r="M227">
        <f t="shared" si="37"/>
        <v>11.778861382716048</v>
      </c>
      <c r="N227" s="9"/>
      <c r="O227" s="21">
        <v>0.99273699999999998</v>
      </c>
      <c r="P227" s="21">
        <v>10.896100000000001</v>
      </c>
      <c r="Q227" s="21">
        <v>-1.43097E-2</v>
      </c>
      <c r="R227" s="21">
        <v>217</v>
      </c>
      <c r="S227" s="21">
        <v>0.99212599999999995</v>
      </c>
      <c r="T227">
        <f t="shared" si="38"/>
        <v>17.666296296296295</v>
      </c>
      <c r="U227">
        <f t="shared" si="39"/>
        <v>17.537985986296295</v>
      </c>
      <c r="X227" s="9"/>
      <c r="Y227" s="21">
        <v>0.64727800000000002</v>
      </c>
      <c r="Z227" s="21">
        <v>16.300899999999999</v>
      </c>
      <c r="AA227" s="21">
        <v>-1.47461E-2</v>
      </c>
      <c r="AB227" s="21">
        <v>217</v>
      </c>
      <c r="AC227" s="21">
        <v>0.64651499999999995</v>
      </c>
      <c r="AD227">
        <f t="shared" si="40"/>
        <v>18.205061728395062</v>
      </c>
      <c r="AE227">
        <f t="shared" si="41"/>
        <v>11.783735945432099</v>
      </c>
      <c r="AF227" s="9"/>
      <c r="AG227" s="21">
        <v>0.99273699999999998</v>
      </c>
      <c r="AH227" s="21">
        <v>19.999300000000002</v>
      </c>
      <c r="AI227" s="21">
        <v>-1.42883E-2</v>
      </c>
      <c r="AJ227" s="21">
        <v>217</v>
      </c>
      <c r="AK227" s="21">
        <v>0.99212599999999995</v>
      </c>
      <c r="AL227">
        <f t="shared" si="42"/>
        <v>17.639876543209876</v>
      </c>
      <c r="AM227">
        <f t="shared" si="43"/>
        <v>17.511758119876543</v>
      </c>
      <c r="AP227" s="9"/>
      <c r="AQ227" s="21">
        <v>0.64727800000000002</v>
      </c>
      <c r="AR227" s="21">
        <v>25.3962</v>
      </c>
      <c r="AS227" s="21">
        <v>-1.4605699999999999E-2</v>
      </c>
      <c r="AT227" s="21">
        <v>217</v>
      </c>
      <c r="AU227" s="21">
        <v>0.64660600000000001</v>
      </c>
      <c r="AV227">
        <f t="shared" si="44"/>
        <v>18.031728395061727</v>
      </c>
      <c r="AW227">
        <f t="shared" si="45"/>
        <v>11.671541092098765</v>
      </c>
      <c r="AX227" s="9"/>
      <c r="AY227" s="21">
        <v>0.99273699999999998</v>
      </c>
      <c r="AZ227" s="21">
        <v>29.0945</v>
      </c>
      <c r="BA227" s="21">
        <v>-1.42548E-2</v>
      </c>
      <c r="BB227" s="21">
        <v>217</v>
      </c>
      <c r="BC227" s="21">
        <v>0.99182099999999995</v>
      </c>
      <c r="BD227">
        <f t="shared" si="46"/>
        <v>17.598518518518517</v>
      </c>
      <c r="BE227">
        <f t="shared" si="47"/>
        <v>17.470700478518516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7.2077999999999998</v>
      </c>
      <c r="I228" s="21">
        <v>-1.4736900000000001E-2</v>
      </c>
      <c r="J228" s="21">
        <v>218</v>
      </c>
      <c r="K228" s="21">
        <v>0.64151000000000002</v>
      </c>
      <c r="L228">
        <f t="shared" si="36"/>
        <v>18.193703703703704</v>
      </c>
      <c r="M228">
        <f t="shared" si="37"/>
        <v>11.684760654074074</v>
      </c>
      <c r="N228" s="9"/>
      <c r="O228" s="21">
        <v>0.99777199999999999</v>
      </c>
      <c r="P228" s="21">
        <v>10.9061</v>
      </c>
      <c r="Q228" s="21">
        <v>-1.4300500000000001E-2</v>
      </c>
      <c r="R228" s="21">
        <v>218</v>
      </c>
      <c r="S228" s="21">
        <v>0.99670400000000003</v>
      </c>
      <c r="T228">
        <f t="shared" si="38"/>
        <v>17.654938271604937</v>
      </c>
      <c r="U228">
        <f t="shared" si="39"/>
        <v>17.615603069135801</v>
      </c>
      <c r="X228" s="9"/>
      <c r="Y228" s="21">
        <v>0.64224199999999998</v>
      </c>
      <c r="Z228" s="21">
        <v>16.311</v>
      </c>
      <c r="AA228" s="21">
        <v>-1.47522E-2</v>
      </c>
      <c r="AB228" s="21">
        <v>218</v>
      </c>
      <c r="AC228" s="21">
        <v>0.64147900000000002</v>
      </c>
      <c r="AD228">
        <f t="shared" si="40"/>
        <v>18.212592592592593</v>
      </c>
      <c r="AE228">
        <f t="shared" si="41"/>
        <v>11.696891891851852</v>
      </c>
      <c r="AF228" s="9"/>
      <c r="AG228" s="21">
        <v>0.99777199999999999</v>
      </c>
      <c r="AH228" s="21">
        <v>20.009399999999999</v>
      </c>
      <c r="AI228" s="21">
        <v>-1.42883E-2</v>
      </c>
      <c r="AJ228" s="21">
        <v>218</v>
      </c>
      <c r="AK228" s="21">
        <v>0.99670400000000003</v>
      </c>
      <c r="AL228">
        <f t="shared" si="42"/>
        <v>17.639876543209876</v>
      </c>
      <c r="AM228">
        <f t="shared" si="43"/>
        <v>17.600574898271603</v>
      </c>
      <c r="AP228" s="9"/>
      <c r="AQ228" s="21">
        <v>0.64224199999999998</v>
      </c>
      <c r="AR228" s="21">
        <v>25.406199999999998</v>
      </c>
      <c r="AS228" s="21">
        <v>-1.46088E-2</v>
      </c>
      <c r="AT228" s="21">
        <v>218</v>
      </c>
      <c r="AU228" s="21">
        <v>0.64147900000000002</v>
      </c>
      <c r="AV228">
        <f t="shared" si="44"/>
        <v>18.035555555555554</v>
      </c>
      <c r="AW228">
        <f t="shared" si="45"/>
        <v>11.58319127111111</v>
      </c>
      <c r="AX228" s="9"/>
      <c r="AY228" s="21">
        <v>0.99777199999999999</v>
      </c>
      <c r="AZ228" s="21">
        <v>29.104600000000001</v>
      </c>
      <c r="BA228" s="21">
        <v>-1.42334E-2</v>
      </c>
      <c r="BB228" s="21">
        <v>218</v>
      </c>
      <c r="BC228" s="21">
        <v>0.99700900000000003</v>
      </c>
      <c r="BD228">
        <f t="shared" si="46"/>
        <v>17.572098765432099</v>
      </c>
      <c r="BE228">
        <f t="shared" si="47"/>
        <v>17.532948129382717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7.2178699999999996</v>
      </c>
      <c r="I229" s="21">
        <v>-1.47308E-2</v>
      </c>
      <c r="J229" s="21">
        <v>219</v>
      </c>
      <c r="K229" s="21">
        <v>0.63662700000000005</v>
      </c>
      <c r="L229">
        <f t="shared" si="36"/>
        <v>18.186172839506174</v>
      </c>
      <c r="M229">
        <f t="shared" si="37"/>
        <v>11.58835663654321</v>
      </c>
      <c r="N229" s="9"/>
      <c r="O229" s="21">
        <v>1.00281</v>
      </c>
      <c r="P229" s="21">
        <v>10.9162</v>
      </c>
      <c r="Q229" s="21">
        <v>-1.4306599999999999E-2</v>
      </c>
      <c r="R229" s="21">
        <v>219</v>
      </c>
      <c r="S229" s="21">
        <v>1.0018899999999999</v>
      </c>
      <c r="T229">
        <f t="shared" si="38"/>
        <v>17.662469135802468</v>
      </c>
      <c r="U229">
        <f t="shared" si="39"/>
        <v>17.712100674074073</v>
      </c>
      <c r="X229" s="9"/>
      <c r="Y229" s="21">
        <v>0.63720699999999997</v>
      </c>
      <c r="Z229" s="21">
        <v>16.321100000000001</v>
      </c>
      <c r="AA229" s="21">
        <v>-1.47583E-2</v>
      </c>
      <c r="AB229" s="21">
        <v>219</v>
      </c>
      <c r="AC229" s="21">
        <v>0.63665799999999995</v>
      </c>
      <c r="AD229">
        <f t="shared" si="40"/>
        <v>18.22012345679012</v>
      </c>
      <c r="AE229">
        <f t="shared" si="41"/>
        <v>11.609990207530862</v>
      </c>
      <c r="AF229" s="9"/>
      <c r="AG229" s="21">
        <v>1.00281</v>
      </c>
      <c r="AH229" s="21">
        <v>20.019400000000001</v>
      </c>
      <c r="AI229" s="21">
        <v>-1.4279200000000001E-2</v>
      </c>
      <c r="AJ229" s="21">
        <v>219</v>
      </c>
      <c r="AK229" s="21">
        <v>1.00159</v>
      </c>
      <c r="AL229">
        <f t="shared" si="42"/>
        <v>17.628641975308639</v>
      </c>
      <c r="AM229">
        <f t="shared" si="43"/>
        <v>17.678178459259257</v>
      </c>
      <c r="AP229" s="9"/>
      <c r="AQ229" s="21">
        <v>0.63720699999999997</v>
      </c>
      <c r="AR229" s="21">
        <v>25.4163</v>
      </c>
      <c r="AS229" s="21">
        <v>-1.4624E-2</v>
      </c>
      <c r="AT229" s="21">
        <v>219</v>
      </c>
      <c r="AU229" s="21">
        <v>0.63665799999999995</v>
      </c>
      <c r="AV229">
        <f t="shared" si="44"/>
        <v>18.054320987654318</v>
      </c>
      <c r="AW229">
        <f t="shared" si="45"/>
        <v>11.504339713580244</v>
      </c>
      <c r="AX229" s="9"/>
      <c r="AY229" s="21">
        <v>1.00281</v>
      </c>
      <c r="AZ229" s="21">
        <v>29.114599999999999</v>
      </c>
      <c r="BA229" s="21">
        <v>-1.4218099999999999E-2</v>
      </c>
      <c r="BB229" s="21">
        <v>219</v>
      </c>
      <c r="BC229" s="21">
        <v>1.0018899999999999</v>
      </c>
      <c r="BD229">
        <f t="shared" si="46"/>
        <v>17.553209876543207</v>
      </c>
      <c r="BE229">
        <f t="shared" si="47"/>
        <v>17.602534396296292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7.2279400000000003</v>
      </c>
      <c r="I230" s="21">
        <v>-1.47308E-2</v>
      </c>
      <c r="J230" s="21">
        <v>220</v>
      </c>
      <c r="K230" s="21">
        <v>0.63153099999999995</v>
      </c>
      <c r="L230">
        <f t="shared" si="36"/>
        <v>18.186172839506174</v>
      </c>
      <c r="M230">
        <f t="shared" si="37"/>
        <v>11.496789256296296</v>
      </c>
      <c r="N230" s="9"/>
      <c r="O230" s="21">
        <v>1.0078400000000001</v>
      </c>
      <c r="P230" s="21">
        <v>10.926299999999999</v>
      </c>
      <c r="Q230" s="21">
        <v>-1.4300500000000001E-2</v>
      </c>
      <c r="R230" s="21">
        <v>220</v>
      </c>
      <c r="S230" s="21">
        <v>1.00708</v>
      </c>
      <c r="T230">
        <f t="shared" si="38"/>
        <v>17.654938271604937</v>
      </c>
      <c r="U230">
        <f t="shared" si="39"/>
        <v>17.79335298765432</v>
      </c>
      <c r="X230" s="9"/>
      <c r="Y230" s="21">
        <v>0.63217199999999996</v>
      </c>
      <c r="Z230" s="21">
        <v>16.331199999999999</v>
      </c>
      <c r="AA230" s="21">
        <v>-1.4749099999999999E-2</v>
      </c>
      <c r="AB230" s="21">
        <v>220</v>
      </c>
      <c r="AC230" s="21">
        <v>0.63146999999999998</v>
      </c>
      <c r="AD230">
        <f t="shared" si="40"/>
        <v>18.208765432098765</v>
      </c>
      <c r="AE230">
        <f t="shared" si="41"/>
        <v>11.51107166074074</v>
      </c>
      <c r="AF230" s="9"/>
      <c r="AG230" s="21">
        <v>1.0078400000000001</v>
      </c>
      <c r="AH230" s="21">
        <v>20.029499999999999</v>
      </c>
      <c r="AI230" s="21">
        <v>-1.4279200000000001E-2</v>
      </c>
      <c r="AJ230" s="21">
        <v>220</v>
      </c>
      <c r="AK230" s="21">
        <v>1.0067699999999999</v>
      </c>
      <c r="AL230">
        <f t="shared" si="42"/>
        <v>17.628641975308639</v>
      </c>
      <c r="AM230">
        <f t="shared" si="43"/>
        <v>17.766850528395061</v>
      </c>
      <c r="AP230" s="9"/>
      <c r="AQ230" s="21">
        <v>0.63217199999999996</v>
      </c>
      <c r="AR230" s="21">
        <v>25.426400000000001</v>
      </c>
      <c r="AS230" s="21">
        <v>-1.46301E-2</v>
      </c>
      <c r="AT230" s="21">
        <v>220</v>
      </c>
      <c r="AU230" s="21">
        <v>0.63149999999999995</v>
      </c>
      <c r="AV230">
        <f t="shared" si="44"/>
        <v>18.061851851851848</v>
      </c>
      <c r="AW230">
        <f t="shared" si="45"/>
        <v>11.418197008888885</v>
      </c>
      <c r="AX230" s="9"/>
      <c r="AY230" s="21">
        <v>1.0078400000000001</v>
      </c>
      <c r="AZ230" s="21">
        <v>29.124700000000001</v>
      </c>
      <c r="BA230" s="21">
        <v>-1.41998E-2</v>
      </c>
      <c r="BB230" s="21">
        <v>220</v>
      </c>
      <c r="BC230" s="21">
        <v>1.00708</v>
      </c>
      <c r="BD230">
        <f t="shared" si="46"/>
        <v>17.530617283950615</v>
      </c>
      <c r="BE230">
        <f t="shared" si="47"/>
        <v>17.668057323456789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7.2380100000000001</v>
      </c>
      <c r="I231" s="21">
        <v>-1.47522E-2</v>
      </c>
      <c r="J231" s="21">
        <v>221</v>
      </c>
      <c r="K231" s="21">
        <v>0.626556</v>
      </c>
      <c r="L231">
        <f t="shared" si="36"/>
        <v>18.212592592592593</v>
      </c>
      <c r="M231">
        <f t="shared" si="37"/>
        <v>11.421772468148149</v>
      </c>
      <c r="N231" s="9"/>
      <c r="O231" s="21">
        <v>1.01288</v>
      </c>
      <c r="P231" s="21">
        <v>10.936299999999999</v>
      </c>
      <c r="Q231" s="21">
        <v>-1.4291399999999999E-2</v>
      </c>
      <c r="R231" s="21">
        <v>221</v>
      </c>
      <c r="S231" s="21">
        <v>1.01196</v>
      </c>
      <c r="T231">
        <f t="shared" si="38"/>
        <v>17.643703703703704</v>
      </c>
      <c r="U231">
        <f t="shared" si="39"/>
        <v>17.870954607407409</v>
      </c>
      <c r="X231" s="9"/>
      <c r="Y231" s="21">
        <v>0.62713600000000003</v>
      </c>
      <c r="Z231" s="21">
        <v>16.341200000000001</v>
      </c>
      <c r="AA231" s="21">
        <v>-1.4736900000000001E-2</v>
      </c>
      <c r="AB231" s="21">
        <v>221</v>
      </c>
      <c r="AC231" s="21">
        <v>0.62637299999999996</v>
      </c>
      <c r="AD231">
        <f t="shared" si="40"/>
        <v>18.193703703703704</v>
      </c>
      <c r="AE231">
        <f t="shared" si="41"/>
        <v>11.409926565925927</v>
      </c>
      <c r="AF231" s="9"/>
      <c r="AG231" s="21">
        <v>1.01288</v>
      </c>
      <c r="AH231" s="21">
        <v>20.0396</v>
      </c>
      <c r="AI231" s="21">
        <v>-1.4263899999999999E-2</v>
      </c>
      <c r="AJ231" s="21">
        <v>221</v>
      </c>
      <c r="AK231" s="21">
        <v>1.01196</v>
      </c>
      <c r="AL231">
        <f t="shared" si="42"/>
        <v>17.609753086419751</v>
      </c>
      <c r="AM231">
        <f t="shared" si="43"/>
        <v>17.836566706172839</v>
      </c>
      <c r="AP231" s="9"/>
      <c r="AQ231" s="21">
        <v>0.62713600000000003</v>
      </c>
      <c r="AR231" s="21">
        <v>25.436499999999999</v>
      </c>
      <c r="AS231" s="21">
        <v>-1.46362E-2</v>
      </c>
      <c r="AT231" s="21">
        <v>221</v>
      </c>
      <c r="AU231" s="21">
        <v>0.62652600000000003</v>
      </c>
      <c r="AV231">
        <f t="shared" si="44"/>
        <v>18.069382716049383</v>
      </c>
      <c r="AW231">
        <f t="shared" si="45"/>
        <v>11.331960399012345</v>
      </c>
      <c r="AX231" s="9"/>
      <c r="AY231" s="21">
        <v>1.01288</v>
      </c>
      <c r="AZ231" s="21">
        <v>29.134799999999998</v>
      </c>
      <c r="BA231" s="21">
        <v>-1.41846E-2</v>
      </c>
      <c r="BB231" s="21">
        <v>221</v>
      </c>
      <c r="BC231" s="21">
        <v>1.01196</v>
      </c>
      <c r="BD231">
        <f t="shared" si="46"/>
        <v>17.511851851851851</v>
      </c>
      <c r="BE231">
        <f t="shared" si="47"/>
        <v>17.737404503703704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7.2480799999999999</v>
      </c>
      <c r="I232" s="21">
        <v>-1.4767499999999999E-2</v>
      </c>
      <c r="J232" s="21">
        <v>222</v>
      </c>
      <c r="K232" s="21">
        <v>0.62146000000000001</v>
      </c>
      <c r="L232">
        <f t="shared" si="36"/>
        <v>18.231481481481481</v>
      </c>
      <c r="M232">
        <f t="shared" si="37"/>
        <v>11.341822861111112</v>
      </c>
      <c r="N232" s="9"/>
      <c r="O232" s="21">
        <v>1.0179100000000001</v>
      </c>
      <c r="P232" s="21">
        <v>10.946400000000001</v>
      </c>
      <c r="Q232" s="21">
        <v>-1.427E-2</v>
      </c>
      <c r="R232" s="21">
        <v>222</v>
      </c>
      <c r="S232" s="21">
        <v>1.01685</v>
      </c>
      <c r="T232">
        <f t="shared" si="38"/>
        <v>17.617283950617285</v>
      </c>
      <c r="U232">
        <f t="shared" si="39"/>
        <v>17.932809506172841</v>
      </c>
      <c r="X232" s="9"/>
      <c r="Y232" s="21">
        <v>0.62210100000000002</v>
      </c>
      <c r="Z232" s="21">
        <v>16.351299999999998</v>
      </c>
      <c r="AA232" s="21">
        <v>-1.4727799999999999E-2</v>
      </c>
      <c r="AB232" s="21">
        <v>222</v>
      </c>
      <c r="AC232" s="21">
        <v>0.62146000000000001</v>
      </c>
      <c r="AD232">
        <f t="shared" si="40"/>
        <v>18.182469135802467</v>
      </c>
      <c r="AE232">
        <f t="shared" si="41"/>
        <v>11.311332231851852</v>
      </c>
      <c r="AF232" s="9"/>
      <c r="AG232" s="21">
        <v>1.0179100000000001</v>
      </c>
      <c r="AH232" s="21">
        <v>20.049600000000002</v>
      </c>
      <c r="AI232" s="21">
        <v>-1.4245600000000001E-2</v>
      </c>
      <c r="AJ232" s="21">
        <v>222</v>
      </c>
      <c r="AK232" s="21">
        <v>1.01715</v>
      </c>
      <c r="AL232">
        <f t="shared" si="42"/>
        <v>17.58716049382716</v>
      </c>
      <c r="AM232">
        <f t="shared" si="43"/>
        <v>17.902146538271605</v>
      </c>
      <c r="AP232" s="9"/>
      <c r="AQ232" s="21">
        <v>0.62210100000000002</v>
      </c>
      <c r="AR232" s="21">
        <v>25.4465</v>
      </c>
      <c r="AS232" s="21">
        <v>-1.46362E-2</v>
      </c>
      <c r="AT232" s="21">
        <v>222</v>
      </c>
      <c r="AU232" s="21">
        <v>0.62139900000000003</v>
      </c>
      <c r="AV232">
        <f t="shared" si="44"/>
        <v>18.069382716049383</v>
      </c>
      <c r="AW232">
        <f t="shared" si="45"/>
        <v>11.240981057037038</v>
      </c>
      <c r="AX232" s="9"/>
      <c r="AY232" s="21">
        <v>1.0179100000000001</v>
      </c>
      <c r="AZ232" s="21">
        <v>29.1449</v>
      </c>
      <c r="BA232" s="21">
        <v>-1.41846E-2</v>
      </c>
      <c r="BB232" s="21">
        <v>222</v>
      </c>
      <c r="BC232" s="21">
        <v>1.01715</v>
      </c>
      <c r="BD232">
        <f t="shared" si="46"/>
        <v>17.511851851851851</v>
      </c>
      <c r="BE232">
        <f t="shared" si="47"/>
        <v>17.825489118518519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7.2581499999999997</v>
      </c>
      <c r="I233" s="21">
        <v>-1.47888E-2</v>
      </c>
      <c r="J233" s="21">
        <v>223</v>
      </c>
      <c r="K233" s="21">
        <v>0.616394</v>
      </c>
      <c r="L233">
        <f t="shared" si="36"/>
        <v>18.257777777777775</v>
      </c>
      <c r="M233">
        <f t="shared" si="37"/>
        <v>11.266235644444443</v>
      </c>
      <c r="N233" s="9"/>
      <c r="O233" s="21">
        <v>1.02295</v>
      </c>
      <c r="P233" s="21">
        <v>10.9565</v>
      </c>
      <c r="Q233" s="21">
        <v>-1.42609E-2</v>
      </c>
      <c r="R233" s="21">
        <v>223</v>
      </c>
      <c r="S233" s="21">
        <v>1.02264</v>
      </c>
      <c r="T233">
        <f t="shared" si="38"/>
        <v>17.606049382716048</v>
      </c>
      <c r="U233">
        <f t="shared" si="39"/>
        <v>18.010108216049382</v>
      </c>
      <c r="X233" s="9"/>
      <c r="Y233" s="21">
        <v>0.61706499999999997</v>
      </c>
      <c r="Z233" s="21">
        <v>16.3614</v>
      </c>
      <c r="AA233" s="21">
        <v>-1.47125E-2</v>
      </c>
      <c r="AB233" s="21">
        <v>223</v>
      </c>
      <c r="AC233" s="21">
        <v>0.616425</v>
      </c>
      <c r="AD233">
        <f t="shared" si="40"/>
        <v>18.163580246913579</v>
      </c>
      <c r="AE233">
        <f t="shared" si="41"/>
        <v>11.208109645061727</v>
      </c>
      <c r="AF233" s="9"/>
      <c r="AG233" s="21">
        <v>1.02295</v>
      </c>
      <c r="AH233" s="21">
        <v>20.059699999999999</v>
      </c>
      <c r="AI233" s="21">
        <v>-1.42395E-2</v>
      </c>
      <c r="AJ233" s="21">
        <v>223</v>
      </c>
      <c r="AK233" s="21">
        <v>1.02173</v>
      </c>
      <c r="AL233">
        <f t="shared" si="42"/>
        <v>17.579629629629629</v>
      </c>
      <c r="AM233">
        <f t="shared" si="43"/>
        <v>17.983082129629629</v>
      </c>
      <c r="AP233" s="9"/>
      <c r="AQ233" s="21">
        <v>0.61706499999999997</v>
      </c>
      <c r="AR233" s="21">
        <v>25.456600000000002</v>
      </c>
      <c r="AS233" s="21">
        <v>-1.46301E-2</v>
      </c>
      <c r="AT233" s="21">
        <v>223</v>
      </c>
      <c r="AU233" s="21">
        <v>0.616394</v>
      </c>
      <c r="AV233">
        <f t="shared" si="44"/>
        <v>18.061851851851848</v>
      </c>
      <c r="AW233">
        <f t="shared" si="45"/>
        <v>11.145336612962961</v>
      </c>
      <c r="AX233" s="9"/>
      <c r="AY233" s="21">
        <v>1.02295</v>
      </c>
      <c r="AZ233" s="21">
        <v>29.154900000000001</v>
      </c>
      <c r="BA233" s="21">
        <v>-1.41815E-2</v>
      </c>
      <c r="BB233" s="21">
        <v>223</v>
      </c>
      <c r="BC233" s="21">
        <v>1.02203</v>
      </c>
      <c r="BD233">
        <f t="shared" si="46"/>
        <v>17.508024691358024</v>
      </c>
      <c r="BE233">
        <f t="shared" si="47"/>
        <v>17.90983385802469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7.2682200000000003</v>
      </c>
      <c r="I234" s="21">
        <v>-1.4798E-2</v>
      </c>
      <c r="J234" s="21">
        <v>224</v>
      </c>
      <c r="K234" s="21">
        <v>0.61132799999999998</v>
      </c>
      <c r="L234">
        <f t="shared" si="36"/>
        <v>18.269135802469137</v>
      </c>
      <c r="M234">
        <f t="shared" si="37"/>
        <v>11.181259185185185</v>
      </c>
      <c r="N234" s="9"/>
      <c r="O234" s="21">
        <v>1.0279799999999999</v>
      </c>
      <c r="P234" s="21">
        <v>10.9666</v>
      </c>
      <c r="Q234" s="21">
        <v>-1.42487E-2</v>
      </c>
      <c r="R234" s="21">
        <v>224</v>
      </c>
      <c r="S234" s="21">
        <v>1.02661</v>
      </c>
      <c r="T234">
        <f t="shared" si="38"/>
        <v>17.590987654320987</v>
      </c>
      <c r="U234">
        <f t="shared" si="39"/>
        <v>18.083183488888885</v>
      </c>
      <c r="X234" s="9"/>
      <c r="Y234" s="21">
        <v>0.61202999999999996</v>
      </c>
      <c r="Z234" s="21">
        <v>16.371400000000001</v>
      </c>
      <c r="AA234" s="21">
        <v>-1.47064E-2</v>
      </c>
      <c r="AB234" s="21">
        <v>224</v>
      </c>
      <c r="AC234" s="21">
        <v>0.61138899999999996</v>
      </c>
      <c r="AD234">
        <f t="shared" si="40"/>
        <v>18.156049382716049</v>
      </c>
      <c r="AE234">
        <f t="shared" si="41"/>
        <v>11.112046903703703</v>
      </c>
      <c r="AF234" s="9"/>
      <c r="AG234" s="21">
        <v>1.0279799999999999</v>
      </c>
      <c r="AH234" s="21">
        <v>20.069800000000001</v>
      </c>
      <c r="AI234" s="21">
        <v>-1.4236499999999999E-2</v>
      </c>
      <c r="AJ234" s="21">
        <v>224</v>
      </c>
      <c r="AK234" s="21">
        <v>1.0263100000000001</v>
      </c>
      <c r="AL234">
        <f t="shared" si="42"/>
        <v>17.575925925925926</v>
      </c>
      <c r="AM234">
        <f t="shared" si="43"/>
        <v>18.067700333333331</v>
      </c>
      <c r="AP234" s="9"/>
      <c r="AQ234" s="21">
        <v>0.61202999999999996</v>
      </c>
      <c r="AR234" s="21">
        <v>25.466699999999999</v>
      </c>
      <c r="AS234" s="21">
        <v>-1.46301E-2</v>
      </c>
      <c r="AT234" s="21">
        <v>224</v>
      </c>
      <c r="AU234" s="21">
        <v>0.61145000000000005</v>
      </c>
      <c r="AV234">
        <f t="shared" si="44"/>
        <v>18.061851851851848</v>
      </c>
      <c r="AW234">
        <f t="shared" si="45"/>
        <v>11.054395188888886</v>
      </c>
      <c r="AX234" s="9"/>
      <c r="AY234" s="21">
        <v>1.0279799999999999</v>
      </c>
      <c r="AZ234" s="21">
        <v>29.164999999999999</v>
      </c>
      <c r="BA234" s="21">
        <v>-1.41846E-2</v>
      </c>
      <c r="BB234" s="21">
        <v>224</v>
      </c>
      <c r="BC234" s="21">
        <v>1.02722</v>
      </c>
      <c r="BD234">
        <f t="shared" si="46"/>
        <v>17.511851851851851</v>
      </c>
      <c r="BE234">
        <f t="shared" si="47"/>
        <v>18.001833466666664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7.2782900000000001</v>
      </c>
      <c r="I235" s="21">
        <v>-1.4801E-2</v>
      </c>
      <c r="J235" s="21">
        <v>225</v>
      </c>
      <c r="K235" s="21">
        <v>0.60629299999999997</v>
      </c>
      <c r="L235">
        <f t="shared" si="36"/>
        <v>18.27283950617284</v>
      </c>
      <c r="M235">
        <f t="shared" si="37"/>
        <v>11.091522216049382</v>
      </c>
      <c r="N235" s="9"/>
      <c r="O235" s="21">
        <v>1.03302</v>
      </c>
      <c r="P235" s="21">
        <v>10.976599999999999</v>
      </c>
      <c r="Q235" s="21">
        <v>-1.4236499999999999E-2</v>
      </c>
      <c r="R235" s="21">
        <v>225</v>
      </c>
      <c r="S235" s="21">
        <v>1.03149</v>
      </c>
      <c r="T235">
        <f t="shared" si="38"/>
        <v>17.575925925925926</v>
      </c>
      <c r="U235">
        <f t="shared" si="39"/>
        <v>18.156283000000002</v>
      </c>
      <c r="X235" s="9"/>
      <c r="Y235" s="21">
        <v>0.60699499999999995</v>
      </c>
      <c r="Z235" s="21">
        <v>16.381499999999999</v>
      </c>
      <c r="AA235" s="21">
        <v>-1.47125E-2</v>
      </c>
      <c r="AB235" s="21">
        <v>225</v>
      </c>
      <c r="AC235" s="21">
        <v>0.60635399999999995</v>
      </c>
      <c r="AD235">
        <f t="shared" si="40"/>
        <v>18.163580246913579</v>
      </c>
      <c r="AE235">
        <f t="shared" si="41"/>
        <v>11.025202391975307</v>
      </c>
      <c r="AF235" s="9"/>
      <c r="AG235" s="21">
        <v>1.03302</v>
      </c>
      <c r="AH235" s="21">
        <v>20.079799999999999</v>
      </c>
      <c r="AI235" s="21">
        <v>-1.4224199999999999E-2</v>
      </c>
      <c r="AJ235" s="21">
        <v>225</v>
      </c>
      <c r="AK235" s="21">
        <v>1.0318000000000001</v>
      </c>
      <c r="AL235">
        <f t="shared" si="42"/>
        <v>17.560740740740737</v>
      </c>
      <c r="AM235">
        <f t="shared" si="43"/>
        <v>18.140596399999996</v>
      </c>
      <c r="AP235" s="9"/>
      <c r="AQ235" s="21">
        <v>0.60699499999999995</v>
      </c>
      <c r="AR235" s="21">
        <v>25.476700000000001</v>
      </c>
      <c r="AS235" s="21">
        <v>-1.4639299999999999E-2</v>
      </c>
      <c r="AT235" s="21">
        <v>225</v>
      </c>
      <c r="AU235" s="21">
        <v>0.60635399999999995</v>
      </c>
      <c r="AV235">
        <f t="shared" si="44"/>
        <v>18.07320987654321</v>
      </c>
      <c r="AW235">
        <f t="shared" si="45"/>
        <v>10.970348029012344</v>
      </c>
      <c r="AX235" s="9"/>
      <c r="AY235" s="21">
        <v>1.03302</v>
      </c>
      <c r="AZ235" s="21">
        <v>29.1751</v>
      </c>
      <c r="BA235" s="21">
        <v>-1.41846E-2</v>
      </c>
      <c r="BB235" s="21">
        <v>225</v>
      </c>
      <c r="BC235" s="21">
        <v>1.0318000000000001</v>
      </c>
      <c r="BD235">
        <f t="shared" si="46"/>
        <v>17.511851851851851</v>
      </c>
      <c r="BE235">
        <f t="shared" si="47"/>
        <v>18.090093200000002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7.2883699999999996</v>
      </c>
      <c r="I236" s="21">
        <v>-1.4801E-2</v>
      </c>
      <c r="J236" s="21">
        <v>226</v>
      </c>
      <c r="K236" s="21">
        <v>0.60122699999999996</v>
      </c>
      <c r="L236">
        <f t="shared" si="36"/>
        <v>18.27283950617284</v>
      </c>
      <c r="M236">
        <f t="shared" si="37"/>
        <v>10.999500196296298</v>
      </c>
      <c r="N236" s="9"/>
      <c r="O236" s="21">
        <v>1.03806</v>
      </c>
      <c r="P236" s="21">
        <v>10.986700000000001</v>
      </c>
      <c r="Q236" s="21">
        <v>-1.4236499999999999E-2</v>
      </c>
      <c r="R236" s="21">
        <v>226</v>
      </c>
      <c r="S236" s="21">
        <v>1.0376000000000001</v>
      </c>
      <c r="T236">
        <f t="shared" si="38"/>
        <v>17.575925925925926</v>
      </c>
      <c r="U236">
        <f t="shared" si="39"/>
        <v>18.244865666666666</v>
      </c>
      <c r="X236" s="9"/>
      <c r="Y236" s="21">
        <v>0.60195900000000002</v>
      </c>
      <c r="Z236" s="21">
        <v>16.3916</v>
      </c>
      <c r="AA236" s="21">
        <v>-1.47125E-2</v>
      </c>
      <c r="AB236" s="21">
        <v>226</v>
      </c>
      <c r="AC236" s="21">
        <v>0.60128800000000004</v>
      </c>
      <c r="AD236">
        <f t="shared" si="40"/>
        <v>18.163580246913579</v>
      </c>
      <c r="AE236">
        <f t="shared" si="41"/>
        <v>10.933730601851851</v>
      </c>
      <c r="AF236" s="9"/>
      <c r="AG236" s="21">
        <v>1.03806</v>
      </c>
      <c r="AH236" s="21">
        <v>20.0899</v>
      </c>
      <c r="AI236" s="21">
        <v>-1.42151E-2</v>
      </c>
      <c r="AJ236" s="21">
        <v>226</v>
      </c>
      <c r="AK236" s="21">
        <v>1.0369900000000001</v>
      </c>
      <c r="AL236">
        <f t="shared" si="42"/>
        <v>17.549506172839507</v>
      </c>
      <c r="AM236">
        <f t="shared" si="43"/>
        <v>18.217440377777777</v>
      </c>
      <c r="AP236" s="9"/>
      <c r="AQ236" s="21">
        <v>0.60195900000000002</v>
      </c>
      <c r="AR236" s="21">
        <v>25.486799999999999</v>
      </c>
      <c r="AS236" s="21">
        <v>-1.4639299999999999E-2</v>
      </c>
      <c r="AT236" s="21">
        <v>226</v>
      </c>
      <c r="AU236" s="21">
        <v>0.60125700000000004</v>
      </c>
      <c r="AV236">
        <f t="shared" si="44"/>
        <v>18.07320987654321</v>
      </c>
      <c r="AW236">
        <f t="shared" si="45"/>
        <v>10.879331344074075</v>
      </c>
      <c r="AX236" s="9"/>
      <c r="AY236" s="21">
        <v>1.03806</v>
      </c>
      <c r="AZ236" s="21">
        <v>29.185099999999998</v>
      </c>
      <c r="BA236" s="21">
        <v>-1.4175399999999999E-2</v>
      </c>
      <c r="BB236" s="21">
        <v>226</v>
      </c>
      <c r="BC236" s="21">
        <v>1.03729</v>
      </c>
      <c r="BD236">
        <f t="shared" si="46"/>
        <v>17.500493827160494</v>
      </c>
      <c r="BE236">
        <f t="shared" si="47"/>
        <v>18.166562622222223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7.2984400000000003</v>
      </c>
      <c r="I237" s="21">
        <v>-1.4804100000000001E-2</v>
      </c>
      <c r="J237" s="21">
        <v>227</v>
      </c>
      <c r="K237" s="21">
        <v>0.596252</v>
      </c>
      <c r="L237">
        <f t="shared" si="36"/>
        <v>18.276666666666667</v>
      </c>
      <c r="M237">
        <f t="shared" si="37"/>
        <v>10.909780973333334</v>
      </c>
      <c r="N237" s="9"/>
      <c r="O237" s="21">
        <v>1.0430900000000001</v>
      </c>
      <c r="P237" s="21">
        <v>10.9968</v>
      </c>
      <c r="Q237" s="21">
        <v>-1.42395E-2</v>
      </c>
      <c r="R237" s="21">
        <v>227</v>
      </c>
      <c r="S237" s="21">
        <v>1.0418700000000001</v>
      </c>
      <c r="T237">
        <f t="shared" si="38"/>
        <v>17.579629629629629</v>
      </c>
      <c r="U237">
        <f t="shared" si="39"/>
        <v>18.337135870370371</v>
      </c>
      <c r="X237" s="9"/>
      <c r="Y237" s="21">
        <v>0.59692400000000001</v>
      </c>
      <c r="Z237" s="21">
        <v>16.401700000000002</v>
      </c>
      <c r="AA237" s="21">
        <v>-1.47125E-2</v>
      </c>
      <c r="AB237" s="21">
        <v>227</v>
      </c>
      <c r="AC237" s="21">
        <v>0.59622200000000003</v>
      </c>
      <c r="AD237">
        <f t="shared" si="40"/>
        <v>18.163580246913579</v>
      </c>
      <c r="AE237">
        <f t="shared" si="41"/>
        <v>10.842276975308641</v>
      </c>
      <c r="AF237" s="9"/>
      <c r="AG237" s="21">
        <v>1.0430900000000001</v>
      </c>
      <c r="AH237" s="21">
        <v>20.100000000000001</v>
      </c>
      <c r="AI237" s="21">
        <v>-1.4196800000000001E-2</v>
      </c>
      <c r="AJ237" s="21">
        <v>227</v>
      </c>
      <c r="AK237" s="21">
        <v>1.0421800000000001</v>
      </c>
      <c r="AL237">
        <f t="shared" si="42"/>
        <v>17.526913580246916</v>
      </c>
      <c r="AM237">
        <f t="shared" si="43"/>
        <v>18.282148286419758</v>
      </c>
      <c r="AP237" s="9"/>
      <c r="AQ237" s="21">
        <v>0.59692400000000001</v>
      </c>
      <c r="AR237" s="21">
        <v>25.4969</v>
      </c>
      <c r="AS237" s="21">
        <v>-1.46698E-2</v>
      </c>
      <c r="AT237" s="21">
        <v>227</v>
      </c>
      <c r="AU237" s="21">
        <v>0.59622200000000003</v>
      </c>
      <c r="AV237">
        <f t="shared" si="44"/>
        <v>18.110864197530866</v>
      </c>
      <c r="AW237">
        <f t="shared" si="45"/>
        <v>10.810809500246915</v>
      </c>
      <c r="AX237" s="9"/>
      <c r="AY237" s="21">
        <v>1.0430900000000001</v>
      </c>
      <c r="AZ237" s="21">
        <v>29.1952</v>
      </c>
      <c r="BA237" s="21">
        <v>-1.4169299999999999E-2</v>
      </c>
      <c r="BB237" s="21">
        <v>227</v>
      </c>
      <c r="BC237" s="21">
        <v>1.0421800000000001</v>
      </c>
      <c r="BD237">
        <f t="shared" si="46"/>
        <v>17.492962962962959</v>
      </c>
      <c r="BE237">
        <f t="shared" si="47"/>
        <v>18.246734737037034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7.3085100000000001</v>
      </c>
      <c r="I238" s="21">
        <v>-1.48071E-2</v>
      </c>
      <c r="J238" s="21">
        <v>228</v>
      </c>
      <c r="K238" s="21">
        <v>0.59133899999999995</v>
      </c>
      <c r="L238">
        <f t="shared" si="36"/>
        <v>18.28037037037037</v>
      </c>
      <c r="M238">
        <f t="shared" si="37"/>
        <v>10.819931857777778</v>
      </c>
      <c r="N238" s="9"/>
      <c r="O238" s="21">
        <v>1.04813</v>
      </c>
      <c r="P238" s="21">
        <v>11.0068</v>
      </c>
      <c r="Q238" s="21">
        <v>-1.4245600000000001E-2</v>
      </c>
      <c r="R238" s="21">
        <v>228</v>
      </c>
      <c r="S238" s="21">
        <v>1.0473600000000001</v>
      </c>
      <c r="T238">
        <f t="shared" si="38"/>
        <v>17.58716049382716</v>
      </c>
      <c r="U238">
        <f t="shared" si="39"/>
        <v>18.43363052839506</v>
      </c>
      <c r="X238" s="9"/>
      <c r="Y238" s="21">
        <v>0.59188799999999997</v>
      </c>
      <c r="Z238" s="21">
        <v>16.4117</v>
      </c>
      <c r="AA238" s="21">
        <v>-1.47247E-2</v>
      </c>
      <c r="AB238" s="21">
        <v>228</v>
      </c>
      <c r="AC238" s="21">
        <v>0.59121699999999999</v>
      </c>
      <c r="AD238">
        <f t="shared" si="40"/>
        <v>18.178641975308643</v>
      </c>
      <c r="AE238">
        <f t="shared" si="41"/>
        <v>10.759720041481481</v>
      </c>
      <c r="AF238" s="9"/>
      <c r="AG238" s="21">
        <v>1.04813</v>
      </c>
      <c r="AH238" s="21">
        <v>20.110099999999999</v>
      </c>
      <c r="AI238" s="21">
        <v>-1.4190700000000001E-2</v>
      </c>
      <c r="AJ238" s="21">
        <v>228</v>
      </c>
      <c r="AK238" s="21">
        <v>1.0470600000000001</v>
      </c>
      <c r="AL238">
        <f t="shared" si="42"/>
        <v>17.519382716049382</v>
      </c>
      <c r="AM238">
        <f t="shared" si="43"/>
        <v>18.362590606172837</v>
      </c>
      <c r="AP238" s="9"/>
      <c r="AQ238" s="21">
        <v>0.59188799999999997</v>
      </c>
      <c r="AR238" s="21">
        <v>25.507000000000001</v>
      </c>
      <c r="AS238" s="21">
        <v>-1.4682000000000001E-2</v>
      </c>
      <c r="AT238" s="21">
        <v>228</v>
      </c>
      <c r="AU238" s="21">
        <v>0.59112500000000001</v>
      </c>
      <c r="AV238">
        <f t="shared" si="44"/>
        <v>18.125925925925923</v>
      </c>
      <c r="AW238">
        <f t="shared" si="45"/>
        <v>10.728518044444442</v>
      </c>
      <c r="AX238" s="9"/>
      <c r="AY238" s="21">
        <v>1.04813</v>
      </c>
      <c r="AZ238" s="21">
        <v>29.205300000000001</v>
      </c>
      <c r="BA238" s="21">
        <v>-1.4169299999999999E-2</v>
      </c>
      <c r="BB238" s="21">
        <v>228</v>
      </c>
      <c r="BC238" s="21">
        <v>1.0470600000000001</v>
      </c>
      <c r="BD238">
        <f t="shared" si="46"/>
        <v>17.492962962962959</v>
      </c>
      <c r="BE238">
        <f t="shared" si="47"/>
        <v>18.334899270370368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7.3185799999999999</v>
      </c>
      <c r="I239" s="21">
        <v>-1.4810200000000001E-2</v>
      </c>
      <c r="J239" s="21">
        <v>229</v>
      </c>
      <c r="K239" s="21">
        <v>0.58618199999999998</v>
      </c>
      <c r="L239">
        <f t="shared" si="36"/>
        <v>18.284197530864198</v>
      </c>
      <c r="M239">
        <f t="shared" si="37"/>
        <v>10.730136173580247</v>
      </c>
      <c r="N239" s="9"/>
      <c r="O239" s="21">
        <v>1.0531600000000001</v>
      </c>
      <c r="P239" s="21">
        <v>11.0169</v>
      </c>
      <c r="Q239" s="21">
        <v>-1.42395E-2</v>
      </c>
      <c r="R239" s="21">
        <v>229</v>
      </c>
      <c r="S239" s="21">
        <v>1.0519400000000001</v>
      </c>
      <c r="T239">
        <f t="shared" si="38"/>
        <v>17.579629629629629</v>
      </c>
      <c r="U239">
        <f t="shared" si="39"/>
        <v>18.514162740740741</v>
      </c>
      <c r="X239" s="9"/>
      <c r="Y239" s="21">
        <v>0.58685299999999996</v>
      </c>
      <c r="Z239" s="21">
        <v>16.421800000000001</v>
      </c>
      <c r="AA239" s="21">
        <v>-1.4721700000000001E-2</v>
      </c>
      <c r="AB239" s="21">
        <v>229</v>
      </c>
      <c r="AC239" s="21">
        <v>0.58624299999999996</v>
      </c>
      <c r="AD239">
        <f t="shared" si="40"/>
        <v>18.174938271604937</v>
      </c>
      <c r="AE239">
        <f t="shared" si="41"/>
        <v>10.666017049506172</v>
      </c>
      <c r="AF239" s="9"/>
      <c r="AG239" s="21">
        <v>1.0531600000000001</v>
      </c>
      <c r="AH239" s="21">
        <v>20.120100000000001</v>
      </c>
      <c r="AI239" s="21">
        <v>-1.4175399999999999E-2</v>
      </c>
      <c r="AJ239" s="21">
        <v>229</v>
      </c>
      <c r="AK239" s="21">
        <v>1.0516399999999999</v>
      </c>
      <c r="AL239">
        <f t="shared" si="42"/>
        <v>17.500493827160494</v>
      </c>
      <c r="AM239">
        <f t="shared" si="43"/>
        <v>18.430820079012346</v>
      </c>
      <c r="AP239" s="9"/>
      <c r="AQ239" s="21">
        <v>0.58685299999999996</v>
      </c>
      <c r="AR239" s="21">
        <v>25.516999999999999</v>
      </c>
      <c r="AS239" s="21">
        <v>-1.4688100000000001E-2</v>
      </c>
      <c r="AT239" s="21">
        <v>229</v>
      </c>
      <c r="AU239" s="21">
        <v>0.58624299999999996</v>
      </c>
      <c r="AV239">
        <f t="shared" si="44"/>
        <v>18.133456790123457</v>
      </c>
      <c r="AW239">
        <f t="shared" si="45"/>
        <v>10.64167351765432</v>
      </c>
      <c r="AX239" s="9"/>
      <c r="AY239" s="21">
        <v>1.0531600000000001</v>
      </c>
      <c r="AZ239" s="21">
        <v>29.215399999999999</v>
      </c>
      <c r="BA239" s="21">
        <v>-1.41663E-2</v>
      </c>
      <c r="BB239" s="21">
        <v>229</v>
      </c>
      <c r="BC239" s="21">
        <v>1.0525500000000001</v>
      </c>
      <c r="BD239">
        <f t="shared" si="46"/>
        <v>17.489259259259256</v>
      </c>
      <c r="BE239">
        <f t="shared" si="47"/>
        <v>18.418988281481479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7.3286499999999997</v>
      </c>
      <c r="I240" s="21">
        <v>-1.4825400000000001E-2</v>
      </c>
      <c r="J240" s="21">
        <v>230</v>
      </c>
      <c r="K240" s="21">
        <v>0.58111599999999997</v>
      </c>
      <c r="L240">
        <f t="shared" si="36"/>
        <v>18.302962962962962</v>
      </c>
      <c r="M240">
        <f t="shared" si="37"/>
        <v>10.648993305185183</v>
      </c>
      <c r="N240" s="9"/>
      <c r="O240" s="21">
        <v>1.0582</v>
      </c>
      <c r="P240" s="21">
        <v>11.026999999999999</v>
      </c>
      <c r="Q240" s="21">
        <v>-1.4242599999999999E-2</v>
      </c>
      <c r="R240" s="21">
        <v>230</v>
      </c>
      <c r="S240" s="21">
        <v>1.0571299999999999</v>
      </c>
      <c r="T240">
        <f t="shared" si="38"/>
        <v>17.583456790123453</v>
      </c>
      <c r="U240">
        <f t="shared" si="39"/>
        <v>18.60681397530864</v>
      </c>
      <c r="X240" s="9"/>
      <c r="Y240" s="21">
        <v>0.58181799999999995</v>
      </c>
      <c r="Z240" s="21">
        <v>16.431899999999999</v>
      </c>
      <c r="AA240" s="21">
        <v>-1.4721700000000001E-2</v>
      </c>
      <c r="AB240" s="21">
        <v>230</v>
      </c>
      <c r="AC240" s="21">
        <v>0.58114600000000005</v>
      </c>
      <c r="AD240">
        <f t="shared" si="40"/>
        <v>18.174938271604937</v>
      </c>
      <c r="AE240">
        <f t="shared" si="41"/>
        <v>10.57450623530864</v>
      </c>
      <c r="AF240" s="9"/>
      <c r="AG240" s="21">
        <v>1.0582</v>
      </c>
      <c r="AH240" s="21">
        <v>20.130199999999999</v>
      </c>
      <c r="AI240" s="21">
        <v>-1.4175399999999999E-2</v>
      </c>
      <c r="AJ240" s="21">
        <v>230</v>
      </c>
      <c r="AK240" s="21">
        <v>1.0571299999999999</v>
      </c>
      <c r="AL240">
        <f t="shared" si="42"/>
        <v>17.500493827160494</v>
      </c>
      <c r="AM240">
        <f t="shared" si="43"/>
        <v>18.519022567901235</v>
      </c>
      <c r="AP240" s="9"/>
      <c r="AQ240" s="21">
        <v>0.58181799999999995</v>
      </c>
      <c r="AR240" s="21">
        <v>25.527100000000001</v>
      </c>
      <c r="AS240" s="21">
        <v>-1.46912E-2</v>
      </c>
      <c r="AT240" s="21">
        <v>230</v>
      </c>
      <c r="AU240" s="21">
        <v>0.58105499999999999</v>
      </c>
      <c r="AV240">
        <f t="shared" si="44"/>
        <v>18.137283950617284</v>
      </c>
      <c r="AW240">
        <f t="shared" si="45"/>
        <v>10.552598273580246</v>
      </c>
      <c r="AX240" s="9"/>
      <c r="AY240" s="21">
        <v>1.0582</v>
      </c>
      <c r="AZ240" s="21">
        <v>29.2254</v>
      </c>
      <c r="BA240" s="21">
        <v>-1.41479E-2</v>
      </c>
      <c r="BB240" s="21">
        <v>230</v>
      </c>
      <c r="BC240" s="21">
        <v>1.0571299999999999</v>
      </c>
      <c r="BD240">
        <f t="shared" si="46"/>
        <v>17.466543209876541</v>
      </c>
      <c r="BE240">
        <f t="shared" si="47"/>
        <v>18.483096024691356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7.3387200000000004</v>
      </c>
      <c r="I241" s="21">
        <v>-1.4837599999999999E-2</v>
      </c>
      <c r="J241" s="21">
        <v>231</v>
      </c>
      <c r="K241" s="21">
        <v>0.57617200000000002</v>
      </c>
      <c r="L241">
        <f t="shared" si="36"/>
        <v>18.318024691358023</v>
      </c>
      <c r="M241">
        <f t="shared" si="37"/>
        <v>10.565506917530863</v>
      </c>
      <c r="N241" s="9"/>
      <c r="O241" s="21">
        <v>1.0632299999999999</v>
      </c>
      <c r="P241" s="21">
        <v>11.037100000000001</v>
      </c>
      <c r="Q241" s="21">
        <v>-1.4242599999999999E-2</v>
      </c>
      <c r="R241" s="21">
        <v>231</v>
      </c>
      <c r="S241" s="21">
        <v>1.0623199999999999</v>
      </c>
      <c r="T241">
        <f t="shared" si="38"/>
        <v>17.583456790123453</v>
      </c>
      <c r="U241">
        <f t="shared" si="39"/>
        <v>18.695258762962958</v>
      </c>
      <c r="X241" s="9"/>
      <c r="Y241" s="21">
        <v>0.57678200000000002</v>
      </c>
      <c r="Z241" s="21">
        <v>16.4419</v>
      </c>
      <c r="AA241" s="21">
        <v>-1.47247E-2</v>
      </c>
      <c r="AB241" s="21">
        <v>231</v>
      </c>
      <c r="AC241" s="21">
        <v>0.57611100000000004</v>
      </c>
      <c r="AD241">
        <f t="shared" si="40"/>
        <v>18.178641975308643</v>
      </c>
      <c r="AE241">
        <f t="shared" si="41"/>
        <v>10.48511347580247</v>
      </c>
      <c r="AF241" s="9"/>
      <c r="AG241" s="21">
        <v>1.0632299999999999</v>
      </c>
      <c r="AH241" s="21">
        <v>20.1403</v>
      </c>
      <c r="AI241" s="21">
        <v>-1.4169299999999999E-2</v>
      </c>
      <c r="AJ241" s="21">
        <v>231</v>
      </c>
      <c r="AK241" s="21">
        <v>1.0629299999999999</v>
      </c>
      <c r="AL241">
        <f t="shared" si="42"/>
        <v>17.492962962962959</v>
      </c>
      <c r="AM241">
        <f t="shared" si="43"/>
        <v>18.599043011111107</v>
      </c>
      <c r="AP241" s="9"/>
      <c r="AQ241" s="21">
        <v>0.57678200000000002</v>
      </c>
      <c r="AR241" s="21">
        <v>25.537199999999999</v>
      </c>
      <c r="AS241" s="21">
        <v>-1.47064E-2</v>
      </c>
      <c r="AT241" s="21">
        <v>231</v>
      </c>
      <c r="AU241" s="21">
        <v>0.57614100000000001</v>
      </c>
      <c r="AV241">
        <f t="shared" si="44"/>
        <v>18.156049382716049</v>
      </c>
      <c r="AW241">
        <f t="shared" si="45"/>
        <v>10.472082475061729</v>
      </c>
      <c r="AX241" s="9"/>
      <c r="AY241" s="21">
        <v>1.0632299999999999</v>
      </c>
      <c r="AZ241" s="21">
        <v>29.235499999999998</v>
      </c>
      <c r="BA241" s="21">
        <v>-1.41388E-2</v>
      </c>
      <c r="BB241" s="21">
        <v>231</v>
      </c>
      <c r="BC241" s="21">
        <v>1.0626199999999999</v>
      </c>
      <c r="BD241">
        <f t="shared" si="46"/>
        <v>17.455308641975307</v>
      </c>
      <c r="BE241">
        <f t="shared" si="47"/>
        <v>18.559007807407404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7.3487900000000002</v>
      </c>
      <c r="I242" s="21">
        <v>-1.4837599999999999E-2</v>
      </c>
      <c r="J242" s="21">
        <v>232</v>
      </c>
      <c r="K242" s="21">
        <v>0.57104500000000002</v>
      </c>
      <c r="L242">
        <f t="shared" si="36"/>
        <v>18.318024691358023</v>
      </c>
      <c r="M242">
        <f t="shared" si="37"/>
        <v>10.473275663209876</v>
      </c>
      <c r="N242" s="9"/>
      <c r="O242" s="21">
        <v>1.0682700000000001</v>
      </c>
      <c r="P242" s="21">
        <v>11.0471</v>
      </c>
      <c r="Q242" s="21">
        <v>-1.42212E-2</v>
      </c>
      <c r="R242" s="21">
        <v>232</v>
      </c>
      <c r="S242" s="21">
        <v>1.0674999999999999</v>
      </c>
      <c r="T242">
        <f t="shared" si="38"/>
        <v>17.557037037037034</v>
      </c>
      <c r="U242">
        <f t="shared" si="39"/>
        <v>18.755655955555554</v>
      </c>
      <c r="X242" s="9"/>
      <c r="Y242" s="21">
        <v>0.57174700000000001</v>
      </c>
      <c r="Z242" s="21">
        <v>16.452000000000002</v>
      </c>
      <c r="AA242" s="21">
        <v>-1.47461E-2</v>
      </c>
      <c r="AB242" s="21">
        <v>232</v>
      </c>
      <c r="AC242" s="21">
        <v>0.571075</v>
      </c>
      <c r="AD242">
        <f t="shared" si="40"/>
        <v>18.205061728395062</v>
      </c>
      <c r="AE242">
        <f t="shared" si="41"/>
        <v>10.408689428024692</v>
      </c>
      <c r="AF242" s="9"/>
      <c r="AG242" s="21">
        <v>1.0682700000000001</v>
      </c>
      <c r="AH242" s="21">
        <v>20.150300000000001</v>
      </c>
      <c r="AI242" s="21">
        <v>-1.4154099999999999E-2</v>
      </c>
      <c r="AJ242" s="21">
        <v>232</v>
      </c>
      <c r="AK242" s="21">
        <v>1.0678099999999999</v>
      </c>
      <c r="AL242">
        <f t="shared" si="42"/>
        <v>17.474197530864195</v>
      </c>
      <c r="AM242">
        <f t="shared" si="43"/>
        <v>18.667160996296296</v>
      </c>
      <c r="AP242" s="9"/>
      <c r="AQ242" s="21">
        <v>0.57174700000000001</v>
      </c>
      <c r="AR242" s="21">
        <v>25.5472</v>
      </c>
      <c r="AS242" s="21">
        <v>-1.4721700000000001E-2</v>
      </c>
      <c r="AT242" s="21">
        <v>232</v>
      </c>
      <c r="AU242" s="21">
        <v>0.57101400000000002</v>
      </c>
      <c r="AV242">
        <f t="shared" si="44"/>
        <v>18.174938271604937</v>
      </c>
      <c r="AW242">
        <f t="shared" si="45"/>
        <v>10.391466431975308</v>
      </c>
      <c r="AX242" s="9"/>
      <c r="AY242" s="21">
        <v>1.0682700000000001</v>
      </c>
      <c r="AZ242" s="21">
        <v>29.2456</v>
      </c>
      <c r="BA242" s="21">
        <v>-1.4135699999999999E-2</v>
      </c>
      <c r="BB242" s="21">
        <v>232</v>
      </c>
      <c r="BC242" s="21">
        <v>1.0671999999999999</v>
      </c>
      <c r="BD242">
        <f t="shared" si="46"/>
        <v>17.45148148148148</v>
      </c>
      <c r="BE242">
        <f t="shared" si="47"/>
        <v>18.64289412222222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7.35886</v>
      </c>
      <c r="I243" s="21">
        <v>-1.4837599999999999E-2</v>
      </c>
      <c r="J243" s="21">
        <v>233</v>
      </c>
      <c r="K243" s="21">
        <v>0.56601000000000001</v>
      </c>
      <c r="L243">
        <f t="shared" si="36"/>
        <v>18.318024691358023</v>
      </c>
      <c r="M243">
        <f t="shared" si="37"/>
        <v>10.381026090864196</v>
      </c>
      <c r="N243" s="9"/>
      <c r="O243" s="21">
        <v>1.0732999999999999</v>
      </c>
      <c r="P243" s="21">
        <v>11.0572</v>
      </c>
      <c r="Q243" s="21">
        <v>-1.4218099999999999E-2</v>
      </c>
      <c r="R243" s="21">
        <v>233</v>
      </c>
      <c r="S243" s="21">
        <v>1.0720799999999999</v>
      </c>
      <c r="T243">
        <f t="shared" si="38"/>
        <v>17.553209876543207</v>
      </c>
      <c r="U243">
        <f t="shared" si="39"/>
        <v>18.839860160493821</v>
      </c>
      <c r="X243" s="9"/>
      <c r="Y243" s="21">
        <v>0.56671099999999996</v>
      </c>
      <c r="Z243" s="21">
        <v>16.4621</v>
      </c>
      <c r="AA243" s="21">
        <v>-1.4770500000000001E-2</v>
      </c>
      <c r="AB243" s="21">
        <v>233</v>
      </c>
      <c r="AC243" s="21">
        <v>0.56601000000000001</v>
      </c>
      <c r="AD243">
        <f t="shared" si="40"/>
        <v>18.235185185185184</v>
      </c>
      <c r="AE243">
        <f t="shared" si="41"/>
        <v>10.334080031481481</v>
      </c>
      <c r="AF243" s="9"/>
      <c r="AG243" s="21">
        <v>1.0732999999999999</v>
      </c>
      <c r="AH243" s="21">
        <v>20.160399999999999</v>
      </c>
      <c r="AI243" s="21">
        <v>-1.41327E-2</v>
      </c>
      <c r="AJ243" s="21">
        <v>233</v>
      </c>
      <c r="AK243" s="21">
        <v>1.0726899999999999</v>
      </c>
      <c r="AL243">
        <f t="shared" si="42"/>
        <v>17.447777777777777</v>
      </c>
      <c r="AM243">
        <f t="shared" si="43"/>
        <v>18.726699888888888</v>
      </c>
      <c r="AP243" s="9"/>
      <c r="AQ243" s="21">
        <v>0.56671099999999996</v>
      </c>
      <c r="AR243" s="21">
        <v>25.557300000000001</v>
      </c>
      <c r="AS243" s="21">
        <v>-1.474E-2</v>
      </c>
      <c r="AT243" s="21">
        <v>233</v>
      </c>
      <c r="AU243" s="21">
        <v>0.56603999999999999</v>
      </c>
      <c r="AV243">
        <f t="shared" si="44"/>
        <v>18.197530864197528</v>
      </c>
      <c r="AW243">
        <f t="shared" si="45"/>
        <v>10.312740913580244</v>
      </c>
      <c r="AX243" s="9"/>
      <c r="AY243" s="21">
        <v>1.0732999999999999</v>
      </c>
      <c r="AZ243" s="21">
        <v>29.255600000000001</v>
      </c>
      <c r="BA243" s="21">
        <v>-1.41327E-2</v>
      </c>
      <c r="BB243" s="21">
        <v>233</v>
      </c>
      <c r="BC243" s="21">
        <v>1.07178</v>
      </c>
      <c r="BD243">
        <f t="shared" si="46"/>
        <v>17.447777777777777</v>
      </c>
      <c r="BE243">
        <f t="shared" si="47"/>
        <v>18.726699888888888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7.3689299999999998</v>
      </c>
      <c r="I244" s="21">
        <v>-1.48285E-2</v>
      </c>
      <c r="J244" s="21">
        <v>234</v>
      </c>
      <c r="K244" s="21">
        <v>0.56106599999999995</v>
      </c>
      <c r="L244">
        <f t="shared" si="36"/>
        <v>18.306790123456789</v>
      </c>
      <c r="M244">
        <f t="shared" si="37"/>
        <v>10.282484649382715</v>
      </c>
      <c r="N244" s="9"/>
      <c r="O244" s="21">
        <v>1.0783400000000001</v>
      </c>
      <c r="P244" s="21">
        <v>11.067299999999999</v>
      </c>
      <c r="Q244" s="21">
        <v>-1.42151E-2</v>
      </c>
      <c r="R244" s="21">
        <v>234</v>
      </c>
      <c r="S244" s="21">
        <v>1.07758</v>
      </c>
      <c r="T244">
        <f t="shared" si="38"/>
        <v>17.549506172839507</v>
      </c>
      <c r="U244">
        <f t="shared" si="39"/>
        <v>18.924334486419756</v>
      </c>
      <c r="X244" s="9"/>
      <c r="Y244" s="21">
        <v>0.56167599999999995</v>
      </c>
      <c r="Z244" s="21">
        <v>16.472200000000001</v>
      </c>
      <c r="AA244" s="21">
        <v>-1.47919E-2</v>
      </c>
      <c r="AB244" s="21">
        <v>234</v>
      </c>
      <c r="AC244" s="21">
        <v>0.560944</v>
      </c>
      <c r="AD244">
        <f t="shared" si="40"/>
        <v>18.261604938271603</v>
      </c>
      <c r="AE244">
        <f t="shared" si="41"/>
        <v>10.25710521530864</v>
      </c>
      <c r="AF244" s="9"/>
      <c r="AG244" s="21">
        <v>1.0783400000000001</v>
      </c>
      <c r="AH244" s="21">
        <v>20.170500000000001</v>
      </c>
      <c r="AI244" s="21">
        <v>-1.4120499999999999E-2</v>
      </c>
      <c r="AJ244" s="21">
        <v>234</v>
      </c>
      <c r="AK244" s="21">
        <v>1.07758</v>
      </c>
      <c r="AL244">
        <f t="shared" si="42"/>
        <v>17.432716049382716</v>
      </c>
      <c r="AM244">
        <f t="shared" si="43"/>
        <v>18.798395024691359</v>
      </c>
      <c r="AP244" s="9"/>
      <c r="AQ244" s="21">
        <v>0.56167599999999995</v>
      </c>
      <c r="AR244" s="21">
        <v>25.567399999999999</v>
      </c>
      <c r="AS244" s="21">
        <v>-1.4736900000000001E-2</v>
      </c>
      <c r="AT244" s="21">
        <v>234</v>
      </c>
      <c r="AU244" s="21">
        <v>0.56103499999999995</v>
      </c>
      <c r="AV244">
        <f t="shared" si="44"/>
        <v>18.193703703703704</v>
      </c>
      <c r="AW244">
        <f t="shared" si="45"/>
        <v>10.218966721481481</v>
      </c>
      <c r="AX244" s="9"/>
      <c r="AY244" s="21">
        <v>1.0783400000000001</v>
      </c>
      <c r="AZ244" s="21">
        <v>29.265699999999999</v>
      </c>
      <c r="BA244" s="21">
        <v>-1.4135699999999999E-2</v>
      </c>
      <c r="BB244" s="21">
        <v>234</v>
      </c>
      <c r="BC244" s="21">
        <v>1.0772699999999999</v>
      </c>
      <c r="BD244">
        <f t="shared" si="46"/>
        <v>17.45148148148148</v>
      </c>
      <c r="BE244">
        <f t="shared" si="47"/>
        <v>18.818630540740742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7.3789999999999996</v>
      </c>
      <c r="I245" s="21">
        <v>-1.4825400000000001E-2</v>
      </c>
      <c r="J245" s="21">
        <v>235</v>
      </c>
      <c r="K245" s="21">
        <v>0.55596900000000005</v>
      </c>
      <c r="L245">
        <f t="shared" si="36"/>
        <v>18.302962962962962</v>
      </c>
      <c r="M245">
        <f t="shared" si="37"/>
        <v>10.188179606666667</v>
      </c>
      <c r="N245" s="9"/>
      <c r="O245" s="21">
        <v>1.0833699999999999</v>
      </c>
      <c r="P245" s="21">
        <v>11.077299999999999</v>
      </c>
      <c r="Q245" s="21">
        <v>-1.4212000000000001E-2</v>
      </c>
      <c r="R245" s="21">
        <v>235</v>
      </c>
      <c r="S245" s="21">
        <v>1.0821499999999999</v>
      </c>
      <c r="T245">
        <f t="shared" si="38"/>
        <v>17.54567901234568</v>
      </c>
      <c r="U245">
        <f t="shared" si="39"/>
        <v>19.008462271604937</v>
      </c>
      <c r="X245" s="9"/>
      <c r="Y245" s="21">
        <v>0.55664100000000005</v>
      </c>
      <c r="Z245" s="21">
        <v>16.482199999999999</v>
      </c>
      <c r="AA245" s="21">
        <v>-1.4810200000000001E-2</v>
      </c>
      <c r="AB245" s="21">
        <v>235</v>
      </c>
      <c r="AC245" s="21">
        <v>0.55600000000000005</v>
      </c>
      <c r="AD245">
        <f t="shared" si="40"/>
        <v>18.284197530864198</v>
      </c>
      <c r="AE245">
        <f t="shared" si="41"/>
        <v>10.177733997777779</v>
      </c>
      <c r="AF245" s="9"/>
      <c r="AG245" s="21">
        <v>1.0833699999999999</v>
      </c>
      <c r="AH245" s="21">
        <v>20.180599999999998</v>
      </c>
      <c r="AI245" s="21">
        <v>-1.4108300000000001E-2</v>
      </c>
      <c r="AJ245" s="21">
        <v>235</v>
      </c>
      <c r="AK245" s="21">
        <v>1.08307</v>
      </c>
      <c r="AL245">
        <f t="shared" si="42"/>
        <v>17.417654320987655</v>
      </c>
      <c r="AM245">
        <f t="shared" si="43"/>
        <v>18.869764161728394</v>
      </c>
      <c r="AP245" s="9"/>
      <c r="AQ245" s="21">
        <v>0.55664100000000005</v>
      </c>
      <c r="AR245" s="21">
        <v>25.577400000000001</v>
      </c>
      <c r="AS245" s="21">
        <v>-1.47308E-2</v>
      </c>
      <c r="AT245" s="21">
        <v>235</v>
      </c>
      <c r="AU245" s="21">
        <v>0.55584699999999998</v>
      </c>
      <c r="AV245">
        <f t="shared" si="44"/>
        <v>18.186172839506174</v>
      </c>
      <c r="AW245">
        <f t="shared" si="45"/>
        <v>10.123169435555557</v>
      </c>
      <c r="AX245" s="9"/>
      <c r="AY245" s="21">
        <v>1.0833699999999999</v>
      </c>
      <c r="AZ245" s="21">
        <v>29.2758</v>
      </c>
      <c r="BA245" s="21">
        <v>-1.41327E-2</v>
      </c>
      <c r="BB245" s="21">
        <v>235</v>
      </c>
      <c r="BC245" s="21">
        <v>1.0827599999999999</v>
      </c>
      <c r="BD245">
        <f t="shared" si="46"/>
        <v>17.447777777777777</v>
      </c>
      <c r="BE245">
        <f t="shared" si="47"/>
        <v>18.902399011111108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7.3890799999999999</v>
      </c>
      <c r="I246" s="21">
        <v>-1.48468E-2</v>
      </c>
      <c r="J246" s="21">
        <v>236</v>
      </c>
      <c r="K246" s="21">
        <v>0.55093400000000003</v>
      </c>
      <c r="L246">
        <f t="shared" si="36"/>
        <v>18.329382716049381</v>
      </c>
      <c r="M246">
        <f t="shared" si="37"/>
        <v>10.11057915308642</v>
      </c>
      <c r="N246" s="9"/>
      <c r="O246" s="21">
        <v>1.0884100000000001</v>
      </c>
      <c r="P246" s="21">
        <v>11.087400000000001</v>
      </c>
      <c r="Q246" s="21">
        <v>-1.4196800000000001E-2</v>
      </c>
      <c r="R246" s="21">
        <v>236</v>
      </c>
      <c r="S246" s="21">
        <v>1.08734</v>
      </c>
      <c r="T246">
        <f t="shared" si="38"/>
        <v>17.526913580246916</v>
      </c>
      <c r="U246">
        <f t="shared" si="39"/>
        <v>19.076468009876546</v>
      </c>
      <c r="X246" s="9"/>
      <c r="Y246" s="21">
        <v>0.55160500000000001</v>
      </c>
      <c r="Z246" s="21">
        <v>16.4923</v>
      </c>
      <c r="AA246" s="21">
        <v>-1.4825400000000001E-2</v>
      </c>
      <c r="AB246" s="21">
        <v>236</v>
      </c>
      <c r="AC246" s="21">
        <v>0.55093400000000003</v>
      </c>
      <c r="AD246">
        <f t="shared" si="40"/>
        <v>18.302962962962962</v>
      </c>
      <c r="AE246">
        <f t="shared" si="41"/>
        <v>10.096005885185185</v>
      </c>
      <c r="AF246" s="9"/>
      <c r="AG246" s="21">
        <v>1.0884100000000001</v>
      </c>
      <c r="AH246" s="21">
        <v>20.1906</v>
      </c>
      <c r="AI246" s="21">
        <v>-1.41052E-2</v>
      </c>
      <c r="AJ246" s="21">
        <v>236</v>
      </c>
      <c r="AK246" s="21">
        <v>1.08795</v>
      </c>
      <c r="AL246">
        <f t="shared" si="42"/>
        <v>17.413827160493828</v>
      </c>
      <c r="AM246">
        <f t="shared" si="43"/>
        <v>18.95338361975309</v>
      </c>
      <c r="AP246" s="9"/>
      <c r="AQ246" s="21">
        <v>0.55160500000000001</v>
      </c>
      <c r="AR246" s="21">
        <v>25.587499999999999</v>
      </c>
      <c r="AS246" s="21">
        <v>-1.4736900000000001E-2</v>
      </c>
      <c r="AT246" s="21">
        <v>236</v>
      </c>
      <c r="AU246" s="21">
        <v>0.55111699999999997</v>
      </c>
      <c r="AV246">
        <f t="shared" si="44"/>
        <v>18.193703703703704</v>
      </c>
      <c r="AW246">
        <f t="shared" si="45"/>
        <v>10.035737931481481</v>
      </c>
      <c r="AX246" s="9"/>
      <c r="AY246" s="21">
        <v>1.0884100000000001</v>
      </c>
      <c r="AZ246" s="21">
        <v>29.285900000000002</v>
      </c>
      <c r="BA246" s="21">
        <v>-1.4129600000000001E-2</v>
      </c>
      <c r="BB246" s="21">
        <v>236</v>
      </c>
      <c r="BC246" s="21">
        <v>1.08704</v>
      </c>
      <c r="BD246">
        <f t="shared" si="46"/>
        <v>17.443950617283949</v>
      </c>
      <c r="BE246">
        <f t="shared" si="47"/>
        <v>18.986170291358025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7.3991499999999997</v>
      </c>
      <c r="I247" s="21">
        <v>-1.4865099999999999E-2</v>
      </c>
      <c r="J247" s="21">
        <v>237</v>
      </c>
      <c r="K247" s="21">
        <v>0.54580700000000004</v>
      </c>
      <c r="L247">
        <f t="shared" si="36"/>
        <v>18.351975308641972</v>
      </c>
      <c r="M247">
        <f t="shared" si="37"/>
        <v>10.030639144444443</v>
      </c>
      <c r="N247" s="9"/>
      <c r="O247" s="21">
        <v>1.09344</v>
      </c>
      <c r="P247" s="21">
        <v>11.0975</v>
      </c>
      <c r="Q247" s="21">
        <v>-1.41785E-2</v>
      </c>
      <c r="R247" s="21">
        <v>237</v>
      </c>
      <c r="S247" s="21">
        <v>1.09253</v>
      </c>
      <c r="T247">
        <f t="shared" si="38"/>
        <v>17.504320987654321</v>
      </c>
      <c r="U247">
        <f t="shared" si="39"/>
        <v>19.139924740740739</v>
      </c>
      <c r="X247" s="9"/>
      <c r="Y247" s="21">
        <v>0.54657</v>
      </c>
      <c r="Z247" s="21">
        <v>16.502400000000002</v>
      </c>
      <c r="AA247" s="21">
        <v>-1.48285E-2</v>
      </c>
      <c r="AB247" s="21">
        <v>237</v>
      </c>
      <c r="AC247" s="21">
        <v>0.54589799999999999</v>
      </c>
      <c r="AD247">
        <f t="shared" si="40"/>
        <v>18.306790123456789</v>
      </c>
      <c r="AE247">
        <f t="shared" si="41"/>
        <v>10.005942277777777</v>
      </c>
      <c r="AF247" s="9"/>
      <c r="AG247" s="21">
        <v>1.09344</v>
      </c>
      <c r="AH247" s="21">
        <v>20.200700000000001</v>
      </c>
      <c r="AI247" s="21">
        <v>-1.41113E-2</v>
      </c>
      <c r="AJ247" s="21">
        <v>237</v>
      </c>
      <c r="AK247" s="21">
        <v>1.09253</v>
      </c>
      <c r="AL247">
        <f t="shared" si="42"/>
        <v>17.421358024691358</v>
      </c>
      <c r="AM247">
        <f t="shared" si="43"/>
        <v>19.049209718518519</v>
      </c>
      <c r="AP247" s="9"/>
      <c r="AQ247" s="21">
        <v>0.54657</v>
      </c>
      <c r="AR247" s="21">
        <v>25.5976</v>
      </c>
      <c r="AS247" s="21">
        <v>-1.4736900000000001E-2</v>
      </c>
      <c r="AT247" s="21">
        <v>237</v>
      </c>
      <c r="AU247" s="21">
        <v>0.54583700000000002</v>
      </c>
      <c r="AV247">
        <f t="shared" si="44"/>
        <v>18.193703703703704</v>
      </c>
      <c r="AW247">
        <f t="shared" si="45"/>
        <v>9.944132633333334</v>
      </c>
      <c r="AX247" s="9"/>
      <c r="AY247" s="21">
        <v>1.09344</v>
      </c>
      <c r="AZ247" s="21">
        <v>29.2959</v>
      </c>
      <c r="BA247" s="21">
        <v>-1.41388E-2</v>
      </c>
      <c r="BB247" s="21">
        <v>237</v>
      </c>
      <c r="BC247" s="21">
        <v>1.09192</v>
      </c>
      <c r="BD247">
        <f t="shared" si="46"/>
        <v>17.455308641975307</v>
      </c>
      <c r="BE247">
        <f t="shared" si="47"/>
        <v>19.08633268148148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7.4092200000000004</v>
      </c>
      <c r="I248" s="21">
        <v>-1.4871199999999999E-2</v>
      </c>
      <c r="J248" s="21">
        <v>238</v>
      </c>
      <c r="K248" s="21">
        <v>0.540771</v>
      </c>
      <c r="L248">
        <f t="shared" si="36"/>
        <v>18.359506172839506</v>
      </c>
      <c r="M248">
        <f t="shared" si="37"/>
        <v>9.942296815802468</v>
      </c>
      <c r="N248" s="9"/>
      <c r="O248" s="21">
        <v>1.0984799999999999</v>
      </c>
      <c r="P248" s="21">
        <v>11.1076</v>
      </c>
      <c r="Q248" s="21">
        <v>-1.4175399999999999E-2</v>
      </c>
      <c r="R248" s="21">
        <v>238</v>
      </c>
      <c r="S248" s="21">
        <v>1.09711</v>
      </c>
      <c r="T248">
        <f t="shared" si="38"/>
        <v>17.500493827160494</v>
      </c>
      <c r="U248">
        <f t="shared" si="39"/>
        <v>19.223942459259256</v>
      </c>
      <c r="X248" s="9"/>
      <c r="Y248" s="21">
        <v>0.54153399999999996</v>
      </c>
      <c r="Z248" s="21">
        <v>16.5124</v>
      </c>
      <c r="AA248" s="21">
        <v>-1.48132E-2</v>
      </c>
      <c r="AB248" s="21">
        <v>238</v>
      </c>
      <c r="AC248" s="21">
        <v>0.54089399999999999</v>
      </c>
      <c r="AD248">
        <f t="shared" si="40"/>
        <v>18.287901234567901</v>
      </c>
      <c r="AE248">
        <f t="shared" si="41"/>
        <v>9.9035203071604929</v>
      </c>
      <c r="AF248" s="9"/>
      <c r="AG248" s="21">
        <v>1.0984799999999999</v>
      </c>
      <c r="AH248" s="21">
        <v>20.210799999999999</v>
      </c>
      <c r="AI248" s="21">
        <v>-1.4108300000000001E-2</v>
      </c>
      <c r="AJ248" s="21">
        <v>238</v>
      </c>
      <c r="AK248" s="21">
        <v>1.09772</v>
      </c>
      <c r="AL248">
        <f t="shared" si="42"/>
        <v>17.417654320987655</v>
      </c>
      <c r="AM248">
        <f t="shared" si="43"/>
        <v>19.132944918518518</v>
      </c>
      <c r="AP248" s="9"/>
      <c r="AQ248" s="21">
        <v>0.54153399999999996</v>
      </c>
      <c r="AR248" s="21">
        <v>25.607700000000001</v>
      </c>
      <c r="AS248" s="21">
        <v>-1.47247E-2</v>
      </c>
      <c r="AT248" s="21">
        <v>238</v>
      </c>
      <c r="AU248" s="21">
        <v>0.54083300000000001</v>
      </c>
      <c r="AV248">
        <f t="shared" si="44"/>
        <v>18.178641975308643</v>
      </c>
      <c r="AW248">
        <f t="shared" si="45"/>
        <v>9.8443527034567904</v>
      </c>
      <c r="AX248" s="9"/>
      <c r="AY248" s="21">
        <v>1.0984799999999999</v>
      </c>
      <c r="AZ248" s="21">
        <v>29.306000000000001</v>
      </c>
      <c r="BA248" s="21">
        <v>-1.41266E-2</v>
      </c>
      <c r="BB248" s="21">
        <v>238</v>
      </c>
      <c r="BC248" s="21">
        <v>1.09741</v>
      </c>
      <c r="BD248">
        <f t="shared" si="46"/>
        <v>17.440246913580246</v>
      </c>
      <c r="BE248">
        <f t="shared" si="47"/>
        <v>19.157762429629628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7.4192900000000002</v>
      </c>
      <c r="I249" s="21">
        <v>-1.48895E-2</v>
      </c>
      <c r="J249" s="21">
        <v>239</v>
      </c>
      <c r="K249" s="21">
        <v>0.53576699999999999</v>
      </c>
      <c r="L249">
        <f t="shared" si="36"/>
        <v>18.382098765432101</v>
      </c>
      <c r="M249">
        <f t="shared" si="37"/>
        <v>9.8619776055555555</v>
      </c>
      <c r="N249" s="9"/>
      <c r="O249" s="21">
        <v>1.1035200000000001</v>
      </c>
      <c r="P249" s="21">
        <v>11.117599999999999</v>
      </c>
      <c r="Q249" s="21">
        <v>-1.4169299999999999E-2</v>
      </c>
      <c r="R249" s="21">
        <v>239</v>
      </c>
      <c r="S249" s="21">
        <v>1.1026</v>
      </c>
      <c r="T249">
        <f t="shared" si="38"/>
        <v>17.492962962962959</v>
      </c>
      <c r="U249">
        <f t="shared" si="39"/>
        <v>19.303834488888885</v>
      </c>
      <c r="X249" s="9"/>
      <c r="Y249" s="21">
        <v>0.53649899999999995</v>
      </c>
      <c r="Z249" s="21">
        <v>16.522500000000001</v>
      </c>
      <c r="AA249" s="21">
        <v>-1.48132E-2</v>
      </c>
      <c r="AB249" s="21">
        <v>239</v>
      </c>
      <c r="AC249" s="21">
        <v>0.53591900000000003</v>
      </c>
      <c r="AD249">
        <f t="shared" si="40"/>
        <v>18.287901234567901</v>
      </c>
      <c r="AE249">
        <f t="shared" si="41"/>
        <v>9.8114407244444433</v>
      </c>
      <c r="AF249" s="9"/>
      <c r="AG249" s="21">
        <v>1.1035200000000001</v>
      </c>
      <c r="AH249" s="21">
        <v>20.220800000000001</v>
      </c>
      <c r="AI249" s="21">
        <v>-1.41052E-2</v>
      </c>
      <c r="AJ249" s="21">
        <v>239</v>
      </c>
      <c r="AK249" s="21">
        <v>1.1026</v>
      </c>
      <c r="AL249">
        <f t="shared" si="42"/>
        <v>17.413827160493828</v>
      </c>
      <c r="AM249">
        <f t="shared" si="43"/>
        <v>19.21650654814815</v>
      </c>
      <c r="AP249" s="9"/>
      <c r="AQ249" s="21">
        <v>0.53649899999999995</v>
      </c>
      <c r="AR249" s="21">
        <v>25.617699999999999</v>
      </c>
      <c r="AS249" s="21">
        <v>-1.47247E-2</v>
      </c>
      <c r="AT249" s="21">
        <v>239</v>
      </c>
      <c r="AU249" s="21">
        <v>0.53570600000000002</v>
      </c>
      <c r="AV249">
        <f t="shared" si="44"/>
        <v>18.178641975308643</v>
      </c>
      <c r="AW249">
        <f t="shared" si="45"/>
        <v>9.7528232411111109</v>
      </c>
      <c r="AX249" s="9"/>
      <c r="AY249" s="21">
        <v>1.1035200000000001</v>
      </c>
      <c r="AZ249" s="21">
        <v>29.316099999999999</v>
      </c>
      <c r="BA249" s="21">
        <v>-1.4114399999999999E-2</v>
      </c>
      <c r="BB249" s="21">
        <v>239</v>
      </c>
      <c r="BC249" s="21">
        <v>1.1029100000000001</v>
      </c>
      <c r="BD249">
        <f t="shared" si="46"/>
        <v>17.425185185185182</v>
      </c>
      <c r="BE249">
        <f t="shared" si="47"/>
        <v>19.229040355555554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7.42936</v>
      </c>
      <c r="I250" s="21">
        <v>-1.49017E-2</v>
      </c>
      <c r="J250" s="21">
        <v>240</v>
      </c>
      <c r="K250" s="21">
        <v>0.53079200000000004</v>
      </c>
      <c r="L250">
        <f t="shared" si="36"/>
        <v>18.397160493827158</v>
      </c>
      <c r="M250">
        <f t="shared" si="37"/>
        <v>9.7774285046913576</v>
      </c>
      <c r="N250" s="9"/>
      <c r="O250" s="21">
        <v>1.1085499999999999</v>
      </c>
      <c r="P250" s="21">
        <v>11.127700000000001</v>
      </c>
      <c r="Q250" s="21">
        <v>-1.4169299999999999E-2</v>
      </c>
      <c r="R250" s="21">
        <v>240</v>
      </c>
      <c r="S250" s="21">
        <v>1.1077900000000001</v>
      </c>
      <c r="T250">
        <f t="shared" si="38"/>
        <v>17.492962962962959</v>
      </c>
      <c r="U250">
        <f t="shared" si="39"/>
        <v>19.391824092592586</v>
      </c>
      <c r="X250" s="9"/>
      <c r="Y250" s="21">
        <v>0.53146400000000005</v>
      </c>
      <c r="Z250" s="21">
        <v>16.532599999999999</v>
      </c>
      <c r="AA250" s="21">
        <v>-1.4816299999999999E-2</v>
      </c>
      <c r="AB250" s="21">
        <v>240</v>
      </c>
      <c r="AC250" s="21">
        <v>0.53073099999999995</v>
      </c>
      <c r="AD250">
        <f t="shared" si="40"/>
        <v>18.291728395061728</v>
      </c>
      <c r="AE250">
        <f t="shared" si="41"/>
        <v>9.7213951397530867</v>
      </c>
      <c r="AF250" s="9"/>
      <c r="AG250" s="21">
        <v>1.1085499999999999</v>
      </c>
      <c r="AH250" s="21">
        <v>20.230899999999998</v>
      </c>
      <c r="AI250" s="21">
        <v>-1.4108300000000001E-2</v>
      </c>
      <c r="AJ250" s="21">
        <v>240</v>
      </c>
      <c r="AK250" s="21">
        <v>1.1077900000000001</v>
      </c>
      <c r="AL250">
        <f t="shared" si="42"/>
        <v>17.417654320987655</v>
      </c>
      <c r="AM250">
        <f t="shared" si="43"/>
        <v>19.308340697530863</v>
      </c>
      <c r="AP250" s="9"/>
      <c r="AQ250" s="21">
        <v>0.53146400000000005</v>
      </c>
      <c r="AR250" s="21">
        <v>25.627800000000001</v>
      </c>
      <c r="AS250" s="21">
        <v>-1.47247E-2</v>
      </c>
      <c r="AT250" s="21">
        <v>240</v>
      </c>
      <c r="AU250" s="21">
        <v>0.530914</v>
      </c>
      <c r="AV250">
        <f t="shared" si="44"/>
        <v>18.178641975308643</v>
      </c>
      <c r="AW250">
        <f t="shared" si="45"/>
        <v>9.6612937787654332</v>
      </c>
      <c r="AX250" s="9"/>
      <c r="AY250" s="21">
        <v>1.1085499999999999</v>
      </c>
      <c r="AZ250" s="21">
        <v>29.3261</v>
      </c>
      <c r="BA250" s="21">
        <v>-1.4093E-2</v>
      </c>
      <c r="BB250" s="21">
        <v>240</v>
      </c>
      <c r="BC250" s="21">
        <v>1.1071800000000001</v>
      </c>
      <c r="BD250">
        <f t="shared" si="46"/>
        <v>17.398765432098763</v>
      </c>
      <c r="BE250">
        <f t="shared" si="47"/>
        <v>19.287401419753081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7.4394299999999998</v>
      </c>
      <c r="I251" s="21">
        <v>-1.4904799999999999E-2</v>
      </c>
      <c r="J251" s="21">
        <v>241</v>
      </c>
      <c r="K251" s="21">
        <v>0.52575700000000003</v>
      </c>
      <c r="L251">
        <f t="shared" si="36"/>
        <v>18.400987654320986</v>
      </c>
      <c r="M251">
        <f t="shared" si="37"/>
        <v>9.6867951288888872</v>
      </c>
      <c r="N251" s="9"/>
      <c r="O251" s="21">
        <v>1.1135900000000001</v>
      </c>
      <c r="P251" s="21">
        <v>11.1378</v>
      </c>
      <c r="Q251" s="21">
        <v>-1.4163200000000001E-2</v>
      </c>
      <c r="R251" s="21">
        <v>241</v>
      </c>
      <c r="S251" s="21">
        <v>1.11206</v>
      </c>
      <c r="T251">
        <f t="shared" si="38"/>
        <v>17.485432098765433</v>
      </c>
      <c r="U251">
        <f t="shared" si="39"/>
        <v>19.471602330864201</v>
      </c>
      <c r="X251" s="9"/>
      <c r="Y251" s="21">
        <v>0.52642800000000001</v>
      </c>
      <c r="Z251" s="21">
        <v>16.5426</v>
      </c>
      <c r="AA251" s="21">
        <v>-1.4819300000000001E-2</v>
      </c>
      <c r="AB251" s="21">
        <v>241</v>
      </c>
      <c r="AC251" s="21">
        <v>0.52575700000000003</v>
      </c>
      <c r="AD251">
        <f t="shared" si="40"/>
        <v>18.295432098765431</v>
      </c>
      <c r="AE251">
        <f t="shared" si="41"/>
        <v>9.6312277288888879</v>
      </c>
      <c r="AF251" s="9"/>
      <c r="AG251" s="21">
        <v>1.1135900000000001</v>
      </c>
      <c r="AH251" s="21">
        <v>20.241</v>
      </c>
      <c r="AI251" s="21">
        <v>-1.41113E-2</v>
      </c>
      <c r="AJ251" s="21">
        <v>241</v>
      </c>
      <c r="AK251" s="21">
        <v>1.11267</v>
      </c>
      <c r="AL251">
        <f t="shared" si="42"/>
        <v>17.421358024691358</v>
      </c>
      <c r="AM251">
        <f t="shared" si="43"/>
        <v>19.400250082716052</v>
      </c>
      <c r="AP251" s="9"/>
      <c r="AQ251" s="21">
        <v>0.52642800000000001</v>
      </c>
      <c r="AR251" s="21">
        <v>25.637899999999998</v>
      </c>
      <c r="AS251" s="21">
        <v>-1.4733899999999999E-2</v>
      </c>
      <c r="AT251" s="21">
        <v>241</v>
      </c>
      <c r="AU251" s="21">
        <v>0.525787</v>
      </c>
      <c r="AV251">
        <f t="shared" si="44"/>
        <v>18.189999999999998</v>
      </c>
      <c r="AW251">
        <f t="shared" si="45"/>
        <v>9.5757253199999983</v>
      </c>
      <c r="AX251" s="9"/>
      <c r="AY251" s="21">
        <v>1.1135900000000001</v>
      </c>
      <c r="AZ251" s="21">
        <v>29.336200000000002</v>
      </c>
      <c r="BA251" s="21">
        <v>-1.4080799999999999E-2</v>
      </c>
      <c r="BB251" s="21">
        <v>241</v>
      </c>
      <c r="BC251" s="21">
        <v>1.1123700000000001</v>
      </c>
      <c r="BD251">
        <f t="shared" si="46"/>
        <v>17.383703703703702</v>
      </c>
      <c r="BE251">
        <f t="shared" si="47"/>
        <v>19.358318607407409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7.4494999999999996</v>
      </c>
      <c r="I252" s="21">
        <v>-1.4913900000000001E-2</v>
      </c>
      <c r="J252" s="21">
        <v>242</v>
      </c>
      <c r="K252" s="21">
        <v>0.52075199999999999</v>
      </c>
      <c r="L252">
        <f t="shared" si="36"/>
        <v>18.412222222222223</v>
      </c>
      <c r="M252">
        <f t="shared" si="37"/>
        <v>9.600003781111111</v>
      </c>
      <c r="N252" s="9"/>
      <c r="O252" s="21">
        <v>1.1186199999999999</v>
      </c>
      <c r="P252" s="21">
        <v>11.1478</v>
      </c>
      <c r="Q252" s="21">
        <v>-1.41663E-2</v>
      </c>
      <c r="R252" s="21">
        <v>242</v>
      </c>
      <c r="S252" s="21">
        <v>1.11755</v>
      </c>
      <c r="T252">
        <f t="shared" si="38"/>
        <v>17.489259259259256</v>
      </c>
      <c r="U252">
        <f t="shared" si="39"/>
        <v>19.563835192592588</v>
      </c>
      <c r="X252" s="9"/>
      <c r="Y252" s="21">
        <v>0.521393</v>
      </c>
      <c r="Z252" s="21">
        <v>16.552700000000002</v>
      </c>
      <c r="AA252" s="21">
        <v>-1.4810200000000001E-2</v>
      </c>
      <c r="AB252" s="21">
        <v>242</v>
      </c>
      <c r="AC252" s="21">
        <v>0.52078199999999997</v>
      </c>
      <c r="AD252">
        <f t="shared" si="40"/>
        <v>18.284197530864198</v>
      </c>
      <c r="AE252">
        <f t="shared" si="41"/>
        <v>9.5332526032098759</v>
      </c>
      <c r="AF252" s="9"/>
      <c r="AG252" s="21">
        <v>1.1186199999999999</v>
      </c>
      <c r="AH252" s="21">
        <v>20.251100000000001</v>
      </c>
      <c r="AI252" s="21">
        <v>-1.4114399999999999E-2</v>
      </c>
      <c r="AJ252" s="21">
        <v>242</v>
      </c>
      <c r="AK252" s="21">
        <v>1.1172500000000001</v>
      </c>
      <c r="AL252">
        <f t="shared" si="42"/>
        <v>17.425185185185182</v>
      </c>
      <c r="AM252">
        <f t="shared" si="43"/>
        <v>19.492160651851847</v>
      </c>
      <c r="AP252" s="9"/>
      <c r="AQ252" s="21">
        <v>0.521393</v>
      </c>
      <c r="AR252" s="21">
        <v>25.6479</v>
      </c>
      <c r="AS252" s="21">
        <v>-1.47308E-2</v>
      </c>
      <c r="AT252" s="21">
        <v>242</v>
      </c>
      <c r="AU252" s="21">
        <v>0.52069100000000001</v>
      </c>
      <c r="AV252">
        <f t="shared" si="44"/>
        <v>18.186172839506174</v>
      </c>
      <c r="AW252">
        <f t="shared" si="45"/>
        <v>9.4821432153086427</v>
      </c>
      <c r="AX252" s="9"/>
      <c r="AY252" s="21">
        <v>1.1186199999999999</v>
      </c>
      <c r="AZ252" s="21">
        <v>29.346299999999999</v>
      </c>
      <c r="BA252" s="21">
        <v>-1.40625E-2</v>
      </c>
      <c r="BB252" s="21">
        <v>242</v>
      </c>
      <c r="BC252" s="21">
        <v>1.1172500000000001</v>
      </c>
      <c r="BD252">
        <f t="shared" si="46"/>
        <v>17.361111111111111</v>
      </c>
      <c r="BE252">
        <f t="shared" si="47"/>
        <v>19.42048611111111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7.4595700000000003</v>
      </c>
      <c r="I253" s="21">
        <v>-1.4917E-2</v>
      </c>
      <c r="J253" s="21">
        <v>243</v>
      </c>
      <c r="K253" s="21">
        <v>0.515656</v>
      </c>
      <c r="L253">
        <f t="shared" si="36"/>
        <v>18.416049382716047</v>
      </c>
      <c r="M253">
        <f t="shared" si="37"/>
        <v>9.5092560111111091</v>
      </c>
      <c r="N253" s="9"/>
      <c r="O253" s="21">
        <v>1.1236600000000001</v>
      </c>
      <c r="P253" s="21">
        <v>11.1579</v>
      </c>
      <c r="Q253" s="21">
        <v>-1.4163200000000001E-2</v>
      </c>
      <c r="R253" s="21">
        <v>243</v>
      </c>
      <c r="S253" s="21">
        <v>1.1227400000000001</v>
      </c>
      <c r="T253">
        <f t="shared" si="38"/>
        <v>17.485432098765433</v>
      </c>
      <c r="U253">
        <f t="shared" si="39"/>
        <v>19.647680632098769</v>
      </c>
      <c r="X253" s="9"/>
      <c r="Y253" s="21">
        <v>0.51635699999999995</v>
      </c>
      <c r="Z253" s="21">
        <v>16.562799999999999</v>
      </c>
      <c r="AA253" s="21">
        <v>-1.47949E-2</v>
      </c>
      <c r="AB253" s="21">
        <v>243</v>
      </c>
      <c r="AC253" s="21">
        <v>0.515625</v>
      </c>
      <c r="AD253">
        <f t="shared" si="40"/>
        <v>18.265308641975306</v>
      </c>
      <c r="AE253">
        <f t="shared" si="41"/>
        <v>9.4314199744444416</v>
      </c>
      <c r="AF253" s="9"/>
      <c r="AG253" s="21">
        <v>1.1236600000000001</v>
      </c>
      <c r="AH253" s="21">
        <v>20.261099999999999</v>
      </c>
      <c r="AI253" s="21">
        <v>-1.41174E-2</v>
      </c>
      <c r="AJ253" s="21">
        <v>243</v>
      </c>
      <c r="AK253" s="21">
        <v>1.1227400000000001</v>
      </c>
      <c r="AL253">
        <f t="shared" si="42"/>
        <v>17.428888888888888</v>
      </c>
      <c r="AM253">
        <f t="shared" si="43"/>
        <v>19.584145288888891</v>
      </c>
      <c r="AP253" s="9"/>
      <c r="AQ253" s="21">
        <v>0.51635699999999995</v>
      </c>
      <c r="AR253" s="21">
        <v>25.658000000000001</v>
      </c>
      <c r="AS253" s="21">
        <v>-1.47247E-2</v>
      </c>
      <c r="AT253" s="21">
        <v>243</v>
      </c>
      <c r="AU253" s="21">
        <v>0.51568599999999998</v>
      </c>
      <c r="AV253">
        <f t="shared" si="44"/>
        <v>18.178641975308643</v>
      </c>
      <c r="AW253">
        <f t="shared" si="45"/>
        <v>9.386669034444445</v>
      </c>
      <c r="AX253" s="9"/>
      <c r="AY253" s="21">
        <v>1.1236600000000001</v>
      </c>
      <c r="AZ253" s="21">
        <v>29.356400000000001</v>
      </c>
      <c r="BA253" s="21">
        <v>-1.40381E-2</v>
      </c>
      <c r="BB253" s="21">
        <v>243</v>
      </c>
      <c r="BC253" s="21">
        <v>1.1224400000000001</v>
      </c>
      <c r="BD253">
        <f t="shared" si="46"/>
        <v>17.330987654320985</v>
      </c>
      <c r="BE253">
        <f t="shared" si="47"/>
        <v>19.474137587654319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7.4696400000000001</v>
      </c>
      <c r="I254" s="21">
        <v>-1.49353E-2</v>
      </c>
      <c r="J254" s="21">
        <v>244</v>
      </c>
      <c r="K254" s="21">
        <v>0.51065099999999997</v>
      </c>
      <c r="L254">
        <f t="shared" si="36"/>
        <v>18.438641975308641</v>
      </c>
      <c r="M254">
        <f t="shared" si="37"/>
        <v>9.4280832920987656</v>
      </c>
      <c r="N254" s="9"/>
      <c r="O254" s="21">
        <v>1.12869</v>
      </c>
      <c r="P254" s="21">
        <v>11.167999999999999</v>
      </c>
      <c r="Q254" s="21">
        <v>-1.4154099999999999E-2</v>
      </c>
      <c r="R254" s="21">
        <v>244</v>
      </c>
      <c r="S254" s="21">
        <v>1.1279300000000001</v>
      </c>
      <c r="T254">
        <f t="shared" si="38"/>
        <v>17.474197530864195</v>
      </c>
      <c r="U254">
        <f t="shared" si="39"/>
        <v>19.722952011111108</v>
      </c>
      <c r="X254" s="9"/>
      <c r="Y254" s="21">
        <v>0.51132200000000005</v>
      </c>
      <c r="Z254" s="21">
        <v>16.572900000000001</v>
      </c>
      <c r="AA254" s="21">
        <v>-1.47949E-2</v>
      </c>
      <c r="AB254" s="21">
        <v>244</v>
      </c>
      <c r="AC254" s="21">
        <v>0.51055899999999999</v>
      </c>
      <c r="AD254">
        <f t="shared" si="40"/>
        <v>18.265308641975306</v>
      </c>
      <c r="AE254">
        <f t="shared" si="41"/>
        <v>9.3394541454320983</v>
      </c>
      <c r="AF254" s="9"/>
      <c r="AG254" s="21">
        <v>1.12869</v>
      </c>
      <c r="AH254" s="21">
        <v>20.2712</v>
      </c>
      <c r="AI254" s="21">
        <v>-1.41174E-2</v>
      </c>
      <c r="AJ254" s="21">
        <v>244</v>
      </c>
      <c r="AK254" s="21">
        <v>1.1279300000000001</v>
      </c>
      <c r="AL254">
        <f t="shared" si="42"/>
        <v>17.428888888888888</v>
      </c>
      <c r="AM254">
        <f t="shared" si="43"/>
        <v>19.671812599999999</v>
      </c>
      <c r="AP254" s="9"/>
      <c r="AQ254" s="21">
        <v>0.51132200000000005</v>
      </c>
      <c r="AR254" s="21">
        <v>25.668099999999999</v>
      </c>
      <c r="AS254" s="21">
        <v>-1.47308E-2</v>
      </c>
      <c r="AT254" s="21">
        <v>244</v>
      </c>
      <c r="AU254" s="21">
        <v>0.51068100000000005</v>
      </c>
      <c r="AV254">
        <f t="shared" si="44"/>
        <v>18.186172839506174</v>
      </c>
      <c r="AW254">
        <f t="shared" si="45"/>
        <v>9.2989902686419761</v>
      </c>
      <c r="AX254" s="9"/>
      <c r="AY254" s="21">
        <v>1.12869</v>
      </c>
      <c r="AZ254" s="21">
        <v>29.366399999999999</v>
      </c>
      <c r="BA254" s="21">
        <v>-1.4019800000000001E-2</v>
      </c>
      <c r="BB254" s="21">
        <v>244</v>
      </c>
      <c r="BC254" s="21">
        <v>1.1279300000000001</v>
      </c>
      <c r="BD254">
        <f t="shared" si="46"/>
        <v>17.308395061728394</v>
      </c>
      <c r="BE254">
        <f t="shared" si="47"/>
        <v>19.535812422222222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7.4797099999999999</v>
      </c>
      <c r="I255" s="21">
        <v>-1.4953599999999999E-2</v>
      </c>
      <c r="J255" s="21">
        <v>245</v>
      </c>
      <c r="K255" s="21">
        <v>0.50552399999999997</v>
      </c>
      <c r="L255">
        <f t="shared" si="36"/>
        <v>18.461234567901233</v>
      </c>
      <c r="M255">
        <f t="shared" si="37"/>
        <v>9.346683065679013</v>
      </c>
      <c r="N255" s="9"/>
      <c r="O255" s="21">
        <v>1.1337299999999999</v>
      </c>
      <c r="P255" s="21">
        <v>11.178100000000001</v>
      </c>
      <c r="Q255" s="21">
        <v>-1.41388E-2</v>
      </c>
      <c r="R255" s="21">
        <v>245</v>
      </c>
      <c r="S255" s="21">
        <v>1.1328100000000001</v>
      </c>
      <c r="T255">
        <f t="shared" si="38"/>
        <v>17.455308641975307</v>
      </c>
      <c r="U255">
        <f t="shared" si="39"/>
        <v>19.789607066666662</v>
      </c>
      <c r="X255" s="9"/>
      <c r="Y255" s="21">
        <v>0.50628700000000004</v>
      </c>
      <c r="Z255" s="21">
        <v>16.582899999999999</v>
      </c>
      <c r="AA255" s="21">
        <v>-1.47949E-2</v>
      </c>
      <c r="AB255" s="21">
        <v>245</v>
      </c>
      <c r="AC255" s="21">
        <v>0.50561500000000004</v>
      </c>
      <c r="AD255">
        <f t="shared" si="40"/>
        <v>18.265308641975306</v>
      </c>
      <c r="AE255">
        <f t="shared" si="41"/>
        <v>9.2474883164197532</v>
      </c>
      <c r="AF255" s="9"/>
      <c r="AG255" s="21">
        <v>1.1337299999999999</v>
      </c>
      <c r="AH255" s="21">
        <v>20.281300000000002</v>
      </c>
      <c r="AI255" s="21">
        <v>-1.41113E-2</v>
      </c>
      <c r="AJ255" s="21">
        <v>245</v>
      </c>
      <c r="AK255" s="21">
        <v>1.1334200000000001</v>
      </c>
      <c r="AL255">
        <f t="shared" si="42"/>
        <v>17.421358024691358</v>
      </c>
      <c r="AM255">
        <f t="shared" si="43"/>
        <v>19.751116233333331</v>
      </c>
      <c r="AP255" s="9"/>
      <c r="AQ255" s="21">
        <v>0.50628700000000004</v>
      </c>
      <c r="AR255" s="21">
        <v>25.6782</v>
      </c>
      <c r="AS255" s="21">
        <v>-1.4721700000000001E-2</v>
      </c>
      <c r="AT255" s="21">
        <v>245</v>
      </c>
      <c r="AU255" s="21">
        <v>0.50561500000000004</v>
      </c>
      <c r="AV255">
        <f t="shared" si="44"/>
        <v>18.174938271604937</v>
      </c>
      <c r="AW255">
        <f t="shared" si="45"/>
        <v>9.20173497271605</v>
      </c>
      <c r="AX255" s="9"/>
      <c r="AY255" s="21">
        <v>1.1337299999999999</v>
      </c>
      <c r="AZ255" s="21">
        <v>29.3765</v>
      </c>
      <c r="BA255" s="21">
        <v>-1.40015E-2</v>
      </c>
      <c r="BB255" s="21">
        <v>245</v>
      </c>
      <c r="BC255" s="21">
        <v>1.1331199999999999</v>
      </c>
      <c r="BD255">
        <f t="shared" si="46"/>
        <v>17.285802469135803</v>
      </c>
      <c r="BE255">
        <f t="shared" si="47"/>
        <v>19.597432833333333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7.4897900000000002</v>
      </c>
      <c r="I256" s="21">
        <v>-1.4953599999999999E-2</v>
      </c>
      <c r="J256" s="21">
        <v>246</v>
      </c>
      <c r="K256" s="21">
        <v>0.50048800000000004</v>
      </c>
      <c r="L256">
        <f t="shared" si="36"/>
        <v>18.461234567901233</v>
      </c>
      <c r="M256">
        <f t="shared" si="37"/>
        <v>9.2537122883950609</v>
      </c>
      <c r="N256" s="9"/>
      <c r="O256" s="21">
        <v>1.13876</v>
      </c>
      <c r="P256" s="21">
        <v>11.1881</v>
      </c>
      <c r="Q256" s="21">
        <v>-1.4120499999999999E-2</v>
      </c>
      <c r="R256" s="21">
        <v>246</v>
      </c>
      <c r="S256" s="21">
        <v>1.1383099999999999</v>
      </c>
      <c r="T256">
        <f t="shared" si="38"/>
        <v>17.432716049382716</v>
      </c>
      <c r="U256">
        <f t="shared" si="39"/>
        <v>19.851679728395062</v>
      </c>
      <c r="X256" s="9"/>
      <c r="Y256" s="21">
        <v>0.501251</v>
      </c>
      <c r="Z256" s="21">
        <v>16.593</v>
      </c>
      <c r="AA256" s="21">
        <v>-1.4810200000000001E-2</v>
      </c>
      <c r="AB256" s="21">
        <v>246</v>
      </c>
      <c r="AC256" s="21">
        <v>0.50067099999999998</v>
      </c>
      <c r="AD256">
        <f t="shared" si="40"/>
        <v>18.284197530864198</v>
      </c>
      <c r="AE256">
        <f t="shared" si="41"/>
        <v>9.1649722965432101</v>
      </c>
      <c r="AF256" s="9"/>
      <c r="AG256" s="21">
        <v>1.13876</v>
      </c>
      <c r="AH256" s="21">
        <v>20.2913</v>
      </c>
      <c r="AI256" s="21">
        <v>-1.40961E-2</v>
      </c>
      <c r="AJ256" s="21">
        <v>246</v>
      </c>
      <c r="AK256" s="21">
        <v>1.1379999999999999</v>
      </c>
      <c r="AL256">
        <f t="shared" si="42"/>
        <v>17.40259259259259</v>
      </c>
      <c r="AM256">
        <f t="shared" si="43"/>
        <v>19.817376340740736</v>
      </c>
      <c r="AP256" s="9"/>
      <c r="AQ256" s="21">
        <v>0.501251</v>
      </c>
      <c r="AR256" s="21">
        <v>25.688199999999998</v>
      </c>
      <c r="AS256" s="21">
        <v>-1.47308E-2</v>
      </c>
      <c r="AT256" s="21">
        <v>246</v>
      </c>
      <c r="AU256" s="21">
        <v>0.50054900000000002</v>
      </c>
      <c r="AV256">
        <f t="shared" si="44"/>
        <v>18.186172839506174</v>
      </c>
      <c r="AW256">
        <f t="shared" si="45"/>
        <v>9.1158373219753095</v>
      </c>
      <c r="AX256" s="9"/>
      <c r="AY256" s="21">
        <v>1.13876</v>
      </c>
      <c r="AZ256" s="21">
        <v>29.386600000000001</v>
      </c>
      <c r="BA256" s="21">
        <v>-1.3980100000000001E-2</v>
      </c>
      <c r="BB256" s="21">
        <v>246</v>
      </c>
      <c r="BC256" s="21">
        <v>1.1383099999999999</v>
      </c>
      <c r="BD256">
        <f t="shared" si="46"/>
        <v>17.259382716049384</v>
      </c>
      <c r="BE256">
        <f t="shared" si="47"/>
        <v>19.654294661728397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7.49986</v>
      </c>
      <c r="I257" s="21">
        <v>-1.49506E-2</v>
      </c>
      <c r="J257" s="21">
        <v>247</v>
      </c>
      <c r="K257" s="21">
        <v>0.49551400000000001</v>
      </c>
      <c r="L257">
        <f t="shared" si="36"/>
        <v>18.45753086419753</v>
      </c>
      <c r="M257">
        <f t="shared" si="37"/>
        <v>9.1589221353086412</v>
      </c>
      <c r="N257" s="9"/>
      <c r="O257" s="21">
        <v>1.1437999999999999</v>
      </c>
      <c r="P257" s="21">
        <v>11.1982</v>
      </c>
      <c r="Q257" s="21">
        <v>-1.4108300000000001E-2</v>
      </c>
      <c r="R257" s="21">
        <v>247</v>
      </c>
      <c r="S257" s="21">
        <v>1.1434899999999999</v>
      </c>
      <c r="T257">
        <f t="shared" si="38"/>
        <v>17.417654320987655</v>
      </c>
      <c r="U257">
        <f t="shared" si="39"/>
        <v>19.922313012345679</v>
      </c>
      <c r="X257" s="9"/>
      <c r="Y257" s="21">
        <v>0.49621599999999999</v>
      </c>
      <c r="Z257" s="21">
        <v>16.603100000000001</v>
      </c>
      <c r="AA257" s="21">
        <v>-1.4819300000000001E-2</v>
      </c>
      <c r="AB257" s="21">
        <v>247</v>
      </c>
      <c r="AC257" s="21">
        <v>0.49554399999999998</v>
      </c>
      <c r="AD257">
        <f t="shared" si="40"/>
        <v>18.295432098765431</v>
      </c>
      <c r="AE257">
        <f t="shared" si="41"/>
        <v>9.0784861343209879</v>
      </c>
      <c r="AF257" s="9"/>
      <c r="AG257" s="21">
        <v>1.1437999999999999</v>
      </c>
      <c r="AH257" s="21">
        <v>20.301400000000001</v>
      </c>
      <c r="AI257" s="21">
        <v>-1.409E-2</v>
      </c>
      <c r="AJ257" s="21">
        <v>247</v>
      </c>
      <c r="AK257" s="21">
        <v>1.1431899999999999</v>
      </c>
      <c r="AL257">
        <f t="shared" si="42"/>
        <v>17.39506172839506</v>
      </c>
      <c r="AM257">
        <f t="shared" si="43"/>
        <v>19.896471604938267</v>
      </c>
      <c r="AP257" s="9"/>
      <c r="AQ257" s="21">
        <v>0.49621599999999999</v>
      </c>
      <c r="AR257" s="21">
        <v>25.6983</v>
      </c>
      <c r="AS257" s="21">
        <v>-1.47522E-2</v>
      </c>
      <c r="AT257" s="21">
        <v>247</v>
      </c>
      <c r="AU257" s="21">
        <v>0.49545299999999998</v>
      </c>
      <c r="AV257">
        <f t="shared" si="44"/>
        <v>18.212592592592593</v>
      </c>
      <c r="AW257">
        <f t="shared" si="45"/>
        <v>9.0373798459259262</v>
      </c>
      <c r="AX257" s="9"/>
      <c r="AY257" s="21">
        <v>1.1437999999999999</v>
      </c>
      <c r="AZ257" s="21">
        <v>29.396599999999999</v>
      </c>
      <c r="BA257" s="21">
        <v>-1.3980100000000001E-2</v>
      </c>
      <c r="BB257" s="21">
        <v>247</v>
      </c>
      <c r="BC257" s="21">
        <v>1.1428799999999999</v>
      </c>
      <c r="BD257">
        <f t="shared" si="46"/>
        <v>17.259382716049384</v>
      </c>
      <c r="BE257">
        <f t="shared" si="47"/>
        <v>19.741281950617285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7.5099299999999998</v>
      </c>
      <c r="I258" s="21">
        <v>-1.49628E-2</v>
      </c>
      <c r="J258" s="21">
        <v>248</v>
      </c>
      <c r="K258" s="21">
        <v>0.49063099999999998</v>
      </c>
      <c r="L258">
        <f t="shared" si="36"/>
        <v>18.472592592592594</v>
      </c>
      <c r="M258">
        <f t="shared" si="37"/>
        <v>9.0733680296296306</v>
      </c>
      <c r="N258" s="9"/>
      <c r="O258" s="21">
        <v>1.14883</v>
      </c>
      <c r="P258" s="21">
        <v>11.208299999999999</v>
      </c>
      <c r="Q258" s="21">
        <v>-1.40991E-2</v>
      </c>
      <c r="R258" s="21">
        <v>248</v>
      </c>
      <c r="S258" s="21">
        <v>1.14777</v>
      </c>
      <c r="T258">
        <f t="shared" si="38"/>
        <v>17.406296296296293</v>
      </c>
      <c r="U258">
        <f t="shared" si="39"/>
        <v>19.996875374074072</v>
      </c>
      <c r="X258" s="9"/>
      <c r="Y258" s="21">
        <v>0.49118000000000001</v>
      </c>
      <c r="Z258" s="21">
        <v>16.613099999999999</v>
      </c>
      <c r="AA258" s="21">
        <v>-1.4825400000000001E-2</v>
      </c>
      <c r="AB258" s="21">
        <v>248</v>
      </c>
      <c r="AC258" s="21">
        <v>0.49053999999999998</v>
      </c>
      <c r="AD258">
        <f t="shared" si="40"/>
        <v>18.302962962962962</v>
      </c>
      <c r="AE258">
        <f t="shared" si="41"/>
        <v>8.9900493481481476</v>
      </c>
      <c r="AF258" s="9"/>
      <c r="AG258" s="21">
        <v>1.14883</v>
      </c>
      <c r="AH258" s="21">
        <v>20.311499999999999</v>
      </c>
      <c r="AI258" s="21">
        <v>-1.4071699999999999E-2</v>
      </c>
      <c r="AJ258" s="21">
        <v>248</v>
      </c>
      <c r="AK258" s="21">
        <v>1.1480699999999999</v>
      </c>
      <c r="AL258">
        <f t="shared" si="42"/>
        <v>17.372469135802469</v>
      </c>
      <c r="AM258">
        <f t="shared" si="43"/>
        <v>19.958013717283951</v>
      </c>
      <c r="AP258" s="9"/>
      <c r="AQ258" s="21">
        <v>0.49118000000000001</v>
      </c>
      <c r="AR258" s="21">
        <v>25.708400000000001</v>
      </c>
      <c r="AS258" s="21">
        <v>-1.47736E-2</v>
      </c>
      <c r="AT258" s="21">
        <v>248</v>
      </c>
      <c r="AU258" s="21">
        <v>0.49057000000000001</v>
      </c>
      <c r="AV258">
        <f t="shared" si="44"/>
        <v>18.239012345679011</v>
      </c>
      <c r="AW258">
        <f t="shared" si="45"/>
        <v>8.9586380839506177</v>
      </c>
      <c r="AX258" s="9"/>
      <c r="AY258" s="21">
        <v>1.14883</v>
      </c>
      <c r="AZ258" s="21">
        <v>29.406700000000001</v>
      </c>
      <c r="BA258" s="21">
        <v>-1.3983199999999999E-2</v>
      </c>
      <c r="BB258" s="21">
        <v>248</v>
      </c>
      <c r="BC258" s="21">
        <v>1.14838</v>
      </c>
      <c r="BD258">
        <f t="shared" si="46"/>
        <v>17.263209876543208</v>
      </c>
      <c r="BE258">
        <f t="shared" si="47"/>
        <v>19.832493402469133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7.52</v>
      </c>
      <c r="I259" s="21">
        <v>-1.49658E-2</v>
      </c>
      <c r="J259" s="21">
        <v>249</v>
      </c>
      <c r="K259" s="21">
        <v>0.48553499999999999</v>
      </c>
      <c r="L259">
        <f t="shared" si="36"/>
        <v>18.476296296296297</v>
      </c>
      <c r="M259">
        <f t="shared" si="37"/>
        <v>8.982159062962964</v>
      </c>
      <c r="N259" s="9"/>
      <c r="O259" s="21">
        <v>1.15387</v>
      </c>
      <c r="P259" s="21">
        <v>11.218299999999999</v>
      </c>
      <c r="Q259" s="21">
        <v>-1.40961E-2</v>
      </c>
      <c r="R259" s="21">
        <v>249</v>
      </c>
      <c r="S259" s="21">
        <v>1.15387</v>
      </c>
      <c r="T259">
        <f t="shared" si="38"/>
        <v>17.40259259259259</v>
      </c>
      <c r="U259">
        <f t="shared" si="39"/>
        <v>20.08032951481481</v>
      </c>
      <c r="X259" s="9"/>
      <c r="Y259" s="21">
        <v>0.48614499999999999</v>
      </c>
      <c r="Z259" s="21">
        <v>16.623200000000001</v>
      </c>
      <c r="AA259" s="21">
        <v>-1.4822399999999999E-2</v>
      </c>
      <c r="AB259" s="21">
        <v>249</v>
      </c>
      <c r="AC259" s="21">
        <v>0.48544300000000001</v>
      </c>
      <c r="AD259">
        <f t="shared" si="40"/>
        <v>18.299259259259259</v>
      </c>
      <c r="AE259">
        <f t="shared" si="41"/>
        <v>8.8960933925925918</v>
      </c>
      <c r="AF259" s="9"/>
      <c r="AG259" s="21">
        <v>1.15387</v>
      </c>
      <c r="AH259" s="21">
        <v>20.3216</v>
      </c>
      <c r="AI259" s="21">
        <v>-1.40564E-2</v>
      </c>
      <c r="AJ259" s="21">
        <v>249</v>
      </c>
      <c r="AK259" s="21">
        <v>1.1529499999999999</v>
      </c>
      <c r="AL259">
        <f t="shared" si="42"/>
        <v>17.35358024691358</v>
      </c>
      <c r="AM259">
        <f t="shared" si="43"/>
        <v>20.023775639506173</v>
      </c>
      <c r="AP259" s="9"/>
      <c r="AQ259" s="21">
        <v>0.48614499999999999</v>
      </c>
      <c r="AR259" s="21">
        <v>25.718399999999999</v>
      </c>
      <c r="AS259" s="21">
        <v>-1.47797E-2</v>
      </c>
      <c r="AT259" s="21">
        <v>249</v>
      </c>
      <c r="AU259" s="21">
        <v>0.48550399999999999</v>
      </c>
      <c r="AV259">
        <f t="shared" si="44"/>
        <v>18.246543209876542</v>
      </c>
      <c r="AW259">
        <f t="shared" si="45"/>
        <v>8.8704657487654313</v>
      </c>
      <c r="AX259" s="9"/>
      <c r="AY259" s="21">
        <v>1.15387</v>
      </c>
      <c r="AZ259" s="21">
        <v>29.416799999999999</v>
      </c>
      <c r="BA259" s="21">
        <v>-1.3974E-2</v>
      </c>
      <c r="BB259" s="21">
        <v>249</v>
      </c>
      <c r="BC259" s="21">
        <v>1.1529499999999999</v>
      </c>
      <c r="BD259">
        <f t="shared" si="46"/>
        <v>17.251851851851853</v>
      </c>
      <c r="BE259">
        <f t="shared" si="47"/>
        <v>19.906394296296298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7.5300700000000003</v>
      </c>
      <c r="I260" s="21">
        <v>-1.4978E-2</v>
      </c>
      <c r="J260" s="21">
        <v>250</v>
      </c>
      <c r="K260" s="21">
        <v>0.48049900000000001</v>
      </c>
      <c r="L260">
        <f t="shared" si="36"/>
        <v>18.491358024691355</v>
      </c>
      <c r="M260">
        <f t="shared" si="37"/>
        <v>8.8963772592592569</v>
      </c>
      <c r="N260" s="9"/>
      <c r="O260" s="21">
        <v>1.1589100000000001</v>
      </c>
      <c r="P260" s="21">
        <v>11.228400000000001</v>
      </c>
      <c r="Q260" s="21">
        <v>-1.40961E-2</v>
      </c>
      <c r="R260" s="21">
        <v>250</v>
      </c>
      <c r="S260" s="21">
        <v>1.1581399999999999</v>
      </c>
      <c r="T260">
        <f t="shared" si="38"/>
        <v>17.40259259259259</v>
      </c>
      <c r="U260">
        <f t="shared" si="39"/>
        <v>20.168038581481479</v>
      </c>
      <c r="X260" s="9"/>
      <c r="Y260" s="21">
        <v>0.48110999999999998</v>
      </c>
      <c r="Z260" s="21">
        <v>16.633299999999998</v>
      </c>
      <c r="AA260" s="21">
        <v>-1.48071E-2</v>
      </c>
      <c r="AB260" s="21">
        <v>250</v>
      </c>
      <c r="AC260" s="21">
        <v>0.48049900000000001</v>
      </c>
      <c r="AD260">
        <f t="shared" si="40"/>
        <v>18.28037037037037</v>
      </c>
      <c r="AE260">
        <f t="shared" si="41"/>
        <v>8.7948689888888882</v>
      </c>
      <c r="AF260" s="9"/>
      <c r="AG260" s="21">
        <v>1.1589100000000001</v>
      </c>
      <c r="AH260" s="21">
        <v>20.331600000000002</v>
      </c>
      <c r="AI260" s="21">
        <v>-1.4035000000000001E-2</v>
      </c>
      <c r="AJ260" s="21">
        <v>250</v>
      </c>
      <c r="AK260" s="21">
        <v>1.15784</v>
      </c>
      <c r="AL260">
        <f t="shared" si="42"/>
        <v>17.327160493827162</v>
      </c>
      <c r="AM260">
        <f t="shared" si="43"/>
        <v>20.080619567901238</v>
      </c>
      <c r="AP260" s="9"/>
      <c r="AQ260" s="21">
        <v>0.48110999999999998</v>
      </c>
      <c r="AR260" s="21">
        <v>25.7285</v>
      </c>
      <c r="AS260" s="21">
        <v>-1.4776600000000001E-2</v>
      </c>
      <c r="AT260" s="21">
        <v>250</v>
      </c>
      <c r="AU260" s="21">
        <v>0.48046899999999998</v>
      </c>
      <c r="AV260">
        <f t="shared" si="44"/>
        <v>18.242716049382715</v>
      </c>
      <c r="AW260">
        <f t="shared" si="45"/>
        <v>8.776753118518517</v>
      </c>
      <c r="AX260" s="9"/>
      <c r="AY260" s="21">
        <v>1.1589100000000001</v>
      </c>
      <c r="AZ260" s="21">
        <v>29.4268</v>
      </c>
      <c r="BA260" s="21">
        <v>-1.3958699999999999E-2</v>
      </c>
      <c r="BB260" s="21">
        <v>250</v>
      </c>
      <c r="BC260" s="21">
        <v>1.15845</v>
      </c>
      <c r="BD260">
        <f t="shared" si="46"/>
        <v>17.232962962962961</v>
      </c>
      <c r="BE260">
        <f t="shared" si="47"/>
        <v>19.971453107407406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7.5401400000000001</v>
      </c>
      <c r="I261" s="21">
        <v>-1.4987199999999999E-2</v>
      </c>
      <c r="J261" s="21">
        <v>251</v>
      </c>
      <c r="K261" s="21">
        <v>0.47537200000000002</v>
      </c>
      <c r="L261">
        <f t="shared" si="36"/>
        <v>18.502716049382713</v>
      </c>
      <c r="M261">
        <f t="shared" si="37"/>
        <v>8.8086620404938252</v>
      </c>
      <c r="N261" s="9"/>
      <c r="O261" s="21">
        <v>1.16394</v>
      </c>
      <c r="P261" s="21">
        <v>11.2385</v>
      </c>
      <c r="Q261" s="21">
        <v>-1.4093E-2</v>
      </c>
      <c r="R261" s="21">
        <v>251</v>
      </c>
      <c r="S261" s="21">
        <v>1.16364</v>
      </c>
      <c r="T261">
        <f t="shared" si="38"/>
        <v>17.398765432098763</v>
      </c>
      <c r="U261">
        <f t="shared" si="39"/>
        <v>20.251119037037032</v>
      </c>
      <c r="X261" s="9"/>
      <c r="Y261" s="21">
        <v>0.476074</v>
      </c>
      <c r="Z261" s="21">
        <v>16.6434</v>
      </c>
      <c r="AA261" s="21">
        <v>-1.4804100000000001E-2</v>
      </c>
      <c r="AB261" s="21">
        <v>251</v>
      </c>
      <c r="AC261" s="21">
        <v>0.475464</v>
      </c>
      <c r="AD261">
        <f t="shared" si="40"/>
        <v>18.276666666666667</v>
      </c>
      <c r="AE261">
        <f t="shared" si="41"/>
        <v>8.7010458066666665</v>
      </c>
      <c r="AF261" s="9"/>
      <c r="AG261" s="21">
        <v>1.16394</v>
      </c>
      <c r="AH261" s="21">
        <v>20.341699999999999</v>
      </c>
      <c r="AI261" s="21">
        <v>-1.4031999999999999E-2</v>
      </c>
      <c r="AJ261" s="21">
        <v>251</v>
      </c>
      <c r="AK261" s="21">
        <v>1.16333</v>
      </c>
      <c r="AL261">
        <f t="shared" si="42"/>
        <v>17.323456790123455</v>
      </c>
      <c r="AM261">
        <f t="shared" si="43"/>
        <v>20.163464296296294</v>
      </c>
      <c r="AP261" s="9"/>
      <c r="AQ261" s="21">
        <v>0.476074</v>
      </c>
      <c r="AR261" s="21">
        <v>25.738600000000002</v>
      </c>
      <c r="AS261" s="21">
        <v>-1.4776600000000001E-2</v>
      </c>
      <c r="AT261" s="21">
        <v>251</v>
      </c>
      <c r="AU261" s="21">
        <v>0.47540300000000002</v>
      </c>
      <c r="AV261">
        <f t="shared" si="44"/>
        <v>18.242716049382715</v>
      </c>
      <c r="AW261">
        <f t="shared" si="45"/>
        <v>8.6848828004938259</v>
      </c>
      <c r="AX261" s="9"/>
      <c r="AY261" s="21">
        <v>1.16394</v>
      </c>
      <c r="AZ261" s="21">
        <v>29.436900000000001</v>
      </c>
      <c r="BA261" s="21">
        <v>-1.3952600000000001E-2</v>
      </c>
      <c r="BB261" s="21">
        <v>251</v>
      </c>
      <c r="BC261" s="21">
        <v>1.16333</v>
      </c>
      <c r="BD261">
        <f t="shared" si="46"/>
        <v>17.225432098765431</v>
      </c>
      <c r="BE261">
        <f t="shared" si="47"/>
        <v>20.049369437037036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7.5502099999999999</v>
      </c>
      <c r="I262" s="21">
        <v>-1.49902E-2</v>
      </c>
      <c r="J262" s="21">
        <v>252</v>
      </c>
      <c r="K262" s="21">
        <v>0.47045900000000002</v>
      </c>
      <c r="L262">
        <f t="shared" si="36"/>
        <v>18.506419753086419</v>
      </c>
      <c r="M262">
        <f t="shared" si="37"/>
        <v>8.7172454540740727</v>
      </c>
      <c r="N262" s="9"/>
      <c r="O262" s="21">
        <v>1.1689799999999999</v>
      </c>
      <c r="P262" s="21">
        <v>11.2485</v>
      </c>
      <c r="Q262" s="21">
        <v>-1.4074700000000001E-2</v>
      </c>
      <c r="R262" s="21">
        <v>252</v>
      </c>
      <c r="S262" s="21">
        <v>1.16852</v>
      </c>
      <c r="T262">
        <f t="shared" si="38"/>
        <v>17.376172839506172</v>
      </c>
      <c r="U262">
        <f t="shared" si="39"/>
        <v>20.312398525925921</v>
      </c>
      <c r="X262" s="9"/>
      <c r="Y262" s="21">
        <v>0.47103899999999999</v>
      </c>
      <c r="Z262" s="21">
        <v>16.653400000000001</v>
      </c>
      <c r="AA262" s="21">
        <v>-1.48132E-2</v>
      </c>
      <c r="AB262" s="21">
        <v>252</v>
      </c>
      <c r="AC262" s="21">
        <v>0.47039799999999998</v>
      </c>
      <c r="AD262">
        <f t="shared" si="40"/>
        <v>18.287901234567901</v>
      </c>
      <c r="AE262">
        <f t="shared" si="41"/>
        <v>8.61431470962963</v>
      </c>
      <c r="AF262" s="9"/>
      <c r="AG262" s="21">
        <v>1.1689799999999999</v>
      </c>
      <c r="AH262" s="21">
        <v>20.351800000000001</v>
      </c>
      <c r="AI262" s="21">
        <v>-1.4025900000000001E-2</v>
      </c>
      <c r="AJ262" s="21">
        <v>252</v>
      </c>
      <c r="AK262" s="21">
        <v>1.16791</v>
      </c>
      <c r="AL262">
        <f t="shared" si="42"/>
        <v>17.315925925925924</v>
      </c>
      <c r="AM262">
        <f t="shared" si="43"/>
        <v>20.241971088888885</v>
      </c>
      <c r="AP262" s="9"/>
      <c r="AQ262" s="21">
        <v>0.47103899999999999</v>
      </c>
      <c r="AR262" s="21">
        <v>25.748699999999999</v>
      </c>
      <c r="AS262" s="21">
        <v>-1.4770500000000001E-2</v>
      </c>
      <c r="AT262" s="21">
        <v>252</v>
      </c>
      <c r="AU262" s="21">
        <v>0.47042800000000001</v>
      </c>
      <c r="AV262">
        <f t="shared" si="44"/>
        <v>18.235185185185184</v>
      </c>
      <c r="AW262">
        <f t="shared" si="45"/>
        <v>8.5894833944444429</v>
      </c>
      <c r="AX262" s="9"/>
      <c r="AY262" s="21">
        <v>1.1689799999999999</v>
      </c>
      <c r="AZ262" s="21">
        <v>29.446999999999999</v>
      </c>
      <c r="BA262" s="21">
        <v>-1.3937400000000001E-2</v>
      </c>
      <c r="BB262" s="21">
        <v>252</v>
      </c>
      <c r="BC262" s="21">
        <v>1.16791</v>
      </c>
      <c r="BD262">
        <f t="shared" si="46"/>
        <v>17.206666666666667</v>
      </c>
      <c r="BE262">
        <f t="shared" si="47"/>
        <v>20.1142492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7.5602799999999997</v>
      </c>
      <c r="I263" s="21">
        <v>-1.50055E-2</v>
      </c>
      <c r="J263" s="21">
        <v>253</v>
      </c>
      <c r="K263" s="21">
        <v>0.46536300000000003</v>
      </c>
      <c r="L263">
        <f t="shared" si="36"/>
        <v>18.525308641975307</v>
      </c>
      <c r="M263">
        <f t="shared" si="37"/>
        <v>8.6328494030864196</v>
      </c>
      <c r="N263" s="9"/>
      <c r="O263" s="21">
        <v>1.17401</v>
      </c>
      <c r="P263" s="21">
        <v>11.258599999999999</v>
      </c>
      <c r="Q263" s="21">
        <v>-1.40564E-2</v>
      </c>
      <c r="R263" s="21">
        <v>253</v>
      </c>
      <c r="S263" s="21">
        <v>1.1734</v>
      </c>
      <c r="T263">
        <f t="shared" si="38"/>
        <v>17.35358024691358</v>
      </c>
      <c r="U263">
        <f t="shared" si="39"/>
        <v>20.373276745679011</v>
      </c>
      <c r="X263" s="9"/>
      <c r="Y263" s="21">
        <v>0.466003</v>
      </c>
      <c r="Z263" s="21">
        <v>16.663499999999999</v>
      </c>
      <c r="AA263" s="21">
        <v>-1.4825400000000001E-2</v>
      </c>
      <c r="AB263" s="21">
        <v>253</v>
      </c>
      <c r="AC263" s="21">
        <v>0.465393</v>
      </c>
      <c r="AD263">
        <f t="shared" si="40"/>
        <v>18.302962962962962</v>
      </c>
      <c r="AE263">
        <f t="shared" si="41"/>
        <v>8.5292356496296282</v>
      </c>
      <c r="AF263" s="9"/>
      <c r="AG263" s="21">
        <v>1.17401</v>
      </c>
      <c r="AH263" s="21">
        <v>20.361799999999999</v>
      </c>
      <c r="AI263" s="21">
        <v>-1.40167E-2</v>
      </c>
      <c r="AJ263" s="21">
        <v>253</v>
      </c>
      <c r="AK263" s="21">
        <v>1.1734</v>
      </c>
      <c r="AL263">
        <f t="shared" si="42"/>
        <v>17.304567901234567</v>
      </c>
      <c r="AM263">
        <f t="shared" si="43"/>
        <v>20.315735761728394</v>
      </c>
      <c r="AP263" s="9"/>
      <c r="AQ263" s="21">
        <v>0.466003</v>
      </c>
      <c r="AR263" s="21">
        <v>25.758700000000001</v>
      </c>
      <c r="AS263" s="21">
        <v>-1.4776600000000001E-2</v>
      </c>
      <c r="AT263" s="21">
        <v>253</v>
      </c>
      <c r="AU263" s="21">
        <v>0.46533200000000002</v>
      </c>
      <c r="AV263">
        <f t="shared" si="44"/>
        <v>18.242716049382715</v>
      </c>
      <c r="AW263">
        <f t="shared" si="45"/>
        <v>8.5011604071604925</v>
      </c>
      <c r="AX263" s="9"/>
      <c r="AY263" s="21">
        <v>1.17401</v>
      </c>
      <c r="AZ263" s="21">
        <v>29.457100000000001</v>
      </c>
      <c r="BA263" s="21">
        <v>-1.39252E-2</v>
      </c>
      <c r="BB263" s="21">
        <v>253</v>
      </c>
      <c r="BC263" s="21">
        <v>1.17279</v>
      </c>
      <c r="BD263">
        <f t="shared" si="46"/>
        <v>17.191604938271606</v>
      </c>
      <c r="BE263">
        <f t="shared" si="47"/>
        <v>20.183116113580247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7.5703500000000004</v>
      </c>
      <c r="I264" s="21">
        <v>-1.5020800000000001E-2</v>
      </c>
      <c r="J264" s="21">
        <v>254</v>
      </c>
      <c r="K264" s="21">
        <v>0.46032699999999999</v>
      </c>
      <c r="L264">
        <f t="shared" si="36"/>
        <v>18.544197530864199</v>
      </c>
      <c r="M264">
        <f t="shared" si="37"/>
        <v>8.5482816474074088</v>
      </c>
      <c r="N264" s="9"/>
      <c r="O264" s="21">
        <v>1.1790499999999999</v>
      </c>
      <c r="P264" s="21">
        <v>11.268700000000001</v>
      </c>
      <c r="Q264" s="21">
        <v>-1.4041100000000001E-2</v>
      </c>
      <c r="R264" s="21">
        <v>254</v>
      </c>
      <c r="S264" s="21">
        <v>1.17828</v>
      </c>
      <c r="T264">
        <f t="shared" si="38"/>
        <v>17.334691358024692</v>
      </c>
      <c r="U264">
        <f t="shared" si="39"/>
        <v>20.438467845679011</v>
      </c>
      <c r="X264" s="9"/>
      <c r="Y264" s="21">
        <v>0.46096799999999999</v>
      </c>
      <c r="Z264" s="21">
        <v>16.6736</v>
      </c>
      <c r="AA264" s="21">
        <v>-1.48346E-2</v>
      </c>
      <c r="AB264" s="21">
        <v>254</v>
      </c>
      <c r="AC264" s="21">
        <v>0.46029700000000001</v>
      </c>
      <c r="AD264">
        <f t="shared" si="40"/>
        <v>18.31432098765432</v>
      </c>
      <c r="AE264">
        <f t="shared" si="41"/>
        <v>8.4423159170370354</v>
      </c>
      <c r="AF264" s="9"/>
      <c r="AG264" s="21">
        <v>1.1790499999999999</v>
      </c>
      <c r="AH264" s="21">
        <v>20.3719</v>
      </c>
      <c r="AI264" s="21">
        <v>-1.40076E-2</v>
      </c>
      <c r="AJ264" s="21">
        <v>254</v>
      </c>
      <c r="AK264" s="21">
        <v>1.17828</v>
      </c>
      <c r="AL264">
        <f t="shared" si="42"/>
        <v>17.293333333333333</v>
      </c>
      <c r="AM264">
        <f t="shared" si="43"/>
        <v>20.389704666666667</v>
      </c>
      <c r="AP264" s="9"/>
      <c r="AQ264" s="21">
        <v>0.46096799999999999</v>
      </c>
      <c r="AR264" s="21">
        <v>25.768799999999999</v>
      </c>
      <c r="AS264" s="21">
        <v>-1.47797E-2</v>
      </c>
      <c r="AT264" s="21">
        <v>254</v>
      </c>
      <c r="AU264" s="21">
        <v>0.46029700000000001</v>
      </c>
      <c r="AV264">
        <f t="shared" si="44"/>
        <v>18.246543209876542</v>
      </c>
      <c r="AW264">
        <f t="shared" si="45"/>
        <v>8.4110725303703688</v>
      </c>
      <c r="AX264" s="9"/>
      <c r="AY264" s="21">
        <v>1.1790499999999999</v>
      </c>
      <c r="AZ264" s="21">
        <v>29.467099999999999</v>
      </c>
      <c r="BA264" s="21">
        <v>-1.39191E-2</v>
      </c>
      <c r="BB264" s="21">
        <v>254</v>
      </c>
      <c r="BC264" s="21">
        <v>1.17828</v>
      </c>
      <c r="BD264">
        <f t="shared" si="46"/>
        <v>17.184074074074076</v>
      </c>
      <c r="BE264">
        <f t="shared" si="47"/>
        <v>20.260882537037038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7.5804200000000002</v>
      </c>
      <c r="I265" s="21">
        <v>-1.5036000000000001E-2</v>
      </c>
      <c r="J265" s="21">
        <v>255</v>
      </c>
      <c r="K265" s="21">
        <v>0.455322</v>
      </c>
      <c r="L265">
        <f t="shared" si="36"/>
        <v>18.562962962962963</v>
      </c>
      <c r="M265">
        <f t="shared" si="37"/>
        <v>8.4634673925925927</v>
      </c>
      <c r="N265" s="9"/>
      <c r="O265" s="21">
        <v>1.18408</v>
      </c>
      <c r="P265" s="21">
        <v>11.2788</v>
      </c>
      <c r="Q265" s="21">
        <v>-1.40289E-2</v>
      </c>
      <c r="R265" s="21">
        <v>255</v>
      </c>
      <c r="S265" s="21">
        <v>1.18347</v>
      </c>
      <c r="T265">
        <f t="shared" si="38"/>
        <v>17.319629629629631</v>
      </c>
      <c r="U265">
        <f t="shared" si="39"/>
        <v>20.507827051851855</v>
      </c>
      <c r="X265" s="9"/>
      <c r="Y265" s="21">
        <v>0.45593299999999998</v>
      </c>
      <c r="Z265" s="21">
        <v>16.683599999999998</v>
      </c>
      <c r="AA265" s="21">
        <v>-1.48529E-2</v>
      </c>
      <c r="AB265" s="21">
        <v>255</v>
      </c>
      <c r="AC265" s="21">
        <v>0.45526100000000003</v>
      </c>
      <c r="AD265">
        <f t="shared" si="40"/>
        <v>18.336913580246915</v>
      </c>
      <c r="AE265">
        <f t="shared" si="41"/>
        <v>8.3604040193827167</v>
      </c>
      <c r="AF265" s="9"/>
      <c r="AG265" s="21">
        <v>1.18408</v>
      </c>
      <c r="AH265" s="21">
        <v>20.382000000000001</v>
      </c>
      <c r="AI265" s="21">
        <v>-1.39893E-2</v>
      </c>
      <c r="AJ265" s="21">
        <v>255</v>
      </c>
      <c r="AK265" s="21">
        <v>1.1831700000000001</v>
      </c>
      <c r="AL265">
        <f t="shared" si="42"/>
        <v>17.270740740740738</v>
      </c>
      <c r="AM265">
        <f t="shared" si="43"/>
        <v>20.449938696296293</v>
      </c>
      <c r="AP265" s="9"/>
      <c r="AQ265" s="21">
        <v>0.45593299999999998</v>
      </c>
      <c r="AR265" s="21">
        <v>25.7789</v>
      </c>
      <c r="AS265" s="21">
        <v>-1.47736E-2</v>
      </c>
      <c r="AT265" s="21">
        <v>255</v>
      </c>
      <c r="AU265" s="21">
        <v>0.45535300000000001</v>
      </c>
      <c r="AV265">
        <f t="shared" si="44"/>
        <v>18.239012345679011</v>
      </c>
      <c r="AW265">
        <f t="shared" si="45"/>
        <v>8.3157676158024678</v>
      </c>
      <c r="AX265" s="9"/>
      <c r="AY265" s="21">
        <v>1.18408</v>
      </c>
      <c r="AZ265" s="21">
        <v>29.4772</v>
      </c>
      <c r="BA265" s="21">
        <v>-1.3909899999999999E-2</v>
      </c>
      <c r="BB265" s="21">
        <v>255</v>
      </c>
      <c r="BC265" s="21">
        <v>1.18286</v>
      </c>
      <c r="BD265">
        <f t="shared" si="46"/>
        <v>17.172716049382714</v>
      </c>
      <c r="BE265">
        <f t="shared" si="47"/>
        <v>20.333869619753084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7.5904999999999996</v>
      </c>
      <c r="I266" s="21">
        <v>-1.50513E-2</v>
      </c>
      <c r="J266" s="21">
        <v>256</v>
      </c>
      <c r="K266" s="21">
        <v>0.45025599999999999</v>
      </c>
      <c r="L266">
        <f t="shared" si="36"/>
        <v>18.581851851851848</v>
      </c>
      <c r="M266">
        <f t="shared" si="37"/>
        <v>8.3785012544444424</v>
      </c>
      <c r="N266" s="9"/>
      <c r="O266" s="21">
        <v>1.18912</v>
      </c>
      <c r="P266" s="21">
        <v>11.2888</v>
      </c>
      <c r="Q266" s="21">
        <v>-1.40167E-2</v>
      </c>
      <c r="R266" s="21">
        <v>256</v>
      </c>
      <c r="S266" s="21">
        <v>1.1880500000000001</v>
      </c>
      <c r="T266">
        <f t="shared" si="38"/>
        <v>17.304567901234567</v>
      </c>
      <c r="U266">
        <f t="shared" si="39"/>
        <v>20.577207782716048</v>
      </c>
      <c r="X266" s="9"/>
      <c r="Y266" s="21">
        <v>0.45089699999999999</v>
      </c>
      <c r="Z266" s="21">
        <v>16.6937</v>
      </c>
      <c r="AA266" s="21">
        <v>-1.4865099999999999E-2</v>
      </c>
      <c r="AB266" s="21">
        <v>256</v>
      </c>
      <c r="AC266" s="21">
        <v>0.45019500000000001</v>
      </c>
      <c r="AD266">
        <f t="shared" si="40"/>
        <v>18.351975308641972</v>
      </c>
      <c r="AE266">
        <f t="shared" si="41"/>
        <v>8.2748506107407387</v>
      </c>
      <c r="AF266" s="9"/>
      <c r="AG266" s="21">
        <v>1.18912</v>
      </c>
      <c r="AH266" s="21">
        <v>20.391999999999999</v>
      </c>
      <c r="AI266" s="21">
        <v>-1.39709E-2</v>
      </c>
      <c r="AJ266" s="21">
        <v>256</v>
      </c>
      <c r="AK266" s="21">
        <v>1.18866</v>
      </c>
      <c r="AL266">
        <f t="shared" si="42"/>
        <v>17.248024691358022</v>
      </c>
      <c r="AM266">
        <f t="shared" si="43"/>
        <v>20.50997112098765</v>
      </c>
      <c r="AP266" s="9"/>
      <c r="AQ266" s="21">
        <v>0.45089699999999999</v>
      </c>
      <c r="AR266" s="21">
        <v>25.788900000000002</v>
      </c>
      <c r="AS266" s="21">
        <v>-1.47797E-2</v>
      </c>
      <c r="AT266" s="21">
        <v>256</v>
      </c>
      <c r="AU266" s="21">
        <v>0.45022600000000002</v>
      </c>
      <c r="AV266">
        <f t="shared" si="44"/>
        <v>18.246543209876542</v>
      </c>
      <c r="AW266">
        <f t="shared" si="45"/>
        <v>8.2273115937037034</v>
      </c>
      <c r="AX266" s="9"/>
      <c r="AY266" s="21">
        <v>1.18912</v>
      </c>
      <c r="AZ266" s="21">
        <v>29.487300000000001</v>
      </c>
      <c r="BA266" s="21">
        <v>-1.39008E-2</v>
      </c>
      <c r="BB266" s="21">
        <v>256</v>
      </c>
      <c r="BC266" s="21">
        <v>1.1880500000000001</v>
      </c>
      <c r="BD266">
        <f t="shared" si="46"/>
        <v>17.161481481481481</v>
      </c>
      <c r="BE266">
        <f t="shared" si="47"/>
        <v>20.407060859259257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7.6005700000000003</v>
      </c>
      <c r="I267" s="21">
        <v>-1.5063500000000001E-2</v>
      </c>
      <c r="J267" s="21">
        <v>257</v>
      </c>
      <c r="K267" s="21">
        <v>0.44528200000000001</v>
      </c>
      <c r="L267">
        <f t="shared" si="36"/>
        <v>18.596913580246913</v>
      </c>
      <c r="M267">
        <f t="shared" si="37"/>
        <v>8.2916570827160481</v>
      </c>
      <c r="N267" s="9"/>
      <c r="O267" s="21">
        <v>1.19415</v>
      </c>
      <c r="P267" s="21">
        <v>11.2989</v>
      </c>
      <c r="Q267" s="21">
        <v>-1.3998399999999999E-2</v>
      </c>
      <c r="R267" s="21">
        <v>257</v>
      </c>
      <c r="S267" s="21">
        <v>1.19354</v>
      </c>
      <c r="T267">
        <f t="shared" si="38"/>
        <v>17.281975308641975</v>
      </c>
      <c r="U267">
        <f t="shared" si="39"/>
        <v>20.637270814814816</v>
      </c>
      <c r="X267" s="9"/>
      <c r="Y267" s="21">
        <v>0.44586199999999998</v>
      </c>
      <c r="Z267" s="21">
        <v>16.703800000000001</v>
      </c>
      <c r="AA267" s="21">
        <v>-1.48773E-2</v>
      </c>
      <c r="AB267" s="21">
        <v>257</v>
      </c>
      <c r="AC267" s="21">
        <v>0.44522099999999998</v>
      </c>
      <c r="AD267">
        <f t="shared" si="40"/>
        <v>18.367037037037036</v>
      </c>
      <c r="AE267">
        <f t="shared" si="41"/>
        <v>8.189163867407407</v>
      </c>
      <c r="AF267" s="9"/>
      <c r="AG267" s="21">
        <v>1.19415</v>
      </c>
      <c r="AH267" s="21">
        <v>20.402100000000001</v>
      </c>
      <c r="AI267" s="21">
        <v>-1.3943499999999999E-2</v>
      </c>
      <c r="AJ267" s="21">
        <v>257</v>
      </c>
      <c r="AK267" s="21">
        <v>1.19293</v>
      </c>
      <c r="AL267">
        <f t="shared" si="42"/>
        <v>17.214197530864197</v>
      </c>
      <c r="AM267">
        <f t="shared" si="43"/>
        <v>20.556333981481483</v>
      </c>
      <c r="AP267" s="9"/>
      <c r="AQ267" s="21">
        <v>0.44586199999999998</v>
      </c>
      <c r="AR267" s="21">
        <v>25.798999999999999</v>
      </c>
      <c r="AS267" s="21">
        <v>-1.4798E-2</v>
      </c>
      <c r="AT267" s="21">
        <v>257</v>
      </c>
      <c r="AU267" s="21">
        <v>0.44528200000000001</v>
      </c>
      <c r="AV267">
        <f t="shared" si="44"/>
        <v>18.269135802469137</v>
      </c>
      <c r="AW267">
        <f t="shared" si="45"/>
        <v>8.1455134271604948</v>
      </c>
      <c r="AX267" s="9"/>
      <c r="AY267" s="21">
        <v>1.19415</v>
      </c>
      <c r="AZ267" s="21">
        <v>29.497299999999999</v>
      </c>
      <c r="BA267" s="21">
        <v>-1.38885E-2</v>
      </c>
      <c r="BB267" s="21">
        <v>257</v>
      </c>
      <c r="BC267" s="21">
        <v>1.19354</v>
      </c>
      <c r="BD267">
        <f t="shared" si="46"/>
        <v>17.146296296296295</v>
      </c>
      <c r="BE267">
        <f t="shared" si="47"/>
        <v>20.475249722222223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7.6106400000000001</v>
      </c>
      <c r="I268" s="21">
        <v>-1.5069600000000001E-2</v>
      </c>
      <c r="J268" s="21">
        <v>258</v>
      </c>
      <c r="K268" s="21">
        <v>0.44015500000000002</v>
      </c>
      <c r="L268">
        <f t="shared" ref="L268:L331" si="48">-I268/$F$2*1000</f>
        <v>18.604444444444443</v>
      </c>
      <c r="M268">
        <f t="shared" ref="M268:M331" si="49">L268*G268</f>
        <v>8.2013228266666651</v>
      </c>
      <c r="N268" s="9"/>
      <c r="O268" s="21">
        <v>1.19919</v>
      </c>
      <c r="P268" s="21">
        <v>11.308999999999999</v>
      </c>
      <c r="Q268" s="21">
        <v>-1.3983199999999999E-2</v>
      </c>
      <c r="R268" s="21">
        <v>258</v>
      </c>
      <c r="S268" s="21">
        <v>1.1981200000000001</v>
      </c>
      <c r="T268">
        <f t="shared" ref="T268:T331" si="50">-Q268/$F$2*1000</f>
        <v>17.263209876543208</v>
      </c>
      <c r="U268">
        <f t="shared" ref="U268:U331" si="51">T268*O268</f>
        <v>20.70186865185185</v>
      </c>
      <c r="X268" s="9"/>
      <c r="Y268" s="21">
        <v>0.440826</v>
      </c>
      <c r="Z268" s="21">
        <v>16.713899999999999</v>
      </c>
      <c r="AA268" s="21">
        <v>-1.4898700000000001E-2</v>
      </c>
      <c r="AB268" s="21">
        <v>258</v>
      </c>
      <c r="AC268" s="21">
        <v>0.440247</v>
      </c>
      <c r="AD268">
        <f t="shared" ref="AD268:AD331" si="52">-AA268/$F$2*1000</f>
        <v>18.393456790123455</v>
      </c>
      <c r="AE268">
        <f t="shared" ref="AE268:AE331" si="53">AD268*Y268</f>
        <v>8.1083139829629616</v>
      </c>
      <c r="AF268" s="9"/>
      <c r="AG268" s="21">
        <v>1.19919</v>
      </c>
      <c r="AH268" s="21">
        <v>20.412199999999999</v>
      </c>
      <c r="AI268" s="21">
        <v>-1.3931300000000001E-2</v>
      </c>
      <c r="AJ268" s="21">
        <v>258</v>
      </c>
      <c r="AK268" s="21">
        <v>1.1984300000000001</v>
      </c>
      <c r="AL268">
        <f t="shared" ref="AL268:AL331" si="54">-AI268/$F$2*1000</f>
        <v>17.199135802469137</v>
      </c>
      <c r="AM268">
        <f t="shared" ref="AM268:AM331" si="55">AL268*AG268</f>
        <v>20.625031662962964</v>
      </c>
      <c r="AP268" s="9"/>
      <c r="AQ268" s="21">
        <v>0.440826</v>
      </c>
      <c r="AR268" s="21">
        <v>25.809100000000001</v>
      </c>
      <c r="AS268" s="21">
        <v>-1.4819300000000001E-2</v>
      </c>
      <c r="AT268" s="21">
        <v>258</v>
      </c>
      <c r="AU268" s="21">
        <v>0.44018600000000002</v>
      </c>
      <c r="AV268">
        <f t="shared" ref="AV268:AV331" si="56">-AS268/$F$2*1000</f>
        <v>18.295432098765431</v>
      </c>
      <c r="AW268">
        <f t="shared" ref="AW268:AW331" si="57">AV268*AQ268</f>
        <v>8.0651021503703699</v>
      </c>
      <c r="AX268" s="9"/>
      <c r="AY268" s="21">
        <v>1.19919</v>
      </c>
      <c r="AZ268" s="21">
        <v>29.507400000000001</v>
      </c>
      <c r="BA268" s="21">
        <v>-1.3876299999999999E-2</v>
      </c>
      <c r="BB268" s="21">
        <v>258</v>
      </c>
      <c r="BC268" s="21">
        <v>1.19781</v>
      </c>
      <c r="BD268">
        <f t="shared" ref="BD268:BD331" si="58">-BA268/$F$2*1000</f>
        <v>17.131234567901231</v>
      </c>
      <c r="BE268">
        <f t="shared" ref="BE268:BE331" si="59">BD268*AY268</f>
        <v>20.543605181481478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7.6207099999999999</v>
      </c>
      <c r="I269" s="21">
        <v>-1.50787E-2</v>
      </c>
      <c r="J269" s="21">
        <v>259</v>
      </c>
      <c r="K269" s="21">
        <v>0.43512000000000001</v>
      </c>
      <c r="L269">
        <f t="shared" si="48"/>
        <v>18.61567901234568</v>
      </c>
      <c r="M269">
        <f t="shared" si="49"/>
        <v>8.1125453724691354</v>
      </c>
      <c r="N269" s="9"/>
      <c r="O269" s="21">
        <v>1.2042200000000001</v>
      </c>
      <c r="P269" s="21">
        <v>11.319000000000001</v>
      </c>
      <c r="Q269" s="21">
        <v>-1.3977099999999999E-2</v>
      </c>
      <c r="R269" s="21">
        <v>259</v>
      </c>
      <c r="S269" s="21">
        <v>1.2030000000000001</v>
      </c>
      <c r="T269">
        <f t="shared" si="50"/>
        <v>17.255679012345677</v>
      </c>
      <c r="U269">
        <f t="shared" si="51"/>
        <v>20.779633780246911</v>
      </c>
      <c r="X269" s="9"/>
      <c r="Y269" s="21">
        <v>0.43579099999999998</v>
      </c>
      <c r="Z269" s="21">
        <v>16.7239</v>
      </c>
      <c r="AA269" s="21">
        <v>-1.4904799999999999E-2</v>
      </c>
      <c r="AB269" s="21">
        <v>259</v>
      </c>
      <c r="AC269" s="21">
        <v>0.43518099999999998</v>
      </c>
      <c r="AD269">
        <f t="shared" si="52"/>
        <v>18.400987654320986</v>
      </c>
      <c r="AE269">
        <f t="shared" si="53"/>
        <v>8.0189848108641968</v>
      </c>
      <c r="AF269" s="9"/>
      <c r="AG269" s="21">
        <v>1.2042200000000001</v>
      </c>
      <c r="AH269" s="21">
        <v>20.4223</v>
      </c>
      <c r="AI269" s="21">
        <v>-1.3913E-2</v>
      </c>
      <c r="AJ269" s="21">
        <v>259</v>
      </c>
      <c r="AK269" s="21">
        <v>1.2033100000000001</v>
      </c>
      <c r="AL269">
        <f t="shared" si="54"/>
        <v>17.176543209876542</v>
      </c>
      <c r="AM269">
        <f t="shared" si="55"/>
        <v>20.68433686419753</v>
      </c>
      <c r="AP269" s="9"/>
      <c r="AQ269" s="21">
        <v>0.43579099999999998</v>
      </c>
      <c r="AR269" s="21">
        <v>25.819199999999999</v>
      </c>
      <c r="AS269" s="21">
        <v>-1.4819300000000001E-2</v>
      </c>
      <c r="AT269" s="21">
        <v>259</v>
      </c>
      <c r="AU269" s="21">
        <v>0.43518099999999998</v>
      </c>
      <c r="AV269">
        <f t="shared" si="56"/>
        <v>18.295432098765431</v>
      </c>
      <c r="AW269">
        <f t="shared" si="57"/>
        <v>7.9729846497530854</v>
      </c>
      <c r="AX269" s="9"/>
      <c r="AY269" s="21">
        <v>1.2042200000000001</v>
      </c>
      <c r="AZ269" s="21">
        <v>29.517499999999998</v>
      </c>
      <c r="BA269" s="21">
        <v>-1.38672E-2</v>
      </c>
      <c r="BB269" s="21">
        <v>259</v>
      </c>
      <c r="BC269" s="21">
        <v>1.2036100000000001</v>
      </c>
      <c r="BD269">
        <f t="shared" si="58"/>
        <v>17.12</v>
      </c>
      <c r="BE269">
        <f t="shared" si="59"/>
        <v>20.616246400000001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7.6307799999999997</v>
      </c>
      <c r="I270" s="21">
        <v>-1.5094E-2</v>
      </c>
      <c r="J270" s="21">
        <v>260</v>
      </c>
      <c r="K270" s="21">
        <v>0.43005399999999999</v>
      </c>
      <c r="L270">
        <f t="shared" si="48"/>
        <v>18.634567901234568</v>
      </c>
      <c r="M270">
        <f t="shared" si="49"/>
        <v>8.0269519308641986</v>
      </c>
      <c r="N270" s="9"/>
      <c r="O270" s="21">
        <v>1.20926</v>
      </c>
      <c r="P270" s="21">
        <v>11.3291</v>
      </c>
      <c r="Q270" s="21">
        <v>-1.39679E-2</v>
      </c>
      <c r="R270" s="21">
        <v>260</v>
      </c>
      <c r="S270" s="21">
        <v>1.2088000000000001</v>
      </c>
      <c r="T270">
        <f t="shared" si="50"/>
        <v>17.244320987654319</v>
      </c>
      <c r="U270">
        <f t="shared" si="51"/>
        <v>20.852867597530864</v>
      </c>
      <c r="X270" s="9"/>
      <c r="Y270" s="21">
        <v>0.43075600000000003</v>
      </c>
      <c r="Z270" s="21">
        <v>16.734000000000002</v>
      </c>
      <c r="AA270" s="21">
        <v>-1.4917E-2</v>
      </c>
      <c r="AB270" s="21">
        <v>260</v>
      </c>
      <c r="AC270" s="21">
        <v>0.430145</v>
      </c>
      <c r="AD270">
        <f t="shared" si="52"/>
        <v>18.416049382716047</v>
      </c>
      <c r="AE270">
        <f t="shared" si="53"/>
        <v>7.9328237679012341</v>
      </c>
      <c r="AF270" s="9"/>
      <c r="AG270" s="21">
        <v>1.20926</v>
      </c>
      <c r="AH270" s="21">
        <v>20.432300000000001</v>
      </c>
      <c r="AI270" s="21">
        <v>-1.38885E-2</v>
      </c>
      <c r="AJ270" s="21">
        <v>260</v>
      </c>
      <c r="AK270" s="21">
        <v>1.2075800000000001</v>
      </c>
      <c r="AL270">
        <f t="shared" si="54"/>
        <v>17.146296296296295</v>
      </c>
      <c r="AM270">
        <f t="shared" si="55"/>
        <v>20.734330259259259</v>
      </c>
      <c r="AP270" s="9"/>
      <c r="AQ270" s="21">
        <v>0.43075600000000003</v>
      </c>
      <c r="AR270" s="21">
        <v>25.8292</v>
      </c>
      <c r="AS270" s="21">
        <v>-1.48071E-2</v>
      </c>
      <c r="AT270" s="21">
        <v>260</v>
      </c>
      <c r="AU270" s="21">
        <v>0.43008400000000002</v>
      </c>
      <c r="AV270">
        <f t="shared" si="56"/>
        <v>18.28037037037037</v>
      </c>
      <c r="AW270">
        <f t="shared" si="57"/>
        <v>7.8743792192592599</v>
      </c>
      <c r="AX270" s="9"/>
      <c r="AY270" s="21">
        <v>1.20926</v>
      </c>
      <c r="AZ270" s="21">
        <v>29.5276</v>
      </c>
      <c r="BA270" s="21">
        <v>-1.3864100000000001E-2</v>
      </c>
      <c r="BB270" s="21">
        <v>260</v>
      </c>
      <c r="BC270" s="21">
        <v>1.2081900000000001</v>
      </c>
      <c r="BD270">
        <f t="shared" si="58"/>
        <v>17.11617283950617</v>
      </c>
      <c r="BE270">
        <f t="shared" si="59"/>
        <v>20.697903167901231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7.6408500000000004</v>
      </c>
      <c r="I271" s="21">
        <v>-1.51031E-2</v>
      </c>
      <c r="J271" s="21">
        <v>261</v>
      </c>
      <c r="K271" s="21">
        <v>0.42510999999999999</v>
      </c>
      <c r="L271">
        <f t="shared" si="48"/>
        <v>18.645802469135798</v>
      </c>
      <c r="M271">
        <f t="shared" si="49"/>
        <v>7.9378910271604921</v>
      </c>
      <c r="N271" s="9"/>
      <c r="O271" s="21">
        <v>1.2142900000000001</v>
      </c>
      <c r="P271" s="21">
        <v>11.3392</v>
      </c>
      <c r="Q271" s="21">
        <v>-1.3958699999999999E-2</v>
      </c>
      <c r="R271" s="21">
        <v>261</v>
      </c>
      <c r="S271" s="21">
        <v>1.2136800000000001</v>
      </c>
      <c r="T271">
        <f t="shared" si="50"/>
        <v>17.232962962962961</v>
      </c>
      <c r="U271">
        <f t="shared" si="51"/>
        <v>20.925814596296295</v>
      </c>
      <c r="X271" s="9"/>
      <c r="Y271" s="21">
        <v>0.42571999999999999</v>
      </c>
      <c r="Z271" s="21">
        <v>16.7441</v>
      </c>
      <c r="AA271" s="21">
        <v>-1.49292E-2</v>
      </c>
      <c r="AB271" s="21">
        <v>261</v>
      </c>
      <c r="AC271" s="21">
        <v>0.42504900000000001</v>
      </c>
      <c r="AD271">
        <f t="shared" si="52"/>
        <v>18.431111111111111</v>
      </c>
      <c r="AE271">
        <f t="shared" si="53"/>
        <v>7.8464926222222218</v>
      </c>
      <c r="AF271" s="9"/>
      <c r="AG271" s="21">
        <v>1.2142900000000001</v>
      </c>
      <c r="AH271" s="21">
        <v>20.442399999999999</v>
      </c>
      <c r="AI271" s="21">
        <v>-1.38733E-2</v>
      </c>
      <c r="AJ271" s="21">
        <v>261</v>
      </c>
      <c r="AK271" s="21">
        <v>1.2136800000000001</v>
      </c>
      <c r="AL271">
        <f t="shared" si="54"/>
        <v>17.127530864197528</v>
      </c>
      <c r="AM271">
        <f t="shared" si="55"/>
        <v>20.797789453086416</v>
      </c>
      <c r="AP271" s="9"/>
      <c r="AQ271" s="21">
        <v>0.42571999999999999</v>
      </c>
      <c r="AR271" s="21">
        <v>25.839300000000001</v>
      </c>
      <c r="AS271" s="21">
        <v>-1.48071E-2</v>
      </c>
      <c r="AT271" s="21">
        <v>261</v>
      </c>
      <c r="AU271" s="21">
        <v>0.42495699999999997</v>
      </c>
      <c r="AV271">
        <f t="shared" si="56"/>
        <v>18.28037037037037</v>
      </c>
      <c r="AW271">
        <f t="shared" si="57"/>
        <v>7.7823192740740739</v>
      </c>
      <c r="AX271" s="9"/>
      <c r="AY271" s="21">
        <v>1.2142900000000001</v>
      </c>
      <c r="AZ271" s="21">
        <v>29.537600000000001</v>
      </c>
      <c r="BA271" s="21">
        <v>-1.38672E-2</v>
      </c>
      <c r="BB271" s="21">
        <v>261</v>
      </c>
      <c r="BC271" s="21">
        <v>1.2133799999999999</v>
      </c>
      <c r="BD271">
        <f t="shared" si="58"/>
        <v>17.12</v>
      </c>
      <c r="BE271">
        <f t="shared" si="59"/>
        <v>20.788644800000004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7.6509200000000002</v>
      </c>
      <c r="I272" s="21">
        <v>-1.51123E-2</v>
      </c>
      <c r="J272" s="21">
        <v>262</v>
      </c>
      <c r="K272" s="21">
        <v>0.419983</v>
      </c>
      <c r="L272">
        <f t="shared" si="48"/>
        <v>18.65716049382716</v>
      </c>
      <c r="M272">
        <f t="shared" si="49"/>
        <v>7.8487875623456782</v>
      </c>
      <c r="N272" s="9"/>
      <c r="O272" s="21">
        <v>1.21933</v>
      </c>
      <c r="P272" s="21">
        <v>11.349299999999999</v>
      </c>
      <c r="Q272" s="21">
        <v>-1.3943499999999999E-2</v>
      </c>
      <c r="R272" s="21">
        <v>262</v>
      </c>
      <c r="S272" s="21">
        <v>1.2185699999999999</v>
      </c>
      <c r="T272">
        <f t="shared" si="50"/>
        <v>17.214197530864197</v>
      </c>
      <c r="U272">
        <f t="shared" si="51"/>
        <v>20.989787475308642</v>
      </c>
      <c r="X272" s="9"/>
      <c r="Y272" s="21">
        <v>0.42068499999999998</v>
      </c>
      <c r="Z272" s="21">
        <v>16.754100000000001</v>
      </c>
      <c r="AA272" s="21">
        <v>-1.49292E-2</v>
      </c>
      <c r="AB272" s="21">
        <v>262</v>
      </c>
      <c r="AC272" s="21">
        <v>0.41995199999999999</v>
      </c>
      <c r="AD272">
        <f t="shared" si="52"/>
        <v>18.431111111111111</v>
      </c>
      <c r="AE272">
        <f t="shared" si="53"/>
        <v>7.7536919777777769</v>
      </c>
      <c r="AF272" s="9"/>
      <c r="AG272" s="21">
        <v>1.21933</v>
      </c>
      <c r="AH272" s="21">
        <v>20.452500000000001</v>
      </c>
      <c r="AI272" s="21">
        <v>-1.3861099999999999E-2</v>
      </c>
      <c r="AJ272" s="21">
        <v>262</v>
      </c>
      <c r="AK272" s="21">
        <v>1.2188699999999999</v>
      </c>
      <c r="AL272">
        <f t="shared" si="54"/>
        <v>17.112469135802467</v>
      </c>
      <c r="AM272">
        <f t="shared" si="55"/>
        <v>20.865746991358023</v>
      </c>
      <c r="AP272" s="9"/>
      <c r="AQ272" s="21">
        <v>0.42068499999999998</v>
      </c>
      <c r="AR272" s="21">
        <v>25.849399999999999</v>
      </c>
      <c r="AS272" s="21">
        <v>-1.4819300000000001E-2</v>
      </c>
      <c r="AT272" s="21">
        <v>262</v>
      </c>
      <c r="AU272" s="21">
        <v>0.41995199999999999</v>
      </c>
      <c r="AV272">
        <f t="shared" si="56"/>
        <v>18.295432098765431</v>
      </c>
      <c r="AW272">
        <f t="shared" si="57"/>
        <v>7.6966138524691354</v>
      </c>
      <c r="AX272" s="9"/>
      <c r="AY272" s="21">
        <v>1.21933</v>
      </c>
      <c r="AZ272" s="21">
        <v>29.547699999999999</v>
      </c>
      <c r="BA272" s="21">
        <v>-1.3848900000000001E-2</v>
      </c>
      <c r="BB272" s="21">
        <v>262</v>
      </c>
      <c r="BC272" s="21">
        <v>1.2191799999999999</v>
      </c>
      <c r="BD272">
        <f t="shared" si="58"/>
        <v>17.09740740740741</v>
      </c>
      <c r="BE272">
        <f t="shared" si="59"/>
        <v>20.847381774074076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7.66099</v>
      </c>
      <c r="I273" s="21">
        <v>-1.5124500000000001E-2</v>
      </c>
      <c r="J273" s="21">
        <v>263</v>
      </c>
      <c r="K273" s="21">
        <v>0.41506999999999999</v>
      </c>
      <c r="L273">
        <f t="shared" si="48"/>
        <v>18.672222222222221</v>
      </c>
      <c r="M273">
        <f t="shared" si="49"/>
        <v>7.7610904944444439</v>
      </c>
      <c r="N273" s="9"/>
      <c r="O273" s="21">
        <v>1.22437</v>
      </c>
      <c r="P273" s="21">
        <v>11.359299999999999</v>
      </c>
      <c r="Q273" s="21">
        <v>-1.3913E-2</v>
      </c>
      <c r="R273" s="21">
        <v>263</v>
      </c>
      <c r="S273" s="21">
        <v>1.2234499999999999</v>
      </c>
      <c r="T273">
        <f t="shared" si="50"/>
        <v>17.176543209876542</v>
      </c>
      <c r="U273">
        <f t="shared" si="51"/>
        <v>21.030444209876542</v>
      </c>
      <c r="X273" s="9"/>
      <c r="Y273" s="21">
        <v>0.41564899999999999</v>
      </c>
      <c r="Z273" s="21">
        <v>16.764199999999999</v>
      </c>
      <c r="AA273" s="21">
        <v>-1.4932300000000001E-2</v>
      </c>
      <c r="AB273" s="21">
        <v>263</v>
      </c>
      <c r="AC273" s="21">
        <v>0.41494799999999998</v>
      </c>
      <c r="AD273">
        <f t="shared" si="52"/>
        <v>18.434938271604938</v>
      </c>
      <c r="AE273">
        <f t="shared" si="53"/>
        <v>7.662463657654321</v>
      </c>
      <c r="AF273" s="9"/>
      <c r="AG273" s="21">
        <v>1.22437</v>
      </c>
      <c r="AH273" s="21">
        <v>20.462499999999999</v>
      </c>
      <c r="AI273" s="21">
        <v>-1.3861099999999999E-2</v>
      </c>
      <c r="AJ273" s="21">
        <v>263</v>
      </c>
      <c r="AK273" s="21">
        <v>1.2234499999999999</v>
      </c>
      <c r="AL273">
        <f t="shared" si="54"/>
        <v>17.112469135802467</v>
      </c>
      <c r="AM273">
        <f t="shared" si="55"/>
        <v>20.951993835802465</v>
      </c>
      <c r="AP273" s="9"/>
      <c r="AQ273" s="21">
        <v>0.41564899999999999</v>
      </c>
      <c r="AR273" s="21">
        <v>25.859400000000001</v>
      </c>
      <c r="AS273" s="21">
        <v>-1.48346E-2</v>
      </c>
      <c r="AT273" s="21">
        <v>263</v>
      </c>
      <c r="AU273" s="21">
        <v>0.414856</v>
      </c>
      <c r="AV273">
        <f t="shared" si="56"/>
        <v>18.31432098765432</v>
      </c>
      <c r="AW273">
        <f t="shared" si="57"/>
        <v>7.6123292041975299</v>
      </c>
      <c r="AX273" s="9"/>
      <c r="AY273" s="21">
        <v>1.22437</v>
      </c>
      <c r="AZ273" s="21">
        <v>29.5578</v>
      </c>
      <c r="BA273" s="21">
        <v>-1.38275E-2</v>
      </c>
      <c r="BB273" s="21">
        <v>263</v>
      </c>
      <c r="BC273" s="21">
        <v>1.2237499999999999</v>
      </c>
      <c r="BD273">
        <f t="shared" si="58"/>
        <v>17.070987654320987</v>
      </c>
      <c r="BE273">
        <f t="shared" si="59"/>
        <v>20.901205154320987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7.6710599999999998</v>
      </c>
      <c r="I274" s="21">
        <v>-1.5130599999999999E-2</v>
      </c>
      <c r="J274" s="21">
        <v>264</v>
      </c>
      <c r="K274" s="21">
        <v>0.409943</v>
      </c>
      <c r="L274">
        <f t="shared" si="48"/>
        <v>18.679753086419751</v>
      </c>
      <c r="M274">
        <f t="shared" si="49"/>
        <v>7.6701681338271595</v>
      </c>
      <c r="N274" s="9"/>
      <c r="O274" s="21">
        <v>1.2294</v>
      </c>
      <c r="P274" s="21">
        <v>11.369400000000001</v>
      </c>
      <c r="Q274" s="21">
        <v>-1.38885E-2</v>
      </c>
      <c r="R274" s="21">
        <v>264</v>
      </c>
      <c r="S274" s="21">
        <v>1.2283299999999999</v>
      </c>
      <c r="T274">
        <f t="shared" si="50"/>
        <v>17.146296296296295</v>
      </c>
      <c r="U274">
        <f t="shared" si="51"/>
        <v>21.079656666666665</v>
      </c>
      <c r="X274" s="9"/>
      <c r="Y274" s="21">
        <v>0.41061399999999998</v>
      </c>
      <c r="Z274" s="21">
        <v>16.7743</v>
      </c>
      <c r="AA274" s="21">
        <v>-1.49292E-2</v>
      </c>
      <c r="AB274" s="21">
        <v>264</v>
      </c>
      <c r="AC274" s="21">
        <v>0.40988200000000002</v>
      </c>
      <c r="AD274">
        <f t="shared" si="52"/>
        <v>18.431111111111111</v>
      </c>
      <c r="AE274">
        <f t="shared" si="53"/>
        <v>7.5680722577777777</v>
      </c>
      <c r="AF274" s="9"/>
      <c r="AG274" s="21">
        <v>1.2294</v>
      </c>
      <c r="AH274" s="21">
        <v>20.4726</v>
      </c>
      <c r="AI274" s="21">
        <v>-1.38367E-2</v>
      </c>
      <c r="AJ274" s="21">
        <v>264</v>
      </c>
      <c r="AK274" s="21">
        <v>1.22864</v>
      </c>
      <c r="AL274">
        <f t="shared" si="54"/>
        <v>17.082345679012345</v>
      </c>
      <c r="AM274">
        <f t="shared" si="55"/>
        <v>21.001035777777776</v>
      </c>
      <c r="AP274" s="9"/>
      <c r="AQ274" s="21">
        <v>0.41061399999999998</v>
      </c>
      <c r="AR274" s="21">
        <v>25.869499999999999</v>
      </c>
      <c r="AS274" s="21">
        <v>-1.4843800000000001E-2</v>
      </c>
      <c r="AT274" s="21">
        <v>264</v>
      </c>
      <c r="AU274" s="21">
        <v>0.409912</v>
      </c>
      <c r="AV274">
        <f t="shared" si="56"/>
        <v>18.325679012345677</v>
      </c>
      <c r="AW274">
        <f t="shared" si="57"/>
        <v>7.5247803619753073</v>
      </c>
      <c r="AX274" s="9"/>
      <c r="AY274" s="21">
        <v>1.2294</v>
      </c>
      <c r="AZ274" s="21">
        <v>29.567799999999998</v>
      </c>
      <c r="BA274" s="21">
        <v>-1.3809200000000001E-2</v>
      </c>
      <c r="BB274" s="21">
        <v>264</v>
      </c>
      <c r="BC274" s="21">
        <v>1.2289399999999999</v>
      </c>
      <c r="BD274">
        <f t="shared" si="58"/>
        <v>17.048395061728392</v>
      </c>
      <c r="BE274">
        <f t="shared" si="59"/>
        <v>20.959296888888886</v>
      </c>
    </row>
    <row r="275" spans="6:101" x14ac:dyDescent="0.25">
      <c r="F275" s="9"/>
      <c r="G275" s="21">
        <v>0.40557900000000002</v>
      </c>
      <c r="H275" s="21">
        <v>7.6811299999999996</v>
      </c>
      <c r="I275" s="21">
        <v>-1.51398E-2</v>
      </c>
      <c r="J275" s="21">
        <v>265</v>
      </c>
      <c r="K275" s="21">
        <v>0.40493800000000002</v>
      </c>
      <c r="L275">
        <f t="shared" si="48"/>
        <v>18.691111111111109</v>
      </c>
      <c r="M275">
        <f t="shared" si="49"/>
        <v>7.5807221533333333</v>
      </c>
      <c r="N275" s="9"/>
      <c r="O275" s="21">
        <v>1.23444</v>
      </c>
      <c r="P275" s="21">
        <v>11.3795</v>
      </c>
      <c r="Q275" s="21">
        <v>-1.38855E-2</v>
      </c>
      <c r="R275" s="21">
        <v>265</v>
      </c>
      <c r="S275" s="21">
        <v>1.23291</v>
      </c>
      <c r="T275">
        <f t="shared" si="50"/>
        <v>17.142592592592592</v>
      </c>
      <c r="U275">
        <f t="shared" si="51"/>
        <v>21.161501999999999</v>
      </c>
      <c r="X275" s="9"/>
      <c r="Y275" s="21">
        <v>0.40557900000000002</v>
      </c>
      <c r="Z275" s="21">
        <v>16.784400000000002</v>
      </c>
      <c r="AA275" s="21">
        <v>-1.4926099999999999E-2</v>
      </c>
      <c r="AB275" s="21">
        <v>265</v>
      </c>
      <c r="AC275" s="21">
        <v>0.404999</v>
      </c>
      <c r="AD275">
        <f t="shared" si="52"/>
        <v>18.427283950617284</v>
      </c>
      <c r="AE275">
        <f t="shared" si="53"/>
        <v>7.4737193974074074</v>
      </c>
      <c r="AF275" s="9"/>
      <c r="AG275" s="21">
        <v>1.23444</v>
      </c>
      <c r="AH275" s="21">
        <v>20.482700000000001</v>
      </c>
      <c r="AI275" s="21">
        <v>-1.3815300000000001E-2</v>
      </c>
      <c r="AJ275" s="21">
        <v>265</v>
      </c>
      <c r="AK275" s="21">
        <v>1.23322</v>
      </c>
      <c r="AL275">
        <f t="shared" si="54"/>
        <v>17.055925925925926</v>
      </c>
      <c r="AM275">
        <f t="shared" si="55"/>
        <v>21.054517199999999</v>
      </c>
      <c r="AP275" s="9"/>
      <c r="AQ275" s="21">
        <v>0.40557900000000002</v>
      </c>
      <c r="AR275" s="21">
        <v>25.8796</v>
      </c>
      <c r="AS275" s="21">
        <v>-1.4849899999999999E-2</v>
      </c>
      <c r="AT275" s="21">
        <v>265</v>
      </c>
      <c r="AU275" s="21">
        <v>0.40487699999999999</v>
      </c>
      <c r="AV275">
        <f t="shared" si="56"/>
        <v>18.333209876543208</v>
      </c>
      <c r="AW275">
        <f t="shared" si="57"/>
        <v>7.4355649285185184</v>
      </c>
      <c r="AX275" s="9"/>
      <c r="AY275" s="21">
        <v>1.23444</v>
      </c>
      <c r="AZ275" s="21">
        <v>29.5779</v>
      </c>
      <c r="BA275" s="21">
        <v>-1.37939E-2</v>
      </c>
      <c r="BB275" s="21">
        <v>265</v>
      </c>
      <c r="BC275" s="21">
        <v>1.23383</v>
      </c>
      <c r="BD275">
        <f t="shared" si="58"/>
        <v>17.029506172839504</v>
      </c>
      <c r="BE275">
        <f t="shared" si="59"/>
        <v>21.021903599999998</v>
      </c>
    </row>
    <row r="276" spans="6:101" x14ac:dyDescent="0.25">
      <c r="F276" s="9"/>
      <c r="G276" s="21">
        <v>0.40054299999999998</v>
      </c>
      <c r="H276" s="21">
        <v>7.6912099999999999</v>
      </c>
      <c r="I276" s="21">
        <v>-1.51459E-2</v>
      </c>
      <c r="J276" s="21">
        <v>266</v>
      </c>
      <c r="K276" s="21">
        <v>0.39987200000000001</v>
      </c>
      <c r="L276">
        <f t="shared" si="48"/>
        <v>18.698641975308643</v>
      </c>
      <c r="M276">
        <f t="shared" si="49"/>
        <v>7.4896101527160495</v>
      </c>
      <c r="N276" s="9"/>
      <c r="O276" s="21">
        <v>1.2394700000000001</v>
      </c>
      <c r="P276" s="21">
        <v>11.3895</v>
      </c>
      <c r="Q276" s="21">
        <v>-1.3876299999999999E-2</v>
      </c>
      <c r="R276" s="21">
        <v>266</v>
      </c>
      <c r="S276" s="21">
        <v>1.23871</v>
      </c>
      <c r="T276">
        <f t="shared" si="50"/>
        <v>17.131234567901231</v>
      </c>
      <c r="U276">
        <f t="shared" si="51"/>
        <v>21.233651309876539</v>
      </c>
      <c r="X276" s="9"/>
      <c r="Y276" s="21">
        <v>0.40054299999999998</v>
      </c>
      <c r="Z276" s="21">
        <v>16.7944</v>
      </c>
      <c r="AA276" s="21">
        <v>-1.49231E-2</v>
      </c>
      <c r="AB276" s="21">
        <v>266</v>
      </c>
      <c r="AC276" s="21">
        <v>0.39993299999999998</v>
      </c>
      <c r="AD276">
        <f t="shared" si="52"/>
        <v>18.423580246913577</v>
      </c>
      <c r="AE276">
        <f t="shared" si="53"/>
        <v>7.3794361028395041</v>
      </c>
      <c r="AF276" s="9"/>
      <c r="AG276" s="21">
        <v>1.2394700000000001</v>
      </c>
      <c r="AH276" s="21">
        <v>20.492799999999999</v>
      </c>
      <c r="AI276" s="21">
        <v>-1.3787799999999999E-2</v>
      </c>
      <c r="AJ276" s="21">
        <v>266</v>
      </c>
      <c r="AK276" s="21">
        <v>1.23871</v>
      </c>
      <c r="AL276">
        <f t="shared" si="54"/>
        <v>17.021975308641974</v>
      </c>
      <c r="AM276">
        <f t="shared" si="55"/>
        <v>21.098227735802467</v>
      </c>
      <c r="AP276" s="9"/>
      <c r="AQ276" s="21">
        <v>0.40054299999999998</v>
      </c>
      <c r="AR276" s="21">
        <v>25.889600000000002</v>
      </c>
      <c r="AS276" s="21">
        <v>-1.4865099999999999E-2</v>
      </c>
      <c r="AT276" s="21">
        <v>266</v>
      </c>
      <c r="AU276" s="21">
        <v>0.399841</v>
      </c>
      <c r="AV276">
        <f t="shared" si="56"/>
        <v>18.351975308641972</v>
      </c>
      <c r="AW276">
        <f t="shared" si="57"/>
        <v>7.3507552460493812</v>
      </c>
      <c r="AX276" s="9"/>
      <c r="AY276" s="21">
        <v>1.2394700000000001</v>
      </c>
      <c r="AZ276" s="21">
        <v>29.588000000000001</v>
      </c>
      <c r="BA276" s="21">
        <v>-1.37848E-2</v>
      </c>
      <c r="BB276" s="21">
        <v>266</v>
      </c>
      <c r="BC276" s="21">
        <v>1.2383999999999999</v>
      </c>
      <c r="BD276">
        <f t="shared" si="58"/>
        <v>17.018271604938271</v>
      </c>
      <c r="BE276">
        <f t="shared" si="59"/>
        <v>21.093637106172839</v>
      </c>
    </row>
    <row r="277" spans="6:101" x14ac:dyDescent="0.25">
      <c r="F277" s="9"/>
      <c r="G277" s="21">
        <v>0.39550800000000003</v>
      </c>
      <c r="H277" s="21">
        <v>7.7012799999999997</v>
      </c>
      <c r="I277" s="21">
        <v>-1.5152000000000001E-2</v>
      </c>
      <c r="J277" s="21">
        <v>267</v>
      </c>
      <c r="K277" s="21">
        <v>0.39486700000000002</v>
      </c>
      <c r="L277">
        <f t="shared" si="48"/>
        <v>18.706172839506173</v>
      </c>
      <c r="M277">
        <f t="shared" si="49"/>
        <v>7.3984410074074081</v>
      </c>
      <c r="N277" s="9"/>
      <c r="O277" s="21">
        <v>1.24451</v>
      </c>
      <c r="P277" s="21">
        <v>11.3996</v>
      </c>
      <c r="Q277" s="21">
        <v>-1.3854999999999999E-2</v>
      </c>
      <c r="R277" s="21">
        <v>267</v>
      </c>
      <c r="S277" s="21">
        <v>1.2442</v>
      </c>
      <c r="T277">
        <f t="shared" si="50"/>
        <v>17.104938271604937</v>
      </c>
      <c r="U277">
        <f t="shared" si="51"/>
        <v>21.287266728395061</v>
      </c>
      <c r="X277" s="9"/>
      <c r="Y277" s="21">
        <v>0.39550800000000003</v>
      </c>
      <c r="Z277" s="21">
        <v>16.804500000000001</v>
      </c>
      <c r="AA277" s="21">
        <v>-1.4917E-2</v>
      </c>
      <c r="AB277" s="21">
        <v>267</v>
      </c>
      <c r="AC277" s="21">
        <v>0.39480599999999999</v>
      </c>
      <c r="AD277">
        <f t="shared" si="52"/>
        <v>18.416049382716047</v>
      </c>
      <c r="AE277">
        <f t="shared" si="53"/>
        <v>7.283694859259259</v>
      </c>
      <c r="AF277" s="9"/>
      <c r="AG277" s="21">
        <v>1.24451</v>
      </c>
      <c r="AH277" s="21">
        <v>20.502800000000001</v>
      </c>
      <c r="AI277" s="21">
        <v>-1.3766499999999999E-2</v>
      </c>
      <c r="AJ277" s="21">
        <v>267</v>
      </c>
      <c r="AK277" s="21">
        <v>1.24359</v>
      </c>
      <c r="AL277">
        <f t="shared" si="54"/>
        <v>16.995679012345676</v>
      </c>
      <c r="AM277">
        <f t="shared" si="55"/>
        <v>21.151292487654317</v>
      </c>
      <c r="AP277" s="9"/>
      <c r="AQ277" s="21">
        <v>0.39550800000000003</v>
      </c>
      <c r="AR277" s="21">
        <v>25.899699999999999</v>
      </c>
      <c r="AS277" s="21">
        <v>-1.48743E-2</v>
      </c>
      <c r="AT277" s="21">
        <v>267</v>
      </c>
      <c r="AU277" s="21">
        <v>0.394928</v>
      </c>
      <c r="AV277">
        <f t="shared" si="56"/>
        <v>18.363333333333333</v>
      </c>
      <c r="AW277">
        <f t="shared" si="57"/>
        <v>7.2628452400000008</v>
      </c>
      <c r="AX277" s="9"/>
      <c r="AY277" s="21">
        <v>1.24451</v>
      </c>
      <c r="AZ277" s="21">
        <v>29.598099999999999</v>
      </c>
      <c r="BA277" s="21">
        <v>-1.37787E-2</v>
      </c>
      <c r="BB277" s="21">
        <v>267</v>
      </c>
      <c r="BC277" s="21">
        <v>1.2439</v>
      </c>
      <c r="BD277">
        <f t="shared" si="58"/>
        <v>17.01074074074074</v>
      </c>
      <c r="BE277">
        <f t="shared" si="59"/>
        <v>21.17003695925926</v>
      </c>
    </row>
    <row r="278" spans="6:101" x14ac:dyDescent="0.25">
      <c r="F278" s="9"/>
      <c r="G278" s="21">
        <v>0.39047199999999999</v>
      </c>
      <c r="H278" s="21">
        <v>7.7113500000000004</v>
      </c>
      <c r="I278" s="21">
        <v>-1.5136699999999999E-2</v>
      </c>
      <c r="J278" s="21">
        <v>268</v>
      </c>
      <c r="K278" s="21">
        <v>0.38977099999999998</v>
      </c>
      <c r="L278">
        <f t="shared" si="48"/>
        <v>18.687283950617282</v>
      </c>
      <c r="M278">
        <f t="shared" si="49"/>
        <v>7.296861138765431</v>
      </c>
      <c r="N278" s="9"/>
      <c r="O278" s="21">
        <v>1.2495400000000001</v>
      </c>
      <c r="P278" s="21">
        <v>11.409700000000001</v>
      </c>
      <c r="Q278" s="21">
        <v>-1.3842800000000001E-2</v>
      </c>
      <c r="R278" s="21">
        <v>268</v>
      </c>
      <c r="S278" s="21">
        <v>1.24908</v>
      </c>
      <c r="T278">
        <f t="shared" si="50"/>
        <v>17.089876543209876</v>
      </c>
      <c r="U278">
        <f t="shared" si="51"/>
        <v>21.354484335802468</v>
      </c>
      <c r="X278" s="9"/>
      <c r="Y278" s="21">
        <v>0.39047199999999999</v>
      </c>
      <c r="Z278" s="21">
        <v>16.814599999999999</v>
      </c>
      <c r="AA278" s="21">
        <v>-1.4919999999999999E-2</v>
      </c>
      <c r="AB278" s="21">
        <v>268</v>
      </c>
      <c r="AC278" s="21">
        <v>0.38983200000000001</v>
      </c>
      <c r="AD278">
        <f t="shared" si="52"/>
        <v>18.41975308641975</v>
      </c>
      <c r="AE278">
        <f t="shared" si="53"/>
        <v>7.1923978271604918</v>
      </c>
      <c r="AF278" s="9"/>
      <c r="AG278" s="21">
        <v>1.2495400000000001</v>
      </c>
      <c r="AH278" s="21">
        <v>20.512899999999998</v>
      </c>
      <c r="AI278" s="21">
        <v>-1.37512E-2</v>
      </c>
      <c r="AJ278" s="21">
        <v>268</v>
      </c>
      <c r="AK278" s="21">
        <v>1.24878</v>
      </c>
      <c r="AL278">
        <f t="shared" si="54"/>
        <v>16.976790123456787</v>
      </c>
      <c r="AM278">
        <f t="shared" si="55"/>
        <v>21.213178330864196</v>
      </c>
      <c r="AP278" s="9"/>
      <c r="AQ278" s="21">
        <v>0.39047199999999999</v>
      </c>
      <c r="AR278" s="21">
        <v>25.909800000000001</v>
      </c>
      <c r="AS278" s="21">
        <v>-1.48743E-2</v>
      </c>
      <c r="AT278" s="21">
        <v>268</v>
      </c>
      <c r="AU278" s="21">
        <v>0.38970900000000003</v>
      </c>
      <c r="AV278">
        <f t="shared" si="56"/>
        <v>18.363333333333333</v>
      </c>
      <c r="AW278">
        <f t="shared" si="57"/>
        <v>7.170367493333333</v>
      </c>
      <c r="AX278" s="9"/>
      <c r="AY278" s="21">
        <v>1.2495400000000001</v>
      </c>
      <c r="AZ278" s="21">
        <v>29.6081</v>
      </c>
      <c r="BA278" s="21">
        <v>-1.3760400000000001E-2</v>
      </c>
      <c r="BB278" s="21">
        <v>268</v>
      </c>
      <c r="BC278" s="21">
        <v>1.24847</v>
      </c>
      <c r="BD278">
        <f t="shared" si="58"/>
        <v>16.988148148148149</v>
      </c>
      <c r="BE278">
        <f t="shared" si="59"/>
        <v>21.227370637037041</v>
      </c>
    </row>
    <row r="279" spans="6:101" x14ac:dyDescent="0.25">
      <c r="F279" s="9"/>
      <c r="G279" s="21">
        <v>0.38543699999999997</v>
      </c>
      <c r="H279" s="21">
        <v>7.7214200000000002</v>
      </c>
      <c r="I279" s="21">
        <v>-1.51428E-2</v>
      </c>
      <c r="J279" s="21">
        <v>269</v>
      </c>
      <c r="K279" s="21">
        <v>0.38482699999999997</v>
      </c>
      <c r="L279">
        <f t="shared" si="48"/>
        <v>18.694814814814812</v>
      </c>
      <c r="M279">
        <f t="shared" si="49"/>
        <v>7.2056733377777764</v>
      </c>
      <c r="N279" s="9"/>
      <c r="O279" s="21">
        <v>1.25458</v>
      </c>
      <c r="P279" s="21">
        <v>11.4198</v>
      </c>
      <c r="Q279" s="21">
        <v>-1.3842800000000001E-2</v>
      </c>
      <c r="R279" s="21">
        <v>269</v>
      </c>
      <c r="S279" s="21">
        <v>1.25397</v>
      </c>
      <c r="T279">
        <f t="shared" si="50"/>
        <v>17.089876543209876</v>
      </c>
      <c r="U279">
        <f t="shared" si="51"/>
        <v>21.440617313580248</v>
      </c>
      <c r="X279" s="9"/>
      <c r="Y279" s="21">
        <v>0.38543699999999997</v>
      </c>
      <c r="Z279" s="21">
        <v>16.8246</v>
      </c>
      <c r="AA279" s="21">
        <v>-1.4919999999999999E-2</v>
      </c>
      <c r="AB279" s="21">
        <v>269</v>
      </c>
      <c r="AC279" s="21">
        <v>0.38482699999999997</v>
      </c>
      <c r="AD279">
        <f t="shared" si="52"/>
        <v>18.41975308641975</v>
      </c>
      <c r="AE279">
        <f t="shared" si="53"/>
        <v>7.0996543703703683</v>
      </c>
      <c r="AF279" s="9"/>
      <c r="AG279" s="21">
        <v>1.25458</v>
      </c>
      <c r="AH279" s="21">
        <v>20.523</v>
      </c>
      <c r="AI279" s="21">
        <v>-1.3738999999999999E-2</v>
      </c>
      <c r="AJ279" s="21">
        <v>269</v>
      </c>
      <c r="AK279" s="21">
        <v>1.25397</v>
      </c>
      <c r="AL279">
        <f t="shared" si="54"/>
        <v>16.961728395061726</v>
      </c>
      <c r="AM279">
        <f t="shared" si="55"/>
        <v>21.279845209876541</v>
      </c>
      <c r="AP279" s="9"/>
      <c r="AQ279" s="21">
        <v>0.38543699999999997</v>
      </c>
      <c r="AR279" s="21">
        <v>25.919899999999998</v>
      </c>
      <c r="AS279" s="21">
        <v>-1.48682E-2</v>
      </c>
      <c r="AT279" s="21">
        <v>269</v>
      </c>
      <c r="AU279" s="21">
        <v>0.384857</v>
      </c>
      <c r="AV279">
        <f t="shared" si="56"/>
        <v>18.355802469135799</v>
      </c>
      <c r="AW279">
        <f t="shared" si="57"/>
        <v>7.0750054362962942</v>
      </c>
      <c r="AX279" s="9"/>
      <c r="AY279" s="21">
        <v>1.25458</v>
      </c>
      <c r="AZ279" s="21">
        <v>29.618200000000002</v>
      </c>
      <c r="BA279" s="21">
        <v>-1.37451E-2</v>
      </c>
      <c r="BB279" s="21">
        <v>269</v>
      </c>
      <c r="BC279" s="21">
        <v>1.25366</v>
      </c>
      <c r="BD279">
        <f t="shared" si="58"/>
        <v>16.969259259259257</v>
      </c>
      <c r="BE279">
        <f t="shared" si="59"/>
        <v>21.289293281481481</v>
      </c>
    </row>
    <row r="280" spans="6:101" x14ac:dyDescent="0.25">
      <c r="F280" s="9"/>
      <c r="G280" s="21">
        <v>0.38040200000000002</v>
      </c>
      <c r="H280" s="21">
        <v>7.73149</v>
      </c>
      <c r="I280" s="21">
        <v>-1.51428E-2</v>
      </c>
      <c r="J280" s="21">
        <v>270</v>
      </c>
      <c r="K280" s="21">
        <v>0.37985200000000002</v>
      </c>
      <c r="L280">
        <f t="shared" si="48"/>
        <v>18.694814814814812</v>
      </c>
      <c r="M280">
        <f t="shared" si="49"/>
        <v>7.1115449451851847</v>
      </c>
      <c r="N280" s="9"/>
      <c r="O280" s="21">
        <v>1.2596099999999999</v>
      </c>
      <c r="P280" s="21">
        <v>11.4298</v>
      </c>
      <c r="Q280" s="21">
        <v>-1.38306E-2</v>
      </c>
      <c r="R280" s="21">
        <v>270</v>
      </c>
      <c r="S280" s="21">
        <v>1.25854</v>
      </c>
      <c r="T280">
        <f t="shared" si="50"/>
        <v>17.074814814814815</v>
      </c>
      <c r="U280">
        <f t="shared" si="51"/>
        <v>21.507607488888887</v>
      </c>
      <c r="X280" s="9"/>
      <c r="Y280" s="21">
        <v>0.38040200000000002</v>
      </c>
      <c r="Z280" s="21">
        <v>16.834700000000002</v>
      </c>
      <c r="AA280" s="21">
        <v>-1.4917E-2</v>
      </c>
      <c r="AB280" s="21">
        <v>270</v>
      </c>
      <c r="AC280" s="21">
        <v>0.37979099999999999</v>
      </c>
      <c r="AD280">
        <f t="shared" si="52"/>
        <v>18.416049382716047</v>
      </c>
      <c r="AE280">
        <f t="shared" si="53"/>
        <v>7.0055020172839502</v>
      </c>
      <c r="AF280" s="9"/>
      <c r="AG280" s="21">
        <v>1.2596099999999999</v>
      </c>
      <c r="AH280" s="21">
        <v>20.533000000000001</v>
      </c>
      <c r="AI280" s="21">
        <v>-1.3738999999999999E-2</v>
      </c>
      <c r="AJ280" s="21">
        <v>270</v>
      </c>
      <c r="AK280" s="21">
        <v>1.25885</v>
      </c>
      <c r="AL280">
        <f t="shared" si="54"/>
        <v>16.961728395061726</v>
      </c>
      <c r="AM280">
        <f t="shared" si="55"/>
        <v>21.3651627037037</v>
      </c>
      <c r="AP280" s="9"/>
      <c r="AQ280" s="21">
        <v>0.38040200000000002</v>
      </c>
      <c r="AR280" s="21">
        <v>25.9299</v>
      </c>
      <c r="AS280" s="21">
        <v>-1.48743E-2</v>
      </c>
      <c r="AT280" s="21">
        <v>270</v>
      </c>
      <c r="AU280" s="21">
        <v>0.37979099999999999</v>
      </c>
      <c r="AV280">
        <f t="shared" si="56"/>
        <v>18.363333333333333</v>
      </c>
      <c r="AW280">
        <f t="shared" si="57"/>
        <v>6.9854487266666672</v>
      </c>
      <c r="AX280" s="9"/>
      <c r="AY280" s="21">
        <v>1.2596099999999999</v>
      </c>
      <c r="AZ280" s="21">
        <v>29.628299999999999</v>
      </c>
      <c r="BA280" s="21">
        <v>-1.37238E-2</v>
      </c>
      <c r="BB280" s="21">
        <v>270</v>
      </c>
      <c r="BC280" s="21">
        <v>1.2591600000000001</v>
      </c>
      <c r="BD280">
        <f t="shared" si="58"/>
        <v>16.942962962962962</v>
      </c>
      <c r="BE280">
        <f t="shared" si="59"/>
        <v>21.341525577777777</v>
      </c>
    </row>
    <row r="281" spans="6:101" x14ac:dyDescent="0.25">
      <c r="F281" s="9"/>
      <c r="G281" s="21">
        <v>0.37536599999999998</v>
      </c>
      <c r="H281" s="21">
        <v>7.7415599999999998</v>
      </c>
      <c r="I281" s="21">
        <v>-1.5152000000000001E-2</v>
      </c>
      <c r="J281" s="21">
        <v>271</v>
      </c>
      <c r="K281" s="21">
        <v>0.37475599999999998</v>
      </c>
      <c r="L281">
        <f t="shared" si="48"/>
        <v>18.706172839506173</v>
      </c>
      <c r="M281">
        <f t="shared" si="49"/>
        <v>7.0216612740740736</v>
      </c>
      <c r="N281" s="9"/>
      <c r="O281" s="21">
        <v>1.2646500000000001</v>
      </c>
      <c r="P281" s="21">
        <v>11.4399</v>
      </c>
      <c r="Q281" s="21">
        <v>-1.3821399999999999E-2</v>
      </c>
      <c r="R281" s="21">
        <v>271</v>
      </c>
      <c r="S281" s="21">
        <v>1.2640400000000001</v>
      </c>
      <c r="T281">
        <f t="shared" si="50"/>
        <v>17.063456790123453</v>
      </c>
      <c r="U281">
        <f t="shared" si="51"/>
        <v>21.579300629629625</v>
      </c>
      <c r="X281" s="9"/>
      <c r="Y281" s="21">
        <v>0.37536599999999998</v>
      </c>
      <c r="Z281" s="21">
        <v>16.844799999999999</v>
      </c>
      <c r="AA281" s="21">
        <v>-1.4913900000000001E-2</v>
      </c>
      <c r="AB281" s="21">
        <v>271</v>
      </c>
      <c r="AC281" s="21">
        <v>0.374664</v>
      </c>
      <c r="AD281">
        <f t="shared" si="52"/>
        <v>18.412222222222223</v>
      </c>
      <c r="AE281">
        <f t="shared" si="53"/>
        <v>6.9113222066666662</v>
      </c>
      <c r="AF281" s="9"/>
      <c r="AG281" s="21">
        <v>1.2646500000000001</v>
      </c>
      <c r="AH281" s="21">
        <v>20.543099999999999</v>
      </c>
      <c r="AI281" s="21">
        <v>-1.3736E-2</v>
      </c>
      <c r="AJ281" s="21">
        <v>271</v>
      </c>
      <c r="AK281" s="21">
        <v>1.26373</v>
      </c>
      <c r="AL281">
        <f t="shared" si="54"/>
        <v>16.958024691358023</v>
      </c>
      <c r="AM281">
        <f t="shared" si="55"/>
        <v>21.445965925925925</v>
      </c>
      <c r="AP281" s="9"/>
      <c r="AQ281" s="21">
        <v>0.37536599999999998</v>
      </c>
      <c r="AR281" s="21">
        <v>25.94</v>
      </c>
      <c r="AS281" s="21">
        <v>-1.48743E-2</v>
      </c>
      <c r="AT281" s="21">
        <v>271</v>
      </c>
      <c r="AU281" s="21">
        <v>0.37475599999999998</v>
      </c>
      <c r="AV281">
        <f t="shared" si="56"/>
        <v>18.363333333333333</v>
      </c>
      <c r="AW281">
        <f t="shared" si="57"/>
        <v>6.8929709799999994</v>
      </c>
      <c r="AX281" s="9"/>
      <c r="AY281" s="21">
        <v>1.2646500000000001</v>
      </c>
      <c r="AZ281" s="21">
        <v>29.638300000000001</v>
      </c>
      <c r="BA281" s="21">
        <v>-1.37115E-2</v>
      </c>
      <c r="BB281" s="21">
        <v>271</v>
      </c>
      <c r="BC281" s="21">
        <v>1.2634300000000001</v>
      </c>
      <c r="BD281">
        <f t="shared" si="58"/>
        <v>16.927777777777777</v>
      </c>
      <c r="BE281">
        <f t="shared" si="59"/>
        <v>21.407714166666668</v>
      </c>
    </row>
    <row r="282" spans="6:101" x14ac:dyDescent="0.25">
      <c r="F282" s="9"/>
      <c r="G282" s="21">
        <v>0.37033100000000002</v>
      </c>
      <c r="H282" s="21">
        <v>7.7516299999999996</v>
      </c>
      <c r="I282" s="21">
        <v>-1.51489E-2</v>
      </c>
      <c r="J282" s="21">
        <v>272</v>
      </c>
      <c r="K282" s="21">
        <v>0.36969000000000002</v>
      </c>
      <c r="L282">
        <f t="shared" si="48"/>
        <v>18.702345679012346</v>
      </c>
      <c r="M282">
        <f t="shared" si="49"/>
        <v>6.9260583776543214</v>
      </c>
      <c r="N282" s="9"/>
      <c r="O282" s="21">
        <v>1.2696799999999999</v>
      </c>
      <c r="P282" s="21">
        <v>11.45</v>
      </c>
      <c r="Q282" s="21">
        <v>-1.3797E-2</v>
      </c>
      <c r="R282" s="21">
        <v>272</v>
      </c>
      <c r="S282" s="21">
        <v>1.2692300000000001</v>
      </c>
      <c r="T282">
        <f t="shared" si="50"/>
        <v>17.033333333333331</v>
      </c>
      <c r="U282">
        <f t="shared" si="51"/>
        <v>21.626882666666663</v>
      </c>
      <c r="X282" s="9"/>
      <c r="Y282" s="21">
        <v>0.37033100000000002</v>
      </c>
      <c r="Z282" s="21">
        <v>16.854800000000001</v>
      </c>
      <c r="AA282" s="21">
        <v>-1.48956E-2</v>
      </c>
      <c r="AB282" s="21">
        <v>272</v>
      </c>
      <c r="AC282" s="21">
        <v>0.36969000000000002</v>
      </c>
      <c r="AD282">
        <f t="shared" si="52"/>
        <v>18.389629629629628</v>
      </c>
      <c r="AE282">
        <f t="shared" si="53"/>
        <v>6.8102499303703699</v>
      </c>
      <c r="AF282" s="9"/>
      <c r="AG282" s="21">
        <v>1.2696799999999999</v>
      </c>
      <c r="AH282" s="21">
        <v>20.5532</v>
      </c>
      <c r="AI282" s="21">
        <v>-1.37238E-2</v>
      </c>
      <c r="AJ282" s="21">
        <v>272</v>
      </c>
      <c r="AK282" s="21">
        <v>1.26892</v>
      </c>
      <c r="AL282">
        <f t="shared" si="54"/>
        <v>16.942962962962962</v>
      </c>
      <c r="AM282">
        <f t="shared" si="55"/>
        <v>21.512141214814811</v>
      </c>
      <c r="AP282" s="9"/>
      <c r="AQ282" s="21">
        <v>0.37033100000000002</v>
      </c>
      <c r="AR282" s="21">
        <v>25.950099999999999</v>
      </c>
      <c r="AS282" s="21">
        <v>-1.48804E-2</v>
      </c>
      <c r="AT282" s="21">
        <v>272</v>
      </c>
      <c r="AU282" s="21">
        <v>0.36962899999999999</v>
      </c>
      <c r="AV282">
        <f t="shared" si="56"/>
        <v>18.370864197530864</v>
      </c>
      <c r="AW282">
        <f t="shared" si="57"/>
        <v>6.803300509135803</v>
      </c>
      <c r="AX282" s="9"/>
      <c r="AY282" s="21">
        <v>1.2696799999999999</v>
      </c>
      <c r="AZ282" s="21">
        <v>29.648399999999999</v>
      </c>
      <c r="BA282" s="21">
        <v>-1.36963E-2</v>
      </c>
      <c r="BB282" s="21">
        <v>272</v>
      </c>
      <c r="BC282" s="21">
        <v>1.2686200000000001</v>
      </c>
      <c r="BD282">
        <f t="shared" si="58"/>
        <v>16.90901234567901</v>
      </c>
      <c r="BE282">
        <f t="shared" si="59"/>
        <v>21.469034795061724</v>
      </c>
    </row>
    <row r="283" spans="6:101" x14ac:dyDescent="0.25">
      <c r="F283" s="9"/>
      <c r="G283" s="21">
        <v>0.36529499999999998</v>
      </c>
      <c r="H283" s="21">
        <v>7.7617000000000003</v>
      </c>
      <c r="I283" s="21">
        <v>-1.5152000000000001E-2</v>
      </c>
      <c r="J283" s="21">
        <v>273</v>
      </c>
      <c r="K283" s="21">
        <v>0.364624</v>
      </c>
      <c r="L283">
        <f t="shared" si="48"/>
        <v>18.706172839506173</v>
      </c>
      <c r="M283">
        <f t="shared" si="49"/>
        <v>6.8332714074074072</v>
      </c>
      <c r="N283" s="9"/>
      <c r="O283" s="21">
        <v>1.2747200000000001</v>
      </c>
      <c r="P283" s="21">
        <v>11.46</v>
      </c>
      <c r="Q283" s="21">
        <v>-1.37787E-2</v>
      </c>
      <c r="R283" s="21">
        <v>273</v>
      </c>
      <c r="S283" s="21">
        <v>1.2738</v>
      </c>
      <c r="T283">
        <f t="shared" si="50"/>
        <v>17.01074074074074</v>
      </c>
      <c r="U283">
        <f t="shared" si="51"/>
        <v>21.683931437037039</v>
      </c>
      <c r="X283" s="9"/>
      <c r="Y283" s="21">
        <v>0.36529499999999998</v>
      </c>
      <c r="Z283" s="21">
        <v>16.864899999999999</v>
      </c>
      <c r="AA283" s="21">
        <v>-1.48865E-2</v>
      </c>
      <c r="AB283" s="21">
        <v>273</v>
      </c>
      <c r="AC283" s="21">
        <v>0.36468499999999998</v>
      </c>
      <c r="AD283">
        <f t="shared" si="52"/>
        <v>18.378395061728394</v>
      </c>
      <c r="AE283">
        <f t="shared" si="53"/>
        <v>6.7135358240740732</v>
      </c>
      <c r="AF283" s="9"/>
      <c r="AG283" s="21">
        <v>1.2747200000000001</v>
      </c>
      <c r="AH283" s="21">
        <v>20.563300000000002</v>
      </c>
      <c r="AI283" s="21">
        <v>-1.3717699999999999E-2</v>
      </c>
      <c r="AJ283" s="21">
        <v>273</v>
      </c>
      <c r="AK283" s="21">
        <v>1.2741100000000001</v>
      </c>
      <c r="AL283">
        <f t="shared" si="54"/>
        <v>16.935432098765432</v>
      </c>
      <c r="AM283">
        <f t="shared" si="55"/>
        <v>21.587934004938273</v>
      </c>
      <c r="AP283" s="9"/>
      <c r="AQ283" s="21">
        <v>0.36529499999999998</v>
      </c>
      <c r="AR283" s="21">
        <v>25.960100000000001</v>
      </c>
      <c r="AS283" s="21">
        <v>-1.48834E-2</v>
      </c>
      <c r="AT283" s="21">
        <v>273</v>
      </c>
      <c r="AU283" s="21">
        <v>0.36468499999999998</v>
      </c>
      <c r="AV283">
        <f t="shared" si="56"/>
        <v>18.374567901234567</v>
      </c>
      <c r="AW283">
        <f t="shared" si="57"/>
        <v>6.7121377814814807</v>
      </c>
      <c r="AX283" s="9"/>
      <c r="AY283" s="21">
        <v>1.2747200000000001</v>
      </c>
      <c r="AZ283" s="21">
        <v>29.6585</v>
      </c>
      <c r="BA283" s="21">
        <v>-1.36749E-2</v>
      </c>
      <c r="BB283" s="21">
        <v>273</v>
      </c>
      <c r="BC283" s="21">
        <v>1.27441</v>
      </c>
      <c r="BD283">
        <f t="shared" si="58"/>
        <v>16.882592592592591</v>
      </c>
      <c r="BE283">
        <f t="shared" si="59"/>
        <v>21.52057842962963</v>
      </c>
    </row>
    <row r="284" spans="6:101" x14ac:dyDescent="0.25">
      <c r="F284" s="9"/>
      <c r="G284" s="21">
        <v>0.36026000000000002</v>
      </c>
      <c r="H284" s="21">
        <v>7.7717700000000001</v>
      </c>
      <c r="I284" s="21">
        <v>-1.51672E-2</v>
      </c>
      <c r="J284" s="21">
        <v>274</v>
      </c>
      <c r="K284" s="21">
        <v>0.35961900000000002</v>
      </c>
      <c r="L284">
        <f t="shared" si="48"/>
        <v>18.724938271604938</v>
      </c>
      <c r="M284">
        <f t="shared" si="49"/>
        <v>6.7458462617283956</v>
      </c>
      <c r="N284" s="9"/>
      <c r="O284" s="21">
        <v>1.2797499999999999</v>
      </c>
      <c r="P284" s="21">
        <v>11.4701</v>
      </c>
      <c r="Q284" s="21">
        <v>-1.3760400000000001E-2</v>
      </c>
      <c r="R284" s="21">
        <v>274</v>
      </c>
      <c r="S284" s="21">
        <v>1.2796000000000001</v>
      </c>
      <c r="T284">
        <f t="shared" si="50"/>
        <v>16.988148148148149</v>
      </c>
      <c r="U284">
        <f t="shared" si="51"/>
        <v>21.740582592592592</v>
      </c>
      <c r="X284" s="9"/>
      <c r="Y284" s="21">
        <v>0.36026000000000002</v>
      </c>
      <c r="Z284" s="21">
        <v>16.875</v>
      </c>
      <c r="AA284" s="21">
        <v>-1.48865E-2</v>
      </c>
      <c r="AB284" s="21">
        <v>274</v>
      </c>
      <c r="AC284" s="21">
        <v>0.35961900000000002</v>
      </c>
      <c r="AD284">
        <f t="shared" si="52"/>
        <v>18.378395061728394</v>
      </c>
      <c r="AE284">
        <f t="shared" si="53"/>
        <v>6.6210006049382715</v>
      </c>
      <c r="AF284" s="9"/>
      <c r="AG284" s="21">
        <v>1.2797499999999999</v>
      </c>
      <c r="AH284" s="21">
        <v>20.5733</v>
      </c>
      <c r="AI284" s="21">
        <v>-1.37054E-2</v>
      </c>
      <c r="AJ284" s="21">
        <v>274</v>
      </c>
      <c r="AK284" s="21">
        <v>1.2786900000000001</v>
      </c>
      <c r="AL284">
        <f t="shared" si="54"/>
        <v>16.920246913580247</v>
      </c>
      <c r="AM284">
        <f t="shared" si="55"/>
        <v>21.65368598765432</v>
      </c>
      <c r="AP284" s="9"/>
      <c r="AQ284" s="21">
        <v>0.36026000000000002</v>
      </c>
      <c r="AR284" s="21">
        <v>25.970199999999998</v>
      </c>
      <c r="AS284" s="21">
        <v>-1.48682E-2</v>
      </c>
      <c r="AT284" s="21">
        <v>274</v>
      </c>
      <c r="AU284" s="21">
        <v>0.35955799999999999</v>
      </c>
      <c r="AV284">
        <f t="shared" si="56"/>
        <v>18.355802469135799</v>
      </c>
      <c r="AW284">
        <f t="shared" si="57"/>
        <v>6.6128613975308639</v>
      </c>
      <c r="AX284" s="9"/>
      <c r="AY284" s="21">
        <v>1.2797499999999999</v>
      </c>
      <c r="AZ284" s="21">
        <v>29.668600000000001</v>
      </c>
      <c r="BA284" s="21">
        <v>-1.36566E-2</v>
      </c>
      <c r="BB284" s="21">
        <v>274</v>
      </c>
      <c r="BC284" s="21">
        <v>1.2789900000000001</v>
      </c>
      <c r="BD284">
        <f t="shared" si="58"/>
        <v>16.86</v>
      </c>
      <c r="BE284">
        <f t="shared" si="59"/>
        <v>21.576584999999998</v>
      </c>
    </row>
    <row r="285" spans="6:101" x14ac:dyDescent="0.25">
      <c r="F285" s="9"/>
      <c r="G285" s="21">
        <v>0.35522500000000001</v>
      </c>
      <c r="H285" s="21">
        <v>7.7818399999999999</v>
      </c>
      <c r="I285" s="21">
        <v>-1.5191700000000001E-2</v>
      </c>
      <c r="J285" s="21">
        <v>275</v>
      </c>
      <c r="K285" s="21">
        <v>0.35455300000000001</v>
      </c>
      <c r="L285">
        <f t="shared" si="48"/>
        <v>18.755185185185184</v>
      </c>
      <c r="M285">
        <f t="shared" si="49"/>
        <v>6.6623106574074074</v>
      </c>
      <c r="N285" s="9"/>
      <c r="O285" s="21">
        <v>1.2847900000000001</v>
      </c>
      <c r="P285" s="21">
        <v>11.4802</v>
      </c>
      <c r="Q285" s="21">
        <v>-1.3736E-2</v>
      </c>
      <c r="R285" s="21">
        <v>275</v>
      </c>
      <c r="S285" s="21">
        <v>1.2841800000000001</v>
      </c>
      <c r="T285">
        <f t="shared" si="50"/>
        <v>16.958024691358023</v>
      </c>
      <c r="U285">
        <f t="shared" si="51"/>
        <v>21.787500543209877</v>
      </c>
      <c r="X285" s="9"/>
      <c r="Y285" s="21">
        <v>0.35522500000000001</v>
      </c>
      <c r="Z285" s="21">
        <v>16.885100000000001</v>
      </c>
      <c r="AA285" s="21">
        <v>-1.4898700000000001E-2</v>
      </c>
      <c r="AB285" s="21">
        <v>275</v>
      </c>
      <c r="AC285" s="21">
        <v>0.35458400000000001</v>
      </c>
      <c r="AD285">
        <f t="shared" si="52"/>
        <v>18.393456790123455</v>
      </c>
      <c r="AE285">
        <f t="shared" si="53"/>
        <v>6.5338156882716047</v>
      </c>
      <c r="AF285" s="9"/>
      <c r="AG285" s="21">
        <v>1.2847900000000001</v>
      </c>
      <c r="AH285" s="21">
        <v>20.583400000000001</v>
      </c>
      <c r="AI285" s="21">
        <v>-1.36963E-2</v>
      </c>
      <c r="AJ285" s="21">
        <v>275</v>
      </c>
      <c r="AK285" s="21">
        <v>1.2841800000000001</v>
      </c>
      <c r="AL285">
        <f t="shared" si="54"/>
        <v>16.90901234567901</v>
      </c>
      <c r="AM285">
        <f t="shared" si="55"/>
        <v>21.724529971604937</v>
      </c>
      <c r="AP285" s="9"/>
      <c r="AQ285" s="21">
        <v>0.35522500000000001</v>
      </c>
      <c r="AR285" s="21">
        <v>25.9803</v>
      </c>
      <c r="AS285" s="21">
        <v>-1.48804E-2</v>
      </c>
      <c r="AT285" s="21">
        <v>275</v>
      </c>
      <c r="AU285" s="21">
        <v>0.35461399999999998</v>
      </c>
      <c r="AV285">
        <f t="shared" si="56"/>
        <v>18.370864197530864</v>
      </c>
      <c r="AW285">
        <f t="shared" si="57"/>
        <v>6.5257902345679017</v>
      </c>
      <c r="AX285" s="9"/>
      <c r="AY285" s="21">
        <v>1.2847900000000001</v>
      </c>
      <c r="AZ285" s="21">
        <v>29.678599999999999</v>
      </c>
      <c r="BA285" s="21">
        <v>-1.36475E-2</v>
      </c>
      <c r="BB285" s="21">
        <v>275</v>
      </c>
      <c r="BC285" s="21">
        <v>1.2841800000000001</v>
      </c>
      <c r="BD285">
        <f t="shared" si="58"/>
        <v>16.848765432098766</v>
      </c>
      <c r="BE285">
        <f t="shared" si="59"/>
        <v>21.647125339506175</v>
      </c>
    </row>
    <row r="286" spans="6:101" x14ac:dyDescent="0.25">
      <c r="F286" s="9"/>
      <c r="G286" s="21">
        <v>0.35018899999999997</v>
      </c>
      <c r="H286" s="21">
        <v>7.7919200000000002</v>
      </c>
      <c r="I286" s="21">
        <v>-1.5206900000000001E-2</v>
      </c>
      <c r="J286" s="21">
        <v>276</v>
      </c>
      <c r="K286" s="21">
        <v>0.349609</v>
      </c>
      <c r="L286">
        <f t="shared" si="48"/>
        <v>18.773950617283951</v>
      </c>
      <c r="M286">
        <f t="shared" si="49"/>
        <v>6.5744309927160494</v>
      </c>
      <c r="N286" s="9"/>
      <c r="O286" s="21">
        <v>1.28983</v>
      </c>
      <c r="P286" s="21">
        <v>11.4903</v>
      </c>
      <c r="Q286" s="21">
        <v>-1.3720700000000001E-2</v>
      </c>
      <c r="R286" s="21">
        <v>276</v>
      </c>
      <c r="S286" s="21">
        <v>1.2890600000000001</v>
      </c>
      <c r="T286">
        <f t="shared" si="50"/>
        <v>16.939135802469135</v>
      </c>
      <c r="U286">
        <f t="shared" si="51"/>
        <v>21.848605532098766</v>
      </c>
      <c r="X286" s="9"/>
      <c r="Y286" s="21">
        <v>0.35018899999999997</v>
      </c>
      <c r="Z286" s="21">
        <v>16.895099999999999</v>
      </c>
      <c r="AA286" s="21">
        <v>-1.4919999999999999E-2</v>
      </c>
      <c r="AB286" s="21">
        <v>276</v>
      </c>
      <c r="AC286" s="21">
        <v>0.34957899999999997</v>
      </c>
      <c r="AD286">
        <f t="shared" si="52"/>
        <v>18.41975308641975</v>
      </c>
      <c r="AE286">
        <f t="shared" si="53"/>
        <v>6.4503949135802454</v>
      </c>
      <c r="AF286" s="9"/>
      <c r="AG286" s="21">
        <v>1.28983</v>
      </c>
      <c r="AH286" s="21">
        <v>20.593499999999999</v>
      </c>
      <c r="AI286" s="21">
        <v>-1.3671900000000001E-2</v>
      </c>
      <c r="AJ286" s="21">
        <v>276</v>
      </c>
      <c r="AK286" s="21">
        <v>1.2884500000000001</v>
      </c>
      <c r="AL286">
        <f t="shared" si="54"/>
        <v>16.878888888888888</v>
      </c>
      <c r="AM286">
        <f t="shared" si="55"/>
        <v>21.770897255555553</v>
      </c>
      <c r="AP286" s="9"/>
      <c r="AQ286" s="21">
        <v>0.35018899999999997</v>
      </c>
      <c r="AR286" s="21">
        <v>25.990400000000001</v>
      </c>
      <c r="AS286" s="21">
        <v>-1.48865E-2</v>
      </c>
      <c r="AT286" s="21">
        <v>276</v>
      </c>
      <c r="AU286" s="21">
        <v>0.34954800000000003</v>
      </c>
      <c r="AV286">
        <f t="shared" si="56"/>
        <v>18.378395061728394</v>
      </c>
      <c r="AW286">
        <f t="shared" si="57"/>
        <v>6.4359117882716044</v>
      </c>
      <c r="AX286" s="9"/>
      <c r="AY286" s="21">
        <v>1.28983</v>
      </c>
      <c r="AZ286" s="21">
        <v>29.688700000000001</v>
      </c>
      <c r="BA286" s="21">
        <v>-1.36353E-2</v>
      </c>
      <c r="BB286" s="21">
        <v>276</v>
      </c>
      <c r="BC286" s="21">
        <v>1.2887599999999999</v>
      </c>
      <c r="BD286">
        <f t="shared" si="58"/>
        <v>16.833703703703701</v>
      </c>
      <c r="BE286">
        <f t="shared" si="59"/>
        <v>21.712616048148146</v>
      </c>
    </row>
    <row r="287" spans="6:101" x14ac:dyDescent="0.25">
      <c r="F287" s="9"/>
      <c r="G287" s="21">
        <v>0.34515400000000002</v>
      </c>
      <c r="H287" s="21">
        <v>7.80199</v>
      </c>
      <c r="I287" s="21">
        <v>-1.5213000000000001E-2</v>
      </c>
      <c r="J287" s="21">
        <v>277</v>
      </c>
      <c r="K287" s="21">
        <v>0.34448200000000001</v>
      </c>
      <c r="L287">
        <f t="shared" si="48"/>
        <v>18.781481481481482</v>
      </c>
      <c r="M287">
        <f t="shared" si="49"/>
        <v>6.4825034592592594</v>
      </c>
      <c r="N287" s="9"/>
      <c r="O287" s="21">
        <v>1.2948599999999999</v>
      </c>
      <c r="P287" s="21">
        <v>11.500299999999999</v>
      </c>
      <c r="Q287" s="21">
        <v>-1.37024E-2</v>
      </c>
      <c r="R287" s="21">
        <v>277</v>
      </c>
      <c r="S287" s="21">
        <v>1.2945599999999999</v>
      </c>
      <c r="T287">
        <f t="shared" si="50"/>
        <v>16.916543209876544</v>
      </c>
      <c r="U287">
        <f t="shared" si="51"/>
        <v>21.90455514074074</v>
      </c>
      <c r="X287" s="9"/>
      <c r="Y287" s="21">
        <v>0.34515400000000002</v>
      </c>
      <c r="Z287" s="21">
        <v>16.905200000000001</v>
      </c>
      <c r="AA287" s="21">
        <v>-1.49353E-2</v>
      </c>
      <c r="AB287" s="21">
        <v>277</v>
      </c>
      <c r="AC287" s="21">
        <v>0.34451300000000001</v>
      </c>
      <c r="AD287">
        <f t="shared" si="52"/>
        <v>18.438641975308641</v>
      </c>
      <c r="AE287">
        <f t="shared" si="53"/>
        <v>6.3641710323456788</v>
      </c>
      <c r="AF287" s="9"/>
      <c r="AG287" s="21">
        <v>1.2948599999999999</v>
      </c>
      <c r="AH287" s="21">
        <v>20.6035</v>
      </c>
      <c r="AI287" s="21">
        <v>-1.3650499999999999E-2</v>
      </c>
      <c r="AJ287" s="21">
        <v>277</v>
      </c>
      <c r="AK287" s="21">
        <v>1.2942499999999999</v>
      </c>
      <c r="AL287">
        <f t="shared" si="54"/>
        <v>16.852469135802469</v>
      </c>
      <c r="AM287">
        <f t="shared" si="55"/>
        <v>21.821588185185185</v>
      </c>
      <c r="AP287" s="9"/>
      <c r="AQ287" s="21">
        <v>0.34515400000000002</v>
      </c>
      <c r="AR287" s="21">
        <v>26.000399999999999</v>
      </c>
      <c r="AS287" s="21">
        <v>-1.48895E-2</v>
      </c>
      <c r="AT287" s="21">
        <v>277</v>
      </c>
      <c r="AU287" s="21">
        <v>0.34451300000000001</v>
      </c>
      <c r="AV287">
        <f t="shared" si="56"/>
        <v>18.382098765432101</v>
      </c>
      <c r="AW287">
        <f t="shared" si="57"/>
        <v>6.3446549172839513</v>
      </c>
      <c r="AX287" s="9"/>
      <c r="AY287" s="21">
        <v>1.2948599999999999</v>
      </c>
      <c r="AZ287" s="21">
        <v>29.698799999999999</v>
      </c>
      <c r="BA287" s="21">
        <v>-1.362E-2</v>
      </c>
      <c r="BB287" s="21">
        <v>277</v>
      </c>
      <c r="BC287" s="21">
        <v>1.2942499999999999</v>
      </c>
      <c r="BD287">
        <f t="shared" si="58"/>
        <v>16.814814814814813</v>
      </c>
      <c r="BE287">
        <f t="shared" si="59"/>
        <v>21.772831111111106</v>
      </c>
    </row>
    <row r="288" spans="6:101" x14ac:dyDescent="0.25">
      <c r="F288" s="9"/>
      <c r="G288" s="21">
        <v>0.34011799999999998</v>
      </c>
      <c r="H288" s="21">
        <v>7.8120599999999998</v>
      </c>
      <c r="I288" s="21">
        <v>-1.521E-2</v>
      </c>
      <c r="J288" s="21">
        <v>278</v>
      </c>
      <c r="K288" s="21">
        <v>0.33932499999999999</v>
      </c>
      <c r="L288">
        <f t="shared" si="48"/>
        <v>18.777777777777775</v>
      </c>
      <c r="M288">
        <f t="shared" si="49"/>
        <v>6.3866602222222211</v>
      </c>
      <c r="N288" s="9"/>
      <c r="O288" s="21">
        <v>1.2999000000000001</v>
      </c>
      <c r="P288" s="21">
        <v>11.510400000000001</v>
      </c>
      <c r="Q288" s="21">
        <v>-1.3681E-2</v>
      </c>
      <c r="R288" s="21">
        <v>278</v>
      </c>
      <c r="S288" s="21">
        <v>1.2997399999999999</v>
      </c>
      <c r="T288">
        <f t="shared" si="50"/>
        <v>16.890123456790121</v>
      </c>
      <c r="U288">
        <f t="shared" si="51"/>
        <v>21.955471481481478</v>
      </c>
      <c r="X288" s="9"/>
      <c r="Y288" s="21">
        <v>0.34011799999999998</v>
      </c>
      <c r="Z288" s="21">
        <v>16.915299999999998</v>
      </c>
      <c r="AA288" s="21">
        <v>-1.49506E-2</v>
      </c>
      <c r="AB288" s="21">
        <v>278</v>
      </c>
      <c r="AC288" s="21">
        <v>0.339478</v>
      </c>
      <c r="AD288">
        <f t="shared" si="52"/>
        <v>18.45753086419753</v>
      </c>
      <c r="AE288">
        <f t="shared" si="53"/>
        <v>6.2777384824691351</v>
      </c>
      <c r="AF288" s="9"/>
      <c r="AG288" s="21">
        <v>1.2999000000000001</v>
      </c>
      <c r="AH288" s="21">
        <v>20.613600000000002</v>
      </c>
      <c r="AI288" s="21">
        <v>-1.3632200000000001E-2</v>
      </c>
      <c r="AJ288" s="21">
        <v>278</v>
      </c>
      <c r="AK288" s="21">
        <v>1.2991299999999999</v>
      </c>
      <c r="AL288">
        <f t="shared" si="54"/>
        <v>16.829876543209878</v>
      </c>
      <c r="AM288">
        <f t="shared" si="55"/>
        <v>21.877156518518522</v>
      </c>
      <c r="AP288" s="9"/>
      <c r="AQ288" s="21">
        <v>0.34011799999999998</v>
      </c>
      <c r="AR288" s="21">
        <v>26.0105</v>
      </c>
      <c r="AS288" s="21">
        <v>-1.48804E-2</v>
      </c>
      <c r="AT288" s="21">
        <v>278</v>
      </c>
      <c r="AU288" s="21">
        <v>0.33938600000000002</v>
      </c>
      <c r="AV288">
        <f t="shared" si="56"/>
        <v>18.370864197530864</v>
      </c>
      <c r="AW288">
        <f t="shared" si="57"/>
        <v>6.2482615891358018</v>
      </c>
      <c r="AX288" s="9"/>
      <c r="AY288" s="21">
        <v>1.2999000000000001</v>
      </c>
      <c r="AZ288" s="21">
        <v>29.7088</v>
      </c>
      <c r="BA288" s="21">
        <v>-1.36017E-2</v>
      </c>
      <c r="BB288" s="21">
        <v>278</v>
      </c>
      <c r="BC288" s="21">
        <v>1.2997399999999999</v>
      </c>
      <c r="BD288">
        <f t="shared" si="58"/>
        <v>16.792222222222222</v>
      </c>
      <c r="BE288">
        <f t="shared" si="59"/>
        <v>21.828209666666666</v>
      </c>
    </row>
    <row r="289" spans="6:57" x14ac:dyDescent="0.25">
      <c r="F289" s="9"/>
      <c r="G289" s="21">
        <v>0.33508300000000002</v>
      </c>
      <c r="H289" s="21">
        <v>7.8221299999999996</v>
      </c>
      <c r="I289" s="21">
        <v>-1.5219099999999999E-2</v>
      </c>
      <c r="J289" s="21">
        <v>279</v>
      </c>
      <c r="K289" s="21">
        <v>0.33447300000000002</v>
      </c>
      <c r="L289">
        <f t="shared" si="48"/>
        <v>18.789012345679012</v>
      </c>
      <c r="M289">
        <f t="shared" si="49"/>
        <v>6.2958786238271607</v>
      </c>
      <c r="N289" s="9"/>
      <c r="O289" s="21">
        <v>1.3049299999999999</v>
      </c>
      <c r="P289" s="21">
        <v>11.5205</v>
      </c>
      <c r="Q289" s="21">
        <v>-1.36566E-2</v>
      </c>
      <c r="R289" s="21">
        <v>279</v>
      </c>
      <c r="S289" s="21">
        <v>1.30402</v>
      </c>
      <c r="T289">
        <f t="shared" si="50"/>
        <v>16.86</v>
      </c>
      <c r="U289">
        <f t="shared" si="51"/>
        <v>22.001119799999998</v>
      </c>
      <c r="X289" s="9"/>
      <c r="Y289" s="21">
        <v>0.33508300000000002</v>
      </c>
      <c r="Z289" s="21">
        <v>16.9253</v>
      </c>
      <c r="AA289" s="21">
        <v>-1.49567E-2</v>
      </c>
      <c r="AB289" s="21">
        <v>279</v>
      </c>
      <c r="AC289" s="21">
        <v>0.33447300000000002</v>
      </c>
      <c r="AD289">
        <f t="shared" si="52"/>
        <v>18.46506172839506</v>
      </c>
      <c r="AE289">
        <f t="shared" si="53"/>
        <v>6.1873282791358024</v>
      </c>
      <c r="AF289" s="9"/>
      <c r="AG289" s="21">
        <v>1.3049299999999999</v>
      </c>
      <c r="AH289" s="21">
        <v>20.623699999999999</v>
      </c>
      <c r="AI289" s="21">
        <v>-1.36139E-2</v>
      </c>
      <c r="AJ289" s="21">
        <v>279</v>
      </c>
      <c r="AK289" s="21">
        <v>1.3043199999999999</v>
      </c>
      <c r="AL289">
        <f t="shared" si="54"/>
        <v>16.807283950617283</v>
      </c>
      <c r="AM289">
        <f t="shared" si="55"/>
        <v>21.932329045679008</v>
      </c>
      <c r="AP289" s="9"/>
      <c r="AQ289" s="21">
        <v>0.33508300000000002</v>
      </c>
      <c r="AR289" s="21">
        <v>26.020600000000002</v>
      </c>
      <c r="AS289" s="21">
        <v>-1.48773E-2</v>
      </c>
      <c r="AT289" s="21">
        <v>279</v>
      </c>
      <c r="AU289" s="21">
        <v>0.33432000000000001</v>
      </c>
      <c r="AV289">
        <f t="shared" si="56"/>
        <v>18.367037037037036</v>
      </c>
      <c r="AW289">
        <f t="shared" si="57"/>
        <v>6.1544818714814813</v>
      </c>
      <c r="AX289" s="9"/>
      <c r="AY289" s="21">
        <v>1.3049299999999999</v>
      </c>
      <c r="AZ289" s="21">
        <v>29.718900000000001</v>
      </c>
      <c r="BA289" s="21">
        <v>-1.3583400000000001E-2</v>
      </c>
      <c r="BB289" s="21">
        <v>279</v>
      </c>
      <c r="BC289" s="21">
        <v>1.30402</v>
      </c>
      <c r="BD289">
        <f t="shared" si="58"/>
        <v>16.76962962962963</v>
      </c>
      <c r="BE289">
        <f t="shared" si="59"/>
        <v>21.883192792592592</v>
      </c>
    </row>
    <row r="290" spans="6:57" x14ac:dyDescent="0.25">
      <c r="F290" s="9"/>
      <c r="G290" s="21">
        <v>0.33004800000000001</v>
      </c>
      <c r="H290" s="21">
        <v>7.8322000000000003</v>
      </c>
      <c r="I290" s="21">
        <v>-1.5240500000000001E-2</v>
      </c>
      <c r="J290" s="21">
        <v>280</v>
      </c>
      <c r="K290" s="21">
        <v>0.32928499999999999</v>
      </c>
      <c r="L290">
        <f t="shared" si="48"/>
        <v>18.815432098765431</v>
      </c>
      <c r="M290">
        <f t="shared" si="49"/>
        <v>6.2099957333333329</v>
      </c>
      <c r="N290" s="9"/>
      <c r="O290" s="21">
        <v>1.3099700000000001</v>
      </c>
      <c r="P290" s="21">
        <v>11.5305</v>
      </c>
      <c r="Q290" s="21">
        <v>-1.36261E-2</v>
      </c>
      <c r="R290" s="21">
        <v>280</v>
      </c>
      <c r="S290" s="21">
        <v>1.3091999999999999</v>
      </c>
      <c r="T290">
        <f t="shared" si="50"/>
        <v>16.822345679012344</v>
      </c>
      <c r="U290">
        <f t="shared" si="51"/>
        <v>22.036768169135801</v>
      </c>
      <c r="X290" s="9"/>
      <c r="Y290" s="21">
        <v>0.33004800000000001</v>
      </c>
      <c r="Z290" s="21">
        <v>16.935400000000001</v>
      </c>
      <c r="AA290" s="21">
        <v>-1.4975E-2</v>
      </c>
      <c r="AB290" s="21">
        <v>280</v>
      </c>
      <c r="AC290" s="21">
        <v>0.32940700000000001</v>
      </c>
      <c r="AD290">
        <f t="shared" si="52"/>
        <v>18.487654320987652</v>
      </c>
      <c r="AE290">
        <f t="shared" si="53"/>
        <v>6.1018133333333324</v>
      </c>
      <c r="AF290" s="9"/>
      <c r="AG290" s="21">
        <v>1.3099700000000001</v>
      </c>
      <c r="AH290" s="21">
        <v>20.633800000000001</v>
      </c>
      <c r="AI290" s="21">
        <v>-1.35925E-2</v>
      </c>
      <c r="AJ290" s="21">
        <v>280</v>
      </c>
      <c r="AK290" s="21">
        <v>1.3091999999999999</v>
      </c>
      <c r="AL290">
        <f t="shared" si="54"/>
        <v>16.780864197530864</v>
      </c>
      <c r="AM290">
        <f t="shared" si="55"/>
        <v>21.982428672839507</v>
      </c>
      <c r="AP290" s="9"/>
      <c r="AQ290" s="21">
        <v>0.33004800000000001</v>
      </c>
      <c r="AR290" s="21">
        <v>26.0306</v>
      </c>
      <c r="AS290" s="21">
        <v>-1.48804E-2</v>
      </c>
      <c r="AT290" s="21">
        <v>280</v>
      </c>
      <c r="AU290" s="21">
        <v>0.32940700000000001</v>
      </c>
      <c r="AV290">
        <f t="shared" si="56"/>
        <v>18.370864197530864</v>
      </c>
      <c r="AW290">
        <f t="shared" si="57"/>
        <v>6.0632669866666671</v>
      </c>
      <c r="AX290" s="9"/>
      <c r="AY290" s="21">
        <v>1.3099700000000001</v>
      </c>
      <c r="AZ290" s="21">
        <v>29.728999999999999</v>
      </c>
      <c r="BA290" s="21">
        <v>-1.35651E-2</v>
      </c>
      <c r="BB290" s="21">
        <v>280</v>
      </c>
      <c r="BC290" s="21">
        <v>1.30951</v>
      </c>
      <c r="BD290">
        <f t="shared" si="58"/>
        <v>16.747037037037035</v>
      </c>
      <c r="BE290">
        <f t="shared" si="59"/>
        <v>21.938116107407406</v>
      </c>
    </row>
    <row r="291" spans="6:57" x14ac:dyDescent="0.25">
      <c r="F291" s="9"/>
      <c r="G291" s="21">
        <v>0.32501200000000002</v>
      </c>
      <c r="H291" s="21">
        <v>7.8422700000000001</v>
      </c>
      <c r="I291" s="21">
        <v>-1.52435E-2</v>
      </c>
      <c r="J291" s="21">
        <v>281</v>
      </c>
      <c r="K291" s="21">
        <v>0.32437100000000002</v>
      </c>
      <c r="L291">
        <f t="shared" si="48"/>
        <v>18.819135802469134</v>
      </c>
      <c r="M291">
        <f t="shared" si="49"/>
        <v>6.1164449654320983</v>
      </c>
      <c r="N291" s="9"/>
      <c r="O291" s="21">
        <v>1.3149999999999999</v>
      </c>
      <c r="P291" s="21">
        <v>11.5406</v>
      </c>
      <c r="Q291" s="21">
        <v>-1.3598600000000001E-2</v>
      </c>
      <c r="R291" s="21">
        <v>281</v>
      </c>
      <c r="S291" s="21">
        <v>1.3143899999999999</v>
      </c>
      <c r="T291">
        <f t="shared" si="50"/>
        <v>16.788395061728394</v>
      </c>
      <c r="U291">
        <f t="shared" si="51"/>
        <v>22.076739506172839</v>
      </c>
      <c r="X291" s="9"/>
      <c r="Y291" s="21">
        <v>0.32501200000000002</v>
      </c>
      <c r="Z291" s="21">
        <v>16.945499999999999</v>
      </c>
      <c r="AA291" s="21">
        <v>-1.4981100000000001E-2</v>
      </c>
      <c r="AB291" s="21">
        <v>281</v>
      </c>
      <c r="AC291" s="21">
        <v>0.324432</v>
      </c>
      <c r="AD291">
        <f t="shared" si="52"/>
        <v>18.495185185185186</v>
      </c>
      <c r="AE291">
        <f t="shared" si="53"/>
        <v>6.011157127407408</v>
      </c>
      <c r="AF291" s="9"/>
      <c r="AG291" s="21">
        <v>1.3149999999999999</v>
      </c>
      <c r="AH291" s="21">
        <v>20.643799999999999</v>
      </c>
      <c r="AI291" s="21">
        <v>-1.3561999999999999E-2</v>
      </c>
      <c r="AJ291" s="21">
        <v>281</v>
      </c>
      <c r="AK291" s="21">
        <v>1.31409</v>
      </c>
      <c r="AL291">
        <f t="shared" si="54"/>
        <v>16.743209876543208</v>
      </c>
      <c r="AM291">
        <f t="shared" si="55"/>
        <v>22.017320987654319</v>
      </c>
      <c r="AP291" s="9"/>
      <c r="AQ291" s="21">
        <v>0.32501200000000002</v>
      </c>
      <c r="AR291" s="21">
        <v>26.040700000000001</v>
      </c>
      <c r="AS291" s="21">
        <v>-1.4892600000000001E-2</v>
      </c>
      <c r="AT291" s="21">
        <v>281</v>
      </c>
      <c r="AU291" s="21">
        <v>0.324432</v>
      </c>
      <c r="AV291">
        <f t="shared" si="56"/>
        <v>18.385925925925928</v>
      </c>
      <c r="AW291">
        <f t="shared" si="57"/>
        <v>5.9756465570370381</v>
      </c>
      <c r="AX291" s="9"/>
      <c r="AY291" s="21">
        <v>1.3149999999999999</v>
      </c>
      <c r="AZ291" s="21">
        <v>29.739100000000001</v>
      </c>
      <c r="BA291" s="21">
        <v>-1.35406E-2</v>
      </c>
      <c r="BB291" s="21">
        <v>281</v>
      </c>
      <c r="BC291" s="21">
        <v>1.3143899999999999</v>
      </c>
      <c r="BD291">
        <f t="shared" si="58"/>
        <v>16.716790123456789</v>
      </c>
      <c r="BE291">
        <f t="shared" si="59"/>
        <v>21.982579012345678</v>
      </c>
    </row>
    <row r="292" spans="6:57" x14ac:dyDescent="0.25">
      <c r="F292" s="9"/>
      <c r="G292" s="21">
        <v>0.31997700000000001</v>
      </c>
      <c r="H292" s="21">
        <v>7.8523399999999999</v>
      </c>
      <c r="I292" s="21">
        <v>-1.5261800000000001E-2</v>
      </c>
      <c r="J292" s="21">
        <v>282</v>
      </c>
      <c r="K292" s="21">
        <v>0.31945800000000002</v>
      </c>
      <c r="L292">
        <f t="shared" si="48"/>
        <v>18.841728395061729</v>
      </c>
      <c r="M292">
        <f t="shared" si="49"/>
        <v>6.0289197266666674</v>
      </c>
      <c r="N292" s="9"/>
      <c r="O292" s="21">
        <v>1.3200400000000001</v>
      </c>
      <c r="P292" s="21">
        <v>11.550700000000001</v>
      </c>
      <c r="Q292" s="21">
        <v>-1.3583400000000001E-2</v>
      </c>
      <c r="R292" s="21">
        <v>282</v>
      </c>
      <c r="S292" s="21">
        <v>1.3192699999999999</v>
      </c>
      <c r="T292">
        <f t="shared" si="50"/>
        <v>16.76962962962963</v>
      </c>
      <c r="U292">
        <f t="shared" si="51"/>
        <v>22.136581896296299</v>
      </c>
      <c r="X292" s="9"/>
      <c r="Y292" s="21">
        <v>0.31997700000000001</v>
      </c>
      <c r="Z292" s="21">
        <v>16.9556</v>
      </c>
      <c r="AA292" s="21">
        <v>-1.49902E-2</v>
      </c>
      <c r="AB292" s="21">
        <v>282</v>
      </c>
      <c r="AC292" s="21">
        <v>0.31936599999999998</v>
      </c>
      <c r="AD292">
        <f t="shared" si="52"/>
        <v>18.506419753086419</v>
      </c>
      <c r="AE292">
        <f t="shared" si="53"/>
        <v>5.9216286733333332</v>
      </c>
      <c r="AF292" s="9"/>
      <c r="AG292" s="21">
        <v>1.3200400000000001</v>
      </c>
      <c r="AH292" s="21">
        <v>20.6539</v>
      </c>
      <c r="AI292" s="21">
        <v>-1.35345E-2</v>
      </c>
      <c r="AJ292" s="21">
        <v>282</v>
      </c>
      <c r="AK292" s="21">
        <v>1.3192699999999999</v>
      </c>
      <c r="AL292">
        <f t="shared" si="54"/>
        <v>16.709259259259255</v>
      </c>
      <c r="AM292">
        <f t="shared" si="55"/>
        <v>22.056890592592588</v>
      </c>
      <c r="AP292" s="9"/>
      <c r="AQ292" s="21">
        <v>0.31997700000000001</v>
      </c>
      <c r="AR292" s="21">
        <v>26.050799999999999</v>
      </c>
      <c r="AS292" s="21">
        <v>-1.4917E-2</v>
      </c>
      <c r="AT292" s="21">
        <v>282</v>
      </c>
      <c r="AU292" s="21">
        <v>0.31945800000000002</v>
      </c>
      <c r="AV292">
        <f t="shared" si="56"/>
        <v>18.416049382716047</v>
      </c>
      <c r="AW292">
        <f t="shared" si="57"/>
        <v>5.8927122333333326</v>
      </c>
      <c r="AX292" s="9"/>
      <c r="AY292" s="21">
        <v>1.3200400000000001</v>
      </c>
      <c r="AZ292" s="21">
        <v>29.749099999999999</v>
      </c>
      <c r="BA292" s="21">
        <v>-1.35193E-2</v>
      </c>
      <c r="BB292" s="21">
        <v>282</v>
      </c>
      <c r="BC292" s="21">
        <v>1.3186599999999999</v>
      </c>
      <c r="BD292">
        <f t="shared" si="58"/>
        <v>16.690493827160495</v>
      </c>
      <c r="BE292">
        <f t="shared" si="59"/>
        <v>22.03211947160494</v>
      </c>
    </row>
    <row r="293" spans="6:57" x14ac:dyDescent="0.25">
      <c r="F293" s="9"/>
      <c r="G293" s="21">
        <v>0.31494100000000003</v>
      </c>
      <c r="H293" s="21">
        <v>7.8624099999999997</v>
      </c>
      <c r="I293" s="21">
        <v>-1.52832E-2</v>
      </c>
      <c r="J293" s="21">
        <v>283</v>
      </c>
      <c r="K293" s="21">
        <v>0.31436199999999997</v>
      </c>
      <c r="L293">
        <f t="shared" si="48"/>
        <v>18.868148148148148</v>
      </c>
      <c r="M293">
        <f t="shared" si="49"/>
        <v>5.9423534459259262</v>
      </c>
      <c r="N293" s="9"/>
      <c r="O293" s="21">
        <v>1.32507</v>
      </c>
      <c r="P293" s="21">
        <v>11.560700000000001</v>
      </c>
      <c r="Q293" s="21">
        <v>-1.35773E-2</v>
      </c>
      <c r="R293" s="21">
        <v>283</v>
      </c>
      <c r="S293" s="21">
        <v>1.32416</v>
      </c>
      <c r="T293">
        <f t="shared" si="50"/>
        <v>16.7620987654321</v>
      </c>
      <c r="U293">
        <f t="shared" si="51"/>
        <v>22.210954211111112</v>
      </c>
      <c r="X293" s="9"/>
      <c r="Y293" s="21">
        <v>0.31494100000000003</v>
      </c>
      <c r="Z293" s="21">
        <v>16.965599999999998</v>
      </c>
      <c r="AA293" s="21">
        <v>-1.49994E-2</v>
      </c>
      <c r="AB293" s="21">
        <v>283</v>
      </c>
      <c r="AC293" s="21">
        <v>0.31436199999999997</v>
      </c>
      <c r="AD293">
        <f t="shared" si="52"/>
        <v>18.517777777777777</v>
      </c>
      <c r="AE293">
        <f t="shared" si="53"/>
        <v>5.8320074511111111</v>
      </c>
      <c r="AF293" s="9"/>
      <c r="AG293" s="21">
        <v>1.32507</v>
      </c>
      <c r="AH293" s="21">
        <v>20.664000000000001</v>
      </c>
      <c r="AI293" s="21">
        <v>-1.35193E-2</v>
      </c>
      <c r="AJ293" s="21">
        <v>283</v>
      </c>
      <c r="AK293" s="21">
        <v>1.32416</v>
      </c>
      <c r="AL293">
        <f t="shared" si="54"/>
        <v>16.690493827160495</v>
      </c>
      <c r="AM293">
        <f t="shared" si="55"/>
        <v>22.116072655555556</v>
      </c>
      <c r="AP293" s="9"/>
      <c r="AQ293" s="21">
        <v>0.31494100000000003</v>
      </c>
      <c r="AR293" s="21">
        <v>26.0609</v>
      </c>
      <c r="AS293" s="21">
        <v>-1.4926099999999999E-2</v>
      </c>
      <c r="AT293" s="21">
        <v>283</v>
      </c>
      <c r="AU293" s="21">
        <v>0.31433100000000003</v>
      </c>
      <c r="AV293">
        <f t="shared" si="56"/>
        <v>18.427283950617284</v>
      </c>
      <c r="AW293">
        <f t="shared" si="57"/>
        <v>5.8035072346913585</v>
      </c>
      <c r="AX293" s="9"/>
      <c r="AY293" s="21">
        <v>1.32507</v>
      </c>
      <c r="AZ293" s="21">
        <v>29.7592</v>
      </c>
      <c r="BA293" s="21">
        <v>-1.3494900000000001E-2</v>
      </c>
      <c r="BB293" s="21">
        <v>283</v>
      </c>
      <c r="BC293" s="21">
        <v>1.32477</v>
      </c>
      <c r="BD293">
        <f t="shared" si="58"/>
        <v>16.660370370370369</v>
      </c>
      <c r="BE293">
        <f t="shared" si="59"/>
        <v>22.076156966666666</v>
      </c>
    </row>
    <row r="294" spans="6:57" x14ac:dyDescent="0.25">
      <c r="F294" s="9"/>
      <c r="G294" s="21">
        <v>0.30990600000000001</v>
      </c>
      <c r="H294" s="21">
        <v>7.8724800000000004</v>
      </c>
      <c r="I294" s="21">
        <v>-1.5292399999999999E-2</v>
      </c>
      <c r="J294" s="21">
        <v>284</v>
      </c>
      <c r="K294" s="21">
        <v>0.30929600000000002</v>
      </c>
      <c r="L294">
        <f t="shared" si="48"/>
        <v>18.879506172839505</v>
      </c>
      <c r="M294">
        <f t="shared" si="49"/>
        <v>5.8508722400000002</v>
      </c>
      <c r="N294" s="9"/>
      <c r="O294" s="21">
        <v>1.3301099999999999</v>
      </c>
      <c r="P294" s="21">
        <v>11.5708</v>
      </c>
      <c r="Q294" s="21">
        <v>-1.3559E-2</v>
      </c>
      <c r="R294" s="21">
        <v>284</v>
      </c>
      <c r="S294" s="21">
        <v>1.32935</v>
      </c>
      <c r="T294">
        <f t="shared" si="50"/>
        <v>16.739506172839505</v>
      </c>
      <c r="U294">
        <f t="shared" si="51"/>
        <v>22.265384555555553</v>
      </c>
      <c r="X294" s="9"/>
      <c r="Y294" s="21">
        <v>0.30990600000000001</v>
      </c>
      <c r="Z294" s="21">
        <v>16.9757</v>
      </c>
      <c r="AA294" s="21">
        <v>-1.5002400000000001E-2</v>
      </c>
      <c r="AB294" s="21">
        <v>284</v>
      </c>
      <c r="AC294" s="21">
        <v>0.30923499999999998</v>
      </c>
      <c r="AD294">
        <f t="shared" si="52"/>
        <v>18.521481481481484</v>
      </c>
      <c r="AE294">
        <f t="shared" si="53"/>
        <v>5.7399182400000006</v>
      </c>
      <c r="AF294" s="9"/>
      <c r="AG294" s="21">
        <v>1.3301099999999999</v>
      </c>
      <c r="AH294" s="21">
        <v>20.673999999999999</v>
      </c>
      <c r="AI294" s="21">
        <v>-1.34979E-2</v>
      </c>
      <c r="AJ294" s="21">
        <v>284</v>
      </c>
      <c r="AK294" s="21">
        <v>1.32996</v>
      </c>
      <c r="AL294">
        <f t="shared" si="54"/>
        <v>16.664074074074072</v>
      </c>
      <c r="AM294">
        <f t="shared" si="55"/>
        <v>22.165051566666662</v>
      </c>
      <c r="AP294" s="9"/>
      <c r="AQ294" s="21">
        <v>0.30990600000000001</v>
      </c>
      <c r="AR294" s="21">
        <v>26.070900000000002</v>
      </c>
      <c r="AS294" s="21">
        <v>-1.4932300000000001E-2</v>
      </c>
      <c r="AT294" s="21">
        <v>284</v>
      </c>
      <c r="AU294" s="21">
        <v>0.30929600000000002</v>
      </c>
      <c r="AV294">
        <f t="shared" si="56"/>
        <v>18.434938271604938</v>
      </c>
      <c r="AW294">
        <f t="shared" si="57"/>
        <v>5.7130979800000006</v>
      </c>
      <c r="AX294" s="9"/>
      <c r="AY294" s="21">
        <v>1.3301099999999999</v>
      </c>
      <c r="AZ294" s="21">
        <v>29.769300000000001</v>
      </c>
      <c r="BA294" s="21">
        <v>-1.34644E-2</v>
      </c>
      <c r="BB294" s="21">
        <v>284</v>
      </c>
      <c r="BC294" s="21">
        <v>1.32904</v>
      </c>
      <c r="BD294">
        <f t="shared" si="58"/>
        <v>16.622716049382717</v>
      </c>
      <c r="BE294">
        <f t="shared" si="59"/>
        <v>22.110040844444445</v>
      </c>
    </row>
    <row r="295" spans="6:57" x14ac:dyDescent="0.25">
      <c r="F295" s="9"/>
      <c r="G295" s="21">
        <v>0.304871</v>
      </c>
      <c r="H295" s="21">
        <v>7.8825500000000002</v>
      </c>
      <c r="I295" s="21">
        <v>-1.5307599999999999E-2</v>
      </c>
      <c r="J295" s="21">
        <v>285</v>
      </c>
      <c r="K295" s="21">
        <v>0.30429099999999998</v>
      </c>
      <c r="L295">
        <f t="shared" si="48"/>
        <v>18.89827160493827</v>
      </c>
      <c r="M295">
        <f t="shared" si="49"/>
        <v>5.7615349624691357</v>
      </c>
      <c r="N295" s="9"/>
      <c r="O295" s="21">
        <v>1.33514</v>
      </c>
      <c r="P295" s="21">
        <v>11.5809</v>
      </c>
      <c r="Q295" s="21">
        <v>-1.35406E-2</v>
      </c>
      <c r="R295" s="21">
        <v>285</v>
      </c>
      <c r="S295" s="21">
        <v>1.33423</v>
      </c>
      <c r="T295">
        <f t="shared" si="50"/>
        <v>16.716790123456789</v>
      </c>
      <c r="U295">
        <f t="shared" si="51"/>
        <v>22.319255165432097</v>
      </c>
      <c r="X295" s="9"/>
      <c r="Y295" s="21">
        <v>0.304871</v>
      </c>
      <c r="Z295" s="21">
        <v>16.985800000000001</v>
      </c>
      <c r="AA295" s="21">
        <v>-1.5014599999999999E-2</v>
      </c>
      <c r="AB295" s="21">
        <v>285</v>
      </c>
      <c r="AC295" s="21">
        <v>0.304199</v>
      </c>
      <c r="AD295">
        <f t="shared" si="52"/>
        <v>18.536543209876541</v>
      </c>
      <c r="AE295">
        <f t="shared" si="53"/>
        <v>5.6512544649382708</v>
      </c>
      <c r="AF295" s="9"/>
      <c r="AG295" s="21">
        <v>1.33514</v>
      </c>
      <c r="AH295" s="21">
        <v>20.684100000000001</v>
      </c>
      <c r="AI295" s="21">
        <v>-1.3473499999999999E-2</v>
      </c>
      <c r="AJ295" s="21">
        <v>285</v>
      </c>
      <c r="AK295" s="21">
        <v>1.33362</v>
      </c>
      <c r="AL295">
        <f t="shared" si="54"/>
        <v>16.633950617283947</v>
      </c>
      <c r="AM295">
        <f t="shared" si="55"/>
        <v>22.208652827160488</v>
      </c>
      <c r="AP295" s="9"/>
      <c r="AQ295" s="21">
        <v>0.304871</v>
      </c>
      <c r="AR295" s="21">
        <v>26.081</v>
      </c>
      <c r="AS295" s="21">
        <v>-1.4944499999999999E-2</v>
      </c>
      <c r="AT295" s="21">
        <v>285</v>
      </c>
      <c r="AU295" s="21">
        <v>0.30423</v>
      </c>
      <c r="AV295">
        <f t="shared" si="56"/>
        <v>18.45</v>
      </c>
      <c r="AW295">
        <f t="shared" si="57"/>
        <v>5.6248699499999999</v>
      </c>
      <c r="AX295" s="9"/>
      <c r="AY295" s="21">
        <v>1.33514</v>
      </c>
      <c r="AZ295" s="21">
        <v>29.779299999999999</v>
      </c>
      <c r="BA295" s="21">
        <v>-1.34369E-2</v>
      </c>
      <c r="BB295" s="21">
        <v>285</v>
      </c>
      <c r="BC295" s="21">
        <v>1.33423</v>
      </c>
      <c r="BD295">
        <f t="shared" si="58"/>
        <v>16.588765432098764</v>
      </c>
      <c r="BE295">
        <f t="shared" si="59"/>
        <v>22.148324279012343</v>
      </c>
    </row>
    <row r="296" spans="6:57" x14ac:dyDescent="0.25">
      <c r="F296" s="9"/>
      <c r="G296" s="21">
        <v>0.29983500000000002</v>
      </c>
      <c r="H296" s="21">
        <v>7.8926299999999996</v>
      </c>
      <c r="I296" s="21">
        <v>-1.53168E-2</v>
      </c>
      <c r="J296" s="21">
        <v>286</v>
      </c>
      <c r="K296" s="21">
        <v>0.29919400000000002</v>
      </c>
      <c r="L296">
        <f t="shared" si="48"/>
        <v>18.909629629629627</v>
      </c>
      <c r="M296">
        <f t="shared" si="49"/>
        <v>5.6697687999999999</v>
      </c>
      <c r="N296" s="9"/>
      <c r="O296" s="21">
        <v>1.3401799999999999</v>
      </c>
      <c r="P296" s="21">
        <v>11.590999999999999</v>
      </c>
      <c r="Q296" s="21">
        <v>-1.3528399999999999E-2</v>
      </c>
      <c r="R296" s="21">
        <v>286</v>
      </c>
      <c r="S296" s="21">
        <v>1.33972</v>
      </c>
      <c r="T296">
        <f t="shared" si="50"/>
        <v>16.701728395061725</v>
      </c>
      <c r="U296">
        <f t="shared" si="51"/>
        <v>22.383322360493821</v>
      </c>
      <c r="X296" s="9"/>
      <c r="Y296" s="21">
        <v>0.29983500000000002</v>
      </c>
      <c r="Z296" s="21">
        <v>16.995799999999999</v>
      </c>
      <c r="AA296" s="21">
        <v>-1.5020800000000001E-2</v>
      </c>
      <c r="AB296" s="21">
        <v>286</v>
      </c>
      <c r="AC296" s="21">
        <v>0.29916399999999999</v>
      </c>
      <c r="AD296">
        <f t="shared" si="52"/>
        <v>18.544197530864199</v>
      </c>
      <c r="AE296">
        <f t="shared" si="53"/>
        <v>5.5601994666666679</v>
      </c>
      <c r="AF296" s="9"/>
      <c r="AG296" s="21">
        <v>1.3401799999999999</v>
      </c>
      <c r="AH296" s="21">
        <v>20.694199999999999</v>
      </c>
      <c r="AI296" s="21">
        <v>-1.34369E-2</v>
      </c>
      <c r="AJ296" s="21">
        <v>286</v>
      </c>
      <c r="AK296" s="21">
        <v>1.3388100000000001</v>
      </c>
      <c r="AL296">
        <f t="shared" si="54"/>
        <v>16.588765432098764</v>
      </c>
      <c r="AM296">
        <f t="shared" si="55"/>
        <v>22.23193165679012</v>
      </c>
      <c r="AP296" s="9"/>
      <c r="AQ296" s="21">
        <v>0.29983500000000002</v>
      </c>
      <c r="AR296" s="21">
        <v>26.091100000000001</v>
      </c>
      <c r="AS296" s="21">
        <v>-1.4941400000000001E-2</v>
      </c>
      <c r="AT296" s="21">
        <v>286</v>
      </c>
      <c r="AU296" s="21">
        <v>0.29925499999999999</v>
      </c>
      <c r="AV296">
        <f t="shared" si="56"/>
        <v>18.446172839506172</v>
      </c>
      <c r="AW296">
        <f t="shared" si="57"/>
        <v>5.5308082333333335</v>
      </c>
      <c r="AX296" s="9"/>
      <c r="AY296" s="21">
        <v>1.3401799999999999</v>
      </c>
      <c r="AZ296" s="21">
        <v>29.789400000000001</v>
      </c>
      <c r="BA296" s="21">
        <v>-1.3418599999999999E-2</v>
      </c>
      <c r="BB296" s="21">
        <v>286</v>
      </c>
      <c r="BC296" s="21">
        <v>1.3394200000000001</v>
      </c>
      <c r="BD296">
        <f t="shared" si="58"/>
        <v>16.566172839506169</v>
      </c>
      <c r="BE296">
        <f t="shared" si="59"/>
        <v>22.201653516049376</v>
      </c>
    </row>
    <row r="297" spans="6:57" x14ac:dyDescent="0.25">
      <c r="F297" s="9"/>
      <c r="G297" s="21">
        <v>0.29480000000000001</v>
      </c>
      <c r="H297" s="21">
        <v>7.9027000000000003</v>
      </c>
      <c r="I297" s="21">
        <v>-1.53259E-2</v>
      </c>
      <c r="J297" s="21">
        <v>287</v>
      </c>
      <c r="K297" s="21">
        <v>0.294128</v>
      </c>
      <c r="L297">
        <f t="shared" si="48"/>
        <v>18.920864197530861</v>
      </c>
      <c r="M297">
        <f t="shared" si="49"/>
        <v>5.577870765432098</v>
      </c>
      <c r="N297" s="9"/>
      <c r="O297" s="21">
        <v>1.34521</v>
      </c>
      <c r="P297" s="21">
        <v>11.601000000000001</v>
      </c>
      <c r="Q297" s="21">
        <v>-1.3507099999999999E-2</v>
      </c>
      <c r="R297" s="21">
        <v>287</v>
      </c>
      <c r="S297" s="21">
        <v>1.34491</v>
      </c>
      <c r="T297">
        <f t="shared" si="50"/>
        <v>16.67543209876543</v>
      </c>
      <c r="U297">
        <f t="shared" si="51"/>
        <v>22.431958013580246</v>
      </c>
      <c r="X297" s="9"/>
      <c r="Y297" s="21">
        <v>0.29480000000000001</v>
      </c>
      <c r="Z297" s="21">
        <v>17.0059</v>
      </c>
      <c r="AA297" s="21">
        <v>-1.5032999999999999E-2</v>
      </c>
      <c r="AB297" s="21">
        <v>287</v>
      </c>
      <c r="AC297" s="21">
        <v>0.29409800000000003</v>
      </c>
      <c r="AD297">
        <f t="shared" si="52"/>
        <v>18.559259259259257</v>
      </c>
      <c r="AE297">
        <f t="shared" si="53"/>
        <v>5.4712696296296288</v>
      </c>
      <c r="AF297" s="9"/>
      <c r="AG297" s="21">
        <v>1.34521</v>
      </c>
      <c r="AH297" s="21">
        <v>20.7043</v>
      </c>
      <c r="AI297" s="21">
        <v>-1.34033E-2</v>
      </c>
      <c r="AJ297" s="21">
        <v>287</v>
      </c>
      <c r="AK297" s="21">
        <v>1.3446</v>
      </c>
      <c r="AL297">
        <f t="shared" si="54"/>
        <v>16.547283950617281</v>
      </c>
      <c r="AM297">
        <f t="shared" si="55"/>
        <v>22.259571843209873</v>
      </c>
      <c r="AP297" s="9"/>
      <c r="AQ297" s="21">
        <v>0.29480000000000001</v>
      </c>
      <c r="AR297" s="21">
        <v>26.101099999999999</v>
      </c>
      <c r="AS297" s="21">
        <v>-1.4932300000000001E-2</v>
      </c>
      <c r="AT297" s="21">
        <v>287</v>
      </c>
      <c r="AU297" s="21">
        <v>0.29425000000000001</v>
      </c>
      <c r="AV297">
        <f t="shared" si="56"/>
        <v>18.434938271604938</v>
      </c>
      <c r="AW297">
        <f t="shared" si="57"/>
        <v>5.4346198024691361</v>
      </c>
      <c r="AX297" s="9"/>
      <c r="AY297" s="21">
        <v>1.34521</v>
      </c>
      <c r="AZ297" s="21">
        <v>29.799499999999998</v>
      </c>
      <c r="BA297" s="21">
        <v>-1.33881E-2</v>
      </c>
      <c r="BB297" s="21">
        <v>287</v>
      </c>
      <c r="BC297" s="21">
        <v>1.34399</v>
      </c>
      <c r="BD297">
        <f t="shared" si="58"/>
        <v>16.528518518518517</v>
      </c>
      <c r="BE297">
        <f t="shared" si="59"/>
        <v>22.234328396296295</v>
      </c>
    </row>
    <row r="298" spans="6:57" x14ac:dyDescent="0.25">
      <c r="F298" s="9"/>
      <c r="G298" s="21">
        <v>0.28976400000000002</v>
      </c>
      <c r="H298" s="21">
        <v>7.9127700000000001</v>
      </c>
      <c r="I298" s="21">
        <v>-1.5335100000000001E-2</v>
      </c>
      <c r="J298" s="21">
        <v>288</v>
      </c>
      <c r="K298" s="21">
        <v>0.289215</v>
      </c>
      <c r="L298">
        <f t="shared" si="48"/>
        <v>18.932222222222222</v>
      </c>
      <c r="M298">
        <f t="shared" si="49"/>
        <v>5.4858764400000002</v>
      </c>
      <c r="N298" s="9"/>
      <c r="O298" s="21">
        <v>1.35025</v>
      </c>
      <c r="P298" s="21">
        <v>11.6111</v>
      </c>
      <c r="Q298" s="21">
        <v>-1.3501000000000001E-2</v>
      </c>
      <c r="R298" s="21">
        <v>288</v>
      </c>
      <c r="S298" s="21">
        <v>1.3494900000000001</v>
      </c>
      <c r="T298">
        <f t="shared" si="50"/>
        <v>16.667901234567903</v>
      </c>
      <c r="U298">
        <f t="shared" si="51"/>
        <v>22.505833641975311</v>
      </c>
      <c r="X298" s="9"/>
      <c r="Y298" s="21">
        <v>0.28976400000000002</v>
      </c>
      <c r="Z298" s="21">
        <v>17.015999999999998</v>
      </c>
      <c r="AA298" s="21">
        <v>-1.50452E-2</v>
      </c>
      <c r="AB298" s="21">
        <v>288</v>
      </c>
      <c r="AC298" s="21">
        <v>0.28900100000000001</v>
      </c>
      <c r="AD298">
        <f t="shared" si="52"/>
        <v>18.574320987654321</v>
      </c>
      <c r="AE298">
        <f t="shared" si="53"/>
        <v>5.3821695466666668</v>
      </c>
      <c r="AF298" s="9"/>
      <c r="AG298" s="21">
        <v>1.35025</v>
      </c>
      <c r="AH298" s="21">
        <v>20.714300000000001</v>
      </c>
      <c r="AI298" s="21">
        <v>-1.3369799999999999E-2</v>
      </c>
      <c r="AJ298" s="21">
        <v>288</v>
      </c>
      <c r="AK298" s="21">
        <v>1.34979</v>
      </c>
      <c r="AL298">
        <f t="shared" si="54"/>
        <v>16.505925925925922</v>
      </c>
      <c r="AM298">
        <f t="shared" si="55"/>
        <v>22.287126481481476</v>
      </c>
      <c r="AP298" s="9"/>
      <c r="AQ298" s="21">
        <v>0.28976400000000002</v>
      </c>
      <c r="AR298" s="21">
        <v>26.1112</v>
      </c>
      <c r="AS298" s="21">
        <v>-1.4932300000000001E-2</v>
      </c>
      <c r="AT298" s="21">
        <v>288</v>
      </c>
      <c r="AU298" s="21">
        <v>0.28897099999999998</v>
      </c>
      <c r="AV298">
        <f t="shared" si="56"/>
        <v>18.434938271604938</v>
      </c>
      <c r="AW298">
        <f t="shared" si="57"/>
        <v>5.3417814533333337</v>
      </c>
      <c r="AX298" s="9"/>
      <c r="AY298" s="21">
        <v>1.35025</v>
      </c>
      <c r="AZ298" s="21">
        <v>29.8095</v>
      </c>
      <c r="BA298" s="21">
        <v>-1.33575E-2</v>
      </c>
      <c r="BB298" s="21">
        <v>288</v>
      </c>
      <c r="BC298" s="21">
        <v>1.34918</v>
      </c>
      <c r="BD298">
        <f t="shared" si="58"/>
        <v>16.49074074074074</v>
      </c>
      <c r="BE298">
        <f t="shared" si="59"/>
        <v>22.266622685185183</v>
      </c>
    </row>
    <row r="299" spans="6:57" x14ac:dyDescent="0.25">
      <c r="F299" s="9"/>
      <c r="G299" s="21">
        <v>0.28472900000000001</v>
      </c>
      <c r="H299" s="21">
        <v>7.9228399999999999</v>
      </c>
      <c r="I299" s="21">
        <v>-1.53381E-2</v>
      </c>
      <c r="J299" s="21">
        <v>289</v>
      </c>
      <c r="K299" s="21">
        <v>0.283966</v>
      </c>
      <c r="L299">
        <f t="shared" si="48"/>
        <v>18.935925925925925</v>
      </c>
      <c r="M299">
        <f t="shared" si="49"/>
        <v>5.3916072529629631</v>
      </c>
      <c r="N299" s="9"/>
      <c r="O299" s="21">
        <v>1.3552900000000001</v>
      </c>
      <c r="P299" s="21">
        <v>11.6212</v>
      </c>
      <c r="Q299" s="21">
        <v>-1.34766E-2</v>
      </c>
      <c r="R299" s="21">
        <v>289</v>
      </c>
      <c r="S299" s="21">
        <v>1.35406</v>
      </c>
      <c r="T299">
        <f t="shared" si="50"/>
        <v>16.637777777777774</v>
      </c>
      <c r="U299">
        <f t="shared" si="51"/>
        <v>22.549013844444442</v>
      </c>
      <c r="X299" s="9"/>
      <c r="Y299" s="21">
        <v>0.28472900000000001</v>
      </c>
      <c r="Z299" s="21">
        <v>17.0261</v>
      </c>
      <c r="AA299" s="21">
        <v>-1.50543E-2</v>
      </c>
      <c r="AB299" s="21">
        <v>289</v>
      </c>
      <c r="AC299" s="21">
        <v>0.28411900000000001</v>
      </c>
      <c r="AD299">
        <f t="shared" si="52"/>
        <v>18.585555555555555</v>
      </c>
      <c r="AE299">
        <f t="shared" si="53"/>
        <v>5.2918466477777777</v>
      </c>
      <c r="AF299" s="9"/>
      <c r="AG299" s="21">
        <v>1.3552900000000001</v>
      </c>
      <c r="AH299" s="21">
        <v>20.724399999999999</v>
      </c>
      <c r="AI299" s="21">
        <v>-1.3339200000000001E-2</v>
      </c>
      <c r="AJ299" s="21">
        <v>289</v>
      </c>
      <c r="AK299" s="21">
        <v>1.3546800000000001</v>
      </c>
      <c r="AL299">
        <f t="shared" si="54"/>
        <v>16.468148148148149</v>
      </c>
      <c r="AM299">
        <f t="shared" si="55"/>
        <v>22.319116503703707</v>
      </c>
      <c r="AP299" s="9"/>
      <c r="AQ299" s="21">
        <v>0.28472900000000001</v>
      </c>
      <c r="AR299" s="21">
        <v>26.121300000000002</v>
      </c>
      <c r="AS299" s="21">
        <v>-1.4941400000000001E-2</v>
      </c>
      <c r="AT299" s="21">
        <v>289</v>
      </c>
      <c r="AU299" s="21">
        <v>0.28417999999999999</v>
      </c>
      <c r="AV299">
        <f t="shared" si="56"/>
        <v>18.446172839506172</v>
      </c>
      <c r="AW299">
        <f t="shared" si="57"/>
        <v>5.2521603464197533</v>
      </c>
      <c r="AX299" s="9"/>
      <c r="AY299" s="21">
        <v>1.3552900000000001</v>
      </c>
      <c r="AZ299" s="21">
        <v>29.819600000000001</v>
      </c>
      <c r="BA299" s="21">
        <v>-1.3333100000000001E-2</v>
      </c>
      <c r="BB299" s="21">
        <v>289</v>
      </c>
      <c r="BC299" s="21">
        <v>1.35406</v>
      </c>
      <c r="BD299">
        <f t="shared" si="58"/>
        <v>16.460617283950615</v>
      </c>
      <c r="BE299">
        <f t="shared" si="59"/>
        <v>22.308909998765429</v>
      </c>
    </row>
    <row r="300" spans="6:57" x14ac:dyDescent="0.25">
      <c r="F300" s="9"/>
      <c r="G300" s="21">
        <v>0.279694</v>
      </c>
      <c r="H300" s="21">
        <v>7.9329099999999997</v>
      </c>
      <c r="I300" s="21">
        <v>-1.5341199999999999E-2</v>
      </c>
      <c r="J300" s="21">
        <v>290</v>
      </c>
      <c r="K300" s="21">
        <v>0.27908300000000003</v>
      </c>
      <c r="L300">
        <f t="shared" si="48"/>
        <v>18.939753086419749</v>
      </c>
      <c r="M300">
        <f t="shared" si="49"/>
        <v>5.2973352997530849</v>
      </c>
      <c r="N300" s="9"/>
      <c r="O300" s="21">
        <v>1.36032</v>
      </c>
      <c r="P300" s="21">
        <v>11.6312</v>
      </c>
      <c r="Q300" s="21">
        <v>-1.34552E-2</v>
      </c>
      <c r="R300" s="21">
        <v>290</v>
      </c>
      <c r="S300" s="21">
        <v>1.3595600000000001</v>
      </c>
      <c r="T300">
        <f t="shared" si="50"/>
        <v>16.611358024691356</v>
      </c>
      <c r="U300">
        <f t="shared" si="51"/>
        <v>22.596762548148146</v>
      </c>
      <c r="X300" s="9"/>
      <c r="Y300" s="21">
        <v>0.279694</v>
      </c>
      <c r="Z300" s="21">
        <v>17.036100000000001</v>
      </c>
      <c r="AA300" s="21">
        <v>-1.5063500000000001E-2</v>
      </c>
      <c r="AB300" s="21">
        <v>290</v>
      </c>
      <c r="AC300" s="21">
        <v>0.27899200000000002</v>
      </c>
      <c r="AD300">
        <f t="shared" si="52"/>
        <v>18.596913580246913</v>
      </c>
      <c r="AE300">
        <f t="shared" si="53"/>
        <v>5.2014451469135796</v>
      </c>
      <c r="AF300" s="9"/>
      <c r="AG300" s="21">
        <v>1.36032</v>
      </c>
      <c r="AH300" s="21">
        <v>20.734500000000001</v>
      </c>
      <c r="AI300" s="21">
        <v>-1.33209E-2</v>
      </c>
      <c r="AJ300" s="21">
        <v>290</v>
      </c>
      <c r="AK300" s="21">
        <v>1.3592500000000001</v>
      </c>
      <c r="AL300">
        <f t="shared" si="54"/>
        <v>16.445555555555554</v>
      </c>
      <c r="AM300">
        <f t="shared" si="55"/>
        <v>22.371218133333333</v>
      </c>
      <c r="AP300" s="9"/>
      <c r="AQ300" s="21">
        <v>0.279694</v>
      </c>
      <c r="AR300" s="21">
        <v>26.131399999999999</v>
      </c>
      <c r="AS300" s="21">
        <v>-1.49567E-2</v>
      </c>
      <c r="AT300" s="21">
        <v>290</v>
      </c>
      <c r="AU300" s="21">
        <v>0.27908300000000003</v>
      </c>
      <c r="AV300">
        <f t="shared" si="56"/>
        <v>18.46506172839506</v>
      </c>
      <c r="AW300">
        <f t="shared" si="57"/>
        <v>5.164566975061728</v>
      </c>
      <c r="AX300" s="9"/>
      <c r="AY300" s="21">
        <v>1.36032</v>
      </c>
      <c r="AZ300" s="21">
        <v>29.829699999999999</v>
      </c>
      <c r="BA300" s="21">
        <v>-1.3296499999999999E-2</v>
      </c>
      <c r="BB300" s="21">
        <v>290</v>
      </c>
      <c r="BC300" s="21">
        <v>1.3601700000000001</v>
      </c>
      <c r="BD300">
        <f t="shared" si="58"/>
        <v>16.415432098765429</v>
      </c>
      <c r="BE300">
        <f t="shared" si="59"/>
        <v>22.330240592592588</v>
      </c>
    </row>
    <row r="301" spans="6:57" x14ac:dyDescent="0.25">
      <c r="F301" s="9"/>
      <c r="G301" s="21">
        <v>0.27465800000000001</v>
      </c>
      <c r="H301" s="21">
        <v>7.9429800000000004</v>
      </c>
      <c r="I301" s="21">
        <v>-1.53381E-2</v>
      </c>
      <c r="J301" s="21">
        <v>291</v>
      </c>
      <c r="K301" s="21">
        <v>0.27398699999999998</v>
      </c>
      <c r="L301">
        <f t="shared" si="48"/>
        <v>18.935925925925925</v>
      </c>
      <c r="M301">
        <f t="shared" si="49"/>
        <v>5.2009035429629629</v>
      </c>
      <c r="N301" s="9"/>
      <c r="O301" s="21">
        <v>1.3653599999999999</v>
      </c>
      <c r="P301" s="21">
        <v>11.641299999999999</v>
      </c>
      <c r="Q301" s="21">
        <v>-1.3427700000000001E-2</v>
      </c>
      <c r="R301" s="21">
        <v>291</v>
      </c>
      <c r="S301" s="21">
        <v>1.3644400000000001</v>
      </c>
      <c r="T301">
        <f t="shared" si="50"/>
        <v>16.57740740740741</v>
      </c>
      <c r="U301">
        <f t="shared" si="51"/>
        <v>22.634128977777781</v>
      </c>
      <c r="X301" s="9"/>
      <c r="Y301" s="21">
        <v>0.27465800000000001</v>
      </c>
      <c r="Z301" s="21">
        <v>17.046199999999999</v>
      </c>
      <c r="AA301" s="21">
        <v>-1.50665E-2</v>
      </c>
      <c r="AB301" s="21">
        <v>291</v>
      </c>
      <c r="AC301" s="21">
        <v>0.27404800000000001</v>
      </c>
      <c r="AD301">
        <f t="shared" si="52"/>
        <v>18.600617283950616</v>
      </c>
      <c r="AE301">
        <f t="shared" si="53"/>
        <v>5.1088083419753083</v>
      </c>
      <c r="AF301" s="9"/>
      <c r="AG301" s="21">
        <v>1.3653599999999999</v>
      </c>
      <c r="AH301" s="21">
        <v>20.744499999999999</v>
      </c>
      <c r="AI301" s="21">
        <v>-1.32935E-2</v>
      </c>
      <c r="AJ301" s="21">
        <v>291</v>
      </c>
      <c r="AK301" s="21">
        <v>1.3647499999999999</v>
      </c>
      <c r="AL301">
        <f t="shared" si="54"/>
        <v>16.411728395061726</v>
      </c>
      <c r="AM301">
        <f t="shared" si="55"/>
        <v>22.407917481481476</v>
      </c>
      <c r="AP301" s="9"/>
      <c r="AQ301" s="21">
        <v>0.27465800000000001</v>
      </c>
      <c r="AR301" s="21">
        <v>26.141400000000001</v>
      </c>
      <c r="AS301" s="21">
        <v>-1.49628E-2</v>
      </c>
      <c r="AT301" s="21">
        <v>291</v>
      </c>
      <c r="AU301" s="21">
        <v>0.27404800000000001</v>
      </c>
      <c r="AV301">
        <f t="shared" si="56"/>
        <v>18.472592592592594</v>
      </c>
      <c r="AW301">
        <f t="shared" si="57"/>
        <v>5.0736453362962965</v>
      </c>
      <c r="AX301" s="9"/>
      <c r="AY301" s="21">
        <v>1.3653599999999999</v>
      </c>
      <c r="AZ301" s="21">
        <v>29.8398</v>
      </c>
      <c r="BA301" s="21">
        <v>-1.32782E-2</v>
      </c>
      <c r="BB301" s="21">
        <v>291</v>
      </c>
      <c r="BC301" s="21">
        <v>1.3647499999999999</v>
      </c>
      <c r="BD301">
        <f t="shared" si="58"/>
        <v>16.392839506172837</v>
      </c>
      <c r="BE301">
        <f t="shared" si="59"/>
        <v>22.382127348148142</v>
      </c>
    </row>
    <row r="302" spans="6:57" x14ac:dyDescent="0.25">
      <c r="F302" s="9"/>
      <c r="G302" s="21">
        <v>0.269623</v>
      </c>
      <c r="H302" s="21">
        <v>7.9530500000000002</v>
      </c>
      <c r="I302" s="21">
        <v>-1.5341199999999999E-2</v>
      </c>
      <c r="J302" s="21">
        <v>292</v>
      </c>
      <c r="K302" s="21">
        <v>0.26892100000000002</v>
      </c>
      <c r="L302">
        <f t="shared" si="48"/>
        <v>18.939753086419749</v>
      </c>
      <c r="M302">
        <f t="shared" si="49"/>
        <v>5.1065930464197518</v>
      </c>
      <c r="N302" s="9"/>
      <c r="O302" s="21">
        <v>1.37039</v>
      </c>
      <c r="P302" s="21">
        <v>11.651400000000001</v>
      </c>
      <c r="Q302" s="21">
        <v>-1.33911E-2</v>
      </c>
      <c r="R302" s="21">
        <v>292</v>
      </c>
      <c r="S302" s="21">
        <v>1.3696299999999999</v>
      </c>
      <c r="T302">
        <f t="shared" si="50"/>
        <v>16.53222222222222</v>
      </c>
      <c r="U302">
        <f t="shared" si="51"/>
        <v>22.655592011111107</v>
      </c>
      <c r="X302" s="9"/>
      <c r="Y302" s="21">
        <v>0.269623</v>
      </c>
      <c r="Z302" s="21">
        <v>17.0563</v>
      </c>
      <c r="AA302" s="21">
        <v>-1.50665E-2</v>
      </c>
      <c r="AB302" s="21">
        <v>292</v>
      </c>
      <c r="AC302" s="21">
        <v>0.26892100000000002</v>
      </c>
      <c r="AD302">
        <f t="shared" si="52"/>
        <v>18.600617283950616</v>
      </c>
      <c r="AE302">
        <f t="shared" si="53"/>
        <v>5.015154233950617</v>
      </c>
      <c r="AF302" s="9"/>
      <c r="AG302" s="21">
        <v>1.37039</v>
      </c>
      <c r="AH302" s="21">
        <v>20.7546</v>
      </c>
      <c r="AI302" s="21">
        <v>-1.3266E-2</v>
      </c>
      <c r="AJ302" s="21">
        <v>292</v>
      </c>
      <c r="AK302" s="21">
        <v>1.3699300000000001</v>
      </c>
      <c r="AL302">
        <f t="shared" si="54"/>
        <v>16.377777777777776</v>
      </c>
      <c r="AM302">
        <f t="shared" si="55"/>
        <v>22.443942888888888</v>
      </c>
      <c r="AP302" s="9"/>
      <c r="AQ302" s="21">
        <v>0.269623</v>
      </c>
      <c r="AR302" s="21">
        <v>26.151499999999999</v>
      </c>
      <c r="AS302" s="21">
        <v>-1.49719E-2</v>
      </c>
      <c r="AT302" s="21">
        <v>292</v>
      </c>
      <c r="AU302" s="21">
        <v>0.268951</v>
      </c>
      <c r="AV302">
        <f t="shared" si="56"/>
        <v>18.483827160493824</v>
      </c>
      <c r="AW302">
        <f t="shared" si="57"/>
        <v>4.9836649304938261</v>
      </c>
      <c r="AX302" s="9"/>
      <c r="AY302" s="21">
        <v>1.37039</v>
      </c>
      <c r="AZ302" s="21">
        <v>29.849799999999998</v>
      </c>
      <c r="BA302" s="21">
        <v>-1.3256799999999999E-2</v>
      </c>
      <c r="BB302" s="21">
        <v>292</v>
      </c>
      <c r="BC302" s="21">
        <v>1.3699300000000001</v>
      </c>
      <c r="BD302">
        <f t="shared" si="58"/>
        <v>16.366419753086415</v>
      </c>
      <c r="BE302">
        <f t="shared" si="59"/>
        <v>22.428377965432091</v>
      </c>
    </row>
    <row r="303" spans="6:57" x14ac:dyDescent="0.25">
      <c r="F303" s="9"/>
      <c r="G303" s="21">
        <v>0.26458700000000002</v>
      </c>
      <c r="H303" s="21">
        <v>7.96312</v>
      </c>
      <c r="I303" s="21">
        <v>-1.5350300000000001E-2</v>
      </c>
      <c r="J303" s="21">
        <v>293</v>
      </c>
      <c r="K303" s="21">
        <v>0.26400800000000002</v>
      </c>
      <c r="L303">
        <f t="shared" si="48"/>
        <v>18.95098765432099</v>
      </c>
      <c r="M303">
        <f t="shared" si="49"/>
        <v>5.0141849704938277</v>
      </c>
      <c r="N303" s="9"/>
      <c r="O303" s="21">
        <v>1.3754299999999999</v>
      </c>
      <c r="P303" s="21">
        <v>11.6615</v>
      </c>
      <c r="Q303" s="21">
        <v>-1.33667E-2</v>
      </c>
      <c r="R303" s="21">
        <v>293</v>
      </c>
      <c r="S303" s="21">
        <v>1.3745099999999999</v>
      </c>
      <c r="T303">
        <f t="shared" si="50"/>
        <v>16.502098765432098</v>
      </c>
      <c r="U303">
        <f t="shared" si="51"/>
        <v>22.697481704938269</v>
      </c>
      <c r="X303" s="9"/>
      <c r="Y303" s="21">
        <v>0.26458700000000002</v>
      </c>
      <c r="Z303" s="21">
        <v>17.066299999999998</v>
      </c>
      <c r="AA303" s="21">
        <v>-1.50665E-2</v>
      </c>
      <c r="AB303" s="21">
        <v>293</v>
      </c>
      <c r="AC303" s="21">
        <v>0.26391599999999998</v>
      </c>
      <c r="AD303">
        <f t="shared" si="52"/>
        <v>18.600617283950616</v>
      </c>
      <c r="AE303">
        <f t="shared" si="53"/>
        <v>4.9214815253086419</v>
      </c>
      <c r="AF303" s="9"/>
      <c r="AG303" s="21">
        <v>1.3754299999999999</v>
      </c>
      <c r="AH303" s="21">
        <v>20.764700000000001</v>
      </c>
      <c r="AI303" s="21">
        <v>-1.32324E-2</v>
      </c>
      <c r="AJ303" s="21">
        <v>293</v>
      </c>
      <c r="AK303" s="21">
        <v>1.3748199999999999</v>
      </c>
      <c r="AL303">
        <f t="shared" si="54"/>
        <v>16.336296296296297</v>
      </c>
      <c r="AM303">
        <f t="shared" si="55"/>
        <v>22.469432014814814</v>
      </c>
      <c r="AP303" s="9"/>
      <c r="AQ303" s="21">
        <v>0.26458700000000002</v>
      </c>
      <c r="AR303" s="21">
        <v>26.1616</v>
      </c>
      <c r="AS303" s="21">
        <v>-1.49902E-2</v>
      </c>
      <c r="AT303" s="21">
        <v>293</v>
      </c>
      <c r="AU303" s="21">
        <v>0.26409899999999997</v>
      </c>
      <c r="AV303">
        <f t="shared" si="56"/>
        <v>18.506419753086419</v>
      </c>
      <c r="AW303">
        <f t="shared" si="57"/>
        <v>4.896558083209877</v>
      </c>
      <c r="AX303" s="9"/>
      <c r="AY303" s="21">
        <v>1.3754299999999999</v>
      </c>
      <c r="AZ303" s="21">
        <v>29.8599</v>
      </c>
      <c r="BA303" s="21">
        <v>-1.32233E-2</v>
      </c>
      <c r="BB303" s="21">
        <v>293</v>
      </c>
      <c r="BC303" s="21">
        <v>1.3745099999999999</v>
      </c>
      <c r="BD303">
        <f t="shared" si="58"/>
        <v>16.32506172839506</v>
      </c>
      <c r="BE303">
        <f t="shared" si="59"/>
        <v>22.453979653086417</v>
      </c>
    </row>
    <row r="304" spans="6:57" x14ac:dyDescent="0.25">
      <c r="F304" s="9"/>
      <c r="G304" s="21">
        <v>0.259552</v>
      </c>
      <c r="H304" s="21">
        <v>7.9731899999999998</v>
      </c>
      <c r="I304" s="21">
        <v>-1.53534E-2</v>
      </c>
      <c r="J304" s="21">
        <v>294</v>
      </c>
      <c r="K304" s="21">
        <v>0.25894200000000001</v>
      </c>
      <c r="L304">
        <f t="shared" si="48"/>
        <v>18.954814814814814</v>
      </c>
      <c r="M304">
        <f t="shared" si="49"/>
        <v>4.9197600948148148</v>
      </c>
      <c r="N304" s="9"/>
      <c r="O304" s="21">
        <v>1.38046</v>
      </c>
      <c r="P304" s="21">
        <v>11.6715</v>
      </c>
      <c r="Q304" s="21">
        <v>-1.3333100000000001E-2</v>
      </c>
      <c r="R304" s="21">
        <v>294</v>
      </c>
      <c r="S304" s="21">
        <v>1.3796999999999999</v>
      </c>
      <c r="T304">
        <f t="shared" si="50"/>
        <v>16.460617283950615</v>
      </c>
      <c r="U304">
        <f t="shared" si="51"/>
        <v>22.723223735802467</v>
      </c>
      <c r="X304" s="9"/>
      <c r="Y304" s="21">
        <v>0.259552</v>
      </c>
      <c r="Z304" s="21">
        <v>17.0764</v>
      </c>
      <c r="AA304" s="21">
        <v>-1.5084800000000001E-2</v>
      </c>
      <c r="AB304" s="21">
        <v>294</v>
      </c>
      <c r="AC304" s="21">
        <v>0.25897199999999998</v>
      </c>
      <c r="AD304">
        <f t="shared" si="52"/>
        <v>18.623209876543207</v>
      </c>
      <c r="AE304">
        <f t="shared" si="53"/>
        <v>4.8336913698765427</v>
      </c>
      <c r="AF304" s="9"/>
      <c r="AG304" s="21">
        <v>1.38046</v>
      </c>
      <c r="AH304" s="21">
        <v>20.774699999999999</v>
      </c>
      <c r="AI304" s="21">
        <v>-1.3195800000000001E-2</v>
      </c>
      <c r="AJ304" s="21">
        <v>294</v>
      </c>
      <c r="AK304" s="21">
        <v>1.38</v>
      </c>
      <c r="AL304">
        <f t="shared" si="54"/>
        <v>16.29111111111111</v>
      </c>
      <c r="AM304">
        <f t="shared" si="55"/>
        <v>22.489227244444443</v>
      </c>
      <c r="AP304" s="9"/>
      <c r="AQ304" s="21">
        <v>0.259552</v>
      </c>
      <c r="AR304" s="21">
        <v>26.171600000000002</v>
      </c>
      <c r="AS304" s="21">
        <v>-1.50055E-2</v>
      </c>
      <c r="AT304" s="21">
        <v>294</v>
      </c>
      <c r="AU304" s="21">
        <v>0.25894200000000001</v>
      </c>
      <c r="AV304">
        <f t="shared" si="56"/>
        <v>18.525308641975307</v>
      </c>
      <c r="AW304">
        <f t="shared" si="57"/>
        <v>4.8082809086419749</v>
      </c>
      <c r="AX304" s="9"/>
      <c r="AY304" s="21">
        <v>1.38046</v>
      </c>
      <c r="AZ304" s="21">
        <v>29.87</v>
      </c>
      <c r="BA304" s="21">
        <v>-1.31836E-2</v>
      </c>
      <c r="BB304" s="21">
        <v>294</v>
      </c>
      <c r="BC304" s="21">
        <v>1.3796999999999999</v>
      </c>
      <c r="BD304">
        <f t="shared" si="58"/>
        <v>16.276049382716046</v>
      </c>
      <c r="BE304">
        <f t="shared" si="59"/>
        <v>22.468435130864194</v>
      </c>
    </row>
    <row r="305" spans="6:57" x14ac:dyDescent="0.25">
      <c r="F305" s="9"/>
      <c r="G305" s="21">
        <v>0.25451699999999999</v>
      </c>
      <c r="H305" s="21">
        <v>7.9832599999999996</v>
      </c>
      <c r="I305" s="21">
        <v>-1.53595E-2</v>
      </c>
      <c r="J305" s="21">
        <v>295</v>
      </c>
      <c r="K305" s="21">
        <v>0.25393700000000002</v>
      </c>
      <c r="L305">
        <f t="shared" si="48"/>
        <v>18.962345679012344</v>
      </c>
      <c r="M305">
        <f t="shared" si="49"/>
        <v>4.8262393351851847</v>
      </c>
      <c r="N305" s="9"/>
      <c r="O305" s="21">
        <v>1.3855</v>
      </c>
      <c r="P305" s="21">
        <v>11.6816</v>
      </c>
      <c r="Q305" s="21">
        <v>-1.33057E-2</v>
      </c>
      <c r="R305" s="21">
        <v>295</v>
      </c>
      <c r="S305" s="21">
        <v>1.38489</v>
      </c>
      <c r="T305">
        <f t="shared" si="50"/>
        <v>16.42679012345679</v>
      </c>
      <c r="U305">
        <f t="shared" si="51"/>
        <v>22.759317716049381</v>
      </c>
      <c r="X305" s="9"/>
      <c r="Y305" s="21">
        <v>0.25451699999999999</v>
      </c>
      <c r="Z305" s="21">
        <v>17.086500000000001</v>
      </c>
      <c r="AA305" s="21">
        <v>-1.5096999999999999E-2</v>
      </c>
      <c r="AB305" s="21">
        <v>295</v>
      </c>
      <c r="AC305" s="21">
        <v>0.25390600000000002</v>
      </c>
      <c r="AD305">
        <f t="shared" si="52"/>
        <v>18.638271604938272</v>
      </c>
      <c r="AE305">
        <f t="shared" si="53"/>
        <v>4.7437569740740742</v>
      </c>
      <c r="AF305" s="9"/>
      <c r="AG305" s="21">
        <v>1.3855</v>
      </c>
      <c r="AH305" s="21">
        <v>20.784800000000001</v>
      </c>
      <c r="AI305" s="21">
        <v>-1.31561E-2</v>
      </c>
      <c r="AJ305" s="21">
        <v>295</v>
      </c>
      <c r="AK305" s="21">
        <v>1.38428</v>
      </c>
      <c r="AL305">
        <f t="shared" si="54"/>
        <v>16.2420987654321</v>
      </c>
      <c r="AM305">
        <f t="shared" si="55"/>
        <v>22.503427839506173</v>
      </c>
      <c r="AP305" s="9"/>
      <c r="AQ305" s="21">
        <v>0.25451699999999999</v>
      </c>
      <c r="AR305" s="21">
        <v>26.181699999999999</v>
      </c>
      <c r="AS305" s="21">
        <v>-1.5008499999999999E-2</v>
      </c>
      <c r="AT305" s="21">
        <v>295</v>
      </c>
      <c r="AU305" s="21">
        <v>0.25378400000000001</v>
      </c>
      <c r="AV305">
        <f t="shared" si="56"/>
        <v>18.529012345679011</v>
      </c>
      <c r="AW305">
        <f t="shared" si="57"/>
        <v>4.7159486351851845</v>
      </c>
      <c r="AX305" s="9"/>
      <c r="AY305" s="21">
        <v>1.3855</v>
      </c>
      <c r="AZ305" s="21">
        <v>29.88</v>
      </c>
      <c r="BA305" s="21">
        <v>-1.3147000000000001E-2</v>
      </c>
      <c r="BB305" s="21">
        <v>295</v>
      </c>
      <c r="BC305" s="21">
        <v>1.38428</v>
      </c>
      <c r="BD305">
        <f t="shared" si="58"/>
        <v>16.230864197530863</v>
      </c>
      <c r="BE305">
        <f t="shared" si="59"/>
        <v>22.487862345679009</v>
      </c>
    </row>
    <row r="306" spans="6:57" x14ac:dyDescent="0.25">
      <c r="F306" s="9"/>
      <c r="G306" s="21">
        <v>0.24948100000000001</v>
      </c>
      <c r="H306" s="21">
        <v>7.9933399999999999</v>
      </c>
      <c r="I306" s="21">
        <v>-1.53595E-2</v>
      </c>
      <c r="J306" s="21">
        <v>296</v>
      </c>
      <c r="K306" s="21">
        <v>0.24881</v>
      </c>
      <c r="L306">
        <f t="shared" si="48"/>
        <v>18.962345679012344</v>
      </c>
      <c r="M306">
        <f t="shared" si="49"/>
        <v>4.7307449623456792</v>
      </c>
      <c r="N306" s="9"/>
      <c r="O306" s="21">
        <v>1.39053</v>
      </c>
      <c r="P306" s="21">
        <v>11.691700000000001</v>
      </c>
      <c r="Q306" s="21">
        <v>-1.32721E-2</v>
      </c>
      <c r="R306" s="21">
        <v>296</v>
      </c>
      <c r="S306" s="21">
        <v>1.38947</v>
      </c>
      <c r="T306">
        <f t="shared" si="50"/>
        <v>16.385308641975307</v>
      </c>
      <c r="U306">
        <f t="shared" si="51"/>
        <v>22.784263225925923</v>
      </c>
      <c r="X306" s="9"/>
      <c r="Y306" s="21">
        <v>0.24948100000000001</v>
      </c>
      <c r="Z306" s="21">
        <v>17.096599999999999</v>
      </c>
      <c r="AA306" s="21">
        <v>-1.5090900000000001E-2</v>
      </c>
      <c r="AB306" s="21">
        <v>296</v>
      </c>
      <c r="AC306" s="21">
        <v>0.24887100000000001</v>
      </c>
      <c r="AD306">
        <f t="shared" si="52"/>
        <v>18.630740740740741</v>
      </c>
      <c r="AE306">
        <f t="shared" si="53"/>
        <v>4.6480158307407411</v>
      </c>
      <c r="AF306" s="9"/>
      <c r="AG306" s="21">
        <v>1.39053</v>
      </c>
      <c r="AH306" s="21">
        <v>20.794899999999998</v>
      </c>
      <c r="AI306" s="21">
        <v>-1.3110399999999999E-2</v>
      </c>
      <c r="AJ306" s="21">
        <v>296</v>
      </c>
      <c r="AK306" s="21">
        <v>1.3897699999999999</v>
      </c>
      <c r="AL306">
        <f t="shared" si="54"/>
        <v>16.185679012345677</v>
      </c>
      <c r="AM306">
        <f t="shared" si="55"/>
        <v>22.506672237037034</v>
      </c>
      <c r="AP306" s="9"/>
      <c r="AQ306" s="21">
        <v>0.24948100000000001</v>
      </c>
      <c r="AR306" s="21">
        <v>26.191800000000001</v>
      </c>
      <c r="AS306" s="21">
        <v>-1.5014599999999999E-2</v>
      </c>
      <c r="AT306" s="21">
        <v>296</v>
      </c>
      <c r="AU306" s="21">
        <v>0.24881</v>
      </c>
      <c r="AV306">
        <f t="shared" si="56"/>
        <v>18.536543209876541</v>
      </c>
      <c r="AW306">
        <f t="shared" si="57"/>
        <v>4.6245153365432099</v>
      </c>
      <c r="AX306" s="9"/>
      <c r="AY306" s="21">
        <v>1.39053</v>
      </c>
      <c r="AZ306" s="21">
        <v>29.8901</v>
      </c>
      <c r="BA306" s="21">
        <v>-1.3119499999999999E-2</v>
      </c>
      <c r="BB306" s="21">
        <v>296</v>
      </c>
      <c r="BC306" s="21">
        <v>1.39008</v>
      </c>
      <c r="BD306">
        <f t="shared" si="58"/>
        <v>16.19691358024691</v>
      </c>
      <c r="BE306">
        <f t="shared" si="59"/>
        <v>22.522294240740738</v>
      </c>
    </row>
    <row r="307" spans="6:57" x14ac:dyDescent="0.25">
      <c r="F307" s="9"/>
      <c r="G307" s="21">
        <v>0.244446</v>
      </c>
      <c r="H307" s="21">
        <v>8.0034100000000006</v>
      </c>
      <c r="I307" s="21">
        <v>-1.5356399999999999E-2</v>
      </c>
      <c r="J307" s="21">
        <v>297</v>
      </c>
      <c r="K307" s="21">
        <v>0.24380499999999999</v>
      </c>
      <c r="L307">
        <f t="shared" si="48"/>
        <v>18.958518518518517</v>
      </c>
      <c r="M307">
        <f t="shared" si="49"/>
        <v>4.6343340177777774</v>
      </c>
      <c r="N307" s="9"/>
      <c r="O307" s="21">
        <v>1.39557</v>
      </c>
      <c r="P307" s="21">
        <v>11.701700000000001</v>
      </c>
      <c r="Q307" s="21">
        <v>-1.3235500000000001E-2</v>
      </c>
      <c r="R307" s="21">
        <v>297</v>
      </c>
      <c r="S307" s="21">
        <v>1.3946499999999999</v>
      </c>
      <c r="T307">
        <f t="shared" si="50"/>
        <v>16.340123456790124</v>
      </c>
      <c r="U307">
        <f t="shared" si="51"/>
        <v>22.803786092592592</v>
      </c>
      <c r="X307" s="9"/>
      <c r="Y307" s="21">
        <v>0.244446</v>
      </c>
      <c r="Z307" s="21">
        <v>17.1066</v>
      </c>
      <c r="AA307" s="21">
        <v>-1.5094E-2</v>
      </c>
      <c r="AB307" s="21">
        <v>297</v>
      </c>
      <c r="AC307" s="21">
        <v>0.243835</v>
      </c>
      <c r="AD307">
        <f t="shared" si="52"/>
        <v>18.634567901234568</v>
      </c>
      <c r="AE307">
        <f t="shared" si="53"/>
        <v>4.5551455851851852</v>
      </c>
      <c r="AF307" s="9"/>
      <c r="AG307" s="21">
        <v>1.39557</v>
      </c>
      <c r="AH307" s="21">
        <v>20.805</v>
      </c>
      <c r="AI307" s="21">
        <v>-1.3073700000000001E-2</v>
      </c>
      <c r="AJ307" s="21">
        <v>297</v>
      </c>
      <c r="AK307" s="21">
        <v>1.3940399999999999</v>
      </c>
      <c r="AL307">
        <f t="shared" si="54"/>
        <v>16.14037037037037</v>
      </c>
      <c r="AM307">
        <f t="shared" si="55"/>
        <v>22.525016677777778</v>
      </c>
      <c r="AP307" s="9"/>
      <c r="AQ307" s="21">
        <v>0.244446</v>
      </c>
      <c r="AR307" s="21">
        <v>26.201799999999999</v>
      </c>
      <c r="AS307" s="21">
        <v>-1.50055E-2</v>
      </c>
      <c r="AT307" s="21">
        <v>297</v>
      </c>
      <c r="AU307" s="21">
        <v>0.24380499999999999</v>
      </c>
      <c r="AV307">
        <f t="shared" si="56"/>
        <v>18.525308641975307</v>
      </c>
      <c r="AW307">
        <f t="shared" si="57"/>
        <v>4.5284375962962962</v>
      </c>
      <c r="AX307" s="9"/>
      <c r="AY307" s="21">
        <v>1.39557</v>
      </c>
      <c r="AZ307" s="21">
        <v>29.900200000000002</v>
      </c>
      <c r="BA307" s="21">
        <v>-1.30829E-2</v>
      </c>
      <c r="BB307" s="21">
        <v>297</v>
      </c>
      <c r="BC307" s="21">
        <v>1.3946499999999999</v>
      </c>
      <c r="BD307">
        <f t="shared" si="58"/>
        <v>16.151728395061728</v>
      </c>
      <c r="BE307">
        <f t="shared" si="59"/>
        <v>22.540867596296295</v>
      </c>
    </row>
    <row r="308" spans="6:57" x14ac:dyDescent="0.25">
      <c r="F308" s="9"/>
      <c r="G308" s="21">
        <v>0.23941000000000001</v>
      </c>
      <c r="H308" s="21">
        <v>8.0134799999999995</v>
      </c>
      <c r="I308" s="21">
        <v>-1.5362499999999999E-2</v>
      </c>
      <c r="J308" s="21">
        <v>298</v>
      </c>
      <c r="K308" s="21">
        <v>0.23877000000000001</v>
      </c>
      <c r="L308">
        <f t="shared" si="48"/>
        <v>18.966049382716047</v>
      </c>
      <c r="M308">
        <f t="shared" si="49"/>
        <v>4.5406618827160488</v>
      </c>
      <c r="N308" s="9"/>
      <c r="O308" s="21">
        <v>1.4006000000000001</v>
      </c>
      <c r="P308" s="21">
        <v>11.7118</v>
      </c>
      <c r="Q308" s="21">
        <v>-1.31927E-2</v>
      </c>
      <c r="R308" s="21">
        <v>298</v>
      </c>
      <c r="S308" s="21">
        <v>1.39954</v>
      </c>
      <c r="T308">
        <f t="shared" si="50"/>
        <v>16.287283950617283</v>
      </c>
      <c r="U308">
        <f t="shared" si="51"/>
        <v>22.811969901234569</v>
      </c>
      <c r="X308" s="9"/>
      <c r="Y308" s="21">
        <v>0.23941000000000001</v>
      </c>
      <c r="Z308" s="21">
        <v>17.116700000000002</v>
      </c>
      <c r="AA308" s="21">
        <v>-1.5096999999999999E-2</v>
      </c>
      <c r="AB308" s="21">
        <v>298</v>
      </c>
      <c r="AC308" s="21">
        <v>0.23883099999999999</v>
      </c>
      <c r="AD308">
        <f t="shared" si="52"/>
        <v>18.638271604938272</v>
      </c>
      <c r="AE308">
        <f t="shared" si="53"/>
        <v>4.4621886049382722</v>
      </c>
      <c r="AF308" s="9"/>
      <c r="AG308" s="21">
        <v>1.4006000000000001</v>
      </c>
      <c r="AH308" s="21">
        <v>20.815000000000001</v>
      </c>
      <c r="AI308" s="21">
        <v>-1.3037099999999999E-2</v>
      </c>
      <c r="AJ308" s="21">
        <v>298</v>
      </c>
      <c r="AK308" s="21">
        <v>1.39984</v>
      </c>
      <c r="AL308">
        <f t="shared" si="54"/>
        <v>16.095185185185183</v>
      </c>
      <c r="AM308">
        <f t="shared" si="55"/>
        <v>22.542916370370371</v>
      </c>
      <c r="AP308" s="9"/>
      <c r="AQ308" s="21">
        <v>0.23941000000000001</v>
      </c>
      <c r="AR308" s="21">
        <v>26.2119</v>
      </c>
      <c r="AS308" s="21">
        <v>-1.49994E-2</v>
      </c>
      <c r="AT308" s="21">
        <v>298</v>
      </c>
      <c r="AU308" s="21">
        <v>0.23873900000000001</v>
      </c>
      <c r="AV308">
        <f t="shared" si="56"/>
        <v>18.517777777777777</v>
      </c>
      <c r="AW308">
        <f t="shared" si="57"/>
        <v>4.4333411777777778</v>
      </c>
      <c r="AX308" s="9"/>
      <c r="AY308" s="21">
        <v>1.4006000000000001</v>
      </c>
      <c r="AZ308" s="21">
        <v>29.910299999999999</v>
      </c>
      <c r="BA308" s="21">
        <v>-1.30463E-2</v>
      </c>
      <c r="BB308" s="21">
        <v>298</v>
      </c>
      <c r="BC308" s="21">
        <v>1.39954</v>
      </c>
      <c r="BD308">
        <f t="shared" si="58"/>
        <v>16.106543209876545</v>
      </c>
      <c r="BE308">
        <f t="shared" si="59"/>
        <v>22.55882441975309</v>
      </c>
    </row>
    <row r="309" spans="6:57" x14ac:dyDescent="0.25">
      <c r="F309" s="9"/>
      <c r="G309" s="21">
        <v>0.234375</v>
      </c>
      <c r="H309" s="21">
        <v>8.0235500000000002</v>
      </c>
      <c r="I309" s="21">
        <v>-1.5368700000000001E-2</v>
      </c>
      <c r="J309" s="21">
        <v>299</v>
      </c>
      <c r="K309" s="21">
        <v>0.23382600000000001</v>
      </c>
      <c r="L309">
        <f t="shared" si="48"/>
        <v>18.973703703703706</v>
      </c>
      <c r="M309">
        <f t="shared" si="49"/>
        <v>4.4469618055555564</v>
      </c>
      <c r="N309" s="9"/>
      <c r="O309" s="21">
        <v>1.40564</v>
      </c>
      <c r="P309" s="21">
        <v>11.7219</v>
      </c>
      <c r="Q309" s="21">
        <v>-1.31653E-2</v>
      </c>
      <c r="R309" s="21">
        <v>299</v>
      </c>
      <c r="S309" s="21">
        <v>1.40533</v>
      </c>
      <c r="T309">
        <f t="shared" si="50"/>
        <v>16.253456790123455</v>
      </c>
      <c r="U309">
        <f t="shared" si="51"/>
        <v>22.846509002469134</v>
      </c>
      <c r="X309" s="9"/>
      <c r="Y309" s="21">
        <v>0.234375</v>
      </c>
      <c r="Z309" s="21">
        <v>17.126799999999999</v>
      </c>
      <c r="AA309" s="21">
        <v>-1.51062E-2</v>
      </c>
      <c r="AB309" s="21">
        <v>299</v>
      </c>
      <c r="AC309" s="21">
        <v>0.233765</v>
      </c>
      <c r="AD309">
        <f t="shared" si="52"/>
        <v>18.649629629629626</v>
      </c>
      <c r="AE309">
        <f t="shared" si="53"/>
        <v>4.3710069444444439</v>
      </c>
      <c r="AF309" s="9"/>
      <c r="AG309" s="21">
        <v>1.40564</v>
      </c>
      <c r="AH309" s="21">
        <v>20.825099999999999</v>
      </c>
      <c r="AI309" s="21">
        <v>-1.30066E-2</v>
      </c>
      <c r="AJ309" s="21">
        <v>299</v>
      </c>
      <c r="AK309" s="21">
        <v>1.40472</v>
      </c>
      <c r="AL309">
        <f t="shared" si="54"/>
        <v>16.057530864197531</v>
      </c>
      <c r="AM309">
        <f t="shared" si="55"/>
        <v>22.571107683950618</v>
      </c>
      <c r="AP309" s="9"/>
      <c r="AQ309" s="21">
        <v>0.234375</v>
      </c>
      <c r="AR309" s="21">
        <v>26.222000000000001</v>
      </c>
      <c r="AS309" s="21">
        <v>-1.5008499999999999E-2</v>
      </c>
      <c r="AT309" s="21">
        <v>299</v>
      </c>
      <c r="AU309" s="21">
        <v>0.233795</v>
      </c>
      <c r="AV309">
        <f t="shared" si="56"/>
        <v>18.529012345679011</v>
      </c>
      <c r="AW309">
        <f t="shared" si="57"/>
        <v>4.3427372685185182</v>
      </c>
      <c r="AX309" s="9"/>
      <c r="AY309" s="21">
        <v>1.40564</v>
      </c>
      <c r="AZ309" s="21">
        <v>29.920300000000001</v>
      </c>
      <c r="BA309" s="21">
        <v>-1.30127E-2</v>
      </c>
      <c r="BB309" s="21">
        <v>299</v>
      </c>
      <c r="BC309" s="21">
        <v>1.40442</v>
      </c>
      <c r="BD309">
        <f t="shared" si="58"/>
        <v>16.065061728395062</v>
      </c>
      <c r="BE309">
        <f t="shared" si="59"/>
        <v>22.581693367901234</v>
      </c>
    </row>
    <row r="310" spans="6:57" x14ac:dyDescent="0.25">
      <c r="F310" s="9"/>
      <c r="G310" s="21">
        <v>0.22933999999999999</v>
      </c>
      <c r="H310" s="21">
        <v>8.0336200000000009</v>
      </c>
      <c r="I310" s="21">
        <v>-1.53717E-2</v>
      </c>
      <c r="J310" s="21">
        <v>300</v>
      </c>
      <c r="K310" s="21">
        <v>0.228821</v>
      </c>
      <c r="L310">
        <f t="shared" si="48"/>
        <v>18.977407407407409</v>
      </c>
      <c r="M310">
        <f t="shared" si="49"/>
        <v>4.3522786148148151</v>
      </c>
      <c r="N310" s="9"/>
      <c r="O310" s="21">
        <v>1.4106799999999999</v>
      </c>
      <c r="P310" s="21">
        <v>11.731999999999999</v>
      </c>
      <c r="Q310" s="21">
        <v>-1.31317E-2</v>
      </c>
      <c r="R310" s="21">
        <v>300</v>
      </c>
      <c r="S310" s="21">
        <v>1.40991</v>
      </c>
      <c r="T310">
        <f t="shared" si="50"/>
        <v>16.211975308641971</v>
      </c>
      <c r="U310">
        <f t="shared" si="51"/>
        <v>22.869909328395057</v>
      </c>
      <c r="X310" s="9"/>
      <c r="Y310" s="21">
        <v>0.22933999999999999</v>
      </c>
      <c r="Z310" s="21">
        <v>17.136800000000001</v>
      </c>
      <c r="AA310" s="21">
        <v>-1.5115399999999999E-2</v>
      </c>
      <c r="AB310" s="21">
        <v>300</v>
      </c>
      <c r="AC310" s="21">
        <v>0.228577</v>
      </c>
      <c r="AD310">
        <f t="shared" si="52"/>
        <v>18.660987654320987</v>
      </c>
      <c r="AE310">
        <f t="shared" si="53"/>
        <v>4.2797109086419747</v>
      </c>
      <c r="AF310" s="9"/>
      <c r="AG310" s="21">
        <v>1.4106799999999999</v>
      </c>
      <c r="AH310" s="21">
        <v>20.8352</v>
      </c>
      <c r="AI310" s="21">
        <v>-1.2973E-2</v>
      </c>
      <c r="AJ310" s="21">
        <v>300</v>
      </c>
      <c r="AK310" s="21">
        <v>1.40991</v>
      </c>
      <c r="AL310">
        <f t="shared" si="54"/>
        <v>16.016049382716048</v>
      </c>
      <c r="AM310">
        <f t="shared" si="55"/>
        <v>22.593520543209873</v>
      </c>
      <c r="AP310" s="9"/>
      <c r="AQ310" s="21">
        <v>0.22933999999999999</v>
      </c>
      <c r="AR310" s="21">
        <v>26.232099999999999</v>
      </c>
      <c r="AS310" s="21">
        <v>-1.5008499999999999E-2</v>
      </c>
      <c r="AT310" s="21">
        <v>300</v>
      </c>
      <c r="AU310" s="21">
        <v>0.22869900000000001</v>
      </c>
      <c r="AV310">
        <f t="shared" si="56"/>
        <v>18.529012345679011</v>
      </c>
      <c r="AW310">
        <f t="shared" si="57"/>
        <v>4.2494436913580245</v>
      </c>
      <c r="AX310" s="9"/>
      <c r="AY310" s="21">
        <v>1.4106799999999999</v>
      </c>
      <c r="AZ310" s="21">
        <v>29.930399999999999</v>
      </c>
      <c r="BA310" s="21">
        <v>-1.2970000000000001E-2</v>
      </c>
      <c r="BB310" s="21">
        <v>300</v>
      </c>
      <c r="BC310" s="21">
        <v>1.41022</v>
      </c>
      <c r="BD310">
        <f t="shared" si="58"/>
        <v>16.012345679012348</v>
      </c>
      <c r="BE310">
        <f t="shared" si="59"/>
        <v>22.588295802469137</v>
      </c>
    </row>
    <row r="311" spans="6:57" x14ac:dyDescent="0.25">
      <c r="F311" s="9"/>
      <c r="G311" s="21">
        <v>0.224304</v>
      </c>
      <c r="H311" s="21">
        <v>8.0436899999999998</v>
      </c>
      <c r="I311" s="21">
        <v>-1.5380899999999999E-2</v>
      </c>
      <c r="J311" s="21">
        <v>301</v>
      </c>
      <c r="K311" s="21">
        <v>0.22378500000000001</v>
      </c>
      <c r="L311">
        <f t="shared" si="48"/>
        <v>18.988765432098763</v>
      </c>
      <c r="M311">
        <f t="shared" si="49"/>
        <v>4.2592560414814811</v>
      </c>
      <c r="N311" s="9"/>
      <c r="O311" s="21">
        <v>1.41571</v>
      </c>
      <c r="P311" s="21">
        <v>11.742000000000001</v>
      </c>
      <c r="Q311" s="21">
        <v>-1.3085899999999999E-2</v>
      </c>
      <c r="R311" s="21">
        <v>301</v>
      </c>
      <c r="S311" s="21">
        <v>1.41449</v>
      </c>
      <c r="T311">
        <f t="shared" si="50"/>
        <v>16.155432098765431</v>
      </c>
      <c r="U311">
        <f t="shared" si="51"/>
        <v>22.871406776543207</v>
      </c>
      <c r="X311" s="9"/>
      <c r="Y311" s="21">
        <v>0.224304</v>
      </c>
      <c r="Z311" s="21">
        <v>17.146899999999999</v>
      </c>
      <c r="AA311" s="21">
        <v>-1.5109300000000001E-2</v>
      </c>
      <c r="AB311" s="21">
        <v>301</v>
      </c>
      <c r="AC311" s="21">
        <v>0.223694</v>
      </c>
      <c r="AD311">
        <f t="shared" si="52"/>
        <v>18.653456790123457</v>
      </c>
      <c r="AE311">
        <f t="shared" si="53"/>
        <v>4.1840449718518515</v>
      </c>
      <c r="AF311" s="9"/>
      <c r="AG311" s="21">
        <v>1.41571</v>
      </c>
      <c r="AH311" s="21">
        <v>20.845199999999998</v>
      </c>
      <c r="AI311" s="21">
        <v>-1.29303E-2</v>
      </c>
      <c r="AJ311" s="21">
        <v>301</v>
      </c>
      <c r="AK311" s="21">
        <v>1.4154100000000001</v>
      </c>
      <c r="AL311">
        <f t="shared" si="54"/>
        <v>15.963333333333333</v>
      </c>
      <c r="AM311">
        <f t="shared" si="55"/>
        <v>22.599450633333333</v>
      </c>
      <c r="AP311" s="9"/>
      <c r="AQ311" s="21">
        <v>0.224304</v>
      </c>
      <c r="AR311" s="21">
        <v>26.242100000000001</v>
      </c>
      <c r="AS311" s="21">
        <v>-1.50116E-2</v>
      </c>
      <c r="AT311" s="21">
        <v>301</v>
      </c>
      <c r="AU311" s="21">
        <v>0.22375500000000001</v>
      </c>
      <c r="AV311">
        <f t="shared" si="56"/>
        <v>18.532839506172838</v>
      </c>
      <c r="AW311">
        <f t="shared" si="57"/>
        <v>4.1569900325925921</v>
      </c>
      <c r="AX311" s="9"/>
      <c r="AY311" s="21">
        <v>1.41571</v>
      </c>
      <c r="AZ311" s="21">
        <v>29.9405</v>
      </c>
      <c r="BA311" s="21">
        <v>-1.29272E-2</v>
      </c>
      <c r="BB311" s="21">
        <v>301</v>
      </c>
      <c r="BC311" s="21">
        <v>1.4151</v>
      </c>
      <c r="BD311">
        <f t="shared" si="58"/>
        <v>15.959506172839506</v>
      </c>
      <c r="BE311">
        <f t="shared" si="59"/>
        <v>22.594032483950617</v>
      </c>
    </row>
    <row r="312" spans="6:57" x14ac:dyDescent="0.25">
      <c r="F312" s="9"/>
      <c r="G312" s="21">
        <v>0.21926899999999999</v>
      </c>
      <c r="H312" s="21">
        <v>8.0537600000000005</v>
      </c>
      <c r="I312" s="21">
        <v>-1.5389999999999999E-2</v>
      </c>
      <c r="J312" s="21">
        <v>302</v>
      </c>
      <c r="K312" s="21">
        <v>0.21868899999999999</v>
      </c>
      <c r="L312">
        <f t="shared" si="48"/>
        <v>18.999999999999996</v>
      </c>
      <c r="M312">
        <f t="shared" si="49"/>
        <v>4.166110999999999</v>
      </c>
      <c r="N312" s="9"/>
      <c r="O312" s="21">
        <v>1.42075</v>
      </c>
      <c r="P312" s="21">
        <v>11.7521</v>
      </c>
      <c r="Q312" s="21">
        <v>-1.30432E-2</v>
      </c>
      <c r="R312" s="21">
        <v>302</v>
      </c>
      <c r="S312" s="21">
        <v>1.4202900000000001</v>
      </c>
      <c r="T312">
        <f t="shared" si="50"/>
        <v>16.102716049382714</v>
      </c>
      <c r="U312">
        <f t="shared" si="51"/>
        <v>22.87793382716049</v>
      </c>
      <c r="X312" s="9"/>
      <c r="Y312" s="21">
        <v>0.21926899999999999</v>
      </c>
      <c r="Z312" s="21">
        <v>17.157</v>
      </c>
      <c r="AA312" s="21">
        <v>-1.51031E-2</v>
      </c>
      <c r="AB312" s="21">
        <v>302</v>
      </c>
      <c r="AC312" s="21">
        <v>0.21875</v>
      </c>
      <c r="AD312">
        <f t="shared" si="52"/>
        <v>18.645802469135798</v>
      </c>
      <c r="AE312">
        <f t="shared" si="53"/>
        <v>4.0884464616049376</v>
      </c>
      <c r="AF312" s="9"/>
      <c r="AG312" s="21">
        <v>1.42075</v>
      </c>
      <c r="AH312" s="21">
        <v>20.8553</v>
      </c>
      <c r="AI312" s="21">
        <v>-1.28906E-2</v>
      </c>
      <c r="AJ312" s="21">
        <v>302</v>
      </c>
      <c r="AK312" s="21">
        <v>1.41998</v>
      </c>
      <c r="AL312">
        <f t="shared" si="54"/>
        <v>15.914320987654323</v>
      </c>
      <c r="AM312">
        <f t="shared" si="55"/>
        <v>22.61027154320988</v>
      </c>
      <c r="AP312" s="9"/>
      <c r="AQ312" s="21">
        <v>0.21926899999999999</v>
      </c>
      <c r="AR312" s="21">
        <v>26.252199999999998</v>
      </c>
      <c r="AS312" s="21">
        <v>-1.5020800000000001E-2</v>
      </c>
      <c r="AT312" s="21">
        <v>302</v>
      </c>
      <c r="AU312" s="21">
        <v>0.218719</v>
      </c>
      <c r="AV312">
        <f t="shared" si="56"/>
        <v>18.544197530864199</v>
      </c>
      <c r="AW312">
        <f t="shared" si="57"/>
        <v>4.0661676483950622</v>
      </c>
      <c r="AX312" s="9"/>
      <c r="AY312" s="21">
        <v>1.42075</v>
      </c>
      <c r="AZ312" s="21">
        <v>29.950500000000002</v>
      </c>
      <c r="BA312" s="21">
        <v>-1.2881500000000001E-2</v>
      </c>
      <c r="BB312" s="21">
        <v>302</v>
      </c>
      <c r="BC312" s="21">
        <v>1.4202900000000001</v>
      </c>
      <c r="BD312">
        <f t="shared" si="58"/>
        <v>15.903086419753087</v>
      </c>
      <c r="BE312">
        <f t="shared" si="59"/>
        <v>22.594310030864197</v>
      </c>
    </row>
    <row r="313" spans="6:57" x14ac:dyDescent="0.25">
      <c r="F313" s="9"/>
      <c r="G313" s="21">
        <v>0.21423300000000001</v>
      </c>
      <c r="H313" s="21">
        <v>8.0638299999999994</v>
      </c>
      <c r="I313" s="21">
        <v>-1.53931E-2</v>
      </c>
      <c r="J313" s="21">
        <v>303</v>
      </c>
      <c r="K313" s="21">
        <v>0.21362300000000001</v>
      </c>
      <c r="L313">
        <f t="shared" si="48"/>
        <v>19.003827160493824</v>
      </c>
      <c r="M313">
        <f t="shared" si="49"/>
        <v>4.0712469040740737</v>
      </c>
      <c r="N313" s="9"/>
      <c r="O313" s="21">
        <v>1.42578</v>
      </c>
      <c r="P313" s="21">
        <v>11.7622</v>
      </c>
      <c r="Q313" s="21">
        <v>-1.3003499999999999E-2</v>
      </c>
      <c r="R313" s="21">
        <v>303</v>
      </c>
      <c r="S313" s="21">
        <v>1.42517</v>
      </c>
      <c r="T313">
        <f t="shared" si="50"/>
        <v>16.0537037037037</v>
      </c>
      <c r="U313">
        <f t="shared" si="51"/>
        <v>22.889049666666661</v>
      </c>
      <c r="X313" s="9"/>
      <c r="Y313" s="21">
        <v>0.21423300000000001</v>
      </c>
      <c r="Z313" s="21">
        <v>17.167000000000002</v>
      </c>
      <c r="AA313" s="21">
        <v>-1.51031E-2</v>
      </c>
      <c r="AB313" s="21">
        <v>303</v>
      </c>
      <c r="AC313" s="21">
        <v>0.21374499999999999</v>
      </c>
      <c r="AD313">
        <f t="shared" si="52"/>
        <v>18.645802469135798</v>
      </c>
      <c r="AE313">
        <f t="shared" si="53"/>
        <v>3.9945462003703698</v>
      </c>
      <c r="AF313" s="9"/>
      <c r="AG313" s="21">
        <v>1.42578</v>
      </c>
      <c r="AH313" s="21">
        <v>20.865400000000001</v>
      </c>
      <c r="AI313" s="21">
        <v>-1.2847900000000001E-2</v>
      </c>
      <c r="AJ313" s="21">
        <v>303</v>
      </c>
      <c r="AK313" s="21">
        <v>1.4254800000000001</v>
      </c>
      <c r="AL313">
        <f t="shared" si="54"/>
        <v>15.861604938271604</v>
      </c>
      <c r="AM313">
        <f t="shared" si="55"/>
        <v>22.615159088888888</v>
      </c>
      <c r="AP313" s="9"/>
      <c r="AQ313" s="21">
        <v>0.21423300000000001</v>
      </c>
      <c r="AR313" s="21">
        <v>26.2623</v>
      </c>
      <c r="AS313" s="21">
        <v>-1.5036000000000001E-2</v>
      </c>
      <c r="AT313" s="21">
        <v>303</v>
      </c>
      <c r="AU313" s="21">
        <v>0.213531</v>
      </c>
      <c r="AV313">
        <f t="shared" si="56"/>
        <v>18.562962962962963</v>
      </c>
      <c r="AW313">
        <f t="shared" si="57"/>
        <v>3.9767992444444444</v>
      </c>
      <c r="AX313" s="9"/>
      <c r="AY313" s="21">
        <v>1.42578</v>
      </c>
      <c r="AZ313" s="21">
        <v>29.960599999999999</v>
      </c>
      <c r="BA313" s="21">
        <v>-1.28235E-2</v>
      </c>
      <c r="BB313" s="21">
        <v>303</v>
      </c>
      <c r="BC313" s="21">
        <v>1.42517</v>
      </c>
      <c r="BD313">
        <f t="shared" si="58"/>
        <v>15.831481481481481</v>
      </c>
      <c r="BE313">
        <f t="shared" si="59"/>
        <v>22.572209666666666</v>
      </c>
    </row>
    <row r="314" spans="6:57" x14ac:dyDescent="0.25">
      <c r="F314" s="9"/>
      <c r="G314" s="21">
        <v>0.209198</v>
      </c>
      <c r="H314" s="21">
        <v>8.0739000000000001</v>
      </c>
      <c r="I314" s="21">
        <v>-1.5396099999999999E-2</v>
      </c>
      <c r="J314" s="21">
        <v>304</v>
      </c>
      <c r="K314" s="21">
        <v>0.208679</v>
      </c>
      <c r="L314">
        <f t="shared" si="48"/>
        <v>19.007530864197527</v>
      </c>
      <c r="M314">
        <f t="shared" si="49"/>
        <v>3.9763374417283943</v>
      </c>
      <c r="N314" s="9"/>
      <c r="O314" s="21">
        <v>1.43082</v>
      </c>
      <c r="P314" s="21">
        <v>11.7722</v>
      </c>
      <c r="Q314" s="21">
        <v>-1.29639E-2</v>
      </c>
      <c r="R314" s="21">
        <v>304</v>
      </c>
      <c r="S314" s="21">
        <v>1.4303600000000001</v>
      </c>
      <c r="T314">
        <f t="shared" si="50"/>
        <v>16.004814814814814</v>
      </c>
      <c r="U314">
        <f t="shared" si="51"/>
        <v>22.900009133333331</v>
      </c>
      <c r="X314" s="9"/>
      <c r="Y314" s="21">
        <v>0.209198</v>
      </c>
      <c r="Z314" s="21">
        <v>17.177099999999999</v>
      </c>
      <c r="AA314" s="21">
        <v>-1.5118400000000001E-2</v>
      </c>
      <c r="AB314" s="21">
        <v>304</v>
      </c>
      <c r="AC314" s="21">
        <v>0.208649</v>
      </c>
      <c r="AD314">
        <f t="shared" si="52"/>
        <v>18.66469135802469</v>
      </c>
      <c r="AE314">
        <f t="shared" si="53"/>
        <v>3.9046161027160489</v>
      </c>
      <c r="AF314" s="9"/>
      <c r="AG314" s="21">
        <v>1.43082</v>
      </c>
      <c r="AH314" s="21">
        <v>20.875499999999999</v>
      </c>
      <c r="AI314" s="21">
        <v>-1.28082E-2</v>
      </c>
      <c r="AJ314" s="21">
        <v>304</v>
      </c>
      <c r="AK314" s="21">
        <v>1.4303600000000001</v>
      </c>
      <c r="AL314">
        <f t="shared" si="54"/>
        <v>15.812592592592594</v>
      </c>
      <c r="AM314">
        <f t="shared" si="55"/>
        <v>22.624973733333334</v>
      </c>
      <c r="AP314" s="9"/>
      <c r="AQ314" s="21">
        <v>0.209198</v>
      </c>
      <c r="AR314" s="21">
        <v>26.272300000000001</v>
      </c>
      <c r="AS314" s="21">
        <v>-1.50391E-2</v>
      </c>
      <c r="AT314" s="21">
        <v>304</v>
      </c>
      <c r="AU314" s="21">
        <v>0.208679</v>
      </c>
      <c r="AV314">
        <f t="shared" si="56"/>
        <v>18.566790123456791</v>
      </c>
      <c r="AW314">
        <f t="shared" si="57"/>
        <v>3.8841353602469137</v>
      </c>
      <c r="AX314" s="9"/>
      <c r="AY314" s="21">
        <v>1.43082</v>
      </c>
      <c r="AZ314" s="21">
        <v>29.970700000000001</v>
      </c>
      <c r="BA314" s="21">
        <v>-1.27747E-2</v>
      </c>
      <c r="BB314" s="21">
        <v>304</v>
      </c>
      <c r="BC314" s="21">
        <v>1.43005</v>
      </c>
      <c r="BD314">
        <f t="shared" si="58"/>
        <v>15.771234567901235</v>
      </c>
      <c r="BE314">
        <f t="shared" si="59"/>
        <v>22.565797844444447</v>
      </c>
    </row>
    <row r="315" spans="6:57" x14ac:dyDescent="0.25">
      <c r="F315" s="9"/>
      <c r="G315" s="21">
        <v>0.20416300000000001</v>
      </c>
      <c r="H315" s="21">
        <v>8.0839700000000008</v>
      </c>
      <c r="I315" s="21">
        <v>-1.54053E-2</v>
      </c>
      <c r="J315" s="21">
        <v>305</v>
      </c>
      <c r="K315" s="21">
        <v>0.20352200000000001</v>
      </c>
      <c r="L315">
        <f t="shared" si="48"/>
        <v>19.018888888888888</v>
      </c>
      <c r="M315">
        <f t="shared" si="49"/>
        <v>3.8829534122222222</v>
      </c>
      <c r="N315" s="9"/>
      <c r="O315" s="21">
        <v>1.4358500000000001</v>
      </c>
      <c r="P315" s="21">
        <v>11.782299999999999</v>
      </c>
      <c r="Q315" s="21">
        <v>-1.2936400000000001E-2</v>
      </c>
      <c r="R315" s="21">
        <v>305</v>
      </c>
      <c r="S315" s="21">
        <v>1.4352400000000001</v>
      </c>
      <c r="T315">
        <f t="shared" si="50"/>
        <v>15.970864197530865</v>
      </c>
      <c r="U315">
        <f t="shared" si="51"/>
        <v>22.931765358024695</v>
      </c>
      <c r="X315" s="9"/>
      <c r="Y315" s="21">
        <v>0.20416300000000001</v>
      </c>
      <c r="Z315" s="21">
        <v>17.187200000000001</v>
      </c>
      <c r="AA315" s="21">
        <v>-1.5136699999999999E-2</v>
      </c>
      <c r="AB315" s="21">
        <v>305</v>
      </c>
      <c r="AC315" s="21">
        <v>0.20355200000000001</v>
      </c>
      <c r="AD315">
        <f t="shared" si="52"/>
        <v>18.687283950617282</v>
      </c>
      <c r="AE315">
        <f t="shared" si="53"/>
        <v>3.8152519532098763</v>
      </c>
      <c r="AF315" s="9"/>
      <c r="AG315" s="21">
        <v>1.4358500000000001</v>
      </c>
      <c r="AH315" s="21">
        <v>20.8855</v>
      </c>
      <c r="AI315" s="21">
        <v>-1.27808E-2</v>
      </c>
      <c r="AJ315" s="21">
        <v>305</v>
      </c>
      <c r="AK315" s="21">
        <v>1.4355500000000001</v>
      </c>
      <c r="AL315">
        <f t="shared" si="54"/>
        <v>15.778765432098764</v>
      </c>
      <c r="AM315">
        <f t="shared" si="55"/>
        <v>22.65594034567901</v>
      </c>
      <c r="AP315" s="9"/>
      <c r="AQ315" s="21">
        <v>0.20416300000000001</v>
      </c>
      <c r="AR315" s="21">
        <v>26.282399999999999</v>
      </c>
      <c r="AS315" s="21">
        <v>-1.5042099999999999E-2</v>
      </c>
      <c r="AT315" s="21">
        <v>305</v>
      </c>
      <c r="AU315" s="21">
        <v>0.20349100000000001</v>
      </c>
      <c r="AV315">
        <f t="shared" si="56"/>
        <v>18.570493827160494</v>
      </c>
      <c r="AW315">
        <f t="shared" si="57"/>
        <v>3.791407731234568</v>
      </c>
      <c r="AX315" s="9"/>
      <c r="AY315" s="21">
        <v>1.4358500000000001</v>
      </c>
      <c r="AZ315" s="21">
        <v>29.980799999999999</v>
      </c>
      <c r="BA315" s="21">
        <v>-1.2735E-2</v>
      </c>
      <c r="BB315" s="21">
        <v>305</v>
      </c>
      <c r="BC315" s="21">
        <v>1.4349400000000001</v>
      </c>
      <c r="BD315">
        <f t="shared" si="58"/>
        <v>15.722222222222221</v>
      </c>
      <c r="BE315">
        <f t="shared" si="59"/>
        <v>22.574752777777778</v>
      </c>
    </row>
    <row r="316" spans="6:57" x14ac:dyDescent="0.25">
      <c r="F316" s="9"/>
      <c r="G316" s="21">
        <v>0.199127</v>
      </c>
      <c r="H316" s="21">
        <v>8.0940499999999993</v>
      </c>
      <c r="I316" s="21">
        <v>-1.54144E-2</v>
      </c>
      <c r="J316" s="21">
        <v>306</v>
      </c>
      <c r="K316" s="21">
        <v>0.198578</v>
      </c>
      <c r="L316">
        <f t="shared" si="48"/>
        <v>19.030123456790122</v>
      </c>
      <c r="M316">
        <f t="shared" si="49"/>
        <v>3.7894113935802465</v>
      </c>
      <c r="N316" s="9"/>
      <c r="O316" s="21">
        <v>1.44089</v>
      </c>
      <c r="P316" s="21">
        <v>11.792400000000001</v>
      </c>
      <c r="Q316" s="21">
        <v>-1.2908899999999999E-2</v>
      </c>
      <c r="R316" s="21">
        <v>306</v>
      </c>
      <c r="S316" s="21">
        <v>1.4401200000000001</v>
      </c>
      <c r="T316">
        <f t="shared" si="50"/>
        <v>15.936913580246911</v>
      </c>
      <c r="U316">
        <f t="shared" si="51"/>
        <v>22.963339408641971</v>
      </c>
      <c r="X316" s="9"/>
      <c r="Y316" s="21">
        <v>0.199127</v>
      </c>
      <c r="Z316" s="21">
        <v>17.197299999999998</v>
      </c>
      <c r="AA316" s="21">
        <v>-1.5164199999999999E-2</v>
      </c>
      <c r="AB316" s="21">
        <v>306</v>
      </c>
      <c r="AC316" s="21">
        <v>0.19860800000000001</v>
      </c>
      <c r="AD316">
        <f t="shared" si="52"/>
        <v>18.721234567901234</v>
      </c>
      <c r="AE316">
        <f t="shared" si="53"/>
        <v>3.7279032758024693</v>
      </c>
      <c r="AF316" s="9"/>
      <c r="AG316" s="21">
        <v>1.44089</v>
      </c>
      <c r="AH316" s="21">
        <v>20.895600000000002</v>
      </c>
      <c r="AI316" s="21">
        <v>-1.27502E-2</v>
      </c>
      <c r="AJ316" s="21">
        <v>306</v>
      </c>
      <c r="AK316" s="21">
        <v>1.4398200000000001</v>
      </c>
      <c r="AL316">
        <f t="shared" si="54"/>
        <v>15.740987654320987</v>
      </c>
      <c r="AM316">
        <f t="shared" si="55"/>
        <v>22.681031701234566</v>
      </c>
      <c r="AP316" s="9"/>
      <c r="AQ316" s="21">
        <v>0.199127</v>
      </c>
      <c r="AR316" s="21">
        <v>26.2925</v>
      </c>
      <c r="AS316" s="21">
        <v>-1.50452E-2</v>
      </c>
      <c r="AT316" s="21">
        <v>306</v>
      </c>
      <c r="AU316" s="21">
        <v>0.19869999999999999</v>
      </c>
      <c r="AV316">
        <f t="shared" si="56"/>
        <v>18.574320987654321</v>
      </c>
      <c r="AW316">
        <f t="shared" si="57"/>
        <v>3.6986488153086419</v>
      </c>
      <c r="AX316" s="9"/>
      <c r="AY316" s="21">
        <v>1.44089</v>
      </c>
      <c r="AZ316" s="21">
        <v>29.9908</v>
      </c>
      <c r="BA316" s="21">
        <v>-1.26953E-2</v>
      </c>
      <c r="BB316" s="21">
        <v>306</v>
      </c>
      <c r="BC316" s="21">
        <v>1.4407300000000001</v>
      </c>
      <c r="BD316">
        <f t="shared" si="58"/>
        <v>15.67320987654321</v>
      </c>
      <c r="BE316">
        <f t="shared" si="59"/>
        <v>22.583371379012345</v>
      </c>
    </row>
    <row r="317" spans="6:57" x14ac:dyDescent="0.25">
      <c r="F317" s="9"/>
      <c r="G317" s="21">
        <v>0.19409199999999999</v>
      </c>
      <c r="H317" s="21">
        <v>8.10412</v>
      </c>
      <c r="I317" s="21">
        <v>-1.54205E-2</v>
      </c>
      <c r="J317" s="21">
        <v>307</v>
      </c>
      <c r="K317" s="21">
        <v>0.19354199999999999</v>
      </c>
      <c r="L317">
        <f t="shared" si="48"/>
        <v>19.037654320987656</v>
      </c>
      <c r="M317">
        <f t="shared" si="49"/>
        <v>3.6950564024691359</v>
      </c>
      <c r="N317" s="9"/>
      <c r="O317" s="21">
        <v>1.4459200000000001</v>
      </c>
      <c r="P317" s="21">
        <v>11.8025</v>
      </c>
      <c r="Q317" s="21">
        <v>-1.28693E-2</v>
      </c>
      <c r="R317" s="21">
        <v>307</v>
      </c>
      <c r="S317" s="21">
        <v>1.4453100000000001</v>
      </c>
      <c r="T317">
        <f t="shared" si="50"/>
        <v>15.888024691358023</v>
      </c>
      <c r="U317">
        <f t="shared" si="51"/>
        <v>22.972812661728394</v>
      </c>
      <c r="X317" s="9"/>
      <c r="Y317" s="21">
        <v>0.19409199999999999</v>
      </c>
      <c r="Z317" s="21">
        <v>17.2073</v>
      </c>
      <c r="AA317" s="21">
        <v>-1.5173300000000001E-2</v>
      </c>
      <c r="AB317" s="21">
        <v>307</v>
      </c>
      <c r="AC317" s="21">
        <v>0.19351199999999999</v>
      </c>
      <c r="AD317">
        <f t="shared" si="52"/>
        <v>18.732469135802468</v>
      </c>
      <c r="AE317">
        <f t="shared" si="53"/>
        <v>3.6358223995061723</v>
      </c>
      <c r="AF317" s="9"/>
      <c r="AG317" s="21">
        <v>1.4459200000000001</v>
      </c>
      <c r="AH317" s="21">
        <v>20.9057</v>
      </c>
      <c r="AI317" s="21">
        <v>-1.27136E-2</v>
      </c>
      <c r="AJ317" s="21">
        <v>307</v>
      </c>
      <c r="AK317" s="21">
        <v>1.4453100000000001</v>
      </c>
      <c r="AL317">
        <f t="shared" si="54"/>
        <v>15.695802469135801</v>
      </c>
      <c r="AM317">
        <f t="shared" si="55"/>
        <v>22.69487470617284</v>
      </c>
      <c r="AP317" s="9"/>
      <c r="AQ317" s="21">
        <v>0.19409199999999999</v>
      </c>
      <c r="AR317" s="21">
        <v>26.302600000000002</v>
      </c>
      <c r="AS317" s="21">
        <v>-1.50543E-2</v>
      </c>
      <c r="AT317" s="21">
        <v>307</v>
      </c>
      <c r="AU317" s="21">
        <v>0.193573</v>
      </c>
      <c r="AV317">
        <f t="shared" si="56"/>
        <v>18.585555555555555</v>
      </c>
      <c r="AW317">
        <f t="shared" si="57"/>
        <v>3.6073076488888884</v>
      </c>
      <c r="AX317" s="9"/>
      <c r="AY317" s="21">
        <v>1.4459200000000001</v>
      </c>
      <c r="AZ317" s="21">
        <v>30.000900000000001</v>
      </c>
      <c r="BA317" s="21">
        <v>-1.26526E-2</v>
      </c>
      <c r="BB317" s="21">
        <v>307</v>
      </c>
      <c r="BC317" s="21">
        <v>1.4450099999999999</v>
      </c>
      <c r="BD317">
        <f t="shared" si="58"/>
        <v>15.620493827160493</v>
      </c>
      <c r="BE317">
        <f t="shared" si="59"/>
        <v>22.585984434567902</v>
      </c>
    </row>
    <row r="318" spans="6:57" x14ac:dyDescent="0.25">
      <c r="F318" s="9"/>
      <c r="G318" s="21">
        <v>0.189056</v>
      </c>
      <c r="H318" s="21">
        <v>8.1141900000000007</v>
      </c>
      <c r="I318" s="21">
        <v>-1.54266E-2</v>
      </c>
      <c r="J318" s="21">
        <v>308</v>
      </c>
      <c r="K318" s="21">
        <v>0.18835399999999999</v>
      </c>
      <c r="L318">
        <f t="shared" si="48"/>
        <v>19.045185185185186</v>
      </c>
      <c r="M318">
        <f t="shared" si="49"/>
        <v>3.6006065303703707</v>
      </c>
      <c r="N318" s="9"/>
      <c r="O318" s="21">
        <v>1.45096</v>
      </c>
      <c r="P318" s="21">
        <v>11.8125</v>
      </c>
      <c r="Q318" s="21">
        <v>-1.2826499999999999E-2</v>
      </c>
      <c r="R318" s="21">
        <v>308</v>
      </c>
      <c r="S318" s="21">
        <v>1.4504999999999999</v>
      </c>
      <c r="T318">
        <f t="shared" si="50"/>
        <v>15.835185185185185</v>
      </c>
      <c r="U318">
        <f t="shared" si="51"/>
        <v>22.976220296296297</v>
      </c>
      <c r="X318" s="9"/>
      <c r="Y318" s="21">
        <v>0.189056</v>
      </c>
      <c r="Z318" s="21">
        <v>17.217400000000001</v>
      </c>
      <c r="AA318" s="21">
        <v>-1.51672E-2</v>
      </c>
      <c r="AB318" s="21">
        <v>308</v>
      </c>
      <c r="AC318" s="21">
        <v>0.18847700000000001</v>
      </c>
      <c r="AD318">
        <f t="shared" si="52"/>
        <v>18.724938271604938</v>
      </c>
      <c r="AE318">
        <f t="shared" si="53"/>
        <v>3.540061929876543</v>
      </c>
      <c r="AF318" s="9"/>
      <c r="AG318" s="21">
        <v>1.45096</v>
      </c>
      <c r="AH318" s="21">
        <v>20.915700000000001</v>
      </c>
      <c r="AI318" s="21">
        <v>-1.2674E-2</v>
      </c>
      <c r="AJ318" s="21">
        <v>308</v>
      </c>
      <c r="AK318" s="21">
        <v>1.4498899999999999</v>
      </c>
      <c r="AL318">
        <f t="shared" si="54"/>
        <v>15.646913580246911</v>
      </c>
      <c r="AM318">
        <f t="shared" si="55"/>
        <v>22.703045728395058</v>
      </c>
      <c r="AP318" s="9"/>
      <c r="AQ318" s="21">
        <v>0.189056</v>
      </c>
      <c r="AR318" s="21">
        <v>26.3126</v>
      </c>
      <c r="AS318" s="21">
        <v>-1.50787E-2</v>
      </c>
      <c r="AT318" s="21">
        <v>308</v>
      </c>
      <c r="AU318" s="21">
        <v>0.188416</v>
      </c>
      <c r="AV318">
        <f t="shared" si="56"/>
        <v>18.61567901234568</v>
      </c>
      <c r="AW318">
        <f t="shared" si="57"/>
        <v>3.5194058113580251</v>
      </c>
      <c r="AX318" s="9"/>
      <c r="AY318" s="21">
        <v>1.45096</v>
      </c>
      <c r="AZ318" s="21">
        <v>30.010999999999999</v>
      </c>
      <c r="BA318" s="21">
        <v>-1.26038E-2</v>
      </c>
      <c r="BB318" s="21">
        <v>308</v>
      </c>
      <c r="BC318" s="21">
        <v>1.4511099999999999</v>
      </c>
      <c r="BD318">
        <f t="shared" si="58"/>
        <v>15.560246913580245</v>
      </c>
      <c r="BE318">
        <f t="shared" si="59"/>
        <v>22.577295861728395</v>
      </c>
    </row>
    <row r="319" spans="6:57" x14ac:dyDescent="0.25">
      <c r="F319" s="9"/>
      <c r="G319" s="21">
        <v>0.18402099999999999</v>
      </c>
      <c r="H319" s="21">
        <v>8.1242599999999996</v>
      </c>
      <c r="I319" s="21">
        <v>-1.5429699999999999E-2</v>
      </c>
      <c r="J319" s="21">
        <v>309</v>
      </c>
      <c r="K319" s="21">
        <v>0.18337999999999999</v>
      </c>
      <c r="L319">
        <f t="shared" si="48"/>
        <v>19.04901234567901</v>
      </c>
      <c r="M319">
        <f t="shared" si="49"/>
        <v>3.5054183008641968</v>
      </c>
      <c r="N319" s="9"/>
      <c r="O319" s="21">
        <v>1.4559899999999999</v>
      </c>
      <c r="P319" s="21">
        <v>11.8226</v>
      </c>
      <c r="Q319" s="21">
        <v>-1.27747E-2</v>
      </c>
      <c r="R319" s="21">
        <v>309</v>
      </c>
      <c r="S319" s="21">
        <v>1.4547699999999999</v>
      </c>
      <c r="T319">
        <f t="shared" si="50"/>
        <v>15.771234567901235</v>
      </c>
      <c r="U319">
        <f t="shared" si="51"/>
        <v>22.962759818518517</v>
      </c>
      <c r="X319" s="9"/>
      <c r="Y319" s="21">
        <v>0.18402099999999999</v>
      </c>
      <c r="Z319" s="21">
        <v>17.227499999999999</v>
      </c>
      <c r="AA319" s="21">
        <v>-1.5179399999999999E-2</v>
      </c>
      <c r="AB319" s="21">
        <v>309</v>
      </c>
      <c r="AC319" s="21">
        <v>0.18335000000000001</v>
      </c>
      <c r="AD319">
        <f t="shared" si="52"/>
        <v>18.739999999999995</v>
      </c>
      <c r="AE319">
        <f t="shared" si="53"/>
        <v>3.4485535399999989</v>
      </c>
      <c r="AF319" s="9"/>
      <c r="AG319" s="21">
        <v>1.4559899999999999</v>
      </c>
      <c r="AH319" s="21">
        <v>20.925799999999999</v>
      </c>
      <c r="AI319" s="21">
        <v>-1.2619E-2</v>
      </c>
      <c r="AJ319" s="21">
        <v>309</v>
      </c>
      <c r="AK319" s="21">
        <v>1.4556899999999999</v>
      </c>
      <c r="AL319">
        <f t="shared" si="54"/>
        <v>15.579012345679011</v>
      </c>
      <c r="AM319">
        <f t="shared" si="55"/>
        <v>22.682886185185183</v>
      </c>
      <c r="AP319" s="9"/>
      <c r="AQ319" s="21">
        <v>0.18402099999999999</v>
      </c>
      <c r="AR319" s="21">
        <v>26.322700000000001</v>
      </c>
      <c r="AS319" s="21">
        <v>-1.5094E-2</v>
      </c>
      <c r="AT319" s="21">
        <v>309</v>
      </c>
      <c r="AU319" s="21">
        <v>0.18341099999999999</v>
      </c>
      <c r="AV319">
        <f t="shared" si="56"/>
        <v>18.634567901234568</v>
      </c>
      <c r="AW319">
        <f t="shared" si="57"/>
        <v>3.4291518197530864</v>
      </c>
      <c r="AX319" s="9"/>
      <c r="AY319" s="21">
        <v>1.4559899999999999</v>
      </c>
      <c r="AZ319" s="21">
        <v>30.021000000000001</v>
      </c>
      <c r="BA319" s="21">
        <v>-1.2548800000000001E-2</v>
      </c>
      <c r="BB319" s="21">
        <v>309</v>
      </c>
      <c r="BC319" s="21">
        <v>1.4553799999999999</v>
      </c>
      <c r="BD319">
        <f t="shared" si="58"/>
        <v>15.492345679012345</v>
      </c>
      <c r="BE319">
        <f t="shared" si="59"/>
        <v>22.556700385185184</v>
      </c>
    </row>
    <row r="320" spans="6:57" x14ac:dyDescent="0.25">
      <c r="F320" s="9"/>
      <c r="G320" s="21">
        <v>0.17898600000000001</v>
      </c>
      <c r="H320" s="21">
        <v>8.1343300000000003</v>
      </c>
      <c r="I320" s="21">
        <v>-1.54358E-2</v>
      </c>
      <c r="J320" s="21">
        <v>310</v>
      </c>
      <c r="K320" s="21">
        <v>0.178345</v>
      </c>
      <c r="L320">
        <f t="shared" si="48"/>
        <v>19.056543209876541</v>
      </c>
      <c r="M320">
        <f t="shared" si="49"/>
        <v>3.4108544429629628</v>
      </c>
      <c r="N320" s="9"/>
      <c r="O320" s="21">
        <v>1.4610300000000001</v>
      </c>
      <c r="P320" s="21">
        <v>11.832700000000001</v>
      </c>
      <c r="Q320" s="21">
        <v>-1.2731900000000001E-2</v>
      </c>
      <c r="R320" s="21">
        <v>310</v>
      </c>
      <c r="S320" s="21">
        <v>1.46027</v>
      </c>
      <c r="T320">
        <f t="shared" si="50"/>
        <v>15.718395061728396</v>
      </c>
      <c r="U320">
        <f t="shared" si="51"/>
        <v>22.965046737037039</v>
      </c>
      <c r="X320" s="9"/>
      <c r="Y320" s="21">
        <v>0.17898600000000001</v>
      </c>
      <c r="Z320" s="21">
        <v>17.237500000000001</v>
      </c>
      <c r="AA320" s="21">
        <v>-1.5185499999999999E-2</v>
      </c>
      <c r="AB320" s="21">
        <v>310</v>
      </c>
      <c r="AC320" s="21">
        <v>0.178284</v>
      </c>
      <c r="AD320">
        <f t="shared" si="52"/>
        <v>18.747530864197529</v>
      </c>
      <c r="AE320">
        <f t="shared" si="53"/>
        <v>3.3555455592592591</v>
      </c>
      <c r="AF320" s="9"/>
      <c r="AG320" s="21">
        <v>1.4610300000000001</v>
      </c>
      <c r="AH320" s="21">
        <v>20.9359</v>
      </c>
      <c r="AI320" s="21">
        <v>-1.25702E-2</v>
      </c>
      <c r="AJ320" s="21">
        <v>310</v>
      </c>
      <c r="AK320" s="21">
        <v>1.4605699999999999</v>
      </c>
      <c r="AL320">
        <f t="shared" si="54"/>
        <v>15.518765432098766</v>
      </c>
      <c r="AM320">
        <f t="shared" si="55"/>
        <v>22.673381859259262</v>
      </c>
      <c r="AP320" s="9"/>
      <c r="AQ320" s="21">
        <v>0.17898600000000001</v>
      </c>
      <c r="AR320" s="21">
        <v>26.332799999999999</v>
      </c>
      <c r="AS320" s="21">
        <v>-1.5096999999999999E-2</v>
      </c>
      <c r="AT320" s="21">
        <v>310</v>
      </c>
      <c r="AU320" s="21">
        <v>0.17840600000000001</v>
      </c>
      <c r="AV320">
        <f t="shared" si="56"/>
        <v>18.638271604938272</v>
      </c>
      <c r="AW320">
        <f t="shared" si="57"/>
        <v>3.3359896814814816</v>
      </c>
      <c r="AX320" s="9"/>
      <c r="AY320" s="21">
        <v>1.4610300000000001</v>
      </c>
      <c r="AZ320" s="21">
        <v>30.031099999999999</v>
      </c>
      <c r="BA320" s="21">
        <v>-1.24908E-2</v>
      </c>
      <c r="BB320" s="21">
        <v>310</v>
      </c>
      <c r="BC320" s="21">
        <v>1.4599599999999999</v>
      </c>
      <c r="BD320">
        <f t="shared" si="58"/>
        <v>15.42074074074074</v>
      </c>
      <c r="BE320">
        <f t="shared" si="59"/>
        <v>22.530164844444446</v>
      </c>
    </row>
    <row r="321" spans="6:57" x14ac:dyDescent="0.25">
      <c r="F321" s="9"/>
      <c r="G321" s="21">
        <v>0.17394999999999999</v>
      </c>
      <c r="H321" s="21">
        <v>8.1443999999999992</v>
      </c>
      <c r="I321" s="21">
        <v>-1.54419E-2</v>
      </c>
      <c r="J321" s="21">
        <v>311</v>
      </c>
      <c r="K321" s="21">
        <v>0.17330899999999999</v>
      </c>
      <c r="L321">
        <f t="shared" si="48"/>
        <v>19.064074074074075</v>
      </c>
      <c r="M321">
        <f t="shared" si="49"/>
        <v>3.316195685185185</v>
      </c>
      <c r="N321" s="9"/>
      <c r="O321" s="21">
        <v>1.4660599999999999</v>
      </c>
      <c r="P321" s="21">
        <v>11.842700000000001</v>
      </c>
      <c r="Q321" s="21">
        <v>-1.2674E-2</v>
      </c>
      <c r="R321" s="21">
        <v>311</v>
      </c>
      <c r="S321" s="21">
        <v>1.4654499999999999</v>
      </c>
      <c r="T321">
        <f t="shared" si="50"/>
        <v>15.646913580246911</v>
      </c>
      <c r="U321">
        <f t="shared" si="51"/>
        <v>22.939314123456786</v>
      </c>
      <c r="X321" s="9"/>
      <c r="Y321" s="21">
        <v>0.17394999999999999</v>
      </c>
      <c r="Z321" s="21">
        <v>17.247599999999998</v>
      </c>
      <c r="AA321" s="21">
        <v>-1.5197799999999999E-2</v>
      </c>
      <c r="AB321" s="21">
        <v>311</v>
      </c>
      <c r="AC321" s="21">
        <v>0.17346200000000001</v>
      </c>
      <c r="AD321">
        <f t="shared" si="52"/>
        <v>18.762716049382714</v>
      </c>
      <c r="AE321">
        <f t="shared" si="53"/>
        <v>3.2637744567901228</v>
      </c>
      <c r="AF321" s="9"/>
      <c r="AG321" s="21">
        <v>1.4660599999999999</v>
      </c>
      <c r="AH321" s="21">
        <v>20.946000000000002</v>
      </c>
      <c r="AI321" s="21">
        <v>-1.25244E-2</v>
      </c>
      <c r="AJ321" s="21">
        <v>311</v>
      </c>
      <c r="AK321" s="21">
        <v>1.46515</v>
      </c>
      <c r="AL321">
        <f t="shared" si="54"/>
        <v>15.462222222222222</v>
      </c>
      <c r="AM321">
        <f t="shared" si="55"/>
        <v>22.668545511111109</v>
      </c>
      <c r="AP321" s="9"/>
      <c r="AQ321" s="21">
        <v>0.17394999999999999</v>
      </c>
      <c r="AR321" s="21">
        <v>26.3428</v>
      </c>
      <c r="AS321" s="21">
        <v>-1.51031E-2</v>
      </c>
      <c r="AT321" s="21">
        <v>311</v>
      </c>
      <c r="AU321" s="21">
        <v>0.17337</v>
      </c>
      <c r="AV321">
        <f t="shared" si="56"/>
        <v>18.645802469135798</v>
      </c>
      <c r="AW321">
        <f t="shared" si="57"/>
        <v>3.2434373395061722</v>
      </c>
      <c r="AX321" s="9"/>
      <c r="AY321" s="21">
        <v>1.4660599999999999</v>
      </c>
      <c r="AZ321" s="21">
        <v>30.0412</v>
      </c>
      <c r="BA321" s="21">
        <v>-1.24329E-2</v>
      </c>
      <c r="BB321" s="21">
        <v>311</v>
      </c>
      <c r="BC321" s="21">
        <v>1.46515</v>
      </c>
      <c r="BD321">
        <f t="shared" si="58"/>
        <v>15.349259259259259</v>
      </c>
      <c r="BE321">
        <f t="shared" si="59"/>
        <v>22.502935029629629</v>
      </c>
    </row>
    <row r="322" spans="6:57" x14ac:dyDescent="0.25">
      <c r="F322" s="9"/>
      <c r="G322" s="21">
        <v>0.16891500000000001</v>
      </c>
      <c r="H322" s="21">
        <v>8.1544699999999999</v>
      </c>
      <c r="I322" s="21">
        <v>-1.5448E-2</v>
      </c>
      <c r="J322" s="21">
        <v>312</v>
      </c>
      <c r="K322" s="21">
        <v>0.16842699999999999</v>
      </c>
      <c r="L322">
        <f t="shared" si="48"/>
        <v>19.071604938271605</v>
      </c>
      <c r="M322">
        <f t="shared" si="49"/>
        <v>3.2214801481481485</v>
      </c>
      <c r="N322" s="9"/>
      <c r="O322" s="21">
        <v>1.4711000000000001</v>
      </c>
      <c r="P322" s="21">
        <v>11.8528</v>
      </c>
      <c r="Q322" s="21">
        <v>-1.2619E-2</v>
      </c>
      <c r="R322" s="21">
        <v>312</v>
      </c>
      <c r="S322" s="21">
        <v>1.4706399999999999</v>
      </c>
      <c r="T322">
        <f t="shared" si="50"/>
        <v>15.579012345679011</v>
      </c>
      <c r="U322">
        <f t="shared" si="51"/>
        <v>22.918285061728394</v>
      </c>
      <c r="X322" s="9"/>
      <c r="Y322" s="21">
        <v>0.16891500000000001</v>
      </c>
      <c r="Z322" s="21">
        <v>17.2577</v>
      </c>
      <c r="AA322" s="21">
        <v>-1.52008E-2</v>
      </c>
      <c r="AB322" s="21">
        <v>312</v>
      </c>
      <c r="AC322" s="21">
        <v>0.16839599999999999</v>
      </c>
      <c r="AD322">
        <f t="shared" si="52"/>
        <v>18.766419753086421</v>
      </c>
      <c r="AE322">
        <f t="shared" si="53"/>
        <v>3.1699297925925931</v>
      </c>
      <c r="AF322" s="9"/>
      <c r="AG322" s="21">
        <v>1.4711000000000001</v>
      </c>
      <c r="AH322" s="21">
        <v>20.956</v>
      </c>
      <c r="AI322" s="21">
        <v>-1.24847E-2</v>
      </c>
      <c r="AJ322" s="21">
        <v>312</v>
      </c>
      <c r="AK322" s="21">
        <v>1.47034</v>
      </c>
      <c r="AL322">
        <f t="shared" si="54"/>
        <v>15.413209876543208</v>
      </c>
      <c r="AM322">
        <f t="shared" si="55"/>
        <v>22.674373049382716</v>
      </c>
      <c r="AP322" s="9"/>
      <c r="AQ322" s="21">
        <v>0.16891500000000001</v>
      </c>
      <c r="AR322" s="21">
        <v>26.352900000000002</v>
      </c>
      <c r="AS322" s="21">
        <v>-1.5109300000000001E-2</v>
      </c>
      <c r="AT322" s="21">
        <v>312</v>
      </c>
      <c r="AU322" s="21">
        <v>0.16836499999999999</v>
      </c>
      <c r="AV322">
        <f t="shared" si="56"/>
        <v>18.653456790123457</v>
      </c>
      <c r="AW322">
        <f t="shared" si="57"/>
        <v>3.1508486537037039</v>
      </c>
      <c r="AX322" s="9"/>
      <c r="AY322" s="21">
        <v>1.4711000000000001</v>
      </c>
      <c r="AZ322" s="21">
        <v>30.051300000000001</v>
      </c>
      <c r="BA322" s="21">
        <v>-1.2377900000000001E-2</v>
      </c>
      <c r="BB322" s="21">
        <v>312</v>
      </c>
      <c r="BC322" s="21">
        <v>1.47095</v>
      </c>
      <c r="BD322">
        <f t="shared" si="58"/>
        <v>15.281358024691359</v>
      </c>
      <c r="BE322">
        <f t="shared" si="59"/>
        <v>22.480405790123459</v>
      </c>
    </row>
    <row r="323" spans="6:57" x14ac:dyDescent="0.25">
      <c r="F323" s="9"/>
      <c r="G323" s="21">
        <v>0.163879</v>
      </c>
      <c r="H323" s="21">
        <v>8.1645400000000006</v>
      </c>
      <c r="I323" s="21">
        <v>-1.5450999999999999E-2</v>
      </c>
      <c r="J323" s="21">
        <v>313</v>
      </c>
      <c r="K323" s="21">
        <v>0.16336100000000001</v>
      </c>
      <c r="L323">
        <f t="shared" si="48"/>
        <v>19.075308641975305</v>
      </c>
      <c r="M323">
        <f t="shared" si="49"/>
        <v>3.1260425049382707</v>
      </c>
      <c r="N323" s="9"/>
      <c r="O323" s="21">
        <v>1.47614</v>
      </c>
      <c r="P323" s="21">
        <v>11.8629</v>
      </c>
      <c r="Q323" s="21">
        <v>-1.2554900000000001E-2</v>
      </c>
      <c r="R323" s="21">
        <v>313</v>
      </c>
      <c r="S323" s="21">
        <v>1.47522</v>
      </c>
      <c r="T323">
        <f t="shared" si="50"/>
        <v>15.499876543209876</v>
      </c>
      <c r="U323">
        <f t="shared" si="51"/>
        <v>22.879987760493826</v>
      </c>
      <c r="X323" s="9"/>
      <c r="Y323" s="21">
        <v>0.163879</v>
      </c>
      <c r="Z323" s="21">
        <v>17.267800000000001</v>
      </c>
      <c r="AA323" s="21">
        <v>-1.52008E-2</v>
      </c>
      <c r="AB323" s="21">
        <v>313</v>
      </c>
      <c r="AC323" s="21">
        <v>0.163239</v>
      </c>
      <c r="AD323">
        <f t="shared" si="52"/>
        <v>18.766419753086421</v>
      </c>
      <c r="AE323">
        <f t="shared" si="53"/>
        <v>3.0754221027160495</v>
      </c>
      <c r="AF323" s="9"/>
      <c r="AG323" s="21">
        <v>1.47614</v>
      </c>
      <c r="AH323" s="21">
        <v>20.966100000000001</v>
      </c>
      <c r="AI323" s="21">
        <v>-1.2442E-2</v>
      </c>
      <c r="AJ323" s="21">
        <v>313</v>
      </c>
      <c r="AK323" s="21">
        <v>1.47583</v>
      </c>
      <c r="AL323">
        <f t="shared" si="54"/>
        <v>15.360493827160493</v>
      </c>
      <c r="AM323">
        <f t="shared" si="55"/>
        <v>22.674239358024689</v>
      </c>
      <c r="AP323" s="9"/>
      <c r="AQ323" s="21">
        <v>0.163879</v>
      </c>
      <c r="AR323" s="21">
        <v>26.363</v>
      </c>
      <c r="AS323" s="21">
        <v>-1.51123E-2</v>
      </c>
      <c r="AT323" s="21">
        <v>313</v>
      </c>
      <c r="AU323" s="21">
        <v>0.163269</v>
      </c>
      <c r="AV323">
        <f t="shared" si="56"/>
        <v>18.65716049382716</v>
      </c>
      <c r="AW323">
        <f t="shared" si="57"/>
        <v>3.0575168045679009</v>
      </c>
      <c r="AX323" s="9"/>
      <c r="AY323" s="21">
        <v>1.47614</v>
      </c>
      <c r="AZ323" s="21">
        <v>30.061299999999999</v>
      </c>
      <c r="BA323" s="21">
        <v>-1.2329100000000001E-2</v>
      </c>
      <c r="BB323" s="21">
        <v>313</v>
      </c>
      <c r="BC323" s="21">
        <v>1.4755199999999999</v>
      </c>
      <c r="BD323">
        <f t="shared" si="58"/>
        <v>15.22111111111111</v>
      </c>
      <c r="BE323">
        <f t="shared" si="59"/>
        <v>22.468490955555556</v>
      </c>
    </row>
    <row r="324" spans="6:57" x14ac:dyDescent="0.25">
      <c r="F324" s="9"/>
      <c r="G324" s="21">
        <v>0.15884400000000001</v>
      </c>
      <c r="H324" s="21">
        <v>8.1746099999999995</v>
      </c>
      <c r="I324" s="21">
        <v>-1.54602E-2</v>
      </c>
      <c r="J324" s="21">
        <v>314</v>
      </c>
      <c r="K324" s="21">
        <v>0.15820300000000001</v>
      </c>
      <c r="L324">
        <f t="shared" si="48"/>
        <v>19.086666666666666</v>
      </c>
      <c r="M324">
        <f t="shared" si="49"/>
        <v>3.0318024800000001</v>
      </c>
      <c r="N324" s="9"/>
      <c r="O324" s="21">
        <v>1.4811700000000001</v>
      </c>
      <c r="P324" s="21">
        <v>11.872999999999999</v>
      </c>
      <c r="Q324" s="21">
        <v>-1.24969E-2</v>
      </c>
      <c r="R324" s="21">
        <v>314</v>
      </c>
      <c r="S324" s="21">
        <v>1.48041</v>
      </c>
      <c r="T324">
        <f t="shared" si="50"/>
        <v>15.428271604938271</v>
      </c>
      <c r="U324">
        <f t="shared" si="51"/>
        <v>22.851893053086421</v>
      </c>
      <c r="X324" s="9"/>
      <c r="Y324" s="21">
        <v>0.15884400000000001</v>
      </c>
      <c r="Z324" s="21">
        <v>17.277799999999999</v>
      </c>
      <c r="AA324" s="21">
        <v>-1.52008E-2</v>
      </c>
      <c r="AB324" s="21">
        <v>314</v>
      </c>
      <c r="AC324" s="21">
        <v>0.15817300000000001</v>
      </c>
      <c r="AD324">
        <f t="shared" si="52"/>
        <v>18.766419753086421</v>
      </c>
      <c r="AE324">
        <f t="shared" si="53"/>
        <v>2.9809331792592597</v>
      </c>
      <c r="AF324" s="9"/>
      <c r="AG324" s="21">
        <v>1.4811700000000001</v>
      </c>
      <c r="AH324" s="21">
        <v>20.976199999999999</v>
      </c>
      <c r="AI324" s="21">
        <v>-1.2390099999999999E-2</v>
      </c>
      <c r="AJ324" s="21">
        <v>314</v>
      </c>
      <c r="AK324" s="21">
        <v>1.4801</v>
      </c>
      <c r="AL324">
        <f t="shared" si="54"/>
        <v>15.296419753086418</v>
      </c>
      <c r="AM324">
        <f t="shared" si="55"/>
        <v>22.656598045679011</v>
      </c>
      <c r="AP324" s="9"/>
      <c r="AQ324" s="21">
        <v>0.15884400000000001</v>
      </c>
      <c r="AR324" s="21">
        <v>26.373100000000001</v>
      </c>
      <c r="AS324" s="21">
        <v>-1.51215E-2</v>
      </c>
      <c r="AT324" s="21">
        <v>314</v>
      </c>
      <c r="AU324" s="21">
        <v>0.15829499999999999</v>
      </c>
      <c r="AV324">
        <f t="shared" si="56"/>
        <v>18.668518518518518</v>
      </c>
      <c r="AW324">
        <f t="shared" si="57"/>
        <v>2.9653821555555555</v>
      </c>
      <c r="AX324" s="9"/>
      <c r="AY324" s="21">
        <v>1.4811700000000001</v>
      </c>
      <c r="AZ324" s="21">
        <v>30.071400000000001</v>
      </c>
      <c r="BA324" s="21">
        <v>-1.22833E-2</v>
      </c>
      <c r="BB324" s="21">
        <v>314</v>
      </c>
      <c r="BC324" s="21">
        <v>1.48071</v>
      </c>
      <c r="BD324">
        <f t="shared" si="58"/>
        <v>15.164567901234568</v>
      </c>
      <c r="BE324">
        <f t="shared" si="59"/>
        <v>22.461303038271605</v>
      </c>
    </row>
    <row r="325" spans="6:57" x14ac:dyDescent="0.25">
      <c r="F325" s="9"/>
      <c r="G325" s="21">
        <v>0.153809</v>
      </c>
      <c r="H325" s="21">
        <v>8.1846800000000002</v>
      </c>
      <c r="I325" s="21">
        <v>-1.5466300000000001E-2</v>
      </c>
      <c r="J325" s="21">
        <v>315</v>
      </c>
      <c r="K325" s="21">
        <v>0.153198</v>
      </c>
      <c r="L325">
        <f t="shared" si="48"/>
        <v>19.094197530864196</v>
      </c>
      <c r="M325">
        <f t="shared" si="49"/>
        <v>2.9368594280246914</v>
      </c>
      <c r="N325" s="9"/>
      <c r="O325" s="21">
        <v>1.48621</v>
      </c>
      <c r="P325" s="21">
        <v>11.882999999999999</v>
      </c>
      <c r="Q325" s="21">
        <v>-1.2439E-2</v>
      </c>
      <c r="R325" s="21">
        <v>315</v>
      </c>
      <c r="S325" s="21">
        <v>1.4856</v>
      </c>
      <c r="T325">
        <f t="shared" si="50"/>
        <v>15.35679012345679</v>
      </c>
      <c r="U325">
        <f t="shared" si="51"/>
        <v>22.823415049382717</v>
      </c>
      <c r="X325" s="9"/>
      <c r="Y325" s="21">
        <v>0.153809</v>
      </c>
      <c r="Z325" s="21">
        <v>17.2879</v>
      </c>
      <c r="AA325" s="21">
        <v>-1.5203899999999999E-2</v>
      </c>
      <c r="AB325" s="21">
        <v>315</v>
      </c>
      <c r="AC325" s="21">
        <v>0.153198</v>
      </c>
      <c r="AD325">
        <f t="shared" si="52"/>
        <v>18.770246913580245</v>
      </c>
      <c r="AE325">
        <f t="shared" si="53"/>
        <v>2.8870329075308638</v>
      </c>
      <c r="AF325" s="9"/>
      <c r="AG325" s="21">
        <v>1.48621</v>
      </c>
      <c r="AH325" s="21">
        <v>20.9862</v>
      </c>
      <c r="AI325" s="21">
        <v>-1.2323000000000001E-2</v>
      </c>
      <c r="AJ325" s="21">
        <v>315</v>
      </c>
      <c r="AK325" s="21">
        <v>1.48529</v>
      </c>
      <c r="AL325">
        <f t="shared" si="54"/>
        <v>15.213580246913581</v>
      </c>
      <c r="AM325">
        <f t="shared" si="55"/>
        <v>22.610575098765434</v>
      </c>
      <c r="AP325" s="9"/>
      <c r="AQ325" s="21">
        <v>0.153809</v>
      </c>
      <c r="AR325" s="21">
        <v>26.383099999999999</v>
      </c>
      <c r="AS325" s="21">
        <v>-1.51276E-2</v>
      </c>
      <c r="AT325" s="21">
        <v>315</v>
      </c>
      <c r="AU325" s="21">
        <v>0.153198</v>
      </c>
      <c r="AV325">
        <f t="shared" si="56"/>
        <v>18.676049382716048</v>
      </c>
      <c r="AW325">
        <f t="shared" si="57"/>
        <v>2.8725444795061725</v>
      </c>
      <c r="AX325" s="9"/>
      <c r="AY325" s="21">
        <v>1.48621</v>
      </c>
      <c r="AZ325" s="21">
        <v>30.081499999999998</v>
      </c>
      <c r="BA325" s="21">
        <v>-1.2234500000000001E-2</v>
      </c>
      <c r="BB325" s="21">
        <v>315</v>
      </c>
      <c r="BC325" s="21">
        <v>1.4856</v>
      </c>
      <c r="BD325">
        <f t="shared" si="58"/>
        <v>15.104320987654321</v>
      </c>
      <c r="BE325">
        <f t="shared" si="59"/>
        <v>22.448192895061727</v>
      </c>
    </row>
    <row r="326" spans="6:57" x14ac:dyDescent="0.25">
      <c r="F326" s="9"/>
      <c r="G326" s="21">
        <v>0.14877299999999999</v>
      </c>
      <c r="H326" s="21">
        <v>8.1947600000000005</v>
      </c>
      <c r="I326" s="21">
        <v>-1.54755E-2</v>
      </c>
      <c r="J326" s="21">
        <v>316</v>
      </c>
      <c r="K326" s="21">
        <v>0.14819299999999999</v>
      </c>
      <c r="L326">
        <f t="shared" si="48"/>
        <v>19.105555555555554</v>
      </c>
      <c r="M326">
        <f t="shared" si="49"/>
        <v>2.8423908166666663</v>
      </c>
      <c r="N326" s="9"/>
      <c r="O326" s="21">
        <v>1.4912399999999999</v>
      </c>
      <c r="P326" s="21">
        <v>11.8931</v>
      </c>
      <c r="Q326" s="21">
        <v>-1.2383999999999999E-2</v>
      </c>
      <c r="R326" s="21">
        <v>316</v>
      </c>
      <c r="S326" s="21">
        <v>1.49078</v>
      </c>
      <c r="T326">
        <f t="shared" si="50"/>
        <v>15.288888888888886</v>
      </c>
      <c r="U326">
        <f t="shared" si="51"/>
        <v>22.799402666666662</v>
      </c>
      <c r="X326" s="9"/>
      <c r="Y326" s="21">
        <v>0.14877299999999999</v>
      </c>
      <c r="Z326" s="21">
        <v>17.297999999999998</v>
      </c>
      <c r="AA326" s="21">
        <v>-1.5213000000000001E-2</v>
      </c>
      <c r="AB326" s="21">
        <v>316</v>
      </c>
      <c r="AC326" s="21">
        <v>0.14822399999999999</v>
      </c>
      <c r="AD326">
        <f t="shared" si="52"/>
        <v>18.781481481481482</v>
      </c>
      <c r="AE326">
        <f t="shared" si="53"/>
        <v>2.7941773444444444</v>
      </c>
      <c r="AF326" s="9"/>
      <c r="AG326" s="21">
        <v>1.4912399999999999</v>
      </c>
      <c r="AH326" s="21">
        <v>20.996300000000002</v>
      </c>
      <c r="AI326" s="21">
        <v>-1.2262E-2</v>
      </c>
      <c r="AJ326" s="21">
        <v>316</v>
      </c>
      <c r="AK326" s="21">
        <v>1.49109</v>
      </c>
      <c r="AL326">
        <f t="shared" si="54"/>
        <v>15.138271604938272</v>
      </c>
      <c r="AM326">
        <f t="shared" si="55"/>
        <v>22.574796148148145</v>
      </c>
      <c r="AP326" s="9"/>
      <c r="AQ326" s="21">
        <v>0.14877299999999999</v>
      </c>
      <c r="AR326" s="21">
        <v>26.3932</v>
      </c>
      <c r="AS326" s="21">
        <v>-1.5136699999999999E-2</v>
      </c>
      <c r="AT326" s="21">
        <v>316</v>
      </c>
      <c r="AU326" s="21">
        <v>0.14819299999999999</v>
      </c>
      <c r="AV326">
        <f t="shared" si="56"/>
        <v>18.687283950617282</v>
      </c>
      <c r="AW326">
        <f t="shared" si="57"/>
        <v>2.7801632951851847</v>
      </c>
      <c r="AX326" s="9"/>
      <c r="AY326" s="21">
        <v>1.4912399999999999</v>
      </c>
      <c r="AZ326" s="21">
        <v>30.0915</v>
      </c>
      <c r="BA326" s="21">
        <v>-1.21796E-2</v>
      </c>
      <c r="BB326" s="21">
        <v>316</v>
      </c>
      <c r="BC326" s="21">
        <v>1.48987</v>
      </c>
      <c r="BD326">
        <f t="shared" si="58"/>
        <v>15.036543209876543</v>
      </c>
      <c r="BE326">
        <f t="shared" si="59"/>
        <v>22.423094696296292</v>
      </c>
    </row>
    <row r="327" spans="6:57" x14ac:dyDescent="0.25">
      <c r="F327" s="9"/>
      <c r="G327" s="21">
        <v>0.143738</v>
      </c>
      <c r="H327" s="21">
        <v>8.2048299999999994</v>
      </c>
      <c r="I327" s="21">
        <v>-1.5484599999999999E-2</v>
      </c>
      <c r="J327" s="21">
        <v>317</v>
      </c>
      <c r="K327" s="21">
        <v>0.143127</v>
      </c>
      <c r="L327">
        <f t="shared" si="48"/>
        <v>19.116790123456788</v>
      </c>
      <c r="M327">
        <f t="shared" si="49"/>
        <v>2.747809178765432</v>
      </c>
      <c r="N327" s="9"/>
      <c r="O327" s="21">
        <v>1.4962800000000001</v>
      </c>
      <c r="P327" s="21">
        <v>11.9032</v>
      </c>
      <c r="Q327" s="21">
        <v>-1.2329100000000001E-2</v>
      </c>
      <c r="R327" s="21">
        <v>317</v>
      </c>
      <c r="S327" s="21">
        <v>1.49536</v>
      </c>
      <c r="T327">
        <f t="shared" si="50"/>
        <v>15.22111111111111</v>
      </c>
      <c r="U327">
        <f t="shared" si="51"/>
        <v>22.775044133333331</v>
      </c>
      <c r="X327" s="9"/>
      <c r="Y327" s="21">
        <v>0.143738</v>
      </c>
      <c r="Z327" s="21">
        <v>17.308</v>
      </c>
      <c r="AA327" s="21">
        <v>-1.5219099999999999E-2</v>
      </c>
      <c r="AB327" s="21">
        <v>317</v>
      </c>
      <c r="AC327" s="21">
        <v>0.14318800000000001</v>
      </c>
      <c r="AD327">
        <f t="shared" si="52"/>
        <v>18.789012345679012</v>
      </c>
      <c r="AE327">
        <f t="shared" si="53"/>
        <v>2.7006950565432097</v>
      </c>
      <c r="AF327" s="9"/>
      <c r="AG327" s="21">
        <v>1.4962800000000001</v>
      </c>
      <c r="AH327" s="21">
        <v>21.006399999999999</v>
      </c>
      <c r="AI327" s="21">
        <v>-1.21948E-2</v>
      </c>
      <c r="AJ327" s="21">
        <v>317</v>
      </c>
      <c r="AK327" s="21">
        <v>1.4956700000000001</v>
      </c>
      <c r="AL327">
        <f t="shared" si="54"/>
        <v>15.055308641975309</v>
      </c>
      <c r="AM327">
        <f t="shared" si="55"/>
        <v>22.526957214814814</v>
      </c>
      <c r="AP327" s="9"/>
      <c r="AQ327" s="21">
        <v>0.143738</v>
      </c>
      <c r="AR327" s="21">
        <v>26.403300000000002</v>
      </c>
      <c r="AS327" s="21">
        <v>-1.51489E-2</v>
      </c>
      <c r="AT327" s="21">
        <v>317</v>
      </c>
      <c r="AU327" s="21">
        <v>0.14324999999999999</v>
      </c>
      <c r="AV327">
        <f t="shared" si="56"/>
        <v>18.702345679012346</v>
      </c>
      <c r="AW327">
        <f t="shared" si="57"/>
        <v>2.6882377632098766</v>
      </c>
      <c r="AX327" s="9"/>
      <c r="AY327" s="21">
        <v>1.4962800000000001</v>
      </c>
      <c r="AZ327" s="21">
        <v>30.101600000000001</v>
      </c>
      <c r="BA327" s="21">
        <v>-1.2109399999999999E-2</v>
      </c>
      <c r="BB327" s="21">
        <v>317</v>
      </c>
      <c r="BC327" s="21">
        <v>1.49536</v>
      </c>
      <c r="BD327">
        <f t="shared" si="58"/>
        <v>14.949876543209875</v>
      </c>
      <c r="BE327">
        <f t="shared" si="59"/>
        <v>22.369201274074072</v>
      </c>
    </row>
    <row r="328" spans="6:57" x14ac:dyDescent="0.25">
      <c r="F328" s="9"/>
      <c r="G328" s="21">
        <v>0.13870199999999999</v>
      </c>
      <c r="H328" s="21">
        <v>8.2149000000000001</v>
      </c>
      <c r="I328" s="21">
        <v>-1.54877E-2</v>
      </c>
      <c r="J328" s="21">
        <v>318</v>
      </c>
      <c r="K328" s="21">
        <v>0.138184</v>
      </c>
      <c r="L328">
        <f t="shared" si="48"/>
        <v>19.120617283950615</v>
      </c>
      <c r="M328">
        <f t="shared" si="49"/>
        <v>2.6520678585185182</v>
      </c>
      <c r="N328" s="9"/>
      <c r="O328" s="21">
        <v>1.5013099999999999</v>
      </c>
      <c r="P328" s="21">
        <v>11.9132</v>
      </c>
      <c r="Q328" s="21">
        <v>-1.22772E-2</v>
      </c>
      <c r="R328" s="21">
        <v>318</v>
      </c>
      <c r="S328" s="21">
        <v>1.5005500000000001</v>
      </c>
      <c r="T328">
        <f t="shared" si="50"/>
        <v>15.157037037037037</v>
      </c>
      <c r="U328">
        <f t="shared" si="51"/>
        <v>22.755411274074074</v>
      </c>
      <c r="X328" s="9"/>
      <c r="Y328" s="21">
        <v>0.13870199999999999</v>
      </c>
      <c r="Z328" s="21">
        <v>17.318100000000001</v>
      </c>
      <c r="AA328" s="21">
        <v>-1.5225199999999999E-2</v>
      </c>
      <c r="AB328" s="21">
        <v>318</v>
      </c>
      <c r="AC328" s="21">
        <v>0.138184</v>
      </c>
      <c r="AD328">
        <f t="shared" si="52"/>
        <v>18.796543209876543</v>
      </c>
      <c r="AE328">
        <f t="shared" si="53"/>
        <v>2.6071181362962959</v>
      </c>
      <c r="AF328" s="9"/>
      <c r="AG328" s="21">
        <v>1.5013099999999999</v>
      </c>
      <c r="AH328" s="21">
        <v>21.016500000000001</v>
      </c>
      <c r="AI328" s="21">
        <v>-1.21277E-2</v>
      </c>
      <c r="AJ328" s="21">
        <v>318</v>
      </c>
      <c r="AK328" s="21">
        <v>1.50085</v>
      </c>
      <c r="AL328">
        <f t="shared" si="54"/>
        <v>14.972469135802468</v>
      </c>
      <c r="AM328">
        <f t="shared" si="55"/>
        <v>22.478317638271601</v>
      </c>
      <c r="AP328" s="9"/>
      <c r="AQ328" s="21">
        <v>0.13870199999999999</v>
      </c>
      <c r="AR328" s="21">
        <v>26.4133</v>
      </c>
      <c r="AS328" s="21">
        <v>-1.51611E-2</v>
      </c>
      <c r="AT328" s="21">
        <v>318</v>
      </c>
      <c r="AU328" s="21">
        <v>0.13809199999999999</v>
      </c>
      <c r="AV328">
        <f t="shared" si="56"/>
        <v>18.717407407407403</v>
      </c>
      <c r="AW328">
        <f t="shared" si="57"/>
        <v>2.5961418422222216</v>
      </c>
      <c r="AX328" s="9"/>
      <c r="AY328" s="21">
        <v>1.5013099999999999</v>
      </c>
      <c r="AZ328" s="21">
        <v>30.111699999999999</v>
      </c>
      <c r="BA328" s="21">
        <v>-1.20392E-2</v>
      </c>
      <c r="BB328" s="21">
        <v>318</v>
      </c>
      <c r="BC328" s="21">
        <v>1.5005500000000001</v>
      </c>
      <c r="BD328">
        <f t="shared" si="58"/>
        <v>14.863209876543209</v>
      </c>
      <c r="BE328">
        <f t="shared" si="59"/>
        <v>22.314285619753083</v>
      </c>
    </row>
    <row r="329" spans="6:57" x14ac:dyDescent="0.25">
      <c r="F329" s="9"/>
      <c r="G329" s="21">
        <v>0.13366700000000001</v>
      </c>
      <c r="H329" s="21">
        <v>8.2249700000000008</v>
      </c>
      <c r="I329" s="21">
        <v>-1.54938E-2</v>
      </c>
      <c r="J329" s="21">
        <v>319</v>
      </c>
      <c r="K329" s="21">
        <v>0.13305700000000001</v>
      </c>
      <c r="L329">
        <f t="shared" si="48"/>
        <v>19.128148148148149</v>
      </c>
      <c r="M329">
        <f t="shared" si="49"/>
        <v>2.5568021785185189</v>
      </c>
      <c r="N329" s="9"/>
      <c r="O329" s="21">
        <v>1.5063500000000001</v>
      </c>
      <c r="P329" s="21">
        <v>11.923299999999999</v>
      </c>
      <c r="Q329" s="21">
        <v>-1.22192E-2</v>
      </c>
      <c r="R329" s="21">
        <v>319</v>
      </c>
      <c r="S329" s="21">
        <v>1.50543</v>
      </c>
      <c r="T329">
        <f t="shared" si="50"/>
        <v>15.08543209876543</v>
      </c>
      <c r="U329">
        <f t="shared" si="51"/>
        <v>22.723940641975307</v>
      </c>
      <c r="X329" s="9"/>
      <c r="Y329" s="21">
        <v>0.13366700000000001</v>
      </c>
      <c r="Z329" s="21">
        <v>17.328199999999999</v>
      </c>
      <c r="AA329" s="21">
        <v>-1.52344E-2</v>
      </c>
      <c r="AB329" s="21">
        <v>319</v>
      </c>
      <c r="AC329" s="21">
        <v>0.13314799999999999</v>
      </c>
      <c r="AD329">
        <f t="shared" si="52"/>
        <v>18.8079012345679</v>
      </c>
      <c r="AE329">
        <f t="shared" si="53"/>
        <v>2.5139957343209876</v>
      </c>
      <c r="AF329" s="9"/>
      <c r="AG329" s="21">
        <v>1.5063500000000001</v>
      </c>
      <c r="AH329" s="21">
        <v>21.026499999999999</v>
      </c>
      <c r="AI329" s="21">
        <v>-1.2057500000000001E-2</v>
      </c>
      <c r="AJ329" s="21">
        <v>319</v>
      </c>
      <c r="AK329" s="21">
        <v>1.50543</v>
      </c>
      <c r="AL329">
        <f t="shared" si="54"/>
        <v>14.885802469135802</v>
      </c>
      <c r="AM329">
        <f t="shared" si="55"/>
        <v>22.423228549382717</v>
      </c>
      <c r="AP329" s="9"/>
      <c r="AQ329" s="21">
        <v>0.13366700000000001</v>
      </c>
      <c r="AR329" s="21">
        <v>26.423400000000001</v>
      </c>
      <c r="AS329" s="21">
        <v>-1.51672E-2</v>
      </c>
      <c r="AT329" s="21">
        <v>319</v>
      </c>
      <c r="AU329" s="21">
        <v>0.13311799999999999</v>
      </c>
      <c r="AV329">
        <f t="shared" si="56"/>
        <v>18.724938271604938</v>
      </c>
      <c r="AW329">
        <f t="shared" si="57"/>
        <v>2.5029063239506173</v>
      </c>
      <c r="AX329" s="9"/>
      <c r="AY329" s="21">
        <v>1.5063500000000001</v>
      </c>
      <c r="AZ329" s="21">
        <v>30.121700000000001</v>
      </c>
      <c r="BA329" s="21">
        <v>-1.1969E-2</v>
      </c>
      <c r="BB329" s="21">
        <v>319</v>
      </c>
      <c r="BC329" s="21">
        <v>1.5057400000000001</v>
      </c>
      <c r="BD329">
        <f t="shared" si="58"/>
        <v>14.776543209876543</v>
      </c>
      <c r="BE329">
        <f t="shared" si="59"/>
        <v>22.258645864197533</v>
      </c>
    </row>
    <row r="330" spans="6:57" x14ac:dyDescent="0.25">
      <c r="F330" s="9"/>
      <c r="G330" s="21">
        <v>0.128632</v>
      </c>
      <c r="H330" s="21">
        <v>8.2350399999999997</v>
      </c>
      <c r="I330" s="21">
        <v>-1.54999E-2</v>
      </c>
      <c r="J330" s="21">
        <v>320</v>
      </c>
      <c r="K330" s="21">
        <v>0.128052</v>
      </c>
      <c r="L330">
        <f t="shared" si="48"/>
        <v>19.13567901234568</v>
      </c>
      <c r="M330">
        <f t="shared" si="49"/>
        <v>2.4614606627160494</v>
      </c>
      <c r="N330" s="9"/>
      <c r="O330" s="21">
        <v>1.5113799999999999</v>
      </c>
      <c r="P330" s="21">
        <v>11.933400000000001</v>
      </c>
      <c r="Q330" s="21">
        <v>-1.2149E-2</v>
      </c>
      <c r="R330" s="21">
        <v>320</v>
      </c>
      <c r="S330" s="21">
        <v>1.5106200000000001</v>
      </c>
      <c r="T330">
        <f t="shared" si="50"/>
        <v>14.998765432098764</v>
      </c>
      <c r="U330">
        <f t="shared" si="51"/>
        <v>22.66883409876543</v>
      </c>
      <c r="X330" s="9"/>
      <c r="Y330" s="21">
        <v>0.128632</v>
      </c>
      <c r="Z330" s="21">
        <v>17.3383</v>
      </c>
      <c r="AA330" s="21">
        <v>-1.52496E-2</v>
      </c>
      <c r="AB330" s="21">
        <v>320</v>
      </c>
      <c r="AC330" s="21">
        <v>0.128021</v>
      </c>
      <c r="AD330">
        <f t="shared" si="52"/>
        <v>18.826666666666664</v>
      </c>
      <c r="AE330">
        <f t="shared" si="53"/>
        <v>2.4217117866666662</v>
      </c>
      <c r="AF330" s="9"/>
      <c r="AG330" s="21">
        <v>1.5113799999999999</v>
      </c>
      <c r="AH330" s="21">
        <v>21.0366</v>
      </c>
      <c r="AI330" s="21">
        <v>-1.19843E-2</v>
      </c>
      <c r="AJ330" s="21">
        <v>320</v>
      </c>
      <c r="AK330" s="21">
        <v>1.5100100000000001</v>
      </c>
      <c r="AL330">
        <f t="shared" si="54"/>
        <v>14.795432098765431</v>
      </c>
      <c r="AM330">
        <f t="shared" si="55"/>
        <v>22.361520165432097</v>
      </c>
      <c r="AP330" s="9"/>
      <c r="AQ330" s="21">
        <v>0.128632</v>
      </c>
      <c r="AR330" s="21">
        <v>26.433499999999999</v>
      </c>
      <c r="AS330" s="21">
        <v>-1.5170299999999999E-2</v>
      </c>
      <c r="AT330" s="21">
        <v>320</v>
      </c>
      <c r="AU330" s="21">
        <v>0.128052</v>
      </c>
      <c r="AV330">
        <f t="shared" si="56"/>
        <v>18.728765432098765</v>
      </c>
      <c r="AW330">
        <f t="shared" si="57"/>
        <v>2.4091185550617285</v>
      </c>
      <c r="AX330" s="9"/>
      <c r="AY330" s="21">
        <v>1.5113799999999999</v>
      </c>
      <c r="AZ330" s="21">
        <v>30.131799999999998</v>
      </c>
      <c r="BA330" s="21">
        <v>-1.1898799999999999E-2</v>
      </c>
      <c r="BB330" s="21">
        <v>320</v>
      </c>
      <c r="BC330" s="21">
        <v>1.51031</v>
      </c>
      <c r="BD330">
        <f t="shared" si="58"/>
        <v>14.689876543209873</v>
      </c>
      <c r="BE330">
        <f t="shared" si="59"/>
        <v>22.201985609876537</v>
      </c>
    </row>
    <row r="331" spans="6:57" x14ac:dyDescent="0.25">
      <c r="F331" s="9"/>
      <c r="G331" s="21">
        <v>0.123596</v>
      </c>
      <c r="H331" s="21">
        <v>8.2451100000000004</v>
      </c>
      <c r="I331" s="21">
        <v>-1.54999E-2</v>
      </c>
      <c r="J331" s="21">
        <v>321</v>
      </c>
      <c r="K331" s="21">
        <v>0.123016</v>
      </c>
      <c r="L331">
        <f t="shared" si="48"/>
        <v>19.13567901234568</v>
      </c>
      <c r="M331">
        <f t="shared" si="49"/>
        <v>2.3650933832098766</v>
      </c>
      <c r="N331" s="9"/>
      <c r="O331" s="21">
        <v>1.5164200000000001</v>
      </c>
      <c r="P331" s="21">
        <v>11.9434</v>
      </c>
      <c r="Q331" s="21">
        <v>-1.2075799999999999E-2</v>
      </c>
      <c r="R331" s="21">
        <v>321</v>
      </c>
      <c r="S331" s="21">
        <v>1.5158100000000001</v>
      </c>
      <c r="T331">
        <f t="shared" si="50"/>
        <v>14.908395061728394</v>
      </c>
      <c r="U331">
        <f t="shared" si="51"/>
        <v>22.60738843950617</v>
      </c>
      <c r="X331" s="9"/>
      <c r="Y331" s="21">
        <v>0.123596</v>
      </c>
      <c r="Z331" s="21">
        <v>17.348299999999998</v>
      </c>
      <c r="AA331" s="21">
        <v>-1.5271E-2</v>
      </c>
      <c r="AB331" s="21">
        <v>321</v>
      </c>
      <c r="AC331" s="21">
        <v>0.123047</v>
      </c>
      <c r="AD331">
        <f t="shared" si="52"/>
        <v>18.853086419753083</v>
      </c>
      <c r="AE331">
        <f t="shared" si="53"/>
        <v>2.3301660691358022</v>
      </c>
      <c r="AF331" s="9"/>
      <c r="AG331" s="21">
        <v>1.5164200000000001</v>
      </c>
      <c r="AH331" s="21">
        <v>21.046700000000001</v>
      </c>
      <c r="AI331" s="21">
        <v>-1.19049E-2</v>
      </c>
      <c r="AJ331" s="21">
        <v>321</v>
      </c>
      <c r="AK331" s="21">
        <v>1.5155000000000001</v>
      </c>
      <c r="AL331">
        <f t="shared" si="54"/>
        <v>14.697407407407406</v>
      </c>
      <c r="AM331">
        <f t="shared" si="55"/>
        <v>22.287442540740738</v>
      </c>
      <c r="AP331" s="9"/>
      <c r="AQ331" s="21">
        <v>0.123596</v>
      </c>
      <c r="AR331" s="21">
        <v>26.4436</v>
      </c>
      <c r="AS331" s="21">
        <v>-1.51672E-2</v>
      </c>
      <c r="AT331" s="21">
        <v>321</v>
      </c>
      <c r="AU331" s="21">
        <v>0.122986</v>
      </c>
      <c r="AV331">
        <f t="shared" si="56"/>
        <v>18.724938271604938</v>
      </c>
      <c r="AW331">
        <f t="shared" si="57"/>
        <v>2.3143274706172838</v>
      </c>
      <c r="AX331" s="9"/>
      <c r="AY331" s="21">
        <v>1.5164200000000001</v>
      </c>
      <c r="AZ331" s="21">
        <v>30.1419</v>
      </c>
      <c r="BA331" s="21">
        <v>-1.1831700000000001E-2</v>
      </c>
      <c r="BB331" s="21">
        <v>321</v>
      </c>
      <c r="BC331" s="21">
        <v>1.5158100000000001</v>
      </c>
      <c r="BD331">
        <f t="shared" si="58"/>
        <v>14.607037037037037</v>
      </c>
      <c r="BE331">
        <f t="shared" si="59"/>
        <v>22.150403103703706</v>
      </c>
    </row>
    <row r="332" spans="6:57" x14ac:dyDescent="0.25">
      <c r="F332" s="9"/>
      <c r="G332" s="21">
        <v>0.118561</v>
      </c>
      <c r="H332" s="21">
        <v>8.2551799999999993</v>
      </c>
      <c r="I332" s="21">
        <v>-1.5506000000000001E-2</v>
      </c>
      <c r="J332" s="21">
        <v>322</v>
      </c>
      <c r="K332" s="21">
        <v>0.118011</v>
      </c>
      <c r="L332">
        <f t="shared" ref="L332:L376" si="60">-I332/$F$2*1000</f>
        <v>19.14320987654321</v>
      </c>
      <c r="M332">
        <f t="shared" ref="M332:M376" si="61">L332*G332</f>
        <v>2.2696381061728395</v>
      </c>
      <c r="N332" s="9"/>
      <c r="O332" s="21">
        <v>1.52145</v>
      </c>
      <c r="P332" s="21">
        <v>11.9535</v>
      </c>
      <c r="Q332" s="21">
        <v>-1.19904E-2</v>
      </c>
      <c r="R332" s="21">
        <v>322</v>
      </c>
      <c r="S332" s="21">
        <v>1.5213000000000001</v>
      </c>
      <c r="T332">
        <f t="shared" ref="T332:T376" si="62">-Q332/$F$2*1000</f>
        <v>14.802962962962962</v>
      </c>
      <c r="U332">
        <f t="shared" ref="U332:U376" si="63">T332*O332</f>
        <v>22.521967999999998</v>
      </c>
      <c r="X332" s="9"/>
      <c r="Y332" s="21">
        <v>0.118561</v>
      </c>
      <c r="Z332" s="21">
        <v>17.3584</v>
      </c>
      <c r="AA332" s="21">
        <v>-1.52771E-2</v>
      </c>
      <c r="AB332" s="21">
        <v>322</v>
      </c>
      <c r="AC332" s="21">
        <v>0.11804199999999999</v>
      </c>
      <c r="AD332">
        <f t="shared" ref="AD332:AD376" si="64">-AA332/$F$2*1000</f>
        <v>18.860617283950617</v>
      </c>
      <c r="AE332">
        <f t="shared" ref="AE332:AE376" si="65">AD332*Y332</f>
        <v>2.236133645802469</v>
      </c>
      <c r="AF332" s="9"/>
      <c r="AG332" s="21">
        <v>1.52145</v>
      </c>
      <c r="AH332" s="21">
        <v>21.056699999999999</v>
      </c>
      <c r="AI332" s="21">
        <v>-1.18225E-2</v>
      </c>
      <c r="AJ332" s="21">
        <v>322</v>
      </c>
      <c r="AK332" s="21">
        <v>1.5206900000000001</v>
      </c>
      <c r="AL332">
        <f t="shared" ref="AL332:AL376" si="66">-AI332/$F$2*1000</f>
        <v>14.595679012345677</v>
      </c>
      <c r="AM332">
        <f t="shared" ref="AM332:AM376" si="67">AL332*AG332</f>
        <v>22.206595833333331</v>
      </c>
      <c r="AP332" s="9"/>
      <c r="AQ332" s="21">
        <v>0.118561</v>
      </c>
      <c r="AR332" s="21">
        <v>26.453600000000002</v>
      </c>
      <c r="AS332" s="21">
        <v>-1.5164199999999999E-2</v>
      </c>
      <c r="AT332" s="21">
        <v>322</v>
      </c>
      <c r="AU332" s="21">
        <v>0.11795</v>
      </c>
      <c r="AV332">
        <f t="shared" ref="AV332:AV376" si="68">-AS332/$F$2*1000</f>
        <v>18.721234567901234</v>
      </c>
      <c r="AW332">
        <f t="shared" ref="AW332:AW376" si="69">AV332*AQ332</f>
        <v>2.2196082916049384</v>
      </c>
      <c r="AX332" s="9"/>
      <c r="AY332" s="21">
        <v>1.52145</v>
      </c>
      <c r="AZ332" s="21">
        <v>30.152000000000001</v>
      </c>
      <c r="BA332" s="21">
        <v>-1.17523E-2</v>
      </c>
      <c r="BB332" s="21">
        <v>322</v>
      </c>
      <c r="BC332" s="21">
        <v>1.5209999999999999</v>
      </c>
      <c r="BD332">
        <f t="shared" ref="BD332:BD376" si="70">-BA332/$F$2*1000</f>
        <v>14.509012345679011</v>
      </c>
      <c r="BE332">
        <f t="shared" ref="BE332:BE376" si="71">BD332*AY332</f>
        <v>22.074736833333329</v>
      </c>
    </row>
    <row r="333" spans="6:57" x14ac:dyDescent="0.25">
      <c r="F333" s="9"/>
      <c r="G333" s="21">
        <v>0.113525</v>
      </c>
      <c r="H333" s="21">
        <v>8.26525</v>
      </c>
      <c r="I333" s="21">
        <v>-1.5518199999999999E-2</v>
      </c>
      <c r="J333" s="21">
        <v>323</v>
      </c>
      <c r="K333" s="21">
        <v>0.112885</v>
      </c>
      <c r="L333">
        <f t="shared" si="60"/>
        <v>19.158271604938271</v>
      </c>
      <c r="M333">
        <f t="shared" si="61"/>
        <v>2.174942783950617</v>
      </c>
      <c r="N333" s="9"/>
      <c r="O333" s="21">
        <v>1.5264899999999999</v>
      </c>
      <c r="P333" s="21">
        <v>11.9636</v>
      </c>
      <c r="Q333" s="21">
        <v>-1.18958E-2</v>
      </c>
      <c r="R333" s="21">
        <v>323</v>
      </c>
      <c r="S333" s="21">
        <v>1.5258799999999999</v>
      </c>
      <c r="T333">
        <f t="shared" si="62"/>
        <v>14.686172839506172</v>
      </c>
      <c r="U333">
        <f t="shared" si="63"/>
        <v>22.418295977777774</v>
      </c>
      <c r="X333" s="9"/>
      <c r="Y333" s="21">
        <v>0.113525</v>
      </c>
      <c r="Z333" s="21">
        <v>17.368500000000001</v>
      </c>
      <c r="AA333" s="21">
        <v>-1.52832E-2</v>
      </c>
      <c r="AB333" s="21">
        <v>323</v>
      </c>
      <c r="AC333" s="21">
        <v>0.112946</v>
      </c>
      <c r="AD333">
        <f t="shared" si="64"/>
        <v>18.868148148148148</v>
      </c>
      <c r="AE333">
        <f t="shared" si="65"/>
        <v>2.1420065185185186</v>
      </c>
      <c r="AF333" s="9"/>
      <c r="AG333" s="21">
        <v>1.5264899999999999</v>
      </c>
      <c r="AH333" s="21">
        <v>21.066800000000001</v>
      </c>
      <c r="AI333" s="21">
        <v>-1.17523E-2</v>
      </c>
      <c r="AJ333" s="21">
        <v>323</v>
      </c>
      <c r="AK333" s="21">
        <v>1.5261800000000001</v>
      </c>
      <c r="AL333">
        <f t="shared" si="66"/>
        <v>14.509012345679011</v>
      </c>
      <c r="AM333">
        <f t="shared" si="67"/>
        <v>22.147862255555552</v>
      </c>
      <c r="AP333" s="9"/>
      <c r="AQ333" s="21">
        <v>0.113525</v>
      </c>
      <c r="AR333" s="21">
        <v>26.463699999999999</v>
      </c>
      <c r="AS333" s="21">
        <v>-1.5164199999999999E-2</v>
      </c>
      <c r="AT333" s="21">
        <v>323</v>
      </c>
      <c r="AU333" s="21">
        <v>0.112854</v>
      </c>
      <c r="AV333">
        <f t="shared" si="68"/>
        <v>18.721234567901234</v>
      </c>
      <c r="AW333">
        <f t="shared" si="69"/>
        <v>2.1253281543209877</v>
      </c>
      <c r="AX333" s="9"/>
      <c r="AY333" s="21">
        <v>1.5264899999999999</v>
      </c>
      <c r="AZ333" s="21">
        <v>30.161999999999999</v>
      </c>
      <c r="BA333" s="21">
        <v>-1.16699E-2</v>
      </c>
      <c r="BB333" s="21">
        <v>323</v>
      </c>
      <c r="BC333" s="21">
        <v>1.5255700000000001</v>
      </c>
      <c r="BD333">
        <f t="shared" si="70"/>
        <v>14.407283950617282</v>
      </c>
      <c r="BE333">
        <f t="shared" si="71"/>
        <v>21.992574877777773</v>
      </c>
    </row>
    <row r="334" spans="6:57" x14ac:dyDescent="0.25">
      <c r="F334" s="9"/>
      <c r="G334" s="21">
        <v>0.10849</v>
      </c>
      <c r="H334" s="21">
        <v>8.2753200000000007</v>
      </c>
      <c r="I334" s="21">
        <v>-1.5527300000000001E-2</v>
      </c>
      <c r="J334" s="21">
        <v>324</v>
      </c>
      <c r="K334" s="21">
        <v>0.108032</v>
      </c>
      <c r="L334">
        <f t="shared" si="60"/>
        <v>19.169506172839505</v>
      </c>
      <c r="M334">
        <f t="shared" si="61"/>
        <v>2.0796997246913578</v>
      </c>
      <c r="N334" s="9"/>
      <c r="O334" s="21">
        <v>1.53152</v>
      </c>
      <c r="P334" s="21">
        <v>11.973699999999999</v>
      </c>
      <c r="Q334" s="21">
        <v>-1.18073E-2</v>
      </c>
      <c r="R334" s="21">
        <v>324</v>
      </c>
      <c r="S334" s="21">
        <v>1.5310699999999999</v>
      </c>
      <c r="T334">
        <f t="shared" si="62"/>
        <v>14.576913580246911</v>
      </c>
      <c r="U334">
        <f t="shared" si="63"/>
        <v>22.324834686419749</v>
      </c>
      <c r="X334" s="9"/>
      <c r="Y334" s="21">
        <v>0.10849</v>
      </c>
      <c r="Z334" s="21">
        <v>17.378499999999999</v>
      </c>
      <c r="AA334" s="21">
        <v>-1.52832E-2</v>
      </c>
      <c r="AB334" s="21">
        <v>324</v>
      </c>
      <c r="AC334" s="21">
        <v>0.107941</v>
      </c>
      <c r="AD334">
        <f t="shared" si="64"/>
        <v>18.868148148148148</v>
      </c>
      <c r="AE334">
        <f t="shared" si="65"/>
        <v>2.0470053925925926</v>
      </c>
      <c r="AF334" s="9"/>
      <c r="AG334" s="21">
        <v>1.53152</v>
      </c>
      <c r="AH334" s="21">
        <v>21.076899999999998</v>
      </c>
      <c r="AI334" s="21">
        <v>-1.1682100000000001E-2</v>
      </c>
      <c r="AJ334" s="21">
        <v>324</v>
      </c>
      <c r="AK334" s="21">
        <v>1.5304599999999999</v>
      </c>
      <c r="AL334">
        <f t="shared" si="66"/>
        <v>14.422345679012347</v>
      </c>
      <c r="AM334">
        <f t="shared" si="67"/>
        <v>22.088110854320988</v>
      </c>
      <c r="AP334" s="9"/>
      <c r="AQ334" s="21">
        <v>0.10849</v>
      </c>
      <c r="AR334" s="21">
        <v>26.473800000000001</v>
      </c>
      <c r="AS334" s="21">
        <v>-1.51672E-2</v>
      </c>
      <c r="AT334" s="21">
        <v>324</v>
      </c>
      <c r="AU334" s="21">
        <v>0.10791000000000001</v>
      </c>
      <c r="AV334">
        <f t="shared" si="68"/>
        <v>18.724938271604938</v>
      </c>
      <c r="AW334">
        <f t="shared" si="69"/>
        <v>2.0314685530864196</v>
      </c>
      <c r="AX334" s="9"/>
      <c r="AY334" s="21">
        <v>1.53152</v>
      </c>
      <c r="AZ334" s="21">
        <v>30.1721</v>
      </c>
      <c r="BA334" s="21">
        <v>-1.1593600000000001E-2</v>
      </c>
      <c r="BB334" s="21">
        <v>324</v>
      </c>
      <c r="BC334" s="21">
        <v>1.5307599999999999</v>
      </c>
      <c r="BD334">
        <f t="shared" si="70"/>
        <v>14.313086419753086</v>
      </c>
      <c r="BE334">
        <f t="shared" si="71"/>
        <v>21.920778113580244</v>
      </c>
    </row>
    <row r="335" spans="6:57" x14ac:dyDescent="0.25">
      <c r="F335" s="9"/>
      <c r="G335" s="21">
        <v>0.10345500000000001</v>
      </c>
      <c r="H335" s="21">
        <v>8.2853899999999996</v>
      </c>
      <c r="I335" s="21">
        <v>-1.55365E-2</v>
      </c>
      <c r="J335" s="21">
        <v>325</v>
      </c>
      <c r="K335" s="21">
        <v>0.102814</v>
      </c>
      <c r="L335">
        <f t="shared" si="60"/>
        <v>19.180864197530862</v>
      </c>
      <c r="M335">
        <f t="shared" si="61"/>
        <v>1.9843563055555555</v>
      </c>
      <c r="N335" s="9"/>
      <c r="O335" s="21">
        <v>1.5365599999999999</v>
      </c>
      <c r="P335" s="21">
        <v>11.983700000000001</v>
      </c>
      <c r="Q335" s="21">
        <v>-1.1715700000000001E-2</v>
      </c>
      <c r="R335" s="21">
        <v>325</v>
      </c>
      <c r="S335" s="21">
        <v>1.5359499999999999</v>
      </c>
      <c r="T335">
        <f t="shared" si="62"/>
        <v>14.463827160493826</v>
      </c>
      <c r="U335">
        <f t="shared" si="63"/>
        <v>22.224538261728394</v>
      </c>
      <c r="X335" s="9"/>
      <c r="Y335" s="21">
        <v>0.10345500000000001</v>
      </c>
      <c r="Z335" s="21">
        <v>17.3886</v>
      </c>
      <c r="AA335" s="21">
        <v>-1.5292399999999999E-2</v>
      </c>
      <c r="AB335" s="21">
        <v>325</v>
      </c>
      <c r="AC335" s="21">
        <v>0.10287499999999999</v>
      </c>
      <c r="AD335">
        <f t="shared" si="64"/>
        <v>18.879506172839505</v>
      </c>
      <c r="AE335">
        <f t="shared" si="65"/>
        <v>1.9531793111111111</v>
      </c>
      <c r="AF335" s="9"/>
      <c r="AG335" s="21">
        <v>1.5365599999999999</v>
      </c>
      <c r="AH335" s="21">
        <v>21.0869</v>
      </c>
      <c r="AI335" s="21">
        <v>-1.16028E-2</v>
      </c>
      <c r="AJ335" s="21">
        <v>325</v>
      </c>
      <c r="AK335" s="21">
        <v>1.5359499999999999</v>
      </c>
      <c r="AL335">
        <f t="shared" si="66"/>
        <v>14.324444444444444</v>
      </c>
      <c r="AM335">
        <f t="shared" si="67"/>
        <v>22.010368355555553</v>
      </c>
      <c r="AP335" s="9"/>
      <c r="AQ335" s="21">
        <v>0.10345500000000001</v>
      </c>
      <c r="AR335" s="21">
        <v>26.483799999999999</v>
      </c>
      <c r="AS335" s="21">
        <v>-1.5173300000000001E-2</v>
      </c>
      <c r="AT335" s="21">
        <v>325</v>
      </c>
      <c r="AU335" s="21">
        <v>0.10287499999999999</v>
      </c>
      <c r="AV335">
        <f t="shared" si="68"/>
        <v>18.732469135802468</v>
      </c>
      <c r="AW335">
        <f t="shared" si="69"/>
        <v>1.9379675944444443</v>
      </c>
      <c r="AX335" s="9"/>
      <c r="AY335" s="21">
        <v>1.5365599999999999</v>
      </c>
      <c r="AZ335" s="21">
        <v>30.182200000000002</v>
      </c>
      <c r="BA335" s="21">
        <v>-1.1517299999999999E-2</v>
      </c>
      <c r="BB335" s="21">
        <v>325</v>
      </c>
      <c r="BC335" s="21">
        <v>1.5356399999999999</v>
      </c>
      <c r="BD335">
        <f t="shared" si="70"/>
        <v>14.218888888888888</v>
      </c>
      <c r="BE335">
        <f t="shared" si="71"/>
        <v>21.84817591111111</v>
      </c>
    </row>
    <row r="336" spans="6:57" x14ac:dyDescent="0.25">
      <c r="F336" s="9"/>
      <c r="G336" s="21">
        <v>9.8419199999999998E-2</v>
      </c>
      <c r="H336" s="21">
        <v>8.2954699999999999</v>
      </c>
      <c r="I336" s="21">
        <v>-1.5533399999999999E-2</v>
      </c>
      <c r="J336" s="21">
        <v>326</v>
      </c>
      <c r="K336" s="21">
        <v>9.7869899999999996E-2</v>
      </c>
      <c r="L336">
        <f t="shared" si="60"/>
        <v>19.177037037037035</v>
      </c>
      <c r="M336">
        <f t="shared" si="61"/>
        <v>1.8873886435555554</v>
      </c>
      <c r="N336" s="9"/>
      <c r="O336" s="21">
        <v>1.5416000000000001</v>
      </c>
      <c r="P336" s="21">
        <v>11.9938</v>
      </c>
      <c r="Q336" s="21">
        <v>-1.1621100000000001E-2</v>
      </c>
      <c r="R336" s="21">
        <v>326</v>
      </c>
      <c r="S336" s="21">
        <v>1.5408299999999999</v>
      </c>
      <c r="T336">
        <f t="shared" si="62"/>
        <v>14.347037037037037</v>
      </c>
      <c r="U336">
        <f t="shared" si="63"/>
        <v>22.117392296296298</v>
      </c>
      <c r="X336" s="9"/>
      <c r="Y336" s="21">
        <v>9.8419199999999998E-2</v>
      </c>
      <c r="Z336" s="21">
        <v>17.398700000000002</v>
      </c>
      <c r="AA336" s="21">
        <v>-1.52985E-2</v>
      </c>
      <c r="AB336" s="21">
        <v>326</v>
      </c>
      <c r="AC336" s="21">
        <v>9.7961400000000004E-2</v>
      </c>
      <c r="AD336">
        <f t="shared" si="64"/>
        <v>18.887037037037036</v>
      </c>
      <c r="AE336">
        <f t="shared" si="65"/>
        <v>1.8588470755555555</v>
      </c>
      <c r="AF336" s="9"/>
      <c r="AG336" s="21">
        <v>1.5416000000000001</v>
      </c>
      <c r="AH336" s="21">
        <v>21.097000000000001</v>
      </c>
      <c r="AI336" s="21">
        <v>-1.15234E-2</v>
      </c>
      <c r="AJ336" s="21">
        <v>326</v>
      </c>
      <c r="AK336" s="21">
        <v>1.5408299999999999</v>
      </c>
      <c r="AL336">
        <f t="shared" si="66"/>
        <v>14.226419753086418</v>
      </c>
      <c r="AM336">
        <f t="shared" si="67"/>
        <v>21.931448691358025</v>
      </c>
      <c r="AP336" s="9"/>
      <c r="AQ336" s="21">
        <v>9.8419199999999998E-2</v>
      </c>
      <c r="AR336" s="21">
        <v>26.4939</v>
      </c>
      <c r="AS336" s="21">
        <v>-1.51764E-2</v>
      </c>
      <c r="AT336" s="21">
        <v>326</v>
      </c>
      <c r="AU336" s="21">
        <v>9.7747799999999996E-2</v>
      </c>
      <c r="AV336">
        <f t="shared" si="68"/>
        <v>18.736296296296295</v>
      </c>
      <c r="AW336">
        <f t="shared" si="69"/>
        <v>1.8440112924444443</v>
      </c>
      <c r="AX336" s="9"/>
      <c r="AY336" s="21">
        <v>1.5416000000000001</v>
      </c>
      <c r="AZ336" s="21">
        <v>30.1922</v>
      </c>
      <c r="BA336" s="21">
        <v>-1.14349E-2</v>
      </c>
      <c r="BB336" s="21">
        <v>326</v>
      </c>
      <c r="BC336" s="21">
        <v>1.54114</v>
      </c>
      <c r="BD336">
        <f t="shared" si="70"/>
        <v>14.117160493827161</v>
      </c>
      <c r="BE336">
        <f t="shared" si="71"/>
        <v>21.76301461728395</v>
      </c>
    </row>
    <row r="337" spans="6:57" x14ac:dyDescent="0.25">
      <c r="F337" s="9"/>
      <c r="G337" s="21">
        <v>9.3383800000000003E-2</v>
      </c>
      <c r="H337" s="21">
        <v>8.3055400000000006</v>
      </c>
      <c r="I337" s="21">
        <v>-1.55365E-2</v>
      </c>
      <c r="J337" s="21">
        <v>327</v>
      </c>
      <c r="K337" s="21">
        <v>9.2803999999999998E-2</v>
      </c>
      <c r="L337">
        <f t="shared" si="60"/>
        <v>19.180864197530862</v>
      </c>
      <c r="M337">
        <f t="shared" si="61"/>
        <v>1.7911819860493825</v>
      </c>
      <c r="N337" s="9"/>
      <c r="O337" s="21">
        <v>1.5466299999999999</v>
      </c>
      <c r="P337" s="21">
        <v>12.0039</v>
      </c>
      <c r="Q337" s="21">
        <v>-1.15295E-2</v>
      </c>
      <c r="R337" s="21">
        <v>327</v>
      </c>
      <c r="S337" s="21">
        <v>1.54572</v>
      </c>
      <c r="T337">
        <f t="shared" si="62"/>
        <v>14.23395061728395</v>
      </c>
      <c r="U337">
        <f t="shared" si="63"/>
        <v>22.014655043209874</v>
      </c>
      <c r="X337" s="9"/>
      <c r="Y337" s="21">
        <v>9.3383800000000003E-2</v>
      </c>
      <c r="Z337" s="21">
        <v>17.408799999999999</v>
      </c>
      <c r="AA337" s="21">
        <v>-1.53107E-2</v>
      </c>
      <c r="AB337" s="21">
        <v>327</v>
      </c>
      <c r="AC337" s="21">
        <v>9.2803999999999998E-2</v>
      </c>
      <c r="AD337">
        <f t="shared" si="64"/>
        <v>18.9020987654321</v>
      </c>
      <c r="AE337">
        <f t="shared" si="65"/>
        <v>1.7651498106913583</v>
      </c>
      <c r="AF337" s="9"/>
      <c r="AG337" s="21">
        <v>1.5466299999999999</v>
      </c>
      <c r="AH337" s="21">
        <v>21.107099999999999</v>
      </c>
      <c r="AI337" s="21">
        <v>-1.14319E-2</v>
      </c>
      <c r="AJ337" s="21">
        <v>327</v>
      </c>
      <c r="AK337" s="21">
        <v>1.54633</v>
      </c>
      <c r="AL337">
        <f t="shared" si="66"/>
        <v>14.113456790123456</v>
      </c>
      <c r="AM337">
        <f t="shared" si="67"/>
        <v>21.828295675308638</v>
      </c>
      <c r="AP337" s="9"/>
      <c r="AQ337" s="21">
        <v>9.3383800000000003E-2</v>
      </c>
      <c r="AR337" s="21">
        <v>26.504000000000001</v>
      </c>
      <c r="AS337" s="21">
        <v>-1.5179399999999999E-2</v>
      </c>
      <c r="AT337" s="21">
        <v>327</v>
      </c>
      <c r="AU337" s="21">
        <v>9.2773400000000006E-2</v>
      </c>
      <c r="AV337">
        <f t="shared" si="68"/>
        <v>18.739999999999995</v>
      </c>
      <c r="AW337">
        <f t="shared" si="69"/>
        <v>1.7500124119999996</v>
      </c>
      <c r="AX337" s="9"/>
      <c r="AY337" s="21">
        <v>1.5466299999999999</v>
      </c>
      <c r="AZ337" s="21">
        <v>30.202300000000001</v>
      </c>
      <c r="BA337" s="21">
        <v>-1.13373E-2</v>
      </c>
      <c r="BB337" s="21">
        <v>327</v>
      </c>
      <c r="BC337" s="21">
        <v>1.5466299999999999</v>
      </c>
      <c r="BD337">
        <f t="shared" si="70"/>
        <v>13.996666666666666</v>
      </c>
      <c r="BE337">
        <f t="shared" si="71"/>
        <v>21.647664566666666</v>
      </c>
    </row>
    <row r="338" spans="6:57" x14ac:dyDescent="0.25">
      <c r="F338" s="9"/>
      <c r="G338" s="21">
        <v>8.8348399999999994E-2</v>
      </c>
      <c r="H338" s="21">
        <v>8.3156099999999995</v>
      </c>
      <c r="I338" s="21">
        <v>-1.5539600000000001E-2</v>
      </c>
      <c r="J338" s="21">
        <v>328</v>
      </c>
      <c r="K338" s="21">
        <v>8.7737999999999997E-2</v>
      </c>
      <c r="L338">
        <f t="shared" si="60"/>
        <v>19.18469135802469</v>
      </c>
      <c r="M338">
        <f t="shared" si="61"/>
        <v>1.6949367859753084</v>
      </c>
      <c r="N338" s="9"/>
      <c r="O338" s="21">
        <v>1.5516700000000001</v>
      </c>
      <c r="P338" s="21">
        <v>12.0139</v>
      </c>
      <c r="Q338" s="21">
        <v>-1.14471E-2</v>
      </c>
      <c r="R338" s="21">
        <v>328</v>
      </c>
      <c r="S338" s="21">
        <v>1.5506</v>
      </c>
      <c r="T338">
        <f t="shared" si="62"/>
        <v>14.132222222222222</v>
      </c>
      <c r="U338">
        <f t="shared" si="63"/>
        <v>21.928545255555555</v>
      </c>
      <c r="X338" s="9"/>
      <c r="Y338" s="21">
        <v>8.8348399999999994E-2</v>
      </c>
      <c r="Z338" s="21">
        <v>17.418800000000001</v>
      </c>
      <c r="AA338" s="21">
        <v>-1.53198E-2</v>
      </c>
      <c r="AB338" s="21">
        <v>328</v>
      </c>
      <c r="AC338" s="21">
        <v>8.7768600000000002E-2</v>
      </c>
      <c r="AD338">
        <f t="shared" si="64"/>
        <v>18.91333333333333</v>
      </c>
      <c r="AE338">
        <f t="shared" si="65"/>
        <v>1.6709627386666663</v>
      </c>
      <c r="AF338" s="9"/>
      <c r="AG338" s="21">
        <v>1.5516700000000001</v>
      </c>
      <c r="AH338" s="21">
        <v>21.1172</v>
      </c>
      <c r="AI338" s="21">
        <v>-1.1334199999999999E-2</v>
      </c>
      <c r="AJ338" s="21">
        <v>328</v>
      </c>
      <c r="AK338" s="21">
        <v>1.55121</v>
      </c>
      <c r="AL338">
        <f t="shared" si="66"/>
        <v>13.992839506172839</v>
      </c>
      <c r="AM338">
        <f t="shared" si="67"/>
        <v>21.712269276543211</v>
      </c>
      <c r="AP338" s="9"/>
      <c r="AQ338" s="21">
        <v>8.8348399999999994E-2</v>
      </c>
      <c r="AR338" s="21">
        <v>26.514099999999999</v>
      </c>
      <c r="AS338" s="21">
        <v>-1.51886E-2</v>
      </c>
      <c r="AT338" s="21">
        <v>328</v>
      </c>
      <c r="AU338" s="21">
        <v>8.7890599999999999E-2</v>
      </c>
      <c r="AV338">
        <f t="shared" si="68"/>
        <v>18.751358024691356</v>
      </c>
      <c r="AW338">
        <f t="shared" si="69"/>
        <v>1.6566524793086417</v>
      </c>
      <c r="AX338" s="9"/>
      <c r="AY338" s="21">
        <v>1.5516700000000001</v>
      </c>
      <c r="AZ338" s="21">
        <v>30.212399999999999</v>
      </c>
      <c r="BA338" s="21">
        <v>-1.12335E-2</v>
      </c>
      <c r="BB338" s="21">
        <v>328</v>
      </c>
      <c r="BC338" s="21">
        <v>1.5508999999999999</v>
      </c>
      <c r="BD338">
        <f t="shared" si="70"/>
        <v>13.868518518518519</v>
      </c>
      <c r="BE338">
        <f t="shared" si="71"/>
        <v>21.519364129629633</v>
      </c>
    </row>
    <row r="339" spans="6:57" x14ac:dyDescent="0.25">
      <c r="F339" s="9"/>
      <c r="G339" s="21">
        <v>8.3312999999999998E-2</v>
      </c>
      <c r="H339" s="21">
        <v>8.3256800000000002</v>
      </c>
      <c r="I339" s="21">
        <v>-1.55487E-2</v>
      </c>
      <c r="J339" s="21">
        <v>329</v>
      </c>
      <c r="K339" s="21">
        <v>8.2733200000000007E-2</v>
      </c>
      <c r="L339">
        <f t="shared" si="60"/>
        <v>19.195925925925927</v>
      </c>
      <c r="M339">
        <f t="shared" si="61"/>
        <v>1.5992701766666668</v>
      </c>
      <c r="N339" s="9"/>
      <c r="O339" s="21">
        <v>1.5567</v>
      </c>
      <c r="P339" s="21">
        <v>12.023999999999999</v>
      </c>
      <c r="Q339" s="21">
        <v>-1.13586E-2</v>
      </c>
      <c r="R339" s="21">
        <v>329</v>
      </c>
      <c r="S339" s="21">
        <v>1.55548</v>
      </c>
      <c r="T339">
        <f t="shared" si="62"/>
        <v>14.022962962962962</v>
      </c>
      <c r="U339">
        <f t="shared" si="63"/>
        <v>21.829546444444443</v>
      </c>
      <c r="X339" s="9"/>
      <c r="Y339" s="21">
        <v>8.3312999999999998E-2</v>
      </c>
      <c r="Z339" s="21">
        <v>17.428899999999999</v>
      </c>
      <c r="AA339" s="21">
        <v>-1.53381E-2</v>
      </c>
      <c r="AB339" s="21">
        <v>329</v>
      </c>
      <c r="AC339" s="21">
        <v>8.2672099999999998E-2</v>
      </c>
      <c r="AD339">
        <f t="shared" si="64"/>
        <v>18.935925925925925</v>
      </c>
      <c r="AE339">
        <f t="shared" si="65"/>
        <v>1.5776087966666665</v>
      </c>
      <c r="AF339" s="9"/>
      <c r="AG339" s="21">
        <v>1.5567</v>
      </c>
      <c r="AH339" s="21">
        <v>21.127199999999998</v>
      </c>
      <c r="AI339" s="21">
        <v>-1.1239600000000001E-2</v>
      </c>
      <c r="AJ339" s="21">
        <v>329</v>
      </c>
      <c r="AK339" s="21">
        <v>1.55609</v>
      </c>
      <c r="AL339">
        <f t="shared" si="66"/>
        <v>13.876049382716049</v>
      </c>
      <c r="AM339">
        <f t="shared" si="67"/>
        <v>21.600846074074074</v>
      </c>
      <c r="AP339" s="9"/>
      <c r="AQ339" s="21">
        <v>8.3312999999999998E-2</v>
      </c>
      <c r="AR339" s="21">
        <v>26.524100000000001</v>
      </c>
      <c r="AS339" s="21">
        <v>-1.5191700000000001E-2</v>
      </c>
      <c r="AT339" s="21">
        <v>329</v>
      </c>
      <c r="AU339" s="21">
        <v>8.2763699999999996E-2</v>
      </c>
      <c r="AV339">
        <f t="shared" si="68"/>
        <v>18.755185185185184</v>
      </c>
      <c r="AW339">
        <f t="shared" si="69"/>
        <v>1.5625507433333332</v>
      </c>
      <c r="AX339" s="9"/>
      <c r="AY339" s="21">
        <v>1.5567</v>
      </c>
      <c r="AZ339" s="21">
        <v>30.2225</v>
      </c>
      <c r="BA339" s="21">
        <v>-1.1135900000000001E-2</v>
      </c>
      <c r="BB339" s="21">
        <v>329</v>
      </c>
      <c r="BC339" s="21">
        <v>1.5564</v>
      </c>
      <c r="BD339">
        <f t="shared" si="70"/>
        <v>13.748024691358024</v>
      </c>
      <c r="BE339">
        <f t="shared" si="71"/>
        <v>21.401550037037037</v>
      </c>
    </row>
    <row r="340" spans="6:57" x14ac:dyDescent="0.25">
      <c r="F340" s="9"/>
      <c r="G340" s="21">
        <v>7.8277600000000003E-2</v>
      </c>
      <c r="H340" s="21">
        <v>8.3357500000000009</v>
      </c>
      <c r="I340" s="21">
        <v>-1.5551799999999999E-2</v>
      </c>
      <c r="J340" s="21">
        <v>330</v>
      </c>
      <c r="K340" s="21">
        <v>7.7667200000000006E-2</v>
      </c>
      <c r="L340">
        <f t="shared" si="60"/>
        <v>19.199753086419751</v>
      </c>
      <c r="M340">
        <f t="shared" si="61"/>
        <v>1.5029105921975308</v>
      </c>
      <c r="N340" s="9"/>
      <c r="O340" s="21">
        <v>1.5617399999999999</v>
      </c>
      <c r="P340" s="21">
        <v>12.0341</v>
      </c>
      <c r="Q340" s="21">
        <v>-1.1273200000000001E-2</v>
      </c>
      <c r="R340" s="21">
        <v>330</v>
      </c>
      <c r="S340" s="21">
        <v>1.56128</v>
      </c>
      <c r="T340">
        <f t="shared" si="62"/>
        <v>13.917530864197531</v>
      </c>
      <c r="U340">
        <f t="shared" si="63"/>
        <v>21.735564651851849</v>
      </c>
      <c r="X340" s="9"/>
      <c r="Y340" s="21">
        <v>7.8277600000000003E-2</v>
      </c>
      <c r="Z340" s="21">
        <v>17.439</v>
      </c>
      <c r="AA340" s="21">
        <v>-1.5350300000000001E-2</v>
      </c>
      <c r="AB340" s="21">
        <v>330</v>
      </c>
      <c r="AC340" s="21">
        <v>7.7758800000000003E-2</v>
      </c>
      <c r="AD340">
        <f t="shared" si="64"/>
        <v>18.95098765432099</v>
      </c>
      <c r="AE340">
        <f t="shared" si="65"/>
        <v>1.4834378312098768</v>
      </c>
      <c r="AF340" s="9"/>
      <c r="AG340" s="21">
        <v>1.5617399999999999</v>
      </c>
      <c r="AH340" s="21">
        <v>21.1373</v>
      </c>
      <c r="AI340" s="21">
        <v>-1.1135900000000001E-2</v>
      </c>
      <c r="AJ340" s="21">
        <v>330</v>
      </c>
      <c r="AK340" s="21">
        <v>1.56097</v>
      </c>
      <c r="AL340">
        <f t="shared" si="66"/>
        <v>13.748024691358024</v>
      </c>
      <c r="AM340">
        <f t="shared" si="67"/>
        <v>21.47084008148148</v>
      </c>
      <c r="AP340" s="9"/>
      <c r="AQ340" s="21">
        <v>7.8277600000000003E-2</v>
      </c>
      <c r="AR340" s="21">
        <v>26.534199999999998</v>
      </c>
      <c r="AS340" s="21">
        <v>-1.5203899999999999E-2</v>
      </c>
      <c r="AT340" s="21">
        <v>330</v>
      </c>
      <c r="AU340" s="21">
        <v>7.7636700000000003E-2</v>
      </c>
      <c r="AV340">
        <f t="shared" si="68"/>
        <v>18.770246913580245</v>
      </c>
      <c r="AW340">
        <f t="shared" si="69"/>
        <v>1.4692898798024689</v>
      </c>
      <c r="AX340" s="9"/>
      <c r="AY340" s="21">
        <v>1.5617399999999999</v>
      </c>
      <c r="AZ340" s="21">
        <v>30.232500000000002</v>
      </c>
      <c r="BA340" s="21">
        <v>-1.10443E-2</v>
      </c>
      <c r="BB340" s="21">
        <v>330</v>
      </c>
      <c r="BC340" s="21">
        <v>1.56097</v>
      </c>
      <c r="BD340">
        <f t="shared" si="70"/>
        <v>13.634938271604938</v>
      </c>
      <c r="BE340">
        <f t="shared" si="71"/>
        <v>21.294228496296295</v>
      </c>
    </row>
    <row r="341" spans="6:57" x14ac:dyDescent="0.25">
      <c r="F341" s="9"/>
      <c r="G341" s="21">
        <v>7.3242199999999993E-2</v>
      </c>
      <c r="H341" s="21">
        <v>8.3458199999999998</v>
      </c>
      <c r="I341" s="21">
        <v>-1.5551799999999999E-2</v>
      </c>
      <c r="J341" s="21">
        <v>331</v>
      </c>
      <c r="K341" s="21">
        <v>7.2662400000000002E-2</v>
      </c>
      <c r="L341">
        <f t="shared" si="60"/>
        <v>19.199753086419751</v>
      </c>
      <c r="M341">
        <f t="shared" si="61"/>
        <v>1.4062321555061725</v>
      </c>
      <c r="N341" s="9"/>
      <c r="O341" s="21">
        <v>1.56677</v>
      </c>
      <c r="P341" s="21">
        <v>12.0442</v>
      </c>
      <c r="Q341" s="21">
        <v>-1.11755E-2</v>
      </c>
      <c r="R341" s="21">
        <v>331</v>
      </c>
      <c r="S341" s="21">
        <v>1.56616</v>
      </c>
      <c r="T341">
        <f t="shared" si="62"/>
        <v>13.796913580246912</v>
      </c>
      <c r="U341">
        <f t="shared" si="63"/>
        <v>21.616590290123455</v>
      </c>
      <c r="X341" s="9"/>
      <c r="Y341" s="21">
        <v>7.3242199999999993E-2</v>
      </c>
      <c r="Z341" s="21">
        <v>17.449000000000002</v>
      </c>
      <c r="AA341" s="21">
        <v>-1.5356399999999999E-2</v>
      </c>
      <c r="AB341" s="21">
        <v>331</v>
      </c>
      <c r="AC341" s="21">
        <v>7.2662400000000002E-2</v>
      </c>
      <c r="AD341">
        <f t="shared" si="64"/>
        <v>18.958518518518517</v>
      </c>
      <c r="AE341">
        <f t="shared" si="65"/>
        <v>1.3885636050370367</v>
      </c>
      <c r="AF341" s="9"/>
      <c r="AG341" s="21">
        <v>1.56677</v>
      </c>
      <c r="AH341" s="21">
        <v>21.147400000000001</v>
      </c>
      <c r="AI341" s="21">
        <v>-1.1025999999999999E-2</v>
      </c>
      <c r="AJ341" s="21">
        <v>331</v>
      </c>
      <c r="AK341" s="21">
        <v>1.56586</v>
      </c>
      <c r="AL341">
        <f t="shared" si="66"/>
        <v>13.612345679012344</v>
      </c>
      <c r="AM341">
        <f t="shared" si="67"/>
        <v>21.327414839506172</v>
      </c>
      <c r="AP341" s="9"/>
      <c r="AQ341" s="21">
        <v>7.3242199999999993E-2</v>
      </c>
      <c r="AR341" s="21">
        <v>26.5443</v>
      </c>
      <c r="AS341" s="21">
        <v>-1.521E-2</v>
      </c>
      <c r="AT341" s="21">
        <v>331</v>
      </c>
      <c r="AU341" s="21">
        <v>7.2631799999999996E-2</v>
      </c>
      <c r="AV341">
        <f t="shared" si="68"/>
        <v>18.777777777777775</v>
      </c>
      <c r="AW341">
        <f t="shared" si="69"/>
        <v>1.3753257555555551</v>
      </c>
      <c r="AX341" s="9"/>
      <c r="AY341" s="21">
        <v>1.56677</v>
      </c>
      <c r="AZ341" s="21">
        <v>30.242599999999999</v>
      </c>
      <c r="BA341" s="21">
        <v>-1.09436E-2</v>
      </c>
      <c r="BB341" s="21">
        <v>331</v>
      </c>
      <c r="BC341" s="21">
        <v>1.56647</v>
      </c>
      <c r="BD341">
        <f t="shared" si="70"/>
        <v>13.510617283950616</v>
      </c>
      <c r="BE341">
        <f t="shared" si="71"/>
        <v>21.168029841975308</v>
      </c>
    </row>
    <row r="342" spans="6:57" x14ac:dyDescent="0.25">
      <c r="F342" s="9"/>
      <c r="G342" s="21">
        <v>6.8206799999999998E-2</v>
      </c>
      <c r="H342" s="21">
        <v>8.3558900000000005</v>
      </c>
      <c r="I342" s="21">
        <v>-1.55579E-2</v>
      </c>
      <c r="J342" s="21">
        <v>332</v>
      </c>
      <c r="K342" s="21">
        <v>6.7718500000000001E-2</v>
      </c>
      <c r="L342">
        <f t="shared" si="60"/>
        <v>19.207283950617281</v>
      </c>
      <c r="M342">
        <f t="shared" si="61"/>
        <v>1.3100673749629628</v>
      </c>
      <c r="N342" s="9"/>
      <c r="O342" s="21">
        <v>1.5718099999999999</v>
      </c>
      <c r="P342" s="21">
        <v>12.0542</v>
      </c>
      <c r="Q342" s="21">
        <v>-1.10779E-2</v>
      </c>
      <c r="R342" s="21">
        <v>332</v>
      </c>
      <c r="S342" s="21">
        <v>1.57104</v>
      </c>
      <c r="T342">
        <f t="shared" si="62"/>
        <v>13.676419753086419</v>
      </c>
      <c r="U342">
        <f t="shared" si="63"/>
        <v>21.496733332098763</v>
      </c>
      <c r="X342" s="9"/>
      <c r="Y342" s="21">
        <v>6.8206799999999998E-2</v>
      </c>
      <c r="Z342" s="21">
        <v>17.459099999999999</v>
      </c>
      <c r="AA342" s="21">
        <v>-1.5356399999999999E-2</v>
      </c>
      <c r="AB342" s="21">
        <v>332</v>
      </c>
      <c r="AC342" s="21">
        <v>6.7627000000000007E-2</v>
      </c>
      <c r="AD342">
        <f t="shared" si="64"/>
        <v>18.958518518518517</v>
      </c>
      <c r="AE342">
        <f t="shared" si="65"/>
        <v>1.2930998808888887</v>
      </c>
      <c r="AF342" s="9"/>
      <c r="AG342" s="21">
        <v>1.5718099999999999</v>
      </c>
      <c r="AH342" s="21">
        <v>21.157399999999999</v>
      </c>
      <c r="AI342" s="21">
        <v>-1.09192E-2</v>
      </c>
      <c r="AJ342" s="21">
        <v>332</v>
      </c>
      <c r="AK342" s="21">
        <v>1.57135</v>
      </c>
      <c r="AL342">
        <f t="shared" si="66"/>
        <v>13.480493827160494</v>
      </c>
      <c r="AM342">
        <f t="shared" si="67"/>
        <v>21.188775002469136</v>
      </c>
      <c r="AP342" s="9"/>
      <c r="AQ342" s="21">
        <v>6.8206799999999998E-2</v>
      </c>
      <c r="AR342" s="21">
        <v>26.554300000000001</v>
      </c>
      <c r="AS342" s="21">
        <v>-1.521E-2</v>
      </c>
      <c r="AT342" s="21">
        <v>332</v>
      </c>
      <c r="AU342" s="21">
        <v>6.7657499999999995E-2</v>
      </c>
      <c r="AV342">
        <f t="shared" si="68"/>
        <v>18.777777777777775</v>
      </c>
      <c r="AW342">
        <f t="shared" si="69"/>
        <v>1.2807721333333331</v>
      </c>
      <c r="AX342" s="9"/>
      <c r="AY342" s="21">
        <v>1.5718099999999999</v>
      </c>
      <c r="AZ342" s="21">
        <v>30.252700000000001</v>
      </c>
      <c r="BA342" s="21">
        <v>-1.08307E-2</v>
      </c>
      <c r="BB342" s="21">
        <v>332</v>
      </c>
      <c r="BC342" s="21">
        <v>1.57104</v>
      </c>
      <c r="BD342">
        <f t="shared" si="70"/>
        <v>13.371234567901235</v>
      </c>
      <c r="BE342">
        <f t="shared" si="71"/>
        <v>21.01704020617284</v>
      </c>
    </row>
    <row r="343" spans="6:57" x14ac:dyDescent="0.25">
      <c r="F343" s="9"/>
      <c r="G343" s="21">
        <v>6.3171400000000003E-2</v>
      </c>
      <c r="H343" s="21">
        <v>8.3659599999999994</v>
      </c>
      <c r="I343" s="21">
        <v>-1.5560900000000001E-2</v>
      </c>
      <c r="J343" s="21">
        <v>333</v>
      </c>
      <c r="K343" s="21">
        <v>6.2652600000000003E-2</v>
      </c>
      <c r="L343">
        <f t="shared" si="60"/>
        <v>19.210987654320988</v>
      </c>
      <c r="M343">
        <f t="shared" si="61"/>
        <v>1.2135849855061729</v>
      </c>
      <c r="N343" s="9"/>
      <c r="O343" s="21">
        <v>1.57684</v>
      </c>
      <c r="P343" s="21">
        <v>12.064299999999999</v>
      </c>
      <c r="Q343" s="21">
        <v>-1.0958900000000001E-2</v>
      </c>
      <c r="R343" s="21">
        <v>333</v>
      </c>
      <c r="S343" s="21">
        <v>1.57623</v>
      </c>
      <c r="T343">
        <f t="shared" si="62"/>
        <v>13.529506172839508</v>
      </c>
      <c r="U343">
        <f t="shared" si="63"/>
        <v>21.333866513580251</v>
      </c>
      <c r="X343" s="9"/>
      <c r="Y343" s="21">
        <v>6.3171400000000003E-2</v>
      </c>
      <c r="Z343" s="21">
        <v>17.469200000000001</v>
      </c>
      <c r="AA343" s="21">
        <v>-1.5362499999999999E-2</v>
      </c>
      <c r="AB343" s="21">
        <v>333</v>
      </c>
      <c r="AC343" s="21">
        <v>6.2561000000000005E-2</v>
      </c>
      <c r="AD343">
        <f t="shared" si="64"/>
        <v>18.966049382716047</v>
      </c>
      <c r="AE343">
        <f t="shared" si="65"/>
        <v>1.1981118919753087</v>
      </c>
      <c r="AF343" s="9"/>
      <c r="AG343" s="21">
        <v>1.57684</v>
      </c>
      <c r="AH343" s="21">
        <v>21.1675</v>
      </c>
      <c r="AI343" s="21">
        <v>-1.0791E-2</v>
      </c>
      <c r="AJ343" s="21">
        <v>333</v>
      </c>
      <c r="AK343" s="21">
        <v>1.5765400000000001</v>
      </c>
      <c r="AL343">
        <f t="shared" si="66"/>
        <v>13.322222222222221</v>
      </c>
      <c r="AM343">
        <f t="shared" si="67"/>
        <v>21.007012888888887</v>
      </c>
      <c r="AP343" s="9"/>
      <c r="AQ343" s="21">
        <v>6.3171400000000003E-2</v>
      </c>
      <c r="AR343" s="21">
        <v>26.564399999999999</v>
      </c>
      <c r="AS343" s="21">
        <v>-1.5219099999999999E-2</v>
      </c>
      <c r="AT343" s="21">
        <v>333</v>
      </c>
      <c r="AU343" s="21">
        <v>6.2591599999999997E-2</v>
      </c>
      <c r="AV343">
        <f t="shared" si="68"/>
        <v>18.789012345679012</v>
      </c>
      <c r="AW343">
        <f t="shared" si="69"/>
        <v>1.1869282144938271</v>
      </c>
      <c r="AX343" s="9"/>
      <c r="AY343" s="21">
        <v>1.57684</v>
      </c>
      <c r="AZ343" s="21">
        <v>30.262699999999999</v>
      </c>
      <c r="BA343" s="21">
        <v>-1.07086E-2</v>
      </c>
      <c r="BB343" s="21">
        <v>333</v>
      </c>
      <c r="BC343" s="21">
        <v>1.5765400000000001</v>
      </c>
      <c r="BD343">
        <f t="shared" si="70"/>
        <v>13.220493827160492</v>
      </c>
      <c r="BE343">
        <f t="shared" si="71"/>
        <v>20.846603486419752</v>
      </c>
    </row>
    <row r="344" spans="6:57" x14ac:dyDescent="0.25">
      <c r="F344" s="9"/>
      <c r="G344" s="21">
        <v>5.8136E-2</v>
      </c>
      <c r="H344" s="21">
        <v>8.3760300000000001</v>
      </c>
      <c r="I344" s="21">
        <v>-1.5566999999999999E-2</v>
      </c>
      <c r="J344" s="21">
        <v>334</v>
      </c>
      <c r="K344" s="21">
        <v>5.7403599999999999E-2</v>
      </c>
      <c r="L344">
        <f t="shared" si="60"/>
        <v>19.218518518518518</v>
      </c>
      <c r="M344">
        <f t="shared" si="61"/>
        <v>1.1172877925925926</v>
      </c>
      <c r="N344" s="9"/>
      <c r="O344" s="21">
        <v>1.58188</v>
      </c>
      <c r="P344" s="21">
        <v>12.074400000000001</v>
      </c>
      <c r="Q344" s="21">
        <v>-1.0842900000000001E-2</v>
      </c>
      <c r="R344" s="21">
        <v>334</v>
      </c>
      <c r="S344" s="21">
        <v>1.5817300000000001</v>
      </c>
      <c r="T344">
        <f t="shared" si="62"/>
        <v>13.386296296296297</v>
      </c>
      <c r="U344">
        <f t="shared" si="63"/>
        <v>21.175514385185185</v>
      </c>
      <c r="X344" s="9"/>
      <c r="Y344" s="21">
        <v>5.8136E-2</v>
      </c>
      <c r="Z344" s="21">
        <v>17.479299999999999</v>
      </c>
      <c r="AA344" s="21">
        <v>-1.5374799999999999E-2</v>
      </c>
      <c r="AB344" s="21">
        <v>334</v>
      </c>
      <c r="AC344" s="21">
        <v>5.7434100000000002E-2</v>
      </c>
      <c r="AD344">
        <f t="shared" si="64"/>
        <v>18.981234567901232</v>
      </c>
      <c r="AE344">
        <f t="shared" si="65"/>
        <v>1.1034930528395062</v>
      </c>
      <c r="AF344" s="9"/>
      <c r="AG344" s="21">
        <v>1.58188</v>
      </c>
      <c r="AH344" s="21">
        <v>21.177600000000002</v>
      </c>
      <c r="AI344" s="21">
        <v>-1.0665900000000001E-2</v>
      </c>
      <c r="AJ344" s="21">
        <v>334</v>
      </c>
      <c r="AK344" s="21">
        <v>1.5811200000000001</v>
      </c>
      <c r="AL344">
        <f t="shared" si="66"/>
        <v>13.167777777777779</v>
      </c>
      <c r="AM344">
        <f t="shared" si="67"/>
        <v>20.829844311111113</v>
      </c>
      <c r="AP344" s="9"/>
      <c r="AQ344" s="21">
        <v>5.8136E-2</v>
      </c>
      <c r="AR344" s="21">
        <v>26.5745</v>
      </c>
      <c r="AS344" s="21">
        <v>-1.5225199999999999E-2</v>
      </c>
      <c r="AT344" s="21">
        <v>334</v>
      </c>
      <c r="AU344" s="21">
        <v>5.76172E-2</v>
      </c>
      <c r="AV344">
        <f t="shared" si="68"/>
        <v>18.796543209876543</v>
      </c>
      <c r="AW344">
        <f t="shared" si="69"/>
        <v>1.0927558360493828</v>
      </c>
      <c r="AX344" s="9"/>
      <c r="AY344" s="21">
        <v>1.58188</v>
      </c>
      <c r="AZ344" s="21">
        <v>30.2728</v>
      </c>
      <c r="BA344" s="21">
        <v>-1.05804E-2</v>
      </c>
      <c r="BB344" s="21">
        <v>334</v>
      </c>
      <c r="BC344" s="21">
        <v>1.5811200000000001</v>
      </c>
      <c r="BD344">
        <f t="shared" si="70"/>
        <v>13.062222222222221</v>
      </c>
      <c r="BE344">
        <f t="shared" si="71"/>
        <v>20.662868088888885</v>
      </c>
    </row>
    <row r="345" spans="6:57" x14ac:dyDescent="0.25">
      <c r="F345" s="9"/>
      <c r="G345" s="21">
        <v>5.3100599999999998E-2</v>
      </c>
      <c r="H345" s="21">
        <v>8.3861000000000008</v>
      </c>
      <c r="I345" s="21">
        <v>-1.55762E-2</v>
      </c>
      <c r="J345" s="21">
        <v>335</v>
      </c>
      <c r="K345" s="21">
        <v>5.2490200000000001E-2</v>
      </c>
      <c r="L345">
        <f t="shared" si="60"/>
        <v>19.229876543209876</v>
      </c>
      <c r="M345">
        <f t="shared" si="61"/>
        <v>1.0211179823703702</v>
      </c>
      <c r="N345" s="9"/>
      <c r="O345" s="21">
        <v>1.58691</v>
      </c>
      <c r="P345" s="21">
        <v>12.0844</v>
      </c>
      <c r="Q345" s="21">
        <v>-1.07086E-2</v>
      </c>
      <c r="R345" s="21">
        <v>335</v>
      </c>
      <c r="S345" s="21">
        <v>1.5863</v>
      </c>
      <c r="T345">
        <f t="shared" si="62"/>
        <v>13.220493827160492</v>
      </c>
      <c r="U345">
        <f t="shared" si="63"/>
        <v>20.979733859259259</v>
      </c>
      <c r="X345" s="9"/>
      <c r="Y345" s="21">
        <v>5.3100599999999998E-2</v>
      </c>
      <c r="Z345" s="21">
        <v>17.4893</v>
      </c>
      <c r="AA345" s="21">
        <v>-1.5374799999999999E-2</v>
      </c>
      <c r="AB345" s="21">
        <v>335</v>
      </c>
      <c r="AC345" s="21">
        <v>5.2490200000000001E-2</v>
      </c>
      <c r="AD345">
        <f t="shared" si="64"/>
        <v>18.981234567901232</v>
      </c>
      <c r="AE345">
        <f t="shared" si="65"/>
        <v>1.0079149442962962</v>
      </c>
      <c r="AF345" s="9"/>
      <c r="AG345" s="21">
        <v>1.58691</v>
      </c>
      <c r="AH345" s="21">
        <v>21.1877</v>
      </c>
      <c r="AI345" s="21">
        <v>-1.0534699999999999E-2</v>
      </c>
      <c r="AJ345" s="21">
        <v>335</v>
      </c>
      <c r="AK345" s="21">
        <v>1.5863</v>
      </c>
      <c r="AL345">
        <f t="shared" si="66"/>
        <v>13.0058024691358</v>
      </c>
      <c r="AM345">
        <f t="shared" si="67"/>
        <v>20.639037996296292</v>
      </c>
      <c r="AP345" s="9"/>
      <c r="AQ345" s="21">
        <v>5.3100599999999998E-2</v>
      </c>
      <c r="AR345" s="21">
        <v>26.584499999999998</v>
      </c>
      <c r="AS345" s="21">
        <v>-1.52344E-2</v>
      </c>
      <c r="AT345" s="21">
        <v>335</v>
      </c>
      <c r="AU345" s="21">
        <v>5.2642799999999997E-2</v>
      </c>
      <c r="AV345">
        <f t="shared" si="68"/>
        <v>18.8079012345679</v>
      </c>
      <c r="AW345">
        <f t="shared" si="69"/>
        <v>0.9987108402962962</v>
      </c>
      <c r="AX345" s="9"/>
      <c r="AY345" s="21">
        <v>1.58691</v>
      </c>
      <c r="AZ345" s="21">
        <v>30.282900000000001</v>
      </c>
      <c r="BA345" s="21">
        <v>-1.0449200000000001E-2</v>
      </c>
      <c r="BB345" s="21">
        <v>335</v>
      </c>
      <c r="BC345" s="21">
        <v>1.5860000000000001</v>
      </c>
      <c r="BD345">
        <f t="shared" si="70"/>
        <v>12.900246913580247</v>
      </c>
      <c r="BE345">
        <f t="shared" si="71"/>
        <v>20.471530829629632</v>
      </c>
    </row>
    <row r="346" spans="6:57" x14ac:dyDescent="0.25">
      <c r="F346" s="9"/>
      <c r="G346" s="21">
        <v>4.8065200000000002E-2</v>
      </c>
      <c r="H346" s="21">
        <v>8.3961799999999993</v>
      </c>
      <c r="I346" s="21">
        <v>-1.55792E-2</v>
      </c>
      <c r="J346" s="21">
        <v>336</v>
      </c>
      <c r="K346" s="21">
        <v>4.7961400000000001E-2</v>
      </c>
      <c r="L346">
        <f t="shared" si="60"/>
        <v>19.233580246913579</v>
      </c>
      <c r="M346">
        <f t="shared" si="61"/>
        <v>0.92446588128395057</v>
      </c>
      <c r="N346" s="9"/>
      <c r="O346" s="21">
        <v>1.59195</v>
      </c>
      <c r="P346" s="21">
        <v>12.0945</v>
      </c>
      <c r="Q346" s="21">
        <v>-1.0577400000000001E-2</v>
      </c>
      <c r="R346" s="21">
        <v>336</v>
      </c>
      <c r="S346" s="21">
        <v>1.5914900000000001</v>
      </c>
      <c r="T346">
        <f t="shared" si="62"/>
        <v>13.058518518518518</v>
      </c>
      <c r="U346">
        <f t="shared" si="63"/>
        <v>20.788508555555556</v>
      </c>
      <c r="X346" s="9"/>
      <c r="Y346" s="21">
        <v>4.8065200000000002E-2</v>
      </c>
      <c r="Z346" s="21">
        <v>17.499400000000001</v>
      </c>
      <c r="AA346" s="21">
        <v>-1.5374799999999999E-2</v>
      </c>
      <c r="AB346" s="21">
        <v>336</v>
      </c>
      <c r="AC346" s="21">
        <v>4.7985800000000002E-2</v>
      </c>
      <c r="AD346">
        <f t="shared" si="64"/>
        <v>18.981234567901232</v>
      </c>
      <c r="AE346">
        <f t="shared" si="65"/>
        <v>0.91233683575308633</v>
      </c>
      <c r="AF346" s="9"/>
      <c r="AG346" s="21">
        <v>1.59195</v>
      </c>
      <c r="AH346" s="21">
        <v>21.197700000000001</v>
      </c>
      <c r="AI346" s="21">
        <v>-1.0406500000000001E-2</v>
      </c>
      <c r="AJ346" s="21">
        <v>336</v>
      </c>
      <c r="AK346" s="21">
        <v>1.5911900000000001</v>
      </c>
      <c r="AL346">
        <f t="shared" si="66"/>
        <v>12.84753086419753</v>
      </c>
      <c r="AM346">
        <f t="shared" si="67"/>
        <v>20.452626759259257</v>
      </c>
      <c r="AP346" s="9"/>
      <c r="AQ346" s="21">
        <v>4.8065200000000002E-2</v>
      </c>
      <c r="AR346" s="21">
        <v>26.5946</v>
      </c>
      <c r="AS346" s="21">
        <v>-1.52496E-2</v>
      </c>
      <c r="AT346" s="21">
        <v>336</v>
      </c>
      <c r="AU346" s="21">
        <v>4.7982799999999999E-2</v>
      </c>
      <c r="AV346">
        <f t="shared" si="68"/>
        <v>18.826666666666664</v>
      </c>
      <c r="AW346">
        <f t="shared" si="69"/>
        <v>0.90490749866666664</v>
      </c>
      <c r="AX346" s="9"/>
      <c r="AY346" s="21">
        <v>1.59195</v>
      </c>
      <c r="AZ346" s="21">
        <v>30.292999999999999</v>
      </c>
      <c r="BA346" s="21">
        <v>-1.03088E-2</v>
      </c>
      <c r="BB346" s="21">
        <v>336</v>
      </c>
      <c r="BC346" s="21">
        <v>1.5918000000000001</v>
      </c>
      <c r="BD346">
        <f t="shared" si="70"/>
        <v>12.726913580246912</v>
      </c>
      <c r="BE346">
        <f t="shared" si="71"/>
        <v>20.260610074074069</v>
      </c>
    </row>
    <row r="347" spans="6:57" x14ac:dyDescent="0.25">
      <c r="F347" s="9"/>
      <c r="G347" s="21">
        <v>4.30298E-2</v>
      </c>
      <c r="H347" s="21">
        <v>8.40625</v>
      </c>
      <c r="I347" s="21">
        <v>-1.55914E-2</v>
      </c>
      <c r="J347" s="21">
        <v>337</v>
      </c>
      <c r="K347" s="21">
        <v>4.2819200000000002E-2</v>
      </c>
      <c r="L347">
        <f t="shared" si="60"/>
        <v>19.24864197530864</v>
      </c>
      <c r="M347">
        <f t="shared" si="61"/>
        <v>0.8282652144691357</v>
      </c>
      <c r="N347" s="9"/>
      <c r="O347" s="21">
        <v>1.5969800000000001</v>
      </c>
      <c r="P347" s="21">
        <v>12.1046</v>
      </c>
      <c r="Q347" s="21">
        <v>-1.0437E-2</v>
      </c>
      <c r="R347" s="21">
        <v>337</v>
      </c>
      <c r="S347" s="21">
        <v>1.5963700000000001</v>
      </c>
      <c r="T347">
        <f t="shared" si="62"/>
        <v>12.885185185185184</v>
      </c>
      <c r="U347">
        <f t="shared" si="63"/>
        <v>20.577383037037038</v>
      </c>
      <c r="X347" s="9"/>
      <c r="Y347" s="21">
        <v>4.30298E-2</v>
      </c>
      <c r="Z347" s="21">
        <v>17.509499999999999</v>
      </c>
      <c r="AA347" s="21">
        <v>-1.5387E-2</v>
      </c>
      <c r="AB347" s="21">
        <v>337</v>
      </c>
      <c r="AC347" s="21">
        <v>4.2965700000000003E-2</v>
      </c>
      <c r="AD347">
        <f t="shared" si="64"/>
        <v>18.996296296296297</v>
      </c>
      <c r="AE347">
        <f t="shared" si="65"/>
        <v>0.81740683037037043</v>
      </c>
      <c r="AF347" s="9"/>
      <c r="AG347" s="21">
        <v>1.5969800000000001</v>
      </c>
      <c r="AH347" s="21">
        <v>21.207799999999999</v>
      </c>
      <c r="AI347" s="21">
        <v>-1.02722E-2</v>
      </c>
      <c r="AJ347" s="21">
        <v>337</v>
      </c>
      <c r="AK347" s="21">
        <v>1.5966800000000001</v>
      </c>
      <c r="AL347">
        <f t="shared" si="66"/>
        <v>12.681728395061727</v>
      </c>
      <c r="AM347">
        <f t="shared" si="67"/>
        <v>20.252466612345678</v>
      </c>
      <c r="AP347" s="9"/>
      <c r="AQ347" s="21">
        <v>4.30298E-2</v>
      </c>
      <c r="AR347" s="21">
        <v>26.604700000000001</v>
      </c>
      <c r="AS347" s="21">
        <v>-1.5255700000000001E-2</v>
      </c>
      <c r="AT347" s="21">
        <v>337</v>
      </c>
      <c r="AU347" s="21">
        <v>4.2968800000000001E-2</v>
      </c>
      <c r="AV347">
        <f t="shared" si="68"/>
        <v>18.834197530864198</v>
      </c>
      <c r="AW347">
        <f t="shared" si="69"/>
        <v>0.81043175291358027</v>
      </c>
      <c r="AX347" s="9"/>
      <c r="AY347" s="21">
        <v>1.5969800000000001</v>
      </c>
      <c r="AZ347" s="21">
        <v>30.303000000000001</v>
      </c>
      <c r="BA347" s="21">
        <v>-1.01624E-2</v>
      </c>
      <c r="BB347" s="21">
        <v>337</v>
      </c>
      <c r="BC347" s="21">
        <v>1.5966800000000001</v>
      </c>
      <c r="BD347">
        <f t="shared" si="70"/>
        <v>12.546172839506172</v>
      </c>
      <c r="BE347">
        <f t="shared" si="71"/>
        <v>20.035987101234568</v>
      </c>
    </row>
    <row r="348" spans="6:57" x14ac:dyDescent="0.25">
      <c r="F348" s="9"/>
      <c r="G348" s="21">
        <v>3.7994399999999998E-2</v>
      </c>
      <c r="H348" s="21">
        <v>8.4163200000000007</v>
      </c>
      <c r="I348" s="21">
        <v>-1.5600599999999999E-2</v>
      </c>
      <c r="J348" s="21">
        <v>338</v>
      </c>
      <c r="K348" s="21">
        <v>3.7853999999999999E-2</v>
      </c>
      <c r="L348">
        <f t="shared" si="60"/>
        <v>19.259999999999998</v>
      </c>
      <c r="M348">
        <f t="shared" si="61"/>
        <v>0.7317721439999999</v>
      </c>
      <c r="N348" s="9"/>
      <c r="O348" s="21">
        <v>1.60202</v>
      </c>
      <c r="P348" s="21">
        <v>12.114699999999999</v>
      </c>
      <c r="Q348" s="21">
        <v>-1.0284400000000001E-2</v>
      </c>
      <c r="R348" s="21">
        <v>338</v>
      </c>
      <c r="S348" s="21">
        <v>1.6015600000000001</v>
      </c>
      <c r="T348">
        <f t="shared" si="62"/>
        <v>12.696790123456791</v>
      </c>
      <c r="U348">
        <f t="shared" si="63"/>
        <v>20.340511713580248</v>
      </c>
      <c r="X348" s="9"/>
      <c r="Y348" s="21">
        <v>3.7994399999999998E-2</v>
      </c>
      <c r="Z348" s="21">
        <v>17.519500000000001</v>
      </c>
      <c r="AA348" s="21">
        <v>-1.5396099999999999E-2</v>
      </c>
      <c r="AB348" s="21">
        <v>338</v>
      </c>
      <c r="AC348" s="21">
        <v>3.7789900000000001E-2</v>
      </c>
      <c r="AD348">
        <f t="shared" si="64"/>
        <v>19.007530864197527</v>
      </c>
      <c r="AE348">
        <f t="shared" si="65"/>
        <v>0.72217973066666652</v>
      </c>
      <c r="AF348" s="9"/>
      <c r="AG348" s="21">
        <v>1.60202</v>
      </c>
      <c r="AH348" s="21">
        <v>21.2179</v>
      </c>
      <c r="AI348" s="21">
        <v>-1.01288E-2</v>
      </c>
      <c r="AJ348" s="21">
        <v>338</v>
      </c>
      <c r="AK348" s="21">
        <v>1.6012599999999999</v>
      </c>
      <c r="AL348">
        <f t="shared" si="66"/>
        <v>12.504691358024692</v>
      </c>
      <c r="AM348">
        <f t="shared" si="67"/>
        <v>20.032765649382718</v>
      </c>
      <c r="AP348" s="9"/>
      <c r="AQ348" s="21">
        <v>3.7994399999999998E-2</v>
      </c>
      <c r="AR348" s="21">
        <v>26.614799999999999</v>
      </c>
      <c r="AS348" s="21">
        <v>-1.5271E-2</v>
      </c>
      <c r="AT348" s="21">
        <v>338</v>
      </c>
      <c r="AU348" s="21">
        <v>3.7991299999999999E-2</v>
      </c>
      <c r="AV348">
        <f t="shared" si="68"/>
        <v>18.853086419753083</v>
      </c>
      <c r="AW348">
        <f t="shared" si="69"/>
        <v>0.71631170666666655</v>
      </c>
      <c r="AX348" s="9"/>
      <c r="AY348" s="21">
        <v>1.60202</v>
      </c>
      <c r="AZ348" s="21">
        <v>30.313099999999999</v>
      </c>
      <c r="BA348" s="21">
        <v>-1.0024999999999999E-2</v>
      </c>
      <c r="BB348" s="21">
        <v>338</v>
      </c>
      <c r="BC348" s="21">
        <v>1.6009500000000001</v>
      </c>
      <c r="BD348">
        <f t="shared" si="70"/>
        <v>12.376543209876541</v>
      </c>
      <c r="BE348">
        <f t="shared" si="71"/>
        <v>19.827469753086415</v>
      </c>
    </row>
    <row r="349" spans="6:57" x14ac:dyDescent="0.25">
      <c r="F349" s="9"/>
      <c r="G349" s="21">
        <v>3.2959000000000002E-2</v>
      </c>
      <c r="H349" s="21">
        <v>8.4263899999999996</v>
      </c>
      <c r="I349" s="21">
        <v>-1.5606699999999999E-2</v>
      </c>
      <c r="J349" s="21">
        <v>339</v>
      </c>
      <c r="K349" s="21">
        <v>3.2766700000000003E-2</v>
      </c>
      <c r="L349">
        <f t="shared" si="60"/>
        <v>19.267530864197528</v>
      </c>
      <c r="M349">
        <f t="shared" si="61"/>
        <v>0.63503854975308638</v>
      </c>
      <c r="N349" s="9"/>
      <c r="O349" s="21">
        <v>1.6070599999999999</v>
      </c>
      <c r="P349" s="21">
        <v>12.124700000000001</v>
      </c>
      <c r="Q349" s="21">
        <v>-1.01257E-2</v>
      </c>
      <c r="R349" s="21">
        <v>339</v>
      </c>
      <c r="S349" s="21">
        <v>1.6061399999999999</v>
      </c>
      <c r="T349">
        <f t="shared" si="62"/>
        <v>12.500864197530863</v>
      </c>
      <c r="U349">
        <f t="shared" si="63"/>
        <v>20.089638817283948</v>
      </c>
      <c r="X349" s="9"/>
      <c r="Y349" s="21">
        <v>3.2959000000000002E-2</v>
      </c>
      <c r="Z349" s="21">
        <v>17.529599999999999</v>
      </c>
      <c r="AA349" s="21">
        <v>-1.54053E-2</v>
      </c>
      <c r="AB349" s="21">
        <v>339</v>
      </c>
      <c r="AC349" s="21">
        <v>3.2766700000000003E-2</v>
      </c>
      <c r="AD349">
        <f t="shared" si="64"/>
        <v>19.018888888888888</v>
      </c>
      <c r="AE349">
        <f t="shared" si="65"/>
        <v>0.62684355888888887</v>
      </c>
      <c r="AF349" s="9"/>
      <c r="AG349" s="21">
        <v>1.6070599999999999</v>
      </c>
      <c r="AH349" s="21">
        <v>21.227900000000002</v>
      </c>
      <c r="AI349" s="21">
        <v>-9.9700899999999992E-3</v>
      </c>
      <c r="AJ349" s="21">
        <v>339</v>
      </c>
      <c r="AK349" s="21">
        <v>1.6064499999999999</v>
      </c>
      <c r="AL349">
        <f t="shared" si="66"/>
        <v>12.308753086419753</v>
      </c>
      <c r="AM349">
        <f t="shared" si="67"/>
        <v>19.780904735061728</v>
      </c>
      <c r="AP349" s="9"/>
      <c r="AQ349" s="21">
        <v>3.2959000000000002E-2</v>
      </c>
      <c r="AR349" s="21">
        <v>26.6248</v>
      </c>
      <c r="AS349" s="21">
        <v>-1.52832E-2</v>
      </c>
      <c r="AT349" s="21">
        <v>339</v>
      </c>
      <c r="AU349" s="21">
        <v>3.2852199999999998E-2</v>
      </c>
      <c r="AV349">
        <f t="shared" si="68"/>
        <v>18.868148148148148</v>
      </c>
      <c r="AW349">
        <f t="shared" si="69"/>
        <v>0.62187529481481485</v>
      </c>
      <c r="AX349" s="9"/>
      <c r="AY349" s="21">
        <v>1.6070599999999999</v>
      </c>
      <c r="AZ349" s="21">
        <v>30.3232</v>
      </c>
      <c r="BA349" s="21">
        <v>-9.8724399999999997E-3</v>
      </c>
      <c r="BB349" s="21">
        <v>339</v>
      </c>
      <c r="BC349" s="21">
        <v>1.6061399999999999</v>
      </c>
      <c r="BD349">
        <f t="shared" si="70"/>
        <v>12.188197530864196</v>
      </c>
      <c r="BE349">
        <f t="shared" si="71"/>
        <v>19.587164723950615</v>
      </c>
    </row>
    <row r="350" spans="6:57" x14ac:dyDescent="0.25">
      <c r="F350" s="9"/>
      <c r="G350" s="21">
        <v>2.79236E-2</v>
      </c>
      <c r="H350" s="21">
        <v>8.4364600000000003</v>
      </c>
      <c r="I350" s="21">
        <v>-1.5609700000000001E-2</v>
      </c>
      <c r="J350" s="21">
        <v>340</v>
      </c>
      <c r="K350" s="21">
        <v>2.7789299999999999E-2</v>
      </c>
      <c r="L350">
        <f t="shared" si="60"/>
        <v>19.271234567901235</v>
      </c>
      <c r="M350">
        <f t="shared" si="61"/>
        <v>0.53812224558024691</v>
      </c>
      <c r="N350" s="9"/>
      <c r="O350" s="21">
        <v>1.61209</v>
      </c>
      <c r="P350" s="21">
        <v>12.1348</v>
      </c>
      <c r="Q350" s="21">
        <v>-9.9578900000000005E-3</v>
      </c>
      <c r="R350" s="21">
        <v>340</v>
      </c>
      <c r="S350" s="21">
        <v>1.6116299999999999</v>
      </c>
      <c r="T350">
        <f t="shared" si="62"/>
        <v>12.29369135802469</v>
      </c>
      <c r="U350">
        <f t="shared" si="63"/>
        <v>19.818536901358023</v>
      </c>
      <c r="X350" s="9"/>
      <c r="Y350" s="21">
        <v>2.79236E-2</v>
      </c>
      <c r="Z350" s="21">
        <v>17.5397</v>
      </c>
      <c r="AA350" s="21">
        <v>-1.54114E-2</v>
      </c>
      <c r="AB350" s="21">
        <v>340</v>
      </c>
      <c r="AC350" s="21">
        <v>2.77985E-2</v>
      </c>
      <c r="AD350">
        <f t="shared" si="64"/>
        <v>19.026419753086419</v>
      </c>
      <c r="AE350">
        <f t="shared" si="65"/>
        <v>0.53128613461728391</v>
      </c>
      <c r="AF350" s="9"/>
      <c r="AG350" s="21">
        <v>1.61209</v>
      </c>
      <c r="AH350" s="21">
        <v>21.238</v>
      </c>
      <c r="AI350" s="21">
        <v>-9.8113999999999996E-3</v>
      </c>
      <c r="AJ350" s="21">
        <v>340</v>
      </c>
      <c r="AK350" s="21">
        <v>1.6116299999999999</v>
      </c>
      <c r="AL350">
        <f t="shared" si="66"/>
        <v>12.112839506172838</v>
      </c>
      <c r="AM350">
        <f t="shared" si="67"/>
        <v>19.526987439506172</v>
      </c>
      <c r="AP350" s="9"/>
      <c r="AQ350" s="21">
        <v>2.79236E-2</v>
      </c>
      <c r="AR350" s="21">
        <v>26.634899999999998</v>
      </c>
      <c r="AS350" s="21">
        <v>-1.52893E-2</v>
      </c>
      <c r="AT350" s="21">
        <v>340</v>
      </c>
      <c r="AU350" s="21">
        <v>2.78137E-2</v>
      </c>
      <c r="AV350">
        <f t="shared" si="68"/>
        <v>18.875679012345678</v>
      </c>
      <c r="AW350">
        <f t="shared" si="69"/>
        <v>0.52707691046913574</v>
      </c>
      <c r="AX350" s="9"/>
      <c r="AY350" s="21">
        <v>1.61209</v>
      </c>
      <c r="AZ350" s="21">
        <v>30.333200000000001</v>
      </c>
      <c r="BA350" s="21">
        <v>-9.7106899999999993E-3</v>
      </c>
      <c r="BB350" s="21">
        <v>340</v>
      </c>
      <c r="BC350" s="21">
        <v>1.6113299999999999</v>
      </c>
      <c r="BD350">
        <f t="shared" si="70"/>
        <v>11.988506172839504</v>
      </c>
      <c r="BE350">
        <f t="shared" si="71"/>
        <v>19.326550916172835</v>
      </c>
    </row>
    <row r="351" spans="6:57" x14ac:dyDescent="0.25">
      <c r="F351" s="9"/>
      <c r="G351" s="21">
        <v>2.2888200000000001E-2</v>
      </c>
      <c r="H351" s="21">
        <v>8.4465299999999992</v>
      </c>
      <c r="I351" s="21">
        <v>-1.56128E-2</v>
      </c>
      <c r="J351" s="21">
        <v>341</v>
      </c>
      <c r="K351" s="21">
        <v>2.2695900000000001E-2</v>
      </c>
      <c r="L351">
        <f t="shared" si="60"/>
        <v>19.275061728395059</v>
      </c>
      <c r="M351">
        <f t="shared" si="61"/>
        <v>0.4411714678518518</v>
      </c>
      <c r="N351" s="9"/>
      <c r="O351" s="21">
        <v>1.61713</v>
      </c>
      <c r="P351" s="21">
        <v>12.1449</v>
      </c>
      <c r="Q351" s="21">
        <v>-9.7839399999999997E-3</v>
      </c>
      <c r="R351" s="21">
        <v>341</v>
      </c>
      <c r="S351" s="21">
        <v>1.6162099999999999</v>
      </c>
      <c r="T351">
        <f t="shared" si="62"/>
        <v>12.078938271604937</v>
      </c>
      <c r="U351">
        <f t="shared" si="63"/>
        <v>19.533213447160492</v>
      </c>
      <c r="X351" s="9"/>
      <c r="Y351" s="21">
        <v>2.2888200000000001E-2</v>
      </c>
      <c r="Z351" s="21">
        <v>17.549700000000001</v>
      </c>
      <c r="AA351" s="21">
        <v>-1.54144E-2</v>
      </c>
      <c r="AB351" s="21">
        <v>341</v>
      </c>
      <c r="AC351" s="21">
        <v>2.27142E-2</v>
      </c>
      <c r="AD351">
        <f t="shared" si="64"/>
        <v>19.030123456790122</v>
      </c>
      <c r="AE351">
        <f t="shared" si="65"/>
        <v>0.43556527170370368</v>
      </c>
      <c r="AF351" s="9"/>
      <c r="AG351" s="21">
        <v>1.61713</v>
      </c>
      <c r="AH351" s="21">
        <v>21.248100000000001</v>
      </c>
      <c r="AI351" s="21">
        <v>-9.6374500000000005E-3</v>
      </c>
      <c r="AJ351" s="21">
        <v>341</v>
      </c>
      <c r="AK351" s="21">
        <v>1.6162099999999999</v>
      </c>
      <c r="AL351">
        <f t="shared" si="66"/>
        <v>11.898086419753087</v>
      </c>
      <c r="AM351">
        <f t="shared" si="67"/>
        <v>19.240752491975307</v>
      </c>
      <c r="AP351" s="9"/>
      <c r="AQ351" s="21">
        <v>2.2888200000000001E-2</v>
      </c>
      <c r="AR351" s="21">
        <v>26.645</v>
      </c>
      <c r="AS351" s="21">
        <v>-1.52985E-2</v>
      </c>
      <c r="AT351" s="21">
        <v>341</v>
      </c>
      <c r="AU351" s="21">
        <v>2.27844E-2</v>
      </c>
      <c r="AV351">
        <f t="shared" si="68"/>
        <v>18.887037037037036</v>
      </c>
      <c r="AW351">
        <f t="shared" si="69"/>
        <v>0.43229028111111112</v>
      </c>
      <c r="AX351" s="9"/>
      <c r="AY351" s="21">
        <v>1.61713</v>
      </c>
      <c r="AZ351" s="21">
        <v>30.343299999999999</v>
      </c>
      <c r="BA351" s="21">
        <v>-9.5214800000000006E-3</v>
      </c>
      <c r="BB351" s="21">
        <v>341</v>
      </c>
      <c r="BC351" s="21">
        <v>1.6168199999999999</v>
      </c>
      <c r="BD351">
        <f t="shared" si="70"/>
        <v>11.754913580246914</v>
      </c>
      <c r="BE351">
        <f t="shared" si="71"/>
        <v>19.009223398024691</v>
      </c>
    </row>
    <row r="352" spans="6:57" x14ac:dyDescent="0.25">
      <c r="F352" s="9"/>
      <c r="G352" s="21">
        <v>1.7852799999999999E-2</v>
      </c>
      <c r="H352" s="21">
        <v>8.4565999999999999</v>
      </c>
      <c r="I352" s="21">
        <v>-1.56128E-2</v>
      </c>
      <c r="J352" s="21">
        <v>342</v>
      </c>
      <c r="K352" s="21">
        <v>1.7663600000000002E-2</v>
      </c>
      <c r="L352">
        <f t="shared" si="60"/>
        <v>19.275061728395059</v>
      </c>
      <c r="M352">
        <f t="shared" si="61"/>
        <v>0.34411382202469126</v>
      </c>
      <c r="N352" s="9"/>
      <c r="O352" s="21">
        <v>1.62216</v>
      </c>
      <c r="P352" s="21">
        <v>12.1549</v>
      </c>
      <c r="Q352" s="21">
        <v>-9.5947299999999992E-3</v>
      </c>
      <c r="R352" s="21">
        <v>342</v>
      </c>
      <c r="S352" s="21">
        <v>1.62201</v>
      </c>
      <c r="T352">
        <f t="shared" si="62"/>
        <v>11.845345679012345</v>
      </c>
      <c r="U352">
        <f t="shared" si="63"/>
        <v>19.215045946666667</v>
      </c>
      <c r="X352" s="9"/>
      <c r="Y352" s="21">
        <v>1.7852799999999999E-2</v>
      </c>
      <c r="Z352" s="21">
        <v>17.559799999999999</v>
      </c>
      <c r="AA352" s="21">
        <v>-1.5417500000000001E-2</v>
      </c>
      <c r="AB352" s="21">
        <v>342</v>
      </c>
      <c r="AC352" s="21">
        <v>1.7633099999999999E-2</v>
      </c>
      <c r="AD352">
        <f t="shared" si="64"/>
        <v>19.033950617283949</v>
      </c>
      <c r="AE352">
        <f t="shared" si="65"/>
        <v>0.33980931358024685</v>
      </c>
      <c r="AF352" s="9"/>
      <c r="AG352" s="21">
        <v>1.62216</v>
      </c>
      <c r="AH352" s="21">
        <v>21.258199999999999</v>
      </c>
      <c r="AI352" s="21">
        <v>-9.4543500000000003E-3</v>
      </c>
      <c r="AJ352" s="21">
        <v>342</v>
      </c>
      <c r="AK352" s="21">
        <v>1.62079</v>
      </c>
      <c r="AL352">
        <f t="shared" si="66"/>
        <v>11.672037037037036</v>
      </c>
      <c r="AM352">
        <f t="shared" si="67"/>
        <v>18.933911599999998</v>
      </c>
      <c r="AP352" s="9"/>
      <c r="AQ352" s="21">
        <v>1.7852799999999999E-2</v>
      </c>
      <c r="AR352" s="21">
        <v>26.655000000000001</v>
      </c>
      <c r="AS352" s="21">
        <v>-1.53107E-2</v>
      </c>
      <c r="AT352" s="21">
        <v>342</v>
      </c>
      <c r="AU352" s="21">
        <v>1.7663600000000002E-2</v>
      </c>
      <c r="AV352">
        <f t="shared" si="68"/>
        <v>18.9020987654321</v>
      </c>
      <c r="AW352">
        <f t="shared" si="69"/>
        <v>0.33745538883950615</v>
      </c>
      <c r="AX352" s="9"/>
      <c r="AY352" s="21">
        <v>1.62216</v>
      </c>
      <c r="AZ352" s="21">
        <v>30.353400000000001</v>
      </c>
      <c r="BA352" s="21">
        <v>-9.3353299999999993E-3</v>
      </c>
      <c r="BB352" s="21">
        <v>342</v>
      </c>
      <c r="BC352" s="21">
        <v>1.62201</v>
      </c>
      <c r="BD352">
        <f t="shared" si="70"/>
        <v>11.525098765432098</v>
      </c>
      <c r="BE352">
        <f t="shared" si="71"/>
        <v>18.695554213333331</v>
      </c>
    </row>
    <row r="353" spans="6:57" x14ac:dyDescent="0.25">
      <c r="F353" s="9"/>
      <c r="G353" s="21">
        <v>1.28174E-2</v>
      </c>
      <c r="H353" s="21">
        <v>8.4666700000000006</v>
      </c>
      <c r="I353" s="21">
        <v>-1.5615800000000001E-2</v>
      </c>
      <c r="J353" s="21">
        <v>343</v>
      </c>
      <c r="K353" s="21">
        <v>1.2643400000000001E-2</v>
      </c>
      <c r="L353">
        <f t="shared" si="60"/>
        <v>19.278765432098766</v>
      </c>
      <c r="M353">
        <f t="shared" si="61"/>
        <v>0.2471036480493827</v>
      </c>
      <c r="N353" s="9"/>
      <c r="O353" s="21">
        <v>1.6272</v>
      </c>
      <c r="P353" s="21">
        <v>12.164999999999999</v>
      </c>
      <c r="Q353" s="21">
        <v>-9.38721E-3</v>
      </c>
      <c r="R353" s="21">
        <v>343</v>
      </c>
      <c r="S353" s="21">
        <v>1.62659</v>
      </c>
      <c r="T353">
        <f t="shared" si="62"/>
        <v>11.589148148148148</v>
      </c>
      <c r="U353">
        <f t="shared" si="63"/>
        <v>18.857861866666667</v>
      </c>
      <c r="X353" s="9"/>
      <c r="Y353" s="21">
        <v>1.28174E-2</v>
      </c>
      <c r="Z353" s="21">
        <v>17.569900000000001</v>
      </c>
      <c r="AA353" s="21">
        <v>-1.5423600000000001E-2</v>
      </c>
      <c r="AB353" s="21">
        <v>343</v>
      </c>
      <c r="AC353" s="21">
        <v>1.25732E-2</v>
      </c>
      <c r="AD353">
        <f t="shared" si="64"/>
        <v>19.041481481481483</v>
      </c>
      <c r="AE353">
        <f t="shared" si="65"/>
        <v>0.24406228474074076</v>
      </c>
      <c r="AF353" s="9"/>
      <c r="AG353" s="21">
        <v>1.6272</v>
      </c>
      <c r="AH353" s="21">
        <v>21.2682</v>
      </c>
      <c r="AI353" s="21">
        <v>-9.2498800000000003E-3</v>
      </c>
      <c r="AJ353" s="21">
        <v>343</v>
      </c>
      <c r="AK353" s="21">
        <v>1.6268899999999999</v>
      </c>
      <c r="AL353">
        <f t="shared" si="66"/>
        <v>11.419604938271604</v>
      </c>
      <c r="AM353">
        <f t="shared" si="67"/>
        <v>18.581981155555553</v>
      </c>
      <c r="AP353" s="9"/>
      <c r="AQ353" s="21">
        <v>1.28174E-2</v>
      </c>
      <c r="AR353" s="21">
        <v>26.665099999999999</v>
      </c>
      <c r="AS353" s="21">
        <v>-1.53229E-2</v>
      </c>
      <c r="AT353" s="21">
        <v>343</v>
      </c>
      <c r="AU353" s="21">
        <v>1.2643400000000001E-2</v>
      </c>
      <c r="AV353">
        <f t="shared" si="68"/>
        <v>18.917160493827158</v>
      </c>
      <c r="AW353">
        <f t="shared" si="69"/>
        <v>0.24246881291358022</v>
      </c>
      <c r="AX353" s="9"/>
      <c r="AY353" s="21">
        <v>1.6272</v>
      </c>
      <c r="AZ353" s="21">
        <v>30.363499999999998</v>
      </c>
      <c r="BA353" s="21">
        <v>-9.1308599999999993E-3</v>
      </c>
      <c r="BB353" s="21">
        <v>343</v>
      </c>
      <c r="BC353" s="21">
        <v>1.62598</v>
      </c>
      <c r="BD353">
        <f t="shared" si="70"/>
        <v>11.272666666666666</v>
      </c>
      <c r="BE353">
        <f t="shared" si="71"/>
        <v>18.342883199999999</v>
      </c>
    </row>
    <row r="354" spans="6:57" x14ac:dyDescent="0.25">
      <c r="F354" s="9"/>
      <c r="G354" s="21">
        <v>7.78198E-3</v>
      </c>
      <c r="H354" s="21">
        <v>8.4767399999999995</v>
      </c>
      <c r="I354" s="21">
        <v>-1.5621899999999999E-2</v>
      </c>
      <c r="J354" s="21">
        <v>344</v>
      </c>
      <c r="K354" s="21">
        <v>7.5561500000000002E-3</v>
      </c>
      <c r="L354">
        <f t="shared" si="60"/>
        <v>19.286296296296296</v>
      </c>
      <c r="M354">
        <f t="shared" si="61"/>
        <v>0.15008557205185186</v>
      </c>
      <c r="N354" s="9"/>
      <c r="O354" s="21">
        <v>1.6322300000000001</v>
      </c>
      <c r="P354" s="21">
        <v>12.1751</v>
      </c>
      <c r="Q354" s="21">
        <v>-9.1857899999999992E-3</v>
      </c>
      <c r="R354" s="21">
        <v>344</v>
      </c>
      <c r="S354" s="21">
        <v>1.6311599999999999</v>
      </c>
      <c r="T354">
        <f t="shared" si="62"/>
        <v>11.340481481481479</v>
      </c>
      <c r="U354">
        <f t="shared" si="63"/>
        <v>18.510274088518514</v>
      </c>
      <c r="X354" s="9"/>
      <c r="Y354" s="21">
        <v>7.78198E-3</v>
      </c>
      <c r="Z354" s="21">
        <v>17.579999999999998</v>
      </c>
      <c r="AA354" s="21">
        <v>-1.54205E-2</v>
      </c>
      <c r="AB354" s="21">
        <v>344</v>
      </c>
      <c r="AC354" s="21">
        <v>7.5653099999999996E-3</v>
      </c>
      <c r="AD354">
        <f t="shared" si="64"/>
        <v>19.037654320987656</v>
      </c>
      <c r="AE354">
        <f t="shared" si="65"/>
        <v>0.14815064517283952</v>
      </c>
      <c r="AF354" s="9"/>
      <c r="AG354" s="21">
        <v>1.6322300000000001</v>
      </c>
      <c r="AH354" s="21">
        <v>21.278300000000002</v>
      </c>
      <c r="AI354" s="21">
        <v>-9.0331999999999999E-3</v>
      </c>
      <c r="AJ354" s="21">
        <v>344</v>
      </c>
      <c r="AK354" s="21">
        <v>1.6317699999999999</v>
      </c>
      <c r="AL354">
        <f t="shared" si="66"/>
        <v>11.152098765432097</v>
      </c>
      <c r="AM354">
        <f t="shared" si="67"/>
        <v>18.202790167901231</v>
      </c>
      <c r="AP354" s="9"/>
      <c r="AQ354" s="21">
        <v>7.78198E-3</v>
      </c>
      <c r="AR354" s="21">
        <v>26.6752</v>
      </c>
      <c r="AS354" s="21">
        <v>-1.5344200000000001E-2</v>
      </c>
      <c r="AT354" s="21">
        <v>344</v>
      </c>
      <c r="AU354" s="21">
        <v>7.4188199999999996E-3</v>
      </c>
      <c r="AV354">
        <f t="shared" si="68"/>
        <v>18.943456790123456</v>
      </c>
      <c r="AW354">
        <f t="shared" si="69"/>
        <v>0.14741760187160494</v>
      </c>
      <c r="AX354" s="9"/>
      <c r="AY354" s="21">
        <v>1.6322300000000001</v>
      </c>
      <c r="AZ354" s="21">
        <v>30.3735</v>
      </c>
      <c r="BA354" s="21">
        <v>-8.9202900000000009E-3</v>
      </c>
      <c r="BB354" s="21">
        <v>344</v>
      </c>
      <c r="BC354" s="21">
        <v>1.6317699999999999</v>
      </c>
      <c r="BD354">
        <f t="shared" si="70"/>
        <v>11.012703703703703</v>
      </c>
      <c r="BE354">
        <f t="shared" si="71"/>
        <v>17.975265366296295</v>
      </c>
    </row>
    <row r="355" spans="6:57" x14ac:dyDescent="0.25">
      <c r="F355" s="9"/>
      <c r="G355" s="21">
        <v>2.7465800000000002E-3</v>
      </c>
      <c r="H355" s="21">
        <v>8.4868100000000002</v>
      </c>
      <c r="I355" s="21">
        <v>-1.5631099999999998E-2</v>
      </c>
      <c r="J355" s="21">
        <v>345</v>
      </c>
      <c r="K355" s="21">
        <v>2.6275600000000001E-3</v>
      </c>
      <c r="L355">
        <f t="shared" si="60"/>
        <v>19.29765432098765</v>
      </c>
      <c r="M355">
        <f t="shared" si="61"/>
        <v>5.3002551404938265E-2</v>
      </c>
      <c r="N355" s="9"/>
      <c r="O355" s="21">
        <v>1.63727</v>
      </c>
      <c r="P355" s="21">
        <v>12.1852</v>
      </c>
      <c r="Q355" s="21">
        <v>-8.9538599999999993E-3</v>
      </c>
      <c r="R355" s="21">
        <v>345</v>
      </c>
      <c r="S355" s="21">
        <v>1.63727</v>
      </c>
      <c r="T355">
        <f t="shared" si="62"/>
        <v>11.054148148148146</v>
      </c>
      <c r="U355">
        <f t="shared" si="63"/>
        <v>18.098625138518514</v>
      </c>
      <c r="X355" s="9"/>
      <c r="Y355" s="21">
        <v>2.7465800000000002E-3</v>
      </c>
      <c r="Z355" s="21">
        <v>17.59</v>
      </c>
      <c r="AA355" s="21">
        <v>-1.54266E-2</v>
      </c>
      <c r="AB355" s="21">
        <v>345</v>
      </c>
      <c r="AC355" s="21">
        <v>2.5482199999999999E-3</v>
      </c>
      <c r="AD355">
        <f t="shared" si="64"/>
        <v>19.045185185185186</v>
      </c>
      <c r="AE355">
        <f t="shared" si="65"/>
        <v>5.2309124725925936E-2</v>
      </c>
      <c r="AF355" s="9"/>
      <c r="AG355" s="21">
        <v>1.63727</v>
      </c>
      <c r="AH355" s="21">
        <v>21.288399999999999</v>
      </c>
      <c r="AI355" s="21">
        <v>-8.8104199999999994E-3</v>
      </c>
      <c r="AJ355" s="21">
        <v>345</v>
      </c>
      <c r="AK355" s="21">
        <v>1.63666</v>
      </c>
      <c r="AL355">
        <f t="shared" si="66"/>
        <v>10.877061728395059</v>
      </c>
      <c r="AM355">
        <f t="shared" si="67"/>
        <v>17.808686856049377</v>
      </c>
      <c r="AP355" s="9"/>
      <c r="AQ355" s="21">
        <v>2.7465800000000002E-3</v>
      </c>
      <c r="AR355" s="21">
        <v>26.685300000000002</v>
      </c>
      <c r="AS355" s="21">
        <v>-1.53534E-2</v>
      </c>
      <c r="AT355" s="21">
        <v>345</v>
      </c>
      <c r="AU355" s="21">
        <v>2.5634799999999999E-3</v>
      </c>
      <c r="AV355">
        <f t="shared" si="68"/>
        <v>18.954814814814814</v>
      </c>
      <c r="AW355">
        <f t="shared" si="69"/>
        <v>5.2060915274074075E-2</v>
      </c>
      <c r="AX355" s="9"/>
      <c r="AY355" s="21">
        <v>1.63727</v>
      </c>
      <c r="AZ355" s="21">
        <v>30.383600000000001</v>
      </c>
      <c r="BA355" s="21">
        <v>-8.7005599999999995E-3</v>
      </c>
      <c r="BB355" s="21">
        <v>345</v>
      </c>
      <c r="BC355" s="21">
        <v>1.63666</v>
      </c>
      <c r="BD355">
        <f t="shared" si="70"/>
        <v>10.741432098765431</v>
      </c>
      <c r="BE355">
        <f t="shared" si="71"/>
        <v>17.586624532345677</v>
      </c>
    </row>
    <row r="356" spans="6:57" x14ac:dyDescent="0.25">
      <c r="F356" s="9"/>
      <c r="G356" s="21">
        <v>-2.28882E-3</v>
      </c>
      <c r="H356" s="21">
        <v>8.4968900000000005</v>
      </c>
      <c r="I356" s="21">
        <v>-1.5643299999999999E-2</v>
      </c>
      <c r="J356" s="21">
        <v>346</v>
      </c>
      <c r="K356" s="21">
        <v>-2.53601E-3</v>
      </c>
      <c r="L356">
        <f t="shared" si="60"/>
        <v>19.312716049382715</v>
      </c>
      <c r="M356">
        <f t="shared" si="61"/>
        <v>-4.4203330748148147E-2</v>
      </c>
      <c r="N356" s="9"/>
      <c r="O356" s="21">
        <v>1.6423000000000001</v>
      </c>
      <c r="P356" s="21">
        <v>12.1952</v>
      </c>
      <c r="Q356" s="21">
        <v>-8.7341299999999997E-3</v>
      </c>
      <c r="R356" s="21">
        <v>346</v>
      </c>
      <c r="S356" s="21">
        <v>1.64154</v>
      </c>
      <c r="T356">
        <f t="shared" si="62"/>
        <v>10.782876543209875</v>
      </c>
      <c r="U356">
        <f t="shared" si="63"/>
        <v>17.708718146913579</v>
      </c>
      <c r="X356" s="9"/>
      <c r="Y356" s="21">
        <v>-2.28882E-3</v>
      </c>
      <c r="Z356" s="21">
        <v>17.600100000000001</v>
      </c>
      <c r="AA356" s="21">
        <v>-1.54358E-2</v>
      </c>
      <c r="AB356" s="21">
        <v>346</v>
      </c>
      <c r="AC356" s="21">
        <v>-2.5451699999999998E-3</v>
      </c>
      <c r="AD356">
        <f t="shared" si="64"/>
        <v>19.056543209876541</v>
      </c>
      <c r="AE356">
        <f t="shared" si="65"/>
        <v>-4.3616997229629625E-2</v>
      </c>
      <c r="AF356" s="9"/>
      <c r="AG356" s="21">
        <v>1.6423000000000001</v>
      </c>
      <c r="AH356" s="21">
        <v>21.298400000000001</v>
      </c>
      <c r="AI356" s="21">
        <v>-8.5693399999999999E-3</v>
      </c>
      <c r="AJ356" s="21">
        <v>346</v>
      </c>
      <c r="AK356" s="21">
        <v>1.64185</v>
      </c>
      <c r="AL356">
        <f t="shared" si="66"/>
        <v>10.579432098765432</v>
      </c>
      <c r="AM356">
        <f t="shared" si="67"/>
        <v>17.37460133580247</v>
      </c>
      <c r="AP356" s="9"/>
      <c r="AQ356" s="21">
        <v>-2.28882E-3</v>
      </c>
      <c r="AR356" s="21">
        <v>26.6953</v>
      </c>
      <c r="AS356" s="21">
        <v>-1.5362499999999999E-2</v>
      </c>
      <c r="AT356" s="21">
        <v>346</v>
      </c>
      <c r="AU356" s="21">
        <v>-2.53601E-3</v>
      </c>
      <c r="AV356">
        <f t="shared" si="68"/>
        <v>18.966049382716047</v>
      </c>
      <c r="AW356">
        <f t="shared" si="69"/>
        <v>-4.3409873148148141E-2</v>
      </c>
      <c r="AX356" s="9"/>
      <c r="AY356" s="21">
        <v>1.6423000000000001</v>
      </c>
      <c r="AZ356" s="21">
        <v>30.393699999999999</v>
      </c>
      <c r="BA356" s="21">
        <v>-8.4594700000000002E-3</v>
      </c>
      <c r="BB356" s="21">
        <v>346</v>
      </c>
      <c r="BC356" s="21">
        <v>1.64154</v>
      </c>
      <c r="BD356">
        <f t="shared" si="70"/>
        <v>10.44379012345679</v>
      </c>
      <c r="BE356">
        <f t="shared" si="71"/>
        <v>17.151836519753086</v>
      </c>
    </row>
    <row r="357" spans="6:57" x14ac:dyDescent="0.25">
      <c r="F357" s="9"/>
      <c r="G357" s="21">
        <v>-7.3242200000000002E-3</v>
      </c>
      <c r="H357" s="21">
        <v>8.5069599999999994</v>
      </c>
      <c r="I357" s="21">
        <v>-1.5646400000000001E-2</v>
      </c>
      <c r="J357" s="21">
        <v>347</v>
      </c>
      <c r="K357" s="21">
        <v>-7.5714099999999998E-3</v>
      </c>
      <c r="L357">
        <f t="shared" si="60"/>
        <v>19.316543209876546</v>
      </c>
      <c r="M357">
        <f t="shared" si="61"/>
        <v>-0.14147861210864199</v>
      </c>
      <c r="N357" s="9"/>
      <c r="O357" s="21">
        <v>1.64734</v>
      </c>
      <c r="P357" s="21">
        <v>12.205299999999999</v>
      </c>
      <c r="Q357" s="21">
        <v>-8.4777800000000007E-3</v>
      </c>
      <c r="R357" s="21">
        <v>347</v>
      </c>
      <c r="S357" s="21">
        <v>1.64673</v>
      </c>
      <c r="T357">
        <f t="shared" si="62"/>
        <v>10.466395061728395</v>
      </c>
      <c r="U357">
        <f t="shared" si="63"/>
        <v>17.241711240987655</v>
      </c>
      <c r="X357" s="9"/>
      <c r="Y357" s="21">
        <v>-7.3242200000000002E-3</v>
      </c>
      <c r="Z357" s="21">
        <v>17.610199999999999</v>
      </c>
      <c r="AA357" s="21">
        <v>-1.54419E-2</v>
      </c>
      <c r="AB357" s="21">
        <v>347</v>
      </c>
      <c r="AC357" s="21">
        <v>-7.5744599999999999E-3</v>
      </c>
      <c r="AD357">
        <f t="shared" si="64"/>
        <v>19.064074074074075</v>
      </c>
      <c r="AE357">
        <f t="shared" si="65"/>
        <v>-0.13962947261481481</v>
      </c>
      <c r="AF357" s="9"/>
      <c r="AG357" s="21">
        <v>1.64734</v>
      </c>
      <c r="AH357" s="21">
        <v>21.308499999999999</v>
      </c>
      <c r="AI357" s="21">
        <v>-8.3129899999999993E-3</v>
      </c>
      <c r="AJ357" s="21">
        <v>347</v>
      </c>
      <c r="AK357" s="21">
        <v>1.64703</v>
      </c>
      <c r="AL357">
        <f t="shared" si="66"/>
        <v>10.26295061728395</v>
      </c>
      <c r="AM357">
        <f t="shared" si="67"/>
        <v>16.906569069876543</v>
      </c>
      <c r="AP357" s="9"/>
      <c r="AQ357" s="21">
        <v>-7.3242200000000002E-3</v>
      </c>
      <c r="AR357" s="21">
        <v>26.705400000000001</v>
      </c>
      <c r="AS357" s="21">
        <v>-1.53717E-2</v>
      </c>
      <c r="AT357" s="21">
        <v>347</v>
      </c>
      <c r="AU357" s="21">
        <v>-7.5225800000000001E-3</v>
      </c>
      <c r="AV357">
        <f t="shared" si="68"/>
        <v>18.977407407407409</v>
      </c>
      <c r="AW357">
        <f t="shared" si="69"/>
        <v>-0.13899470688148149</v>
      </c>
      <c r="AX357" s="9"/>
      <c r="AY357" s="21">
        <v>1.64734</v>
      </c>
      <c r="AZ357" s="21">
        <v>30.403700000000001</v>
      </c>
      <c r="BA357" s="21">
        <v>-8.2122800000000006E-3</v>
      </c>
      <c r="BB357" s="21">
        <v>347</v>
      </c>
      <c r="BC357" s="21">
        <v>1.64642</v>
      </c>
      <c r="BD357">
        <f t="shared" si="70"/>
        <v>10.138617283950618</v>
      </c>
      <c r="BE357">
        <f t="shared" si="71"/>
        <v>16.701749796543211</v>
      </c>
    </row>
    <row r="358" spans="6:57" x14ac:dyDescent="0.25">
      <c r="F358" s="9"/>
      <c r="G358" s="21">
        <v>-1.23596E-2</v>
      </c>
      <c r="H358" s="21">
        <v>8.5170300000000001</v>
      </c>
      <c r="I358" s="21">
        <v>-1.5649400000000001E-2</v>
      </c>
      <c r="J358" s="21">
        <v>348</v>
      </c>
      <c r="K358" s="21">
        <v>-1.2619E-2</v>
      </c>
      <c r="L358">
        <f t="shared" si="60"/>
        <v>19.320246913580245</v>
      </c>
      <c r="M358">
        <f t="shared" si="61"/>
        <v>-0.2387905237530864</v>
      </c>
      <c r="N358" s="9"/>
      <c r="O358" s="21">
        <v>1.6523699999999999</v>
      </c>
      <c r="P358" s="21">
        <v>12.215400000000001</v>
      </c>
      <c r="Q358" s="21">
        <v>-8.2000700000000003E-3</v>
      </c>
      <c r="R358" s="21">
        <v>348</v>
      </c>
      <c r="S358" s="21">
        <v>1.65161</v>
      </c>
      <c r="T358">
        <f t="shared" si="62"/>
        <v>10.123543209876544</v>
      </c>
      <c r="U358">
        <f t="shared" si="63"/>
        <v>16.727839093703704</v>
      </c>
      <c r="X358" s="9"/>
      <c r="Y358" s="21">
        <v>-1.23596E-2</v>
      </c>
      <c r="Z358" s="21">
        <v>17.620200000000001</v>
      </c>
      <c r="AA358" s="21">
        <v>-1.5457200000000001E-2</v>
      </c>
      <c r="AB358" s="21">
        <v>348</v>
      </c>
      <c r="AC358" s="21">
        <v>-1.26923E-2</v>
      </c>
      <c r="AD358">
        <f t="shared" si="64"/>
        <v>19.082962962962963</v>
      </c>
      <c r="AE358">
        <f t="shared" si="65"/>
        <v>-0.23585778903703702</v>
      </c>
      <c r="AF358" s="9"/>
      <c r="AG358" s="21">
        <v>1.6523699999999999</v>
      </c>
      <c r="AH358" s="21">
        <v>21.3186</v>
      </c>
      <c r="AI358" s="21">
        <v>-8.0383299999999998E-3</v>
      </c>
      <c r="AJ358" s="21">
        <v>348</v>
      </c>
      <c r="AK358" s="21">
        <v>1.6513100000000001</v>
      </c>
      <c r="AL358">
        <f t="shared" si="66"/>
        <v>9.9238641975308628</v>
      </c>
      <c r="AM358">
        <f t="shared" si="67"/>
        <v>16.39789548407407</v>
      </c>
      <c r="AP358" s="9"/>
      <c r="AQ358" s="21">
        <v>-1.23596E-2</v>
      </c>
      <c r="AR358" s="21">
        <v>26.715499999999999</v>
      </c>
      <c r="AS358" s="21">
        <v>-1.53778E-2</v>
      </c>
      <c r="AT358" s="21">
        <v>348</v>
      </c>
      <c r="AU358" s="21">
        <v>-1.26038E-2</v>
      </c>
      <c r="AV358">
        <f t="shared" si="68"/>
        <v>18.984938271604936</v>
      </c>
      <c r="AW358">
        <f t="shared" si="69"/>
        <v>-0.23464624306172838</v>
      </c>
      <c r="AX358" s="9"/>
      <c r="AY358" s="21">
        <v>1.6523699999999999</v>
      </c>
      <c r="AZ358" s="21">
        <v>30.413799999999998</v>
      </c>
      <c r="BA358" s="21">
        <v>-7.9437299999999995E-3</v>
      </c>
      <c r="BB358" s="21">
        <v>348</v>
      </c>
      <c r="BC358" s="21">
        <v>1.6519200000000001</v>
      </c>
      <c r="BD358">
        <f t="shared" si="70"/>
        <v>9.8070740740740714</v>
      </c>
      <c r="BE358">
        <f t="shared" si="71"/>
        <v>16.204914987777773</v>
      </c>
    </row>
    <row r="359" spans="6:57" x14ac:dyDescent="0.25">
      <c r="F359" s="9"/>
      <c r="G359" s="21">
        <v>-1.7395000000000001E-2</v>
      </c>
      <c r="H359" s="21">
        <v>8.5271000000000008</v>
      </c>
      <c r="I359" s="21">
        <v>-1.5646400000000001E-2</v>
      </c>
      <c r="J359" s="21">
        <v>349</v>
      </c>
      <c r="K359" s="21">
        <v>-1.76697E-2</v>
      </c>
      <c r="L359">
        <f t="shared" si="60"/>
        <v>19.316543209876546</v>
      </c>
      <c r="M359">
        <f t="shared" si="61"/>
        <v>-0.33601126913580254</v>
      </c>
      <c r="N359" s="9"/>
      <c r="O359" s="21">
        <v>1.65741</v>
      </c>
      <c r="P359" s="21">
        <v>12.2254</v>
      </c>
      <c r="Q359" s="21">
        <v>-7.9101599999999994E-3</v>
      </c>
      <c r="R359" s="21">
        <v>349</v>
      </c>
      <c r="S359" s="21">
        <v>1.6568000000000001</v>
      </c>
      <c r="T359">
        <f t="shared" si="62"/>
        <v>9.7656296296296272</v>
      </c>
      <c r="U359">
        <f t="shared" si="63"/>
        <v>16.185652204444441</v>
      </c>
      <c r="X359" s="9"/>
      <c r="Y359" s="21">
        <v>-1.7395000000000001E-2</v>
      </c>
      <c r="Z359" s="21">
        <v>17.630299999999998</v>
      </c>
      <c r="AA359" s="21">
        <v>-1.5472400000000001E-2</v>
      </c>
      <c r="AB359" s="21">
        <v>349</v>
      </c>
      <c r="AC359" s="21">
        <v>-1.76849E-2</v>
      </c>
      <c r="AD359">
        <f t="shared" si="64"/>
        <v>19.101728395061727</v>
      </c>
      <c r="AE359">
        <f t="shared" si="65"/>
        <v>-0.33227456543209877</v>
      </c>
      <c r="AF359" s="9"/>
      <c r="AG359" s="21">
        <v>1.65741</v>
      </c>
      <c r="AH359" s="21">
        <v>21.328700000000001</v>
      </c>
      <c r="AI359" s="21">
        <v>-7.7423099999999996E-3</v>
      </c>
      <c r="AJ359" s="21">
        <v>349</v>
      </c>
      <c r="AK359" s="21">
        <v>1.6568000000000001</v>
      </c>
      <c r="AL359">
        <f t="shared" si="66"/>
        <v>9.5584074074074064</v>
      </c>
      <c r="AM359">
        <f t="shared" si="67"/>
        <v>15.842200021111109</v>
      </c>
      <c r="AP359" s="9"/>
      <c r="AQ359" s="21">
        <v>-1.7395000000000001E-2</v>
      </c>
      <c r="AR359" s="21">
        <v>26.7255</v>
      </c>
      <c r="AS359" s="21">
        <v>-1.5383900000000001E-2</v>
      </c>
      <c r="AT359" s="21">
        <v>349</v>
      </c>
      <c r="AU359" s="21">
        <v>-1.7715499999999999E-2</v>
      </c>
      <c r="AV359">
        <f t="shared" si="68"/>
        <v>18.99246913580247</v>
      </c>
      <c r="AW359">
        <f t="shared" si="69"/>
        <v>-0.33037400061728395</v>
      </c>
      <c r="AX359" s="9"/>
      <c r="AY359" s="21">
        <v>1.65741</v>
      </c>
      <c r="AZ359" s="21">
        <v>30.4239</v>
      </c>
      <c r="BA359" s="21">
        <v>-7.6477100000000003E-3</v>
      </c>
      <c r="BB359" s="21">
        <v>349</v>
      </c>
      <c r="BC359" s="21">
        <v>1.6568000000000001</v>
      </c>
      <c r="BD359">
        <f t="shared" si="70"/>
        <v>9.4416172839506167</v>
      </c>
      <c r="BE359">
        <f t="shared" si="71"/>
        <v>15.648630902592592</v>
      </c>
    </row>
    <row r="360" spans="6:57" x14ac:dyDescent="0.25">
      <c r="F360" s="9"/>
      <c r="G360" s="21">
        <v>-2.24304E-2</v>
      </c>
      <c r="H360" s="21">
        <v>8.5371699999999997</v>
      </c>
      <c r="I360" s="21">
        <v>-1.5643299999999999E-2</v>
      </c>
      <c r="J360" s="21">
        <v>350</v>
      </c>
      <c r="K360" s="21">
        <v>-2.2720299999999999E-2</v>
      </c>
      <c r="L360">
        <f t="shared" si="60"/>
        <v>19.312716049382715</v>
      </c>
      <c r="M360">
        <f t="shared" si="61"/>
        <v>-0.43319194607407402</v>
      </c>
      <c r="N360" s="9"/>
      <c r="O360" s="21">
        <v>1.66245</v>
      </c>
      <c r="P360" s="21">
        <v>12.2355</v>
      </c>
      <c r="Q360" s="21">
        <v>-7.6019299999999998E-3</v>
      </c>
      <c r="R360" s="21">
        <v>350</v>
      </c>
      <c r="S360" s="21">
        <v>1.66168</v>
      </c>
      <c r="T360">
        <f t="shared" si="62"/>
        <v>9.3850987654320974</v>
      </c>
      <c r="U360">
        <f t="shared" si="63"/>
        <v>15.60225744259259</v>
      </c>
      <c r="X360" s="9"/>
      <c r="Y360" s="21">
        <v>-2.24304E-2</v>
      </c>
      <c r="Z360" s="21">
        <v>17.6404</v>
      </c>
      <c r="AA360" s="21">
        <v>-1.54877E-2</v>
      </c>
      <c r="AB360" s="21">
        <v>350</v>
      </c>
      <c r="AC360" s="21">
        <v>-2.28119E-2</v>
      </c>
      <c r="AD360">
        <f t="shared" si="64"/>
        <v>19.120617283950615</v>
      </c>
      <c r="AE360">
        <f t="shared" si="65"/>
        <v>-0.42888309392592588</v>
      </c>
      <c r="AF360" s="9"/>
      <c r="AG360" s="21">
        <v>1.66245</v>
      </c>
      <c r="AH360" s="21">
        <v>21.338699999999999</v>
      </c>
      <c r="AI360" s="21">
        <v>-7.4401900000000002E-3</v>
      </c>
      <c r="AJ360" s="21">
        <v>350</v>
      </c>
      <c r="AK360" s="21">
        <v>1.6619900000000001</v>
      </c>
      <c r="AL360">
        <f t="shared" si="66"/>
        <v>9.1854197530864194</v>
      </c>
      <c r="AM360">
        <f t="shared" si="67"/>
        <v>15.270301068518517</v>
      </c>
      <c r="AP360" s="9"/>
      <c r="AQ360" s="21">
        <v>-2.24304E-2</v>
      </c>
      <c r="AR360" s="21">
        <v>26.735600000000002</v>
      </c>
      <c r="AS360" s="21">
        <v>-1.5387E-2</v>
      </c>
      <c r="AT360" s="21">
        <v>350</v>
      </c>
      <c r="AU360" s="21">
        <v>-2.2756999999999999E-2</v>
      </c>
      <c r="AV360">
        <f t="shared" si="68"/>
        <v>18.996296296296297</v>
      </c>
      <c r="AW360">
        <f t="shared" si="69"/>
        <v>-0.42609452444444446</v>
      </c>
      <c r="AX360" s="9"/>
      <c r="AY360" s="21">
        <v>1.66245</v>
      </c>
      <c r="AZ360" s="21">
        <v>30.433900000000001</v>
      </c>
      <c r="BA360" s="21">
        <v>-7.3303200000000004E-3</v>
      </c>
      <c r="BB360" s="21">
        <v>350</v>
      </c>
      <c r="BC360" s="21">
        <v>1.66168</v>
      </c>
      <c r="BD360">
        <f t="shared" si="70"/>
        <v>9.0497777777777788</v>
      </c>
      <c r="BE360">
        <f t="shared" si="71"/>
        <v>15.044803066666669</v>
      </c>
    </row>
    <row r="361" spans="6:57" x14ac:dyDescent="0.25">
      <c r="F361" s="9"/>
      <c r="G361" s="21">
        <v>-2.7465799999999999E-2</v>
      </c>
      <c r="H361" s="21">
        <v>8.5472400000000004</v>
      </c>
      <c r="I361" s="21">
        <v>-1.5643299999999999E-2</v>
      </c>
      <c r="J361" s="21">
        <v>351</v>
      </c>
      <c r="K361" s="21">
        <v>-2.77588E-2</v>
      </c>
      <c r="L361">
        <f t="shared" si="60"/>
        <v>19.312716049382715</v>
      </c>
      <c r="M361">
        <f t="shared" si="61"/>
        <v>-0.53043919646913573</v>
      </c>
      <c r="N361" s="9"/>
      <c r="O361" s="21">
        <v>1.6674800000000001</v>
      </c>
      <c r="P361" s="21">
        <v>12.2456</v>
      </c>
      <c r="Q361" s="21">
        <v>-7.2540299999999999E-3</v>
      </c>
      <c r="R361" s="21">
        <v>351</v>
      </c>
      <c r="S361" s="21">
        <v>1.6671800000000001</v>
      </c>
      <c r="T361">
        <f t="shared" si="62"/>
        <v>8.9555925925925912</v>
      </c>
      <c r="U361">
        <f t="shared" si="63"/>
        <v>14.933271536296294</v>
      </c>
      <c r="X361" s="9"/>
      <c r="Y361" s="21">
        <v>-2.7465799999999999E-2</v>
      </c>
      <c r="Z361" s="21">
        <v>17.650500000000001</v>
      </c>
      <c r="AA361" s="21">
        <v>-1.54968E-2</v>
      </c>
      <c r="AB361" s="21">
        <v>351</v>
      </c>
      <c r="AC361" s="21">
        <v>-2.78534E-2</v>
      </c>
      <c r="AD361">
        <f t="shared" si="64"/>
        <v>19.131851851851852</v>
      </c>
      <c r="AE361">
        <f t="shared" si="65"/>
        <v>-0.52547161659259256</v>
      </c>
      <c r="AF361" s="9"/>
      <c r="AG361" s="21">
        <v>1.6674800000000001</v>
      </c>
      <c r="AH361" s="21">
        <v>21.348800000000001</v>
      </c>
      <c r="AI361" s="21">
        <v>-7.0983900000000004E-3</v>
      </c>
      <c r="AJ361" s="21">
        <v>351</v>
      </c>
      <c r="AK361" s="21">
        <v>1.6668700000000001</v>
      </c>
      <c r="AL361">
        <f t="shared" si="66"/>
        <v>8.7634444444444455</v>
      </c>
      <c r="AM361">
        <f t="shared" si="67"/>
        <v>14.612868342222225</v>
      </c>
      <c r="AP361" s="9"/>
      <c r="AQ361" s="21">
        <v>-2.7465799999999999E-2</v>
      </c>
      <c r="AR361" s="21">
        <v>26.745699999999999</v>
      </c>
      <c r="AS361" s="21">
        <v>-1.5389999999999999E-2</v>
      </c>
      <c r="AT361" s="21">
        <v>351</v>
      </c>
      <c r="AU361" s="21">
        <v>-2.7780200000000001E-2</v>
      </c>
      <c r="AV361">
        <f t="shared" si="68"/>
        <v>18.999999999999996</v>
      </c>
      <c r="AW361">
        <f t="shared" si="69"/>
        <v>-0.52185019999999982</v>
      </c>
      <c r="AX361" s="9"/>
      <c r="AY361" s="21">
        <v>1.6674800000000001</v>
      </c>
      <c r="AZ361" s="21">
        <v>30.443999999999999</v>
      </c>
      <c r="BA361" s="21">
        <v>-6.9854699999999997E-3</v>
      </c>
      <c r="BB361" s="21">
        <v>351</v>
      </c>
      <c r="BC361" s="21">
        <v>1.6668700000000001</v>
      </c>
      <c r="BD361">
        <f t="shared" si="70"/>
        <v>8.6240370370370361</v>
      </c>
      <c r="BE361">
        <f t="shared" si="71"/>
        <v>14.380409278518517</v>
      </c>
    </row>
    <row r="362" spans="6:57" x14ac:dyDescent="0.25">
      <c r="F362" s="9"/>
      <c r="G362" s="21">
        <v>-3.2501200000000001E-2</v>
      </c>
      <c r="H362" s="21">
        <v>8.5573099999999993</v>
      </c>
      <c r="I362" s="21">
        <v>-1.5640299999999999E-2</v>
      </c>
      <c r="J362" s="21">
        <v>352</v>
      </c>
      <c r="K362" s="21">
        <v>-3.2821700000000002E-2</v>
      </c>
      <c r="L362">
        <f t="shared" si="60"/>
        <v>19.309012345679012</v>
      </c>
      <c r="M362">
        <f t="shared" si="61"/>
        <v>-0.62756607204938275</v>
      </c>
      <c r="N362" s="9"/>
      <c r="O362" s="21">
        <v>1.67252</v>
      </c>
      <c r="P362" s="21">
        <v>12.255599999999999</v>
      </c>
      <c r="Q362" s="21">
        <v>-6.8817100000000001E-3</v>
      </c>
      <c r="R362" s="21">
        <v>352</v>
      </c>
      <c r="S362" s="21">
        <v>1.6711400000000001</v>
      </c>
      <c r="T362">
        <f t="shared" si="62"/>
        <v>8.4959382716049383</v>
      </c>
      <c r="U362">
        <f t="shared" si="63"/>
        <v>14.209626678024691</v>
      </c>
      <c r="X362" s="9"/>
      <c r="Y362" s="21">
        <v>-3.2501200000000001E-2</v>
      </c>
      <c r="Z362" s="21">
        <v>17.660499999999999</v>
      </c>
      <c r="AA362" s="21">
        <v>-1.54968E-2</v>
      </c>
      <c r="AB362" s="21">
        <v>352</v>
      </c>
      <c r="AC362" s="21">
        <v>-3.2882700000000001E-2</v>
      </c>
      <c r="AD362">
        <f t="shared" si="64"/>
        <v>19.131851851851852</v>
      </c>
      <c r="AE362">
        <f t="shared" si="65"/>
        <v>-0.62180814340740742</v>
      </c>
      <c r="AF362" s="9"/>
      <c r="AG362" s="21">
        <v>1.67252</v>
      </c>
      <c r="AH362" s="21">
        <v>21.358899999999998</v>
      </c>
      <c r="AI362" s="21">
        <v>-6.7260699999999998E-3</v>
      </c>
      <c r="AJ362" s="21">
        <v>352</v>
      </c>
      <c r="AK362" s="21">
        <v>1.6717500000000001</v>
      </c>
      <c r="AL362">
        <f t="shared" si="66"/>
        <v>8.3037901234567908</v>
      </c>
      <c r="AM362">
        <f t="shared" si="67"/>
        <v>13.888255057283951</v>
      </c>
      <c r="AP362" s="9"/>
      <c r="AQ362" s="21">
        <v>-3.2501200000000001E-2</v>
      </c>
      <c r="AR362" s="21">
        <v>26.755800000000001</v>
      </c>
      <c r="AS362" s="21">
        <v>-1.5389999999999999E-2</v>
      </c>
      <c r="AT362" s="21">
        <v>352</v>
      </c>
      <c r="AU362" s="21">
        <v>-3.2760600000000001E-2</v>
      </c>
      <c r="AV362">
        <f t="shared" si="68"/>
        <v>18.999999999999996</v>
      </c>
      <c r="AW362">
        <f t="shared" si="69"/>
        <v>-0.61752279999999993</v>
      </c>
      <c r="AX362" s="9"/>
      <c r="AY362" s="21">
        <v>1.67252</v>
      </c>
      <c r="AZ362" s="21">
        <v>30.4541</v>
      </c>
      <c r="BA362" s="21">
        <v>-6.6070599999999997E-3</v>
      </c>
      <c r="BB362" s="21">
        <v>352</v>
      </c>
      <c r="BC362" s="21">
        <v>1.6714500000000001</v>
      </c>
      <c r="BD362">
        <f t="shared" si="70"/>
        <v>8.1568641975308633</v>
      </c>
      <c r="BE362">
        <f t="shared" si="71"/>
        <v>13.642518507654319</v>
      </c>
    </row>
    <row r="363" spans="6:57" x14ac:dyDescent="0.25">
      <c r="F363" s="9"/>
      <c r="G363" s="21">
        <v>-3.7536600000000003E-2</v>
      </c>
      <c r="H363" s="21">
        <v>8.56738</v>
      </c>
      <c r="I363" s="21">
        <v>-1.5646400000000001E-2</v>
      </c>
      <c r="J363" s="21">
        <v>353</v>
      </c>
      <c r="K363" s="21">
        <v>-3.7725799999999997E-2</v>
      </c>
      <c r="L363">
        <f t="shared" si="60"/>
        <v>19.316543209876546</v>
      </c>
      <c r="M363">
        <f t="shared" si="61"/>
        <v>-0.72507735585185196</v>
      </c>
      <c r="N363" s="9"/>
      <c r="O363" s="21">
        <v>1.6775500000000001</v>
      </c>
      <c r="P363" s="21">
        <v>12.265700000000001</v>
      </c>
      <c r="Q363" s="21">
        <v>-6.4666699999999999E-3</v>
      </c>
      <c r="R363" s="21">
        <v>353</v>
      </c>
      <c r="S363" s="21">
        <v>1.6766399999999999</v>
      </c>
      <c r="T363">
        <f t="shared" si="62"/>
        <v>7.983543209876542</v>
      </c>
      <c r="U363">
        <f t="shared" si="63"/>
        <v>13.392792911728394</v>
      </c>
      <c r="X363" s="9"/>
      <c r="Y363" s="21">
        <v>-3.7536600000000003E-2</v>
      </c>
      <c r="Z363" s="21">
        <v>17.6706</v>
      </c>
      <c r="AA363" s="21">
        <v>-1.55029E-2</v>
      </c>
      <c r="AB363" s="21">
        <v>353</v>
      </c>
      <c r="AC363" s="21">
        <v>-3.7872299999999998E-2</v>
      </c>
      <c r="AD363">
        <f t="shared" si="64"/>
        <v>19.139382716049383</v>
      </c>
      <c r="AE363">
        <f t="shared" si="65"/>
        <v>-0.71842735325925933</v>
      </c>
      <c r="AF363" s="9"/>
      <c r="AG363" s="21">
        <v>1.6775500000000001</v>
      </c>
      <c r="AH363" s="21">
        <v>21.3689</v>
      </c>
      <c r="AI363" s="21">
        <v>-6.3232399999999999E-3</v>
      </c>
      <c r="AJ363" s="21">
        <v>353</v>
      </c>
      <c r="AK363" s="21">
        <v>1.6766399999999999</v>
      </c>
      <c r="AL363">
        <f t="shared" si="66"/>
        <v>7.8064691358024678</v>
      </c>
      <c r="AM363">
        <f t="shared" si="67"/>
        <v>13.095742298765431</v>
      </c>
      <c r="AP363" s="9"/>
      <c r="AQ363" s="21">
        <v>-3.7536600000000003E-2</v>
      </c>
      <c r="AR363" s="21">
        <v>26.765799999999999</v>
      </c>
      <c r="AS363" s="21">
        <v>-1.53931E-2</v>
      </c>
      <c r="AT363" s="21">
        <v>353</v>
      </c>
      <c r="AU363" s="21">
        <v>-3.7948599999999999E-2</v>
      </c>
      <c r="AV363">
        <f t="shared" si="68"/>
        <v>19.003827160493824</v>
      </c>
      <c r="AW363">
        <f t="shared" si="69"/>
        <v>-0.7133390585925925</v>
      </c>
      <c r="AX363" s="9"/>
      <c r="AY363" s="21">
        <v>1.6775500000000001</v>
      </c>
      <c r="AZ363" s="21">
        <v>30.464200000000002</v>
      </c>
      <c r="BA363" s="21">
        <v>-6.2072799999999999E-3</v>
      </c>
      <c r="BB363" s="21">
        <v>353</v>
      </c>
      <c r="BC363" s="21">
        <v>1.6769400000000001</v>
      </c>
      <c r="BD363">
        <f t="shared" si="70"/>
        <v>7.6633086419753074</v>
      </c>
      <c r="BE363">
        <f t="shared" si="71"/>
        <v>12.855583412345677</v>
      </c>
    </row>
    <row r="364" spans="6:57" x14ac:dyDescent="0.25">
      <c r="F364" s="9"/>
      <c r="G364" s="21">
        <v>-4.2571999999999999E-2</v>
      </c>
      <c r="H364" s="21">
        <v>8.5774500000000007</v>
      </c>
      <c r="I364" s="21">
        <v>-1.5649400000000001E-2</v>
      </c>
      <c r="J364" s="21">
        <v>354</v>
      </c>
      <c r="K364" s="21">
        <v>-4.2916900000000001E-2</v>
      </c>
      <c r="L364">
        <f t="shared" si="60"/>
        <v>19.320246913580245</v>
      </c>
      <c r="M364">
        <f t="shared" si="61"/>
        <v>-0.82250155160493821</v>
      </c>
      <c r="N364" s="9"/>
      <c r="O364" s="21">
        <v>1.68259</v>
      </c>
      <c r="P364" s="21">
        <v>12.2758</v>
      </c>
      <c r="Q364" s="21">
        <v>-6.0272199999999998E-3</v>
      </c>
      <c r="R364" s="21">
        <v>354</v>
      </c>
      <c r="S364" s="21">
        <v>1.6815199999999999</v>
      </c>
      <c r="T364">
        <f t="shared" si="62"/>
        <v>7.4410123456790114</v>
      </c>
      <c r="U364">
        <f t="shared" si="63"/>
        <v>12.520172962716048</v>
      </c>
      <c r="X364" s="9"/>
      <c r="Y364" s="21">
        <v>-4.2571999999999999E-2</v>
      </c>
      <c r="Z364" s="21">
        <v>17.680700000000002</v>
      </c>
      <c r="AA364" s="21">
        <v>-1.5509E-2</v>
      </c>
      <c r="AB364" s="21">
        <v>354</v>
      </c>
      <c r="AC364" s="21">
        <v>-4.2947399999999997E-2</v>
      </c>
      <c r="AD364">
        <f t="shared" si="64"/>
        <v>19.14691358024691</v>
      </c>
      <c r="AE364">
        <f t="shared" si="65"/>
        <v>-0.81512240493827137</v>
      </c>
      <c r="AF364" s="9"/>
      <c r="AG364" s="21">
        <v>1.68259</v>
      </c>
      <c r="AH364" s="21">
        <v>21.379000000000001</v>
      </c>
      <c r="AI364" s="21">
        <v>-5.8776899999999997E-3</v>
      </c>
      <c r="AJ364" s="21">
        <v>354</v>
      </c>
      <c r="AK364" s="21">
        <v>1.6818200000000001</v>
      </c>
      <c r="AL364">
        <f t="shared" si="66"/>
        <v>7.2564074074074068</v>
      </c>
      <c r="AM364">
        <f t="shared" si="67"/>
        <v>12.209558539629629</v>
      </c>
      <c r="AP364" s="9"/>
      <c r="AQ364" s="21">
        <v>-4.2571999999999999E-2</v>
      </c>
      <c r="AR364" s="21">
        <v>26.7759</v>
      </c>
      <c r="AS364" s="21">
        <v>-1.54053E-2</v>
      </c>
      <c r="AT364" s="21">
        <v>354</v>
      </c>
      <c r="AU364" s="21">
        <v>-4.2910799999999999E-2</v>
      </c>
      <c r="AV364">
        <f t="shared" si="68"/>
        <v>19.018888888888888</v>
      </c>
      <c r="AW364">
        <f t="shared" si="69"/>
        <v>-0.80967213777777769</v>
      </c>
      <c r="AX364" s="9"/>
      <c r="AY364" s="21">
        <v>1.68259</v>
      </c>
      <c r="AZ364" s="21">
        <v>30.4742</v>
      </c>
      <c r="BA364" s="21">
        <v>-5.7647699999999998E-3</v>
      </c>
      <c r="BB364" s="21">
        <v>354</v>
      </c>
      <c r="BC364" s="21">
        <v>1.6821299999999999</v>
      </c>
      <c r="BD364">
        <f t="shared" si="70"/>
        <v>7.1169999999999991</v>
      </c>
      <c r="BE364">
        <f t="shared" si="71"/>
        <v>11.974993029999998</v>
      </c>
    </row>
    <row r="365" spans="6:57" x14ac:dyDescent="0.25">
      <c r="F365" s="9"/>
      <c r="G365" s="21">
        <v>-4.7607400000000001E-2</v>
      </c>
      <c r="H365" s="21">
        <v>8.5875199999999996</v>
      </c>
      <c r="I365" s="21">
        <v>-1.5658600000000002E-2</v>
      </c>
      <c r="J365" s="21">
        <v>355</v>
      </c>
      <c r="K365" s="21">
        <v>-4.7976699999999997E-2</v>
      </c>
      <c r="L365">
        <f t="shared" si="60"/>
        <v>19.331604938271607</v>
      </c>
      <c r="M365">
        <f t="shared" si="61"/>
        <v>-0.92032744893827167</v>
      </c>
      <c r="N365" s="9"/>
      <c r="O365" s="21">
        <v>1.6876199999999999</v>
      </c>
      <c r="P365" s="21">
        <v>12.2859</v>
      </c>
      <c r="Q365" s="21">
        <v>-5.5664099999999999E-3</v>
      </c>
      <c r="R365" s="21">
        <v>355</v>
      </c>
      <c r="S365" s="21">
        <v>1.6867099999999999</v>
      </c>
      <c r="T365">
        <f t="shared" si="62"/>
        <v>6.8721111111111108</v>
      </c>
      <c r="U365">
        <f t="shared" si="63"/>
        <v>11.597512153333332</v>
      </c>
      <c r="X365" s="9"/>
      <c r="Y365" s="21">
        <v>-4.7607400000000001E-2</v>
      </c>
      <c r="Z365" s="21">
        <v>17.6907</v>
      </c>
      <c r="AA365" s="21">
        <v>-1.55151E-2</v>
      </c>
      <c r="AB365" s="21">
        <v>355</v>
      </c>
      <c r="AC365" s="21">
        <v>-4.7973599999999998E-2</v>
      </c>
      <c r="AD365">
        <f t="shared" si="64"/>
        <v>19.154444444444444</v>
      </c>
      <c r="AE365">
        <f t="shared" si="65"/>
        <v>-0.91189329844444444</v>
      </c>
      <c r="AF365" s="9"/>
      <c r="AG365" s="21">
        <v>1.6876199999999999</v>
      </c>
      <c r="AH365" s="21">
        <v>21.389099999999999</v>
      </c>
      <c r="AI365" s="21">
        <v>-5.4016100000000003E-3</v>
      </c>
      <c r="AJ365" s="21">
        <v>355</v>
      </c>
      <c r="AK365" s="21">
        <v>1.6870099999999999</v>
      </c>
      <c r="AL365">
        <f t="shared" si="66"/>
        <v>6.6686543209876543</v>
      </c>
      <c r="AM365">
        <f t="shared" si="67"/>
        <v>11.254154405185185</v>
      </c>
      <c r="AP365" s="9"/>
      <c r="AQ365" s="21">
        <v>-4.7607400000000001E-2</v>
      </c>
      <c r="AR365" s="21">
        <v>26.786000000000001</v>
      </c>
      <c r="AS365" s="21">
        <v>-1.54114E-2</v>
      </c>
      <c r="AT365" s="21">
        <v>355</v>
      </c>
      <c r="AU365" s="21">
        <v>-4.8120099999999999E-2</v>
      </c>
      <c r="AV365">
        <f t="shared" si="68"/>
        <v>19.026419753086419</v>
      </c>
      <c r="AW365">
        <f t="shared" si="69"/>
        <v>-0.90579837575308642</v>
      </c>
      <c r="AX365" s="9"/>
      <c r="AY365" s="21">
        <v>1.6876199999999999</v>
      </c>
      <c r="AZ365" s="21">
        <v>30.484300000000001</v>
      </c>
      <c r="BA365" s="21">
        <v>-5.2947999999999997E-3</v>
      </c>
      <c r="BB365" s="21">
        <v>355</v>
      </c>
      <c r="BC365" s="21">
        <v>1.6867099999999999</v>
      </c>
      <c r="BD365">
        <f t="shared" si="70"/>
        <v>6.5367901234567896</v>
      </c>
      <c r="BE365">
        <f t="shared" si="71"/>
        <v>11.031617748148147</v>
      </c>
    </row>
    <row r="366" spans="6:57" x14ac:dyDescent="0.25">
      <c r="F366" s="9"/>
      <c r="G366" s="21">
        <v>-5.2642799999999997E-2</v>
      </c>
      <c r="H366" s="21">
        <v>8.5975999999999999</v>
      </c>
      <c r="I366" s="21">
        <v>-1.56647E-2</v>
      </c>
      <c r="J366" s="21">
        <v>356</v>
      </c>
      <c r="K366" s="21">
        <v>-5.3131100000000001E-2</v>
      </c>
      <c r="L366">
        <f t="shared" si="60"/>
        <v>19.339135802469134</v>
      </c>
      <c r="M366">
        <f t="shared" si="61"/>
        <v>-1.018066258222222</v>
      </c>
      <c r="N366" s="9"/>
      <c r="O366" s="21">
        <v>1.6926600000000001</v>
      </c>
      <c r="P366" s="21">
        <v>12.2959</v>
      </c>
      <c r="Q366" s="21">
        <v>-5.0567600000000004E-3</v>
      </c>
      <c r="R366" s="21">
        <v>356</v>
      </c>
      <c r="S366" s="21">
        <v>1.6918899999999999</v>
      </c>
      <c r="T366">
        <f t="shared" si="62"/>
        <v>6.2429135802469142</v>
      </c>
      <c r="U366">
        <f t="shared" si="63"/>
        <v>10.567130100740743</v>
      </c>
      <c r="X366" s="9"/>
      <c r="Y366" s="21">
        <v>-5.2642799999999997E-2</v>
      </c>
      <c r="Z366" s="21">
        <v>17.700800000000001</v>
      </c>
      <c r="AA366" s="21">
        <v>-1.5518199999999999E-2</v>
      </c>
      <c r="AB366" s="21">
        <v>356</v>
      </c>
      <c r="AC366" s="21">
        <v>-5.3192099999999999E-2</v>
      </c>
      <c r="AD366">
        <f t="shared" si="64"/>
        <v>19.158271604938271</v>
      </c>
      <c r="AE366">
        <f t="shared" si="65"/>
        <v>-1.0085450604444444</v>
      </c>
      <c r="AF366" s="9"/>
      <c r="AG366" s="21">
        <v>1.6926600000000001</v>
      </c>
      <c r="AH366" s="21">
        <v>21.399100000000001</v>
      </c>
      <c r="AI366" s="21">
        <v>-4.87091E-3</v>
      </c>
      <c r="AJ366" s="21">
        <v>356</v>
      </c>
      <c r="AK366" s="21">
        <v>1.6921999999999999</v>
      </c>
      <c r="AL366">
        <f t="shared" si="66"/>
        <v>6.0134691358024686</v>
      </c>
      <c r="AM366">
        <f t="shared" si="67"/>
        <v>10.178758667407406</v>
      </c>
      <c r="AP366" s="9"/>
      <c r="AQ366" s="21">
        <v>-5.2642799999999997E-2</v>
      </c>
      <c r="AR366" s="21">
        <v>26.795999999999999</v>
      </c>
      <c r="AS366" s="21">
        <v>-1.54144E-2</v>
      </c>
      <c r="AT366" s="21">
        <v>356</v>
      </c>
      <c r="AU366" s="21">
        <v>-5.3192099999999999E-2</v>
      </c>
      <c r="AV366">
        <f t="shared" si="68"/>
        <v>19.030123456790122</v>
      </c>
      <c r="AW366">
        <f t="shared" si="69"/>
        <v>-1.0017989831111109</v>
      </c>
      <c r="AX366" s="9"/>
      <c r="AY366" s="21">
        <v>1.6926600000000001</v>
      </c>
      <c r="AZ366" s="21">
        <v>30.494399999999999</v>
      </c>
      <c r="BA366" s="21">
        <v>-4.7604400000000003E-3</v>
      </c>
      <c r="BB366" s="21">
        <v>356</v>
      </c>
      <c r="BC366" s="21">
        <v>1.6918899999999999</v>
      </c>
      <c r="BD366">
        <f t="shared" si="70"/>
        <v>5.8770864197530868</v>
      </c>
      <c r="BE366">
        <f t="shared" si="71"/>
        <v>9.9479090992592596</v>
      </c>
    </row>
    <row r="367" spans="6:57" x14ac:dyDescent="0.25">
      <c r="F367" s="9"/>
      <c r="G367" s="21">
        <v>-5.7678199999999999E-2</v>
      </c>
      <c r="H367" s="21">
        <v>8.6076700000000006</v>
      </c>
      <c r="I367" s="21">
        <v>-1.5670799999999999E-2</v>
      </c>
      <c r="J367" s="21">
        <v>357</v>
      </c>
      <c r="K367" s="21">
        <v>-5.8227500000000001E-2</v>
      </c>
      <c r="L367">
        <f t="shared" si="60"/>
        <v>19.346666666666664</v>
      </c>
      <c r="M367">
        <f t="shared" si="61"/>
        <v>-1.1158809093333331</v>
      </c>
      <c r="N367" s="9"/>
      <c r="O367" s="21">
        <v>1.6976899999999999</v>
      </c>
      <c r="P367" s="21">
        <v>12.305999999999999</v>
      </c>
      <c r="Q367" s="21">
        <v>-4.5053100000000002E-3</v>
      </c>
      <c r="R367" s="21">
        <v>357</v>
      </c>
      <c r="S367" s="21">
        <v>1.69678</v>
      </c>
      <c r="T367">
        <f t="shared" si="62"/>
        <v>5.5621111111111112</v>
      </c>
      <c r="U367">
        <f t="shared" si="63"/>
        <v>9.4427404122222214</v>
      </c>
      <c r="X367" s="9"/>
      <c r="Y367" s="21">
        <v>-5.7678199999999999E-2</v>
      </c>
      <c r="Z367" s="21">
        <v>17.710899999999999</v>
      </c>
      <c r="AA367" s="21">
        <v>-1.55151E-2</v>
      </c>
      <c r="AB367" s="21">
        <v>357</v>
      </c>
      <c r="AC367" s="21">
        <v>-5.82581E-2</v>
      </c>
      <c r="AD367">
        <f t="shared" si="64"/>
        <v>19.154444444444444</v>
      </c>
      <c r="AE367">
        <f t="shared" si="65"/>
        <v>-1.1047938775555555</v>
      </c>
      <c r="AF367" s="9"/>
      <c r="AG367" s="21">
        <v>1.6976899999999999</v>
      </c>
      <c r="AH367" s="21">
        <v>21.409199999999998</v>
      </c>
      <c r="AI367" s="21">
        <v>-4.3173200000000004E-3</v>
      </c>
      <c r="AJ367" s="21">
        <v>357</v>
      </c>
      <c r="AK367" s="21">
        <v>1.69678</v>
      </c>
      <c r="AL367">
        <f t="shared" si="66"/>
        <v>5.3300246913580249</v>
      </c>
      <c r="AM367">
        <f t="shared" si="67"/>
        <v>9.0487296182716044</v>
      </c>
      <c r="AP367" s="9"/>
      <c r="AQ367" s="21">
        <v>-5.7678199999999999E-2</v>
      </c>
      <c r="AR367" s="21">
        <v>26.806100000000001</v>
      </c>
      <c r="AS367" s="21">
        <v>-1.54083E-2</v>
      </c>
      <c r="AT367" s="21">
        <v>357</v>
      </c>
      <c r="AU367" s="21">
        <v>-5.8196999999999999E-2</v>
      </c>
      <c r="AV367">
        <f t="shared" si="68"/>
        <v>19.022592592592591</v>
      </c>
      <c r="AW367">
        <f t="shared" si="69"/>
        <v>-1.097188900074074</v>
      </c>
      <c r="AX367" s="9"/>
      <c r="AY367" s="21">
        <v>1.6976899999999999</v>
      </c>
      <c r="AZ367" s="21">
        <v>30.5044</v>
      </c>
      <c r="BA367" s="21">
        <v>-4.1986100000000002E-3</v>
      </c>
      <c r="BB367" s="21">
        <v>357</v>
      </c>
      <c r="BC367" s="21">
        <v>1.69617</v>
      </c>
      <c r="BD367">
        <f t="shared" si="70"/>
        <v>5.1834691358024685</v>
      </c>
      <c r="BE367">
        <f t="shared" si="71"/>
        <v>8.7999237171604925</v>
      </c>
    </row>
    <row r="368" spans="6:57" x14ac:dyDescent="0.25">
      <c r="F368" s="9"/>
      <c r="G368" s="21">
        <v>-6.2713599999999994E-2</v>
      </c>
      <c r="H368" s="21">
        <v>8.6177399999999995</v>
      </c>
      <c r="I368" s="21">
        <v>-1.5673800000000002E-2</v>
      </c>
      <c r="J368" s="21">
        <v>358</v>
      </c>
      <c r="K368" s="21">
        <v>-6.3201900000000005E-2</v>
      </c>
      <c r="L368">
        <f t="shared" si="60"/>
        <v>19.350370370370371</v>
      </c>
      <c r="M368">
        <f t="shared" si="61"/>
        <v>-1.2135313872592592</v>
      </c>
      <c r="N368" s="9"/>
      <c r="O368" s="21">
        <v>1.7027300000000001</v>
      </c>
      <c r="P368" s="21">
        <v>12.3161</v>
      </c>
      <c r="Q368" s="21">
        <v>-3.87573E-3</v>
      </c>
      <c r="R368" s="21">
        <v>358</v>
      </c>
      <c r="S368" s="21">
        <v>1.7022699999999999</v>
      </c>
      <c r="T368">
        <f t="shared" si="62"/>
        <v>4.7848518518518519</v>
      </c>
      <c r="U368">
        <f t="shared" si="63"/>
        <v>8.1473107937037046</v>
      </c>
      <c r="X368" s="9"/>
      <c r="Y368" s="21">
        <v>-6.2713599999999994E-2</v>
      </c>
      <c r="Z368" s="21">
        <v>17.721</v>
      </c>
      <c r="AA368" s="21">
        <v>-1.5512099999999999E-2</v>
      </c>
      <c r="AB368" s="21">
        <v>358</v>
      </c>
      <c r="AC368" s="21">
        <v>-6.3354499999999994E-2</v>
      </c>
      <c r="AD368">
        <f t="shared" si="64"/>
        <v>19.150740740740741</v>
      </c>
      <c r="AE368">
        <f t="shared" si="65"/>
        <v>-1.2010118945185184</v>
      </c>
      <c r="AF368" s="9"/>
      <c r="AG368" s="21">
        <v>1.7027300000000001</v>
      </c>
      <c r="AH368" s="21">
        <v>21.4193</v>
      </c>
      <c r="AI368" s="21">
        <v>-3.7091099999999998E-3</v>
      </c>
      <c r="AJ368" s="21">
        <v>358</v>
      </c>
      <c r="AK368" s="21">
        <v>1.70197</v>
      </c>
      <c r="AL368">
        <f t="shared" si="66"/>
        <v>4.5791481481481471</v>
      </c>
      <c r="AM368">
        <f t="shared" si="67"/>
        <v>7.7970529262962947</v>
      </c>
      <c r="AP368" s="9"/>
      <c r="AQ368" s="21">
        <v>-6.2713599999999994E-2</v>
      </c>
      <c r="AR368" s="21">
        <v>26.816199999999998</v>
      </c>
      <c r="AS368" s="21">
        <v>-1.53992E-2</v>
      </c>
      <c r="AT368" s="21">
        <v>358</v>
      </c>
      <c r="AU368" s="21">
        <v>-6.3232399999999994E-2</v>
      </c>
      <c r="AV368">
        <f t="shared" si="68"/>
        <v>19.011358024691354</v>
      </c>
      <c r="AW368">
        <f t="shared" si="69"/>
        <v>-1.1922707026172836</v>
      </c>
      <c r="AX368" s="9"/>
      <c r="AY368" s="21">
        <v>1.7027300000000001</v>
      </c>
      <c r="AZ368" s="21">
        <v>30.514500000000002</v>
      </c>
      <c r="BA368" s="21">
        <v>-3.5531600000000001E-3</v>
      </c>
      <c r="BB368" s="21">
        <v>358</v>
      </c>
      <c r="BC368" s="21">
        <v>1.70197</v>
      </c>
      <c r="BD368">
        <f t="shared" si="70"/>
        <v>4.386617283950617</v>
      </c>
      <c r="BE368">
        <f t="shared" si="71"/>
        <v>7.4692248479012342</v>
      </c>
    </row>
    <row r="369" spans="6:57" x14ac:dyDescent="0.25">
      <c r="F369" s="9"/>
      <c r="G369" s="21">
        <v>-6.7749000000000004E-2</v>
      </c>
      <c r="H369" s="21">
        <v>8.6278100000000002</v>
      </c>
      <c r="I369" s="21">
        <v>-1.5676900000000001E-2</v>
      </c>
      <c r="J369" s="21">
        <v>359</v>
      </c>
      <c r="K369" s="21">
        <v>-6.8298300000000006E-2</v>
      </c>
      <c r="L369">
        <f t="shared" si="60"/>
        <v>19.354197530864198</v>
      </c>
      <c r="M369">
        <f t="shared" si="61"/>
        <v>-1.3112275285185186</v>
      </c>
      <c r="N369" s="9"/>
      <c r="O369" s="21">
        <v>1.7077599999999999</v>
      </c>
      <c r="P369" s="21">
        <v>12.3261</v>
      </c>
      <c r="Q369" s="21">
        <v>-3.1866500000000001E-3</v>
      </c>
      <c r="R369" s="21">
        <v>359</v>
      </c>
      <c r="S369" s="21">
        <v>1.7071499999999999</v>
      </c>
      <c r="T369">
        <f t="shared" si="62"/>
        <v>3.9341358024691355</v>
      </c>
      <c r="U369">
        <f t="shared" si="63"/>
        <v>6.718559758024691</v>
      </c>
      <c r="X369" s="9"/>
      <c r="Y369" s="21">
        <v>-6.7749000000000004E-2</v>
      </c>
      <c r="Z369" s="21">
        <v>17.731000000000002</v>
      </c>
      <c r="AA369" s="21">
        <v>-1.5506000000000001E-2</v>
      </c>
      <c r="AB369" s="21">
        <v>359</v>
      </c>
      <c r="AC369" s="21">
        <v>-6.8267800000000003E-2</v>
      </c>
      <c r="AD369">
        <f t="shared" si="64"/>
        <v>19.14320987654321</v>
      </c>
      <c r="AE369">
        <f t="shared" si="65"/>
        <v>-1.2969333259259259</v>
      </c>
      <c r="AF369" s="9"/>
      <c r="AG369" s="21">
        <v>1.7077599999999999</v>
      </c>
      <c r="AH369" s="21">
        <v>21.429400000000001</v>
      </c>
      <c r="AI369" s="21">
        <v>-3.0160500000000002E-3</v>
      </c>
      <c r="AJ369" s="21">
        <v>359</v>
      </c>
      <c r="AK369" s="21">
        <v>1.7071499999999999</v>
      </c>
      <c r="AL369">
        <f t="shared" si="66"/>
        <v>3.7235185185185182</v>
      </c>
      <c r="AM369">
        <f t="shared" si="67"/>
        <v>6.3588759851851844</v>
      </c>
      <c r="AP369" s="9"/>
      <c r="AQ369" s="21">
        <v>-6.7749000000000004E-2</v>
      </c>
      <c r="AR369" s="21">
        <v>26.8263</v>
      </c>
      <c r="AS369" s="21">
        <v>-1.53992E-2</v>
      </c>
      <c r="AT369" s="21">
        <v>359</v>
      </c>
      <c r="AU369" s="21">
        <v>-6.8298300000000006E-2</v>
      </c>
      <c r="AV369">
        <f t="shared" si="68"/>
        <v>19.011358024691354</v>
      </c>
      <c r="AW369">
        <f t="shared" si="69"/>
        <v>-1.2880004948148147</v>
      </c>
      <c r="AX369" s="9"/>
      <c r="AY369" s="21">
        <v>1.7077599999999999</v>
      </c>
      <c r="AZ369" s="21">
        <v>30.5246</v>
      </c>
      <c r="BA369" s="21">
        <v>-2.85797E-3</v>
      </c>
      <c r="BB369" s="21">
        <v>359</v>
      </c>
      <c r="BC369" s="21">
        <v>1.70685</v>
      </c>
      <c r="BD369">
        <f t="shared" si="70"/>
        <v>3.5283580246913582</v>
      </c>
      <c r="BE369">
        <f t="shared" si="71"/>
        <v>6.0255887002469137</v>
      </c>
    </row>
    <row r="370" spans="6:57" x14ac:dyDescent="0.25">
      <c r="F370" s="9"/>
      <c r="G370" s="21">
        <v>-7.2784399999999999E-2</v>
      </c>
      <c r="H370" s="21">
        <v>8.6378799999999991</v>
      </c>
      <c r="I370" s="21">
        <v>-1.5689100000000001E-2</v>
      </c>
      <c r="J370" s="21">
        <v>360</v>
      </c>
      <c r="K370" s="21">
        <v>-7.3455800000000002E-2</v>
      </c>
      <c r="L370">
        <f t="shared" si="60"/>
        <v>19.369259259259259</v>
      </c>
      <c r="M370">
        <f t="shared" si="61"/>
        <v>-1.4097799136296296</v>
      </c>
      <c r="N370" s="9"/>
      <c r="O370" s="21">
        <v>1.7128000000000001</v>
      </c>
      <c r="P370" s="21">
        <v>12.3362</v>
      </c>
      <c r="Q370" s="21">
        <v>-2.4353000000000001E-3</v>
      </c>
      <c r="R370" s="21">
        <v>360</v>
      </c>
      <c r="S370" s="21">
        <v>1.71234</v>
      </c>
      <c r="T370">
        <f t="shared" si="62"/>
        <v>3.006543209876543</v>
      </c>
      <c r="U370">
        <f t="shared" si="63"/>
        <v>5.1496072098765433</v>
      </c>
      <c r="X370" s="9"/>
      <c r="Y370" s="21">
        <v>-7.2784399999999999E-2</v>
      </c>
      <c r="Z370" s="21">
        <v>17.741099999999999</v>
      </c>
      <c r="AA370" s="21">
        <v>-1.5512099999999999E-2</v>
      </c>
      <c r="AB370" s="21">
        <v>360</v>
      </c>
      <c r="AC370" s="21">
        <v>-7.3272699999999996E-2</v>
      </c>
      <c r="AD370">
        <f t="shared" si="64"/>
        <v>19.150740740740741</v>
      </c>
      <c r="AE370">
        <f t="shared" si="65"/>
        <v>-1.3938751743703703</v>
      </c>
      <c r="AF370" s="9"/>
      <c r="AG370" s="21">
        <v>1.7128000000000001</v>
      </c>
      <c r="AH370" s="21">
        <v>21.439399999999999</v>
      </c>
      <c r="AI370" s="21">
        <v>-2.2637899999999999E-3</v>
      </c>
      <c r="AJ370" s="21">
        <v>360</v>
      </c>
      <c r="AK370" s="21">
        <v>1.71234</v>
      </c>
      <c r="AL370">
        <f t="shared" si="66"/>
        <v>2.794802469135802</v>
      </c>
      <c r="AM370">
        <f t="shared" si="67"/>
        <v>4.7869376691358019</v>
      </c>
      <c r="AP370" s="9"/>
      <c r="AQ370" s="21">
        <v>-7.2784399999999999E-2</v>
      </c>
      <c r="AR370" s="21">
        <v>26.836300000000001</v>
      </c>
      <c r="AS370" s="21">
        <v>-1.54022E-2</v>
      </c>
      <c r="AT370" s="21">
        <v>360</v>
      </c>
      <c r="AU370" s="21">
        <v>-7.3303199999999999E-2</v>
      </c>
      <c r="AV370">
        <f t="shared" si="68"/>
        <v>19.015061728395061</v>
      </c>
      <c r="AW370">
        <f t="shared" si="69"/>
        <v>-1.3839998588641975</v>
      </c>
      <c r="AX370" s="9"/>
      <c r="AY370" s="21">
        <v>1.7128000000000001</v>
      </c>
      <c r="AZ370" s="21">
        <v>30.534700000000001</v>
      </c>
      <c r="BA370" s="21">
        <v>-2.0770300000000001E-3</v>
      </c>
      <c r="BB370" s="21">
        <v>360</v>
      </c>
      <c r="BC370" s="21">
        <v>1.71234</v>
      </c>
      <c r="BD370">
        <f t="shared" si="70"/>
        <v>2.5642345679012344</v>
      </c>
      <c r="BE370">
        <f t="shared" si="71"/>
        <v>4.3920209679012343</v>
      </c>
    </row>
    <row r="371" spans="6:57" x14ac:dyDescent="0.25">
      <c r="F371" s="9"/>
      <c r="G371" s="21">
        <v>-7.7819799999999995E-2</v>
      </c>
      <c r="H371" s="21">
        <v>8.6479499999999998</v>
      </c>
      <c r="I371" s="21">
        <v>-1.5689100000000001E-2</v>
      </c>
      <c r="J371" s="21">
        <v>361</v>
      </c>
      <c r="K371" s="21">
        <v>-7.8338599999999994E-2</v>
      </c>
      <c r="L371">
        <f t="shared" si="60"/>
        <v>19.369259259259259</v>
      </c>
      <c r="M371">
        <f t="shared" si="61"/>
        <v>-1.5073118817037037</v>
      </c>
      <c r="N371" s="9"/>
      <c r="O371" s="21">
        <v>1.71783</v>
      </c>
      <c r="P371" s="21">
        <v>12.346299999999999</v>
      </c>
      <c r="Q371" s="21">
        <v>-1.5948500000000001E-3</v>
      </c>
      <c r="R371" s="21">
        <v>361</v>
      </c>
      <c r="S371" s="21">
        <v>1.71722</v>
      </c>
      <c r="T371">
        <f t="shared" si="62"/>
        <v>1.9689506172839506</v>
      </c>
      <c r="U371">
        <f t="shared" si="63"/>
        <v>3.3823224388888886</v>
      </c>
      <c r="X371" s="9"/>
      <c r="Y371" s="21">
        <v>-7.7819799999999995E-2</v>
      </c>
      <c r="Z371" s="21">
        <v>17.751200000000001</v>
      </c>
      <c r="AA371" s="21">
        <v>-1.5521200000000001E-2</v>
      </c>
      <c r="AB371" s="21">
        <v>361</v>
      </c>
      <c r="AC371" s="21">
        <v>-7.8369099999999997E-2</v>
      </c>
      <c r="AD371">
        <f t="shared" si="64"/>
        <v>19.161975308641974</v>
      </c>
      <c r="AE371">
        <f t="shared" si="65"/>
        <v>-1.4911810861234567</v>
      </c>
      <c r="AF371" s="9"/>
      <c r="AG371" s="21">
        <v>1.71783</v>
      </c>
      <c r="AH371" s="21">
        <v>21.4495</v>
      </c>
      <c r="AI371" s="21">
        <v>-1.42578E-3</v>
      </c>
      <c r="AJ371" s="21">
        <v>361</v>
      </c>
      <c r="AK371" s="21">
        <v>1.71722</v>
      </c>
      <c r="AL371">
        <f t="shared" si="66"/>
        <v>1.7602222222222221</v>
      </c>
      <c r="AM371">
        <f t="shared" si="67"/>
        <v>3.0237625399999999</v>
      </c>
      <c r="AP371" s="9"/>
      <c r="AQ371" s="21">
        <v>-7.7819799999999995E-2</v>
      </c>
      <c r="AR371" s="21">
        <v>26.846399999999999</v>
      </c>
      <c r="AS371" s="21">
        <v>-1.54114E-2</v>
      </c>
      <c r="AT371" s="21">
        <v>361</v>
      </c>
      <c r="AU371" s="21">
        <v>-7.8308100000000005E-2</v>
      </c>
      <c r="AV371">
        <f t="shared" si="68"/>
        <v>19.026419753086419</v>
      </c>
      <c r="AW371">
        <f t="shared" si="69"/>
        <v>-1.4806321799012343</v>
      </c>
      <c r="AX371" s="9"/>
      <c r="AY371" s="21">
        <v>1.71783</v>
      </c>
      <c r="AZ371" s="21">
        <v>30.544699999999999</v>
      </c>
      <c r="BA371" s="21">
        <v>-1.22284E-3</v>
      </c>
      <c r="BB371" s="21">
        <v>361</v>
      </c>
      <c r="BC371" s="21">
        <v>1.71722</v>
      </c>
      <c r="BD371">
        <f t="shared" si="70"/>
        <v>1.5096790123456789</v>
      </c>
      <c r="BE371">
        <f t="shared" si="71"/>
        <v>2.5933718977777778</v>
      </c>
    </row>
    <row r="372" spans="6:57" x14ac:dyDescent="0.25">
      <c r="F372" s="9"/>
      <c r="G372" s="21">
        <v>-8.2855200000000004E-2</v>
      </c>
      <c r="H372" s="21">
        <v>8.6580200000000005</v>
      </c>
      <c r="I372" s="21">
        <v>-1.56921E-2</v>
      </c>
      <c r="J372" s="21">
        <v>362</v>
      </c>
      <c r="K372" s="21">
        <v>-8.3465600000000001E-2</v>
      </c>
      <c r="L372">
        <f t="shared" si="60"/>
        <v>19.372962962962962</v>
      </c>
      <c r="M372">
        <f t="shared" si="61"/>
        <v>-1.6051507208888889</v>
      </c>
      <c r="N372" s="9"/>
      <c r="O372" s="21">
        <v>1.7228699999999999</v>
      </c>
      <c r="P372" s="21">
        <v>12.356400000000001</v>
      </c>
      <c r="Q372" s="21">
        <v>-6.5795899999999995E-4</v>
      </c>
      <c r="R372" s="21">
        <v>362</v>
      </c>
      <c r="S372" s="21">
        <v>1.72272</v>
      </c>
      <c r="T372">
        <f t="shared" si="62"/>
        <v>0.81229506172839494</v>
      </c>
      <c r="U372">
        <f t="shared" si="63"/>
        <v>1.3994787929999997</v>
      </c>
      <c r="X372" s="9"/>
      <c r="Y372" s="21">
        <v>-8.2855200000000004E-2</v>
      </c>
      <c r="Z372" s="21">
        <v>17.761199999999999</v>
      </c>
      <c r="AA372" s="21">
        <v>-1.55243E-2</v>
      </c>
      <c r="AB372" s="21">
        <v>362</v>
      </c>
      <c r="AC372" s="21">
        <v>-8.3312999999999998E-2</v>
      </c>
      <c r="AD372">
        <f t="shared" si="64"/>
        <v>19.165802469135802</v>
      </c>
      <c r="AE372">
        <f t="shared" si="65"/>
        <v>-1.5879863967407408</v>
      </c>
      <c r="AF372" s="9"/>
      <c r="AG372" s="21">
        <v>1.7228699999999999</v>
      </c>
      <c r="AH372" s="21">
        <v>21.459599999999998</v>
      </c>
      <c r="AI372" s="21">
        <v>-4.8809800000000001E-4</v>
      </c>
      <c r="AJ372" s="21">
        <v>362</v>
      </c>
      <c r="AK372" s="21">
        <v>1.72211</v>
      </c>
      <c r="AL372">
        <f t="shared" si="66"/>
        <v>0.60259012345679008</v>
      </c>
      <c r="AM372">
        <f t="shared" si="67"/>
        <v>1.0381844459999998</v>
      </c>
      <c r="AP372" s="9"/>
      <c r="AQ372" s="21">
        <v>-8.2855200000000004E-2</v>
      </c>
      <c r="AR372" s="21">
        <v>26.8565</v>
      </c>
      <c r="AS372" s="21">
        <v>-1.5423600000000001E-2</v>
      </c>
      <c r="AT372" s="21">
        <v>362</v>
      </c>
      <c r="AU372" s="21">
        <v>-8.3404500000000006E-2</v>
      </c>
      <c r="AV372">
        <f t="shared" si="68"/>
        <v>19.041481481481483</v>
      </c>
      <c r="AW372">
        <f t="shared" si="69"/>
        <v>-1.5776857564444446</v>
      </c>
      <c r="AX372" s="9"/>
      <c r="AY372" s="21">
        <v>1.7228699999999999</v>
      </c>
      <c r="AZ372" s="21">
        <v>30.5548</v>
      </c>
      <c r="BA372" s="21">
        <v>-2.4902300000000002E-4</v>
      </c>
      <c r="BB372" s="21">
        <v>362</v>
      </c>
      <c r="BC372" s="21">
        <v>1.72272</v>
      </c>
      <c r="BD372">
        <f t="shared" si="70"/>
        <v>0.30743580246913577</v>
      </c>
      <c r="BE372">
        <f t="shared" si="71"/>
        <v>0.52967192099999993</v>
      </c>
    </row>
    <row r="373" spans="6:57" x14ac:dyDescent="0.25">
      <c r="F373" s="9"/>
      <c r="G373" s="21">
        <v>-8.7890599999999999E-2</v>
      </c>
      <c r="H373" s="21">
        <v>8.6680899999999994</v>
      </c>
      <c r="I373" s="21">
        <v>-1.56921E-2</v>
      </c>
      <c r="J373" s="21">
        <v>363</v>
      </c>
      <c r="K373" s="21">
        <v>-8.8439900000000002E-2</v>
      </c>
      <c r="L373">
        <f t="shared" si="60"/>
        <v>19.372962962962962</v>
      </c>
      <c r="M373">
        <f t="shared" si="61"/>
        <v>-1.7027013385925924</v>
      </c>
      <c r="N373" s="9"/>
      <c r="O373" s="21">
        <v>1.7279100000000001</v>
      </c>
      <c r="P373" s="21">
        <v>12.366400000000001</v>
      </c>
      <c r="Q373" s="21">
        <v>3.9355500000000002E-4</v>
      </c>
      <c r="R373" s="21">
        <v>363</v>
      </c>
      <c r="S373" s="21">
        <v>1.72699</v>
      </c>
      <c r="T373">
        <f t="shared" si="62"/>
        <v>-0.48587037037037034</v>
      </c>
      <c r="U373">
        <f t="shared" si="63"/>
        <v>-0.83954027166666667</v>
      </c>
      <c r="X373" s="9"/>
      <c r="Y373" s="21">
        <v>-8.7890599999999999E-2</v>
      </c>
      <c r="Z373" s="21">
        <v>17.7713</v>
      </c>
      <c r="AA373" s="21">
        <v>-1.5527300000000001E-2</v>
      </c>
      <c r="AB373" s="21">
        <v>363</v>
      </c>
      <c r="AC373" s="21">
        <v>-8.8409399999999999E-2</v>
      </c>
      <c r="AD373">
        <f t="shared" si="64"/>
        <v>19.169506172839505</v>
      </c>
      <c r="AE373">
        <f t="shared" si="65"/>
        <v>-1.6848193992345677</v>
      </c>
      <c r="AF373" s="9"/>
      <c r="AG373" s="21">
        <v>1.7279100000000001</v>
      </c>
      <c r="AH373" s="21">
        <v>21.4696</v>
      </c>
      <c r="AI373" s="21">
        <v>5.4534899999999999E-4</v>
      </c>
      <c r="AJ373" s="21">
        <v>363</v>
      </c>
      <c r="AK373" s="21">
        <v>1.72729</v>
      </c>
      <c r="AL373">
        <f t="shared" si="66"/>
        <v>-0.6732703703703703</v>
      </c>
      <c r="AM373">
        <f t="shared" si="67"/>
        <v>-1.1633506056666665</v>
      </c>
      <c r="AP373" s="9"/>
      <c r="AQ373" s="21">
        <v>-8.7890599999999999E-2</v>
      </c>
      <c r="AR373" s="21">
        <v>26.866499999999998</v>
      </c>
      <c r="AS373" s="21">
        <v>-1.5444899999999999E-2</v>
      </c>
      <c r="AT373" s="21">
        <v>363</v>
      </c>
      <c r="AU373" s="21">
        <v>-8.8470499999999994E-2</v>
      </c>
      <c r="AV373">
        <f t="shared" si="68"/>
        <v>19.067777777777778</v>
      </c>
      <c r="AW373">
        <f t="shared" si="69"/>
        <v>-1.6758784295555555</v>
      </c>
      <c r="AX373" s="9"/>
      <c r="AY373" s="21">
        <v>1.7279100000000001</v>
      </c>
      <c r="AZ373" s="21">
        <v>30.564900000000002</v>
      </c>
      <c r="BA373" s="21">
        <v>8.3862300000000004E-4</v>
      </c>
      <c r="BB373" s="21">
        <v>363</v>
      </c>
      <c r="BC373" s="21">
        <v>1.72729</v>
      </c>
      <c r="BD373">
        <f t="shared" si="70"/>
        <v>-1.0353370370370369</v>
      </c>
      <c r="BE373">
        <f t="shared" si="71"/>
        <v>-1.7889692196666667</v>
      </c>
    </row>
    <row r="374" spans="6:57" x14ac:dyDescent="0.25">
      <c r="F374" s="9"/>
      <c r="G374" s="21">
        <v>-9.2925999999999995E-2</v>
      </c>
      <c r="H374" s="21">
        <v>8.6781600000000001</v>
      </c>
      <c r="I374" s="21">
        <v>-1.5695199999999999E-2</v>
      </c>
      <c r="J374" s="21">
        <v>364</v>
      </c>
      <c r="K374" s="21">
        <v>-9.3536400000000006E-2</v>
      </c>
      <c r="L374">
        <f t="shared" si="60"/>
        <v>19.376790123456789</v>
      </c>
      <c r="M374">
        <f t="shared" si="61"/>
        <v>-1.8006075990123456</v>
      </c>
      <c r="N374" s="9"/>
      <c r="O374" s="21">
        <v>1.7329399999999999</v>
      </c>
      <c r="P374" s="21">
        <v>12.3765</v>
      </c>
      <c r="Q374" s="21">
        <v>1.6049199999999999E-3</v>
      </c>
      <c r="R374" s="21">
        <v>364</v>
      </c>
      <c r="S374" s="21">
        <v>1.7321800000000001</v>
      </c>
      <c r="T374">
        <f t="shared" si="62"/>
        <v>-1.9813827160493824</v>
      </c>
      <c r="U374">
        <f t="shared" si="63"/>
        <v>-3.4336173639506167</v>
      </c>
      <c r="X374" s="9"/>
      <c r="Y374" s="21">
        <v>-9.2925999999999995E-2</v>
      </c>
      <c r="Z374" s="21">
        <v>17.781400000000001</v>
      </c>
      <c r="AA374" s="21">
        <v>-1.5533399999999999E-2</v>
      </c>
      <c r="AB374" s="21">
        <v>364</v>
      </c>
      <c r="AC374" s="21">
        <v>-9.3505900000000003E-2</v>
      </c>
      <c r="AD374">
        <f t="shared" si="64"/>
        <v>19.177037037037035</v>
      </c>
      <c r="AE374">
        <f t="shared" si="65"/>
        <v>-1.7820453437037034</v>
      </c>
      <c r="AF374" s="9"/>
      <c r="AG374" s="21">
        <v>1.7329399999999999</v>
      </c>
      <c r="AH374" s="21">
        <v>21.479700000000001</v>
      </c>
      <c r="AI374" s="21">
        <v>1.7379800000000001E-3</v>
      </c>
      <c r="AJ374" s="21">
        <v>364</v>
      </c>
      <c r="AK374" s="21">
        <v>1.7327900000000001</v>
      </c>
      <c r="AL374">
        <f t="shared" si="66"/>
        <v>-2.1456543209876542</v>
      </c>
      <c r="AM374">
        <f t="shared" si="67"/>
        <v>-3.7182901990123454</v>
      </c>
      <c r="AP374" s="9"/>
      <c r="AQ374" s="21">
        <v>-9.2925999999999995E-2</v>
      </c>
      <c r="AR374" s="21">
        <v>26.8766</v>
      </c>
      <c r="AS374" s="21">
        <v>-1.5466300000000001E-2</v>
      </c>
      <c r="AT374" s="21">
        <v>364</v>
      </c>
      <c r="AU374" s="21">
        <v>-9.3444799999999995E-2</v>
      </c>
      <c r="AV374">
        <f t="shared" si="68"/>
        <v>19.094197530864196</v>
      </c>
      <c r="AW374">
        <f t="shared" si="69"/>
        <v>-1.7743473997530863</v>
      </c>
      <c r="AX374" s="9"/>
      <c r="AY374" s="21">
        <v>1.7329399999999999</v>
      </c>
      <c r="AZ374" s="21">
        <v>30.5749</v>
      </c>
      <c r="BA374" s="21">
        <v>2.08954E-3</v>
      </c>
      <c r="BB374" s="21">
        <v>364</v>
      </c>
      <c r="BC374" s="21">
        <v>1.7321800000000001</v>
      </c>
      <c r="BD374">
        <f t="shared" si="70"/>
        <v>-2.5796790123456788</v>
      </c>
      <c r="BE374">
        <f t="shared" si="71"/>
        <v>-4.4704289476543204</v>
      </c>
    </row>
    <row r="375" spans="6:57" x14ac:dyDescent="0.25">
      <c r="F375" s="9"/>
      <c r="G375" s="21">
        <v>-9.7961400000000004E-2</v>
      </c>
      <c r="H375" s="21">
        <v>8.6882300000000008</v>
      </c>
      <c r="I375" s="21">
        <v>-1.5701300000000001E-2</v>
      </c>
      <c r="J375" s="21">
        <v>365</v>
      </c>
      <c r="K375" s="21">
        <v>-9.8480200000000004E-2</v>
      </c>
      <c r="L375">
        <f t="shared" si="60"/>
        <v>19.384320987654323</v>
      </c>
      <c r="M375">
        <f t="shared" si="61"/>
        <v>-1.8989152220000003</v>
      </c>
      <c r="N375" s="9"/>
      <c r="O375" s="21">
        <v>1.7379800000000001</v>
      </c>
      <c r="P375" s="21">
        <v>12.3866</v>
      </c>
      <c r="Q375" s="21">
        <v>2.9528800000000002E-3</v>
      </c>
      <c r="R375" s="21">
        <v>365</v>
      </c>
      <c r="S375" s="21">
        <v>1.73767</v>
      </c>
      <c r="T375">
        <f t="shared" si="62"/>
        <v>-3.6455308641975308</v>
      </c>
      <c r="U375">
        <f t="shared" si="63"/>
        <v>-6.3358597313580249</v>
      </c>
      <c r="X375" s="9"/>
      <c r="Y375" s="21">
        <v>-9.7961400000000004E-2</v>
      </c>
      <c r="Z375" s="21">
        <v>17.791499999999999</v>
      </c>
      <c r="AA375" s="21">
        <v>-1.55365E-2</v>
      </c>
      <c r="AB375" s="21">
        <v>365</v>
      </c>
      <c r="AC375" s="21">
        <v>-9.8602300000000004E-2</v>
      </c>
      <c r="AD375">
        <f t="shared" si="64"/>
        <v>19.180864197530862</v>
      </c>
      <c r="AE375">
        <f t="shared" si="65"/>
        <v>-1.8789843099999999</v>
      </c>
      <c r="AF375" s="9"/>
      <c r="AG375" s="21">
        <v>1.7379800000000001</v>
      </c>
      <c r="AH375" s="21">
        <v>21.489799999999999</v>
      </c>
      <c r="AI375" s="21">
        <v>3.06763E-3</v>
      </c>
      <c r="AJ375" s="21">
        <v>365</v>
      </c>
      <c r="AK375" s="21">
        <v>1.7373700000000001</v>
      </c>
      <c r="AL375">
        <f t="shared" si="66"/>
        <v>-3.787197530864197</v>
      </c>
      <c r="AM375">
        <f t="shared" si="67"/>
        <v>-6.5820735646913571</v>
      </c>
      <c r="AP375" s="9"/>
      <c r="AQ375" s="21">
        <v>-9.7961400000000004E-2</v>
      </c>
      <c r="AR375" s="21">
        <v>26.886700000000001</v>
      </c>
      <c r="AS375" s="21">
        <v>-1.54755E-2</v>
      </c>
      <c r="AT375" s="21">
        <v>365</v>
      </c>
      <c r="AU375" s="21">
        <v>-9.8510700000000007E-2</v>
      </c>
      <c r="AV375">
        <f t="shared" si="68"/>
        <v>19.105555555555554</v>
      </c>
      <c r="AW375">
        <f t="shared" si="69"/>
        <v>-1.87160697</v>
      </c>
      <c r="AX375" s="9"/>
      <c r="AY375" s="21">
        <v>1.7379800000000001</v>
      </c>
      <c r="AZ375" s="21">
        <v>30.585000000000001</v>
      </c>
      <c r="BA375" s="21">
        <v>3.4848000000000001E-3</v>
      </c>
      <c r="BB375" s="21">
        <v>365</v>
      </c>
      <c r="BC375" s="21">
        <v>1.7379800000000001</v>
      </c>
      <c r="BD375">
        <f t="shared" si="70"/>
        <v>-4.3022222222222224</v>
      </c>
      <c r="BE375">
        <f t="shared" si="71"/>
        <v>-7.4771761777777783</v>
      </c>
    </row>
    <row r="376" spans="6:57" x14ac:dyDescent="0.25">
      <c r="F376" s="9"/>
      <c r="G376" s="21">
        <v>-0.10299700000000001</v>
      </c>
      <c r="H376" s="21">
        <v>8.6983099999999993</v>
      </c>
      <c r="I376" s="21">
        <v>-1.57074E-2</v>
      </c>
      <c r="J376" s="21">
        <v>366</v>
      </c>
      <c r="K376" s="21">
        <v>-0.103607</v>
      </c>
      <c r="L376">
        <f t="shared" si="60"/>
        <v>19.39185185185185</v>
      </c>
      <c r="M376">
        <f t="shared" si="61"/>
        <v>-1.9973025651851852</v>
      </c>
      <c r="N376" s="9"/>
      <c r="O376" s="21">
        <v>1.7430099999999999</v>
      </c>
      <c r="P376" s="21">
        <v>12.396599999999999</v>
      </c>
      <c r="Q376" s="21">
        <v>4.4699099999999997E-3</v>
      </c>
      <c r="R376" s="21">
        <v>366</v>
      </c>
      <c r="S376" s="21">
        <v>1.7416400000000001</v>
      </c>
      <c r="T376">
        <f t="shared" si="62"/>
        <v>-5.5184074074074072</v>
      </c>
      <c r="U376">
        <f t="shared" si="63"/>
        <v>-9.6186392951851847</v>
      </c>
      <c r="X376" s="9"/>
      <c r="Y376" s="21">
        <v>-0.10299700000000001</v>
      </c>
      <c r="Z376" s="21">
        <v>17.801500000000001</v>
      </c>
      <c r="AA376" s="21">
        <v>-1.5539600000000001E-2</v>
      </c>
      <c r="AB376" s="21">
        <v>366</v>
      </c>
      <c r="AC376" s="21">
        <v>-0.103577</v>
      </c>
      <c r="AD376">
        <f t="shared" si="64"/>
        <v>19.18469135802469</v>
      </c>
      <c r="AE376">
        <f t="shared" si="65"/>
        <v>-1.9759656558024692</v>
      </c>
      <c r="AF376" s="9"/>
      <c r="AG376" s="21">
        <v>1.7430099999999999</v>
      </c>
      <c r="AH376" s="21">
        <v>21.4999</v>
      </c>
      <c r="AI376" s="21">
        <v>4.5632900000000002E-3</v>
      </c>
      <c r="AJ376" s="21">
        <v>366</v>
      </c>
      <c r="AK376" s="21">
        <v>1.74194</v>
      </c>
      <c r="AL376">
        <f t="shared" si="66"/>
        <v>-5.6336913580246915</v>
      </c>
      <c r="AM376">
        <f t="shared" si="67"/>
        <v>-9.8195803739506164</v>
      </c>
      <c r="AP376" s="9"/>
      <c r="AQ376" s="21">
        <v>-0.10299700000000001</v>
      </c>
      <c r="AR376" s="21">
        <v>26.896699999999999</v>
      </c>
      <c r="AS376" s="21">
        <v>-1.54816E-2</v>
      </c>
      <c r="AT376" s="21">
        <v>366</v>
      </c>
      <c r="AU376" s="21">
        <v>-0.103546</v>
      </c>
      <c r="AV376">
        <f t="shared" si="68"/>
        <v>19.113086419753085</v>
      </c>
      <c r="AW376">
        <f t="shared" si="69"/>
        <v>-1.9685905619753086</v>
      </c>
      <c r="AX376" s="9"/>
      <c r="AY376" s="21">
        <v>1.7430099999999999</v>
      </c>
      <c r="AZ376" s="21">
        <v>30.595099999999999</v>
      </c>
      <c r="BA376" s="21">
        <v>5.0415E-3</v>
      </c>
      <c r="BB376" s="21">
        <v>366</v>
      </c>
      <c r="BC376" s="21">
        <v>1.7422500000000001</v>
      </c>
      <c r="BD376">
        <f t="shared" si="70"/>
        <v>-6.2240740740740739</v>
      </c>
      <c r="BE376">
        <f t="shared" si="71"/>
        <v>-10.848623351851851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350"/>
  <sheetViews>
    <sheetView topLeftCell="AS1"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3340.3404098362439</v>
      </c>
      <c r="H2" s="2"/>
      <c r="I2" s="6" t="s">
        <v>12</v>
      </c>
      <c r="J2" s="2"/>
      <c r="K2" s="7" t="s">
        <v>13</v>
      </c>
      <c r="L2" s="3">
        <f>L4*I6*L9/100*100</f>
        <v>17.90277937777778</v>
      </c>
      <c r="M2" s="8" t="s">
        <v>14</v>
      </c>
      <c r="N2" s="9"/>
      <c r="O2" s="2">
        <f>ABS(S7-S6)/ABS(T7-T6)*1000</f>
        <v>449.24519347826873</v>
      </c>
      <c r="P2" s="2"/>
      <c r="Q2" s="6" t="s">
        <v>15</v>
      </c>
      <c r="R2" s="2"/>
      <c r="S2" s="7" t="s">
        <v>13</v>
      </c>
      <c r="T2" s="3">
        <f>T4*Q6*T9/100*100</f>
        <v>17.388117555555556</v>
      </c>
      <c r="U2" s="8" t="s">
        <v>14</v>
      </c>
      <c r="X2" s="9"/>
      <c r="Y2" s="2">
        <f>ABS(AC7-AC6)/ABS(AD7-AD6)*1000</f>
        <v>1347.1974000002203</v>
      </c>
      <c r="Z2" s="2"/>
      <c r="AA2" s="6" t="s">
        <v>12</v>
      </c>
      <c r="AB2" s="2"/>
      <c r="AC2" s="7" t="s">
        <v>13</v>
      </c>
      <c r="AD2" s="3">
        <f>AD4*AA6*AD9/100*100</f>
        <v>18.032698358024689</v>
      </c>
      <c r="AE2" s="8" t="s">
        <v>14</v>
      </c>
      <c r="AF2" s="9"/>
      <c r="AG2" s="2">
        <f>ABS(AK7-AK6)/ABS(AL7-AL6)*1000</f>
        <v>452.28059010978768</v>
      </c>
      <c r="AH2" s="2"/>
      <c r="AI2" s="6" t="s">
        <v>15</v>
      </c>
      <c r="AJ2" s="2"/>
      <c r="AK2" s="7" t="s">
        <v>13</v>
      </c>
      <c r="AL2" s="3">
        <f>AL4*AI6*AL9/100*100</f>
        <v>16.934715906172833</v>
      </c>
      <c r="AM2" s="8" t="s">
        <v>14</v>
      </c>
      <c r="AP2" s="9"/>
      <c r="AQ2" s="2">
        <f>ABS(AU7-AU6)/ABS(AV7-AV6)*1000</f>
        <v>682.41304918036428</v>
      </c>
      <c r="AR2" s="2"/>
      <c r="AS2" s="6" t="s">
        <v>12</v>
      </c>
      <c r="AT2" s="2"/>
      <c r="AU2" s="7" t="s">
        <v>13</v>
      </c>
      <c r="AV2" s="3">
        <f>AV4*AS6*AV9/100*100</f>
        <v>17.861028577777777</v>
      </c>
      <c r="AW2" s="8" t="s">
        <v>14</v>
      </c>
      <c r="AX2" s="9"/>
      <c r="AY2" s="2" t="e">
        <f>ABS(BC7-BC6)/ABS(BD7-BD6)*1000</f>
        <v>#DIV/0!</v>
      </c>
      <c r="AZ2" s="2"/>
      <c r="BA2" s="6" t="s">
        <v>15</v>
      </c>
      <c r="BB2" s="2"/>
      <c r="BC2" s="7" t="s">
        <v>13</v>
      </c>
      <c r="BD2" s="3" t="e">
        <f>BD4*BA6*BD9/100*100</f>
        <v>#DIV/0!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1.55426</v>
      </c>
      <c r="J3" s="2"/>
      <c r="K3" s="10">
        <f>INDEX(L11:L1056,MATCH(I3,K11:K1056,0))</f>
        <v>-0.37672222222222218</v>
      </c>
      <c r="L3" s="26" t="s">
        <v>16</v>
      </c>
      <c r="M3" s="11">
        <f>M9</f>
        <v>17.902779377777776</v>
      </c>
      <c r="N3" s="9"/>
      <c r="O3" s="2" t="s">
        <v>44</v>
      </c>
      <c r="P3" s="2"/>
      <c r="Q3" s="2">
        <f>INDEX(S11:S1056,MATCH(0,T11:T1056,-1))</f>
        <v>1.56097</v>
      </c>
      <c r="R3" s="2"/>
      <c r="S3" s="10">
        <f>INDEX(T11:T1056,MATCH(Q3,S11:S1056,0))</f>
        <v>0.47072469135802464</v>
      </c>
      <c r="T3" s="26" t="s">
        <v>16</v>
      </c>
      <c r="U3" s="11">
        <f>U9</f>
        <v>17.388117555555556</v>
      </c>
      <c r="X3" s="9"/>
      <c r="Y3" s="2" t="s">
        <v>44</v>
      </c>
      <c r="Z3" s="2"/>
      <c r="AA3" s="2">
        <f>INDEX(AC11:AC856,MATCH(0,AD11:AD856,1))</f>
        <v>1.56403</v>
      </c>
      <c r="AB3" s="2"/>
      <c r="AC3" s="10">
        <f>INDEX(AD11:AD1056,MATCH(AA3,AC11:AC1056,0))</f>
        <v>-0.19681975308641975</v>
      </c>
      <c r="AD3" s="26" t="s">
        <v>16</v>
      </c>
      <c r="AE3" s="11">
        <f>AE9</f>
        <v>18.032698358024689</v>
      </c>
      <c r="AF3" s="9"/>
      <c r="AG3" s="2" t="s">
        <v>44</v>
      </c>
      <c r="AH3" s="2"/>
      <c r="AI3" s="2">
        <f>INDEX(AK11:AK1056,MATCH(0,AL11:AL1056,-1))</f>
        <v>1.56128</v>
      </c>
      <c r="AJ3" s="2"/>
      <c r="AK3" s="10">
        <f>INDEX(AL11:AL1056,MATCH(AI3,AK11:AK1056,0))</f>
        <v>0.27454567901234567</v>
      </c>
      <c r="AL3" s="26" t="s">
        <v>16</v>
      </c>
      <c r="AM3" s="11">
        <f>AM9</f>
        <v>16.934715906172837</v>
      </c>
      <c r="AP3" s="9"/>
      <c r="AQ3" s="2" t="s">
        <v>44</v>
      </c>
      <c r="AR3" s="2"/>
      <c r="AS3" s="2">
        <f>INDEX(AU11:AU856,MATCH(0,AV11:AV856,1))</f>
        <v>1.56403</v>
      </c>
      <c r="AT3" s="2"/>
      <c r="AU3" s="10">
        <f>INDEX(AV11:AV1056,MATCH(AS3,AU11:AU1056,0))</f>
        <v>-0.48718888888888884</v>
      </c>
      <c r="AV3" s="26" t="s">
        <v>16</v>
      </c>
      <c r="AW3" s="11">
        <f>AW9</f>
        <v>17.861028577777777</v>
      </c>
      <c r="AX3" s="9"/>
      <c r="AY3" s="2" t="s">
        <v>44</v>
      </c>
      <c r="AZ3" s="2"/>
      <c r="BA3" s="2">
        <f>INDEX(BC11:BC1056,MATCH(0,BD11:BD1056,-1))</f>
        <v>1.56158</v>
      </c>
      <c r="BB3" s="2"/>
      <c r="BC3" s="10">
        <f>INDEX(BD11:BD1056,MATCH(BA3,BC11:BC1056,0))</f>
        <v>0.15432098765432098</v>
      </c>
      <c r="BD3" s="26" t="s">
        <v>16</v>
      </c>
      <c r="BE3" s="11">
        <f>BE9</f>
        <v>16.784379508641976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6.8837887541099274</v>
      </c>
      <c r="H4" s="2"/>
      <c r="I4" s="2">
        <f>INDEX(K11:K1000,1+MATCH(0,L11:L856,1))</f>
        <v>1.54877</v>
      </c>
      <c r="J4" s="2"/>
      <c r="K4" s="10">
        <f>INDEX(L11:L1056,MATCH(I4,K11:K1056,0))</f>
        <v>0.42080370370370362</v>
      </c>
      <c r="L4" s="25">
        <f>M3/(I6*L9)</f>
        <v>0.62685769752791609</v>
      </c>
      <c r="M4" s="8" t="s">
        <v>17</v>
      </c>
      <c r="N4" s="9"/>
      <c r="O4" s="2">
        <f>ABS(Q3-Q4)/ABS(S3-S4)*1000</f>
        <v>8.6145052412159124</v>
      </c>
      <c r="P4" s="2"/>
      <c r="Q4" s="2">
        <f>INDEX(S11:S856,1+MATCH(0,T11:T856,-1))</f>
        <v>1.56647</v>
      </c>
      <c r="R4" s="2"/>
      <c r="S4" s="10">
        <f>INDEX(T11:T856,MATCH(Q4,S11:S856,0))</f>
        <v>-0.16773333333333332</v>
      </c>
      <c r="T4" s="25">
        <f>U3/(Q6*T9)</f>
        <v>0.60748870287246881</v>
      </c>
      <c r="U4" s="8" t="s">
        <v>17</v>
      </c>
      <c r="X4" s="9"/>
      <c r="Y4" s="2">
        <f>ABS(AA3-AA4)/ABS(AC3-AC4)*1000</f>
        <v>6.1520898373795099</v>
      </c>
      <c r="Z4" s="2"/>
      <c r="AA4" s="2">
        <f>INDEX(AC11:AC1000,1+MATCH(0,AD11:AD856,1))</f>
        <v>1.55914</v>
      </c>
      <c r="AB4" s="2"/>
      <c r="AC4" s="10">
        <f>INDEX(AD11:AD1056,MATCH(AA4,AC11:AC1056,0))</f>
        <v>0.59803209876543206</v>
      </c>
      <c r="AD4" s="25">
        <f>AE3/(AA6*AD9)</f>
        <v>0.63141785125759897</v>
      </c>
      <c r="AE4" s="8" t="s">
        <v>17</v>
      </c>
      <c r="AF4" s="9"/>
      <c r="AG4" s="2">
        <f>ABS(AI3-AI4)/ABS(AK3-AK4)*1000</f>
        <v>7.0948136220115989</v>
      </c>
      <c r="AH4" s="2"/>
      <c r="AI4" s="2">
        <f>INDEX(AK11:AK856,1+MATCH(0,AL11:AL856,-1))</f>
        <v>1.56586</v>
      </c>
      <c r="AJ4" s="2"/>
      <c r="AK4" s="10">
        <f>INDEX(AL11:AL856,MATCH(AI4,AK11:AK856,0))</f>
        <v>-0.37099629629629627</v>
      </c>
      <c r="AL4" s="25">
        <f>AM3/(AI6*AL9)</f>
        <v>0.59526893095313793</v>
      </c>
      <c r="AM4" s="8" t="s">
        <v>17</v>
      </c>
      <c r="AP4" s="9"/>
      <c r="AQ4" s="2">
        <f>ABS(AS3-AS4)/ABS(AU3-AU4)*1000</f>
        <v>6.6541094535238381</v>
      </c>
      <c r="AR4" s="2"/>
      <c r="AS4" s="2">
        <f>INDEX(AU11:AU1000,1+MATCH(0,AV11:AV856,1))</f>
        <v>1.55884</v>
      </c>
      <c r="AT4" s="2"/>
      <c r="AU4" s="10">
        <f>INDEX(AV11:AV1056,MATCH(AS4,AU11:AU1056,0))</f>
        <v>0.29278024691358023</v>
      </c>
      <c r="AV4" s="25">
        <f>AW3/(AS6*AV9)</f>
        <v>0.62686441925006475</v>
      </c>
      <c r="AW4" s="8" t="s">
        <v>17</v>
      </c>
      <c r="AX4" s="9"/>
      <c r="AY4" s="2">
        <f>ABS(BA3-BA4)/ABS(BC3-BC4)*1000</f>
        <v>7.9474668264768544</v>
      </c>
      <c r="AZ4" s="2"/>
      <c r="BA4" s="2">
        <f>INDEX(BC11:BC856,1+MATCH(0,BD11:BD856,-1))</f>
        <v>1.56677</v>
      </c>
      <c r="BB4" s="2"/>
      <c r="BC4" s="10">
        <f>INDEX(BD11:BD856,MATCH(BA4,BC11:BC856,0))</f>
        <v>-0.49871728395061721</v>
      </c>
      <c r="BD4" s="25" t="e">
        <f>BE3/(BA6*BD9)</f>
        <v>#DIV/0!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14.29432098765432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14.143580246913581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14.226419753086418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14.004197530864197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14.203827160493827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13.879876543209877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1.5516667238032433</v>
      </c>
      <c r="J6" s="25"/>
      <c r="K6" s="2">
        <f>INDEX(K11:K1056,MATCH(L6,L11:L1056,0))</f>
        <v>3.46985E-3</v>
      </c>
      <c r="L6" s="10">
        <f>INDEX(L11:L1056,MATCH(0,K11:K1056,-1))</f>
        <v>18.404691358024692</v>
      </c>
      <c r="M6" s="8" t="s">
        <v>22</v>
      </c>
      <c r="N6" s="9"/>
      <c r="O6" s="2"/>
      <c r="P6" s="2"/>
      <c r="Q6" s="27">
        <f>(Q3-Q4)/(S3-S4)*(-S4)+Q4</f>
        <v>1.5650250603208735</v>
      </c>
      <c r="R6" s="27"/>
      <c r="S6" s="2">
        <f>INDEX(S11:S1056,MATCH(T6,T11:T1056,0))</f>
        <v>-4.5501700000000001E-3</v>
      </c>
      <c r="T6" s="10">
        <f>INDEX(T11:T1056,MATCH(0,S11:S1056,1))</f>
        <v>18.299259259259259</v>
      </c>
      <c r="U6" s="8" t="s">
        <v>22</v>
      </c>
      <c r="X6" s="9"/>
      <c r="Y6" s="2"/>
      <c r="Z6" s="2"/>
      <c r="AA6" s="25">
        <f>(AA3-AA4)/(AC3-AC4)*(-AC4)+AA4</f>
        <v>1.5628191471972415</v>
      </c>
      <c r="AB6" s="25"/>
      <c r="AC6" s="2">
        <f>INDEX(AC11:AC1056,MATCH(AD6,AD11:AD1056,0))</f>
        <v>3.5064699999999998E-3</v>
      </c>
      <c r="AD6" s="10">
        <f>INDEX(AD11:AD1056,MATCH(0,AC11:AC1056,-1))</f>
        <v>18.276666666666667</v>
      </c>
      <c r="AE6" s="8" t="s">
        <v>22</v>
      </c>
      <c r="AF6" s="9"/>
      <c r="AG6" s="2"/>
      <c r="AH6" s="2"/>
      <c r="AI6" s="27">
        <f>(AI3-AI4)/(AK3-AK4)*(-AK4)+AI4</f>
        <v>1.5632278504233212</v>
      </c>
      <c r="AJ6" s="27"/>
      <c r="AK6" s="2">
        <f>INDEX(AK11:AK1056,MATCH(AL6,AL11:AL1056,0))</f>
        <v>-4.5135499999999999E-3</v>
      </c>
      <c r="AL6" s="10">
        <f>INDEX(AL11:AL1056,MATCH(0,AK11:AK1056,1))</f>
        <v>18.208765432098765</v>
      </c>
      <c r="AM6" s="8" t="s">
        <v>22</v>
      </c>
      <c r="AP6" s="9"/>
      <c r="AQ6" s="2"/>
      <c r="AR6" s="2"/>
      <c r="AS6" s="25">
        <f>(AS3-AS4)/(AU3-AU4)*(-AU4)+AS4</f>
        <v>1.5607881918087927</v>
      </c>
      <c r="AT6" s="25"/>
      <c r="AU6" s="2">
        <f>INDEX(AU11:AU1056,MATCH(AV6,AV11:AV1056,0))</f>
        <v>3.4454300000000002E-3</v>
      </c>
      <c r="AV6" s="10">
        <f>INDEX(AV11:AV1056,MATCH(0,AU11:AU1056,-1))</f>
        <v>18.250246913580245</v>
      </c>
      <c r="AW6" s="8" t="s">
        <v>22</v>
      </c>
      <c r="AX6" s="9"/>
      <c r="AY6" s="2"/>
      <c r="AZ6" s="2"/>
      <c r="BA6" s="27">
        <f>(BA3-BA4)/(BC3-BC4)*(-BC4)+BA4</f>
        <v>1.5628064609300119</v>
      </c>
      <c r="BB6" s="27"/>
      <c r="BC6" s="2">
        <f>INDEX(BC11:BC1056,MATCH(BD6,BD11:BD1056,0))</f>
        <v>-9.5703100000000003E-3</v>
      </c>
      <c r="BD6" s="10">
        <f>INDEX(BD11:BD1056,MATCH(0,BC11:BC1056,1))</f>
        <v>18.182469135802467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-2.1685800000000002E-2</v>
      </c>
      <c r="L7" s="10">
        <f>INDEX(L11:L856,1+MATCH(0,K11:K856,-1))</f>
        <v>18.412222222222223</v>
      </c>
      <c r="M7" s="12">
        <f>INDEX(K11:K1056,MATCH(M9,M11:M1056,0))</f>
        <v>1.25244</v>
      </c>
      <c r="N7" s="9"/>
      <c r="O7" s="2"/>
      <c r="P7" s="2"/>
      <c r="Q7" s="2"/>
      <c r="R7" s="2"/>
      <c r="S7" s="2">
        <f>INDEX(S11:S1056,MATCH(T7,T11:T1056,0))</f>
        <v>5.5236800000000002E-4</v>
      </c>
      <c r="T7" s="10">
        <f>INDEX(T11:T1056,1+MATCH(0,S11:S1056,1))</f>
        <v>18.287901234567901</v>
      </c>
      <c r="U7" s="12">
        <f>INDEX(S11:S1056,MATCH(U9,U11:U1056,0))</f>
        <v>1.22864</v>
      </c>
      <c r="X7" s="9"/>
      <c r="Y7" s="2"/>
      <c r="Z7" s="2"/>
      <c r="AA7" s="2"/>
      <c r="AB7" s="2"/>
      <c r="AC7" s="2">
        <f>INDEX(AC11:AC856,MATCH(AD7,AD11:AD856,1))</f>
        <v>8.4960899999999995E-3</v>
      </c>
      <c r="AD7" s="10">
        <f>INDEX(AD11:AD856,1+MATCH(0,AC11:AC856,-1))</f>
        <v>18.28037037037037</v>
      </c>
      <c r="AE7" s="12">
        <f>INDEX(AC11:AC1056,MATCH(AE9,AE11:AE1056,0))</f>
        <v>1.26678</v>
      </c>
      <c r="AF7" s="9"/>
      <c r="AG7" s="2"/>
      <c r="AH7" s="2"/>
      <c r="AI7" s="2"/>
      <c r="AJ7" s="2"/>
      <c r="AK7" s="2">
        <f>INDEX(AK11:AK1056,MATCH(AL7,AL11:AL1056,0))</f>
        <v>5.6762700000000002E-4</v>
      </c>
      <c r="AL7" s="10">
        <f>INDEX(AL11:AL1056,1+MATCH(0,AK11:AK1056,1))</f>
        <v>18.197530864197528</v>
      </c>
      <c r="AM7" s="12">
        <f>INDEX(AK11:AK1056,MATCH(AM9,AM11:AM1056,0))</f>
        <v>1.2081900000000001</v>
      </c>
      <c r="AP7" s="9"/>
      <c r="AQ7" s="2"/>
      <c r="AR7" s="2"/>
      <c r="AS7" s="2"/>
      <c r="AT7" s="2"/>
      <c r="AU7" s="2">
        <f>INDEX(AU11:AU856,MATCH(AV7,AV11:AV856,1))</f>
        <v>-1.6937300000000001E-3</v>
      </c>
      <c r="AV7" s="10">
        <f>INDEX(AV11:AV856,1+MATCH(0,AU11:AU856,-1))</f>
        <v>18.257777777777775</v>
      </c>
      <c r="AW7" s="12">
        <f>INDEX(AU11:AU1056,MATCH(AW9,AW11:AW1056,0))</f>
        <v>1.25732</v>
      </c>
      <c r="AX7" s="9"/>
      <c r="AY7" s="2"/>
      <c r="AZ7" s="2"/>
      <c r="BA7" s="2"/>
      <c r="BB7" s="2"/>
      <c r="BC7" s="2">
        <f>INDEX(BC11:BC1056,MATCH(BD7,BD11:BD1056,0))</f>
        <v>-9.5703100000000003E-3</v>
      </c>
      <c r="BD7" s="10">
        <f>INDEX(BD11:BD1056,1+MATCH(0,BC11:BC1056,1))</f>
        <v>18.182469135802467</v>
      </c>
      <c r="BE7" s="12">
        <f>INDEX(BC11:BC1056,MATCH(BE9,BE11:BE1056,0))</f>
        <v>1.2081900000000001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2.8747593396646463</v>
      </c>
      <c r="J9" s="2"/>
      <c r="K9" s="2"/>
      <c r="L9" s="3">
        <f>(L6-L7)/(K6-K7)*(-K7)+L7</f>
        <v>18.405730129399544</v>
      </c>
      <c r="M9" s="15">
        <f>MAX(M11:M1056)</f>
        <v>17.902779377777776</v>
      </c>
      <c r="N9" s="9"/>
      <c r="O9" s="2"/>
      <c r="P9" s="2"/>
      <c r="Q9" s="2"/>
      <c r="R9" s="2"/>
      <c r="S9" s="2"/>
      <c r="T9" s="3">
        <f>(T6-T7)/(S6-S7)*(-S7)+T7</f>
        <v>18.289130781390035</v>
      </c>
      <c r="U9" s="15">
        <f>MAX(U11:U1056)</f>
        <v>17.388117555555556</v>
      </c>
      <c r="X9" s="9"/>
      <c r="Y9" s="2"/>
      <c r="Z9" s="2"/>
      <c r="AA9" s="14">
        <f>(MAX(AD2,AL2)-MIN(AD2,AL2))/MAX(AD2,AL2)%</f>
        <v>6.0888416700168717</v>
      </c>
      <c r="AB9" s="2"/>
      <c r="AC9" s="2"/>
      <c r="AD9" s="3">
        <f>(AD6-AD7)/(AC6-AC7)*(-AC7)+AD7</f>
        <v>18.274063878092402</v>
      </c>
      <c r="AE9" s="15">
        <f>MAX(AE11:AE1056)</f>
        <v>18.032698358024689</v>
      </c>
      <c r="AF9" s="9"/>
      <c r="AG9" s="2"/>
      <c r="AH9" s="2"/>
      <c r="AI9" s="2"/>
      <c r="AJ9" s="2"/>
      <c r="AK9" s="2"/>
      <c r="AL9" s="3">
        <f>(AL6-AL7)/(AK6-AK7)*(-AK7)+AL7</f>
        <v>18.198785897051938</v>
      </c>
      <c r="AM9" s="15">
        <f>MAX(AM11:AM1056)</f>
        <v>16.934715906172837</v>
      </c>
      <c r="AP9" s="9"/>
      <c r="AQ9" s="2"/>
      <c r="AR9" s="2"/>
      <c r="AS9" s="14" t="e">
        <f>(MAX(AV2,BD2)-MIN(AV2,BD2))/MAX(AV2,BD2)%</f>
        <v>#DIV/0!</v>
      </c>
      <c r="AT9" s="2"/>
      <c r="AU9" s="2"/>
      <c r="AV9" s="3">
        <f>(AV6-AV7)/(AU6-AU7)*(-AU7)+AV7</f>
        <v>18.255295805895738</v>
      </c>
      <c r="AW9" s="15">
        <f>MAX(AW11:AW1056)</f>
        <v>17.861028577777777</v>
      </c>
      <c r="AX9" s="9"/>
      <c r="AY9" s="2"/>
      <c r="AZ9" s="2"/>
      <c r="BA9" s="2"/>
      <c r="BB9" s="2"/>
      <c r="BC9" s="2"/>
      <c r="BD9" s="3" t="e">
        <f>(BD6-BD7)/(BC6-BC7)*(-BC7)+BD7</f>
        <v>#DIV/0!</v>
      </c>
      <c r="BE9" s="15">
        <f>MAX(BE11:BE1056)</f>
        <v>16.784379508641976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1.5516667238032433</v>
      </c>
      <c r="B11" s="18">
        <f>IFERROR(L9,0)</f>
        <v>18.405730129399544</v>
      </c>
      <c r="C11" s="19">
        <f>IFERROR(L4,0)</f>
        <v>0.62685769752791609</v>
      </c>
      <c r="D11" s="20">
        <f>IFERROR(L2,0)</f>
        <v>17.90277937777778</v>
      </c>
      <c r="E11" s="20">
        <f>IFERROR(I9,0)</f>
        <v>2.8747593396646463</v>
      </c>
      <c r="F11" s="9"/>
      <c r="G11" s="21">
        <v>1.6049199999999999</v>
      </c>
      <c r="H11" s="21">
        <v>5.1013900000000003</v>
      </c>
      <c r="I11" s="21">
        <v>9.6740699999999999E-3</v>
      </c>
      <c r="J11" s="21">
        <v>1</v>
      </c>
      <c r="K11" s="21">
        <v>1.6043099999999999</v>
      </c>
      <c r="L11">
        <f>-I11/$F$2*1000</f>
        <v>-11.943296296296296</v>
      </c>
      <c r="M11">
        <f>L11*G11</f>
        <v>-19.168035091851852</v>
      </c>
      <c r="N11" s="9"/>
      <c r="O11" s="21">
        <v>-9.49097E-2</v>
      </c>
      <c r="P11" s="21">
        <v>8.5378799999999995</v>
      </c>
      <c r="Q11" s="21">
        <v>-1.49017E-2</v>
      </c>
      <c r="R11" s="21">
        <v>1</v>
      </c>
      <c r="S11" s="21">
        <v>-9.5367400000000005E-2</v>
      </c>
      <c r="T11">
        <f>-Q11/$F$2*1000</f>
        <v>18.397160493827158</v>
      </c>
      <c r="U11">
        <f>T11*O11</f>
        <v>-1.7460689833209875</v>
      </c>
      <c r="V11" s="22"/>
      <c r="W11" s="23"/>
      <c r="X11" s="9"/>
      <c r="Y11" s="21">
        <v>1.6049199999999999</v>
      </c>
      <c r="Z11" s="21">
        <v>13.6356</v>
      </c>
      <c r="AA11" s="21">
        <v>7.0007300000000001E-3</v>
      </c>
      <c r="AB11" s="21">
        <v>1</v>
      </c>
      <c r="AC11" s="21">
        <v>1.6046100000000001</v>
      </c>
      <c r="AD11">
        <f>-AA11/$F$2*1000</f>
        <v>-8.6428765432098746</v>
      </c>
      <c r="AE11">
        <f>AD11*Y11</f>
        <v>-13.871125421728392</v>
      </c>
      <c r="AF11" s="9"/>
      <c r="AG11" s="21">
        <v>-9.49097E-2</v>
      </c>
      <c r="AH11" s="21">
        <v>17.072099999999999</v>
      </c>
      <c r="AI11" s="21">
        <v>-1.4837599999999999E-2</v>
      </c>
      <c r="AJ11" s="21">
        <v>1</v>
      </c>
      <c r="AK11" s="21">
        <v>-9.5459000000000002E-2</v>
      </c>
      <c r="AL11">
        <f>-AI11/$F$2*1000</f>
        <v>18.318024691358023</v>
      </c>
      <c r="AM11">
        <f>AL11*AG11</f>
        <v>-1.7385582280493825</v>
      </c>
      <c r="AP11" s="9"/>
      <c r="AQ11" s="21">
        <v>1.6049199999999999</v>
      </c>
      <c r="AR11" s="21">
        <v>22.2148</v>
      </c>
      <c r="AS11" s="21">
        <v>7.2601300000000001E-3</v>
      </c>
      <c r="AT11" s="21">
        <v>1</v>
      </c>
      <c r="AU11" s="21">
        <v>1.6043099999999999</v>
      </c>
      <c r="AV11">
        <f>-AS11/$F$2*1000</f>
        <v>-8.9631234567901235</v>
      </c>
      <c r="AW11">
        <f>AV11*AQ11</f>
        <v>-14.385096098271603</v>
      </c>
      <c r="AX11" s="9"/>
      <c r="AY11" s="21">
        <v>-9.49097E-2</v>
      </c>
      <c r="AZ11" s="21">
        <v>25.651299999999999</v>
      </c>
      <c r="BA11" s="21">
        <v>-1.47858E-2</v>
      </c>
      <c r="BB11" s="21">
        <v>1</v>
      </c>
      <c r="BC11" s="21">
        <v>-9.5336900000000002E-2</v>
      </c>
      <c r="BD11">
        <f>-BA11/$F$2*1000</f>
        <v>18.254074074074072</v>
      </c>
      <c r="BE11">
        <f>BD11*AY11</f>
        <v>-1.7324886941481479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1.5650250603208735</v>
      </c>
      <c r="B12" s="18">
        <f>IFERROR(T9,0)</f>
        <v>18.289130781390035</v>
      </c>
      <c r="C12" s="19">
        <f>IFERROR(T4,0)</f>
        <v>0.60748870287246881</v>
      </c>
      <c r="D12" s="20">
        <f>IFERROR(T2,0)</f>
        <v>17.388117555555556</v>
      </c>
      <c r="E12" s="20"/>
      <c r="F12" s="9"/>
      <c r="G12" s="21">
        <v>1.59988</v>
      </c>
      <c r="H12" s="21">
        <v>5.1114600000000001</v>
      </c>
      <c r="I12" s="21">
        <v>8.2489E-3</v>
      </c>
      <c r="J12" s="21">
        <v>2</v>
      </c>
      <c r="K12" s="21">
        <v>1.5994299999999999</v>
      </c>
      <c r="L12">
        <f t="shared" ref="L12:L75" si="0">-I12/$F$2*1000</f>
        <v>-10.183827160493825</v>
      </c>
      <c r="M12">
        <f t="shared" ref="M12:M75" si="1">L12*G12</f>
        <v>-16.292901397530862</v>
      </c>
      <c r="N12" s="9"/>
      <c r="O12" s="21">
        <v>-8.9874300000000004E-2</v>
      </c>
      <c r="P12" s="21">
        <v>8.5479599999999998</v>
      </c>
      <c r="Q12" s="21">
        <v>-1.49017E-2</v>
      </c>
      <c r="R12" s="21">
        <v>2</v>
      </c>
      <c r="S12" s="21">
        <v>-9.0331999999999996E-2</v>
      </c>
      <c r="T12">
        <f t="shared" ref="T12:T75" si="2">-Q12/$F$2*1000</f>
        <v>18.397160493827158</v>
      </c>
      <c r="U12">
        <f t="shared" ref="U12:U75" si="3">T12*O12</f>
        <v>-1.6534319213703703</v>
      </c>
      <c r="V12" s="22"/>
      <c r="W12" s="23"/>
      <c r="X12" s="9"/>
      <c r="Y12" s="21">
        <v>1.59988</v>
      </c>
      <c r="Z12" s="21">
        <v>13.6457</v>
      </c>
      <c r="AA12" s="21">
        <v>5.8136000000000004E-3</v>
      </c>
      <c r="AB12" s="21">
        <v>2</v>
      </c>
      <c r="AC12" s="21">
        <v>1.5991200000000001</v>
      </c>
      <c r="AD12">
        <f t="shared" ref="AD12:AD75" si="4">-AA12/$F$2*1000</f>
        <v>-7.1772839506172845</v>
      </c>
      <c r="AE12">
        <f t="shared" ref="AE12:AE75" si="5">AD12*Y12</f>
        <v>-11.482793046913581</v>
      </c>
      <c r="AF12" s="9"/>
      <c r="AG12" s="21">
        <v>-8.9874300000000004E-2</v>
      </c>
      <c r="AH12" s="21">
        <v>17.0822</v>
      </c>
      <c r="AI12" s="21">
        <v>-1.4837599999999999E-2</v>
      </c>
      <c r="AJ12" s="21">
        <v>2</v>
      </c>
      <c r="AK12" s="21">
        <v>-9.0362499999999998E-2</v>
      </c>
      <c r="AL12">
        <f t="shared" ref="AL12:AL75" si="6">-AI12/$F$2*1000</f>
        <v>18.318024691358023</v>
      </c>
      <c r="AM12">
        <f t="shared" ref="AM12:AM75" si="7">AL12*AG12</f>
        <v>-1.6463196465185184</v>
      </c>
      <c r="AP12" s="9"/>
      <c r="AQ12" s="21">
        <v>1.59988</v>
      </c>
      <c r="AR12" s="21">
        <v>22.224900000000002</v>
      </c>
      <c r="AS12" s="21">
        <v>6.0730000000000003E-3</v>
      </c>
      <c r="AT12" s="21">
        <v>2</v>
      </c>
      <c r="AU12" s="21">
        <v>1.5994299999999999</v>
      </c>
      <c r="AV12">
        <f t="shared" ref="AV12:AV75" si="8">-AS12/$F$2*1000</f>
        <v>-7.4975308641975307</v>
      </c>
      <c r="AW12">
        <f t="shared" ref="AW12:AW75" si="9">AV12*AQ12</f>
        <v>-11.995149679012345</v>
      </c>
      <c r="AX12" s="9"/>
      <c r="AY12" s="21">
        <v>-8.9874300000000004E-2</v>
      </c>
      <c r="AZ12" s="21">
        <v>25.6614</v>
      </c>
      <c r="BA12" s="21">
        <v>-1.4776600000000001E-2</v>
      </c>
      <c r="BB12" s="21">
        <v>2</v>
      </c>
      <c r="BC12" s="21">
        <v>-9.0515100000000001E-2</v>
      </c>
      <c r="BD12">
        <f t="shared" ref="BD12:BD75" si="10">-BA12/$F$2*1000</f>
        <v>18.242716049382715</v>
      </c>
      <c r="BE12">
        <f t="shared" ref="BE12:BE75" si="11">BD12*AY12</f>
        <v>-1.639551335037037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1.5628191471972415</v>
      </c>
      <c r="B13" s="18">
        <f>IFERROR(AD9,0)</f>
        <v>18.274063878092402</v>
      </c>
      <c r="C13" s="19">
        <f>IFERROR(AD4,0)</f>
        <v>0.63141785125759897</v>
      </c>
      <c r="D13" s="20">
        <f>IFERROR(AD2,0)</f>
        <v>18.032698358024689</v>
      </c>
      <c r="E13" s="20">
        <f>IFERROR(AA9,0)</f>
        <v>6.0888416700168717</v>
      </c>
      <c r="F13" s="9"/>
      <c r="G13" s="21">
        <v>1.5948500000000001</v>
      </c>
      <c r="H13" s="21">
        <v>5.1215400000000004</v>
      </c>
      <c r="I13" s="21">
        <v>7.0495599999999999E-3</v>
      </c>
      <c r="J13" s="21">
        <v>3</v>
      </c>
      <c r="K13" s="21">
        <v>1.5942400000000001</v>
      </c>
      <c r="L13">
        <f t="shared" si="0"/>
        <v>-8.7031604938271592</v>
      </c>
      <c r="M13">
        <f t="shared" si="1"/>
        <v>-13.880235513580246</v>
      </c>
      <c r="N13" s="9"/>
      <c r="O13" s="21">
        <v>-8.4838899999999995E-2</v>
      </c>
      <c r="P13" s="21">
        <v>8.5580300000000005</v>
      </c>
      <c r="Q13" s="21">
        <v>-1.49017E-2</v>
      </c>
      <c r="R13" s="21">
        <v>3</v>
      </c>
      <c r="S13" s="21">
        <v>-8.5357699999999995E-2</v>
      </c>
      <c r="T13">
        <f t="shared" si="2"/>
        <v>18.397160493827158</v>
      </c>
      <c r="U13">
        <f t="shared" si="3"/>
        <v>-1.5607948594197527</v>
      </c>
      <c r="V13" s="22"/>
      <c r="W13" s="23"/>
      <c r="X13" s="9"/>
      <c r="Y13" s="21">
        <v>1.5948500000000001</v>
      </c>
      <c r="Z13" s="21">
        <v>13.6557</v>
      </c>
      <c r="AA13" s="21">
        <v>4.8324600000000002E-3</v>
      </c>
      <c r="AB13" s="21">
        <v>3</v>
      </c>
      <c r="AC13" s="21">
        <v>1.5936300000000001</v>
      </c>
      <c r="AD13">
        <f t="shared" si="4"/>
        <v>-5.9660000000000002</v>
      </c>
      <c r="AE13">
        <f t="shared" si="5"/>
        <v>-9.5148751000000011</v>
      </c>
      <c r="AF13" s="9"/>
      <c r="AG13" s="21">
        <v>-8.4838899999999995E-2</v>
      </c>
      <c r="AH13" s="21">
        <v>17.092300000000002</v>
      </c>
      <c r="AI13" s="21">
        <v>-1.4837599999999999E-2</v>
      </c>
      <c r="AJ13" s="21">
        <v>3</v>
      </c>
      <c r="AK13" s="21">
        <v>-8.5388199999999997E-2</v>
      </c>
      <c r="AL13">
        <f t="shared" si="6"/>
        <v>18.318024691358023</v>
      </c>
      <c r="AM13">
        <f t="shared" si="7"/>
        <v>-1.554081064987654</v>
      </c>
      <c r="AP13" s="9"/>
      <c r="AQ13" s="21">
        <v>1.5948500000000001</v>
      </c>
      <c r="AR13" s="21">
        <v>22.2349</v>
      </c>
      <c r="AS13" s="21">
        <v>5.0659199999999998E-3</v>
      </c>
      <c r="AT13" s="21">
        <v>3</v>
      </c>
      <c r="AU13" s="21">
        <v>1.5939300000000001</v>
      </c>
      <c r="AV13">
        <f t="shared" si="8"/>
        <v>-6.2542222222222215</v>
      </c>
      <c r="AW13">
        <f t="shared" si="9"/>
        <v>-9.9745463111111103</v>
      </c>
      <c r="AX13" s="9"/>
      <c r="AY13" s="21">
        <v>-8.4838899999999995E-2</v>
      </c>
      <c r="AZ13" s="21">
        <v>25.671399999999998</v>
      </c>
      <c r="BA13" s="21">
        <v>-1.4770500000000001E-2</v>
      </c>
      <c r="BB13" s="21">
        <v>3</v>
      </c>
      <c r="BC13" s="21">
        <v>-8.5327100000000003E-2</v>
      </c>
      <c r="BD13">
        <f t="shared" si="10"/>
        <v>18.235185185185184</v>
      </c>
      <c r="BE13">
        <f t="shared" si="11"/>
        <v>-1.5470530524074073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1.5632278504233212</v>
      </c>
      <c r="B14" s="18">
        <f>IFERROR(AL9,0)</f>
        <v>18.198785897051938</v>
      </c>
      <c r="C14" s="19">
        <f>IFERROR(AL4,0)</f>
        <v>0.59526893095313793</v>
      </c>
      <c r="D14" s="20">
        <f>IFERROR(AL2,0)</f>
        <v>16.934715906172833</v>
      </c>
      <c r="E14" s="20"/>
      <c r="F14" s="9"/>
      <c r="G14" s="21">
        <v>1.5898099999999999</v>
      </c>
      <c r="H14" s="21">
        <v>5.1316100000000002</v>
      </c>
      <c r="I14" s="21">
        <v>5.9997599999999998E-3</v>
      </c>
      <c r="J14" s="21">
        <v>4</v>
      </c>
      <c r="K14" s="21">
        <v>1.5893600000000001</v>
      </c>
      <c r="L14">
        <f t="shared" si="0"/>
        <v>-7.4071111111111101</v>
      </c>
      <c r="M14">
        <f t="shared" si="1"/>
        <v>-11.775899315555554</v>
      </c>
      <c r="N14" s="9"/>
      <c r="O14" s="21">
        <v>-7.9803499999999999E-2</v>
      </c>
      <c r="P14" s="21">
        <v>8.5680999999999994</v>
      </c>
      <c r="Q14" s="21">
        <v>-1.4898700000000001E-2</v>
      </c>
      <c r="R14" s="21">
        <v>4</v>
      </c>
      <c r="S14" s="21">
        <v>-8.0352800000000002E-2</v>
      </c>
      <c r="T14">
        <f t="shared" si="2"/>
        <v>18.393456790123455</v>
      </c>
      <c r="U14">
        <f t="shared" si="3"/>
        <v>-1.4678622289506171</v>
      </c>
      <c r="V14" s="22"/>
      <c r="W14" s="23"/>
      <c r="X14" s="9"/>
      <c r="Y14" s="21">
        <v>1.5898099999999999</v>
      </c>
      <c r="Z14" s="21">
        <v>13.665800000000001</v>
      </c>
      <c r="AA14" s="21">
        <v>3.89435E-3</v>
      </c>
      <c r="AB14" s="21">
        <v>4</v>
      </c>
      <c r="AC14" s="21">
        <v>1.5887500000000001</v>
      </c>
      <c r="AD14">
        <f t="shared" si="4"/>
        <v>-4.8078395061728392</v>
      </c>
      <c r="AE14">
        <f t="shared" si="5"/>
        <v>-7.6435513253086409</v>
      </c>
      <c r="AF14" s="9"/>
      <c r="AG14" s="21">
        <v>-7.9803499999999999E-2</v>
      </c>
      <c r="AH14" s="21">
        <v>17.1023</v>
      </c>
      <c r="AI14" s="21">
        <v>-1.48346E-2</v>
      </c>
      <c r="AJ14" s="21">
        <v>4</v>
      </c>
      <c r="AK14" s="21">
        <v>-8.0200199999999999E-2</v>
      </c>
      <c r="AL14">
        <f t="shared" si="6"/>
        <v>18.31432098765432</v>
      </c>
      <c r="AM14">
        <f t="shared" si="7"/>
        <v>-1.4615469149382714</v>
      </c>
      <c r="AP14" s="9"/>
      <c r="AQ14" s="21">
        <v>1.5898099999999999</v>
      </c>
      <c r="AR14" s="21">
        <v>22.245000000000001</v>
      </c>
      <c r="AS14" s="21">
        <v>4.1220099999999997E-3</v>
      </c>
      <c r="AT14" s="21">
        <v>4</v>
      </c>
      <c r="AU14" s="21">
        <v>1.5887500000000001</v>
      </c>
      <c r="AV14">
        <f t="shared" si="8"/>
        <v>-5.0889012345679001</v>
      </c>
      <c r="AW14">
        <f t="shared" si="9"/>
        <v>-8.0903860717283926</v>
      </c>
      <c r="AX14" s="9"/>
      <c r="AY14" s="21">
        <v>-7.9803499999999999E-2</v>
      </c>
      <c r="AZ14" s="21">
        <v>25.6815</v>
      </c>
      <c r="BA14" s="21">
        <v>-1.4761399999999999E-2</v>
      </c>
      <c r="BB14" s="21">
        <v>4</v>
      </c>
      <c r="BC14" s="21">
        <v>-8.0261200000000005E-2</v>
      </c>
      <c r="BD14">
        <f t="shared" si="10"/>
        <v>18.22395061728395</v>
      </c>
      <c r="BE14">
        <f t="shared" si="11"/>
        <v>-1.4543350430864197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1.5607881918087927</v>
      </c>
      <c r="B15" s="18">
        <f>IFERROR(AV9,0)</f>
        <v>18.255295805895738</v>
      </c>
      <c r="C15" s="19">
        <f>IFERROR(AV4,0)</f>
        <v>0.62686441925006475</v>
      </c>
      <c r="D15" s="20">
        <f>IFERROR(AV2,0)</f>
        <v>17.861028577777777</v>
      </c>
      <c r="E15" s="20">
        <f>IFERROR(AS9,0)</f>
        <v>0</v>
      </c>
      <c r="F15" s="9"/>
      <c r="G15" s="21">
        <v>1.5847800000000001</v>
      </c>
      <c r="H15" s="21">
        <v>5.14168</v>
      </c>
      <c r="I15" s="21">
        <v>5.0109899999999999E-3</v>
      </c>
      <c r="J15" s="21">
        <v>5</v>
      </c>
      <c r="K15" s="21">
        <v>1.5841700000000001</v>
      </c>
      <c r="L15">
        <f t="shared" si="0"/>
        <v>-6.1864074074074074</v>
      </c>
      <c r="M15">
        <f t="shared" si="1"/>
        <v>-9.8040947311111122</v>
      </c>
      <c r="N15" s="9"/>
      <c r="O15" s="21">
        <v>-7.4768100000000004E-2</v>
      </c>
      <c r="P15" s="21">
        <v>8.5781700000000001</v>
      </c>
      <c r="Q15" s="21">
        <v>-1.4892600000000001E-2</v>
      </c>
      <c r="R15" s="21">
        <v>5</v>
      </c>
      <c r="S15" s="21">
        <v>-7.5195300000000007E-2</v>
      </c>
      <c r="T15">
        <f t="shared" si="2"/>
        <v>18.385925925925928</v>
      </c>
      <c r="U15">
        <f t="shared" si="3"/>
        <v>-1.3746807482222225</v>
      </c>
      <c r="V15" s="22"/>
      <c r="W15" s="23"/>
      <c r="X15" s="9"/>
      <c r="Y15" s="21">
        <v>1.5847800000000001</v>
      </c>
      <c r="Z15" s="21">
        <v>13.6759</v>
      </c>
      <c r="AA15" s="21">
        <v>3.0563399999999998E-3</v>
      </c>
      <c r="AB15" s="21">
        <v>5</v>
      </c>
      <c r="AC15" s="21">
        <v>1.5841700000000001</v>
      </c>
      <c r="AD15">
        <f t="shared" si="4"/>
        <v>-3.7732592592592589</v>
      </c>
      <c r="AE15">
        <f t="shared" si="5"/>
        <v>-5.9797858088888889</v>
      </c>
      <c r="AF15" s="9"/>
      <c r="AG15" s="21">
        <v>-7.4768100000000004E-2</v>
      </c>
      <c r="AH15" s="21">
        <v>17.112400000000001</v>
      </c>
      <c r="AI15" s="21">
        <v>-1.4831499999999999E-2</v>
      </c>
      <c r="AJ15" s="21">
        <v>5</v>
      </c>
      <c r="AK15" s="21">
        <v>-7.5164800000000004E-2</v>
      </c>
      <c r="AL15">
        <f t="shared" si="6"/>
        <v>18.310493827160489</v>
      </c>
      <c r="AM15">
        <f t="shared" si="7"/>
        <v>-1.3690408335185182</v>
      </c>
      <c r="AP15" s="9"/>
      <c r="AQ15" s="21">
        <v>1.5847800000000001</v>
      </c>
      <c r="AR15" s="21">
        <v>22.255099999999999</v>
      </c>
      <c r="AS15" s="21">
        <v>3.2846099999999999E-3</v>
      </c>
      <c r="AT15" s="21">
        <v>5</v>
      </c>
      <c r="AU15" s="21">
        <v>1.58386</v>
      </c>
      <c r="AV15">
        <f t="shared" si="8"/>
        <v>-4.0550740740740734</v>
      </c>
      <c r="AW15">
        <f t="shared" si="9"/>
        <v>-6.4264002911111104</v>
      </c>
      <c r="AX15" s="9"/>
      <c r="AY15" s="21">
        <v>-7.4768100000000004E-2</v>
      </c>
      <c r="AZ15" s="21">
        <v>25.691600000000001</v>
      </c>
      <c r="BA15" s="21">
        <v>-1.47552E-2</v>
      </c>
      <c r="BB15" s="21">
        <v>5</v>
      </c>
      <c r="BC15" s="21">
        <v>-7.5225799999999995E-2</v>
      </c>
      <c r="BD15">
        <f t="shared" si="10"/>
        <v>18.216296296296292</v>
      </c>
      <c r="BE15">
        <f t="shared" si="11"/>
        <v>-1.3619978631111109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1.5628064609300119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>
        <v>1.5797399999999999</v>
      </c>
      <c r="H16" s="21">
        <v>5.1517499999999998</v>
      </c>
      <c r="I16" s="21">
        <v>4.0982099999999997E-3</v>
      </c>
      <c r="J16" s="21">
        <v>6</v>
      </c>
      <c r="K16" s="21">
        <v>1.5789800000000001</v>
      </c>
      <c r="L16">
        <f t="shared" si="0"/>
        <v>-5.0595185185185176</v>
      </c>
      <c r="M16">
        <f t="shared" si="1"/>
        <v>-7.9927237844444425</v>
      </c>
      <c r="N16" s="9"/>
      <c r="O16" s="21">
        <v>-6.9732699999999995E-2</v>
      </c>
      <c r="P16" s="21">
        <v>8.5882400000000008</v>
      </c>
      <c r="Q16" s="21">
        <v>-1.48834E-2</v>
      </c>
      <c r="R16" s="21">
        <v>6</v>
      </c>
      <c r="S16" s="21">
        <v>-7.0129399999999995E-2</v>
      </c>
      <c r="T16">
        <f t="shared" si="2"/>
        <v>18.374567901234567</v>
      </c>
      <c r="U16">
        <f t="shared" si="3"/>
        <v>-1.2813082310864197</v>
      </c>
      <c r="V16" s="22"/>
      <c r="W16" s="23"/>
      <c r="X16" s="9"/>
      <c r="Y16" s="21">
        <v>1.5797399999999999</v>
      </c>
      <c r="Z16" s="21">
        <v>13.686</v>
      </c>
      <c r="AA16" s="21">
        <v>2.2451799999999998E-3</v>
      </c>
      <c r="AB16" s="21">
        <v>6</v>
      </c>
      <c r="AC16" s="21">
        <v>1.57928</v>
      </c>
      <c r="AD16">
        <f t="shared" si="4"/>
        <v>-2.7718271604938267</v>
      </c>
      <c r="AE16">
        <f t="shared" si="5"/>
        <v>-4.3787662385185175</v>
      </c>
      <c r="AF16" s="9"/>
      <c r="AG16" s="21">
        <v>-6.9732699999999995E-2</v>
      </c>
      <c r="AH16" s="21">
        <v>17.122499999999999</v>
      </c>
      <c r="AI16" s="21">
        <v>-1.48285E-2</v>
      </c>
      <c r="AJ16" s="21">
        <v>6</v>
      </c>
      <c r="AK16" s="21">
        <v>-7.0281999999999997E-2</v>
      </c>
      <c r="AL16">
        <f t="shared" si="6"/>
        <v>18.306790123456789</v>
      </c>
      <c r="AM16">
        <f t="shared" si="7"/>
        <v>-1.2765819036419752</v>
      </c>
      <c r="AP16" s="9"/>
      <c r="AQ16" s="21">
        <v>1.5797399999999999</v>
      </c>
      <c r="AR16" s="21">
        <v>22.2652</v>
      </c>
      <c r="AS16" s="21">
        <v>2.4758900000000001E-3</v>
      </c>
      <c r="AT16" s="21">
        <v>6</v>
      </c>
      <c r="AU16" s="21">
        <v>1.5789800000000001</v>
      </c>
      <c r="AV16">
        <f t="shared" si="8"/>
        <v>-3.0566543209876542</v>
      </c>
      <c r="AW16">
        <f t="shared" si="9"/>
        <v>-4.8287190970370366</v>
      </c>
      <c r="AX16" s="9"/>
      <c r="AY16" s="21">
        <v>-6.9732699999999995E-2</v>
      </c>
      <c r="AZ16" s="21">
        <v>25.701699999999999</v>
      </c>
      <c r="BA16" s="21">
        <v>-1.47522E-2</v>
      </c>
      <c r="BB16" s="21">
        <v>6</v>
      </c>
      <c r="BC16" s="21">
        <v>-7.03125E-2</v>
      </c>
      <c r="BD16">
        <f t="shared" si="10"/>
        <v>18.212592592592593</v>
      </c>
      <c r="BE16">
        <f t="shared" si="11"/>
        <v>-1.2700132554814814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1.5747100000000001</v>
      </c>
      <c r="H17" s="21">
        <v>5.1618199999999996</v>
      </c>
      <c r="I17" s="21">
        <v>3.2589699999999999E-3</v>
      </c>
      <c r="J17" s="21">
        <v>7</v>
      </c>
      <c r="K17" s="21">
        <v>1.5734900000000001</v>
      </c>
      <c r="L17">
        <f t="shared" si="0"/>
        <v>-4.0234197530864186</v>
      </c>
      <c r="M17">
        <f t="shared" si="1"/>
        <v>-6.3357193193827142</v>
      </c>
      <c r="N17" s="9"/>
      <c r="O17" s="21">
        <v>-6.4697299999999999E-2</v>
      </c>
      <c r="P17" s="21">
        <v>8.5983099999999997</v>
      </c>
      <c r="Q17" s="21">
        <v>-1.48743E-2</v>
      </c>
      <c r="R17" s="21">
        <v>7</v>
      </c>
      <c r="S17" s="21">
        <v>-6.5124500000000002E-2</v>
      </c>
      <c r="T17">
        <f t="shared" si="2"/>
        <v>18.363333333333333</v>
      </c>
      <c r="U17">
        <f t="shared" si="3"/>
        <v>-1.1880580856666667</v>
      </c>
      <c r="V17" s="22"/>
      <c r="W17" s="23"/>
      <c r="X17" s="9"/>
      <c r="Y17" s="21">
        <v>1.5747100000000001</v>
      </c>
      <c r="Z17" s="21">
        <v>13.696</v>
      </c>
      <c r="AA17" s="21">
        <v>1.5316800000000001E-3</v>
      </c>
      <c r="AB17" s="21">
        <v>7</v>
      </c>
      <c r="AC17" s="21">
        <v>1.57379</v>
      </c>
      <c r="AD17">
        <f t="shared" si="4"/>
        <v>-1.890962962962963</v>
      </c>
      <c r="AE17">
        <f t="shared" si="5"/>
        <v>-2.9777182874074075</v>
      </c>
      <c r="AF17" s="9"/>
      <c r="AG17" s="21">
        <v>-6.4697299999999999E-2</v>
      </c>
      <c r="AH17" s="21">
        <v>17.1326</v>
      </c>
      <c r="AI17" s="21">
        <v>-1.4825400000000001E-2</v>
      </c>
      <c r="AJ17" s="21">
        <v>7</v>
      </c>
      <c r="AK17" s="21">
        <v>-6.5155000000000005E-2</v>
      </c>
      <c r="AL17">
        <f t="shared" si="6"/>
        <v>18.302962962962962</v>
      </c>
      <c r="AM17">
        <f t="shared" si="7"/>
        <v>-1.1841522857037037</v>
      </c>
      <c r="AP17" s="9"/>
      <c r="AQ17" s="21">
        <v>1.5747100000000001</v>
      </c>
      <c r="AR17" s="21">
        <v>22.275200000000002</v>
      </c>
      <c r="AS17" s="21">
        <v>1.7642199999999999E-3</v>
      </c>
      <c r="AT17" s="21">
        <v>7</v>
      </c>
      <c r="AU17" s="21">
        <v>1.5741000000000001</v>
      </c>
      <c r="AV17">
        <f t="shared" si="8"/>
        <v>-2.1780493827160492</v>
      </c>
      <c r="AW17">
        <f t="shared" si="9"/>
        <v>-3.4297961434567901</v>
      </c>
      <c r="AX17" s="9"/>
      <c r="AY17" s="21">
        <v>-6.4697299999999999E-2</v>
      </c>
      <c r="AZ17" s="21">
        <v>25.7117</v>
      </c>
      <c r="BA17" s="21">
        <v>-1.47522E-2</v>
      </c>
      <c r="BB17" s="21">
        <v>7</v>
      </c>
      <c r="BC17" s="21">
        <v>-6.5216099999999999E-2</v>
      </c>
      <c r="BD17">
        <f t="shared" si="10"/>
        <v>18.212592592592593</v>
      </c>
      <c r="BE17">
        <f t="shared" si="11"/>
        <v>-1.1783055667407407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1.5696699999999999</v>
      </c>
      <c r="H18" s="21">
        <v>5.1718900000000003</v>
      </c>
      <c r="I18" s="21">
        <v>2.45911E-3</v>
      </c>
      <c r="J18" s="21">
        <v>8</v>
      </c>
      <c r="K18" s="21">
        <v>1.56921</v>
      </c>
      <c r="L18">
        <f t="shared" si="0"/>
        <v>-3.0359382716049379</v>
      </c>
      <c r="M18">
        <f t="shared" si="1"/>
        <v>-4.7654212267901226</v>
      </c>
      <c r="N18" s="9"/>
      <c r="O18" s="21">
        <v>-5.9661899999999997E-2</v>
      </c>
      <c r="P18" s="21">
        <v>8.6083800000000004</v>
      </c>
      <c r="Q18" s="21">
        <v>-1.48743E-2</v>
      </c>
      <c r="R18" s="21">
        <v>8</v>
      </c>
      <c r="S18" s="21">
        <v>-6.0150099999999998E-2</v>
      </c>
      <c r="T18">
        <f t="shared" si="2"/>
        <v>18.363333333333333</v>
      </c>
      <c r="U18">
        <f t="shared" si="3"/>
        <v>-1.095591357</v>
      </c>
      <c r="V18" s="22"/>
      <c r="W18" s="23"/>
      <c r="X18" s="9"/>
      <c r="Y18" s="21">
        <v>1.5696699999999999</v>
      </c>
      <c r="Z18" s="21">
        <v>13.706099999999999</v>
      </c>
      <c r="AA18" s="21">
        <v>8.0810500000000004E-4</v>
      </c>
      <c r="AB18" s="21">
        <v>8</v>
      </c>
      <c r="AC18" s="21">
        <v>1.5683</v>
      </c>
      <c r="AD18">
        <f t="shared" si="4"/>
        <v>-0.99766049382716038</v>
      </c>
      <c r="AE18">
        <f t="shared" si="5"/>
        <v>-1.5659977473456788</v>
      </c>
      <c r="AF18" s="9"/>
      <c r="AG18" s="21">
        <v>-5.9661899999999997E-2</v>
      </c>
      <c r="AH18" s="21">
        <v>17.142600000000002</v>
      </c>
      <c r="AI18" s="21">
        <v>-1.4819300000000001E-2</v>
      </c>
      <c r="AJ18" s="21">
        <v>8</v>
      </c>
      <c r="AK18" s="21">
        <v>-6.0180699999999997E-2</v>
      </c>
      <c r="AL18">
        <f t="shared" si="6"/>
        <v>18.295432098765431</v>
      </c>
      <c r="AM18">
        <f t="shared" si="7"/>
        <v>-1.0915402403333332</v>
      </c>
      <c r="AP18" s="9"/>
      <c r="AQ18" s="21">
        <v>1.5696699999999999</v>
      </c>
      <c r="AR18" s="21">
        <v>22.285299999999999</v>
      </c>
      <c r="AS18" s="21">
        <v>1.0403400000000001E-3</v>
      </c>
      <c r="AT18" s="21">
        <v>8</v>
      </c>
      <c r="AU18" s="21">
        <v>1.56891</v>
      </c>
      <c r="AV18">
        <f t="shared" si="8"/>
        <v>-1.2843703703703704</v>
      </c>
      <c r="AW18">
        <f t="shared" si="9"/>
        <v>-2.0160376392592592</v>
      </c>
      <c r="AX18" s="9"/>
      <c r="AY18" s="21">
        <v>-5.9661899999999997E-2</v>
      </c>
      <c r="AZ18" s="21">
        <v>25.721800000000002</v>
      </c>
      <c r="BA18" s="21">
        <v>-1.47583E-2</v>
      </c>
      <c r="BB18" s="21">
        <v>8</v>
      </c>
      <c r="BC18" s="21">
        <v>-6.0119600000000002E-2</v>
      </c>
      <c r="BD18">
        <f t="shared" si="10"/>
        <v>18.22012345679012</v>
      </c>
      <c r="BE18">
        <f t="shared" si="11"/>
        <v>-1.0870471836666664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1.56464</v>
      </c>
      <c r="H19" s="21">
        <v>5.1819600000000001</v>
      </c>
      <c r="I19" s="21">
        <v>1.6922E-3</v>
      </c>
      <c r="J19" s="21">
        <v>9</v>
      </c>
      <c r="K19" s="21">
        <v>1.56372</v>
      </c>
      <c r="L19">
        <f t="shared" si="0"/>
        <v>-2.0891358024691358</v>
      </c>
      <c r="M19">
        <f t="shared" si="1"/>
        <v>-3.2687454419753088</v>
      </c>
      <c r="N19" s="9"/>
      <c r="O19" s="21">
        <v>-5.4626500000000001E-2</v>
      </c>
      <c r="P19" s="21">
        <v>8.6184499999999993</v>
      </c>
      <c r="Q19" s="21">
        <v>-1.4865099999999999E-2</v>
      </c>
      <c r="R19" s="21">
        <v>9</v>
      </c>
      <c r="S19" s="21">
        <v>-5.5267299999999998E-2</v>
      </c>
      <c r="T19">
        <f t="shared" si="2"/>
        <v>18.351975308641972</v>
      </c>
      <c r="U19">
        <f t="shared" si="3"/>
        <v>-1.0025041791975307</v>
      </c>
      <c r="V19" s="22"/>
      <c r="W19" s="23"/>
      <c r="X19" s="9"/>
      <c r="Y19" s="21">
        <v>1.56464</v>
      </c>
      <c r="Z19" s="21">
        <v>13.716200000000001</v>
      </c>
      <c r="AA19" s="21">
        <v>1.59424E-4</v>
      </c>
      <c r="AB19" s="21">
        <v>9</v>
      </c>
      <c r="AC19" s="21">
        <v>1.56403</v>
      </c>
      <c r="AD19">
        <f t="shared" si="4"/>
        <v>-0.19681975308641975</v>
      </c>
      <c r="AE19">
        <f t="shared" si="5"/>
        <v>-0.30795205846913581</v>
      </c>
      <c r="AF19" s="9"/>
      <c r="AG19" s="21">
        <v>-5.4626500000000001E-2</v>
      </c>
      <c r="AH19" s="21">
        <v>17.152699999999999</v>
      </c>
      <c r="AI19" s="21">
        <v>-1.4810200000000001E-2</v>
      </c>
      <c r="AJ19" s="21">
        <v>9</v>
      </c>
      <c r="AK19" s="21">
        <v>-5.5053699999999997E-2</v>
      </c>
      <c r="AL19">
        <f t="shared" si="6"/>
        <v>18.284197530864198</v>
      </c>
      <c r="AM19">
        <f t="shared" si="7"/>
        <v>-0.99880171641975313</v>
      </c>
      <c r="AP19" s="9"/>
      <c r="AQ19" s="21">
        <v>1.56464</v>
      </c>
      <c r="AR19" s="21">
        <v>22.295400000000001</v>
      </c>
      <c r="AS19" s="21">
        <v>3.9462299999999998E-4</v>
      </c>
      <c r="AT19" s="21">
        <v>9</v>
      </c>
      <c r="AU19" s="21">
        <v>1.56403</v>
      </c>
      <c r="AV19">
        <f t="shared" si="8"/>
        <v>-0.48718888888888884</v>
      </c>
      <c r="AW19">
        <f t="shared" si="9"/>
        <v>-0.76227522311111107</v>
      </c>
      <c r="AX19" s="9"/>
      <c r="AY19" s="21">
        <v>-5.4626500000000001E-2</v>
      </c>
      <c r="AZ19" s="21">
        <v>25.7319</v>
      </c>
      <c r="BA19" s="21">
        <v>-1.47583E-2</v>
      </c>
      <c r="BB19" s="21">
        <v>9</v>
      </c>
      <c r="BC19" s="21">
        <v>-5.5175799999999997E-2</v>
      </c>
      <c r="BD19">
        <f t="shared" si="10"/>
        <v>18.22012345679012</v>
      </c>
      <c r="BE19">
        <f t="shared" si="11"/>
        <v>-0.99530157401234554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1.5596000000000001</v>
      </c>
      <c r="H20" s="21">
        <v>5.1920299999999999</v>
      </c>
      <c r="I20" s="21">
        <v>9.6771200000000002E-4</v>
      </c>
      <c r="J20" s="21">
        <v>10</v>
      </c>
      <c r="K20" s="21">
        <v>1.55853</v>
      </c>
      <c r="L20">
        <f t="shared" si="0"/>
        <v>-1.1947061728395061</v>
      </c>
      <c r="M20">
        <f t="shared" si="1"/>
        <v>-1.8632637471604938</v>
      </c>
      <c r="N20" s="9"/>
      <c r="O20" s="21">
        <v>-4.9591099999999999E-2</v>
      </c>
      <c r="P20" s="21">
        <v>8.62852</v>
      </c>
      <c r="Q20" s="21">
        <v>-1.48621E-2</v>
      </c>
      <c r="R20" s="21">
        <v>10</v>
      </c>
      <c r="S20" s="21">
        <v>-5.00793E-2</v>
      </c>
      <c r="T20">
        <f t="shared" si="2"/>
        <v>18.348271604938269</v>
      </c>
      <c r="U20">
        <f t="shared" si="3"/>
        <v>-0.90991097198765414</v>
      </c>
      <c r="V20" s="22"/>
      <c r="W20" s="23"/>
      <c r="X20" s="9"/>
      <c r="Y20" s="21">
        <v>1.5596000000000001</v>
      </c>
      <c r="Z20" s="21">
        <v>13.7262</v>
      </c>
      <c r="AA20" s="21">
        <v>-4.84406E-4</v>
      </c>
      <c r="AB20" s="21">
        <v>10</v>
      </c>
      <c r="AC20" s="21">
        <v>1.55914</v>
      </c>
      <c r="AD20">
        <f t="shared" si="4"/>
        <v>0.59803209876543206</v>
      </c>
      <c r="AE20">
        <f t="shared" si="5"/>
        <v>0.9326908612345679</v>
      </c>
      <c r="AF20" s="9"/>
      <c r="AG20" s="21">
        <v>-4.9591099999999999E-2</v>
      </c>
      <c r="AH20" s="21">
        <v>17.162800000000001</v>
      </c>
      <c r="AI20" s="21">
        <v>-1.4801E-2</v>
      </c>
      <c r="AJ20" s="21">
        <v>10</v>
      </c>
      <c r="AK20" s="21">
        <v>-5.0140400000000002E-2</v>
      </c>
      <c r="AL20">
        <f t="shared" si="6"/>
        <v>18.27283950617284</v>
      </c>
      <c r="AM20">
        <f t="shared" si="7"/>
        <v>-0.90617021123456787</v>
      </c>
      <c r="AP20" s="9"/>
      <c r="AQ20" s="21">
        <v>1.5596000000000001</v>
      </c>
      <c r="AR20" s="21">
        <v>22.305399999999999</v>
      </c>
      <c r="AS20" s="21">
        <v>-2.37152E-4</v>
      </c>
      <c r="AT20" s="21">
        <v>10</v>
      </c>
      <c r="AU20" s="21">
        <v>1.55884</v>
      </c>
      <c r="AV20">
        <f t="shared" si="8"/>
        <v>0.29278024691358023</v>
      </c>
      <c r="AW20">
        <f t="shared" si="9"/>
        <v>0.45662007308641978</v>
      </c>
      <c r="AX20" s="9"/>
      <c r="AY20" s="21">
        <v>-4.9591099999999999E-2</v>
      </c>
      <c r="AZ20" s="21">
        <v>25.741900000000001</v>
      </c>
      <c r="BA20" s="21">
        <v>-1.47552E-2</v>
      </c>
      <c r="BB20" s="21">
        <v>10</v>
      </c>
      <c r="BC20" s="21">
        <v>-5.0109899999999999E-2</v>
      </c>
      <c r="BD20">
        <f t="shared" si="10"/>
        <v>18.216296296296292</v>
      </c>
      <c r="BE20">
        <f t="shared" si="11"/>
        <v>-0.903366171259259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1.55457</v>
      </c>
      <c r="H21" s="21">
        <v>5.2020999999999997</v>
      </c>
      <c r="I21" s="21">
        <v>3.0514499999999999E-4</v>
      </c>
      <c r="J21" s="21">
        <v>11</v>
      </c>
      <c r="K21" s="21">
        <v>1.55426</v>
      </c>
      <c r="L21">
        <f t="shared" si="0"/>
        <v>-0.37672222222222218</v>
      </c>
      <c r="M21">
        <f t="shared" si="1"/>
        <v>-0.58564106499999991</v>
      </c>
      <c r="N21" s="9"/>
      <c r="O21" s="21">
        <v>-4.4555699999999997E-2</v>
      </c>
      <c r="P21" s="21">
        <v>8.6385900000000007</v>
      </c>
      <c r="Q21" s="21">
        <v>-1.4859000000000001E-2</v>
      </c>
      <c r="R21" s="21">
        <v>11</v>
      </c>
      <c r="S21" s="21">
        <v>-4.4894400000000001E-2</v>
      </c>
      <c r="T21">
        <f t="shared" si="2"/>
        <v>18.344444444444445</v>
      </c>
      <c r="U21">
        <f t="shared" si="3"/>
        <v>-0.81734956333333331</v>
      </c>
      <c r="V21" s="22"/>
      <c r="W21" s="23"/>
      <c r="X21" s="9"/>
      <c r="Y21" s="21">
        <v>1.55457</v>
      </c>
      <c r="Z21" s="21">
        <v>13.7363</v>
      </c>
      <c r="AA21" s="21">
        <v>-1.06598E-3</v>
      </c>
      <c r="AB21" s="21">
        <v>11</v>
      </c>
      <c r="AC21" s="21">
        <v>1.55426</v>
      </c>
      <c r="AD21">
        <f t="shared" si="4"/>
        <v>1.3160246913580247</v>
      </c>
      <c r="AE21">
        <f t="shared" si="5"/>
        <v>2.0458525044444444</v>
      </c>
      <c r="AF21" s="9"/>
      <c r="AG21" s="21">
        <v>-4.4555699999999997E-2</v>
      </c>
      <c r="AH21" s="21">
        <v>17.172799999999999</v>
      </c>
      <c r="AI21" s="21">
        <v>-1.4798E-2</v>
      </c>
      <c r="AJ21" s="21">
        <v>11</v>
      </c>
      <c r="AK21" s="21">
        <v>-4.4873000000000003E-2</v>
      </c>
      <c r="AL21">
        <f t="shared" si="6"/>
        <v>18.269135802469137</v>
      </c>
      <c r="AM21">
        <f t="shared" si="7"/>
        <v>-0.81399413407407406</v>
      </c>
      <c r="AP21" s="9"/>
      <c r="AQ21" s="21">
        <v>1.55457</v>
      </c>
      <c r="AR21" s="21">
        <v>22.3155</v>
      </c>
      <c r="AS21" s="21">
        <v>-8.2489E-4</v>
      </c>
      <c r="AT21" s="21">
        <v>11</v>
      </c>
      <c r="AU21" s="21">
        <v>1.55396</v>
      </c>
      <c r="AV21">
        <f t="shared" si="8"/>
        <v>1.0183827160493828</v>
      </c>
      <c r="AW21">
        <f t="shared" si="9"/>
        <v>1.5831472188888891</v>
      </c>
      <c r="AX21" s="9"/>
      <c r="AY21" s="21">
        <v>-4.4555699999999997E-2</v>
      </c>
      <c r="AZ21" s="21">
        <v>25.751999999999999</v>
      </c>
      <c r="BA21" s="21">
        <v>-1.47522E-2</v>
      </c>
      <c r="BB21" s="21">
        <v>11</v>
      </c>
      <c r="BC21" s="21">
        <v>-4.49554E-2</v>
      </c>
      <c r="BD21">
        <f t="shared" si="10"/>
        <v>18.212592592592593</v>
      </c>
      <c r="BE21">
        <f t="shared" si="11"/>
        <v>-0.81147481177777769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1.5495300000000001</v>
      </c>
      <c r="H22" s="21">
        <v>5.2121700000000004</v>
      </c>
      <c r="I22" s="21">
        <v>-3.4085099999999998E-4</v>
      </c>
      <c r="J22" s="21">
        <v>12</v>
      </c>
      <c r="K22" s="21">
        <v>1.54877</v>
      </c>
      <c r="L22">
        <f t="shared" si="0"/>
        <v>0.42080370370370362</v>
      </c>
      <c r="M22">
        <f t="shared" si="1"/>
        <v>0.6520479629999999</v>
      </c>
      <c r="N22" s="9"/>
      <c r="O22" s="21">
        <v>-3.9520300000000001E-2</v>
      </c>
      <c r="P22" s="21">
        <v>8.6486699999999992</v>
      </c>
      <c r="Q22" s="21">
        <v>-1.4855999999999999E-2</v>
      </c>
      <c r="R22" s="21">
        <v>12</v>
      </c>
      <c r="S22" s="21">
        <v>-3.98407E-2</v>
      </c>
      <c r="T22">
        <f t="shared" si="2"/>
        <v>18.340740740740738</v>
      </c>
      <c r="U22">
        <f t="shared" si="3"/>
        <v>-0.72483157629629624</v>
      </c>
      <c r="V22" s="22"/>
      <c r="W22" s="23"/>
      <c r="X22" s="9"/>
      <c r="Y22" s="21">
        <v>1.5495300000000001</v>
      </c>
      <c r="Z22" s="21">
        <v>13.7464</v>
      </c>
      <c r="AA22" s="21">
        <v>-1.6415399999999999E-3</v>
      </c>
      <c r="AB22" s="21">
        <v>12</v>
      </c>
      <c r="AC22" s="21">
        <v>1.5490699999999999</v>
      </c>
      <c r="AD22">
        <f t="shared" si="4"/>
        <v>2.0265925925925923</v>
      </c>
      <c r="AE22">
        <f t="shared" si="5"/>
        <v>3.1402660199999999</v>
      </c>
      <c r="AF22" s="9"/>
      <c r="AG22" s="21">
        <v>-3.9520300000000001E-2</v>
      </c>
      <c r="AH22" s="21">
        <v>17.1829</v>
      </c>
      <c r="AI22" s="21">
        <v>-1.47949E-2</v>
      </c>
      <c r="AJ22" s="21">
        <v>12</v>
      </c>
      <c r="AK22" s="21">
        <v>-3.9865100000000001E-2</v>
      </c>
      <c r="AL22">
        <f t="shared" si="6"/>
        <v>18.265308641975306</v>
      </c>
      <c r="AM22">
        <f t="shared" si="7"/>
        <v>-0.72185047712345674</v>
      </c>
      <c r="AP22" s="9"/>
      <c r="AQ22" s="21">
        <v>1.5495300000000001</v>
      </c>
      <c r="AR22" s="21">
        <v>22.325600000000001</v>
      </c>
      <c r="AS22" s="21">
        <v>-1.41296E-3</v>
      </c>
      <c r="AT22" s="21">
        <v>12</v>
      </c>
      <c r="AU22" s="21">
        <v>1.5490699999999999</v>
      </c>
      <c r="AV22">
        <f t="shared" si="8"/>
        <v>1.744395061728395</v>
      </c>
      <c r="AW22">
        <f t="shared" si="9"/>
        <v>2.7029924799999998</v>
      </c>
      <c r="AX22" s="9"/>
      <c r="AY22" s="21">
        <v>-3.9520300000000001E-2</v>
      </c>
      <c r="AZ22" s="21">
        <v>25.7621</v>
      </c>
      <c r="BA22" s="21">
        <v>-1.47552E-2</v>
      </c>
      <c r="BB22" s="21">
        <v>12</v>
      </c>
      <c r="BC22" s="21">
        <v>-3.9865100000000001E-2</v>
      </c>
      <c r="BD22">
        <f t="shared" si="10"/>
        <v>18.216296296296292</v>
      </c>
      <c r="BE22">
        <f t="shared" si="11"/>
        <v>-0.71991349451851838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1.5444899999999999</v>
      </c>
      <c r="H23" s="21">
        <v>5.2222499999999998</v>
      </c>
      <c r="I23" s="21">
        <v>-9.6252399999999998E-4</v>
      </c>
      <c r="J23" s="21">
        <v>13</v>
      </c>
      <c r="K23" s="21">
        <v>1.5438799999999999</v>
      </c>
      <c r="L23">
        <f t="shared" si="0"/>
        <v>1.1883012345679009</v>
      </c>
      <c r="M23">
        <f t="shared" si="1"/>
        <v>1.8353193737777773</v>
      </c>
      <c r="N23" s="9"/>
      <c r="O23" s="21">
        <v>-3.4484899999999999E-2</v>
      </c>
      <c r="P23" s="21">
        <v>8.6587399999999999</v>
      </c>
      <c r="Q23" s="21">
        <v>-1.4849899999999999E-2</v>
      </c>
      <c r="R23" s="21">
        <v>13</v>
      </c>
      <c r="S23" s="21">
        <v>-3.4845000000000001E-2</v>
      </c>
      <c r="T23">
        <f t="shared" si="2"/>
        <v>18.333209876543208</v>
      </c>
      <c r="U23">
        <f t="shared" si="3"/>
        <v>-0.63221890927160485</v>
      </c>
      <c r="V23" s="22"/>
      <c r="W23" s="23"/>
      <c r="X23" s="9"/>
      <c r="Y23" s="21">
        <v>1.5444899999999999</v>
      </c>
      <c r="Z23" s="21">
        <v>13.756500000000001</v>
      </c>
      <c r="AA23" s="21">
        <v>-2.1606400000000001E-3</v>
      </c>
      <c r="AB23" s="21">
        <v>13</v>
      </c>
      <c r="AC23" s="21">
        <v>1.5438799999999999</v>
      </c>
      <c r="AD23">
        <f t="shared" si="4"/>
        <v>2.6674567901234565</v>
      </c>
      <c r="AE23">
        <f t="shared" si="5"/>
        <v>4.1198603377777774</v>
      </c>
      <c r="AF23" s="9"/>
      <c r="AG23" s="21">
        <v>-3.4484899999999999E-2</v>
      </c>
      <c r="AH23" s="21">
        <v>17.193000000000001</v>
      </c>
      <c r="AI23" s="21">
        <v>-1.47888E-2</v>
      </c>
      <c r="AJ23" s="21">
        <v>13</v>
      </c>
      <c r="AK23" s="21">
        <v>-3.4799200000000002E-2</v>
      </c>
      <c r="AL23">
        <f t="shared" si="6"/>
        <v>18.257777777777775</v>
      </c>
      <c r="AM23">
        <f t="shared" si="7"/>
        <v>-0.62961764088888883</v>
      </c>
      <c r="AP23" s="9"/>
      <c r="AQ23" s="21">
        <v>1.5444899999999999</v>
      </c>
      <c r="AR23" s="21">
        <v>22.335699999999999</v>
      </c>
      <c r="AS23" s="21">
        <v>-1.9515999999999999E-3</v>
      </c>
      <c r="AT23" s="21">
        <v>13</v>
      </c>
      <c r="AU23" s="21">
        <v>1.54419</v>
      </c>
      <c r="AV23">
        <f t="shared" si="8"/>
        <v>2.4093827160493824</v>
      </c>
      <c r="AW23">
        <f t="shared" si="9"/>
        <v>3.7212675111111104</v>
      </c>
      <c r="AX23" s="9"/>
      <c r="AY23" s="21">
        <v>-3.4484899999999999E-2</v>
      </c>
      <c r="AZ23" s="21">
        <v>25.772200000000002</v>
      </c>
      <c r="BA23" s="21">
        <v>-1.47522E-2</v>
      </c>
      <c r="BB23" s="21">
        <v>13</v>
      </c>
      <c r="BC23" s="21">
        <v>-3.4774800000000002E-2</v>
      </c>
      <c r="BD23">
        <f t="shared" si="10"/>
        <v>18.212592592592593</v>
      </c>
      <c r="BE23">
        <f t="shared" si="11"/>
        <v>-0.62805943429629629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1.5394600000000001</v>
      </c>
      <c r="H24" s="21">
        <v>5.2323199999999996</v>
      </c>
      <c r="I24" s="21">
        <v>-1.51764E-3</v>
      </c>
      <c r="J24" s="21">
        <v>14</v>
      </c>
      <c r="K24" s="21">
        <v>1.53931</v>
      </c>
      <c r="L24">
        <f t="shared" si="0"/>
        <v>1.8736296296296295</v>
      </c>
      <c r="M24">
        <f t="shared" si="1"/>
        <v>2.8843778696296294</v>
      </c>
      <c r="N24" s="9"/>
      <c r="O24" s="21">
        <v>-2.94495E-2</v>
      </c>
      <c r="P24" s="21">
        <v>8.6688100000000006</v>
      </c>
      <c r="Q24" s="21">
        <v>-1.4843800000000001E-2</v>
      </c>
      <c r="R24" s="21">
        <v>14</v>
      </c>
      <c r="S24" s="21">
        <v>-2.9739399999999999E-2</v>
      </c>
      <c r="T24">
        <f t="shared" si="2"/>
        <v>18.325679012345677</v>
      </c>
      <c r="U24">
        <f t="shared" si="3"/>
        <v>-0.53968208407407403</v>
      </c>
      <c r="V24" s="22"/>
      <c r="W24" s="23"/>
      <c r="X24" s="9"/>
      <c r="Y24" s="21">
        <v>1.5394600000000001</v>
      </c>
      <c r="Z24" s="21">
        <v>13.766500000000001</v>
      </c>
      <c r="AA24" s="21">
        <v>-2.6800499999999998E-3</v>
      </c>
      <c r="AB24" s="21">
        <v>14</v>
      </c>
      <c r="AC24" s="21">
        <v>1.5387</v>
      </c>
      <c r="AD24">
        <f t="shared" si="4"/>
        <v>3.3087037037037028</v>
      </c>
      <c r="AE24">
        <f t="shared" si="5"/>
        <v>5.0936170037037023</v>
      </c>
      <c r="AF24" s="9"/>
      <c r="AG24" s="21">
        <v>-2.94495E-2</v>
      </c>
      <c r="AH24" s="21">
        <v>17.203099999999999</v>
      </c>
      <c r="AI24" s="21">
        <v>-1.47797E-2</v>
      </c>
      <c r="AJ24" s="21">
        <v>14</v>
      </c>
      <c r="AK24" s="21">
        <v>-2.9776E-2</v>
      </c>
      <c r="AL24">
        <f t="shared" si="6"/>
        <v>18.246543209876542</v>
      </c>
      <c r="AM24">
        <f t="shared" si="7"/>
        <v>-0.53735157425925917</v>
      </c>
      <c r="AP24" s="9"/>
      <c r="AQ24" s="21">
        <v>1.5394600000000001</v>
      </c>
      <c r="AR24" s="21">
        <v>22.345700000000001</v>
      </c>
      <c r="AS24" s="21">
        <v>-2.4700899999999999E-3</v>
      </c>
      <c r="AT24" s="21">
        <v>14</v>
      </c>
      <c r="AU24" s="21">
        <v>1.53931</v>
      </c>
      <c r="AV24">
        <f t="shared" si="8"/>
        <v>3.0494938271604934</v>
      </c>
      <c r="AW24">
        <f t="shared" si="9"/>
        <v>4.6945737671604935</v>
      </c>
      <c r="AX24" s="9"/>
      <c r="AY24" s="21">
        <v>-2.94495E-2</v>
      </c>
      <c r="AZ24" s="21">
        <v>25.7822</v>
      </c>
      <c r="BA24" s="21">
        <v>-1.47522E-2</v>
      </c>
      <c r="BB24" s="21">
        <v>14</v>
      </c>
      <c r="BC24" s="21">
        <v>-2.9748500000000001E-2</v>
      </c>
      <c r="BD24">
        <f t="shared" si="10"/>
        <v>18.212592592592593</v>
      </c>
      <c r="BE24">
        <f t="shared" si="11"/>
        <v>-0.53635174555555554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1.5344199999999999</v>
      </c>
      <c r="H25" s="21">
        <v>5.2423900000000003</v>
      </c>
      <c r="I25" s="21">
        <v>-2.06909E-3</v>
      </c>
      <c r="J25" s="21">
        <v>15</v>
      </c>
      <c r="K25" s="21">
        <v>1.5338099999999999</v>
      </c>
      <c r="L25">
        <f t="shared" si="0"/>
        <v>2.5544320987654316</v>
      </c>
      <c r="M25">
        <f t="shared" si="1"/>
        <v>3.9195717009876532</v>
      </c>
      <c r="N25" s="9"/>
      <c r="O25" s="21">
        <v>-2.4414100000000001E-2</v>
      </c>
      <c r="P25" s="21">
        <v>8.6788799999999995</v>
      </c>
      <c r="Q25" s="21">
        <v>-1.4843800000000001E-2</v>
      </c>
      <c r="R25" s="21">
        <v>15</v>
      </c>
      <c r="S25" s="21">
        <v>-2.4685700000000001E-2</v>
      </c>
      <c r="T25">
        <f t="shared" si="2"/>
        <v>18.325679012345677</v>
      </c>
      <c r="U25">
        <f t="shared" si="3"/>
        <v>-0.4474049599753086</v>
      </c>
      <c r="V25" s="22"/>
      <c r="W25" s="23"/>
      <c r="X25" s="9"/>
      <c r="Y25" s="21">
        <v>1.5344199999999999</v>
      </c>
      <c r="Z25" s="21">
        <v>13.7766</v>
      </c>
      <c r="AA25" s="21">
        <v>-3.1573500000000002E-3</v>
      </c>
      <c r="AB25" s="21">
        <v>15</v>
      </c>
      <c r="AC25" s="21">
        <v>1.5335099999999999</v>
      </c>
      <c r="AD25">
        <f t="shared" si="4"/>
        <v>3.8979629629629629</v>
      </c>
      <c r="AE25">
        <f t="shared" si="5"/>
        <v>5.9811123296296289</v>
      </c>
      <c r="AF25" s="9"/>
      <c r="AG25" s="21">
        <v>-2.4414100000000001E-2</v>
      </c>
      <c r="AH25" s="21">
        <v>17.213100000000001</v>
      </c>
      <c r="AI25" s="21">
        <v>-1.47736E-2</v>
      </c>
      <c r="AJ25" s="21">
        <v>15</v>
      </c>
      <c r="AK25" s="21">
        <v>-2.4740600000000001E-2</v>
      </c>
      <c r="AL25">
        <f t="shared" si="6"/>
        <v>18.239012345679011</v>
      </c>
      <c r="AM25">
        <f t="shared" si="7"/>
        <v>-0.44528907130864198</v>
      </c>
      <c r="AP25" s="9"/>
      <c r="AQ25" s="21">
        <v>1.5344199999999999</v>
      </c>
      <c r="AR25" s="21">
        <v>22.355799999999999</v>
      </c>
      <c r="AS25" s="21">
        <v>-2.9483000000000001E-3</v>
      </c>
      <c r="AT25" s="21">
        <v>15</v>
      </c>
      <c r="AU25" s="21">
        <v>1.5331999999999999</v>
      </c>
      <c r="AV25">
        <f t="shared" si="8"/>
        <v>3.6398765432098763</v>
      </c>
      <c r="AW25">
        <f t="shared" si="9"/>
        <v>5.5850993654320984</v>
      </c>
      <c r="AX25" s="9"/>
      <c r="AY25" s="21">
        <v>-2.4414100000000001E-2</v>
      </c>
      <c r="AZ25" s="21">
        <v>25.792300000000001</v>
      </c>
      <c r="BA25" s="21">
        <v>-1.47522E-2</v>
      </c>
      <c r="BB25" s="21">
        <v>15</v>
      </c>
      <c r="BC25" s="21">
        <v>-2.47345E-2</v>
      </c>
      <c r="BD25">
        <f t="shared" si="10"/>
        <v>18.212592592592593</v>
      </c>
      <c r="BE25">
        <f t="shared" si="11"/>
        <v>-0.44464405681481484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1.52939</v>
      </c>
      <c r="H26" s="21">
        <v>5.2524600000000001</v>
      </c>
      <c r="I26" s="21">
        <v>-2.5936900000000001E-3</v>
      </c>
      <c r="J26" s="21">
        <v>16</v>
      </c>
      <c r="K26" s="21">
        <v>1.5283199999999999</v>
      </c>
      <c r="L26">
        <f t="shared" si="0"/>
        <v>3.2020864197530861</v>
      </c>
      <c r="M26">
        <f t="shared" si="1"/>
        <v>4.8972389495061721</v>
      </c>
      <c r="N26" s="9"/>
      <c r="O26" s="21">
        <v>-1.9378699999999999E-2</v>
      </c>
      <c r="P26" s="21">
        <v>8.6889500000000002</v>
      </c>
      <c r="Q26" s="21">
        <v>-1.4837599999999999E-2</v>
      </c>
      <c r="R26" s="21">
        <v>16</v>
      </c>
      <c r="S26" s="21">
        <v>-1.9650299999999999E-2</v>
      </c>
      <c r="T26">
        <f t="shared" si="2"/>
        <v>18.318024691358023</v>
      </c>
      <c r="U26">
        <f t="shared" si="3"/>
        <v>-0.35497950508641968</v>
      </c>
      <c r="V26" s="22"/>
      <c r="W26" s="23"/>
      <c r="X26" s="9"/>
      <c r="Y26" s="21">
        <v>1.52939</v>
      </c>
      <c r="Z26" s="21">
        <v>13.7867</v>
      </c>
      <c r="AA26" s="21">
        <v>-3.60992E-3</v>
      </c>
      <c r="AB26" s="21">
        <v>16</v>
      </c>
      <c r="AC26" s="21">
        <v>1.5292399999999999</v>
      </c>
      <c r="AD26">
        <f t="shared" si="4"/>
        <v>4.456691358024691</v>
      </c>
      <c r="AE26">
        <f t="shared" si="5"/>
        <v>6.8160191960493819</v>
      </c>
      <c r="AF26" s="9"/>
      <c r="AG26" s="21">
        <v>-1.9378699999999999E-2</v>
      </c>
      <c r="AH26" s="21">
        <v>17.223199999999999</v>
      </c>
      <c r="AI26" s="21">
        <v>-1.47736E-2</v>
      </c>
      <c r="AJ26" s="21">
        <v>16</v>
      </c>
      <c r="AK26" s="21">
        <v>-1.9662499999999999E-2</v>
      </c>
      <c r="AL26">
        <f t="shared" si="6"/>
        <v>18.239012345679011</v>
      </c>
      <c r="AM26">
        <f t="shared" si="7"/>
        <v>-0.35344834854320983</v>
      </c>
      <c r="AP26" s="9"/>
      <c r="AQ26" s="21">
        <v>1.52939</v>
      </c>
      <c r="AR26" s="21">
        <v>22.3659</v>
      </c>
      <c r="AS26" s="21">
        <v>-3.40332E-3</v>
      </c>
      <c r="AT26" s="21">
        <v>16</v>
      </c>
      <c r="AU26" s="21">
        <v>1.5283199999999999</v>
      </c>
      <c r="AV26">
        <f t="shared" si="8"/>
        <v>4.2016296296296298</v>
      </c>
      <c r="AW26">
        <f t="shared" si="9"/>
        <v>6.4259303392592599</v>
      </c>
      <c r="AX26" s="9"/>
      <c r="AY26" s="21">
        <v>-1.9378699999999999E-2</v>
      </c>
      <c r="AZ26" s="21">
        <v>25.802399999999999</v>
      </c>
      <c r="BA26" s="21">
        <v>-1.4749099999999999E-2</v>
      </c>
      <c r="BB26" s="21">
        <v>16</v>
      </c>
      <c r="BC26" s="21">
        <v>-1.9622799999999999E-2</v>
      </c>
      <c r="BD26">
        <f t="shared" si="10"/>
        <v>18.208765432098765</v>
      </c>
      <c r="BE26">
        <f t="shared" si="11"/>
        <v>-0.3528622026790123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1.5243500000000001</v>
      </c>
      <c r="H27" s="21">
        <v>5.2625299999999999</v>
      </c>
      <c r="I27" s="21">
        <v>-3.0770900000000002E-3</v>
      </c>
      <c r="J27" s="21">
        <v>17</v>
      </c>
      <c r="K27" s="21">
        <v>1.5240499999999999</v>
      </c>
      <c r="L27">
        <f t="shared" si="0"/>
        <v>3.7988765432098766</v>
      </c>
      <c r="M27">
        <f t="shared" si="1"/>
        <v>5.7908174586419756</v>
      </c>
      <c r="N27" s="9"/>
      <c r="O27" s="21">
        <v>-1.43433E-2</v>
      </c>
      <c r="P27" s="21">
        <v>8.6990200000000009</v>
      </c>
      <c r="Q27" s="21">
        <v>-1.4831499999999999E-2</v>
      </c>
      <c r="R27" s="21">
        <v>17</v>
      </c>
      <c r="S27" s="21">
        <v>-1.47095E-2</v>
      </c>
      <c r="T27">
        <f t="shared" si="2"/>
        <v>18.310493827160489</v>
      </c>
      <c r="U27">
        <f t="shared" si="3"/>
        <v>-0.26263290611111101</v>
      </c>
      <c r="X27" s="9"/>
      <c r="Y27" s="21">
        <v>1.5243500000000001</v>
      </c>
      <c r="Z27" s="21">
        <v>13.7967</v>
      </c>
      <c r="AA27" s="21">
        <v>-4.0161099999999998E-3</v>
      </c>
      <c r="AB27" s="21">
        <v>17</v>
      </c>
      <c r="AC27" s="21">
        <v>1.5240499999999999</v>
      </c>
      <c r="AD27">
        <f t="shared" si="4"/>
        <v>4.95816049382716</v>
      </c>
      <c r="AE27">
        <f t="shared" si="5"/>
        <v>7.5579719487654318</v>
      </c>
      <c r="AF27" s="9"/>
      <c r="AG27" s="21">
        <v>-1.43433E-2</v>
      </c>
      <c r="AH27" s="21">
        <v>17.2333</v>
      </c>
      <c r="AI27" s="21">
        <v>-1.47644E-2</v>
      </c>
      <c r="AJ27" s="21">
        <v>17</v>
      </c>
      <c r="AK27" s="21">
        <v>-1.4621E-2</v>
      </c>
      <c r="AL27">
        <f t="shared" si="6"/>
        <v>18.227654320987654</v>
      </c>
      <c r="AM27">
        <f t="shared" si="7"/>
        <v>-0.26144471422222221</v>
      </c>
      <c r="AP27" s="9"/>
      <c r="AQ27" s="21">
        <v>1.5243500000000001</v>
      </c>
      <c r="AR27" s="21">
        <v>22.375900000000001</v>
      </c>
      <c r="AS27" s="21">
        <v>-3.8287400000000002E-3</v>
      </c>
      <c r="AT27" s="21">
        <v>17</v>
      </c>
      <c r="AU27" s="21">
        <v>1.5237400000000001</v>
      </c>
      <c r="AV27">
        <f t="shared" si="8"/>
        <v>4.7268395061728397</v>
      </c>
      <c r="AW27">
        <f t="shared" si="9"/>
        <v>7.2053578012345687</v>
      </c>
      <c r="AX27" s="9"/>
      <c r="AY27" s="21">
        <v>-1.43433E-2</v>
      </c>
      <c r="AZ27" s="21">
        <v>25.8124</v>
      </c>
      <c r="BA27" s="21">
        <v>-1.4736900000000001E-2</v>
      </c>
      <c r="BB27" s="21">
        <v>17</v>
      </c>
      <c r="BC27" s="21">
        <v>-1.4566000000000001E-2</v>
      </c>
      <c r="BD27">
        <f t="shared" si="10"/>
        <v>18.193703703703704</v>
      </c>
      <c r="BE27">
        <f t="shared" si="11"/>
        <v>-0.26095775033333335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1.51932</v>
      </c>
      <c r="H28" s="21">
        <v>5.2725999999999997</v>
      </c>
      <c r="I28" s="21">
        <v>-3.5104400000000001E-3</v>
      </c>
      <c r="J28" s="21">
        <v>18</v>
      </c>
      <c r="K28" s="21">
        <v>1.5188600000000001</v>
      </c>
      <c r="L28">
        <f t="shared" si="0"/>
        <v>4.3338765432098771</v>
      </c>
      <c r="M28">
        <f t="shared" si="1"/>
        <v>6.5845453096296307</v>
      </c>
      <c r="N28" s="9"/>
      <c r="O28" s="21">
        <v>-9.3078599999999994E-3</v>
      </c>
      <c r="P28" s="21">
        <v>8.7090899999999998</v>
      </c>
      <c r="Q28" s="21">
        <v>-1.4825400000000001E-2</v>
      </c>
      <c r="R28" s="21">
        <v>18</v>
      </c>
      <c r="S28" s="21">
        <v>-9.5550500000000007E-3</v>
      </c>
      <c r="T28">
        <f t="shared" si="2"/>
        <v>18.302962962962962</v>
      </c>
      <c r="U28">
        <f t="shared" si="3"/>
        <v>-0.17036141684444442</v>
      </c>
      <c r="X28" s="9"/>
      <c r="Y28" s="21">
        <v>1.51932</v>
      </c>
      <c r="Z28" s="21">
        <v>13.806800000000001</v>
      </c>
      <c r="AA28" s="21">
        <v>-4.4085699999999997E-3</v>
      </c>
      <c r="AB28" s="21">
        <v>18</v>
      </c>
      <c r="AC28" s="21">
        <v>1.5185500000000001</v>
      </c>
      <c r="AD28">
        <f t="shared" si="4"/>
        <v>5.4426790123456783</v>
      </c>
      <c r="AE28">
        <f t="shared" si="5"/>
        <v>8.2691710770370364</v>
      </c>
      <c r="AF28" s="9"/>
      <c r="AG28" s="21">
        <v>-9.3078599999999994E-3</v>
      </c>
      <c r="AH28" s="21">
        <v>17.243300000000001</v>
      </c>
      <c r="AI28" s="21">
        <v>-1.47583E-2</v>
      </c>
      <c r="AJ28" s="21">
        <v>18</v>
      </c>
      <c r="AK28" s="21">
        <v>-9.5550500000000007E-3</v>
      </c>
      <c r="AL28">
        <f t="shared" si="6"/>
        <v>18.22012345679012</v>
      </c>
      <c r="AM28">
        <f t="shared" si="7"/>
        <v>-0.16959035831851846</v>
      </c>
      <c r="AP28" s="9"/>
      <c r="AQ28" s="21">
        <v>1.51932</v>
      </c>
      <c r="AR28" s="21">
        <v>22.385999999999999</v>
      </c>
      <c r="AS28" s="21">
        <v>-4.2489600000000004E-3</v>
      </c>
      <c r="AT28" s="21">
        <v>18</v>
      </c>
      <c r="AU28" s="21">
        <v>1.5185500000000001</v>
      </c>
      <c r="AV28">
        <f t="shared" si="8"/>
        <v>5.2456296296296294</v>
      </c>
      <c r="AW28">
        <f t="shared" si="9"/>
        <v>7.9697900088888884</v>
      </c>
      <c r="AX28" s="9"/>
      <c r="AY28" s="21">
        <v>-9.3078599999999994E-3</v>
      </c>
      <c r="AZ28" s="21">
        <v>25.822500000000002</v>
      </c>
      <c r="BA28" s="21">
        <v>-1.4727799999999999E-2</v>
      </c>
      <c r="BB28" s="21">
        <v>18</v>
      </c>
      <c r="BC28" s="21">
        <v>-9.5703100000000003E-3</v>
      </c>
      <c r="BD28">
        <f t="shared" si="10"/>
        <v>18.182469135802467</v>
      </c>
      <c r="BE28">
        <f t="shared" si="11"/>
        <v>-0.16923987717037034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1.5142800000000001</v>
      </c>
      <c r="H29" s="21">
        <v>5.2826700000000004</v>
      </c>
      <c r="I29" s="21">
        <v>-3.9498900000000002E-3</v>
      </c>
      <c r="J29" s="21">
        <v>19</v>
      </c>
      <c r="K29" s="21">
        <v>1.5133700000000001</v>
      </c>
      <c r="L29">
        <f t="shared" si="0"/>
        <v>4.8764074074074077</v>
      </c>
      <c r="M29">
        <f t="shared" si="1"/>
        <v>7.3842462088888894</v>
      </c>
      <c r="N29" s="9"/>
      <c r="O29" s="21">
        <v>-4.2724599999999996E-3</v>
      </c>
      <c r="P29" s="21">
        <v>8.7191600000000005</v>
      </c>
      <c r="Q29" s="21">
        <v>-1.4822399999999999E-2</v>
      </c>
      <c r="R29" s="21">
        <v>19</v>
      </c>
      <c r="S29" s="21">
        <v>-4.5501700000000001E-3</v>
      </c>
      <c r="T29">
        <f t="shared" si="2"/>
        <v>18.299259259259259</v>
      </c>
      <c r="U29">
        <f t="shared" si="3"/>
        <v>-7.8182853214814801E-2</v>
      </c>
      <c r="X29" s="9"/>
      <c r="Y29" s="21">
        <v>1.5142800000000001</v>
      </c>
      <c r="Z29" s="21">
        <v>13.8169</v>
      </c>
      <c r="AA29" s="21">
        <v>-4.7821000000000001E-3</v>
      </c>
      <c r="AB29" s="21">
        <v>19</v>
      </c>
      <c r="AC29" s="21">
        <v>1.5136700000000001</v>
      </c>
      <c r="AD29">
        <f t="shared" si="4"/>
        <v>5.9038271604938268</v>
      </c>
      <c r="AE29">
        <f t="shared" si="5"/>
        <v>8.940047392592593</v>
      </c>
      <c r="AF29" s="9"/>
      <c r="AG29" s="21">
        <v>-4.2724599999999996E-3</v>
      </c>
      <c r="AH29" s="21">
        <v>17.253399999999999</v>
      </c>
      <c r="AI29" s="21">
        <v>-1.4749099999999999E-2</v>
      </c>
      <c r="AJ29" s="21">
        <v>19</v>
      </c>
      <c r="AK29" s="21">
        <v>-4.5135499999999999E-3</v>
      </c>
      <c r="AL29">
        <f t="shared" si="6"/>
        <v>18.208765432098765</v>
      </c>
      <c r="AM29">
        <f t="shared" si="7"/>
        <v>-7.7796221958024686E-2</v>
      </c>
      <c r="AP29" s="9"/>
      <c r="AQ29" s="21">
        <v>1.5142800000000001</v>
      </c>
      <c r="AR29" s="21">
        <v>22.396100000000001</v>
      </c>
      <c r="AS29" s="21">
        <v>-4.6304299999999996E-3</v>
      </c>
      <c r="AT29" s="21">
        <v>19</v>
      </c>
      <c r="AU29" s="21">
        <v>1.5133700000000001</v>
      </c>
      <c r="AV29">
        <f t="shared" si="8"/>
        <v>5.7165802469135798</v>
      </c>
      <c r="AW29">
        <f t="shared" si="9"/>
        <v>8.6565031362962959</v>
      </c>
      <c r="AX29" s="9"/>
      <c r="AY29" s="21">
        <v>-4.2724599999999996E-3</v>
      </c>
      <c r="AZ29" s="21">
        <v>25.832599999999999</v>
      </c>
      <c r="BA29" s="21">
        <v>-1.4727799999999999E-2</v>
      </c>
      <c r="BB29" s="21">
        <v>19</v>
      </c>
      <c r="BC29" s="21">
        <v>-4.4860799999999999E-3</v>
      </c>
      <c r="BD29">
        <f t="shared" si="10"/>
        <v>18.182469135802467</v>
      </c>
      <c r="BE29">
        <f t="shared" si="11"/>
        <v>-7.7683872083950598E-2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1.50925</v>
      </c>
      <c r="H30" s="21">
        <v>5.2927400000000002</v>
      </c>
      <c r="I30" s="21">
        <v>-4.34601E-3</v>
      </c>
      <c r="J30" s="21">
        <v>20</v>
      </c>
      <c r="K30" s="21">
        <v>1.5087900000000001</v>
      </c>
      <c r="L30">
        <f t="shared" si="0"/>
        <v>5.365444444444444</v>
      </c>
      <c r="M30">
        <f t="shared" si="1"/>
        <v>8.0977970277777764</v>
      </c>
      <c r="N30" s="9"/>
      <c r="O30" s="21">
        <v>7.6293900000000002E-4</v>
      </c>
      <c r="P30" s="21">
        <v>8.7292299999999994</v>
      </c>
      <c r="Q30" s="21">
        <v>-1.48132E-2</v>
      </c>
      <c r="R30" s="21">
        <v>20</v>
      </c>
      <c r="S30" s="21">
        <v>5.5236800000000002E-4</v>
      </c>
      <c r="T30">
        <f t="shared" si="2"/>
        <v>18.287901234567901</v>
      </c>
      <c r="U30">
        <f t="shared" si="3"/>
        <v>1.3952553080000001E-2</v>
      </c>
      <c r="X30" s="9"/>
      <c r="Y30" s="21">
        <v>1.50925</v>
      </c>
      <c r="Z30" s="21">
        <v>13.8269</v>
      </c>
      <c r="AA30" s="21">
        <v>-5.1513699999999997E-3</v>
      </c>
      <c r="AB30" s="21">
        <v>20</v>
      </c>
      <c r="AC30" s="21">
        <v>1.50909</v>
      </c>
      <c r="AD30">
        <f t="shared" si="4"/>
        <v>6.3597160493827154</v>
      </c>
      <c r="AE30">
        <f t="shared" si="5"/>
        <v>9.598401447530863</v>
      </c>
      <c r="AF30" s="9"/>
      <c r="AG30" s="21">
        <v>7.6293900000000002E-4</v>
      </c>
      <c r="AH30" s="21">
        <v>17.263500000000001</v>
      </c>
      <c r="AI30" s="21">
        <v>-1.474E-2</v>
      </c>
      <c r="AJ30" s="21">
        <v>20</v>
      </c>
      <c r="AK30" s="21">
        <v>5.6762700000000002E-4</v>
      </c>
      <c r="AL30">
        <f t="shared" si="6"/>
        <v>18.197530864197528</v>
      </c>
      <c r="AM30">
        <f t="shared" si="7"/>
        <v>1.3883605999999998E-2</v>
      </c>
      <c r="AP30" s="9"/>
      <c r="AQ30" s="21">
        <v>1.50925</v>
      </c>
      <c r="AR30" s="21">
        <v>22.406199999999998</v>
      </c>
      <c r="AS30" s="21">
        <v>-4.9957300000000003E-3</v>
      </c>
      <c r="AT30" s="21">
        <v>20</v>
      </c>
      <c r="AU30" s="21">
        <v>1.5087900000000001</v>
      </c>
      <c r="AV30">
        <f t="shared" si="8"/>
        <v>6.1675679012345679</v>
      </c>
      <c r="AW30">
        <f t="shared" si="9"/>
        <v>9.3084018549382712</v>
      </c>
      <c r="AX30" s="9"/>
      <c r="AY30" s="21">
        <v>7.6293900000000002E-4</v>
      </c>
      <c r="AZ30" s="21">
        <v>25.842600000000001</v>
      </c>
      <c r="BA30" s="21">
        <v>-1.4727799999999999E-2</v>
      </c>
      <c r="BB30" s="21">
        <v>20</v>
      </c>
      <c r="BC30" s="21">
        <v>5.6457499999999999E-4</v>
      </c>
      <c r="BD30">
        <f t="shared" si="10"/>
        <v>18.182469135802467</v>
      </c>
      <c r="BE30">
        <f t="shared" si="11"/>
        <v>1.387211482E-2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1.50421</v>
      </c>
      <c r="H31" s="21">
        <v>5.30281</v>
      </c>
      <c r="I31" s="21">
        <v>-4.7189299999999997E-3</v>
      </c>
      <c r="J31" s="21">
        <v>21</v>
      </c>
      <c r="K31" s="21">
        <v>1.5036</v>
      </c>
      <c r="L31">
        <f t="shared" si="0"/>
        <v>5.825839506172839</v>
      </c>
      <c r="M31">
        <f t="shared" si="1"/>
        <v>8.763286043580246</v>
      </c>
      <c r="N31" s="9"/>
      <c r="O31" s="21">
        <v>5.7983399999999999E-3</v>
      </c>
      <c r="P31" s="21">
        <v>8.7393000000000001</v>
      </c>
      <c r="Q31" s="21">
        <v>-1.4810200000000001E-2</v>
      </c>
      <c r="R31" s="21">
        <v>21</v>
      </c>
      <c r="S31" s="21">
        <v>5.6030300000000002E-3</v>
      </c>
      <c r="T31">
        <f t="shared" si="2"/>
        <v>18.284197530864198</v>
      </c>
      <c r="U31">
        <f t="shared" si="3"/>
        <v>0.10601799391111111</v>
      </c>
      <c r="X31" s="9"/>
      <c r="Y31" s="21">
        <v>1.50421</v>
      </c>
      <c r="Z31" s="21">
        <v>13.837</v>
      </c>
      <c r="AA31" s="21">
        <v>-5.5023199999999998E-3</v>
      </c>
      <c r="AB31" s="21">
        <v>21</v>
      </c>
      <c r="AC31" s="21">
        <v>1.50421</v>
      </c>
      <c r="AD31">
        <f t="shared" si="4"/>
        <v>6.7929876543209868</v>
      </c>
      <c r="AE31">
        <f t="shared" si="5"/>
        <v>10.218079959506172</v>
      </c>
      <c r="AF31" s="9"/>
      <c r="AG31" s="21">
        <v>5.7983399999999999E-3</v>
      </c>
      <c r="AH31" s="21">
        <v>17.273499999999999</v>
      </c>
      <c r="AI31" s="21">
        <v>-1.4736900000000001E-2</v>
      </c>
      <c r="AJ31" s="21">
        <v>21</v>
      </c>
      <c r="AK31" s="21">
        <v>5.5816700000000004E-3</v>
      </c>
      <c r="AL31">
        <f t="shared" si="6"/>
        <v>18.193703703703704</v>
      </c>
      <c r="AM31">
        <f t="shared" si="7"/>
        <v>0.10549327993333334</v>
      </c>
      <c r="AP31" s="9"/>
      <c r="AQ31" s="21">
        <v>1.50421</v>
      </c>
      <c r="AR31" s="21">
        <v>22.4162</v>
      </c>
      <c r="AS31" s="21">
        <v>-5.3253199999999997E-3</v>
      </c>
      <c r="AT31" s="21">
        <v>21</v>
      </c>
      <c r="AU31" s="21">
        <v>1.5033000000000001</v>
      </c>
      <c r="AV31">
        <f t="shared" si="8"/>
        <v>6.5744691358024685</v>
      </c>
      <c r="AW31">
        <f t="shared" si="9"/>
        <v>9.8893822187654319</v>
      </c>
      <c r="AX31" s="9"/>
      <c r="AY31" s="21">
        <v>5.7983399999999999E-3</v>
      </c>
      <c r="AZ31" s="21">
        <v>25.852699999999999</v>
      </c>
      <c r="BA31" s="21">
        <v>-1.4721700000000001E-2</v>
      </c>
      <c r="BB31" s="21">
        <v>21</v>
      </c>
      <c r="BC31" s="21">
        <v>5.5755600000000002E-3</v>
      </c>
      <c r="BD31">
        <f t="shared" si="10"/>
        <v>18.174938271604937</v>
      </c>
      <c r="BE31">
        <f t="shared" si="11"/>
        <v>0.10538447157777776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1.49918</v>
      </c>
      <c r="H32" s="21">
        <v>5.3128799999999998</v>
      </c>
      <c r="I32" s="21">
        <v>-5.0750700000000001E-3</v>
      </c>
      <c r="J32" s="21">
        <v>22</v>
      </c>
      <c r="K32" s="21">
        <v>1.4987200000000001</v>
      </c>
      <c r="L32">
        <f t="shared" si="0"/>
        <v>6.265518518518518</v>
      </c>
      <c r="M32">
        <f t="shared" si="1"/>
        <v>9.3931400525925923</v>
      </c>
      <c r="N32" s="9"/>
      <c r="O32" s="21">
        <v>1.08337E-2</v>
      </c>
      <c r="P32" s="21">
        <v>8.7493800000000004</v>
      </c>
      <c r="Q32" s="21">
        <v>-1.4810200000000001E-2</v>
      </c>
      <c r="R32" s="21">
        <v>22</v>
      </c>
      <c r="S32" s="21">
        <v>1.0632300000000001E-2</v>
      </c>
      <c r="T32">
        <f t="shared" si="2"/>
        <v>18.284197530864198</v>
      </c>
      <c r="U32">
        <f t="shared" si="3"/>
        <v>0.19808551079012346</v>
      </c>
      <c r="X32" s="9"/>
      <c r="Y32" s="21">
        <v>1.49918</v>
      </c>
      <c r="Z32" s="21">
        <v>13.847099999999999</v>
      </c>
      <c r="AA32" s="21">
        <v>-5.8288599999999999E-3</v>
      </c>
      <c r="AB32" s="21">
        <v>22</v>
      </c>
      <c r="AC32" s="21">
        <v>1.4987200000000001</v>
      </c>
      <c r="AD32">
        <f t="shared" si="4"/>
        <v>7.1961234567901231</v>
      </c>
      <c r="AE32">
        <f t="shared" si="5"/>
        <v>10.788284363950616</v>
      </c>
      <c r="AF32" s="9"/>
      <c r="AG32" s="21">
        <v>1.08337E-2</v>
      </c>
      <c r="AH32" s="21">
        <v>17.2836</v>
      </c>
      <c r="AI32" s="21">
        <v>-1.47308E-2</v>
      </c>
      <c r="AJ32" s="21">
        <v>22</v>
      </c>
      <c r="AK32" s="21">
        <v>1.0659800000000001E-2</v>
      </c>
      <c r="AL32">
        <f t="shared" si="6"/>
        <v>18.186172839506174</v>
      </c>
      <c r="AM32">
        <f t="shared" si="7"/>
        <v>0.19702354069135802</v>
      </c>
      <c r="AP32" s="9"/>
      <c r="AQ32" s="21">
        <v>1.49918</v>
      </c>
      <c r="AR32" s="21">
        <v>22.426300000000001</v>
      </c>
      <c r="AS32" s="21">
        <v>-5.6366000000000003E-3</v>
      </c>
      <c r="AT32" s="21">
        <v>22</v>
      </c>
      <c r="AU32" s="21">
        <v>1.4987200000000001</v>
      </c>
      <c r="AV32">
        <f t="shared" si="8"/>
        <v>6.9587654320987653</v>
      </c>
      <c r="AW32">
        <f t="shared" si="9"/>
        <v>10.432441960493827</v>
      </c>
      <c r="AX32" s="9"/>
      <c r="AY32" s="21">
        <v>1.08337E-2</v>
      </c>
      <c r="AZ32" s="21">
        <v>25.8628</v>
      </c>
      <c r="BA32" s="21">
        <v>-1.47186E-2</v>
      </c>
      <c r="BB32" s="21">
        <v>22</v>
      </c>
      <c r="BC32" s="21">
        <v>1.06628E-2</v>
      </c>
      <c r="BD32">
        <f t="shared" si="10"/>
        <v>18.171111111111109</v>
      </c>
      <c r="BE32">
        <f t="shared" si="11"/>
        <v>0.19686036644444443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1.49414</v>
      </c>
      <c r="H33" s="21">
        <v>5.3229600000000001</v>
      </c>
      <c r="I33" s="21">
        <v>-5.4260300000000001E-3</v>
      </c>
      <c r="J33" s="21">
        <v>23</v>
      </c>
      <c r="K33" s="21">
        <v>1.4938400000000001</v>
      </c>
      <c r="L33">
        <f t="shared" si="0"/>
        <v>6.6988024691358028</v>
      </c>
      <c r="M33">
        <f t="shared" si="1"/>
        <v>10.008948721234569</v>
      </c>
      <c r="N33" s="9"/>
      <c r="O33" s="21">
        <v>1.5869100000000001E-2</v>
      </c>
      <c r="P33" s="21">
        <v>8.7594499999999993</v>
      </c>
      <c r="Q33" s="21">
        <v>-1.48071E-2</v>
      </c>
      <c r="R33" s="21">
        <v>23</v>
      </c>
      <c r="S33" s="21">
        <v>1.5701300000000001E-2</v>
      </c>
      <c r="T33">
        <f t="shared" si="2"/>
        <v>18.28037037037037</v>
      </c>
      <c r="U33">
        <f t="shared" si="3"/>
        <v>0.29009302544444443</v>
      </c>
      <c r="X33" s="9"/>
      <c r="Y33" s="21">
        <v>1.49414</v>
      </c>
      <c r="Z33" s="21">
        <v>13.857200000000001</v>
      </c>
      <c r="AA33" s="21">
        <v>-6.1340300000000004E-3</v>
      </c>
      <c r="AB33" s="21">
        <v>23</v>
      </c>
      <c r="AC33" s="21">
        <v>1.49353</v>
      </c>
      <c r="AD33">
        <f t="shared" si="4"/>
        <v>7.5728765432098761</v>
      </c>
      <c r="AE33">
        <f t="shared" si="5"/>
        <v>11.314937758271604</v>
      </c>
      <c r="AF33" s="9"/>
      <c r="AG33" s="21">
        <v>1.5869100000000001E-2</v>
      </c>
      <c r="AH33" s="21">
        <v>17.293700000000001</v>
      </c>
      <c r="AI33" s="21">
        <v>-1.4727799999999999E-2</v>
      </c>
      <c r="AJ33" s="21">
        <v>23</v>
      </c>
      <c r="AK33" s="21">
        <v>1.5704300000000001E-2</v>
      </c>
      <c r="AL33">
        <f t="shared" si="6"/>
        <v>18.182469135802467</v>
      </c>
      <c r="AM33">
        <f t="shared" si="7"/>
        <v>0.28853942096296292</v>
      </c>
      <c r="AP33" s="9"/>
      <c r="AQ33" s="21">
        <v>1.49414</v>
      </c>
      <c r="AR33" s="21">
        <v>22.436399999999999</v>
      </c>
      <c r="AS33" s="21">
        <v>-5.9326200000000004E-3</v>
      </c>
      <c r="AT33" s="21">
        <v>23</v>
      </c>
      <c r="AU33" s="21">
        <v>1.4932300000000001</v>
      </c>
      <c r="AV33">
        <f t="shared" si="8"/>
        <v>7.3242222222222226</v>
      </c>
      <c r="AW33">
        <f t="shared" si="9"/>
        <v>10.943413391111111</v>
      </c>
      <c r="AX33" s="9"/>
      <c r="AY33" s="21">
        <v>1.5869100000000001E-2</v>
      </c>
      <c r="AZ33" s="21">
        <v>25.872900000000001</v>
      </c>
      <c r="BA33" s="21">
        <v>-1.4715600000000001E-2</v>
      </c>
      <c r="BB33" s="21">
        <v>23</v>
      </c>
      <c r="BC33" s="21">
        <v>1.5625E-2</v>
      </c>
      <c r="BD33">
        <f t="shared" si="10"/>
        <v>18.167407407407406</v>
      </c>
      <c r="BE33">
        <f t="shared" si="11"/>
        <v>0.28830040488888886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1.4891099999999999</v>
      </c>
      <c r="H34" s="21">
        <v>5.3330299999999999</v>
      </c>
      <c r="I34" s="21">
        <v>-5.7403599999999999E-3</v>
      </c>
      <c r="J34" s="21">
        <v>24</v>
      </c>
      <c r="K34" s="21">
        <v>1.48834</v>
      </c>
      <c r="L34">
        <f t="shared" si="0"/>
        <v>7.0868641975308631</v>
      </c>
      <c r="M34">
        <f t="shared" si="1"/>
        <v>10.553120345185183</v>
      </c>
      <c r="N34" s="9"/>
      <c r="O34" s="21">
        <v>2.0904499999999999E-2</v>
      </c>
      <c r="P34" s="21">
        <v>8.76952</v>
      </c>
      <c r="Q34" s="21">
        <v>-1.4804100000000001E-2</v>
      </c>
      <c r="R34" s="21">
        <v>24</v>
      </c>
      <c r="S34" s="21">
        <v>2.0797699999999999E-2</v>
      </c>
      <c r="T34">
        <f t="shared" si="2"/>
        <v>18.276666666666667</v>
      </c>
      <c r="U34">
        <f t="shared" si="3"/>
        <v>0.38206457833333335</v>
      </c>
      <c r="X34" s="9"/>
      <c r="Y34" s="21">
        <v>1.4891099999999999</v>
      </c>
      <c r="Z34" s="21">
        <v>13.8672</v>
      </c>
      <c r="AA34" s="21">
        <v>-6.4209000000000002E-3</v>
      </c>
      <c r="AB34" s="21">
        <v>24</v>
      </c>
      <c r="AC34" s="21">
        <v>1.48834</v>
      </c>
      <c r="AD34">
        <f t="shared" si="4"/>
        <v>7.927037037037036</v>
      </c>
      <c r="AE34">
        <f t="shared" si="5"/>
        <v>11.80423012222222</v>
      </c>
      <c r="AF34" s="9"/>
      <c r="AG34" s="21">
        <v>2.0904499999999999E-2</v>
      </c>
      <c r="AH34" s="21">
        <v>17.303799999999999</v>
      </c>
      <c r="AI34" s="21">
        <v>-1.4727799999999999E-2</v>
      </c>
      <c r="AJ34" s="21">
        <v>24</v>
      </c>
      <c r="AK34" s="21">
        <v>2.0770299999999998E-2</v>
      </c>
      <c r="AL34">
        <f t="shared" si="6"/>
        <v>18.182469135802467</v>
      </c>
      <c r="AM34">
        <f t="shared" si="7"/>
        <v>0.38009542604938268</v>
      </c>
      <c r="AP34" s="9"/>
      <c r="AQ34" s="21">
        <v>1.4891099999999999</v>
      </c>
      <c r="AR34" s="21">
        <v>22.446400000000001</v>
      </c>
      <c r="AS34" s="21">
        <v>-6.2225300000000004E-3</v>
      </c>
      <c r="AT34" s="21">
        <v>24</v>
      </c>
      <c r="AU34" s="21">
        <v>1.48773</v>
      </c>
      <c r="AV34">
        <f t="shared" si="8"/>
        <v>7.6821358024691362</v>
      </c>
      <c r="AW34">
        <f t="shared" si="9"/>
        <v>11.439545244814814</v>
      </c>
      <c r="AX34" s="9"/>
      <c r="AY34" s="21">
        <v>2.0904499999999999E-2</v>
      </c>
      <c r="AZ34" s="21">
        <v>25.882899999999999</v>
      </c>
      <c r="BA34" s="21">
        <v>-1.47125E-2</v>
      </c>
      <c r="BB34" s="21">
        <v>24</v>
      </c>
      <c r="BC34" s="21">
        <v>2.0761100000000001E-2</v>
      </c>
      <c r="BD34">
        <f t="shared" si="10"/>
        <v>18.163580246913579</v>
      </c>
      <c r="BE34">
        <f t="shared" si="11"/>
        <v>0.3797005632716049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1.48407</v>
      </c>
      <c r="H35" s="21">
        <v>5.3430999999999997</v>
      </c>
      <c r="I35" s="21">
        <v>-6.0424800000000002E-3</v>
      </c>
      <c r="J35" s="21">
        <v>25</v>
      </c>
      <c r="K35" s="21">
        <v>1.48346</v>
      </c>
      <c r="L35">
        <f t="shared" si="0"/>
        <v>7.4598518518518517</v>
      </c>
      <c r="M35">
        <f t="shared" si="1"/>
        <v>11.070942337777778</v>
      </c>
      <c r="N35" s="9"/>
      <c r="O35" s="21">
        <v>2.5939899999999998E-2</v>
      </c>
      <c r="P35" s="21">
        <v>8.7795900000000007</v>
      </c>
      <c r="Q35" s="21">
        <v>-1.47919E-2</v>
      </c>
      <c r="R35" s="21">
        <v>25</v>
      </c>
      <c r="S35" s="21">
        <v>2.5772099999999999E-2</v>
      </c>
      <c r="T35">
        <f t="shared" si="2"/>
        <v>18.261604938271603</v>
      </c>
      <c r="U35">
        <f t="shared" si="3"/>
        <v>0.47370420593827151</v>
      </c>
      <c r="X35" s="9"/>
      <c r="Y35" s="21">
        <v>1.48407</v>
      </c>
      <c r="Z35" s="21">
        <v>13.8773</v>
      </c>
      <c r="AA35" s="21">
        <v>-6.6955599999999997E-3</v>
      </c>
      <c r="AB35" s="21">
        <v>25</v>
      </c>
      <c r="AC35" s="21">
        <v>1.48346</v>
      </c>
      <c r="AD35">
        <f t="shared" si="4"/>
        <v>8.2661234567901225</v>
      </c>
      <c r="AE35">
        <f t="shared" si="5"/>
        <v>12.267505838518517</v>
      </c>
      <c r="AF35" s="9"/>
      <c r="AG35" s="21">
        <v>2.5939899999999998E-2</v>
      </c>
      <c r="AH35" s="21">
        <v>17.313800000000001</v>
      </c>
      <c r="AI35" s="21">
        <v>-1.4727799999999999E-2</v>
      </c>
      <c r="AJ35" s="21">
        <v>25</v>
      </c>
      <c r="AK35" s="21">
        <v>2.5759899999999999E-2</v>
      </c>
      <c r="AL35">
        <f t="shared" si="6"/>
        <v>18.182469135802467</v>
      </c>
      <c r="AM35">
        <f t="shared" si="7"/>
        <v>0.47165143113580238</v>
      </c>
      <c r="AP35" s="9"/>
      <c r="AQ35" s="21">
        <v>1.48407</v>
      </c>
      <c r="AR35" s="21">
        <v>22.456499999999998</v>
      </c>
      <c r="AS35" s="21">
        <v>-6.4941399999999998E-3</v>
      </c>
      <c r="AT35" s="21">
        <v>25</v>
      </c>
      <c r="AU35" s="21">
        <v>1.48346</v>
      </c>
      <c r="AV35">
        <f t="shared" si="8"/>
        <v>8.0174567901234557</v>
      </c>
      <c r="AW35">
        <f t="shared" si="9"/>
        <v>11.898467098518516</v>
      </c>
      <c r="AX35" s="9"/>
      <c r="AY35" s="21">
        <v>2.5939899999999998E-2</v>
      </c>
      <c r="AZ35" s="21">
        <v>25.893000000000001</v>
      </c>
      <c r="BA35" s="21">
        <v>-1.47095E-2</v>
      </c>
      <c r="BB35" s="21">
        <v>25</v>
      </c>
      <c r="BC35" s="21">
        <v>2.5766000000000001E-2</v>
      </c>
      <c r="BD35">
        <f t="shared" si="10"/>
        <v>18.159876543209876</v>
      </c>
      <c r="BE35">
        <f t="shared" si="11"/>
        <v>0.47106538154320982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1.4790300000000001</v>
      </c>
      <c r="H36" s="21">
        <v>5.3531700000000004</v>
      </c>
      <c r="I36" s="21">
        <v>-6.3079800000000004E-3</v>
      </c>
      <c r="J36" s="21">
        <v>26</v>
      </c>
      <c r="K36" s="21">
        <v>1.47858</v>
      </c>
      <c r="L36">
        <f t="shared" si="0"/>
        <v>7.7876296296296292</v>
      </c>
      <c r="M36">
        <f t="shared" si="1"/>
        <v>11.518137851111112</v>
      </c>
      <c r="N36" s="9"/>
      <c r="O36" s="21">
        <v>3.0975300000000001E-2</v>
      </c>
      <c r="P36" s="21">
        <v>8.7896599999999996</v>
      </c>
      <c r="Q36" s="21">
        <v>-1.47858E-2</v>
      </c>
      <c r="R36" s="21">
        <v>26</v>
      </c>
      <c r="S36" s="21">
        <v>3.08533E-2</v>
      </c>
      <c r="T36">
        <f t="shared" si="2"/>
        <v>18.254074074074072</v>
      </c>
      <c r="U36">
        <f t="shared" si="3"/>
        <v>0.56542542066666668</v>
      </c>
      <c r="X36" s="9"/>
      <c r="Y36" s="21">
        <v>1.4790300000000001</v>
      </c>
      <c r="Z36" s="21">
        <v>13.8874</v>
      </c>
      <c r="AA36" s="21">
        <v>-6.9427500000000001E-3</v>
      </c>
      <c r="AB36" s="21">
        <v>26</v>
      </c>
      <c r="AC36" s="21">
        <v>1.47827</v>
      </c>
      <c r="AD36">
        <f t="shared" si="4"/>
        <v>8.5712962962962962</v>
      </c>
      <c r="AE36">
        <f t="shared" si="5"/>
        <v>12.677204361111112</v>
      </c>
      <c r="AF36" s="9"/>
      <c r="AG36" s="21">
        <v>3.0975300000000001E-2</v>
      </c>
      <c r="AH36" s="21">
        <v>17.323899999999998</v>
      </c>
      <c r="AI36" s="21">
        <v>-1.4721700000000001E-2</v>
      </c>
      <c r="AJ36" s="21">
        <v>26</v>
      </c>
      <c r="AK36" s="21">
        <v>3.0880700000000001E-2</v>
      </c>
      <c r="AL36">
        <f t="shared" si="6"/>
        <v>18.174938271604937</v>
      </c>
      <c r="AM36">
        <f t="shared" si="7"/>
        <v>0.56297416544444445</v>
      </c>
      <c r="AP36" s="9"/>
      <c r="AQ36" s="21">
        <v>1.4790300000000001</v>
      </c>
      <c r="AR36" s="21">
        <v>22.4666</v>
      </c>
      <c r="AS36" s="21">
        <v>-6.7596399999999999E-3</v>
      </c>
      <c r="AT36" s="21">
        <v>26</v>
      </c>
      <c r="AU36" s="21">
        <v>1.47827</v>
      </c>
      <c r="AV36">
        <f t="shared" si="8"/>
        <v>8.345234567901235</v>
      </c>
      <c r="AW36">
        <f t="shared" si="9"/>
        <v>12.342852282962964</v>
      </c>
      <c r="AX36" s="9"/>
      <c r="AY36" s="21">
        <v>3.0975300000000001E-2</v>
      </c>
      <c r="AZ36" s="21">
        <v>25.903099999999998</v>
      </c>
      <c r="BA36" s="21">
        <v>-1.4700299999999999E-2</v>
      </c>
      <c r="BB36" s="21">
        <v>26</v>
      </c>
      <c r="BC36" s="21">
        <v>3.08136E-2</v>
      </c>
      <c r="BD36">
        <f t="shared" si="10"/>
        <v>18.148518518518514</v>
      </c>
      <c r="BE36">
        <f t="shared" si="11"/>
        <v>0.56215580566666656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1.474</v>
      </c>
      <c r="H37" s="21">
        <v>5.3632400000000002</v>
      </c>
      <c r="I37" s="21">
        <v>-6.5643300000000002E-3</v>
      </c>
      <c r="J37" s="21">
        <v>27</v>
      </c>
      <c r="K37" s="21">
        <v>1.47339</v>
      </c>
      <c r="L37">
        <f t="shared" si="0"/>
        <v>8.104111111111111</v>
      </c>
      <c r="M37">
        <f t="shared" si="1"/>
        <v>11.945459777777778</v>
      </c>
      <c r="N37" s="9"/>
      <c r="O37" s="21">
        <v>3.60107E-2</v>
      </c>
      <c r="P37" s="21">
        <v>8.7997300000000003</v>
      </c>
      <c r="Q37" s="21">
        <v>-1.47858E-2</v>
      </c>
      <c r="R37" s="21">
        <v>27</v>
      </c>
      <c r="S37" s="21">
        <v>3.5882600000000001E-2</v>
      </c>
      <c r="T37">
        <f t="shared" si="2"/>
        <v>18.254074074074072</v>
      </c>
      <c r="U37">
        <f t="shared" si="3"/>
        <v>0.65734198525925924</v>
      </c>
      <c r="X37" s="9"/>
      <c r="Y37" s="21">
        <v>1.474</v>
      </c>
      <c r="Z37" s="21">
        <v>13.897399999999999</v>
      </c>
      <c r="AA37" s="21">
        <v>-7.17163E-3</v>
      </c>
      <c r="AB37" s="21">
        <v>27</v>
      </c>
      <c r="AC37" s="21">
        <v>1.47339</v>
      </c>
      <c r="AD37">
        <f t="shared" si="4"/>
        <v>8.8538641975308643</v>
      </c>
      <c r="AE37">
        <f t="shared" si="5"/>
        <v>13.050595827160494</v>
      </c>
      <c r="AF37" s="9"/>
      <c r="AG37" s="21">
        <v>3.60107E-2</v>
      </c>
      <c r="AH37" s="21">
        <v>17.334</v>
      </c>
      <c r="AI37" s="21">
        <v>-1.4721700000000001E-2</v>
      </c>
      <c r="AJ37" s="21">
        <v>27</v>
      </c>
      <c r="AK37" s="21">
        <v>3.5913100000000003E-2</v>
      </c>
      <c r="AL37">
        <f t="shared" si="6"/>
        <v>18.174938271604937</v>
      </c>
      <c r="AM37">
        <f t="shared" si="7"/>
        <v>0.65449224961728392</v>
      </c>
      <c r="AP37" s="9"/>
      <c r="AQ37" s="21">
        <v>1.474</v>
      </c>
      <c r="AR37" s="21">
        <v>22.476700000000001</v>
      </c>
      <c r="AS37" s="21">
        <v>-7.0007300000000001E-3</v>
      </c>
      <c r="AT37" s="21">
        <v>27</v>
      </c>
      <c r="AU37" s="21">
        <v>1.47339</v>
      </c>
      <c r="AV37">
        <f t="shared" si="8"/>
        <v>8.6428765432098746</v>
      </c>
      <c r="AW37">
        <f t="shared" si="9"/>
        <v>12.739600024691356</v>
      </c>
      <c r="AX37" s="9"/>
      <c r="AY37" s="21">
        <v>3.60107E-2</v>
      </c>
      <c r="AZ37" s="21">
        <v>25.9131</v>
      </c>
      <c r="BA37" s="21">
        <v>-1.4688100000000001E-2</v>
      </c>
      <c r="BB37" s="21">
        <v>27</v>
      </c>
      <c r="BC37" s="21">
        <v>3.5909999999999997E-2</v>
      </c>
      <c r="BD37">
        <f t="shared" si="10"/>
        <v>18.133456790123457</v>
      </c>
      <c r="BE37">
        <f t="shared" si="11"/>
        <v>0.65299847243209874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1.46896</v>
      </c>
      <c r="H38" s="21">
        <v>5.37331</v>
      </c>
      <c r="I38" s="21">
        <v>-6.8176299999999999E-3</v>
      </c>
      <c r="J38" s="21">
        <v>28</v>
      </c>
      <c r="K38" s="21">
        <v>1.46759</v>
      </c>
      <c r="L38">
        <f t="shared" si="0"/>
        <v>8.4168271604938258</v>
      </c>
      <c r="M38">
        <f t="shared" si="1"/>
        <v>12.36398242567901</v>
      </c>
      <c r="N38" s="9"/>
      <c r="O38" s="21">
        <v>4.1046100000000002E-2</v>
      </c>
      <c r="P38" s="21">
        <v>8.8097999999999992</v>
      </c>
      <c r="Q38" s="21">
        <v>-1.4776600000000001E-2</v>
      </c>
      <c r="R38" s="21">
        <v>28</v>
      </c>
      <c r="S38" s="21">
        <v>4.0939299999999998E-2</v>
      </c>
      <c r="T38">
        <f t="shared" si="2"/>
        <v>18.242716049382715</v>
      </c>
      <c r="U38">
        <f t="shared" si="3"/>
        <v>0.74879234723456789</v>
      </c>
      <c r="X38" s="9"/>
      <c r="Y38" s="21">
        <v>1.46896</v>
      </c>
      <c r="Z38" s="21">
        <v>13.907500000000001</v>
      </c>
      <c r="AA38" s="21">
        <v>-7.3852500000000003E-3</v>
      </c>
      <c r="AB38" s="21">
        <v>28</v>
      </c>
      <c r="AC38" s="21">
        <v>1.4679</v>
      </c>
      <c r="AD38">
        <f t="shared" si="4"/>
        <v>9.117592592592592</v>
      </c>
      <c r="AE38">
        <f t="shared" si="5"/>
        <v>13.393378814814815</v>
      </c>
      <c r="AF38" s="9"/>
      <c r="AG38" s="21">
        <v>4.1046100000000002E-2</v>
      </c>
      <c r="AH38" s="21">
        <v>17.344000000000001</v>
      </c>
      <c r="AI38" s="21">
        <v>-1.4721700000000001E-2</v>
      </c>
      <c r="AJ38" s="21">
        <v>28</v>
      </c>
      <c r="AK38" s="21">
        <v>4.0948499999999999E-2</v>
      </c>
      <c r="AL38">
        <f t="shared" si="6"/>
        <v>18.174938271604937</v>
      </c>
      <c r="AM38">
        <f t="shared" si="7"/>
        <v>0.74601033379012338</v>
      </c>
      <c r="AP38" s="9"/>
      <c r="AQ38" s="21">
        <v>1.46896</v>
      </c>
      <c r="AR38" s="21">
        <v>22.486699999999999</v>
      </c>
      <c r="AS38" s="21">
        <v>-7.2418200000000004E-3</v>
      </c>
      <c r="AT38" s="21">
        <v>28</v>
      </c>
      <c r="AU38" s="21">
        <v>1.46851</v>
      </c>
      <c r="AV38">
        <f t="shared" si="8"/>
        <v>8.9405185185185179</v>
      </c>
      <c r="AW38">
        <f t="shared" si="9"/>
        <v>13.133264082962963</v>
      </c>
      <c r="AX38" s="9"/>
      <c r="AY38" s="21">
        <v>4.1046100000000002E-2</v>
      </c>
      <c r="AZ38" s="21">
        <v>25.923200000000001</v>
      </c>
      <c r="BA38" s="21">
        <v>-1.4682000000000001E-2</v>
      </c>
      <c r="BB38" s="21">
        <v>28</v>
      </c>
      <c r="BC38" s="21">
        <v>4.0918000000000003E-2</v>
      </c>
      <c r="BD38">
        <f t="shared" si="10"/>
        <v>18.125925925925923</v>
      </c>
      <c r="BE38">
        <f t="shared" si="11"/>
        <v>0.74399856814814802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1.46393</v>
      </c>
      <c r="H39" s="21">
        <v>5.3833799999999998</v>
      </c>
      <c r="I39" s="21">
        <v>-7.0648200000000003E-3</v>
      </c>
      <c r="J39" s="21">
        <v>29</v>
      </c>
      <c r="K39" s="21">
        <v>1.46393</v>
      </c>
      <c r="L39">
        <f t="shared" si="0"/>
        <v>8.7220000000000013</v>
      </c>
      <c r="M39">
        <f t="shared" si="1"/>
        <v>12.768397460000001</v>
      </c>
      <c r="N39" s="9"/>
      <c r="O39" s="21">
        <v>4.6081499999999997E-2</v>
      </c>
      <c r="P39" s="21">
        <v>8.8198699999999999</v>
      </c>
      <c r="Q39" s="21">
        <v>-1.4767499999999999E-2</v>
      </c>
      <c r="R39" s="21">
        <v>29</v>
      </c>
      <c r="S39" s="21">
        <v>4.6038799999999998E-2</v>
      </c>
      <c r="T39">
        <f t="shared" si="2"/>
        <v>18.231481481481481</v>
      </c>
      <c r="U39">
        <f t="shared" si="3"/>
        <v>0.84013401388888886</v>
      </c>
      <c r="X39" s="9"/>
      <c r="Y39" s="21">
        <v>1.46393</v>
      </c>
      <c r="Z39" s="21">
        <v>13.9176</v>
      </c>
      <c r="AA39" s="21">
        <v>-7.6049799999999999E-3</v>
      </c>
      <c r="AB39" s="21">
        <v>29</v>
      </c>
      <c r="AC39" s="21">
        <v>1.46271</v>
      </c>
      <c r="AD39">
        <f t="shared" si="4"/>
        <v>9.3888641975308627</v>
      </c>
      <c r="AE39">
        <f t="shared" si="5"/>
        <v>13.744639964691356</v>
      </c>
      <c r="AF39" s="9"/>
      <c r="AG39" s="21">
        <v>4.6081499999999997E-2</v>
      </c>
      <c r="AH39" s="21">
        <v>17.354099999999999</v>
      </c>
      <c r="AI39" s="21">
        <v>-1.47186E-2</v>
      </c>
      <c r="AJ39" s="21">
        <v>29</v>
      </c>
      <c r="AK39" s="21">
        <v>4.5968599999999998E-2</v>
      </c>
      <c r="AL39">
        <f t="shared" si="6"/>
        <v>18.171111111111109</v>
      </c>
      <c r="AM39">
        <f t="shared" si="7"/>
        <v>0.83735205666666657</v>
      </c>
      <c r="AP39" s="9"/>
      <c r="AQ39" s="21">
        <v>1.46393</v>
      </c>
      <c r="AR39" s="21">
        <v>22.4968</v>
      </c>
      <c r="AS39" s="21">
        <v>-7.46155E-3</v>
      </c>
      <c r="AT39" s="21">
        <v>29</v>
      </c>
      <c r="AU39" s="21">
        <v>1.4630099999999999</v>
      </c>
      <c r="AV39">
        <f t="shared" si="8"/>
        <v>9.2117901234567885</v>
      </c>
      <c r="AW39">
        <f t="shared" si="9"/>
        <v>13.485415915432096</v>
      </c>
      <c r="AX39" s="9"/>
      <c r="AY39" s="21">
        <v>4.6081499999999997E-2</v>
      </c>
      <c r="AZ39" s="21">
        <v>25.933299999999999</v>
      </c>
      <c r="BA39" s="21">
        <v>-1.46759E-2</v>
      </c>
      <c r="BB39" s="21">
        <v>29</v>
      </c>
      <c r="BC39" s="21">
        <v>4.5980800000000002E-2</v>
      </c>
      <c r="BD39">
        <f t="shared" si="10"/>
        <v>18.118395061728396</v>
      </c>
      <c r="BE39">
        <f t="shared" si="11"/>
        <v>0.83492282203703705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1.45889</v>
      </c>
      <c r="H40" s="21">
        <v>5.3934499999999996</v>
      </c>
      <c r="I40" s="21">
        <v>-7.3059099999999997E-3</v>
      </c>
      <c r="J40" s="21">
        <v>30</v>
      </c>
      <c r="K40" s="21">
        <v>1.4581299999999999</v>
      </c>
      <c r="L40">
        <f t="shared" si="0"/>
        <v>9.019641975308641</v>
      </c>
      <c r="M40">
        <f t="shared" si="1"/>
        <v>13.158665481358023</v>
      </c>
      <c r="N40" s="9"/>
      <c r="O40" s="21">
        <v>5.11169E-2</v>
      </c>
      <c r="P40" s="21">
        <v>8.8299400000000006</v>
      </c>
      <c r="Q40" s="21">
        <v>-1.47552E-2</v>
      </c>
      <c r="R40" s="21">
        <v>30</v>
      </c>
      <c r="S40" s="21">
        <v>5.1043699999999997E-2</v>
      </c>
      <c r="T40">
        <f t="shared" si="2"/>
        <v>18.216296296296292</v>
      </c>
      <c r="U40">
        <f t="shared" si="3"/>
        <v>0.93116059614814795</v>
      </c>
      <c r="X40" s="9"/>
      <c r="Y40" s="21">
        <v>1.45889</v>
      </c>
      <c r="Z40" s="21">
        <v>13.9277</v>
      </c>
      <c r="AA40" s="21">
        <v>-7.8155499999999992E-3</v>
      </c>
      <c r="AB40" s="21">
        <v>30</v>
      </c>
      <c r="AC40" s="21">
        <v>1.4578199999999999</v>
      </c>
      <c r="AD40">
        <f t="shared" si="4"/>
        <v>9.6488271604938252</v>
      </c>
      <c r="AE40">
        <f t="shared" si="5"/>
        <v>14.076577456172837</v>
      </c>
      <c r="AF40" s="9"/>
      <c r="AG40" s="21">
        <v>5.11169E-2</v>
      </c>
      <c r="AH40" s="21">
        <v>17.3642</v>
      </c>
      <c r="AI40" s="21">
        <v>-1.47125E-2</v>
      </c>
      <c r="AJ40" s="21">
        <v>30</v>
      </c>
      <c r="AK40" s="21">
        <v>5.05981E-2</v>
      </c>
      <c r="AL40">
        <f t="shared" si="6"/>
        <v>18.163580246913579</v>
      </c>
      <c r="AM40">
        <f t="shared" si="7"/>
        <v>0.92846591512345678</v>
      </c>
      <c r="AP40" s="9"/>
      <c r="AQ40" s="21">
        <v>1.45889</v>
      </c>
      <c r="AR40" s="21">
        <v>22.506900000000002</v>
      </c>
      <c r="AS40" s="21">
        <v>-7.6843299999999996E-3</v>
      </c>
      <c r="AT40" s="21">
        <v>30</v>
      </c>
      <c r="AU40" s="21">
        <v>1.45844</v>
      </c>
      <c r="AV40">
        <f t="shared" si="8"/>
        <v>9.4868271604938261</v>
      </c>
      <c r="AW40">
        <f t="shared" si="9"/>
        <v>13.840237276172838</v>
      </c>
      <c r="AX40" s="9"/>
      <c r="AY40" s="21">
        <v>5.11169E-2</v>
      </c>
      <c r="AZ40" s="21">
        <v>25.9434</v>
      </c>
      <c r="BA40" s="21">
        <v>-1.46698E-2</v>
      </c>
      <c r="BB40" s="21">
        <v>30</v>
      </c>
      <c r="BC40" s="21">
        <v>5.1052899999999998E-2</v>
      </c>
      <c r="BD40">
        <f t="shared" si="10"/>
        <v>18.110864197530866</v>
      </c>
      <c r="BE40">
        <f t="shared" si="11"/>
        <v>0.92577123409876549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1.4538599999999999</v>
      </c>
      <c r="H41" s="21">
        <v>5.4035200000000003</v>
      </c>
      <c r="I41" s="21">
        <v>-7.5256300000000002E-3</v>
      </c>
      <c r="J41" s="21">
        <v>31</v>
      </c>
      <c r="K41" s="21">
        <v>1.4535499999999999</v>
      </c>
      <c r="L41">
        <f t="shared" si="0"/>
        <v>9.290901234567901</v>
      </c>
      <c r="M41">
        <f t="shared" si="1"/>
        <v>13.507669668888887</v>
      </c>
      <c r="N41" s="9"/>
      <c r="O41" s="21">
        <v>5.6152300000000002E-2</v>
      </c>
      <c r="P41" s="21">
        <v>8.8400099999999995</v>
      </c>
      <c r="Q41" s="21">
        <v>-1.4742999999999999E-2</v>
      </c>
      <c r="R41" s="21">
        <v>31</v>
      </c>
      <c r="S41" s="21">
        <v>5.5572499999999997E-2</v>
      </c>
      <c r="T41">
        <f t="shared" si="2"/>
        <v>18.201234567901235</v>
      </c>
      <c r="U41">
        <f t="shared" si="3"/>
        <v>1.0220411838271606</v>
      </c>
      <c r="X41" s="9"/>
      <c r="Y41" s="21">
        <v>1.4538599999999999</v>
      </c>
      <c r="Z41" s="21">
        <v>13.9377</v>
      </c>
      <c r="AA41" s="21">
        <v>-8.0078100000000006E-3</v>
      </c>
      <c r="AB41" s="21">
        <v>31</v>
      </c>
      <c r="AC41" s="21">
        <v>1.4532499999999999</v>
      </c>
      <c r="AD41">
        <f t="shared" si="4"/>
        <v>9.8861851851851856</v>
      </c>
      <c r="AE41">
        <f t="shared" si="5"/>
        <v>14.373129193333334</v>
      </c>
      <c r="AF41" s="9"/>
      <c r="AG41" s="21">
        <v>5.6152300000000002E-2</v>
      </c>
      <c r="AH41" s="21">
        <v>17.374300000000002</v>
      </c>
      <c r="AI41" s="21">
        <v>-1.47064E-2</v>
      </c>
      <c r="AJ41" s="21">
        <v>31</v>
      </c>
      <c r="AK41" s="21">
        <v>5.5603E-2</v>
      </c>
      <c r="AL41">
        <f t="shared" si="6"/>
        <v>18.156049382716049</v>
      </c>
      <c r="AM41">
        <f t="shared" si="7"/>
        <v>1.0195039317530865</v>
      </c>
      <c r="AP41" s="9"/>
      <c r="AQ41" s="21">
        <v>1.4538599999999999</v>
      </c>
      <c r="AR41" s="21">
        <v>22.5169</v>
      </c>
      <c r="AS41" s="21">
        <v>-7.8826899999999995E-3</v>
      </c>
      <c r="AT41" s="21">
        <v>31</v>
      </c>
      <c r="AU41" s="21">
        <v>1.4535499999999999</v>
      </c>
      <c r="AV41">
        <f t="shared" si="8"/>
        <v>9.7317160493827153</v>
      </c>
      <c r="AW41">
        <f t="shared" si="9"/>
        <v>14.148552695555553</v>
      </c>
      <c r="AX41" s="9"/>
      <c r="AY41" s="21">
        <v>5.6152300000000002E-2</v>
      </c>
      <c r="AZ41" s="21">
        <v>25.953399999999998</v>
      </c>
      <c r="BA41" s="21">
        <v>-1.4654500000000001E-2</v>
      </c>
      <c r="BB41" s="21">
        <v>31</v>
      </c>
      <c r="BC41" s="21">
        <v>5.5633500000000002E-2</v>
      </c>
      <c r="BD41">
        <f t="shared" si="10"/>
        <v>18.091975308641977</v>
      </c>
      <c r="BE41">
        <f t="shared" si="11"/>
        <v>1.0159060251234568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1.44882</v>
      </c>
      <c r="H42" s="21">
        <v>5.4135900000000001</v>
      </c>
      <c r="I42" s="21">
        <v>-7.7301000000000002E-3</v>
      </c>
      <c r="J42" s="21">
        <v>32</v>
      </c>
      <c r="K42" s="21">
        <v>1.4480599999999999</v>
      </c>
      <c r="L42">
        <f t="shared" si="0"/>
        <v>9.543333333333333</v>
      </c>
      <c r="M42">
        <f t="shared" si="1"/>
        <v>13.826572199999999</v>
      </c>
      <c r="N42" s="9"/>
      <c r="O42" s="21">
        <v>6.1187699999999998E-2</v>
      </c>
      <c r="P42" s="21">
        <v>8.8500899999999998</v>
      </c>
      <c r="Q42" s="21">
        <v>-1.474E-2</v>
      </c>
      <c r="R42" s="21">
        <v>32</v>
      </c>
      <c r="S42" s="21">
        <v>6.0668899999999998E-2</v>
      </c>
      <c r="T42">
        <f t="shared" si="2"/>
        <v>18.197530864197528</v>
      </c>
      <c r="U42">
        <f t="shared" si="3"/>
        <v>1.113465059259259</v>
      </c>
      <c r="X42" s="9"/>
      <c r="Y42" s="21">
        <v>1.44882</v>
      </c>
      <c r="Z42" s="21">
        <v>13.947800000000001</v>
      </c>
      <c r="AA42" s="21">
        <v>-8.2000700000000003E-3</v>
      </c>
      <c r="AB42" s="21">
        <v>32</v>
      </c>
      <c r="AC42" s="21">
        <v>1.4483600000000001</v>
      </c>
      <c r="AD42">
        <f t="shared" si="4"/>
        <v>10.123543209876544</v>
      </c>
      <c r="AE42">
        <f t="shared" si="5"/>
        <v>14.667191873333335</v>
      </c>
      <c r="AF42" s="9"/>
      <c r="AG42" s="21">
        <v>6.1187699999999998E-2</v>
      </c>
      <c r="AH42" s="21">
        <v>17.3843</v>
      </c>
      <c r="AI42" s="21">
        <v>-1.4688100000000001E-2</v>
      </c>
      <c r="AJ42" s="21">
        <v>32</v>
      </c>
      <c r="AK42" s="21">
        <v>6.0546900000000001E-2</v>
      </c>
      <c r="AL42">
        <f t="shared" si="6"/>
        <v>18.133456790123457</v>
      </c>
      <c r="AM42">
        <f t="shared" si="7"/>
        <v>1.109544514037037</v>
      </c>
      <c r="AP42" s="9"/>
      <c r="AQ42" s="21">
        <v>1.44882</v>
      </c>
      <c r="AR42" s="21">
        <v>22.527000000000001</v>
      </c>
      <c r="AS42" s="21">
        <v>-8.0841100000000003E-3</v>
      </c>
      <c r="AT42" s="21">
        <v>32</v>
      </c>
      <c r="AU42" s="21">
        <v>1.4483600000000001</v>
      </c>
      <c r="AV42">
        <f t="shared" si="8"/>
        <v>9.9803827160493821</v>
      </c>
      <c r="AW42">
        <f t="shared" si="9"/>
        <v>14.459778086666665</v>
      </c>
      <c r="AX42" s="9"/>
      <c r="AY42" s="21">
        <v>6.1187699999999998E-2</v>
      </c>
      <c r="AZ42" s="21">
        <v>25.9635</v>
      </c>
      <c r="BA42" s="21">
        <v>-1.46423E-2</v>
      </c>
      <c r="BB42" s="21">
        <v>32</v>
      </c>
      <c r="BC42" s="21">
        <v>6.0607899999999999E-2</v>
      </c>
      <c r="BD42">
        <f t="shared" si="10"/>
        <v>18.076913580246913</v>
      </c>
      <c r="BE42">
        <f t="shared" si="11"/>
        <v>1.1060847650740739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1.4437899999999999</v>
      </c>
      <c r="H43" s="21">
        <v>5.4236700000000004</v>
      </c>
      <c r="I43" s="21">
        <v>-7.92847E-3</v>
      </c>
      <c r="J43" s="21">
        <v>33</v>
      </c>
      <c r="K43" s="21">
        <v>1.4434800000000001</v>
      </c>
      <c r="L43">
        <f t="shared" si="0"/>
        <v>9.7882345679012346</v>
      </c>
      <c r="M43">
        <f t="shared" si="1"/>
        <v>14.132155186790122</v>
      </c>
      <c r="N43" s="9"/>
      <c r="O43" s="21">
        <v>6.6223099999999993E-2</v>
      </c>
      <c r="P43" s="21">
        <v>8.8601600000000005</v>
      </c>
      <c r="Q43" s="21">
        <v>-1.4736900000000001E-2</v>
      </c>
      <c r="R43" s="21">
        <v>33</v>
      </c>
      <c r="S43" s="21">
        <v>6.5582299999999996E-2</v>
      </c>
      <c r="T43">
        <f t="shared" si="2"/>
        <v>18.193703703703704</v>
      </c>
      <c r="U43">
        <f t="shared" si="3"/>
        <v>1.2048434597407407</v>
      </c>
      <c r="X43" s="9"/>
      <c r="Y43" s="21">
        <v>1.4437899999999999</v>
      </c>
      <c r="Z43" s="21">
        <v>13.9579</v>
      </c>
      <c r="AA43" s="21">
        <v>-8.3801299999999995E-3</v>
      </c>
      <c r="AB43" s="21">
        <v>33</v>
      </c>
      <c r="AC43" s="21">
        <v>1.4431799999999999</v>
      </c>
      <c r="AD43">
        <f t="shared" si="4"/>
        <v>10.345839506172839</v>
      </c>
      <c r="AE43">
        <f t="shared" si="5"/>
        <v>14.937219620617281</v>
      </c>
      <c r="AF43" s="9"/>
      <c r="AG43" s="21">
        <v>6.6223099999999993E-2</v>
      </c>
      <c r="AH43" s="21">
        <v>17.394400000000001</v>
      </c>
      <c r="AI43" s="21">
        <v>-1.46667E-2</v>
      </c>
      <c r="AJ43" s="21">
        <v>33</v>
      </c>
      <c r="AK43" s="21">
        <v>6.5704299999999993E-2</v>
      </c>
      <c r="AL43">
        <f t="shared" si="6"/>
        <v>18.107037037037035</v>
      </c>
      <c r="AM43">
        <f t="shared" si="7"/>
        <v>1.1991041244074072</v>
      </c>
      <c r="AP43" s="9"/>
      <c r="AQ43" s="21">
        <v>1.4437899999999999</v>
      </c>
      <c r="AR43" s="21">
        <v>22.537099999999999</v>
      </c>
      <c r="AS43" s="21">
        <v>-8.2672100000000005E-3</v>
      </c>
      <c r="AT43" s="21">
        <v>33</v>
      </c>
      <c r="AU43" s="21">
        <v>1.4428700000000001</v>
      </c>
      <c r="AV43">
        <f t="shared" si="8"/>
        <v>10.206432098765431</v>
      </c>
      <c r="AW43">
        <f t="shared" si="9"/>
        <v>14.735944599876541</v>
      </c>
      <c r="AX43" s="9"/>
      <c r="AY43" s="21">
        <v>6.6223099999999993E-2</v>
      </c>
      <c r="AZ43" s="21">
        <v>25.973600000000001</v>
      </c>
      <c r="BA43" s="21">
        <v>-1.46362E-2</v>
      </c>
      <c r="BB43" s="21">
        <v>33</v>
      </c>
      <c r="BC43" s="21">
        <v>6.5612799999999999E-2</v>
      </c>
      <c r="BD43">
        <f t="shared" si="10"/>
        <v>18.069382716049383</v>
      </c>
      <c r="BE43">
        <f t="shared" si="11"/>
        <v>1.1966105385432098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1.43875</v>
      </c>
      <c r="H44" s="21">
        <v>5.4337400000000002</v>
      </c>
      <c r="I44" s="21">
        <v>-8.1268299999999998E-3</v>
      </c>
      <c r="J44" s="21">
        <v>34</v>
      </c>
      <c r="K44" s="21">
        <v>1.4376800000000001</v>
      </c>
      <c r="L44">
        <f t="shared" si="0"/>
        <v>10.033123456790122</v>
      </c>
      <c r="M44">
        <f t="shared" si="1"/>
        <v>14.435156373456788</v>
      </c>
      <c r="N44" s="9"/>
      <c r="O44" s="21">
        <v>7.1258500000000002E-2</v>
      </c>
      <c r="P44" s="21">
        <v>8.8702299999999994</v>
      </c>
      <c r="Q44" s="21">
        <v>-1.4736900000000001E-2</v>
      </c>
      <c r="R44" s="21">
        <v>34</v>
      </c>
      <c r="S44" s="21">
        <v>7.0770299999999994E-2</v>
      </c>
      <c r="T44">
        <f t="shared" si="2"/>
        <v>18.193703703703704</v>
      </c>
      <c r="U44">
        <f t="shared" si="3"/>
        <v>1.2964560353703705</v>
      </c>
      <c r="X44" s="9"/>
      <c r="Y44" s="21">
        <v>1.43875</v>
      </c>
      <c r="Z44" s="21">
        <v>13.9679</v>
      </c>
      <c r="AA44" s="21">
        <v>-8.5479700000000002E-3</v>
      </c>
      <c r="AB44" s="21">
        <v>34</v>
      </c>
      <c r="AC44" s="21">
        <v>1.4376800000000001</v>
      </c>
      <c r="AD44">
        <f t="shared" si="4"/>
        <v>10.553049382716049</v>
      </c>
      <c r="AE44">
        <f t="shared" si="5"/>
        <v>15.183199799382715</v>
      </c>
      <c r="AF44" s="9"/>
      <c r="AG44" s="21">
        <v>7.1258500000000002E-2</v>
      </c>
      <c r="AH44" s="21">
        <v>17.404499999999999</v>
      </c>
      <c r="AI44" s="21">
        <v>-1.46576E-2</v>
      </c>
      <c r="AJ44" s="21">
        <v>34</v>
      </c>
      <c r="AK44" s="21">
        <v>7.0739700000000003E-2</v>
      </c>
      <c r="AL44">
        <f t="shared" si="6"/>
        <v>18.095802469135801</v>
      </c>
      <c r="AM44">
        <f t="shared" si="7"/>
        <v>1.2894797402469136</v>
      </c>
      <c r="AP44" s="9"/>
      <c r="AQ44" s="21">
        <v>1.43875</v>
      </c>
      <c r="AR44" s="21">
        <v>22.5472</v>
      </c>
      <c r="AS44" s="21">
        <v>-8.4381100000000004E-3</v>
      </c>
      <c r="AT44" s="21">
        <v>34</v>
      </c>
      <c r="AU44" s="21">
        <v>1.4376800000000001</v>
      </c>
      <c r="AV44">
        <f t="shared" si="8"/>
        <v>10.417419753086421</v>
      </c>
      <c r="AW44">
        <f t="shared" si="9"/>
        <v>14.988062669753088</v>
      </c>
      <c r="AX44" s="9"/>
      <c r="AY44" s="21">
        <v>7.1258500000000002E-2</v>
      </c>
      <c r="AZ44" s="21">
        <v>25.983599999999999</v>
      </c>
      <c r="BA44" s="21">
        <v>-1.4624E-2</v>
      </c>
      <c r="BB44" s="21">
        <v>34</v>
      </c>
      <c r="BC44" s="21">
        <v>7.0770299999999994E-2</v>
      </c>
      <c r="BD44">
        <f t="shared" si="10"/>
        <v>18.054320987654318</v>
      </c>
      <c r="BE44">
        <f t="shared" si="11"/>
        <v>1.2865238320987653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1.4337200000000001</v>
      </c>
      <c r="H45" s="21">
        <v>5.44381</v>
      </c>
      <c r="I45" s="21">
        <v>-8.3160400000000002E-3</v>
      </c>
      <c r="J45" s="21">
        <v>35</v>
      </c>
      <c r="K45" s="21">
        <v>1.4321900000000001</v>
      </c>
      <c r="L45">
        <f t="shared" si="0"/>
        <v>10.266716049382715</v>
      </c>
      <c r="M45">
        <f t="shared" si="1"/>
        <v>14.719596134320987</v>
      </c>
      <c r="N45" s="9"/>
      <c r="O45" s="21">
        <v>7.6293899999999998E-2</v>
      </c>
      <c r="P45" s="21">
        <v>8.8803000000000001</v>
      </c>
      <c r="Q45" s="21">
        <v>-1.47308E-2</v>
      </c>
      <c r="R45" s="21">
        <v>35</v>
      </c>
      <c r="S45" s="21">
        <v>7.5744599999999995E-2</v>
      </c>
      <c r="T45">
        <f t="shared" si="2"/>
        <v>18.186172839506174</v>
      </c>
      <c r="U45">
        <f t="shared" si="3"/>
        <v>1.3874940520000001</v>
      </c>
      <c r="X45" s="9"/>
      <c r="Y45" s="21">
        <v>1.4337200000000001</v>
      </c>
      <c r="Z45" s="21">
        <v>13.978</v>
      </c>
      <c r="AA45" s="21">
        <v>-8.7036100000000005E-3</v>
      </c>
      <c r="AB45" s="21">
        <v>35</v>
      </c>
      <c r="AC45" s="21">
        <v>1.4328000000000001</v>
      </c>
      <c r="AD45">
        <f t="shared" si="4"/>
        <v>10.745197530864198</v>
      </c>
      <c r="AE45">
        <f t="shared" si="5"/>
        <v>15.40560460395062</v>
      </c>
      <c r="AF45" s="9"/>
      <c r="AG45" s="21">
        <v>7.6293899999999998E-2</v>
      </c>
      <c r="AH45" s="21">
        <v>17.4145</v>
      </c>
      <c r="AI45" s="21">
        <v>-1.46515E-2</v>
      </c>
      <c r="AJ45" s="21">
        <v>35</v>
      </c>
      <c r="AK45" s="21">
        <v>7.5744599999999995E-2</v>
      </c>
      <c r="AL45">
        <f t="shared" si="6"/>
        <v>18.088271604938271</v>
      </c>
      <c r="AM45">
        <f t="shared" si="7"/>
        <v>1.3800247849999998</v>
      </c>
      <c r="AP45" s="9"/>
      <c r="AQ45" s="21">
        <v>1.4337200000000001</v>
      </c>
      <c r="AR45" s="21">
        <v>22.557200000000002</v>
      </c>
      <c r="AS45" s="21">
        <v>-8.5967999999999999E-3</v>
      </c>
      <c r="AT45" s="21">
        <v>35</v>
      </c>
      <c r="AU45" s="21">
        <v>1.4331100000000001</v>
      </c>
      <c r="AV45">
        <f t="shared" si="8"/>
        <v>10.613333333333332</v>
      </c>
      <c r="AW45">
        <f t="shared" si="9"/>
        <v>15.216548266666665</v>
      </c>
      <c r="AX45" s="9"/>
      <c r="AY45" s="21">
        <v>7.6293899999999998E-2</v>
      </c>
      <c r="AZ45" s="21">
        <v>25.9937</v>
      </c>
      <c r="BA45" s="21">
        <v>-1.46088E-2</v>
      </c>
      <c r="BB45" s="21">
        <v>35</v>
      </c>
      <c r="BC45" s="21">
        <v>7.5683600000000004E-2</v>
      </c>
      <c r="BD45">
        <f t="shared" si="10"/>
        <v>18.035555555555554</v>
      </c>
      <c r="BE45">
        <f t="shared" si="11"/>
        <v>1.3760028719999999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1.4286799999999999</v>
      </c>
      <c r="H46" s="21">
        <v>5.4538799999999998</v>
      </c>
      <c r="I46" s="21">
        <v>-8.4930400000000003E-3</v>
      </c>
      <c r="J46" s="21">
        <v>36</v>
      </c>
      <c r="K46" s="21">
        <v>1.42761</v>
      </c>
      <c r="L46">
        <f t="shared" si="0"/>
        <v>10.485234567901234</v>
      </c>
      <c r="M46">
        <f t="shared" si="1"/>
        <v>14.980044922469133</v>
      </c>
      <c r="N46" s="9"/>
      <c r="O46" s="21">
        <v>8.1329299999999993E-2</v>
      </c>
      <c r="P46" s="21">
        <v>8.8903700000000008</v>
      </c>
      <c r="Q46" s="21">
        <v>-1.47186E-2</v>
      </c>
      <c r="R46" s="21">
        <v>36</v>
      </c>
      <c r="S46" s="21">
        <v>8.0932599999999993E-2</v>
      </c>
      <c r="T46">
        <f t="shared" si="2"/>
        <v>18.171111111111109</v>
      </c>
      <c r="U46">
        <f t="shared" si="3"/>
        <v>1.4778437468888885</v>
      </c>
      <c r="X46" s="9"/>
      <c r="Y46" s="21">
        <v>1.4286799999999999</v>
      </c>
      <c r="Z46" s="21">
        <v>13.988099999999999</v>
      </c>
      <c r="AA46" s="21">
        <v>-8.8500999999999996E-3</v>
      </c>
      <c r="AB46" s="21">
        <v>36</v>
      </c>
      <c r="AC46" s="21">
        <v>1.42761</v>
      </c>
      <c r="AD46">
        <f t="shared" si="4"/>
        <v>10.926049382716048</v>
      </c>
      <c r="AE46">
        <f t="shared" si="5"/>
        <v>15.609828232098764</v>
      </c>
      <c r="AF46" s="9"/>
      <c r="AG46" s="21">
        <v>8.1329299999999993E-2</v>
      </c>
      <c r="AH46" s="21">
        <v>17.424600000000002</v>
      </c>
      <c r="AI46" s="21">
        <v>-1.4645399999999999E-2</v>
      </c>
      <c r="AJ46" s="21">
        <v>36</v>
      </c>
      <c r="AK46" s="21">
        <v>8.0871600000000002E-2</v>
      </c>
      <c r="AL46">
        <f t="shared" si="6"/>
        <v>18.080740740740737</v>
      </c>
      <c r="AM46">
        <f t="shared" si="7"/>
        <v>1.4704939879259256</v>
      </c>
      <c r="AP46" s="9"/>
      <c r="AQ46" s="21">
        <v>1.4286799999999999</v>
      </c>
      <c r="AR46" s="21">
        <v>22.567299999999999</v>
      </c>
      <c r="AS46" s="21">
        <v>-8.7493899999999993E-3</v>
      </c>
      <c r="AT46" s="21">
        <v>36</v>
      </c>
      <c r="AU46" s="21">
        <v>1.42761</v>
      </c>
      <c r="AV46">
        <f t="shared" si="8"/>
        <v>10.801716049382714</v>
      </c>
      <c r="AW46">
        <f t="shared" si="9"/>
        <v>15.432195685432095</v>
      </c>
      <c r="AX46" s="9"/>
      <c r="AY46" s="21">
        <v>8.1329299999999993E-2</v>
      </c>
      <c r="AZ46" s="21">
        <v>26.003799999999998</v>
      </c>
      <c r="BA46" s="21">
        <v>-1.4590499999999999E-2</v>
      </c>
      <c r="BB46" s="21">
        <v>36</v>
      </c>
      <c r="BC46" s="21">
        <v>8.0841099999999999E-2</v>
      </c>
      <c r="BD46">
        <f t="shared" si="10"/>
        <v>18.012962962962959</v>
      </c>
      <c r="BE46">
        <f t="shared" si="11"/>
        <v>1.4649816687037032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1.4236500000000001</v>
      </c>
      <c r="H47" s="21">
        <v>5.4639499999999996</v>
      </c>
      <c r="I47" s="21">
        <v>-8.6669899999999994E-3</v>
      </c>
      <c r="J47" s="21">
        <v>37</v>
      </c>
      <c r="K47" s="21">
        <v>1.42303</v>
      </c>
      <c r="L47">
        <f t="shared" si="0"/>
        <v>10.699987654320985</v>
      </c>
      <c r="M47">
        <f t="shared" si="1"/>
        <v>15.233037424074071</v>
      </c>
      <c r="N47" s="9"/>
      <c r="O47" s="21">
        <v>8.6364700000000003E-2</v>
      </c>
      <c r="P47" s="21">
        <v>8.9004399999999997</v>
      </c>
      <c r="Q47" s="21">
        <v>-1.47095E-2</v>
      </c>
      <c r="R47" s="21">
        <v>37</v>
      </c>
      <c r="S47" s="21">
        <v>8.5784899999999997E-2</v>
      </c>
      <c r="T47">
        <f t="shared" si="2"/>
        <v>18.159876543209876</v>
      </c>
      <c r="U47">
        <f t="shared" si="3"/>
        <v>1.5683722896913581</v>
      </c>
      <c r="X47" s="9"/>
      <c r="Y47" s="21">
        <v>1.4236500000000001</v>
      </c>
      <c r="Z47" s="21">
        <v>13.998200000000001</v>
      </c>
      <c r="AA47" s="21">
        <v>-8.9965800000000005E-3</v>
      </c>
      <c r="AB47" s="21">
        <v>37</v>
      </c>
      <c r="AC47" s="21">
        <v>1.4227300000000001</v>
      </c>
      <c r="AD47">
        <f t="shared" si="4"/>
        <v>11.106888888888889</v>
      </c>
      <c r="AE47">
        <f t="shared" si="5"/>
        <v>15.812322366666669</v>
      </c>
      <c r="AF47" s="9"/>
      <c r="AG47" s="21">
        <v>8.6364700000000003E-2</v>
      </c>
      <c r="AH47" s="21">
        <v>17.434699999999999</v>
      </c>
      <c r="AI47" s="21">
        <v>-1.46362E-2</v>
      </c>
      <c r="AJ47" s="21">
        <v>37</v>
      </c>
      <c r="AK47" s="21">
        <v>8.5754399999999995E-2</v>
      </c>
      <c r="AL47">
        <f t="shared" si="6"/>
        <v>18.069382716049383</v>
      </c>
      <c r="AM47">
        <f t="shared" si="7"/>
        <v>1.5605568174567901</v>
      </c>
      <c r="AP47" s="9"/>
      <c r="AQ47" s="21">
        <v>1.4236500000000001</v>
      </c>
      <c r="AR47" s="21">
        <v>22.577400000000001</v>
      </c>
      <c r="AS47" s="21">
        <v>-8.8958700000000002E-3</v>
      </c>
      <c r="AT47" s="21">
        <v>37</v>
      </c>
      <c r="AU47" s="21">
        <v>1.42303</v>
      </c>
      <c r="AV47">
        <f t="shared" si="8"/>
        <v>10.982555555555555</v>
      </c>
      <c r="AW47">
        <f t="shared" si="9"/>
        <v>15.635315216666667</v>
      </c>
      <c r="AX47" s="9"/>
      <c r="AY47" s="21">
        <v>8.6364700000000003E-2</v>
      </c>
      <c r="AZ47" s="21">
        <v>26.0139</v>
      </c>
      <c r="BA47" s="21">
        <v>-1.45874E-2</v>
      </c>
      <c r="BB47" s="21">
        <v>37</v>
      </c>
      <c r="BC47" s="21">
        <v>8.5845900000000003E-2</v>
      </c>
      <c r="BD47">
        <f t="shared" si="10"/>
        <v>18.009135802469135</v>
      </c>
      <c r="BE47">
        <f t="shared" si="11"/>
        <v>1.5553536108395061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1.4186099999999999</v>
      </c>
      <c r="H48" s="21">
        <v>5.4740200000000003</v>
      </c>
      <c r="I48" s="21">
        <v>-8.8317900000000008E-3</v>
      </c>
      <c r="J48" s="21">
        <v>38</v>
      </c>
      <c r="K48" s="21">
        <v>1.4178500000000001</v>
      </c>
      <c r="L48">
        <f t="shared" si="0"/>
        <v>10.903444444444444</v>
      </c>
      <c r="M48">
        <f t="shared" si="1"/>
        <v>15.467735323333333</v>
      </c>
      <c r="N48" s="9"/>
      <c r="O48" s="21">
        <v>9.1400099999999998E-2</v>
      </c>
      <c r="P48" s="21">
        <v>8.9105100000000004</v>
      </c>
      <c r="Q48" s="21">
        <v>-1.46973E-2</v>
      </c>
      <c r="R48" s="21">
        <v>38</v>
      </c>
      <c r="S48" s="21">
        <v>9.0850799999999995E-2</v>
      </c>
      <c r="T48">
        <f t="shared" si="2"/>
        <v>18.144814814814815</v>
      </c>
      <c r="U48">
        <f t="shared" si="3"/>
        <v>1.6584378885555555</v>
      </c>
      <c r="X48" s="9"/>
      <c r="Y48" s="21">
        <v>1.4186099999999999</v>
      </c>
      <c r="Z48" s="21">
        <v>14.0082</v>
      </c>
      <c r="AA48" s="21">
        <v>-9.1369599999999995E-3</v>
      </c>
      <c r="AB48" s="21">
        <v>38</v>
      </c>
      <c r="AC48" s="21">
        <v>1.4178500000000001</v>
      </c>
      <c r="AD48">
        <f t="shared" si="4"/>
        <v>11.280197530864196</v>
      </c>
      <c r="AE48">
        <f t="shared" si="5"/>
        <v>16.002201019259257</v>
      </c>
      <c r="AF48" s="9"/>
      <c r="AG48" s="21">
        <v>9.1400099999999998E-2</v>
      </c>
      <c r="AH48" s="21">
        <v>17.444800000000001</v>
      </c>
      <c r="AI48" s="21">
        <v>-1.46301E-2</v>
      </c>
      <c r="AJ48" s="21">
        <v>38</v>
      </c>
      <c r="AK48" s="21">
        <v>9.0911900000000004E-2</v>
      </c>
      <c r="AL48">
        <f t="shared" si="6"/>
        <v>18.061851851851848</v>
      </c>
      <c r="AM48">
        <f t="shared" si="7"/>
        <v>1.650855065444444</v>
      </c>
      <c r="AP48" s="9"/>
      <c r="AQ48" s="21">
        <v>1.4186099999999999</v>
      </c>
      <c r="AR48" s="21">
        <v>22.587399999999999</v>
      </c>
      <c r="AS48" s="21">
        <v>-9.0270999999999997E-3</v>
      </c>
      <c r="AT48" s="21">
        <v>38</v>
      </c>
      <c r="AU48" s="21">
        <v>1.4178500000000001</v>
      </c>
      <c r="AV48">
        <f t="shared" si="8"/>
        <v>11.144567901234566</v>
      </c>
      <c r="AW48">
        <f t="shared" si="9"/>
        <v>15.809795470370368</v>
      </c>
      <c r="AX48" s="9"/>
      <c r="AY48" s="21">
        <v>9.1400099999999998E-2</v>
      </c>
      <c r="AZ48" s="21">
        <v>26.023900000000001</v>
      </c>
      <c r="BA48" s="21">
        <v>-1.45874E-2</v>
      </c>
      <c r="BB48" s="21">
        <v>38</v>
      </c>
      <c r="BC48" s="21">
        <v>9.0881299999999998E-2</v>
      </c>
      <c r="BD48">
        <f t="shared" si="10"/>
        <v>18.009135802469135</v>
      </c>
      <c r="BE48">
        <f t="shared" si="11"/>
        <v>1.6460368132592591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1.41357</v>
      </c>
      <c r="H49" s="21">
        <v>5.4840900000000001</v>
      </c>
      <c r="I49" s="21">
        <v>-8.9752200000000008E-3</v>
      </c>
      <c r="J49" s="21">
        <v>39</v>
      </c>
      <c r="K49" s="21">
        <v>1.41296</v>
      </c>
      <c r="L49">
        <f t="shared" si="0"/>
        <v>11.080518518518518</v>
      </c>
      <c r="M49">
        <f t="shared" si="1"/>
        <v>15.663088562222223</v>
      </c>
      <c r="N49" s="9"/>
      <c r="O49" s="21">
        <v>9.6435499999999993E-2</v>
      </c>
      <c r="P49" s="21">
        <v>8.9205799999999993</v>
      </c>
      <c r="Q49" s="21">
        <v>-1.46851E-2</v>
      </c>
      <c r="R49" s="21">
        <v>39</v>
      </c>
      <c r="S49" s="21">
        <v>9.5916699999999994E-2</v>
      </c>
      <c r="T49">
        <f t="shared" si="2"/>
        <v>18.12975308641975</v>
      </c>
      <c r="U49">
        <f t="shared" si="3"/>
        <v>1.7483518037654318</v>
      </c>
      <c r="X49" s="9"/>
      <c r="Y49" s="21">
        <v>1.41357</v>
      </c>
      <c r="Z49" s="21">
        <v>14.0183</v>
      </c>
      <c r="AA49" s="21">
        <v>-9.2803999999999994E-3</v>
      </c>
      <c r="AB49" s="21">
        <v>39</v>
      </c>
      <c r="AC49" s="21">
        <v>1.41357</v>
      </c>
      <c r="AD49">
        <f t="shared" si="4"/>
        <v>11.457283950617283</v>
      </c>
      <c r="AE49">
        <f t="shared" si="5"/>
        <v>16.195672874074074</v>
      </c>
      <c r="AF49" s="9"/>
      <c r="AG49" s="21">
        <v>9.6435499999999993E-2</v>
      </c>
      <c r="AH49" s="21">
        <v>17.454799999999999</v>
      </c>
      <c r="AI49" s="21">
        <v>-1.4633200000000001E-2</v>
      </c>
      <c r="AJ49" s="21">
        <v>39</v>
      </c>
      <c r="AK49" s="21">
        <v>9.5916699999999994E-2</v>
      </c>
      <c r="AL49">
        <f t="shared" si="6"/>
        <v>18.065679012345679</v>
      </c>
      <c r="AM49">
        <f t="shared" si="7"/>
        <v>1.7421727883950617</v>
      </c>
      <c r="AP49" s="9"/>
      <c r="AQ49" s="21">
        <v>1.41357</v>
      </c>
      <c r="AR49" s="21">
        <v>22.5975</v>
      </c>
      <c r="AS49" s="21">
        <v>-9.1674800000000004E-3</v>
      </c>
      <c r="AT49" s="21">
        <v>39</v>
      </c>
      <c r="AU49" s="21">
        <v>1.41235</v>
      </c>
      <c r="AV49">
        <f t="shared" si="8"/>
        <v>11.317876543209875</v>
      </c>
      <c r="AW49">
        <f t="shared" si="9"/>
        <v>15.998610745185184</v>
      </c>
      <c r="AX49" s="9"/>
      <c r="AY49" s="21">
        <v>9.6435499999999993E-2</v>
      </c>
      <c r="AZ49" s="21">
        <v>26.033999999999999</v>
      </c>
      <c r="BA49" s="21">
        <v>-1.45813E-2</v>
      </c>
      <c r="BB49" s="21">
        <v>39</v>
      </c>
      <c r="BC49" s="21">
        <v>9.5825199999999999E-2</v>
      </c>
      <c r="BD49">
        <f t="shared" si="10"/>
        <v>18.001604938271605</v>
      </c>
      <c r="BE49">
        <f t="shared" si="11"/>
        <v>1.7359937730246913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1.4085399999999999</v>
      </c>
      <c r="H50" s="21">
        <v>5.4941599999999999</v>
      </c>
      <c r="I50" s="21">
        <v>-9.1125500000000005E-3</v>
      </c>
      <c r="J50" s="21">
        <v>40</v>
      </c>
      <c r="K50" s="21">
        <v>1.40747</v>
      </c>
      <c r="L50">
        <f t="shared" si="0"/>
        <v>11.250061728395062</v>
      </c>
      <c r="M50">
        <f t="shared" si="1"/>
        <v>15.846161946913579</v>
      </c>
      <c r="N50" s="9"/>
      <c r="O50" s="21">
        <v>0.10147100000000001</v>
      </c>
      <c r="P50" s="21">
        <v>8.93065</v>
      </c>
      <c r="Q50" s="21">
        <v>-1.4678999999999999E-2</v>
      </c>
      <c r="R50" s="21">
        <v>40</v>
      </c>
      <c r="S50" s="21">
        <v>0.100922</v>
      </c>
      <c r="T50">
        <f t="shared" si="2"/>
        <v>18.12222222222222</v>
      </c>
      <c r="U50">
        <f t="shared" si="3"/>
        <v>1.838880011111111</v>
      </c>
      <c r="X50" s="9"/>
      <c r="Y50" s="21">
        <v>1.4085399999999999</v>
      </c>
      <c r="Z50" s="21">
        <v>14.0284</v>
      </c>
      <c r="AA50" s="21">
        <v>-9.4085699999999998E-3</v>
      </c>
      <c r="AB50" s="21">
        <v>40</v>
      </c>
      <c r="AC50" s="21">
        <v>1.40808</v>
      </c>
      <c r="AD50">
        <f t="shared" si="4"/>
        <v>11.615518518518519</v>
      </c>
      <c r="AE50">
        <f t="shared" si="5"/>
        <v>16.360922454074075</v>
      </c>
      <c r="AF50" s="9"/>
      <c r="AG50" s="21">
        <v>0.10147100000000001</v>
      </c>
      <c r="AH50" s="21">
        <v>17.4649</v>
      </c>
      <c r="AI50" s="21">
        <v>-1.46301E-2</v>
      </c>
      <c r="AJ50" s="21">
        <v>40</v>
      </c>
      <c r="AK50" s="21">
        <v>0.100922</v>
      </c>
      <c r="AL50">
        <f t="shared" si="6"/>
        <v>18.061851851851848</v>
      </c>
      <c r="AM50">
        <f t="shared" si="7"/>
        <v>1.832754169259259</v>
      </c>
      <c r="AP50" s="9"/>
      <c r="AQ50" s="21">
        <v>1.4085399999999999</v>
      </c>
      <c r="AR50" s="21">
        <v>22.607600000000001</v>
      </c>
      <c r="AS50" s="21">
        <v>-9.29871E-3</v>
      </c>
      <c r="AT50" s="21">
        <v>40</v>
      </c>
      <c r="AU50" s="21">
        <v>1.40717</v>
      </c>
      <c r="AV50">
        <f t="shared" si="8"/>
        <v>11.479888888888889</v>
      </c>
      <c r="AW50">
        <f t="shared" si="9"/>
        <v>16.169882695555554</v>
      </c>
      <c r="AX50" s="9"/>
      <c r="AY50" s="21">
        <v>0.10147100000000001</v>
      </c>
      <c r="AZ50" s="21">
        <v>26.0441</v>
      </c>
      <c r="BA50" s="21">
        <v>-1.45752E-2</v>
      </c>
      <c r="BB50" s="21">
        <v>40</v>
      </c>
      <c r="BC50" s="21">
        <v>0.10089099999999999</v>
      </c>
      <c r="BD50">
        <f t="shared" si="10"/>
        <v>17.994074074074071</v>
      </c>
      <c r="BE50">
        <f t="shared" si="11"/>
        <v>1.82587669037037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1.4035</v>
      </c>
      <c r="H51" s="21">
        <v>5.5042299999999997</v>
      </c>
      <c r="I51" s="21">
        <v>-9.2590299999999997E-3</v>
      </c>
      <c r="J51" s="21">
        <v>41</v>
      </c>
      <c r="K51" s="21">
        <v>1.40289</v>
      </c>
      <c r="L51">
        <f t="shared" si="0"/>
        <v>11.4309012345679</v>
      </c>
      <c r="M51">
        <f t="shared" si="1"/>
        <v>16.043269882716046</v>
      </c>
      <c r="N51" s="9"/>
      <c r="O51" s="21">
        <v>0.106506</v>
      </c>
      <c r="P51" s="21">
        <v>8.9407200000000007</v>
      </c>
      <c r="Q51" s="21">
        <v>-1.46759E-2</v>
      </c>
      <c r="R51" s="21">
        <v>41</v>
      </c>
      <c r="S51" s="21">
        <v>0.105988</v>
      </c>
      <c r="T51">
        <f t="shared" si="2"/>
        <v>18.118395061728396</v>
      </c>
      <c r="U51">
        <f t="shared" si="3"/>
        <v>1.9297177844444446</v>
      </c>
      <c r="X51" s="9"/>
      <c r="Y51" s="21">
        <v>1.4035</v>
      </c>
      <c r="Z51" s="21">
        <v>14.038399999999999</v>
      </c>
      <c r="AA51" s="21">
        <v>-9.5336899999999992E-3</v>
      </c>
      <c r="AB51" s="21">
        <v>41</v>
      </c>
      <c r="AC51" s="21">
        <v>1.4032</v>
      </c>
      <c r="AD51">
        <f t="shared" si="4"/>
        <v>11.769987654320985</v>
      </c>
      <c r="AE51">
        <f t="shared" si="5"/>
        <v>16.519177672839504</v>
      </c>
      <c r="AF51" s="9"/>
      <c r="AG51" s="21">
        <v>0.106506</v>
      </c>
      <c r="AH51" s="21">
        <v>17.475000000000001</v>
      </c>
      <c r="AI51" s="21">
        <v>-1.4627100000000001E-2</v>
      </c>
      <c r="AJ51" s="21">
        <v>41</v>
      </c>
      <c r="AK51" s="21">
        <v>0.105988</v>
      </c>
      <c r="AL51">
        <f t="shared" si="6"/>
        <v>18.058148148148145</v>
      </c>
      <c r="AM51">
        <f t="shared" si="7"/>
        <v>1.9233011266666664</v>
      </c>
      <c r="AP51" s="9"/>
      <c r="AQ51" s="21">
        <v>1.4035</v>
      </c>
      <c r="AR51" s="21">
        <v>22.617599999999999</v>
      </c>
      <c r="AS51" s="21">
        <v>-9.4207800000000001E-3</v>
      </c>
      <c r="AT51" s="21">
        <v>41</v>
      </c>
      <c r="AU51" s="21">
        <v>1.40289</v>
      </c>
      <c r="AV51">
        <f t="shared" si="8"/>
        <v>11.630592592592592</v>
      </c>
      <c r="AW51">
        <f t="shared" si="9"/>
        <v>16.323536703703702</v>
      </c>
      <c r="AX51" s="9"/>
      <c r="AY51" s="21">
        <v>0.106506</v>
      </c>
      <c r="AZ51" s="21">
        <v>26.054099999999998</v>
      </c>
      <c r="BA51" s="21">
        <v>-1.45691E-2</v>
      </c>
      <c r="BB51" s="21">
        <v>41</v>
      </c>
      <c r="BC51" s="21">
        <v>0.105988</v>
      </c>
      <c r="BD51">
        <f t="shared" si="10"/>
        <v>17.98654320987654</v>
      </c>
      <c r="BE51">
        <f t="shared" si="11"/>
        <v>1.9156747711111108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1.3984700000000001</v>
      </c>
      <c r="H52" s="21">
        <v>5.5143000000000004</v>
      </c>
      <c r="I52" s="21">
        <v>-9.38721E-3</v>
      </c>
      <c r="J52" s="21">
        <v>42</v>
      </c>
      <c r="K52" s="21">
        <v>1.39801</v>
      </c>
      <c r="L52">
        <f t="shared" si="0"/>
        <v>11.589148148148148</v>
      </c>
      <c r="M52">
        <f t="shared" si="1"/>
        <v>16.207076010740742</v>
      </c>
      <c r="N52" s="9"/>
      <c r="O52" s="21">
        <v>0.111542</v>
      </c>
      <c r="P52" s="21">
        <v>8.9507999999999992</v>
      </c>
      <c r="Q52" s="21">
        <v>-1.46759E-2</v>
      </c>
      <c r="R52" s="21">
        <v>42</v>
      </c>
      <c r="S52" s="21">
        <v>0.11087</v>
      </c>
      <c r="T52">
        <f t="shared" si="2"/>
        <v>18.118395061728396</v>
      </c>
      <c r="U52">
        <f t="shared" si="3"/>
        <v>2.0209620219753086</v>
      </c>
      <c r="X52" s="9"/>
      <c r="Y52" s="21">
        <v>1.3984700000000001</v>
      </c>
      <c r="Z52" s="21">
        <v>14.048500000000001</v>
      </c>
      <c r="AA52" s="21">
        <v>-9.6466099999999999E-3</v>
      </c>
      <c r="AB52" s="21">
        <v>42</v>
      </c>
      <c r="AC52" s="21">
        <v>1.39832</v>
      </c>
      <c r="AD52">
        <f t="shared" si="4"/>
        <v>11.909395061728395</v>
      </c>
      <c r="AE52">
        <f t="shared" si="5"/>
        <v>16.654931711975308</v>
      </c>
      <c r="AF52" s="9"/>
      <c r="AG52" s="21">
        <v>0.111542</v>
      </c>
      <c r="AH52" s="21">
        <v>17.484999999999999</v>
      </c>
      <c r="AI52" s="21">
        <v>-1.46088E-2</v>
      </c>
      <c r="AJ52" s="21">
        <v>42</v>
      </c>
      <c r="AK52" s="21">
        <v>0.110931</v>
      </c>
      <c r="AL52">
        <f t="shared" si="6"/>
        <v>18.035555555555554</v>
      </c>
      <c r="AM52">
        <f t="shared" si="7"/>
        <v>2.0117219377777777</v>
      </c>
      <c r="AP52" s="9"/>
      <c r="AQ52" s="21">
        <v>1.3984700000000001</v>
      </c>
      <c r="AR52" s="21">
        <v>22.627700000000001</v>
      </c>
      <c r="AS52" s="21">
        <v>-9.5428500000000003E-3</v>
      </c>
      <c r="AT52" s="21">
        <v>42</v>
      </c>
      <c r="AU52" s="21">
        <v>1.3970899999999999</v>
      </c>
      <c r="AV52">
        <f t="shared" si="8"/>
        <v>11.781296296296297</v>
      </c>
      <c r="AW52">
        <f t="shared" si="9"/>
        <v>16.475789431481484</v>
      </c>
      <c r="AX52" s="9"/>
      <c r="AY52" s="21">
        <v>0.111542</v>
      </c>
      <c r="AZ52" s="21">
        <v>26.0642</v>
      </c>
      <c r="BA52" s="21">
        <v>-1.4566000000000001E-2</v>
      </c>
      <c r="BB52" s="21">
        <v>42</v>
      </c>
      <c r="BC52" s="21">
        <v>0.110901</v>
      </c>
      <c r="BD52">
        <f t="shared" si="10"/>
        <v>17.982716049382717</v>
      </c>
      <c r="BE52">
        <f t="shared" si="11"/>
        <v>2.0058281135802472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1.3934299999999999</v>
      </c>
      <c r="H53" s="21">
        <v>5.5243799999999998</v>
      </c>
      <c r="I53" s="21">
        <v>-9.5123299999999994E-3</v>
      </c>
      <c r="J53" s="21">
        <v>43</v>
      </c>
      <c r="K53" s="21">
        <v>1.3928199999999999</v>
      </c>
      <c r="L53">
        <f t="shared" si="0"/>
        <v>11.743617283950616</v>
      </c>
      <c r="M53">
        <f t="shared" si="1"/>
        <v>16.363908631975306</v>
      </c>
      <c r="N53" s="9"/>
      <c r="O53" s="21">
        <v>0.116577</v>
      </c>
      <c r="P53" s="21">
        <v>8.9608699999999999</v>
      </c>
      <c r="Q53" s="21">
        <v>-1.46637E-2</v>
      </c>
      <c r="R53" s="21">
        <v>43</v>
      </c>
      <c r="S53" s="21">
        <v>0.115967</v>
      </c>
      <c r="T53">
        <f t="shared" si="2"/>
        <v>18.103333333333332</v>
      </c>
      <c r="U53">
        <f t="shared" si="3"/>
        <v>2.1104322899999999</v>
      </c>
      <c r="X53" s="9"/>
      <c r="Y53" s="21">
        <v>1.3934299999999999</v>
      </c>
      <c r="Z53" s="21">
        <v>14.0586</v>
      </c>
      <c r="AA53" s="21">
        <v>-9.7381599999999992E-3</v>
      </c>
      <c r="AB53" s="21">
        <v>43</v>
      </c>
      <c r="AC53" s="21">
        <v>1.3922099999999999</v>
      </c>
      <c r="AD53">
        <f t="shared" si="4"/>
        <v>12.022419753086417</v>
      </c>
      <c r="AE53">
        <f t="shared" si="5"/>
        <v>16.752400356543205</v>
      </c>
      <c r="AF53" s="9"/>
      <c r="AG53" s="21">
        <v>0.116577</v>
      </c>
      <c r="AH53" s="21">
        <v>17.495100000000001</v>
      </c>
      <c r="AI53" s="21">
        <v>-1.45966E-2</v>
      </c>
      <c r="AJ53" s="21">
        <v>43</v>
      </c>
      <c r="AK53" s="21">
        <v>0.115967</v>
      </c>
      <c r="AL53">
        <f t="shared" si="6"/>
        <v>18.020493827160493</v>
      </c>
      <c r="AM53">
        <f t="shared" si="7"/>
        <v>2.1007751088888886</v>
      </c>
      <c r="AP53" s="9"/>
      <c r="AQ53" s="21">
        <v>1.3934299999999999</v>
      </c>
      <c r="AR53" s="21">
        <v>22.637799999999999</v>
      </c>
      <c r="AS53" s="21">
        <v>-9.6557599999999993E-3</v>
      </c>
      <c r="AT53" s="21">
        <v>43</v>
      </c>
      <c r="AU53" s="21">
        <v>1.39252</v>
      </c>
      <c r="AV53">
        <f t="shared" si="8"/>
        <v>11.92069135802469</v>
      </c>
      <c r="AW53">
        <f t="shared" si="9"/>
        <v>16.610648959012345</v>
      </c>
      <c r="AX53" s="9"/>
      <c r="AY53" s="21">
        <v>0.116577</v>
      </c>
      <c r="AZ53" s="21">
        <v>26.074300000000001</v>
      </c>
      <c r="BA53" s="21">
        <v>-1.4559900000000001E-2</v>
      </c>
      <c r="BB53" s="21">
        <v>43</v>
      </c>
      <c r="BC53" s="21">
        <v>0.116089</v>
      </c>
      <c r="BD53">
        <f t="shared" si="10"/>
        <v>17.975185185185186</v>
      </c>
      <c r="BE53">
        <f t="shared" si="11"/>
        <v>2.0954931633333334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1.3884000000000001</v>
      </c>
      <c r="H54" s="21">
        <v>5.5344499999999996</v>
      </c>
      <c r="I54" s="21">
        <v>-9.6404999999999998E-3</v>
      </c>
      <c r="J54" s="21">
        <v>44</v>
      </c>
      <c r="K54" s="21">
        <v>1.3876299999999999</v>
      </c>
      <c r="L54">
        <f t="shared" si="0"/>
        <v>11.90185185185185</v>
      </c>
      <c r="M54">
        <f t="shared" si="1"/>
        <v>16.524531111111109</v>
      </c>
      <c r="N54" s="9"/>
      <c r="O54" s="21">
        <v>0.121613</v>
      </c>
      <c r="P54" s="21">
        <v>8.9709400000000006</v>
      </c>
      <c r="Q54" s="21">
        <v>-1.46576E-2</v>
      </c>
      <c r="R54" s="21">
        <v>44</v>
      </c>
      <c r="S54" s="21">
        <v>0.121033</v>
      </c>
      <c r="T54">
        <f t="shared" si="2"/>
        <v>18.095802469135801</v>
      </c>
      <c r="U54">
        <f t="shared" si="3"/>
        <v>2.2006848256790121</v>
      </c>
      <c r="X54" s="9"/>
      <c r="Y54" s="21">
        <v>1.3884000000000001</v>
      </c>
      <c r="Z54" s="21">
        <v>14.0687</v>
      </c>
      <c r="AA54" s="21">
        <v>-9.8297100000000002E-3</v>
      </c>
      <c r="AB54" s="21">
        <v>44</v>
      </c>
      <c r="AC54" s="21">
        <v>1.3876299999999999</v>
      </c>
      <c r="AD54">
        <f t="shared" si="4"/>
        <v>12.135444444444444</v>
      </c>
      <c r="AE54">
        <f t="shared" si="5"/>
        <v>16.848851066666665</v>
      </c>
      <c r="AF54" s="9"/>
      <c r="AG54" s="21">
        <v>0.121613</v>
      </c>
      <c r="AH54" s="21">
        <v>17.505199999999999</v>
      </c>
      <c r="AI54" s="21">
        <v>-1.45813E-2</v>
      </c>
      <c r="AJ54" s="21">
        <v>44</v>
      </c>
      <c r="AK54" s="21">
        <v>0.121155</v>
      </c>
      <c r="AL54">
        <f t="shared" si="6"/>
        <v>18.001604938271605</v>
      </c>
      <c r="AM54">
        <f t="shared" si="7"/>
        <v>2.1892291813580247</v>
      </c>
      <c r="AP54" s="9"/>
      <c r="AQ54" s="21">
        <v>1.3884000000000001</v>
      </c>
      <c r="AR54" s="21">
        <v>22.6479</v>
      </c>
      <c r="AS54" s="21">
        <v>-9.7595200000000007E-3</v>
      </c>
      <c r="AT54" s="21">
        <v>44</v>
      </c>
      <c r="AU54" s="21">
        <v>1.38794</v>
      </c>
      <c r="AV54">
        <f t="shared" si="8"/>
        <v>12.04879012345679</v>
      </c>
      <c r="AW54">
        <f t="shared" si="9"/>
        <v>16.728540207407409</v>
      </c>
      <c r="AX54" s="9"/>
      <c r="AY54" s="21">
        <v>0.121613</v>
      </c>
      <c r="AZ54" s="21">
        <v>26.084399999999999</v>
      </c>
      <c r="BA54" s="21">
        <v>-1.4550799999999999E-2</v>
      </c>
      <c r="BB54" s="21">
        <v>44</v>
      </c>
      <c r="BC54" s="21">
        <v>0.121063</v>
      </c>
      <c r="BD54">
        <f t="shared" si="10"/>
        <v>17.963950617283949</v>
      </c>
      <c r="BE54">
        <f t="shared" si="11"/>
        <v>2.1846499264197528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1.3833599999999999</v>
      </c>
      <c r="H55" s="21">
        <v>5.5445200000000003</v>
      </c>
      <c r="I55" s="21">
        <v>-9.7534200000000005E-3</v>
      </c>
      <c r="J55" s="21">
        <v>45</v>
      </c>
      <c r="K55" s="21">
        <v>1.3827499999999999</v>
      </c>
      <c r="L55">
        <f t="shared" si="0"/>
        <v>12.041259259259258</v>
      </c>
      <c r="M55">
        <f t="shared" si="1"/>
        <v>16.657396408888886</v>
      </c>
      <c r="N55" s="9"/>
      <c r="O55" s="21">
        <v>0.12664800000000001</v>
      </c>
      <c r="P55" s="21">
        <v>8.9810099999999995</v>
      </c>
      <c r="Q55" s="21">
        <v>-1.4654500000000001E-2</v>
      </c>
      <c r="R55" s="21">
        <v>45</v>
      </c>
      <c r="S55" s="21">
        <v>0.12600700000000001</v>
      </c>
      <c r="T55">
        <f t="shared" si="2"/>
        <v>18.091975308641977</v>
      </c>
      <c r="U55">
        <f t="shared" si="3"/>
        <v>2.2913124888888894</v>
      </c>
      <c r="X55" s="9"/>
      <c r="Y55" s="21">
        <v>1.3833599999999999</v>
      </c>
      <c r="Z55" s="21">
        <v>14.0787</v>
      </c>
      <c r="AA55" s="21">
        <v>-9.9182100000000002E-3</v>
      </c>
      <c r="AB55" s="21">
        <v>45</v>
      </c>
      <c r="AC55" s="21">
        <v>1.3827499999999999</v>
      </c>
      <c r="AD55">
        <f t="shared" si="4"/>
        <v>12.244703703703705</v>
      </c>
      <c r="AE55">
        <f t="shared" si="5"/>
        <v>16.938833315555556</v>
      </c>
      <c r="AF55" s="9"/>
      <c r="AG55" s="21">
        <v>0.12664800000000001</v>
      </c>
      <c r="AH55" s="21">
        <v>17.5153</v>
      </c>
      <c r="AI55" s="21">
        <v>-1.4572099999999999E-2</v>
      </c>
      <c r="AJ55" s="21">
        <v>45</v>
      </c>
      <c r="AK55" s="21">
        <v>0.12606800000000001</v>
      </c>
      <c r="AL55">
        <f t="shared" si="6"/>
        <v>17.990246913580243</v>
      </c>
      <c r="AM55">
        <f t="shared" si="7"/>
        <v>2.2784287911111107</v>
      </c>
      <c r="AP55" s="9"/>
      <c r="AQ55" s="21">
        <v>1.3833599999999999</v>
      </c>
      <c r="AR55" s="21">
        <v>22.657900000000001</v>
      </c>
      <c r="AS55" s="21">
        <v>-9.8663299999999995E-3</v>
      </c>
      <c r="AT55" s="21">
        <v>45</v>
      </c>
      <c r="AU55" s="21">
        <v>1.38245</v>
      </c>
      <c r="AV55">
        <f t="shared" si="8"/>
        <v>12.180654320987653</v>
      </c>
      <c r="AW55">
        <f t="shared" si="9"/>
        <v>16.850229961481478</v>
      </c>
      <c r="AX55" s="9"/>
      <c r="AY55" s="21">
        <v>0.12664800000000001</v>
      </c>
      <c r="AZ55" s="21">
        <v>26.0944</v>
      </c>
      <c r="BA55" s="21">
        <v>-1.45416E-2</v>
      </c>
      <c r="BB55" s="21">
        <v>45</v>
      </c>
      <c r="BC55" s="21">
        <v>0.12612899999999999</v>
      </c>
      <c r="BD55">
        <f t="shared" si="10"/>
        <v>17.952592592592595</v>
      </c>
      <c r="BE55">
        <f t="shared" si="11"/>
        <v>2.2736599466666672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1.3783300000000001</v>
      </c>
      <c r="H56" s="21">
        <v>5.5545900000000001</v>
      </c>
      <c r="I56" s="21">
        <v>-9.8663299999999995E-3</v>
      </c>
      <c r="J56" s="21">
        <v>46</v>
      </c>
      <c r="K56" s="21">
        <v>1.3772599999999999</v>
      </c>
      <c r="L56">
        <f t="shared" si="0"/>
        <v>12.180654320987653</v>
      </c>
      <c r="M56">
        <f t="shared" si="1"/>
        <v>16.788961270246912</v>
      </c>
      <c r="N56" s="9"/>
      <c r="O56" s="21">
        <v>0.13168299999999999</v>
      </c>
      <c r="P56" s="21">
        <v>8.9910800000000002</v>
      </c>
      <c r="Q56" s="21">
        <v>-1.46423E-2</v>
      </c>
      <c r="R56" s="21">
        <v>46</v>
      </c>
      <c r="S56" s="21">
        <v>0.131134</v>
      </c>
      <c r="T56">
        <f t="shared" si="2"/>
        <v>18.076913580246913</v>
      </c>
      <c r="U56">
        <f t="shared" si="3"/>
        <v>2.3804222109876543</v>
      </c>
      <c r="X56" s="9"/>
      <c r="Y56" s="21">
        <v>1.3783300000000001</v>
      </c>
      <c r="Z56" s="21">
        <v>14.088800000000001</v>
      </c>
      <c r="AA56" s="21">
        <v>-1.0018900000000001E-2</v>
      </c>
      <c r="AB56" s="21">
        <v>46</v>
      </c>
      <c r="AC56" s="21">
        <v>1.3769499999999999</v>
      </c>
      <c r="AD56">
        <f t="shared" si="4"/>
        <v>12.369012345679012</v>
      </c>
      <c r="AE56">
        <f t="shared" si="5"/>
        <v>17.048580786419752</v>
      </c>
      <c r="AF56" s="9"/>
      <c r="AG56" s="21">
        <v>0.13168299999999999</v>
      </c>
      <c r="AH56" s="21">
        <v>17.525300000000001</v>
      </c>
      <c r="AI56" s="21">
        <v>-1.4572099999999999E-2</v>
      </c>
      <c r="AJ56" s="21">
        <v>46</v>
      </c>
      <c r="AK56" s="21">
        <v>0.131134</v>
      </c>
      <c r="AL56">
        <f t="shared" si="6"/>
        <v>17.990246913580243</v>
      </c>
      <c r="AM56">
        <f t="shared" si="7"/>
        <v>2.3690096843209871</v>
      </c>
      <c r="AP56" s="9"/>
      <c r="AQ56" s="21">
        <v>1.3783300000000001</v>
      </c>
      <c r="AR56" s="21">
        <v>22.667999999999999</v>
      </c>
      <c r="AS56" s="21">
        <v>-9.9731400000000001E-3</v>
      </c>
      <c r="AT56" s="21">
        <v>46</v>
      </c>
      <c r="AU56" s="21">
        <v>1.3772599999999999</v>
      </c>
      <c r="AV56">
        <f t="shared" si="8"/>
        <v>12.312518518518518</v>
      </c>
      <c r="AW56">
        <f t="shared" si="9"/>
        <v>16.97071364962963</v>
      </c>
      <c r="AX56" s="9"/>
      <c r="AY56" s="21">
        <v>0.13168299999999999</v>
      </c>
      <c r="AZ56" s="21">
        <v>26.104500000000002</v>
      </c>
      <c r="BA56" s="21">
        <v>-1.45355E-2</v>
      </c>
      <c r="BB56" s="21">
        <v>46</v>
      </c>
      <c r="BC56" s="21">
        <v>0.13125600000000001</v>
      </c>
      <c r="BD56">
        <f t="shared" si="10"/>
        <v>17.945061728395061</v>
      </c>
      <c r="BE56">
        <f t="shared" si="11"/>
        <v>2.3630595635802467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1.3732899999999999</v>
      </c>
      <c r="H57" s="21">
        <v>5.5646599999999999</v>
      </c>
      <c r="I57" s="21">
        <v>-9.9609399999999997E-3</v>
      </c>
      <c r="J57" s="21">
        <v>47</v>
      </c>
      <c r="K57" s="21">
        <v>1.3726799999999999</v>
      </c>
      <c r="L57">
        <f t="shared" si="0"/>
        <v>12.297456790123457</v>
      </c>
      <c r="M57">
        <f t="shared" si="1"/>
        <v>16.887974435308642</v>
      </c>
      <c r="N57" s="9"/>
      <c r="O57" s="21">
        <v>0.13671900000000001</v>
      </c>
      <c r="P57" s="21">
        <v>9.0011500000000009</v>
      </c>
      <c r="Q57" s="21">
        <v>-1.4627100000000001E-2</v>
      </c>
      <c r="R57" s="21">
        <v>47</v>
      </c>
      <c r="S57" s="21">
        <v>0.13622999999999999</v>
      </c>
      <c r="T57">
        <f t="shared" si="2"/>
        <v>18.058148148148145</v>
      </c>
      <c r="U57">
        <f t="shared" si="3"/>
        <v>2.4688919566666665</v>
      </c>
      <c r="X57" s="9"/>
      <c r="Y57" s="21">
        <v>1.3732899999999999</v>
      </c>
      <c r="Z57" s="21">
        <v>14.0989</v>
      </c>
      <c r="AA57" s="21">
        <v>-1.0104399999999999E-2</v>
      </c>
      <c r="AB57" s="21">
        <v>47</v>
      </c>
      <c r="AC57" s="21">
        <v>1.3726799999999999</v>
      </c>
      <c r="AD57">
        <f t="shared" si="4"/>
        <v>12.474567901234566</v>
      </c>
      <c r="AE57">
        <f t="shared" si="5"/>
        <v>17.131199353086416</v>
      </c>
      <c r="AF57" s="9"/>
      <c r="AG57" s="21">
        <v>0.13671900000000001</v>
      </c>
      <c r="AH57" s="21">
        <v>17.535399999999999</v>
      </c>
      <c r="AI57" s="21">
        <v>-1.45691E-2</v>
      </c>
      <c r="AJ57" s="21">
        <v>47</v>
      </c>
      <c r="AK57" s="21">
        <v>0.13622999999999999</v>
      </c>
      <c r="AL57">
        <f t="shared" si="6"/>
        <v>17.98654320987654</v>
      </c>
      <c r="AM57">
        <f t="shared" si="7"/>
        <v>2.459102201111111</v>
      </c>
      <c r="AP57" s="9"/>
      <c r="AQ57" s="21">
        <v>1.3732899999999999</v>
      </c>
      <c r="AR57" s="21">
        <v>22.678100000000001</v>
      </c>
      <c r="AS57" s="21">
        <v>-1.00769E-2</v>
      </c>
      <c r="AT57" s="21">
        <v>47</v>
      </c>
      <c r="AU57" s="21">
        <v>1.3723799999999999</v>
      </c>
      <c r="AV57">
        <f t="shared" si="8"/>
        <v>12.440617283950616</v>
      </c>
      <c r="AW57">
        <f t="shared" si="9"/>
        <v>17.084575309876538</v>
      </c>
      <c r="AX57" s="9"/>
      <c r="AY57" s="21">
        <v>0.13671900000000001</v>
      </c>
      <c r="AZ57" s="21">
        <v>26.114599999999999</v>
      </c>
      <c r="BA57" s="21">
        <v>-1.45264E-2</v>
      </c>
      <c r="BB57" s="21">
        <v>47</v>
      </c>
      <c r="BC57" s="21">
        <v>0.13619999999999999</v>
      </c>
      <c r="BD57">
        <f t="shared" si="10"/>
        <v>17.933827160493827</v>
      </c>
      <c r="BE57">
        <f t="shared" si="11"/>
        <v>2.4518949155555556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1.36826</v>
      </c>
      <c r="H58" s="21">
        <v>5.5747299999999997</v>
      </c>
      <c r="I58" s="21">
        <v>-1.00616E-2</v>
      </c>
      <c r="J58" s="21">
        <v>48</v>
      </c>
      <c r="K58" s="21">
        <v>1.3674900000000001</v>
      </c>
      <c r="L58">
        <f t="shared" si="0"/>
        <v>12.421728395061727</v>
      </c>
      <c r="M58">
        <f t="shared" si="1"/>
        <v>16.996154093827158</v>
      </c>
      <c r="N58" s="9"/>
      <c r="O58" s="21">
        <v>0.14175399999999999</v>
      </c>
      <c r="P58" s="21">
        <v>9.0112199999999998</v>
      </c>
      <c r="Q58" s="21">
        <v>-1.46088E-2</v>
      </c>
      <c r="R58" s="21">
        <v>48</v>
      </c>
      <c r="S58" s="21">
        <v>0.141296</v>
      </c>
      <c r="T58">
        <f t="shared" si="2"/>
        <v>18.035555555555554</v>
      </c>
      <c r="U58">
        <f t="shared" si="3"/>
        <v>2.5566121422222219</v>
      </c>
      <c r="X58" s="9"/>
      <c r="Y58" s="21">
        <v>1.36826</v>
      </c>
      <c r="Z58" s="21">
        <v>14.1089</v>
      </c>
      <c r="AA58" s="21">
        <v>-1.0186799999999999E-2</v>
      </c>
      <c r="AB58" s="21">
        <v>48</v>
      </c>
      <c r="AC58" s="21">
        <v>1.3681000000000001</v>
      </c>
      <c r="AD58">
        <f t="shared" si="4"/>
        <v>12.576296296296295</v>
      </c>
      <c r="AE58">
        <f t="shared" si="5"/>
        <v>17.207643170370368</v>
      </c>
      <c r="AF58" s="9"/>
      <c r="AG58" s="21">
        <v>0.14175399999999999</v>
      </c>
      <c r="AH58" s="21">
        <v>17.545500000000001</v>
      </c>
      <c r="AI58" s="21">
        <v>-1.4566000000000001E-2</v>
      </c>
      <c r="AJ58" s="21">
        <v>48</v>
      </c>
      <c r="AK58" s="21">
        <v>0.141296</v>
      </c>
      <c r="AL58">
        <f t="shared" si="6"/>
        <v>17.982716049382717</v>
      </c>
      <c r="AM58">
        <f t="shared" si="7"/>
        <v>2.5491219308641972</v>
      </c>
      <c r="AP58" s="9"/>
      <c r="AQ58" s="21">
        <v>1.36826</v>
      </c>
      <c r="AR58" s="21">
        <v>22.688099999999999</v>
      </c>
      <c r="AS58" s="21">
        <v>-1.01685E-2</v>
      </c>
      <c r="AT58" s="21">
        <v>48</v>
      </c>
      <c r="AU58" s="21">
        <v>1.3674900000000001</v>
      </c>
      <c r="AV58">
        <f t="shared" si="8"/>
        <v>12.553703703703704</v>
      </c>
      <c r="AW58">
        <f t="shared" si="9"/>
        <v>17.176730629629631</v>
      </c>
      <c r="AX58" s="9"/>
      <c r="AY58" s="21">
        <v>0.14175399999999999</v>
      </c>
      <c r="AZ58" s="21">
        <v>26.124600000000001</v>
      </c>
      <c r="BA58" s="21">
        <v>-1.4517199999999999E-2</v>
      </c>
      <c r="BB58" s="21">
        <v>48</v>
      </c>
      <c r="BC58" s="21">
        <v>0.141205</v>
      </c>
      <c r="BD58">
        <f t="shared" si="10"/>
        <v>17.922469135802466</v>
      </c>
      <c r="BE58">
        <f t="shared" si="11"/>
        <v>2.5405816898765425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1.3632200000000001</v>
      </c>
      <c r="H59" s="21">
        <v>5.5848000000000004</v>
      </c>
      <c r="I59" s="21">
        <v>-1.01624E-2</v>
      </c>
      <c r="J59" s="21">
        <v>49</v>
      </c>
      <c r="K59" s="21">
        <v>1.3623000000000001</v>
      </c>
      <c r="L59">
        <f t="shared" si="0"/>
        <v>12.546172839506172</v>
      </c>
      <c r="M59">
        <f t="shared" si="1"/>
        <v>17.103193738271603</v>
      </c>
      <c r="N59" s="9"/>
      <c r="O59" s="21">
        <v>0.14679</v>
      </c>
      <c r="P59" s="21">
        <v>9.0212900000000005</v>
      </c>
      <c r="Q59" s="21">
        <v>-1.45966E-2</v>
      </c>
      <c r="R59" s="21">
        <v>49</v>
      </c>
      <c r="S59" s="21">
        <v>0.14624000000000001</v>
      </c>
      <c r="T59">
        <f t="shared" si="2"/>
        <v>18.020493827160493</v>
      </c>
      <c r="U59">
        <f t="shared" si="3"/>
        <v>2.6452282888888887</v>
      </c>
      <c r="X59" s="9"/>
      <c r="Y59" s="21">
        <v>1.3632200000000001</v>
      </c>
      <c r="Z59" s="21">
        <v>14.119</v>
      </c>
      <c r="AA59" s="21">
        <v>-1.02814E-2</v>
      </c>
      <c r="AB59" s="21">
        <v>49</v>
      </c>
      <c r="AC59" s="21">
        <v>1.3626100000000001</v>
      </c>
      <c r="AD59">
        <f t="shared" si="4"/>
        <v>12.693086419753087</v>
      </c>
      <c r="AE59">
        <f t="shared" si="5"/>
        <v>17.303469269135803</v>
      </c>
      <c r="AF59" s="9"/>
      <c r="AG59" s="21">
        <v>0.14679</v>
      </c>
      <c r="AH59" s="21">
        <v>17.555499999999999</v>
      </c>
      <c r="AI59" s="21">
        <v>-1.4563E-2</v>
      </c>
      <c r="AJ59" s="21">
        <v>49</v>
      </c>
      <c r="AK59" s="21">
        <v>0.14624000000000001</v>
      </c>
      <c r="AL59">
        <f t="shared" si="6"/>
        <v>17.979012345679013</v>
      </c>
      <c r="AM59">
        <f t="shared" si="7"/>
        <v>2.6391392222222225</v>
      </c>
      <c r="AP59" s="9"/>
      <c r="AQ59" s="21">
        <v>1.3632200000000001</v>
      </c>
      <c r="AR59" s="21">
        <v>22.6982</v>
      </c>
      <c r="AS59" s="21">
        <v>-1.02539E-2</v>
      </c>
      <c r="AT59" s="21">
        <v>49</v>
      </c>
      <c r="AU59" s="21">
        <v>1.3623000000000001</v>
      </c>
      <c r="AV59">
        <f t="shared" si="8"/>
        <v>12.659135802469134</v>
      </c>
      <c r="AW59">
        <f t="shared" si="9"/>
        <v>17.257187108641975</v>
      </c>
      <c r="AX59" s="9"/>
      <c r="AY59" s="21">
        <v>0.14679</v>
      </c>
      <c r="AZ59" s="21">
        <v>26.134699999999999</v>
      </c>
      <c r="BA59" s="21">
        <v>-1.4511100000000001E-2</v>
      </c>
      <c r="BB59" s="21">
        <v>49</v>
      </c>
      <c r="BC59" s="21">
        <v>0.14621000000000001</v>
      </c>
      <c r="BD59">
        <f t="shared" si="10"/>
        <v>17.914938271604939</v>
      </c>
      <c r="BE59">
        <f t="shared" si="11"/>
        <v>2.6297337888888892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1.3581799999999999</v>
      </c>
      <c r="H60" s="21">
        <v>5.5948700000000002</v>
      </c>
      <c r="I60" s="21">
        <v>-1.026E-2</v>
      </c>
      <c r="J60" s="21">
        <v>50</v>
      </c>
      <c r="K60" s="21">
        <v>1.3577300000000001</v>
      </c>
      <c r="L60">
        <f t="shared" si="0"/>
        <v>12.666666666666666</v>
      </c>
      <c r="M60">
        <f t="shared" si="1"/>
        <v>17.203613333333333</v>
      </c>
      <c r="N60" s="9"/>
      <c r="O60" s="21">
        <v>0.15182499999999999</v>
      </c>
      <c r="P60" s="21">
        <v>9.0313599999999994</v>
      </c>
      <c r="Q60" s="21">
        <v>-1.45874E-2</v>
      </c>
      <c r="R60" s="21">
        <v>50</v>
      </c>
      <c r="S60" s="21">
        <v>0.151306</v>
      </c>
      <c r="T60">
        <f t="shared" si="2"/>
        <v>18.009135802469135</v>
      </c>
      <c r="U60">
        <f t="shared" si="3"/>
        <v>2.7342370432098764</v>
      </c>
      <c r="X60" s="9"/>
      <c r="Y60" s="21">
        <v>1.3581799999999999</v>
      </c>
      <c r="Z60" s="21">
        <v>14.129099999999999</v>
      </c>
      <c r="AA60" s="21">
        <v>-1.0366800000000001E-2</v>
      </c>
      <c r="AB60" s="21">
        <v>50</v>
      </c>
      <c r="AC60" s="21">
        <v>1.3571200000000001</v>
      </c>
      <c r="AD60">
        <f t="shared" si="4"/>
        <v>12.798518518518518</v>
      </c>
      <c r="AE60">
        <f t="shared" si="5"/>
        <v>17.382691881481481</v>
      </c>
      <c r="AF60" s="9"/>
      <c r="AG60" s="21">
        <v>0.15182499999999999</v>
      </c>
      <c r="AH60" s="21">
        <v>17.5656</v>
      </c>
      <c r="AI60" s="21">
        <v>-1.4550799999999999E-2</v>
      </c>
      <c r="AJ60" s="21">
        <v>50</v>
      </c>
      <c r="AK60" s="21">
        <v>0.15127599999999999</v>
      </c>
      <c r="AL60">
        <f t="shared" si="6"/>
        <v>17.963950617283949</v>
      </c>
      <c r="AM60">
        <f t="shared" si="7"/>
        <v>2.7273768024691352</v>
      </c>
      <c r="AP60" s="9"/>
      <c r="AQ60" s="21">
        <v>1.3581799999999999</v>
      </c>
      <c r="AR60" s="21">
        <v>22.708300000000001</v>
      </c>
      <c r="AS60" s="21">
        <v>-1.03333E-2</v>
      </c>
      <c r="AT60" s="21">
        <v>50</v>
      </c>
      <c r="AU60" s="21">
        <v>1.3571200000000001</v>
      </c>
      <c r="AV60">
        <f t="shared" si="8"/>
        <v>12.757160493827159</v>
      </c>
      <c r="AW60">
        <f t="shared" si="9"/>
        <v>17.32652023950617</v>
      </c>
      <c r="AX60" s="9"/>
      <c r="AY60" s="21">
        <v>0.15182499999999999</v>
      </c>
      <c r="AZ60" s="21">
        <v>26.1448</v>
      </c>
      <c r="BA60" s="21">
        <v>-1.44989E-2</v>
      </c>
      <c r="BB60" s="21">
        <v>50</v>
      </c>
      <c r="BC60" s="21">
        <v>0.151306</v>
      </c>
      <c r="BD60">
        <f t="shared" si="10"/>
        <v>17.899876543209874</v>
      </c>
      <c r="BE60">
        <f t="shared" si="11"/>
        <v>2.7176487561728391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1.3531500000000001</v>
      </c>
      <c r="H61" s="21">
        <v>5.60494</v>
      </c>
      <c r="I61" s="21">
        <v>-1.0351600000000001E-2</v>
      </c>
      <c r="J61" s="21">
        <v>51</v>
      </c>
      <c r="K61" s="21">
        <v>1.35223</v>
      </c>
      <c r="L61">
        <f t="shared" si="0"/>
        <v>12.779753086419753</v>
      </c>
      <c r="M61">
        <f t="shared" si="1"/>
        <v>17.292922888888889</v>
      </c>
      <c r="N61" s="9"/>
      <c r="O61" s="21">
        <v>0.15686</v>
      </c>
      <c r="P61" s="21">
        <v>9.0414300000000001</v>
      </c>
      <c r="Q61" s="21">
        <v>-1.4584400000000001E-2</v>
      </c>
      <c r="R61" s="21">
        <v>51</v>
      </c>
      <c r="S61" s="21">
        <v>0.15637200000000001</v>
      </c>
      <c r="T61">
        <f t="shared" si="2"/>
        <v>18.005432098765432</v>
      </c>
      <c r="U61">
        <f t="shared" si="3"/>
        <v>2.8243320790123456</v>
      </c>
      <c r="X61" s="9"/>
      <c r="Y61" s="21">
        <v>1.3531500000000001</v>
      </c>
      <c r="Z61" s="21">
        <v>14.139099999999999</v>
      </c>
      <c r="AA61" s="21">
        <v>-1.0455300000000001E-2</v>
      </c>
      <c r="AB61" s="21">
        <v>51</v>
      </c>
      <c r="AC61" s="21">
        <v>1.3525400000000001</v>
      </c>
      <c r="AD61">
        <f t="shared" si="4"/>
        <v>12.907777777777778</v>
      </c>
      <c r="AE61">
        <f t="shared" si="5"/>
        <v>17.4661595</v>
      </c>
      <c r="AF61" s="9"/>
      <c r="AG61" s="21">
        <v>0.15686</v>
      </c>
      <c r="AH61" s="21">
        <v>17.575700000000001</v>
      </c>
      <c r="AI61" s="21">
        <v>-1.45355E-2</v>
      </c>
      <c r="AJ61" s="21">
        <v>51</v>
      </c>
      <c r="AK61" s="21">
        <v>0.156281</v>
      </c>
      <c r="AL61">
        <f t="shared" si="6"/>
        <v>17.945061728395061</v>
      </c>
      <c r="AM61">
        <f t="shared" si="7"/>
        <v>2.8148623827160493</v>
      </c>
      <c r="AP61" s="9"/>
      <c r="AQ61" s="21">
        <v>1.3531500000000001</v>
      </c>
      <c r="AR61" s="21">
        <v>22.718399999999999</v>
      </c>
      <c r="AS61" s="21">
        <v>-1.0418699999999999E-2</v>
      </c>
      <c r="AT61" s="21">
        <v>51</v>
      </c>
      <c r="AU61" s="21">
        <v>1.3525400000000001</v>
      </c>
      <c r="AV61">
        <f t="shared" si="8"/>
        <v>12.862592592592591</v>
      </c>
      <c r="AW61">
        <f t="shared" si="9"/>
        <v>17.405017166666667</v>
      </c>
      <c r="AX61" s="9"/>
      <c r="AY61" s="21">
        <v>0.15686</v>
      </c>
      <c r="AZ61" s="21">
        <v>26.154800000000002</v>
      </c>
      <c r="BA61" s="21">
        <v>-1.44928E-2</v>
      </c>
      <c r="BB61" s="21">
        <v>51</v>
      </c>
      <c r="BC61" s="21">
        <v>0.15631100000000001</v>
      </c>
      <c r="BD61">
        <f t="shared" si="10"/>
        <v>17.892345679012344</v>
      </c>
      <c r="BE61">
        <f t="shared" si="11"/>
        <v>2.8065933432098764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1.3481099999999999</v>
      </c>
      <c r="H62" s="21">
        <v>5.6150099999999998</v>
      </c>
      <c r="I62" s="21">
        <v>-1.0434000000000001E-2</v>
      </c>
      <c r="J62" s="21">
        <v>52</v>
      </c>
      <c r="K62" s="21">
        <v>1.3470500000000001</v>
      </c>
      <c r="L62">
        <f t="shared" si="0"/>
        <v>12.881481481481481</v>
      </c>
      <c r="M62">
        <f t="shared" si="1"/>
        <v>17.365653999999999</v>
      </c>
      <c r="N62" s="9"/>
      <c r="O62" s="21">
        <v>0.16189600000000001</v>
      </c>
      <c r="P62" s="21">
        <v>9.0515100000000004</v>
      </c>
      <c r="Q62" s="21">
        <v>-1.4578199999999999E-2</v>
      </c>
      <c r="R62" s="21">
        <v>52</v>
      </c>
      <c r="S62" s="21">
        <v>0.16134599999999999</v>
      </c>
      <c r="T62">
        <f t="shared" si="2"/>
        <v>17.997777777777777</v>
      </c>
      <c r="U62">
        <f t="shared" si="3"/>
        <v>2.9137682311111113</v>
      </c>
      <c r="X62" s="9"/>
      <c r="Y62" s="21">
        <v>1.3481099999999999</v>
      </c>
      <c r="Z62" s="21">
        <v>14.1492</v>
      </c>
      <c r="AA62" s="21">
        <v>-1.0534699999999999E-2</v>
      </c>
      <c r="AB62" s="21">
        <v>52</v>
      </c>
      <c r="AC62" s="21">
        <v>1.34735</v>
      </c>
      <c r="AD62">
        <f t="shared" si="4"/>
        <v>13.0058024691358</v>
      </c>
      <c r="AE62">
        <f t="shared" si="5"/>
        <v>17.533252366666662</v>
      </c>
      <c r="AF62" s="9"/>
      <c r="AG62" s="21">
        <v>0.16189600000000001</v>
      </c>
      <c r="AH62" s="21">
        <v>17.585699999999999</v>
      </c>
      <c r="AI62" s="21">
        <v>-1.45203E-2</v>
      </c>
      <c r="AJ62" s="21">
        <v>52</v>
      </c>
      <c r="AK62" s="21">
        <v>0.16134599999999999</v>
      </c>
      <c r="AL62">
        <f t="shared" si="6"/>
        <v>17.926296296296293</v>
      </c>
      <c r="AM62">
        <f t="shared" si="7"/>
        <v>2.902195665185185</v>
      </c>
      <c r="AP62" s="9"/>
      <c r="AQ62" s="21">
        <v>1.3481099999999999</v>
      </c>
      <c r="AR62" s="21">
        <v>22.728400000000001</v>
      </c>
      <c r="AS62" s="21">
        <v>-1.0495000000000001E-2</v>
      </c>
      <c r="AT62" s="21">
        <v>52</v>
      </c>
      <c r="AU62" s="21">
        <v>1.34735</v>
      </c>
      <c r="AV62">
        <f t="shared" si="8"/>
        <v>12.956790123456791</v>
      </c>
      <c r="AW62">
        <f t="shared" si="9"/>
        <v>17.467178333333333</v>
      </c>
      <c r="AX62" s="9"/>
      <c r="AY62" s="21">
        <v>0.16189600000000001</v>
      </c>
      <c r="AZ62" s="21">
        <v>26.164899999999999</v>
      </c>
      <c r="BA62" s="21">
        <v>-1.44867E-2</v>
      </c>
      <c r="BB62" s="21">
        <v>52</v>
      </c>
      <c r="BC62" s="21">
        <v>0.16137699999999999</v>
      </c>
      <c r="BD62">
        <f t="shared" si="10"/>
        <v>17.884814814814817</v>
      </c>
      <c r="BE62">
        <f t="shared" si="11"/>
        <v>2.8954799792592598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1.3430800000000001</v>
      </c>
      <c r="H63" s="21">
        <v>5.6250900000000001</v>
      </c>
      <c r="I63" s="21">
        <v>-1.05072E-2</v>
      </c>
      <c r="J63" s="21">
        <v>53</v>
      </c>
      <c r="K63" s="21">
        <v>1.34277</v>
      </c>
      <c r="L63">
        <f t="shared" si="0"/>
        <v>12.97185185185185</v>
      </c>
      <c r="M63">
        <f t="shared" si="1"/>
        <v>17.422234785185182</v>
      </c>
      <c r="N63" s="9"/>
      <c r="O63" s="21">
        <v>0.166931</v>
      </c>
      <c r="P63" s="21">
        <v>9.0615799999999993</v>
      </c>
      <c r="Q63" s="21">
        <v>-1.4572099999999999E-2</v>
      </c>
      <c r="R63" s="21">
        <v>53</v>
      </c>
      <c r="S63" s="21">
        <v>0.16650400000000001</v>
      </c>
      <c r="T63">
        <f t="shared" si="2"/>
        <v>17.990246913580243</v>
      </c>
      <c r="U63">
        <f t="shared" si="3"/>
        <v>3.0031299075308637</v>
      </c>
      <c r="X63" s="9"/>
      <c r="Y63" s="21">
        <v>1.3430800000000001</v>
      </c>
      <c r="Z63" s="21">
        <v>14.1593</v>
      </c>
      <c r="AA63" s="21">
        <v>-1.06049E-2</v>
      </c>
      <c r="AB63" s="21">
        <v>53</v>
      </c>
      <c r="AC63" s="21">
        <v>1.3424700000000001</v>
      </c>
      <c r="AD63">
        <f t="shared" si="4"/>
        <v>13.092469135802469</v>
      </c>
      <c r="AE63">
        <f t="shared" si="5"/>
        <v>17.584233446913579</v>
      </c>
      <c r="AF63" s="9"/>
      <c r="AG63" s="21">
        <v>0.166931</v>
      </c>
      <c r="AH63" s="21">
        <v>17.595800000000001</v>
      </c>
      <c r="AI63" s="21">
        <v>-1.45142E-2</v>
      </c>
      <c r="AJ63" s="21">
        <v>53</v>
      </c>
      <c r="AK63" s="21">
        <v>0.166351</v>
      </c>
      <c r="AL63">
        <f t="shared" si="6"/>
        <v>17.918765432098763</v>
      </c>
      <c r="AM63">
        <f t="shared" si="7"/>
        <v>2.9911974323456785</v>
      </c>
      <c r="AP63" s="9"/>
      <c r="AQ63" s="21">
        <v>1.3430800000000001</v>
      </c>
      <c r="AR63" s="21">
        <v>22.738499999999998</v>
      </c>
      <c r="AS63" s="21">
        <v>-1.05713E-2</v>
      </c>
      <c r="AT63" s="21">
        <v>53</v>
      </c>
      <c r="AU63" s="21">
        <v>1.3418600000000001</v>
      </c>
      <c r="AV63">
        <f t="shared" si="8"/>
        <v>13.050987654320988</v>
      </c>
      <c r="AW63">
        <f t="shared" si="9"/>
        <v>17.528520498765435</v>
      </c>
      <c r="AX63" s="9"/>
      <c r="AY63" s="21">
        <v>0.166931</v>
      </c>
      <c r="AZ63" s="21">
        <v>26.175000000000001</v>
      </c>
      <c r="BA63" s="21">
        <v>-1.44745E-2</v>
      </c>
      <c r="BB63" s="21">
        <v>53</v>
      </c>
      <c r="BC63" s="21">
        <v>0.16628999999999999</v>
      </c>
      <c r="BD63">
        <f t="shared" si="10"/>
        <v>17.869753086419752</v>
      </c>
      <c r="BE63">
        <f t="shared" si="11"/>
        <v>2.9830157524691354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1.3380399999999999</v>
      </c>
      <c r="H64" s="21">
        <v>5.6351599999999999</v>
      </c>
      <c r="I64" s="21">
        <v>-1.05743E-2</v>
      </c>
      <c r="J64" s="21">
        <v>54</v>
      </c>
      <c r="K64" s="21">
        <v>1.3369800000000001</v>
      </c>
      <c r="L64">
        <f t="shared" si="0"/>
        <v>13.054691358024691</v>
      </c>
      <c r="M64">
        <f t="shared" si="1"/>
        <v>17.467699224691355</v>
      </c>
      <c r="N64" s="9"/>
      <c r="O64" s="21">
        <v>0.17196700000000001</v>
      </c>
      <c r="P64" s="21">
        <v>9.07165</v>
      </c>
      <c r="Q64" s="21">
        <v>-1.45752E-2</v>
      </c>
      <c r="R64" s="21">
        <v>54</v>
      </c>
      <c r="S64" s="21">
        <v>0.17138700000000001</v>
      </c>
      <c r="T64">
        <f t="shared" si="2"/>
        <v>17.994074074074071</v>
      </c>
      <c r="U64">
        <f t="shared" si="3"/>
        <v>3.0943869362962957</v>
      </c>
      <c r="X64" s="9"/>
      <c r="Y64" s="21">
        <v>1.3380399999999999</v>
      </c>
      <c r="Z64" s="21">
        <v>14.1694</v>
      </c>
      <c r="AA64" s="21">
        <v>-1.0678099999999999E-2</v>
      </c>
      <c r="AB64" s="21">
        <v>54</v>
      </c>
      <c r="AC64" s="21">
        <v>1.33728</v>
      </c>
      <c r="AD64">
        <f t="shared" si="4"/>
        <v>13.182839506172838</v>
      </c>
      <c r="AE64">
        <f t="shared" si="5"/>
        <v>17.639166572839503</v>
      </c>
      <c r="AF64" s="9"/>
      <c r="AG64" s="21">
        <v>0.17196700000000001</v>
      </c>
      <c r="AH64" s="21">
        <v>17.605899999999998</v>
      </c>
      <c r="AI64" s="21">
        <v>-1.4501999999999999E-2</v>
      </c>
      <c r="AJ64" s="21">
        <v>54</v>
      </c>
      <c r="AK64" s="21">
        <v>0.17138700000000001</v>
      </c>
      <c r="AL64">
        <f t="shared" si="6"/>
        <v>17.903703703703702</v>
      </c>
      <c r="AM64">
        <f t="shared" si="7"/>
        <v>3.0788462148148148</v>
      </c>
      <c r="AP64" s="9"/>
      <c r="AQ64" s="21">
        <v>1.3380399999999999</v>
      </c>
      <c r="AR64" s="21">
        <v>22.7486</v>
      </c>
      <c r="AS64" s="21">
        <v>-1.0638399999999999E-2</v>
      </c>
      <c r="AT64" s="21">
        <v>54</v>
      </c>
      <c r="AU64" s="21">
        <v>1.3369800000000001</v>
      </c>
      <c r="AV64">
        <f t="shared" si="8"/>
        <v>13.133827160493826</v>
      </c>
      <c r="AW64">
        <f t="shared" si="9"/>
        <v>17.573586093827156</v>
      </c>
      <c r="AX64" s="9"/>
      <c r="AY64" s="21">
        <v>0.17196700000000001</v>
      </c>
      <c r="AZ64" s="21">
        <v>26.185099999999998</v>
      </c>
      <c r="BA64" s="21">
        <v>-1.4456200000000001E-2</v>
      </c>
      <c r="BB64" s="21">
        <v>54</v>
      </c>
      <c r="BC64" s="21">
        <v>0.17135600000000001</v>
      </c>
      <c r="BD64">
        <f t="shared" si="10"/>
        <v>17.847160493827161</v>
      </c>
      <c r="BE64">
        <f t="shared" si="11"/>
        <v>3.0691226486419754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1.33301</v>
      </c>
      <c r="H65" s="21">
        <v>5.6452299999999997</v>
      </c>
      <c r="I65" s="21">
        <v>-1.0644499999999999E-2</v>
      </c>
      <c r="J65" s="21">
        <v>55</v>
      </c>
      <c r="K65" s="21">
        <v>1.33209</v>
      </c>
      <c r="L65">
        <f t="shared" si="0"/>
        <v>13.141358024691357</v>
      </c>
      <c r="M65">
        <f t="shared" si="1"/>
        <v>17.517561660493826</v>
      </c>
      <c r="N65" s="9"/>
      <c r="O65" s="21">
        <v>0.17700199999999999</v>
      </c>
      <c r="P65" s="21">
        <v>9.0817200000000007</v>
      </c>
      <c r="Q65" s="21">
        <v>-1.4563E-2</v>
      </c>
      <c r="R65" s="21">
        <v>55</v>
      </c>
      <c r="S65" s="21">
        <v>0.17639199999999999</v>
      </c>
      <c r="T65">
        <f t="shared" si="2"/>
        <v>17.979012345679013</v>
      </c>
      <c r="U65">
        <f t="shared" si="3"/>
        <v>3.1823211432098768</v>
      </c>
      <c r="X65" s="9"/>
      <c r="Y65" s="21">
        <v>1.33301</v>
      </c>
      <c r="Z65" s="21">
        <v>14.179399999999999</v>
      </c>
      <c r="AA65" s="21">
        <v>-1.0748300000000001E-2</v>
      </c>
      <c r="AB65" s="21">
        <v>55</v>
      </c>
      <c r="AC65" s="21">
        <v>1.3327</v>
      </c>
      <c r="AD65">
        <f t="shared" si="4"/>
        <v>13.269506172839506</v>
      </c>
      <c r="AE65">
        <f t="shared" si="5"/>
        <v>17.688384423456789</v>
      </c>
      <c r="AF65" s="9"/>
      <c r="AG65" s="21">
        <v>0.17700199999999999</v>
      </c>
      <c r="AH65" s="21">
        <v>17.616</v>
      </c>
      <c r="AI65" s="21">
        <v>-1.44989E-2</v>
      </c>
      <c r="AJ65" s="21">
        <v>55</v>
      </c>
      <c r="AK65" s="21">
        <v>0.176453</v>
      </c>
      <c r="AL65">
        <f t="shared" si="6"/>
        <v>17.899876543209874</v>
      </c>
      <c r="AM65">
        <f t="shared" si="7"/>
        <v>3.1683139479012339</v>
      </c>
      <c r="AP65" s="9"/>
      <c r="AQ65" s="21">
        <v>1.33301</v>
      </c>
      <c r="AR65" s="21">
        <v>22.758600000000001</v>
      </c>
      <c r="AS65" s="21">
        <v>-1.0705599999999999E-2</v>
      </c>
      <c r="AT65" s="21">
        <v>55</v>
      </c>
      <c r="AU65" s="21">
        <v>1.3324</v>
      </c>
      <c r="AV65">
        <f t="shared" si="8"/>
        <v>13.216790123456789</v>
      </c>
      <c r="AW65">
        <f t="shared" si="9"/>
        <v>17.618113402469135</v>
      </c>
      <c r="AX65" s="9"/>
      <c r="AY65" s="21">
        <v>0.17700199999999999</v>
      </c>
      <c r="AZ65" s="21">
        <v>26.1951</v>
      </c>
      <c r="BA65" s="21">
        <v>-1.44318E-2</v>
      </c>
      <c r="BB65" s="21">
        <v>55</v>
      </c>
      <c r="BC65" s="21">
        <v>0.17633099999999999</v>
      </c>
      <c r="BD65">
        <f t="shared" si="10"/>
        <v>17.817037037037036</v>
      </c>
      <c r="BE65">
        <f t="shared" si="11"/>
        <v>3.1536511896296293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1.3279700000000001</v>
      </c>
      <c r="H66" s="21">
        <v>5.6553000000000004</v>
      </c>
      <c r="I66" s="21">
        <v>-1.0726899999999999E-2</v>
      </c>
      <c r="J66" s="21">
        <v>56</v>
      </c>
      <c r="K66" s="21">
        <v>1.32782</v>
      </c>
      <c r="L66">
        <f t="shared" si="0"/>
        <v>13.243086419753084</v>
      </c>
      <c r="M66">
        <f t="shared" si="1"/>
        <v>17.586421472839504</v>
      </c>
      <c r="N66" s="9"/>
      <c r="O66" s="21">
        <v>0.182037</v>
      </c>
      <c r="P66" s="21">
        <v>9.0917899999999996</v>
      </c>
      <c r="Q66" s="21">
        <v>-1.4556899999999999E-2</v>
      </c>
      <c r="R66" s="21">
        <v>56</v>
      </c>
      <c r="S66" s="21">
        <v>0.18157999999999999</v>
      </c>
      <c r="T66">
        <f t="shared" si="2"/>
        <v>17.971481481481479</v>
      </c>
      <c r="U66">
        <f t="shared" si="3"/>
        <v>3.271474574444444</v>
      </c>
      <c r="X66" s="9"/>
      <c r="Y66" s="21">
        <v>1.3279700000000001</v>
      </c>
      <c r="Z66" s="21">
        <v>14.189500000000001</v>
      </c>
      <c r="AA66" s="21">
        <v>-1.0815399999999999E-2</v>
      </c>
      <c r="AB66" s="21">
        <v>56</v>
      </c>
      <c r="AC66" s="21">
        <v>1.32721</v>
      </c>
      <c r="AD66">
        <f t="shared" si="4"/>
        <v>13.352345679012345</v>
      </c>
      <c r="AE66">
        <f t="shared" si="5"/>
        <v>17.731514491358023</v>
      </c>
      <c r="AF66" s="9"/>
      <c r="AG66" s="21">
        <v>0.182037</v>
      </c>
      <c r="AH66" s="21">
        <v>17.626000000000001</v>
      </c>
      <c r="AI66" s="21">
        <v>-1.44928E-2</v>
      </c>
      <c r="AJ66" s="21">
        <v>56</v>
      </c>
      <c r="AK66" s="21">
        <v>0.18154899999999999</v>
      </c>
      <c r="AL66">
        <f t="shared" si="6"/>
        <v>17.892345679012344</v>
      </c>
      <c r="AM66">
        <f t="shared" si="7"/>
        <v>3.2570689303703699</v>
      </c>
      <c r="AP66" s="9"/>
      <c r="AQ66" s="21">
        <v>1.3279700000000001</v>
      </c>
      <c r="AR66" s="21">
        <v>22.768699999999999</v>
      </c>
      <c r="AS66" s="21">
        <v>-1.07727E-2</v>
      </c>
      <c r="AT66" s="21">
        <v>56</v>
      </c>
      <c r="AU66" s="21">
        <v>1.3266</v>
      </c>
      <c r="AV66">
        <f t="shared" si="8"/>
        <v>13.299629629629628</v>
      </c>
      <c r="AW66">
        <f t="shared" si="9"/>
        <v>17.661509159259257</v>
      </c>
      <c r="AX66" s="9"/>
      <c r="AY66" s="21">
        <v>0.182037</v>
      </c>
      <c r="AZ66" s="21">
        <v>26.205200000000001</v>
      </c>
      <c r="BA66" s="21">
        <v>-1.4419599999999999E-2</v>
      </c>
      <c r="BB66" s="21">
        <v>56</v>
      </c>
      <c r="BC66" s="21">
        <v>0.18151900000000001</v>
      </c>
      <c r="BD66">
        <f t="shared" si="10"/>
        <v>17.801975308641975</v>
      </c>
      <c r="BE66">
        <f t="shared" si="11"/>
        <v>3.2406181792592594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1.32294</v>
      </c>
      <c r="H67" s="21">
        <v>5.6653700000000002</v>
      </c>
      <c r="I67" s="21">
        <v>-1.0815399999999999E-2</v>
      </c>
      <c r="J67" s="21">
        <v>57</v>
      </c>
      <c r="K67" s="21">
        <v>1.32263</v>
      </c>
      <c r="L67">
        <f t="shared" si="0"/>
        <v>13.352345679012345</v>
      </c>
      <c r="M67">
        <f t="shared" si="1"/>
        <v>17.664352192592592</v>
      </c>
      <c r="N67" s="9"/>
      <c r="O67" s="21">
        <v>0.18707299999999999</v>
      </c>
      <c r="P67" s="21">
        <v>9.1018600000000003</v>
      </c>
      <c r="Q67" s="21">
        <v>-1.45538E-2</v>
      </c>
      <c r="R67" s="21">
        <v>57</v>
      </c>
      <c r="S67" s="21">
        <v>0.18643199999999999</v>
      </c>
      <c r="T67">
        <f t="shared" si="2"/>
        <v>17.967654320987652</v>
      </c>
      <c r="U67">
        <f t="shared" si="3"/>
        <v>3.3612629967901229</v>
      </c>
      <c r="X67" s="9"/>
      <c r="Y67" s="21">
        <v>1.32294</v>
      </c>
      <c r="Z67" s="21">
        <v>14.1996</v>
      </c>
      <c r="AA67" s="21">
        <v>-1.0876500000000001E-2</v>
      </c>
      <c r="AB67" s="21">
        <v>57</v>
      </c>
      <c r="AC67" s="21">
        <v>1.32263</v>
      </c>
      <c r="AD67">
        <f t="shared" si="4"/>
        <v>13.427777777777779</v>
      </c>
      <c r="AE67">
        <f t="shared" si="5"/>
        <v>17.764144333333334</v>
      </c>
      <c r="AF67" s="9"/>
      <c r="AG67" s="21">
        <v>0.18707299999999999</v>
      </c>
      <c r="AH67" s="21">
        <v>17.636099999999999</v>
      </c>
      <c r="AI67" s="21">
        <v>-1.44867E-2</v>
      </c>
      <c r="AJ67" s="21">
        <v>57</v>
      </c>
      <c r="AK67" s="21">
        <v>0.18652299999999999</v>
      </c>
      <c r="AL67">
        <f t="shared" si="6"/>
        <v>17.884814814814817</v>
      </c>
      <c r="AM67">
        <f t="shared" si="7"/>
        <v>3.345765961851852</v>
      </c>
      <c r="AP67" s="9"/>
      <c r="AQ67" s="21">
        <v>1.32294</v>
      </c>
      <c r="AR67" s="21">
        <v>22.7788</v>
      </c>
      <c r="AS67" s="21">
        <v>-1.08337E-2</v>
      </c>
      <c r="AT67" s="21">
        <v>57</v>
      </c>
      <c r="AU67" s="21">
        <v>1.32202</v>
      </c>
      <c r="AV67">
        <f t="shared" si="8"/>
        <v>13.374938271604938</v>
      </c>
      <c r="AW67">
        <f t="shared" si="9"/>
        <v>17.694240837037036</v>
      </c>
      <c r="AX67" s="9"/>
      <c r="AY67" s="21">
        <v>0.18707299999999999</v>
      </c>
      <c r="AZ67" s="21">
        <v>26.215299999999999</v>
      </c>
      <c r="BA67" s="21">
        <v>-1.44043E-2</v>
      </c>
      <c r="BB67" s="21">
        <v>57</v>
      </c>
      <c r="BC67" s="21">
        <v>0.186554</v>
      </c>
      <c r="BD67">
        <f t="shared" si="10"/>
        <v>17.783086419753086</v>
      </c>
      <c r="BE67">
        <f t="shared" si="11"/>
        <v>3.3267353258024688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1.3179000000000001</v>
      </c>
      <c r="H68" s="21">
        <v>5.67544</v>
      </c>
      <c r="I68" s="21">
        <v>-1.08856E-2</v>
      </c>
      <c r="J68" s="21">
        <v>58</v>
      </c>
      <c r="K68" s="21">
        <v>1.3174399999999999</v>
      </c>
      <c r="L68">
        <f t="shared" si="0"/>
        <v>13.439012345679012</v>
      </c>
      <c r="M68">
        <f t="shared" si="1"/>
        <v>17.711274370370372</v>
      </c>
      <c r="N68" s="9"/>
      <c r="O68" s="21">
        <v>0.192108</v>
      </c>
      <c r="P68" s="21">
        <v>9.1119299999999992</v>
      </c>
      <c r="Q68" s="21">
        <v>-1.45416E-2</v>
      </c>
      <c r="R68" s="21">
        <v>58</v>
      </c>
      <c r="S68" s="21">
        <v>0.191498</v>
      </c>
      <c r="T68">
        <f t="shared" si="2"/>
        <v>17.952592592592595</v>
      </c>
      <c r="U68">
        <f t="shared" si="3"/>
        <v>3.448836657777778</v>
      </c>
      <c r="X68" s="9"/>
      <c r="Y68" s="21">
        <v>1.3179000000000001</v>
      </c>
      <c r="Z68" s="21">
        <v>14.2096</v>
      </c>
      <c r="AA68" s="21">
        <v>-1.09558E-2</v>
      </c>
      <c r="AB68" s="21">
        <v>58</v>
      </c>
      <c r="AC68" s="21">
        <v>1.31714</v>
      </c>
      <c r="AD68">
        <f t="shared" si="4"/>
        <v>13.525679012345678</v>
      </c>
      <c r="AE68">
        <f t="shared" si="5"/>
        <v>17.82549237037037</v>
      </c>
      <c r="AF68" s="9"/>
      <c r="AG68" s="21">
        <v>0.192108</v>
      </c>
      <c r="AH68" s="21">
        <v>17.6462</v>
      </c>
      <c r="AI68" s="21">
        <v>-1.4483599999999999E-2</v>
      </c>
      <c r="AJ68" s="21">
        <v>58</v>
      </c>
      <c r="AK68" s="21">
        <v>0.191467</v>
      </c>
      <c r="AL68">
        <f t="shared" si="6"/>
        <v>17.880987654320986</v>
      </c>
      <c r="AM68">
        <f t="shared" si="7"/>
        <v>3.4350807762962958</v>
      </c>
      <c r="AP68" s="9"/>
      <c r="AQ68" s="21">
        <v>1.3179000000000001</v>
      </c>
      <c r="AR68" s="21">
        <v>22.788900000000002</v>
      </c>
      <c r="AS68" s="21">
        <v>-1.08856E-2</v>
      </c>
      <c r="AT68" s="21">
        <v>58</v>
      </c>
      <c r="AU68" s="21">
        <v>1.31714</v>
      </c>
      <c r="AV68">
        <f t="shared" si="8"/>
        <v>13.439012345679012</v>
      </c>
      <c r="AW68">
        <f t="shared" si="9"/>
        <v>17.711274370370372</v>
      </c>
      <c r="AX68" s="9"/>
      <c r="AY68" s="21">
        <v>0.192108</v>
      </c>
      <c r="AZ68" s="21">
        <v>26.225300000000001</v>
      </c>
      <c r="BA68" s="21">
        <v>-1.4395099999999999E-2</v>
      </c>
      <c r="BB68" s="21">
        <v>58</v>
      </c>
      <c r="BC68" s="21">
        <v>0.191528</v>
      </c>
      <c r="BD68">
        <f t="shared" si="10"/>
        <v>17.771728395061729</v>
      </c>
      <c r="BE68">
        <f t="shared" si="11"/>
        <v>3.4140911985185185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1.31287</v>
      </c>
      <c r="H69" s="21">
        <v>5.6855099999999998</v>
      </c>
      <c r="I69" s="21">
        <v>-1.0958900000000001E-2</v>
      </c>
      <c r="J69" s="21">
        <v>59</v>
      </c>
      <c r="K69" s="21">
        <v>1.3119499999999999</v>
      </c>
      <c r="L69">
        <f t="shared" si="0"/>
        <v>13.529506172839508</v>
      </c>
      <c r="M69">
        <f t="shared" si="1"/>
        <v>17.762482769135804</v>
      </c>
      <c r="N69" s="9"/>
      <c r="O69" s="21">
        <v>0.19714400000000001</v>
      </c>
      <c r="P69" s="21">
        <v>9.1219999999999999</v>
      </c>
      <c r="Q69" s="21">
        <v>-1.4523299999999999E-2</v>
      </c>
      <c r="R69" s="21">
        <v>59</v>
      </c>
      <c r="S69" s="21">
        <v>0.19650300000000001</v>
      </c>
      <c r="T69">
        <f t="shared" si="2"/>
        <v>17.93</v>
      </c>
      <c r="U69">
        <f t="shared" si="3"/>
        <v>3.53479192</v>
      </c>
      <c r="X69" s="9"/>
      <c r="Y69" s="21">
        <v>1.31287</v>
      </c>
      <c r="Z69" s="21">
        <v>14.2197</v>
      </c>
      <c r="AA69" s="21">
        <v>-1.10321E-2</v>
      </c>
      <c r="AB69" s="21">
        <v>59</v>
      </c>
      <c r="AC69" s="21">
        <v>1.31165</v>
      </c>
      <c r="AD69">
        <f t="shared" si="4"/>
        <v>13.619876543209877</v>
      </c>
      <c r="AE69">
        <f t="shared" si="5"/>
        <v>17.881127317283951</v>
      </c>
      <c r="AF69" s="9"/>
      <c r="AG69" s="21">
        <v>0.19714400000000001</v>
      </c>
      <c r="AH69" s="21">
        <v>17.656199999999998</v>
      </c>
      <c r="AI69" s="21">
        <v>-1.44806E-2</v>
      </c>
      <c r="AJ69" s="21">
        <v>59</v>
      </c>
      <c r="AK69" s="21">
        <v>0.19662499999999999</v>
      </c>
      <c r="AL69">
        <f t="shared" si="6"/>
        <v>17.877283950617283</v>
      </c>
      <c r="AM69">
        <f t="shared" si="7"/>
        <v>3.524399267160494</v>
      </c>
      <c r="AP69" s="9"/>
      <c r="AQ69" s="21">
        <v>1.31287</v>
      </c>
      <c r="AR69" s="21">
        <v>22.7989</v>
      </c>
      <c r="AS69" s="21">
        <v>-1.09558E-2</v>
      </c>
      <c r="AT69" s="21">
        <v>59</v>
      </c>
      <c r="AU69" s="21">
        <v>1.31226</v>
      </c>
      <c r="AV69">
        <f t="shared" si="8"/>
        <v>13.525679012345678</v>
      </c>
      <c r="AW69">
        <f t="shared" si="9"/>
        <v>17.757458204938271</v>
      </c>
      <c r="AX69" s="9"/>
      <c r="AY69" s="21">
        <v>0.19714400000000001</v>
      </c>
      <c r="AZ69" s="21">
        <v>26.235399999999998</v>
      </c>
      <c r="BA69" s="21">
        <v>-1.4395099999999999E-2</v>
      </c>
      <c r="BB69" s="21">
        <v>59</v>
      </c>
      <c r="BC69" s="21">
        <v>0.19656399999999999</v>
      </c>
      <c r="BD69">
        <f t="shared" si="10"/>
        <v>17.771728395061729</v>
      </c>
      <c r="BE69">
        <f t="shared" si="11"/>
        <v>3.5035896227160497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1.30783</v>
      </c>
      <c r="H70" s="21">
        <v>5.6955799999999996</v>
      </c>
      <c r="I70" s="21">
        <v>-1.1025999999999999E-2</v>
      </c>
      <c r="J70" s="21">
        <v>60</v>
      </c>
      <c r="K70" s="21">
        <v>1.3073699999999999</v>
      </c>
      <c r="L70">
        <f t="shared" si="0"/>
        <v>13.612345679012344</v>
      </c>
      <c r="M70">
        <f t="shared" si="1"/>
        <v>17.802634049382714</v>
      </c>
      <c r="N70" s="9"/>
      <c r="O70" s="21">
        <v>0.202179</v>
      </c>
      <c r="P70" s="21">
        <v>9.1320700000000006</v>
      </c>
      <c r="Q70" s="21">
        <v>-1.4511100000000001E-2</v>
      </c>
      <c r="R70" s="21">
        <v>60</v>
      </c>
      <c r="S70" s="21">
        <v>0.201599</v>
      </c>
      <c r="T70">
        <f t="shared" si="2"/>
        <v>17.914938271604939</v>
      </c>
      <c r="U70">
        <f t="shared" si="3"/>
        <v>3.6220243048148149</v>
      </c>
      <c r="X70" s="9"/>
      <c r="Y70" s="21">
        <v>1.30783</v>
      </c>
      <c r="Z70" s="21">
        <v>14.229799999999999</v>
      </c>
      <c r="AA70" s="21">
        <v>-1.10992E-2</v>
      </c>
      <c r="AB70" s="21">
        <v>60</v>
      </c>
      <c r="AC70" s="21">
        <v>1.3067599999999999</v>
      </c>
      <c r="AD70">
        <f t="shared" si="4"/>
        <v>13.702716049382715</v>
      </c>
      <c r="AE70">
        <f t="shared" si="5"/>
        <v>17.920823130864196</v>
      </c>
      <c r="AF70" s="9"/>
      <c r="AG70" s="21">
        <v>0.202179</v>
      </c>
      <c r="AH70" s="21">
        <v>17.6663</v>
      </c>
      <c r="AI70" s="21">
        <v>-1.4468399999999999E-2</v>
      </c>
      <c r="AJ70" s="21">
        <v>60</v>
      </c>
      <c r="AK70" s="21">
        <v>0.201599</v>
      </c>
      <c r="AL70">
        <f t="shared" si="6"/>
        <v>17.862222222222222</v>
      </c>
      <c r="AM70">
        <f t="shared" si="7"/>
        <v>3.6113662266666666</v>
      </c>
      <c r="AP70" s="9"/>
      <c r="AQ70" s="21">
        <v>1.30783</v>
      </c>
      <c r="AR70" s="21">
        <v>22.809000000000001</v>
      </c>
      <c r="AS70" s="21">
        <v>-1.10077E-2</v>
      </c>
      <c r="AT70" s="21">
        <v>60</v>
      </c>
      <c r="AU70" s="21">
        <v>1.30768</v>
      </c>
      <c r="AV70">
        <f t="shared" si="8"/>
        <v>13.589753086419753</v>
      </c>
      <c r="AW70">
        <f t="shared" si="9"/>
        <v>17.773086779012345</v>
      </c>
      <c r="AX70" s="9"/>
      <c r="AY70" s="21">
        <v>0.202179</v>
      </c>
      <c r="AZ70" s="21">
        <v>26.2455</v>
      </c>
      <c r="BA70" s="21">
        <v>-1.43921E-2</v>
      </c>
      <c r="BB70" s="21">
        <v>60</v>
      </c>
      <c r="BC70" s="21">
        <v>0.201599</v>
      </c>
      <c r="BD70">
        <f t="shared" si="10"/>
        <v>17.768024691358022</v>
      </c>
      <c r="BE70">
        <f t="shared" si="11"/>
        <v>3.5923214640740735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1.3028</v>
      </c>
      <c r="H71" s="21">
        <v>5.7056500000000003</v>
      </c>
      <c r="I71" s="21">
        <v>-1.1084E-2</v>
      </c>
      <c r="J71" s="21">
        <v>61</v>
      </c>
      <c r="K71" s="21">
        <v>1.3018799999999999</v>
      </c>
      <c r="L71">
        <f t="shared" si="0"/>
        <v>13.68395061728395</v>
      </c>
      <c r="M71">
        <f t="shared" si="1"/>
        <v>17.82745086419753</v>
      </c>
      <c r="N71" s="9"/>
      <c r="O71" s="21">
        <v>0.20721400000000001</v>
      </c>
      <c r="P71" s="21">
        <v>9.1421399999999995</v>
      </c>
      <c r="Q71" s="21">
        <v>-1.4505000000000001E-2</v>
      </c>
      <c r="R71" s="21">
        <v>61</v>
      </c>
      <c r="S71" s="21">
        <v>0.206543</v>
      </c>
      <c r="T71">
        <f t="shared" si="2"/>
        <v>17.907407407407408</v>
      </c>
      <c r="U71">
        <f t="shared" si="3"/>
        <v>3.7106655185185189</v>
      </c>
      <c r="X71" s="9"/>
      <c r="Y71" s="21">
        <v>1.3028</v>
      </c>
      <c r="Z71" s="21">
        <v>14.2399</v>
      </c>
      <c r="AA71" s="21">
        <v>-1.1157200000000001E-2</v>
      </c>
      <c r="AB71" s="21">
        <v>61</v>
      </c>
      <c r="AC71" s="21">
        <v>1.30219</v>
      </c>
      <c r="AD71">
        <f t="shared" si="4"/>
        <v>13.77432098765432</v>
      </c>
      <c r="AE71">
        <f t="shared" si="5"/>
        <v>17.945185382716048</v>
      </c>
      <c r="AF71" s="9"/>
      <c r="AG71" s="21">
        <v>0.20721400000000001</v>
      </c>
      <c r="AH71" s="21">
        <v>17.676400000000001</v>
      </c>
      <c r="AI71" s="21">
        <v>-1.4447E-2</v>
      </c>
      <c r="AJ71" s="21">
        <v>61</v>
      </c>
      <c r="AK71" s="21">
        <v>0.20666499999999999</v>
      </c>
      <c r="AL71">
        <f t="shared" si="6"/>
        <v>17.8358024691358</v>
      </c>
      <c r="AM71">
        <f t="shared" si="7"/>
        <v>3.6958279728395058</v>
      </c>
      <c r="AP71" s="9"/>
      <c r="AQ71" s="21">
        <v>1.3028</v>
      </c>
      <c r="AR71" s="21">
        <v>22.819099999999999</v>
      </c>
      <c r="AS71" s="21">
        <v>-1.1059599999999999E-2</v>
      </c>
      <c r="AT71" s="21">
        <v>61</v>
      </c>
      <c r="AU71" s="21">
        <v>1.30219</v>
      </c>
      <c r="AV71">
        <f t="shared" si="8"/>
        <v>13.653827160493826</v>
      </c>
      <c r="AW71">
        <f t="shared" si="9"/>
        <v>17.788206024691355</v>
      </c>
      <c r="AX71" s="9"/>
      <c r="AY71" s="21">
        <v>0.20721400000000001</v>
      </c>
      <c r="AZ71" s="21">
        <v>26.255600000000001</v>
      </c>
      <c r="BA71" s="21">
        <v>-1.4395099999999999E-2</v>
      </c>
      <c r="BB71" s="21">
        <v>61</v>
      </c>
      <c r="BC71" s="21">
        <v>0.20663500000000001</v>
      </c>
      <c r="BD71">
        <f t="shared" si="10"/>
        <v>17.771728395061729</v>
      </c>
      <c r="BE71">
        <f t="shared" si="11"/>
        <v>3.6825509276543213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1.29776</v>
      </c>
      <c r="H72" s="21">
        <v>5.7157200000000001</v>
      </c>
      <c r="I72" s="21">
        <v>-1.1142000000000001E-2</v>
      </c>
      <c r="J72" s="21">
        <v>62</v>
      </c>
      <c r="K72" s="21">
        <v>1.2969999999999999</v>
      </c>
      <c r="L72">
        <f t="shared" si="0"/>
        <v>13.755555555555556</v>
      </c>
      <c r="M72">
        <f t="shared" si="1"/>
        <v>17.851409777777778</v>
      </c>
      <c r="N72" s="9"/>
      <c r="O72" s="21">
        <v>0.21224999999999999</v>
      </c>
      <c r="P72" s="21">
        <v>9.1522199999999998</v>
      </c>
      <c r="Q72" s="21">
        <v>-1.4501999999999999E-2</v>
      </c>
      <c r="R72" s="21">
        <v>62</v>
      </c>
      <c r="S72" s="21">
        <v>0.21151700000000001</v>
      </c>
      <c r="T72">
        <f t="shared" si="2"/>
        <v>17.903703703703702</v>
      </c>
      <c r="U72">
        <f t="shared" si="3"/>
        <v>3.8000611111111104</v>
      </c>
      <c r="X72" s="9"/>
      <c r="Y72" s="21">
        <v>1.29776</v>
      </c>
      <c r="Z72" s="21">
        <v>14.2499</v>
      </c>
      <c r="AA72" s="21">
        <v>-1.12122E-2</v>
      </c>
      <c r="AB72" s="21">
        <v>62</v>
      </c>
      <c r="AC72" s="21">
        <v>1.2966899999999999</v>
      </c>
      <c r="AD72">
        <f t="shared" si="4"/>
        <v>13.842222222222221</v>
      </c>
      <c r="AE72">
        <f t="shared" si="5"/>
        <v>17.96388231111111</v>
      </c>
      <c r="AF72" s="9"/>
      <c r="AG72" s="21">
        <v>0.21224999999999999</v>
      </c>
      <c r="AH72" s="21">
        <v>17.686499999999999</v>
      </c>
      <c r="AI72" s="21">
        <v>-1.44379E-2</v>
      </c>
      <c r="AJ72" s="21">
        <v>62</v>
      </c>
      <c r="AK72" s="21">
        <v>0.2117</v>
      </c>
      <c r="AL72">
        <f t="shared" si="6"/>
        <v>17.824567901234566</v>
      </c>
      <c r="AM72">
        <f t="shared" si="7"/>
        <v>3.7832645370370366</v>
      </c>
      <c r="AP72" s="9"/>
      <c r="AQ72" s="21">
        <v>1.29776</v>
      </c>
      <c r="AR72" s="21">
        <v>22.8291</v>
      </c>
      <c r="AS72" s="21">
        <v>-1.11206E-2</v>
      </c>
      <c r="AT72" s="21">
        <v>62</v>
      </c>
      <c r="AU72" s="21">
        <v>1.2969999999999999</v>
      </c>
      <c r="AV72">
        <f t="shared" si="8"/>
        <v>13.729135802469134</v>
      </c>
      <c r="AW72">
        <f t="shared" si="9"/>
        <v>17.817123279012343</v>
      </c>
      <c r="AX72" s="9"/>
      <c r="AY72" s="21">
        <v>0.21224999999999999</v>
      </c>
      <c r="AZ72" s="21">
        <v>26.265599999999999</v>
      </c>
      <c r="BA72" s="21">
        <v>-1.4389000000000001E-2</v>
      </c>
      <c r="BB72" s="21">
        <v>62</v>
      </c>
      <c r="BC72" s="21">
        <v>0.21167</v>
      </c>
      <c r="BD72">
        <f t="shared" si="10"/>
        <v>17.764197530864198</v>
      </c>
      <c r="BE72">
        <f t="shared" si="11"/>
        <v>3.770450925925926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1.2927200000000001</v>
      </c>
      <c r="H73" s="21">
        <v>5.7257999999999996</v>
      </c>
      <c r="I73" s="21">
        <v>-1.12E-2</v>
      </c>
      <c r="J73" s="21">
        <v>63</v>
      </c>
      <c r="K73" s="21">
        <v>1.2918099999999999</v>
      </c>
      <c r="L73">
        <f t="shared" si="0"/>
        <v>13.82716049382716</v>
      </c>
      <c r="M73">
        <f t="shared" si="1"/>
        <v>17.874646913580246</v>
      </c>
      <c r="N73" s="9"/>
      <c r="O73" s="21">
        <v>0.21728500000000001</v>
      </c>
      <c r="P73" s="21">
        <v>9.1622900000000005</v>
      </c>
      <c r="Q73" s="21">
        <v>-1.4505000000000001E-2</v>
      </c>
      <c r="R73" s="21">
        <v>63</v>
      </c>
      <c r="S73" s="21">
        <v>0.21673600000000001</v>
      </c>
      <c r="T73">
        <f t="shared" si="2"/>
        <v>17.907407407407408</v>
      </c>
      <c r="U73">
        <f t="shared" si="3"/>
        <v>3.8910110185185189</v>
      </c>
      <c r="X73" s="9"/>
      <c r="Y73" s="21">
        <v>1.2927200000000001</v>
      </c>
      <c r="Z73" s="21">
        <v>14.26</v>
      </c>
      <c r="AA73" s="21">
        <v>-1.1264E-2</v>
      </c>
      <c r="AB73" s="21">
        <v>63</v>
      </c>
      <c r="AC73" s="21">
        <v>1.2924199999999999</v>
      </c>
      <c r="AD73">
        <f t="shared" si="4"/>
        <v>13.906172839506171</v>
      </c>
      <c r="AE73">
        <f t="shared" si="5"/>
        <v>17.97678775308642</v>
      </c>
      <c r="AF73" s="9"/>
      <c r="AG73" s="21">
        <v>0.21728500000000001</v>
      </c>
      <c r="AH73" s="21">
        <v>17.6965</v>
      </c>
      <c r="AI73" s="21">
        <v>-1.4428699999999999E-2</v>
      </c>
      <c r="AJ73" s="21">
        <v>63</v>
      </c>
      <c r="AK73" s="21">
        <v>0.21670500000000001</v>
      </c>
      <c r="AL73">
        <f t="shared" si="6"/>
        <v>17.813209876543205</v>
      </c>
      <c r="AM73">
        <f t="shared" si="7"/>
        <v>3.8705433080246903</v>
      </c>
      <c r="AP73" s="9"/>
      <c r="AQ73" s="21">
        <v>1.2927200000000001</v>
      </c>
      <c r="AR73" s="21">
        <v>22.839200000000002</v>
      </c>
      <c r="AS73" s="21">
        <v>-1.11664E-2</v>
      </c>
      <c r="AT73" s="21">
        <v>63</v>
      </c>
      <c r="AU73" s="21">
        <v>1.2921100000000001</v>
      </c>
      <c r="AV73">
        <f t="shared" si="8"/>
        <v>13.785679012345678</v>
      </c>
      <c r="AW73">
        <f t="shared" si="9"/>
        <v>17.821022972839508</v>
      </c>
      <c r="AX73" s="9"/>
      <c r="AY73" s="21">
        <v>0.21728500000000001</v>
      </c>
      <c r="AZ73" s="21">
        <v>26.275700000000001</v>
      </c>
      <c r="BA73" s="21">
        <v>-1.4379899999999999E-2</v>
      </c>
      <c r="BB73" s="21">
        <v>63</v>
      </c>
      <c r="BC73" s="21">
        <v>0.21673600000000001</v>
      </c>
      <c r="BD73">
        <f t="shared" si="10"/>
        <v>17.752962962962961</v>
      </c>
      <c r="BE73">
        <f t="shared" si="11"/>
        <v>3.8574525574074072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1.28769</v>
      </c>
      <c r="H74" s="21">
        <v>5.7358700000000002</v>
      </c>
      <c r="I74" s="21">
        <v>-1.1251799999999999E-2</v>
      </c>
      <c r="J74" s="21">
        <v>64</v>
      </c>
      <c r="K74" s="21">
        <v>1.2872300000000001</v>
      </c>
      <c r="L74">
        <f t="shared" si="0"/>
        <v>13.89111111111111</v>
      </c>
      <c r="M74">
        <f t="shared" si="1"/>
        <v>17.887444866666666</v>
      </c>
      <c r="N74" s="9"/>
      <c r="O74" s="21">
        <v>0.22232099999999999</v>
      </c>
      <c r="P74" s="21">
        <v>9.1723599999999994</v>
      </c>
      <c r="Q74" s="21">
        <v>-1.44989E-2</v>
      </c>
      <c r="R74" s="21">
        <v>64</v>
      </c>
      <c r="S74" s="21">
        <v>0.221771</v>
      </c>
      <c r="T74">
        <f t="shared" si="2"/>
        <v>17.899876543209874</v>
      </c>
      <c r="U74">
        <f t="shared" si="3"/>
        <v>3.9795184529629624</v>
      </c>
      <c r="X74" s="9"/>
      <c r="Y74" s="21">
        <v>1.28769</v>
      </c>
      <c r="Z74" s="21">
        <v>14.270099999999999</v>
      </c>
      <c r="AA74" s="21">
        <v>-1.1306800000000001E-2</v>
      </c>
      <c r="AB74" s="21">
        <v>64</v>
      </c>
      <c r="AC74" s="21">
        <v>1.2866200000000001</v>
      </c>
      <c r="AD74">
        <f t="shared" si="4"/>
        <v>13.959012345679012</v>
      </c>
      <c r="AE74">
        <f t="shared" si="5"/>
        <v>17.974880607407407</v>
      </c>
      <c r="AF74" s="9"/>
      <c r="AG74" s="21">
        <v>0.22232099999999999</v>
      </c>
      <c r="AH74" s="21">
        <v>17.706600000000002</v>
      </c>
      <c r="AI74" s="21">
        <v>-1.44257E-2</v>
      </c>
      <c r="AJ74" s="21">
        <v>64</v>
      </c>
      <c r="AK74" s="21">
        <v>0.221771</v>
      </c>
      <c r="AL74">
        <f t="shared" si="6"/>
        <v>17.809506172839505</v>
      </c>
      <c r="AM74">
        <f t="shared" si="7"/>
        <v>3.9594272218518514</v>
      </c>
      <c r="AP74" s="9"/>
      <c r="AQ74" s="21">
        <v>1.28769</v>
      </c>
      <c r="AR74" s="21">
        <v>22.849299999999999</v>
      </c>
      <c r="AS74" s="21">
        <v>-1.12183E-2</v>
      </c>
      <c r="AT74" s="21">
        <v>64</v>
      </c>
      <c r="AU74" s="21">
        <v>1.2872300000000001</v>
      </c>
      <c r="AV74">
        <f t="shared" si="8"/>
        <v>13.849753086419753</v>
      </c>
      <c r="AW74">
        <f t="shared" si="9"/>
        <v>17.834188551851852</v>
      </c>
      <c r="AX74" s="9"/>
      <c r="AY74" s="21">
        <v>0.22232099999999999</v>
      </c>
      <c r="AZ74" s="21">
        <v>26.285799999999998</v>
      </c>
      <c r="BA74" s="21">
        <v>-1.43585E-2</v>
      </c>
      <c r="BB74" s="21">
        <v>64</v>
      </c>
      <c r="BC74" s="21">
        <v>0.22174099999999999</v>
      </c>
      <c r="BD74">
        <f t="shared" si="10"/>
        <v>17.726543209876542</v>
      </c>
      <c r="BE74">
        <f t="shared" si="11"/>
        <v>3.9409828129629627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1.2826500000000001</v>
      </c>
      <c r="H75" s="21">
        <v>5.74594</v>
      </c>
      <c r="I75" s="21">
        <v>-1.1291499999999999E-2</v>
      </c>
      <c r="J75" s="21">
        <v>65</v>
      </c>
      <c r="K75" s="21">
        <v>1.2814300000000001</v>
      </c>
      <c r="L75">
        <f t="shared" si="0"/>
        <v>13.940123456790122</v>
      </c>
      <c r="M75">
        <f t="shared" si="1"/>
        <v>17.88029935185185</v>
      </c>
      <c r="N75" s="9"/>
      <c r="O75" s="21">
        <v>0.227356</v>
      </c>
      <c r="P75" s="21">
        <v>9.1824300000000001</v>
      </c>
      <c r="Q75" s="21">
        <v>-1.44989E-2</v>
      </c>
      <c r="R75" s="21">
        <v>65</v>
      </c>
      <c r="S75" s="21">
        <v>0.226746</v>
      </c>
      <c r="T75">
        <f t="shared" si="2"/>
        <v>17.899876543209874</v>
      </c>
      <c r="U75">
        <f t="shared" si="3"/>
        <v>4.0696443313580239</v>
      </c>
      <c r="X75" s="9"/>
      <c r="Y75" s="21">
        <v>1.2826500000000001</v>
      </c>
      <c r="Z75" s="21">
        <v>14.280099999999999</v>
      </c>
      <c r="AA75" s="21">
        <v>-1.13556E-2</v>
      </c>
      <c r="AB75" s="21">
        <v>65</v>
      </c>
      <c r="AC75" s="21">
        <v>1.2814300000000001</v>
      </c>
      <c r="AD75">
        <f t="shared" si="4"/>
        <v>14.019259259259259</v>
      </c>
      <c r="AE75">
        <f t="shared" si="5"/>
        <v>17.98180288888889</v>
      </c>
      <c r="AF75" s="9"/>
      <c r="AG75" s="21">
        <v>0.227356</v>
      </c>
      <c r="AH75" s="21">
        <v>17.716699999999999</v>
      </c>
      <c r="AI75" s="21">
        <v>-1.44318E-2</v>
      </c>
      <c r="AJ75" s="21">
        <v>65</v>
      </c>
      <c r="AK75" s="21">
        <v>0.22680700000000001</v>
      </c>
      <c r="AL75">
        <f t="shared" si="6"/>
        <v>17.817037037037036</v>
      </c>
      <c r="AM75">
        <f t="shared" si="7"/>
        <v>4.0508102725925923</v>
      </c>
      <c r="AP75" s="9"/>
      <c r="AQ75" s="21">
        <v>1.2826500000000001</v>
      </c>
      <c r="AR75" s="21">
        <v>22.859400000000001</v>
      </c>
      <c r="AS75" s="21">
        <v>-1.12701E-2</v>
      </c>
      <c r="AT75" s="21">
        <v>65</v>
      </c>
      <c r="AU75" s="21">
        <v>1.2820400000000001</v>
      </c>
      <c r="AV75">
        <f t="shared" si="8"/>
        <v>13.913703703703703</v>
      </c>
      <c r="AW75">
        <f t="shared" si="9"/>
        <v>17.846412055555557</v>
      </c>
      <c r="AX75" s="9"/>
      <c r="AY75" s="21">
        <v>0.227356</v>
      </c>
      <c r="AZ75" s="21">
        <v>26.2958</v>
      </c>
      <c r="BA75" s="21">
        <v>-1.43555E-2</v>
      </c>
      <c r="BB75" s="21">
        <v>65</v>
      </c>
      <c r="BC75" s="21">
        <v>0.22680700000000001</v>
      </c>
      <c r="BD75">
        <f t="shared" si="10"/>
        <v>17.722839506172836</v>
      </c>
      <c r="BE75">
        <f t="shared" si="11"/>
        <v>4.0293938987654316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1.27762</v>
      </c>
      <c r="H76" s="21">
        <v>5.7560099999999998</v>
      </c>
      <c r="I76" s="21">
        <v>-1.13373E-2</v>
      </c>
      <c r="J76" s="21">
        <v>66</v>
      </c>
      <c r="K76" s="21">
        <v>1.2765500000000001</v>
      </c>
      <c r="L76">
        <f t="shared" ref="L76:L139" si="12">-I76/$F$2*1000</f>
        <v>13.996666666666666</v>
      </c>
      <c r="M76">
        <f t="shared" ref="M76:M139" si="13">L76*G76</f>
        <v>17.882421266666665</v>
      </c>
      <c r="N76" s="9"/>
      <c r="O76" s="21">
        <v>0.23239099999999999</v>
      </c>
      <c r="P76" s="21">
        <v>9.1925000000000008</v>
      </c>
      <c r="Q76" s="21">
        <v>-1.44958E-2</v>
      </c>
      <c r="R76" s="21">
        <v>66</v>
      </c>
      <c r="S76" s="21">
        <v>0.231873</v>
      </c>
      <c r="T76">
        <f t="shared" ref="T76:T139" si="14">-Q76/$F$2*1000</f>
        <v>17.896049382716047</v>
      </c>
      <c r="U76">
        <f t="shared" ref="U76:U139" si="15">T76*O76</f>
        <v>4.158880812098765</v>
      </c>
      <c r="X76" s="9"/>
      <c r="Y76" s="21">
        <v>1.27762</v>
      </c>
      <c r="Z76" s="21">
        <v>14.2902</v>
      </c>
      <c r="AA76" s="21">
        <v>-1.1413599999999999E-2</v>
      </c>
      <c r="AB76" s="21">
        <v>66</v>
      </c>
      <c r="AC76" s="21">
        <v>1.2768600000000001</v>
      </c>
      <c r="AD76">
        <f t="shared" ref="AD76:AD139" si="16">-AA76/$F$2*1000</f>
        <v>14.090864197530863</v>
      </c>
      <c r="AE76">
        <f t="shared" ref="AE76:AE139" si="17">AD76*Y76</f>
        <v>18.002769916049381</v>
      </c>
      <c r="AF76" s="9"/>
      <c r="AG76" s="21">
        <v>0.23239099999999999</v>
      </c>
      <c r="AH76" s="21">
        <v>17.726700000000001</v>
      </c>
      <c r="AI76" s="21">
        <v>-1.4428699999999999E-2</v>
      </c>
      <c r="AJ76" s="21">
        <v>66</v>
      </c>
      <c r="AK76" s="21">
        <v>0.23175000000000001</v>
      </c>
      <c r="AL76">
        <f t="shared" ref="AL76:AL139" si="18">-AI76/$F$2*1000</f>
        <v>17.813209876543205</v>
      </c>
      <c r="AM76">
        <f t="shared" ref="AM76:AM139" si="19">AL76*AG76</f>
        <v>4.1396296564197517</v>
      </c>
      <c r="AP76" s="9"/>
      <c r="AQ76" s="21">
        <v>1.27762</v>
      </c>
      <c r="AR76" s="21">
        <v>22.869399999999999</v>
      </c>
      <c r="AS76" s="21">
        <v>-1.13159E-2</v>
      </c>
      <c r="AT76" s="21">
        <v>66</v>
      </c>
      <c r="AU76" s="21">
        <v>1.2768600000000001</v>
      </c>
      <c r="AV76">
        <f t="shared" ref="AV76:AV139" si="20">-AS76/$F$2*1000</f>
        <v>13.970246913580247</v>
      </c>
      <c r="AW76">
        <f t="shared" ref="AW76:AW139" si="21">AV76*AQ76</f>
        <v>17.848666861728397</v>
      </c>
      <c r="AX76" s="9"/>
      <c r="AY76" s="21">
        <v>0.23239099999999999</v>
      </c>
      <c r="AZ76" s="21">
        <v>26.305900000000001</v>
      </c>
      <c r="BA76" s="21">
        <v>-1.43524E-2</v>
      </c>
      <c r="BB76" s="21">
        <v>66</v>
      </c>
      <c r="BC76" s="21">
        <v>0.23184199999999999</v>
      </c>
      <c r="BD76">
        <f t="shared" ref="BD76:BD139" si="22">-BA76/$F$2*1000</f>
        <v>17.719012345679008</v>
      </c>
      <c r="BE76">
        <f t="shared" ref="BE76:BE139" si="23">BD76*AY76</f>
        <v>4.1177389980246906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1.27258</v>
      </c>
      <c r="H77" s="21">
        <v>5.7660799999999997</v>
      </c>
      <c r="I77" s="21">
        <v>-1.13831E-2</v>
      </c>
      <c r="J77" s="21">
        <v>67</v>
      </c>
      <c r="K77" s="21">
        <v>1.27197</v>
      </c>
      <c r="L77">
        <f t="shared" si="12"/>
        <v>14.053209876543209</v>
      </c>
      <c r="M77">
        <f t="shared" si="13"/>
        <v>17.883833824691358</v>
      </c>
      <c r="N77" s="9"/>
      <c r="O77" s="21">
        <v>0.237427</v>
      </c>
      <c r="P77" s="21">
        <v>9.2025699999999997</v>
      </c>
      <c r="Q77" s="21">
        <v>-1.4489699999999999E-2</v>
      </c>
      <c r="R77" s="21">
        <v>67</v>
      </c>
      <c r="S77" s="21">
        <v>0.23699999999999999</v>
      </c>
      <c r="T77">
        <f t="shared" si="14"/>
        <v>17.888518518518516</v>
      </c>
      <c r="U77">
        <f t="shared" si="15"/>
        <v>4.247217286296296</v>
      </c>
      <c r="X77" s="9"/>
      <c r="Y77" s="21">
        <v>1.27258</v>
      </c>
      <c r="Z77" s="21">
        <v>14.3003</v>
      </c>
      <c r="AA77" s="21">
        <v>-1.14716E-2</v>
      </c>
      <c r="AB77" s="21">
        <v>67</v>
      </c>
      <c r="AC77" s="21">
        <v>1.27136</v>
      </c>
      <c r="AD77">
        <f t="shared" si="16"/>
        <v>14.162469135802469</v>
      </c>
      <c r="AE77">
        <f t="shared" si="17"/>
        <v>18.022874972839507</v>
      </c>
      <c r="AF77" s="9"/>
      <c r="AG77" s="21">
        <v>0.237427</v>
      </c>
      <c r="AH77" s="21">
        <v>17.736799999999999</v>
      </c>
      <c r="AI77" s="21">
        <v>-1.44104E-2</v>
      </c>
      <c r="AJ77" s="21">
        <v>67</v>
      </c>
      <c r="AK77" s="21">
        <v>0.236786</v>
      </c>
      <c r="AL77">
        <f t="shared" si="18"/>
        <v>17.790617283950617</v>
      </c>
      <c r="AM77">
        <f t="shared" si="19"/>
        <v>4.223972889876543</v>
      </c>
      <c r="AP77" s="9"/>
      <c r="AQ77" s="21">
        <v>1.27258</v>
      </c>
      <c r="AR77" s="21">
        <v>22.8795</v>
      </c>
      <c r="AS77" s="21">
        <v>-1.13556E-2</v>
      </c>
      <c r="AT77" s="21">
        <v>67</v>
      </c>
      <c r="AU77" s="21">
        <v>1.2716700000000001</v>
      </c>
      <c r="AV77">
        <f t="shared" si="20"/>
        <v>14.019259259259259</v>
      </c>
      <c r="AW77">
        <f t="shared" si="21"/>
        <v>17.840628948148147</v>
      </c>
      <c r="AX77" s="9"/>
      <c r="AY77" s="21">
        <v>0.237427</v>
      </c>
      <c r="AZ77" s="21">
        <v>26.315999999999999</v>
      </c>
      <c r="BA77" s="21">
        <v>-1.4346299999999999E-2</v>
      </c>
      <c r="BB77" s="21">
        <v>67</v>
      </c>
      <c r="BC77" s="21">
        <v>0.236877</v>
      </c>
      <c r="BD77">
        <f t="shared" si="22"/>
        <v>17.711481481481481</v>
      </c>
      <c r="BE77">
        <f t="shared" si="23"/>
        <v>4.2051839137037037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1.26755</v>
      </c>
      <c r="H78" s="21">
        <v>5.7761500000000003</v>
      </c>
      <c r="I78" s="21">
        <v>-1.14319E-2</v>
      </c>
      <c r="J78" s="21">
        <v>68</v>
      </c>
      <c r="K78" s="21">
        <v>1.26678</v>
      </c>
      <c r="L78">
        <f t="shared" si="12"/>
        <v>14.113456790123456</v>
      </c>
      <c r="M78">
        <f t="shared" si="13"/>
        <v>17.889512154320986</v>
      </c>
      <c r="N78" s="9"/>
      <c r="O78" s="21">
        <v>0.24246200000000001</v>
      </c>
      <c r="P78" s="21">
        <v>9.2126400000000004</v>
      </c>
      <c r="Q78" s="21">
        <v>-1.44806E-2</v>
      </c>
      <c r="R78" s="21">
        <v>68</v>
      </c>
      <c r="S78" s="21">
        <v>0.242004</v>
      </c>
      <c r="T78">
        <f t="shared" si="14"/>
        <v>17.877283950617283</v>
      </c>
      <c r="U78">
        <f t="shared" si="15"/>
        <v>4.3345620212345679</v>
      </c>
      <c r="X78" s="9"/>
      <c r="Y78" s="21">
        <v>1.26755</v>
      </c>
      <c r="Z78" s="21">
        <v>14.3104</v>
      </c>
      <c r="AA78" s="21">
        <v>-1.15234E-2</v>
      </c>
      <c r="AB78" s="21">
        <v>68</v>
      </c>
      <c r="AC78" s="21">
        <v>1.26678</v>
      </c>
      <c r="AD78">
        <f t="shared" si="16"/>
        <v>14.226419753086418</v>
      </c>
      <c r="AE78">
        <f t="shared" si="17"/>
        <v>18.032698358024689</v>
      </c>
      <c r="AF78" s="9"/>
      <c r="AG78" s="21">
        <v>0.24246200000000001</v>
      </c>
      <c r="AH78" s="21">
        <v>17.7469</v>
      </c>
      <c r="AI78" s="21">
        <v>-1.4401199999999999E-2</v>
      </c>
      <c r="AJ78" s="21">
        <v>68</v>
      </c>
      <c r="AK78" s="21">
        <v>0.24197399999999999</v>
      </c>
      <c r="AL78">
        <f t="shared" si="18"/>
        <v>17.779259259259259</v>
      </c>
      <c r="AM78">
        <f t="shared" si="19"/>
        <v>4.3107947585185187</v>
      </c>
      <c r="AP78" s="9"/>
      <c r="AQ78" s="21">
        <v>1.26755</v>
      </c>
      <c r="AR78" s="21">
        <v>22.889600000000002</v>
      </c>
      <c r="AS78" s="21">
        <v>-1.1401400000000001E-2</v>
      </c>
      <c r="AT78" s="21">
        <v>68</v>
      </c>
      <c r="AU78" s="21">
        <v>1.2664800000000001</v>
      </c>
      <c r="AV78">
        <f t="shared" si="20"/>
        <v>14.075802469135803</v>
      </c>
      <c r="AW78">
        <f t="shared" si="21"/>
        <v>17.841783419753089</v>
      </c>
      <c r="AX78" s="9"/>
      <c r="AY78" s="21">
        <v>0.24246200000000001</v>
      </c>
      <c r="AZ78" s="21">
        <v>26.3261</v>
      </c>
      <c r="BA78" s="21">
        <v>-1.4340200000000001E-2</v>
      </c>
      <c r="BB78" s="21">
        <v>68</v>
      </c>
      <c r="BC78" s="21">
        <v>0.24185200000000001</v>
      </c>
      <c r="BD78">
        <f t="shared" si="22"/>
        <v>17.703950617283951</v>
      </c>
      <c r="BE78">
        <f t="shared" si="23"/>
        <v>4.2925352745679017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1.26251</v>
      </c>
      <c r="H79" s="21">
        <v>5.7862200000000001</v>
      </c>
      <c r="I79" s="21">
        <v>-1.1483800000000001E-2</v>
      </c>
      <c r="J79" s="21">
        <v>69</v>
      </c>
      <c r="K79" s="21">
        <v>1.2619</v>
      </c>
      <c r="L79">
        <f t="shared" si="12"/>
        <v>14.17753086419753</v>
      </c>
      <c r="M79">
        <f t="shared" si="13"/>
        <v>17.899274491358025</v>
      </c>
      <c r="N79" s="9"/>
      <c r="O79" s="21">
        <v>0.247498</v>
      </c>
      <c r="P79" s="21">
        <v>9.2227099999999993</v>
      </c>
      <c r="Q79" s="21">
        <v>-1.44592E-2</v>
      </c>
      <c r="R79" s="21">
        <v>69</v>
      </c>
      <c r="S79" s="21">
        <v>0.246948</v>
      </c>
      <c r="T79">
        <f t="shared" si="14"/>
        <v>17.850864197530864</v>
      </c>
      <c r="U79">
        <f t="shared" si="15"/>
        <v>4.4180531871604938</v>
      </c>
      <c r="X79" s="9"/>
      <c r="Y79" s="21">
        <v>1.26251</v>
      </c>
      <c r="Z79" s="21">
        <v>14.320399999999999</v>
      </c>
      <c r="AA79" s="21">
        <v>-1.15601E-2</v>
      </c>
      <c r="AB79" s="21">
        <v>69</v>
      </c>
      <c r="AC79" s="21">
        <v>1.2619</v>
      </c>
      <c r="AD79">
        <f t="shared" si="16"/>
        <v>14.271728395061727</v>
      </c>
      <c r="AE79">
        <f t="shared" si="17"/>
        <v>18.018199816049382</v>
      </c>
      <c r="AF79" s="9"/>
      <c r="AG79" s="21">
        <v>0.247498</v>
      </c>
      <c r="AH79" s="21">
        <v>17.757000000000001</v>
      </c>
      <c r="AI79" s="21">
        <v>-1.4385999999999999E-2</v>
      </c>
      <c r="AJ79" s="21">
        <v>69</v>
      </c>
      <c r="AK79" s="21">
        <v>0.24685699999999999</v>
      </c>
      <c r="AL79">
        <f t="shared" si="18"/>
        <v>17.760493827160492</v>
      </c>
      <c r="AM79">
        <f t="shared" si="19"/>
        <v>4.3956867012345668</v>
      </c>
      <c r="AP79" s="9"/>
      <c r="AQ79" s="21">
        <v>1.26251</v>
      </c>
      <c r="AR79" s="21">
        <v>22.8996</v>
      </c>
      <c r="AS79" s="21">
        <v>-1.1450200000000001E-2</v>
      </c>
      <c r="AT79" s="21">
        <v>69</v>
      </c>
      <c r="AU79" s="21">
        <v>1.2619</v>
      </c>
      <c r="AV79">
        <f t="shared" si="20"/>
        <v>14.136049382716049</v>
      </c>
      <c r="AW79">
        <f t="shared" si="21"/>
        <v>17.846903706172839</v>
      </c>
      <c r="AX79" s="9"/>
      <c r="AY79" s="21">
        <v>0.247498</v>
      </c>
      <c r="AZ79" s="21">
        <v>26.336099999999998</v>
      </c>
      <c r="BA79" s="21">
        <v>-1.43188E-2</v>
      </c>
      <c r="BB79" s="21">
        <v>69</v>
      </c>
      <c r="BC79" s="21">
        <v>0.24704000000000001</v>
      </c>
      <c r="BD79">
        <f t="shared" si="22"/>
        <v>17.677530864197529</v>
      </c>
      <c r="BE79">
        <f t="shared" si="23"/>
        <v>4.3751535338271594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1.2574799999999999</v>
      </c>
      <c r="H80" s="21">
        <v>5.7962899999999999</v>
      </c>
      <c r="I80" s="21">
        <v>-1.15295E-2</v>
      </c>
      <c r="J80" s="21">
        <v>70</v>
      </c>
      <c r="K80" s="21">
        <v>1.25671</v>
      </c>
      <c r="L80">
        <f t="shared" si="12"/>
        <v>14.23395061728395</v>
      </c>
      <c r="M80">
        <f t="shared" si="13"/>
        <v>17.898908222222222</v>
      </c>
      <c r="N80" s="9"/>
      <c r="O80" s="21">
        <v>0.25253300000000001</v>
      </c>
      <c r="P80" s="21">
        <v>9.23278</v>
      </c>
      <c r="Q80" s="21">
        <v>-1.4456200000000001E-2</v>
      </c>
      <c r="R80" s="21">
        <v>70</v>
      </c>
      <c r="S80" s="21">
        <v>0.251892</v>
      </c>
      <c r="T80">
        <f t="shared" si="14"/>
        <v>17.847160493827161</v>
      </c>
      <c r="U80">
        <f t="shared" si="15"/>
        <v>4.5069969809876547</v>
      </c>
      <c r="X80" s="9"/>
      <c r="Y80" s="21">
        <v>1.2574799999999999</v>
      </c>
      <c r="Z80" s="21">
        <v>14.330500000000001</v>
      </c>
      <c r="AA80" s="21">
        <v>-1.16028E-2</v>
      </c>
      <c r="AB80" s="21">
        <v>70</v>
      </c>
      <c r="AC80" s="21">
        <v>1.25702</v>
      </c>
      <c r="AD80">
        <f t="shared" si="16"/>
        <v>14.324444444444444</v>
      </c>
      <c r="AE80">
        <f t="shared" si="17"/>
        <v>18.012702399999998</v>
      </c>
      <c r="AF80" s="9"/>
      <c r="AG80" s="21">
        <v>0.25253300000000001</v>
      </c>
      <c r="AH80" s="21">
        <v>17.766999999999999</v>
      </c>
      <c r="AI80" s="21">
        <v>-1.4382900000000001E-2</v>
      </c>
      <c r="AJ80" s="21">
        <v>70</v>
      </c>
      <c r="AK80" s="21">
        <v>0.251892</v>
      </c>
      <c r="AL80">
        <f t="shared" si="18"/>
        <v>17.756666666666668</v>
      </c>
      <c r="AM80">
        <f t="shared" si="19"/>
        <v>4.4841443033333341</v>
      </c>
      <c r="AP80" s="9"/>
      <c r="AQ80" s="21">
        <v>1.2574799999999999</v>
      </c>
      <c r="AR80" s="21">
        <v>22.909700000000001</v>
      </c>
      <c r="AS80" s="21">
        <v>-1.1505100000000001E-2</v>
      </c>
      <c r="AT80" s="21">
        <v>70</v>
      </c>
      <c r="AU80" s="21">
        <v>1.25732</v>
      </c>
      <c r="AV80">
        <f t="shared" si="20"/>
        <v>14.203827160493827</v>
      </c>
      <c r="AW80">
        <f t="shared" si="21"/>
        <v>17.861028577777777</v>
      </c>
      <c r="AX80" s="9"/>
      <c r="AY80" s="21">
        <v>0.25253300000000001</v>
      </c>
      <c r="AZ80" s="21">
        <v>26.3462</v>
      </c>
      <c r="BA80" s="21">
        <v>-1.43158E-2</v>
      </c>
      <c r="BB80" s="21">
        <v>70</v>
      </c>
      <c r="BC80" s="21">
        <v>0.25195299999999998</v>
      </c>
      <c r="BD80">
        <f t="shared" si="22"/>
        <v>17.673827160493826</v>
      </c>
      <c r="BE80">
        <f t="shared" si="23"/>
        <v>4.4632245943209874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1.25244</v>
      </c>
      <c r="H81" s="21">
        <v>5.8063599999999997</v>
      </c>
      <c r="I81" s="21">
        <v>-1.1578400000000001E-2</v>
      </c>
      <c r="J81" s="21">
        <v>71</v>
      </c>
      <c r="K81" s="21">
        <v>1.25244</v>
      </c>
      <c r="L81">
        <f t="shared" si="12"/>
        <v>14.29432098765432</v>
      </c>
      <c r="M81">
        <f t="shared" si="13"/>
        <v>17.902779377777776</v>
      </c>
      <c r="N81" s="9"/>
      <c r="O81" s="21">
        <v>0.25756800000000002</v>
      </c>
      <c r="P81" s="21">
        <v>9.2428500000000007</v>
      </c>
      <c r="Q81" s="21">
        <v>-1.44501E-2</v>
      </c>
      <c r="R81" s="21">
        <v>71</v>
      </c>
      <c r="S81" s="21">
        <v>0.25707999999999998</v>
      </c>
      <c r="T81">
        <f t="shared" si="14"/>
        <v>17.839629629629631</v>
      </c>
      <c r="U81">
        <f t="shared" si="15"/>
        <v>4.5949177244444455</v>
      </c>
      <c r="X81" s="9"/>
      <c r="Y81" s="21">
        <v>1.25244</v>
      </c>
      <c r="Z81" s="21">
        <v>14.3406</v>
      </c>
      <c r="AA81" s="21">
        <v>-1.16302E-2</v>
      </c>
      <c r="AB81" s="21">
        <v>71</v>
      </c>
      <c r="AC81" s="21">
        <v>1.25153</v>
      </c>
      <c r="AD81">
        <f t="shared" si="16"/>
        <v>14.35827160493827</v>
      </c>
      <c r="AE81">
        <f t="shared" si="17"/>
        <v>17.982873688888887</v>
      </c>
      <c r="AF81" s="9"/>
      <c r="AG81" s="21">
        <v>0.25756800000000002</v>
      </c>
      <c r="AH81" s="21">
        <v>17.777100000000001</v>
      </c>
      <c r="AI81" s="21">
        <v>-1.4382900000000001E-2</v>
      </c>
      <c r="AJ81" s="21">
        <v>71</v>
      </c>
      <c r="AK81" s="21">
        <v>0.25695800000000002</v>
      </c>
      <c r="AL81">
        <f t="shared" si="18"/>
        <v>17.756666666666668</v>
      </c>
      <c r="AM81">
        <f t="shared" si="19"/>
        <v>4.5735491200000009</v>
      </c>
      <c r="AP81" s="9"/>
      <c r="AQ81" s="21">
        <v>1.25244</v>
      </c>
      <c r="AR81" s="21">
        <v>22.919799999999999</v>
      </c>
      <c r="AS81" s="21">
        <v>-1.15479E-2</v>
      </c>
      <c r="AT81" s="21">
        <v>71</v>
      </c>
      <c r="AU81" s="21">
        <v>1.25214</v>
      </c>
      <c r="AV81">
        <f t="shared" si="20"/>
        <v>14.256666666666666</v>
      </c>
      <c r="AW81">
        <f t="shared" si="21"/>
        <v>17.855619600000001</v>
      </c>
      <c r="AX81" s="9"/>
      <c r="AY81" s="21">
        <v>0.25756800000000002</v>
      </c>
      <c r="AZ81" s="21">
        <v>26.356300000000001</v>
      </c>
      <c r="BA81" s="21">
        <v>-1.4297499999999999E-2</v>
      </c>
      <c r="BB81" s="21">
        <v>71</v>
      </c>
      <c r="BC81" s="21">
        <v>0.257019</v>
      </c>
      <c r="BD81">
        <f t="shared" si="22"/>
        <v>17.651234567901231</v>
      </c>
      <c r="BE81">
        <f t="shared" si="23"/>
        <v>4.5463931851851846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1.2474099999999999</v>
      </c>
      <c r="H82" s="21">
        <v>5.8164300000000004</v>
      </c>
      <c r="I82" s="21">
        <v>-1.1615E-2</v>
      </c>
      <c r="J82" s="21">
        <v>72</v>
      </c>
      <c r="K82" s="21">
        <v>1.24695</v>
      </c>
      <c r="L82">
        <f t="shared" si="12"/>
        <v>14.339506172839505</v>
      </c>
      <c r="M82">
        <f t="shared" si="13"/>
        <v>17.887243395061724</v>
      </c>
      <c r="N82" s="9"/>
      <c r="O82" s="21">
        <v>0.262604</v>
      </c>
      <c r="P82" s="21">
        <v>9.2529299999999992</v>
      </c>
      <c r="Q82" s="21">
        <v>-1.4447E-2</v>
      </c>
      <c r="R82" s="21">
        <v>72</v>
      </c>
      <c r="S82" s="21">
        <v>0.261963</v>
      </c>
      <c r="T82">
        <f t="shared" si="14"/>
        <v>17.8358024691358</v>
      </c>
      <c r="U82">
        <f t="shared" si="15"/>
        <v>4.6837530716049374</v>
      </c>
      <c r="X82" s="9"/>
      <c r="Y82" s="21">
        <v>1.2474099999999999</v>
      </c>
      <c r="Z82" s="21">
        <v>14.3506</v>
      </c>
      <c r="AA82" s="21">
        <v>-1.1672999999999999E-2</v>
      </c>
      <c r="AB82" s="21">
        <v>72</v>
      </c>
      <c r="AC82" s="21">
        <v>1.24634</v>
      </c>
      <c r="AD82">
        <f t="shared" si="16"/>
        <v>14.41111111111111</v>
      </c>
      <c r="AE82">
        <f t="shared" si="17"/>
        <v>17.976564111111109</v>
      </c>
      <c r="AF82" s="9"/>
      <c r="AG82" s="21">
        <v>0.262604</v>
      </c>
      <c r="AH82" s="21">
        <v>17.787199999999999</v>
      </c>
      <c r="AI82" s="21">
        <v>-1.43768E-2</v>
      </c>
      <c r="AJ82" s="21">
        <v>72</v>
      </c>
      <c r="AK82" s="21">
        <v>0.26202399999999998</v>
      </c>
      <c r="AL82">
        <f t="shared" si="18"/>
        <v>17.749135802469137</v>
      </c>
      <c r="AM82">
        <f t="shared" si="19"/>
        <v>4.660994058271605</v>
      </c>
      <c r="AP82" s="9"/>
      <c r="AQ82" s="21">
        <v>1.2474099999999999</v>
      </c>
      <c r="AR82" s="21">
        <v>22.9298</v>
      </c>
      <c r="AS82" s="21">
        <v>-1.1587500000000001E-2</v>
      </c>
      <c r="AT82" s="21">
        <v>72</v>
      </c>
      <c r="AU82" s="21">
        <v>1.24603</v>
      </c>
      <c r="AV82">
        <f t="shared" si="20"/>
        <v>14.305555555555555</v>
      </c>
      <c r="AW82">
        <f t="shared" si="21"/>
        <v>17.844893055555556</v>
      </c>
      <c r="AX82" s="9"/>
      <c r="AY82" s="21">
        <v>0.262604</v>
      </c>
      <c r="AZ82" s="21">
        <v>26.366299999999999</v>
      </c>
      <c r="BA82" s="21">
        <v>-1.42883E-2</v>
      </c>
      <c r="BB82" s="21">
        <v>72</v>
      </c>
      <c r="BC82" s="21">
        <v>0.26205400000000001</v>
      </c>
      <c r="BD82">
        <f t="shared" si="22"/>
        <v>17.639876543209876</v>
      </c>
      <c r="BE82">
        <f t="shared" si="23"/>
        <v>4.6323021397530866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1.24237</v>
      </c>
      <c r="H83" s="21">
        <v>5.8265099999999999</v>
      </c>
      <c r="I83" s="21">
        <v>-1.16638E-2</v>
      </c>
      <c r="J83" s="21">
        <v>73</v>
      </c>
      <c r="K83" s="21">
        <v>1.24146</v>
      </c>
      <c r="L83">
        <f t="shared" si="12"/>
        <v>14.399753086419754</v>
      </c>
      <c r="M83">
        <f t="shared" si="13"/>
        <v>17.889821241975309</v>
      </c>
      <c r="N83" s="9"/>
      <c r="O83" s="21">
        <v>0.26763900000000002</v>
      </c>
      <c r="P83" s="21">
        <v>9.2629999999999999</v>
      </c>
      <c r="Q83" s="21">
        <v>-1.4444E-2</v>
      </c>
      <c r="R83" s="21">
        <v>73</v>
      </c>
      <c r="S83" s="21">
        <v>0.26702900000000002</v>
      </c>
      <c r="T83">
        <f t="shared" si="14"/>
        <v>17.832098765432097</v>
      </c>
      <c r="U83">
        <f t="shared" si="15"/>
        <v>4.7725650814814813</v>
      </c>
      <c r="X83" s="9"/>
      <c r="Y83" s="21">
        <v>1.24237</v>
      </c>
      <c r="Z83" s="21">
        <v>14.3607</v>
      </c>
      <c r="AA83" s="21">
        <v>-1.1715700000000001E-2</v>
      </c>
      <c r="AB83" s="21">
        <v>73</v>
      </c>
      <c r="AC83" s="21">
        <v>1.24115</v>
      </c>
      <c r="AD83">
        <f t="shared" si="16"/>
        <v>14.463827160493826</v>
      </c>
      <c r="AE83">
        <f t="shared" si="17"/>
        <v>17.969424949382717</v>
      </c>
      <c r="AF83" s="9"/>
      <c r="AG83" s="21">
        <v>0.26763900000000002</v>
      </c>
      <c r="AH83" s="21">
        <v>17.7972</v>
      </c>
      <c r="AI83" s="21">
        <v>-1.4373800000000001E-2</v>
      </c>
      <c r="AJ83" s="21">
        <v>73</v>
      </c>
      <c r="AK83" s="21">
        <v>0.26708999999999999</v>
      </c>
      <c r="AL83">
        <f t="shared" si="18"/>
        <v>17.745432098765431</v>
      </c>
      <c r="AM83">
        <f t="shared" si="19"/>
        <v>4.7493697014814815</v>
      </c>
      <c r="AP83" s="9"/>
      <c r="AQ83" s="21">
        <v>1.24237</v>
      </c>
      <c r="AR83" s="21">
        <v>22.939900000000002</v>
      </c>
      <c r="AS83" s="21">
        <v>-1.16364E-2</v>
      </c>
      <c r="AT83" s="21">
        <v>73</v>
      </c>
      <c r="AU83" s="21">
        <v>1.24146</v>
      </c>
      <c r="AV83">
        <f t="shared" si="20"/>
        <v>14.365925925925925</v>
      </c>
      <c r="AW83">
        <f t="shared" si="21"/>
        <v>17.847795392592591</v>
      </c>
      <c r="AX83" s="9"/>
      <c r="AY83" s="21">
        <v>0.26763900000000002</v>
      </c>
      <c r="AZ83" s="21">
        <v>26.3764</v>
      </c>
      <c r="BA83" s="21">
        <v>-1.4285300000000001E-2</v>
      </c>
      <c r="BB83" s="21">
        <v>73</v>
      </c>
      <c r="BC83" s="21">
        <v>0.26712000000000002</v>
      </c>
      <c r="BD83">
        <f t="shared" si="22"/>
        <v>17.636172839506173</v>
      </c>
      <c r="BE83">
        <f t="shared" si="23"/>
        <v>4.720127662592593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1.2373400000000001</v>
      </c>
      <c r="H84" s="21">
        <v>5.8365799999999997</v>
      </c>
      <c r="I84" s="21">
        <v>-1.17126E-2</v>
      </c>
      <c r="J84" s="21">
        <v>74</v>
      </c>
      <c r="K84" s="21">
        <v>1.23627</v>
      </c>
      <c r="L84">
        <f t="shared" si="12"/>
        <v>14.459999999999999</v>
      </c>
      <c r="M84">
        <f t="shared" si="13"/>
        <v>17.891936399999999</v>
      </c>
      <c r="N84" s="9"/>
      <c r="O84" s="21">
        <v>0.272675</v>
      </c>
      <c r="P84" s="21">
        <v>9.2730700000000006</v>
      </c>
      <c r="Q84" s="21">
        <v>-1.44409E-2</v>
      </c>
      <c r="R84" s="21">
        <v>74</v>
      </c>
      <c r="S84" s="21">
        <v>0.27212500000000001</v>
      </c>
      <c r="T84">
        <f t="shared" si="14"/>
        <v>17.828271604938269</v>
      </c>
      <c r="U84">
        <f t="shared" si="15"/>
        <v>4.8613239598765423</v>
      </c>
      <c r="X84" s="9"/>
      <c r="Y84" s="21">
        <v>1.2373400000000001</v>
      </c>
      <c r="Z84" s="21">
        <v>14.370799999999999</v>
      </c>
      <c r="AA84" s="21">
        <v>-1.1749300000000001E-2</v>
      </c>
      <c r="AB84" s="21">
        <v>74</v>
      </c>
      <c r="AC84" s="21">
        <v>1.2365699999999999</v>
      </c>
      <c r="AD84">
        <f t="shared" si="16"/>
        <v>14.505308641975308</v>
      </c>
      <c r="AE84">
        <f t="shared" si="17"/>
        <v>17.94799859506173</v>
      </c>
      <c r="AF84" s="9"/>
      <c r="AG84" s="21">
        <v>0.272675</v>
      </c>
      <c r="AH84" s="21">
        <v>17.807300000000001</v>
      </c>
      <c r="AI84" s="21">
        <v>-1.43646E-2</v>
      </c>
      <c r="AJ84" s="21">
        <v>74</v>
      </c>
      <c r="AK84" s="21">
        <v>0.27212500000000001</v>
      </c>
      <c r="AL84">
        <f t="shared" si="18"/>
        <v>17.734074074074073</v>
      </c>
      <c r="AM84">
        <f t="shared" si="19"/>
        <v>4.8356386481481479</v>
      </c>
      <c r="AP84" s="9"/>
      <c r="AQ84" s="21">
        <v>1.2373400000000001</v>
      </c>
      <c r="AR84" s="21">
        <v>22.95</v>
      </c>
      <c r="AS84" s="21">
        <v>-1.1672999999999999E-2</v>
      </c>
      <c r="AT84" s="21">
        <v>74</v>
      </c>
      <c r="AU84" s="21">
        <v>1.23627</v>
      </c>
      <c r="AV84">
        <f t="shared" si="20"/>
        <v>14.41111111111111</v>
      </c>
      <c r="AW84">
        <f t="shared" si="21"/>
        <v>17.83144422222222</v>
      </c>
      <c r="AX84" s="9"/>
      <c r="AY84" s="21">
        <v>0.272675</v>
      </c>
      <c r="AZ84" s="21">
        <v>26.386500000000002</v>
      </c>
      <c r="BA84" s="21">
        <v>-1.42761E-2</v>
      </c>
      <c r="BB84" s="21">
        <v>74</v>
      </c>
      <c r="BC84" s="21">
        <v>0.27206399999999997</v>
      </c>
      <c r="BD84">
        <f t="shared" si="22"/>
        <v>17.624814814814812</v>
      </c>
      <c r="BE84">
        <f t="shared" si="23"/>
        <v>4.8058463796296289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1.2323</v>
      </c>
      <c r="H85" s="21">
        <v>5.8466500000000003</v>
      </c>
      <c r="I85" s="21">
        <v>-1.17676E-2</v>
      </c>
      <c r="J85" s="21">
        <v>75</v>
      </c>
      <c r="K85" s="21">
        <v>1.2313799999999999</v>
      </c>
      <c r="L85">
        <f t="shared" si="12"/>
        <v>14.527901234567899</v>
      </c>
      <c r="M85">
        <f t="shared" si="13"/>
        <v>17.902732691358022</v>
      </c>
      <c r="N85" s="9"/>
      <c r="O85" s="21">
        <v>0.27771000000000001</v>
      </c>
      <c r="P85" s="21">
        <v>9.2831399999999995</v>
      </c>
      <c r="Q85" s="21">
        <v>-1.4428699999999999E-2</v>
      </c>
      <c r="R85" s="21">
        <v>75</v>
      </c>
      <c r="S85" s="21">
        <v>0.27719100000000002</v>
      </c>
      <c r="T85">
        <f t="shared" si="14"/>
        <v>17.813209876543205</v>
      </c>
      <c r="U85">
        <f t="shared" si="15"/>
        <v>4.9469065148148132</v>
      </c>
      <c r="X85" s="9"/>
      <c r="Y85" s="21">
        <v>1.2323</v>
      </c>
      <c r="Z85" s="21">
        <v>14.3809</v>
      </c>
      <c r="AA85" s="21">
        <v>-1.17889E-2</v>
      </c>
      <c r="AB85" s="21">
        <v>75</v>
      </c>
      <c r="AC85" s="21">
        <v>1.23169</v>
      </c>
      <c r="AD85">
        <f t="shared" si="16"/>
        <v>14.554197530864196</v>
      </c>
      <c r="AE85">
        <f t="shared" si="17"/>
        <v>17.935137617283946</v>
      </c>
      <c r="AF85" s="9"/>
      <c r="AG85" s="21">
        <v>0.27771000000000001</v>
      </c>
      <c r="AH85" s="21">
        <v>17.817399999999999</v>
      </c>
      <c r="AI85" s="21">
        <v>-1.43646E-2</v>
      </c>
      <c r="AJ85" s="21">
        <v>75</v>
      </c>
      <c r="AK85" s="21">
        <v>0.27700799999999998</v>
      </c>
      <c r="AL85">
        <f t="shared" si="18"/>
        <v>17.734074074074073</v>
      </c>
      <c r="AM85">
        <f t="shared" si="19"/>
        <v>4.924929711111111</v>
      </c>
      <c r="AP85" s="9"/>
      <c r="AQ85" s="21">
        <v>1.2323</v>
      </c>
      <c r="AR85" s="21">
        <v>22.960100000000001</v>
      </c>
      <c r="AS85" s="21">
        <v>-1.1715700000000001E-2</v>
      </c>
      <c r="AT85" s="21">
        <v>75</v>
      </c>
      <c r="AU85" s="21">
        <v>1.2313799999999999</v>
      </c>
      <c r="AV85">
        <f t="shared" si="20"/>
        <v>14.463827160493826</v>
      </c>
      <c r="AW85">
        <f t="shared" si="21"/>
        <v>17.823774209876543</v>
      </c>
      <c r="AX85" s="9"/>
      <c r="AY85" s="21">
        <v>0.27771000000000001</v>
      </c>
      <c r="AZ85" s="21">
        <v>26.396599999999999</v>
      </c>
      <c r="BA85" s="21">
        <v>-1.42761E-2</v>
      </c>
      <c r="BB85" s="21">
        <v>75</v>
      </c>
      <c r="BC85" s="21">
        <v>0.27719100000000002</v>
      </c>
      <c r="BD85">
        <f t="shared" si="22"/>
        <v>17.624814814814812</v>
      </c>
      <c r="BE85">
        <f t="shared" si="23"/>
        <v>4.8945873222222218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1.22726</v>
      </c>
      <c r="H86" s="21">
        <v>5.8567200000000001</v>
      </c>
      <c r="I86" s="21">
        <v>-1.18073E-2</v>
      </c>
      <c r="J86" s="21">
        <v>76</v>
      </c>
      <c r="K86" s="21">
        <v>1.2264999999999999</v>
      </c>
      <c r="L86">
        <f t="shared" si="12"/>
        <v>14.576913580246911</v>
      </c>
      <c r="M86">
        <f t="shared" si="13"/>
        <v>17.889662960493826</v>
      </c>
      <c r="N86" s="9"/>
      <c r="O86" s="21">
        <v>0.28274500000000002</v>
      </c>
      <c r="P86" s="21">
        <v>9.2932100000000002</v>
      </c>
      <c r="Q86" s="21">
        <v>-1.44043E-2</v>
      </c>
      <c r="R86" s="21">
        <v>76</v>
      </c>
      <c r="S86" s="21">
        <v>0.282196</v>
      </c>
      <c r="T86">
        <f t="shared" si="14"/>
        <v>17.783086419753086</v>
      </c>
      <c r="U86">
        <f t="shared" si="15"/>
        <v>5.0280787697530869</v>
      </c>
      <c r="X86" s="9"/>
      <c r="Y86" s="21">
        <v>1.22726</v>
      </c>
      <c r="Z86" s="21">
        <v>14.3909</v>
      </c>
      <c r="AA86" s="21">
        <v>-1.18225E-2</v>
      </c>
      <c r="AB86" s="21">
        <v>76</v>
      </c>
      <c r="AC86" s="21">
        <v>1.2271099999999999</v>
      </c>
      <c r="AD86">
        <f t="shared" si="16"/>
        <v>14.595679012345677</v>
      </c>
      <c r="AE86">
        <f t="shared" si="17"/>
        <v>17.912693024691357</v>
      </c>
      <c r="AF86" s="9"/>
      <c r="AG86" s="21">
        <v>0.28274500000000002</v>
      </c>
      <c r="AH86" s="21">
        <v>17.827500000000001</v>
      </c>
      <c r="AI86" s="21">
        <v>-1.43555E-2</v>
      </c>
      <c r="AJ86" s="21">
        <v>76</v>
      </c>
      <c r="AK86" s="21">
        <v>0.28204299999999999</v>
      </c>
      <c r="AL86">
        <f t="shared" si="18"/>
        <v>17.722839506172836</v>
      </c>
      <c r="AM86">
        <f t="shared" si="19"/>
        <v>5.0110442561728386</v>
      </c>
      <c r="AP86" s="9"/>
      <c r="AQ86" s="21">
        <v>1.22726</v>
      </c>
      <c r="AR86" s="21">
        <v>22.970099999999999</v>
      </c>
      <c r="AS86" s="21">
        <v>-1.1761499999999999E-2</v>
      </c>
      <c r="AT86" s="21">
        <v>76</v>
      </c>
      <c r="AU86" s="21">
        <v>1.2264999999999999</v>
      </c>
      <c r="AV86">
        <f t="shared" si="20"/>
        <v>14.520370370370369</v>
      </c>
      <c r="AW86">
        <f t="shared" si="21"/>
        <v>17.820269740740738</v>
      </c>
      <c r="AX86" s="9"/>
      <c r="AY86" s="21">
        <v>0.28274500000000002</v>
      </c>
      <c r="AZ86" s="21">
        <v>26.406600000000001</v>
      </c>
      <c r="BA86" s="21">
        <v>-1.427E-2</v>
      </c>
      <c r="BB86" s="21">
        <v>76</v>
      </c>
      <c r="BC86" s="21">
        <v>0.28216599999999997</v>
      </c>
      <c r="BD86">
        <f t="shared" si="22"/>
        <v>17.617283950617285</v>
      </c>
      <c r="BE86">
        <f t="shared" si="23"/>
        <v>4.9811989506172845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1.2222299999999999</v>
      </c>
      <c r="H87" s="21">
        <v>5.8667899999999999</v>
      </c>
      <c r="I87" s="21">
        <v>-1.18469E-2</v>
      </c>
      <c r="J87" s="21">
        <v>77</v>
      </c>
      <c r="K87" s="21">
        <v>1.2219199999999999</v>
      </c>
      <c r="L87">
        <f t="shared" si="12"/>
        <v>14.625802469135802</v>
      </c>
      <c r="M87">
        <f t="shared" si="13"/>
        <v>17.87609455185185</v>
      </c>
      <c r="N87" s="9"/>
      <c r="O87" s="21">
        <v>0.28778100000000001</v>
      </c>
      <c r="P87" s="21">
        <v>9.3032800000000009</v>
      </c>
      <c r="Q87" s="21">
        <v>-1.4389000000000001E-2</v>
      </c>
      <c r="R87" s="21">
        <v>77</v>
      </c>
      <c r="S87" s="21">
        <v>0.28720099999999998</v>
      </c>
      <c r="T87">
        <f t="shared" si="14"/>
        <v>17.764197530864198</v>
      </c>
      <c r="U87">
        <f t="shared" si="15"/>
        <v>5.1121985296296302</v>
      </c>
      <c r="X87" s="9"/>
      <c r="Y87" s="21">
        <v>1.2222299999999999</v>
      </c>
      <c r="Z87" s="21">
        <v>14.401</v>
      </c>
      <c r="AA87" s="21">
        <v>-1.1853000000000001E-2</v>
      </c>
      <c r="AB87" s="21">
        <v>77</v>
      </c>
      <c r="AC87" s="21">
        <v>1.2216199999999999</v>
      </c>
      <c r="AD87">
        <f t="shared" si="16"/>
        <v>14.633333333333333</v>
      </c>
      <c r="AE87">
        <f t="shared" si="17"/>
        <v>17.885299</v>
      </c>
      <c r="AF87" s="9"/>
      <c r="AG87" s="21">
        <v>0.28778100000000001</v>
      </c>
      <c r="AH87" s="21">
        <v>17.837499999999999</v>
      </c>
      <c r="AI87" s="21">
        <v>-1.4346299999999999E-2</v>
      </c>
      <c r="AJ87" s="21">
        <v>77</v>
      </c>
      <c r="AK87" s="21">
        <v>0.28714000000000001</v>
      </c>
      <c r="AL87">
        <f t="shared" si="18"/>
        <v>17.711481481481481</v>
      </c>
      <c r="AM87">
        <f t="shared" si="19"/>
        <v>5.0970278522222223</v>
      </c>
      <c r="AP87" s="9"/>
      <c r="AQ87" s="21">
        <v>1.2222299999999999</v>
      </c>
      <c r="AR87" s="21">
        <v>22.9802</v>
      </c>
      <c r="AS87" s="21">
        <v>-1.18073E-2</v>
      </c>
      <c r="AT87" s="21">
        <v>77</v>
      </c>
      <c r="AU87" s="21">
        <v>1.2216199999999999</v>
      </c>
      <c r="AV87">
        <f t="shared" si="20"/>
        <v>14.576913580246911</v>
      </c>
      <c r="AW87">
        <f t="shared" si="21"/>
        <v>17.816341085185183</v>
      </c>
      <c r="AX87" s="9"/>
      <c r="AY87" s="21">
        <v>0.28778100000000001</v>
      </c>
      <c r="AZ87" s="21">
        <v>26.416699999999999</v>
      </c>
      <c r="BA87" s="21">
        <v>-1.4267E-2</v>
      </c>
      <c r="BB87" s="21">
        <v>77</v>
      </c>
      <c r="BC87" s="21">
        <v>0.28723100000000001</v>
      </c>
      <c r="BD87">
        <f t="shared" si="22"/>
        <v>17.613580246913582</v>
      </c>
      <c r="BE87">
        <f t="shared" si="23"/>
        <v>5.0688537370370375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1.21719</v>
      </c>
      <c r="H88" s="21">
        <v>5.8768599999999998</v>
      </c>
      <c r="I88" s="21">
        <v>-1.18958E-2</v>
      </c>
      <c r="J88" s="21">
        <v>78</v>
      </c>
      <c r="K88" s="21">
        <v>1.2158199999999999</v>
      </c>
      <c r="L88">
        <f t="shared" si="12"/>
        <v>14.686172839506172</v>
      </c>
      <c r="M88">
        <f t="shared" si="13"/>
        <v>17.875862718518519</v>
      </c>
      <c r="N88" s="9"/>
      <c r="O88" s="21">
        <v>0.29281600000000002</v>
      </c>
      <c r="P88" s="21">
        <v>9.3133499999999998</v>
      </c>
      <c r="Q88" s="21">
        <v>-1.4367700000000001E-2</v>
      </c>
      <c r="R88" s="21">
        <v>78</v>
      </c>
      <c r="S88" s="21">
        <v>0.29217500000000002</v>
      </c>
      <c r="T88">
        <f t="shared" si="14"/>
        <v>17.7379012345679</v>
      </c>
      <c r="U88">
        <f t="shared" si="15"/>
        <v>5.193941287901235</v>
      </c>
      <c r="X88" s="9"/>
      <c r="Y88" s="21">
        <v>1.21719</v>
      </c>
      <c r="Z88" s="21">
        <v>14.411099999999999</v>
      </c>
      <c r="AA88" s="21">
        <v>-1.1892700000000001E-2</v>
      </c>
      <c r="AB88" s="21">
        <v>78</v>
      </c>
      <c r="AC88" s="21">
        <v>1.2164299999999999</v>
      </c>
      <c r="AD88">
        <f t="shared" si="16"/>
        <v>14.682345679012347</v>
      </c>
      <c r="AE88">
        <f t="shared" si="17"/>
        <v>17.871204337037039</v>
      </c>
      <c r="AF88" s="9"/>
      <c r="AG88" s="21">
        <v>0.29281600000000002</v>
      </c>
      <c r="AH88" s="21">
        <v>17.8476</v>
      </c>
      <c r="AI88" s="21">
        <v>-1.4331099999999999E-2</v>
      </c>
      <c r="AJ88" s="21">
        <v>78</v>
      </c>
      <c r="AK88" s="21">
        <v>0.292267</v>
      </c>
      <c r="AL88">
        <f t="shared" si="18"/>
        <v>17.692716049382714</v>
      </c>
      <c r="AM88">
        <f t="shared" si="19"/>
        <v>5.1807103427160488</v>
      </c>
      <c r="AP88" s="9"/>
      <c r="AQ88" s="21">
        <v>1.21719</v>
      </c>
      <c r="AR88" s="21">
        <v>22.990300000000001</v>
      </c>
      <c r="AS88" s="21">
        <v>-1.18469E-2</v>
      </c>
      <c r="AT88" s="21">
        <v>78</v>
      </c>
      <c r="AU88" s="21">
        <v>1.2161299999999999</v>
      </c>
      <c r="AV88">
        <f t="shared" si="20"/>
        <v>14.625802469135802</v>
      </c>
      <c r="AW88">
        <f t="shared" si="21"/>
        <v>17.802380507407406</v>
      </c>
      <c r="AX88" s="9"/>
      <c r="AY88" s="21">
        <v>0.29281600000000002</v>
      </c>
      <c r="AZ88" s="21">
        <v>26.4268</v>
      </c>
      <c r="BA88" s="21">
        <v>-1.4263899999999999E-2</v>
      </c>
      <c r="BB88" s="21">
        <v>78</v>
      </c>
      <c r="BC88" s="21">
        <v>0.292267</v>
      </c>
      <c r="BD88">
        <f t="shared" si="22"/>
        <v>17.609753086419751</v>
      </c>
      <c r="BE88">
        <f t="shared" si="23"/>
        <v>5.1564174597530865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1.2121599999999999</v>
      </c>
      <c r="H89" s="21">
        <v>5.8869300000000004</v>
      </c>
      <c r="I89" s="21">
        <v>-1.1935400000000001E-2</v>
      </c>
      <c r="J89" s="21">
        <v>79</v>
      </c>
      <c r="K89" s="21">
        <v>1.2115499999999999</v>
      </c>
      <c r="L89">
        <f t="shared" si="12"/>
        <v>14.735061728395062</v>
      </c>
      <c r="M89">
        <f t="shared" si="13"/>
        <v>17.861252424691358</v>
      </c>
      <c r="N89" s="9"/>
      <c r="O89" s="21">
        <v>0.29785200000000001</v>
      </c>
      <c r="P89" s="21">
        <v>9.3234200000000005</v>
      </c>
      <c r="Q89" s="21">
        <v>-1.43585E-2</v>
      </c>
      <c r="R89" s="21">
        <v>79</v>
      </c>
      <c r="S89" s="21">
        <v>0.29727199999999998</v>
      </c>
      <c r="T89">
        <f t="shared" si="14"/>
        <v>17.726543209876542</v>
      </c>
      <c r="U89">
        <f t="shared" si="15"/>
        <v>5.2798863481481479</v>
      </c>
      <c r="X89" s="9"/>
      <c r="Y89" s="21">
        <v>1.2121599999999999</v>
      </c>
      <c r="Z89" s="21">
        <v>14.421099999999999</v>
      </c>
      <c r="AA89" s="21">
        <v>-1.1935400000000001E-2</v>
      </c>
      <c r="AB89" s="21">
        <v>79</v>
      </c>
      <c r="AC89" s="21">
        <v>1.2106300000000001</v>
      </c>
      <c r="AD89">
        <f t="shared" si="16"/>
        <v>14.735061728395062</v>
      </c>
      <c r="AE89">
        <f t="shared" si="17"/>
        <v>17.861252424691358</v>
      </c>
      <c r="AF89" s="9"/>
      <c r="AG89" s="21">
        <v>0.29785200000000001</v>
      </c>
      <c r="AH89" s="21">
        <v>17.857700000000001</v>
      </c>
      <c r="AI89" s="21">
        <v>-1.43219E-2</v>
      </c>
      <c r="AJ89" s="21">
        <v>79</v>
      </c>
      <c r="AK89" s="21">
        <v>0.29727199999999998</v>
      </c>
      <c r="AL89">
        <f t="shared" si="18"/>
        <v>17.68135802469136</v>
      </c>
      <c r="AM89">
        <f t="shared" si="19"/>
        <v>5.2664278503703708</v>
      </c>
      <c r="AP89" s="9"/>
      <c r="AQ89" s="21">
        <v>1.2121599999999999</v>
      </c>
      <c r="AR89" s="21">
        <v>23.000299999999999</v>
      </c>
      <c r="AS89" s="21">
        <v>-1.18835E-2</v>
      </c>
      <c r="AT89" s="21">
        <v>79</v>
      </c>
      <c r="AU89" s="21">
        <v>1.2112400000000001</v>
      </c>
      <c r="AV89">
        <f t="shared" si="20"/>
        <v>14.670987654320987</v>
      </c>
      <c r="AW89">
        <f t="shared" si="21"/>
        <v>17.783584395061727</v>
      </c>
      <c r="AX89" s="9"/>
      <c r="AY89" s="21">
        <v>0.29785200000000001</v>
      </c>
      <c r="AZ89" s="21">
        <v>26.436800000000002</v>
      </c>
      <c r="BA89" s="21">
        <v>-1.42487E-2</v>
      </c>
      <c r="BB89" s="21">
        <v>79</v>
      </c>
      <c r="BC89" s="21">
        <v>0.29718</v>
      </c>
      <c r="BD89">
        <f t="shared" si="22"/>
        <v>17.590987654320987</v>
      </c>
      <c r="BE89">
        <f t="shared" si="23"/>
        <v>5.2395108548148146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1.20712</v>
      </c>
      <c r="H90" s="21">
        <v>5.8970000000000002</v>
      </c>
      <c r="I90" s="21">
        <v>-1.1987299999999999E-2</v>
      </c>
      <c r="J90" s="21">
        <v>80</v>
      </c>
      <c r="K90" s="21">
        <v>1.2057500000000001</v>
      </c>
      <c r="L90">
        <f t="shared" si="12"/>
        <v>14.799135802469134</v>
      </c>
      <c r="M90">
        <f t="shared" si="13"/>
        <v>17.86433280987654</v>
      </c>
      <c r="N90" s="9"/>
      <c r="O90" s="21">
        <v>0.30288700000000002</v>
      </c>
      <c r="P90" s="21">
        <v>9.3334899999999994</v>
      </c>
      <c r="Q90" s="21">
        <v>-1.43585E-2</v>
      </c>
      <c r="R90" s="21">
        <v>80</v>
      </c>
      <c r="S90" s="21">
        <v>0.30230699999999999</v>
      </c>
      <c r="T90">
        <f t="shared" si="14"/>
        <v>17.726543209876542</v>
      </c>
      <c r="U90">
        <f t="shared" si="15"/>
        <v>5.3691394932098762</v>
      </c>
      <c r="X90" s="9"/>
      <c r="Y90" s="21">
        <v>1.20712</v>
      </c>
      <c r="Z90" s="21">
        <v>14.4312</v>
      </c>
      <c r="AA90" s="21">
        <v>-1.1981199999999999E-2</v>
      </c>
      <c r="AB90" s="21">
        <v>80</v>
      </c>
      <c r="AC90" s="21">
        <v>1.2066699999999999</v>
      </c>
      <c r="AD90">
        <f t="shared" si="16"/>
        <v>14.791604938271602</v>
      </c>
      <c r="AE90">
        <f t="shared" si="17"/>
        <v>17.855242153086415</v>
      </c>
      <c r="AF90" s="9"/>
      <c r="AG90" s="21">
        <v>0.30288700000000002</v>
      </c>
      <c r="AH90" s="21">
        <v>17.867699999999999</v>
      </c>
      <c r="AI90" s="21">
        <v>-1.4306599999999999E-2</v>
      </c>
      <c r="AJ90" s="21">
        <v>80</v>
      </c>
      <c r="AK90" s="21">
        <v>0.302338</v>
      </c>
      <c r="AL90">
        <f t="shared" si="18"/>
        <v>17.662469135802468</v>
      </c>
      <c r="AM90">
        <f t="shared" si="19"/>
        <v>5.3497322891358019</v>
      </c>
      <c r="AP90" s="9"/>
      <c r="AQ90" s="21">
        <v>1.20712</v>
      </c>
      <c r="AR90" s="21">
        <v>23.010400000000001</v>
      </c>
      <c r="AS90" s="21">
        <v>-1.1920200000000001E-2</v>
      </c>
      <c r="AT90" s="21">
        <v>80</v>
      </c>
      <c r="AU90" s="21">
        <v>1.2060500000000001</v>
      </c>
      <c r="AV90">
        <f t="shared" si="20"/>
        <v>14.716296296296298</v>
      </c>
      <c r="AW90">
        <f t="shared" si="21"/>
        <v>17.764335585185187</v>
      </c>
      <c r="AX90" s="9"/>
      <c r="AY90" s="21">
        <v>0.30288700000000002</v>
      </c>
      <c r="AZ90" s="21">
        <v>26.446899999999999</v>
      </c>
      <c r="BA90" s="21">
        <v>-1.4242599999999999E-2</v>
      </c>
      <c r="BB90" s="21">
        <v>80</v>
      </c>
      <c r="BC90" s="21">
        <v>0.30227700000000002</v>
      </c>
      <c r="BD90">
        <f t="shared" si="22"/>
        <v>17.583456790123453</v>
      </c>
      <c r="BE90">
        <f t="shared" si="23"/>
        <v>5.3258004767901221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1.2020900000000001</v>
      </c>
      <c r="H91" s="21">
        <v>5.90707</v>
      </c>
      <c r="I91" s="21">
        <v>-1.20392E-2</v>
      </c>
      <c r="J91" s="21">
        <v>81</v>
      </c>
      <c r="K91" s="21">
        <v>1.2011700000000001</v>
      </c>
      <c r="L91">
        <f t="shared" si="12"/>
        <v>14.863209876543209</v>
      </c>
      <c r="M91">
        <f t="shared" si="13"/>
        <v>17.866915960493827</v>
      </c>
      <c r="N91" s="9"/>
      <c r="O91" s="21">
        <v>0.30792199999999997</v>
      </c>
      <c r="P91" s="21">
        <v>9.3435600000000001</v>
      </c>
      <c r="Q91" s="21">
        <v>-1.43494E-2</v>
      </c>
      <c r="R91" s="21">
        <v>81</v>
      </c>
      <c r="S91" s="21">
        <v>0.30743399999999999</v>
      </c>
      <c r="T91">
        <f t="shared" si="14"/>
        <v>17.715308641975309</v>
      </c>
      <c r="U91">
        <f t="shared" si="15"/>
        <v>5.4549332676543205</v>
      </c>
      <c r="X91" s="9"/>
      <c r="Y91" s="21">
        <v>1.2020900000000001</v>
      </c>
      <c r="Z91" s="21">
        <v>14.4413</v>
      </c>
      <c r="AA91" s="21">
        <v>-1.2026999999999999E-2</v>
      </c>
      <c r="AB91" s="21">
        <v>81</v>
      </c>
      <c r="AC91" s="21">
        <v>1.2011700000000001</v>
      </c>
      <c r="AD91">
        <f t="shared" si="16"/>
        <v>14.848148148148146</v>
      </c>
      <c r="AE91">
        <f t="shared" si="17"/>
        <v>17.848810407407406</v>
      </c>
      <c r="AF91" s="9"/>
      <c r="AG91" s="21">
        <v>0.30792199999999997</v>
      </c>
      <c r="AH91" s="21">
        <v>17.877800000000001</v>
      </c>
      <c r="AI91" s="21">
        <v>-1.4285300000000001E-2</v>
      </c>
      <c r="AJ91" s="21">
        <v>81</v>
      </c>
      <c r="AK91" s="21">
        <v>0.30740400000000001</v>
      </c>
      <c r="AL91">
        <f t="shared" si="18"/>
        <v>17.636172839506173</v>
      </c>
      <c r="AM91">
        <f t="shared" si="19"/>
        <v>5.4305656130864195</v>
      </c>
      <c r="AP91" s="9"/>
      <c r="AQ91" s="21">
        <v>1.2020900000000001</v>
      </c>
      <c r="AR91" s="21">
        <v>23.020499999999998</v>
      </c>
      <c r="AS91" s="21">
        <v>-1.19598E-2</v>
      </c>
      <c r="AT91" s="21">
        <v>81</v>
      </c>
      <c r="AU91" s="21">
        <v>1.2008700000000001</v>
      </c>
      <c r="AV91">
        <f t="shared" si="20"/>
        <v>14.765185185185183</v>
      </c>
      <c r="AW91">
        <f t="shared" si="21"/>
        <v>17.749081459259259</v>
      </c>
      <c r="AX91" s="9"/>
      <c r="AY91" s="21">
        <v>0.30792199999999997</v>
      </c>
      <c r="AZ91" s="21">
        <v>26.457000000000001</v>
      </c>
      <c r="BA91" s="21">
        <v>-1.42303E-2</v>
      </c>
      <c r="BB91" s="21">
        <v>81</v>
      </c>
      <c r="BC91" s="21">
        <v>0.30728100000000003</v>
      </c>
      <c r="BD91">
        <f t="shared" si="22"/>
        <v>17.568271604938271</v>
      </c>
      <c r="BE91">
        <f t="shared" si="23"/>
        <v>5.4096573291358023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1.1970499999999999</v>
      </c>
      <c r="H92" s="21">
        <v>5.9171399999999998</v>
      </c>
      <c r="I92" s="21">
        <v>-1.20819E-2</v>
      </c>
      <c r="J92" s="21">
        <v>82</v>
      </c>
      <c r="K92" s="21">
        <v>1.19598</v>
      </c>
      <c r="L92">
        <f t="shared" si="12"/>
        <v>14.915925925925924</v>
      </c>
      <c r="M92">
        <f t="shared" si="13"/>
        <v>17.855109129629625</v>
      </c>
      <c r="N92" s="9"/>
      <c r="O92" s="21">
        <v>0.31295800000000001</v>
      </c>
      <c r="P92" s="21">
        <v>9.3536400000000004</v>
      </c>
      <c r="Q92" s="21">
        <v>-1.43372E-2</v>
      </c>
      <c r="R92" s="21">
        <v>82</v>
      </c>
      <c r="S92" s="21">
        <v>0.31231700000000001</v>
      </c>
      <c r="T92">
        <f t="shared" si="14"/>
        <v>17.700246913580244</v>
      </c>
      <c r="U92">
        <f t="shared" si="15"/>
        <v>5.5394338735802462</v>
      </c>
      <c r="X92" s="9"/>
      <c r="Y92" s="21">
        <v>1.1970499999999999</v>
      </c>
      <c r="Z92" s="21">
        <v>14.4513</v>
      </c>
      <c r="AA92" s="21">
        <v>-1.2069699999999999E-2</v>
      </c>
      <c r="AB92" s="21">
        <v>82</v>
      </c>
      <c r="AC92" s="21">
        <v>1.1962900000000001</v>
      </c>
      <c r="AD92">
        <f t="shared" si="16"/>
        <v>14.900864197530863</v>
      </c>
      <c r="AE92">
        <f t="shared" si="17"/>
        <v>17.837079487654318</v>
      </c>
      <c r="AF92" s="9"/>
      <c r="AG92" s="21">
        <v>0.31295800000000001</v>
      </c>
      <c r="AH92" s="21">
        <v>17.887899999999998</v>
      </c>
      <c r="AI92" s="21">
        <v>-1.427E-2</v>
      </c>
      <c r="AJ92" s="21">
        <v>82</v>
      </c>
      <c r="AK92" s="21">
        <v>0.31234699999999999</v>
      </c>
      <c r="AL92">
        <f t="shared" si="18"/>
        <v>17.617283950617285</v>
      </c>
      <c r="AM92">
        <f t="shared" si="19"/>
        <v>5.5134699506172842</v>
      </c>
      <c r="AP92" s="9"/>
      <c r="AQ92" s="21">
        <v>1.1970499999999999</v>
      </c>
      <c r="AR92" s="21">
        <v>23.0306</v>
      </c>
      <c r="AS92" s="21">
        <v>-1.19965E-2</v>
      </c>
      <c r="AT92" s="21">
        <v>82</v>
      </c>
      <c r="AU92" s="21">
        <v>1.19598</v>
      </c>
      <c r="AV92">
        <f t="shared" si="20"/>
        <v>14.810493827160494</v>
      </c>
      <c r="AW92">
        <f t="shared" si="21"/>
        <v>17.728901635802469</v>
      </c>
      <c r="AX92" s="9"/>
      <c r="AY92" s="21">
        <v>0.31295800000000001</v>
      </c>
      <c r="AZ92" s="21">
        <v>26.466999999999999</v>
      </c>
      <c r="BA92" s="21">
        <v>-1.4218099999999999E-2</v>
      </c>
      <c r="BB92" s="21">
        <v>82</v>
      </c>
      <c r="BC92" s="21">
        <v>0.31228600000000001</v>
      </c>
      <c r="BD92">
        <f t="shared" si="22"/>
        <v>17.553209876543207</v>
      </c>
      <c r="BE92">
        <f t="shared" si="23"/>
        <v>5.4934174565432095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1.1920200000000001</v>
      </c>
      <c r="H93" s="21">
        <v>5.9272200000000002</v>
      </c>
      <c r="I93" s="21">
        <v>-1.2130699999999999E-2</v>
      </c>
      <c r="J93" s="21">
        <v>83</v>
      </c>
      <c r="K93" s="21">
        <v>1.1911</v>
      </c>
      <c r="L93">
        <f t="shared" si="12"/>
        <v>14.976172839506171</v>
      </c>
      <c r="M93">
        <f t="shared" si="13"/>
        <v>17.851897548148148</v>
      </c>
      <c r="N93" s="9"/>
      <c r="O93" s="21">
        <v>0.31799300000000003</v>
      </c>
      <c r="P93" s="21">
        <v>9.3637099999999993</v>
      </c>
      <c r="Q93" s="21">
        <v>-1.4331099999999999E-2</v>
      </c>
      <c r="R93" s="21">
        <v>83</v>
      </c>
      <c r="S93" s="21">
        <v>0.31738300000000003</v>
      </c>
      <c r="T93">
        <f t="shared" si="14"/>
        <v>17.692716049382714</v>
      </c>
      <c r="U93">
        <f t="shared" si="15"/>
        <v>5.626159854691358</v>
      </c>
      <c r="X93" s="9"/>
      <c r="Y93" s="21">
        <v>1.1920200000000001</v>
      </c>
      <c r="Z93" s="21">
        <v>14.461399999999999</v>
      </c>
      <c r="AA93" s="21">
        <v>-1.21155E-2</v>
      </c>
      <c r="AB93" s="21">
        <v>83</v>
      </c>
      <c r="AC93" s="21">
        <v>1.1911</v>
      </c>
      <c r="AD93">
        <f t="shared" si="16"/>
        <v>14.957407407407405</v>
      </c>
      <c r="AE93">
        <f t="shared" si="17"/>
        <v>17.829528777777778</v>
      </c>
      <c r="AF93" s="9"/>
      <c r="AG93" s="21">
        <v>0.31799300000000003</v>
      </c>
      <c r="AH93" s="21">
        <v>17.898</v>
      </c>
      <c r="AI93" s="21">
        <v>-1.42609E-2</v>
      </c>
      <c r="AJ93" s="21">
        <v>83</v>
      </c>
      <c r="AK93" s="21">
        <v>0.31732199999999999</v>
      </c>
      <c r="AL93">
        <f t="shared" si="18"/>
        <v>17.606049382716048</v>
      </c>
      <c r="AM93">
        <f t="shared" si="19"/>
        <v>5.5986004613580249</v>
      </c>
      <c r="AP93" s="9"/>
      <c r="AQ93" s="21">
        <v>1.1920200000000001</v>
      </c>
      <c r="AR93" s="21">
        <v>23.040600000000001</v>
      </c>
      <c r="AS93" s="21">
        <v>-1.20392E-2</v>
      </c>
      <c r="AT93" s="21">
        <v>83</v>
      </c>
      <c r="AU93" s="21">
        <v>1.1914100000000001</v>
      </c>
      <c r="AV93">
        <f t="shared" si="20"/>
        <v>14.863209876543209</v>
      </c>
      <c r="AW93">
        <f t="shared" si="21"/>
        <v>17.717243437037038</v>
      </c>
      <c r="AX93" s="9"/>
      <c r="AY93" s="21">
        <v>0.31799300000000003</v>
      </c>
      <c r="AZ93" s="21">
        <v>26.4771</v>
      </c>
      <c r="BA93" s="21">
        <v>-1.4212000000000001E-2</v>
      </c>
      <c r="BB93" s="21">
        <v>83</v>
      </c>
      <c r="BC93" s="21">
        <v>0.31750499999999998</v>
      </c>
      <c r="BD93">
        <f t="shared" si="22"/>
        <v>17.54567901234568</v>
      </c>
      <c r="BE93">
        <f t="shared" si="23"/>
        <v>5.5794031061728404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1.1869799999999999</v>
      </c>
      <c r="H94" s="21">
        <v>5.93729</v>
      </c>
      <c r="I94" s="21">
        <v>-1.2158199999999999E-2</v>
      </c>
      <c r="J94" s="21">
        <v>84</v>
      </c>
      <c r="K94" s="21">
        <v>1.18591</v>
      </c>
      <c r="L94">
        <f t="shared" si="12"/>
        <v>15.010123456790122</v>
      </c>
      <c r="M94">
        <f t="shared" si="13"/>
        <v>17.816716340740737</v>
      </c>
      <c r="N94" s="9"/>
      <c r="O94" s="21">
        <v>0.32302900000000001</v>
      </c>
      <c r="P94" s="21">
        <v>9.37378</v>
      </c>
      <c r="Q94" s="21">
        <v>-1.4328E-2</v>
      </c>
      <c r="R94" s="21">
        <v>84</v>
      </c>
      <c r="S94" s="21">
        <v>0.32232699999999997</v>
      </c>
      <c r="T94">
        <f t="shared" si="14"/>
        <v>17.68888888888889</v>
      </c>
      <c r="U94">
        <f t="shared" si="15"/>
        <v>5.7140240888888894</v>
      </c>
      <c r="X94" s="9"/>
      <c r="Y94" s="21">
        <v>1.1869799999999999</v>
      </c>
      <c r="Z94" s="21">
        <v>14.471500000000001</v>
      </c>
      <c r="AA94" s="21">
        <v>-1.2152100000000001E-2</v>
      </c>
      <c r="AB94" s="21">
        <v>84</v>
      </c>
      <c r="AC94" s="21">
        <v>1.1856100000000001</v>
      </c>
      <c r="AD94">
        <f t="shared" si="16"/>
        <v>15.002592592592592</v>
      </c>
      <c r="AE94">
        <f t="shared" si="17"/>
        <v>17.807777355555555</v>
      </c>
      <c r="AF94" s="9"/>
      <c r="AG94" s="21">
        <v>0.32302900000000001</v>
      </c>
      <c r="AH94" s="21">
        <v>17.908000000000001</v>
      </c>
      <c r="AI94" s="21">
        <v>-1.42487E-2</v>
      </c>
      <c r="AJ94" s="21">
        <v>84</v>
      </c>
      <c r="AK94" s="21">
        <v>0.322357</v>
      </c>
      <c r="AL94">
        <f t="shared" si="18"/>
        <v>17.590987654320987</v>
      </c>
      <c r="AM94">
        <f t="shared" si="19"/>
        <v>5.6823991509876546</v>
      </c>
      <c r="AP94" s="9"/>
      <c r="AQ94" s="21">
        <v>1.1869799999999999</v>
      </c>
      <c r="AR94" s="21">
        <v>23.050699999999999</v>
      </c>
      <c r="AS94" s="21">
        <v>-1.20728E-2</v>
      </c>
      <c r="AT94" s="21">
        <v>84</v>
      </c>
      <c r="AU94" s="21">
        <v>1.18591</v>
      </c>
      <c r="AV94">
        <f t="shared" si="20"/>
        <v>14.90469135802469</v>
      </c>
      <c r="AW94">
        <f t="shared" si="21"/>
        <v>17.691570548148146</v>
      </c>
      <c r="AX94" s="9"/>
      <c r="AY94" s="21">
        <v>0.32302900000000001</v>
      </c>
      <c r="AZ94" s="21">
        <v>26.487200000000001</v>
      </c>
      <c r="BA94" s="21">
        <v>-1.4196800000000001E-2</v>
      </c>
      <c r="BB94" s="21">
        <v>84</v>
      </c>
      <c r="BC94" s="21">
        <v>0.32232699999999997</v>
      </c>
      <c r="BD94">
        <f t="shared" si="22"/>
        <v>17.526913580246916</v>
      </c>
      <c r="BE94">
        <f t="shared" si="23"/>
        <v>5.6617013669135812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1.1819500000000001</v>
      </c>
      <c r="H95" s="21">
        <v>5.9473599999999998</v>
      </c>
      <c r="I95" s="21">
        <v>-1.2185700000000001E-2</v>
      </c>
      <c r="J95" s="21">
        <v>85</v>
      </c>
      <c r="K95" s="21">
        <v>1.18103</v>
      </c>
      <c r="L95">
        <f t="shared" si="12"/>
        <v>15.044074074074075</v>
      </c>
      <c r="M95">
        <f t="shared" si="13"/>
        <v>17.781343351851852</v>
      </c>
      <c r="N95" s="9"/>
      <c r="O95" s="21">
        <v>0.32806400000000002</v>
      </c>
      <c r="P95" s="21">
        <v>9.3838500000000007</v>
      </c>
      <c r="Q95" s="21">
        <v>-1.43158E-2</v>
      </c>
      <c r="R95" s="21">
        <v>85</v>
      </c>
      <c r="S95" s="21">
        <v>0.32742300000000002</v>
      </c>
      <c r="T95">
        <f t="shared" si="14"/>
        <v>17.673827160493826</v>
      </c>
      <c r="U95">
        <f t="shared" si="15"/>
        <v>5.7981464335802464</v>
      </c>
      <c r="X95" s="9"/>
      <c r="Y95" s="21">
        <v>1.1819500000000001</v>
      </c>
      <c r="Z95" s="21">
        <v>14.4816</v>
      </c>
      <c r="AA95" s="21">
        <v>-1.21796E-2</v>
      </c>
      <c r="AB95" s="21">
        <v>85</v>
      </c>
      <c r="AC95" s="21">
        <v>1.18103</v>
      </c>
      <c r="AD95">
        <f t="shared" si="16"/>
        <v>15.036543209876543</v>
      </c>
      <c r="AE95">
        <f t="shared" si="17"/>
        <v>17.772442246913581</v>
      </c>
      <c r="AF95" s="9"/>
      <c r="AG95" s="21">
        <v>0.32806400000000002</v>
      </c>
      <c r="AH95" s="21">
        <v>17.918099999999999</v>
      </c>
      <c r="AI95" s="21">
        <v>-1.4251700000000001E-2</v>
      </c>
      <c r="AJ95" s="21">
        <v>85</v>
      </c>
      <c r="AK95" s="21">
        <v>0.32742300000000002</v>
      </c>
      <c r="AL95">
        <f t="shared" si="18"/>
        <v>17.594691358024694</v>
      </c>
      <c r="AM95">
        <f t="shared" si="19"/>
        <v>5.7721848256790134</v>
      </c>
      <c r="AP95" s="9"/>
      <c r="AQ95" s="21">
        <v>1.1819500000000001</v>
      </c>
      <c r="AR95" s="21">
        <v>23.0608</v>
      </c>
      <c r="AS95" s="21">
        <v>-1.21063E-2</v>
      </c>
      <c r="AT95" s="21">
        <v>85</v>
      </c>
      <c r="AU95" s="21">
        <v>1.18103</v>
      </c>
      <c r="AV95">
        <f t="shared" si="20"/>
        <v>14.946049382716049</v>
      </c>
      <c r="AW95">
        <f t="shared" si="21"/>
        <v>17.665483067901235</v>
      </c>
      <c r="AX95" s="9"/>
      <c r="AY95" s="21">
        <v>0.32806400000000002</v>
      </c>
      <c r="AZ95" s="21">
        <v>26.497299999999999</v>
      </c>
      <c r="BA95" s="21">
        <v>-1.41937E-2</v>
      </c>
      <c r="BB95" s="21">
        <v>85</v>
      </c>
      <c r="BC95" s="21">
        <v>0.32754499999999998</v>
      </c>
      <c r="BD95">
        <f t="shared" si="22"/>
        <v>17.523086419753085</v>
      </c>
      <c r="BE95">
        <f t="shared" si="23"/>
        <v>5.7486938232098765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1.1769099999999999</v>
      </c>
      <c r="H96" s="21">
        <v>5.9574299999999996</v>
      </c>
      <c r="I96" s="21">
        <v>-1.2204E-2</v>
      </c>
      <c r="J96" s="21">
        <v>86</v>
      </c>
      <c r="K96" s="21">
        <v>1.17554</v>
      </c>
      <c r="L96">
        <f t="shared" si="12"/>
        <v>15.066666666666666</v>
      </c>
      <c r="M96">
        <f t="shared" si="13"/>
        <v>17.732110666666664</v>
      </c>
      <c r="N96" s="9"/>
      <c r="O96" s="21">
        <v>0.33309899999999998</v>
      </c>
      <c r="P96" s="21">
        <v>9.3939199999999996</v>
      </c>
      <c r="Q96" s="21">
        <v>-1.43036E-2</v>
      </c>
      <c r="R96" s="21">
        <v>86</v>
      </c>
      <c r="S96" s="21">
        <v>0.33258100000000002</v>
      </c>
      <c r="T96">
        <f t="shared" si="14"/>
        <v>17.658765432098765</v>
      </c>
      <c r="U96">
        <f t="shared" si="15"/>
        <v>5.8821171066666658</v>
      </c>
      <c r="X96" s="9"/>
      <c r="Y96" s="21">
        <v>1.1769099999999999</v>
      </c>
      <c r="Z96" s="21">
        <v>14.4916</v>
      </c>
      <c r="AA96" s="21">
        <v>-1.22101E-2</v>
      </c>
      <c r="AB96" s="21">
        <v>86</v>
      </c>
      <c r="AC96" s="21">
        <v>1.17615</v>
      </c>
      <c r="AD96">
        <f t="shared" si="16"/>
        <v>15.074197530864195</v>
      </c>
      <c r="AE96">
        <f t="shared" si="17"/>
        <v>17.74097381604938</v>
      </c>
      <c r="AF96" s="9"/>
      <c r="AG96" s="21">
        <v>0.33309899999999998</v>
      </c>
      <c r="AH96" s="21">
        <v>17.9282</v>
      </c>
      <c r="AI96" s="21">
        <v>-1.42487E-2</v>
      </c>
      <c r="AJ96" s="21">
        <v>86</v>
      </c>
      <c r="AK96" s="21">
        <v>0.33248899999999998</v>
      </c>
      <c r="AL96">
        <f t="shared" si="18"/>
        <v>17.590987654320987</v>
      </c>
      <c r="AM96">
        <f t="shared" si="19"/>
        <v>5.8595403966666657</v>
      </c>
      <c r="AP96" s="9"/>
      <c r="AQ96" s="21">
        <v>1.1769099999999999</v>
      </c>
      <c r="AR96" s="21">
        <v>23.070799999999998</v>
      </c>
      <c r="AS96" s="21">
        <v>-1.21399E-2</v>
      </c>
      <c r="AT96" s="21">
        <v>86</v>
      </c>
      <c r="AU96" s="21">
        <v>1.17615</v>
      </c>
      <c r="AV96">
        <f t="shared" si="20"/>
        <v>14.987530864197531</v>
      </c>
      <c r="AW96">
        <f t="shared" si="21"/>
        <v>17.638974949382714</v>
      </c>
      <c r="AX96" s="9"/>
      <c r="AY96" s="21">
        <v>0.33309899999999998</v>
      </c>
      <c r="AZ96" s="21">
        <v>26.507300000000001</v>
      </c>
      <c r="BA96" s="21">
        <v>-1.41937E-2</v>
      </c>
      <c r="BB96" s="21">
        <v>86</v>
      </c>
      <c r="BC96" s="21">
        <v>0.33255000000000001</v>
      </c>
      <c r="BD96">
        <f t="shared" si="22"/>
        <v>17.523086419753085</v>
      </c>
      <c r="BE96">
        <f t="shared" si="23"/>
        <v>5.8369225633333324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1.17188</v>
      </c>
      <c r="H97" s="21">
        <v>5.9675000000000002</v>
      </c>
      <c r="I97" s="21">
        <v>-1.2234500000000001E-2</v>
      </c>
      <c r="J97" s="21">
        <v>87</v>
      </c>
      <c r="K97" s="21">
        <v>1.17096</v>
      </c>
      <c r="L97">
        <f t="shared" si="12"/>
        <v>15.104320987654321</v>
      </c>
      <c r="M97">
        <f t="shared" si="13"/>
        <v>17.700451679012346</v>
      </c>
      <c r="N97" s="9"/>
      <c r="O97" s="21">
        <v>0.33813500000000002</v>
      </c>
      <c r="P97" s="21">
        <v>9.4039900000000003</v>
      </c>
      <c r="Q97" s="21">
        <v>-1.4294400000000001E-2</v>
      </c>
      <c r="R97" s="21">
        <v>87</v>
      </c>
      <c r="S97" s="21">
        <v>0.33743299999999998</v>
      </c>
      <c r="T97">
        <f t="shared" si="14"/>
        <v>17.647407407407407</v>
      </c>
      <c r="U97">
        <f t="shared" si="15"/>
        <v>5.9672061037037034</v>
      </c>
      <c r="X97" s="9"/>
      <c r="Y97" s="21">
        <v>1.17188</v>
      </c>
      <c r="Z97" s="21">
        <v>14.5017</v>
      </c>
      <c r="AA97" s="21">
        <v>-1.2252799999999999E-2</v>
      </c>
      <c r="AB97" s="21">
        <v>87</v>
      </c>
      <c r="AC97" s="21">
        <v>1.17126</v>
      </c>
      <c r="AD97">
        <f t="shared" si="16"/>
        <v>15.126913580246912</v>
      </c>
      <c r="AE97">
        <f t="shared" si="17"/>
        <v>17.726927486419751</v>
      </c>
      <c r="AF97" s="9"/>
      <c r="AG97" s="21">
        <v>0.33813500000000002</v>
      </c>
      <c r="AH97" s="21">
        <v>17.938199999999998</v>
      </c>
      <c r="AI97" s="21">
        <v>-1.4242599999999999E-2</v>
      </c>
      <c r="AJ97" s="21">
        <v>87</v>
      </c>
      <c r="AK97" s="21">
        <v>0.33755499999999999</v>
      </c>
      <c r="AL97">
        <f t="shared" si="18"/>
        <v>17.583456790123453</v>
      </c>
      <c r="AM97">
        <f t="shared" si="19"/>
        <v>5.9455821617283942</v>
      </c>
      <c r="AP97" s="9"/>
      <c r="AQ97" s="21">
        <v>1.17188</v>
      </c>
      <c r="AR97" s="21">
        <v>23.0809</v>
      </c>
      <c r="AS97" s="21">
        <v>-1.2185700000000001E-2</v>
      </c>
      <c r="AT97" s="21">
        <v>87</v>
      </c>
      <c r="AU97" s="21">
        <v>1.17126</v>
      </c>
      <c r="AV97">
        <f t="shared" si="20"/>
        <v>15.044074074074075</v>
      </c>
      <c r="AW97">
        <f t="shared" si="21"/>
        <v>17.629849525925927</v>
      </c>
      <c r="AX97" s="9"/>
      <c r="AY97" s="21">
        <v>0.33813500000000002</v>
      </c>
      <c r="AZ97" s="21">
        <v>26.517399999999999</v>
      </c>
      <c r="BA97" s="21">
        <v>-1.41876E-2</v>
      </c>
      <c r="BB97" s="21">
        <v>87</v>
      </c>
      <c r="BC97" s="21">
        <v>0.33752399999999999</v>
      </c>
      <c r="BD97">
        <f t="shared" si="22"/>
        <v>17.515555555555554</v>
      </c>
      <c r="BE97">
        <f t="shared" si="23"/>
        <v>5.9226223777777776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1.1668400000000001</v>
      </c>
      <c r="H98" s="21">
        <v>5.9775700000000001</v>
      </c>
      <c r="I98" s="21">
        <v>-1.2268100000000001E-2</v>
      </c>
      <c r="J98" s="21">
        <v>88</v>
      </c>
      <c r="K98" s="21">
        <v>1.16638</v>
      </c>
      <c r="L98">
        <f t="shared" si="12"/>
        <v>15.145802469135802</v>
      </c>
      <c r="M98">
        <f t="shared" si="13"/>
        <v>17.672728153086421</v>
      </c>
      <c r="N98" s="9"/>
      <c r="O98" s="21">
        <v>0.34316999999999998</v>
      </c>
      <c r="P98" s="21">
        <v>9.4140599999999992</v>
      </c>
      <c r="Q98" s="21">
        <v>-1.42883E-2</v>
      </c>
      <c r="R98" s="21">
        <v>88</v>
      </c>
      <c r="S98" s="21">
        <v>0.34262100000000001</v>
      </c>
      <c r="T98">
        <f t="shared" si="14"/>
        <v>17.639876543209876</v>
      </c>
      <c r="U98">
        <f t="shared" si="15"/>
        <v>6.0534764333333326</v>
      </c>
      <c r="X98" s="9"/>
      <c r="Y98" s="21">
        <v>1.1668400000000001</v>
      </c>
      <c r="Z98" s="21">
        <v>14.511799999999999</v>
      </c>
      <c r="AA98" s="21">
        <v>-1.2289400000000001E-2</v>
      </c>
      <c r="AB98" s="21">
        <v>88</v>
      </c>
      <c r="AC98" s="21">
        <v>1.16547</v>
      </c>
      <c r="AD98">
        <f t="shared" si="16"/>
        <v>15.172098765432098</v>
      </c>
      <c r="AE98">
        <f t="shared" si="17"/>
        <v>17.703411723456792</v>
      </c>
      <c r="AF98" s="9"/>
      <c r="AG98" s="21">
        <v>0.34316999999999998</v>
      </c>
      <c r="AH98" s="21">
        <v>17.9483</v>
      </c>
      <c r="AI98" s="21">
        <v>-1.4236499999999999E-2</v>
      </c>
      <c r="AJ98" s="21">
        <v>88</v>
      </c>
      <c r="AK98" s="21">
        <v>0.342499</v>
      </c>
      <c r="AL98">
        <f t="shared" si="18"/>
        <v>17.575925925925926</v>
      </c>
      <c r="AM98">
        <f t="shared" si="19"/>
        <v>6.0315304999999997</v>
      </c>
      <c r="AP98" s="9"/>
      <c r="AQ98" s="21">
        <v>1.1668400000000001</v>
      </c>
      <c r="AR98" s="21">
        <v>23.091000000000001</v>
      </c>
      <c r="AS98" s="21">
        <v>-1.22192E-2</v>
      </c>
      <c r="AT98" s="21">
        <v>88</v>
      </c>
      <c r="AU98" s="21">
        <v>1.16608</v>
      </c>
      <c r="AV98">
        <f t="shared" si="20"/>
        <v>15.08543209876543</v>
      </c>
      <c r="AW98">
        <f t="shared" si="21"/>
        <v>17.602285590123458</v>
      </c>
      <c r="AX98" s="9"/>
      <c r="AY98" s="21">
        <v>0.34316999999999998</v>
      </c>
      <c r="AZ98" s="21">
        <v>26.5275</v>
      </c>
      <c r="BA98" s="21">
        <v>-1.41815E-2</v>
      </c>
      <c r="BB98" s="21">
        <v>88</v>
      </c>
      <c r="BC98" s="21">
        <v>0.34255999999999998</v>
      </c>
      <c r="BD98">
        <f t="shared" si="22"/>
        <v>17.508024691358024</v>
      </c>
      <c r="BE98">
        <f t="shared" si="23"/>
        <v>6.0082288333333329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1.1617999999999999</v>
      </c>
      <c r="H99" s="21">
        <v>5.9876399999999999</v>
      </c>
      <c r="I99" s="21">
        <v>-1.23138E-2</v>
      </c>
      <c r="J99" s="21">
        <v>89</v>
      </c>
      <c r="K99" s="21">
        <v>1.16089</v>
      </c>
      <c r="L99">
        <f t="shared" si="12"/>
        <v>15.202222222222222</v>
      </c>
      <c r="M99">
        <f t="shared" si="13"/>
        <v>17.661941777777777</v>
      </c>
      <c r="N99" s="9"/>
      <c r="O99" s="21">
        <v>0.34820600000000002</v>
      </c>
      <c r="P99" s="21">
        <v>9.4241299999999999</v>
      </c>
      <c r="Q99" s="21">
        <v>-1.4279200000000001E-2</v>
      </c>
      <c r="R99" s="21">
        <v>89</v>
      </c>
      <c r="S99" s="21">
        <v>0.34762599999999999</v>
      </c>
      <c r="T99">
        <f t="shared" si="14"/>
        <v>17.628641975308639</v>
      </c>
      <c r="U99">
        <f t="shared" si="15"/>
        <v>6.1383989076543202</v>
      </c>
      <c r="X99" s="9"/>
      <c r="Y99" s="21">
        <v>1.1617999999999999</v>
      </c>
      <c r="Z99" s="21">
        <v>14.521800000000001</v>
      </c>
      <c r="AA99" s="21">
        <v>-1.2329100000000001E-2</v>
      </c>
      <c r="AB99" s="21">
        <v>89</v>
      </c>
      <c r="AC99" s="21">
        <v>1.1605799999999999</v>
      </c>
      <c r="AD99">
        <f t="shared" si="16"/>
        <v>15.22111111111111</v>
      </c>
      <c r="AE99">
        <f t="shared" si="17"/>
        <v>17.683886888888885</v>
      </c>
      <c r="AF99" s="9"/>
      <c r="AG99" s="21">
        <v>0.34820600000000002</v>
      </c>
      <c r="AH99" s="21">
        <v>17.958400000000001</v>
      </c>
      <c r="AI99" s="21">
        <v>-1.42151E-2</v>
      </c>
      <c r="AJ99" s="21">
        <v>89</v>
      </c>
      <c r="AK99" s="21">
        <v>0.34756500000000001</v>
      </c>
      <c r="AL99">
        <f t="shared" si="18"/>
        <v>17.549506172839507</v>
      </c>
      <c r="AM99">
        <f t="shared" si="19"/>
        <v>6.1108433464197534</v>
      </c>
      <c r="AP99" s="9"/>
      <c r="AQ99" s="21">
        <v>1.1617999999999999</v>
      </c>
      <c r="AR99" s="21">
        <v>23.101099999999999</v>
      </c>
      <c r="AS99" s="21">
        <v>-1.22559E-2</v>
      </c>
      <c r="AT99" s="21">
        <v>89</v>
      </c>
      <c r="AU99" s="21">
        <v>1.1605799999999999</v>
      </c>
      <c r="AV99">
        <f t="shared" si="20"/>
        <v>15.130740740740739</v>
      </c>
      <c r="AW99">
        <f t="shared" si="21"/>
        <v>17.57889459259259</v>
      </c>
      <c r="AX99" s="9"/>
      <c r="AY99" s="21">
        <v>0.34820600000000002</v>
      </c>
      <c r="AZ99" s="21">
        <v>26.537500000000001</v>
      </c>
      <c r="BA99" s="21">
        <v>-1.41663E-2</v>
      </c>
      <c r="BB99" s="21">
        <v>89</v>
      </c>
      <c r="BC99" s="21">
        <v>0.34765600000000002</v>
      </c>
      <c r="BD99">
        <f t="shared" si="22"/>
        <v>17.489259259259256</v>
      </c>
      <c r="BE99">
        <f t="shared" si="23"/>
        <v>6.0898650096296292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1.1567700000000001</v>
      </c>
      <c r="H100" s="21">
        <v>5.9977099999999997</v>
      </c>
      <c r="I100" s="21">
        <v>-1.23383E-2</v>
      </c>
      <c r="J100" s="21">
        <v>90</v>
      </c>
      <c r="K100" s="21">
        <v>1.15601</v>
      </c>
      <c r="L100">
        <f t="shared" si="12"/>
        <v>15.232469135802468</v>
      </c>
      <c r="M100">
        <f t="shared" si="13"/>
        <v>17.620463322222221</v>
      </c>
      <c r="N100" s="9"/>
      <c r="O100" s="21">
        <v>0.35324100000000003</v>
      </c>
      <c r="P100" s="21">
        <v>9.4342000000000006</v>
      </c>
      <c r="Q100" s="21">
        <v>-1.42761E-2</v>
      </c>
      <c r="R100" s="21">
        <v>90</v>
      </c>
      <c r="S100" s="21">
        <v>0.352661</v>
      </c>
      <c r="T100">
        <f t="shared" si="14"/>
        <v>17.624814814814812</v>
      </c>
      <c r="U100">
        <f t="shared" si="15"/>
        <v>6.2258072099999993</v>
      </c>
      <c r="X100" s="9"/>
      <c r="Y100" s="21">
        <v>1.1567700000000001</v>
      </c>
      <c r="Z100" s="21">
        <v>14.5319</v>
      </c>
      <c r="AA100" s="21">
        <v>-1.2362700000000001E-2</v>
      </c>
      <c r="AB100" s="21">
        <v>90</v>
      </c>
      <c r="AC100" s="21">
        <v>1.15601</v>
      </c>
      <c r="AD100">
        <f t="shared" si="16"/>
        <v>15.262592592592593</v>
      </c>
      <c r="AE100">
        <f t="shared" si="17"/>
        <v>17.655309233333334</v>
      </c>
      <c r="AF100" s="9"/>
      <c r="AG100" s="21">
        <v>0.35324100000000003</v>
      </c>
      <c r="AH100" s="21">
        <v>17.968399999999999</v>
      </c>
      <c r="AI100" s="21">
        <v>-1.4190700000000001E-2</v>
      </c>
      <c r="AJ100" s="21">
        <v>90</v>
      </c>
      <c r="AK100" s="21">
        <v>0.35263100000000003</v>
      </c>
      <c r="AL100">
        <f t="shared" si="18"/>
        <v>17.519382716049382</v>
      </c>
      <c r="AM100">
        <f t="shared" si="19"/>
        <v>6.1885642700000005</v>
      </c>
      <c r="AP100" s="9"/>
      <c r="AQ100" s="21">
        <v>1.1567700000000001</v>
      </c>
      <c r="AR100" s="21">
        <v>23.1111</v>
      </c>
      <c r="AS100" s="21">
        <v>-1.22833E-2</v>
      </c>
      <c r="AT100" s="21">
        <v>90</v>
      </c>
      <c r="AU100" s="21">
        <v>1.1554</v>
      </c>
      <c r="AV100">
        <f t="shared" si="20"/>
        <v>15.164567901234568</v>
      </c>
      <c r="AW100">
        <f t="shared" si="21"/>
        <v>17.541917211111112</v>
      </c>
      <c r="AX100" s="9"/>
      <c r="AY100" s="21">
        <v>0.35324100000000003</v>
      </c>
      <c r="AZ100" s="21">
        <v>26.547599999999999</v>
      </c>
      <c r="BA100" s="21">
        <v>-1.4154099999999999E-2</v>
      </c>
      <c r="BB100" s="21">
        <v>90</v>
      </c>
      <c r="BC100" s="21">
        <v>0.35263100000000003</v>
      </c>
      <c r="BD100">
        <f t="shared" si="22"/>
        <v>17.474197530864195</v>
      </c>
      <c r="BE100">
        <f t="shared" si="23"/>
        <v>6.1726030099999996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1.1517299999999999</v>
      </c>
      <c r="H101" s="21">
        <v>6.0077800000000003</v>
      </c>
      <c r="I101" s="21">
        <v>-1.2374899999999999E-2</v>
      </c>
      <c r="J101" s="21">
        <v>91</v>
      </c>
      <c r="K101" s="21">
        <v>1.1505099999999999</v>
      </c>
      <c r="L101">
        <f t="shared" si="12"/>
        <v>15.277654320987653</v>
      </c>
      <c r="M101">
        <f t="shared" si="13"/>
        <v>17.595732811111109</v>
      </c>
      <c r="N101" s="9"/>
      <c r="O101" s="21">
        <v>0.35827599999999998</v>
      </c>
      <c r="P101" s="21">
        <v>9.4442699999999995</v>
      </c>
      <c r="Q101" s="21">
        <v>-1.4267E-2</v>
      </c>
      <c r="R101" s="21">
        <v>91</v>
      </c>
      <c r="S101" s="21">
        <v>0.35769699999999999</v>
      </c>
      <c r="T101">
        <f t="shared" si="14"/>
        <v>17.613580246913582</v>
      </c>
      <c r="U101">
        <f t="shared" si="15"/>
        <v>6.3105230765432099</v>
      </c>
      <c r="X101" s="9"/>
      <c r="Y101" s="21">
        <v>1.1517299999999999</v>
      </c>
      <c r="Z101" s="21">
        <v>14.542</v>
      </c>
      <c r="AA101" s="21">
        <v>-1.23932E-2</v>
      </c>
      <c r="AB101" s="21">
        <v>91</v>
      </c>
      <c r="AC101" s="21">
        <v>1.15082</v>
      </c>
      <c r="AD101">
        <f t="shared" si="16"/>
        <v>15.300246913580246</v>
      </c>
      <c r="AE101">
        <f t="shared" si="17"/>
        <v>17.621753377777775</v>
      </c>
      <c r="AF101" s="9"/>
      <c r="AG101" s="21">
        <v>0.35827599999999998</v>
      </c>
      <c r="AH101" s="21">
        <v>17.9785</v>
      </c>
      <c r="AI101" s="21">
        <v>-1.4175399999999999E-2</v>
      </c>
      <c r="AJ101" s="21">
        <v>91</v>
      </c>
      <c r="AK101" s="21">
        <v>0.35763499999999998</v>
      </c>
      <c r="AL101">
        <f t="shared" si="18"/>
        <v>17.500493827160494</v>
      </c>
      <c r="AM101">
        <f t="shared" si="19"/>
        <v>6.2700069264197529</v>
      </c>
      <c r="AP101" s="9"/>
      <c r="AQ101" s="21">
        <v>1.1517299999999999</v>
      </c>
      <c r="AR101" s="21">
        <v>23.121200000000002</v>
      </c>
      <c r="AS101" s="21">
        <v>-1.23047E-2</v>
      </c>
      <c r="AT101" s="21">
        <v>91</v>
      </c>
      <c r="AU101" s="21">
        <v>1.15082</v>
      </c>
      <c r="AV101">
        <f t="shared" si="20"/>
        <v>15.190987654320987</v>
      </c>
      <c r="AW101">
        <f t="shared" si="21"/>
        <v>17.495916211111108</v>
      </c>
      <c r="AX101" s="9"/>
      <c r="AY101" s="21">
        <v>0.35827599999999998</v>
      </c>
      <c r="AZ101" s="21">
        <v>26.557700000000001</v>
      </c>
      <c r="BA101" s="21">
        <v>-1.41418E-2</v>
      </c>
      <c r="BB101" s="21">
        <v>91</v>
      </c>
      <c r="BC101" s="21">
        <v>0.35766599999999998</v>
      </c>
      <c r="BD101">
        <f t="shared" si="22"/>
        <v>17.45901234567901</v>
      </c>
      <c r="BE101">
        <f t="shared" si="23"/>
        <v>6.2551451071604927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1.1467000000000001</v>
      </c>
      <c r="H102" s="21">
        <v>6.0178500000000001</v>
      </c>
      <c r="I102" s="21">
        <v>-1.24054E-2</v>
      </c>
      <c r="J102" s="21">
        <v>92</v>
      </c>
      <c r="K102" s="21">
        <v>1.14594</v>
      </c>
      <c r="L102">
        <f t="shared" si="12"/>
        <v>15.315308641975308</v>
      </c>
      <c r="M102">
        <f t="shared" si="13"/>
        <v>17.562064419753089</v>
      </c>
      <c r="N102" s="9"/>
      <c r="O102" s="21">
        <v>0.36331200000000002</v>
      </c>
      <c r="P102" s="21">
        <v>9.4543499999999998</v>
      </c>
      <c r="Q102" s="21">
        <v>-1.42731E-2</v>
      </c>
      <c r="R102" s="21">
        <v>92</v>
      </c>
      <c r="S102" s="21">
        <v>0.36291499999999999</v>
      </c>
      <c r="T102">
        <f t="shared" si="14"/>
        <v>17.621111111111112</v>
      </c>
      <c r="U102">
        <f t="shared" si="15"/>
        <v>6.4019611200000011</v>
      </c>
      <c r="X102" s="9"/>
      <c r="Y102" s="21">
        <v>1.1467000000000001</v>
      </c>
      <c r="Z102" s="21">
        <v>14.552099999999999</v>
      </c>
      <c r="AA102" s="21">
        <v>-1.24298E-2</v>
      </c>
      <c r="AB102" s="21">
        <v>92</v>
      </c>
      <c r="AC102" s="21">
        <v>1.1462399999999999</v>
      </c>
      <c r="AD102">
        <f t="shared" si="16"/>
        <v>15.34543209876543</v>
      </c>
      <c r="AE102">
        <f t="shared" si="17"/>
        <v>17.596606987654319</v>
      </c>
      <c r="AF102" s="9"/>
      <c r="AG102" s="21">
        <v>0.36331200000000002</v>
      </c>
      <c r="AH102" s="21">
        <v>17.988600000000002</v>
      </c>
      <c r="AI102" s="21">
        <v>-1.4169299999999999E-2</v>
      </c>
      <c r="AJ102" s="21">
        <v>92</v>
      </c>
      <c r="AK102" s="21">
        <v>0.362732</v>
      </c>
      <c r="AL102">
        <f t="shared" si="18"/>
        <v>17.492962962962959</v>
      </c>
      <c r="AM102">
        <f t="shared" si="19"/>
        <v>6.3554033599999995</v>
      </c>
      <c r="AP102" s="9"/>
      <c r="AQ102" s="21">
        <v>1.1467000000000001</v>
      </c>
      <c r="AR102" s="21">
        <v>23.1313</v>
      </c>
      <c r="AS102" s="21">
        <v>-1.23322E-2</v>
      </c>
      <c r="AT102" s="21">
        <v>92</v>
      </c>
      <c r="AU102" s="21">
        <v>1.1462399999999999</v>
      </c>
      <c r="AV102">
        <f t="shared" si="20"/>
        <v>15.224938271604938</v>
      </c>
      <c r="AW102">
        <f t="shared" si="21"/>
        <v>17.458436716049384</v>
      </c>
      <c r="AX102" s="9"/>
      <c r="AY102" s="21">
        <v>0.36331200000000002</v>
      </c>
      <c r="AZ102" s="21">
        <v>26.567799999999998</v>
      </c>
      <c r="BA102" s="21">
        <v>-1.4129600000000001E-2</v>
      </c>
      <c r="BB102" s="21">
        <v>92</v>
      </c>
      <c r="BC102" s="21">
        <v>0.362732</v>
      </c>
      <c r="BD102">
        <f t="shared" si="22"/>
        <v>17.443950617283949</v>
      </c>
      <c r="BE102">
        <f t="shared" si="23"/>
        <v>6.3375965866666668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1.1416599999999999</v>
      </c>
      <c r="H103" s="21">
        <v>6.0279299999999996</v>
      </c>
      <c r="I103" s="21">
        <v>-1.2442E-2</v>
      </c>
      <c r="J103" s="21">
        <v>93</v>
      </c>
      <c r="K103" s="21">
        <v>1.1410499999999999</v>
      </c>
      <c r="L103">
        <f t="shared" si="12"/>
        <v>15.360493827160493</v>
      </c>
      <c r="M103">
        <f t="shared" si="13"/>
        <v>17.536461382716048</v>
      </c>
      <c r="N103" s="9"/>
      <c r="O103" s="21">
        <v>0.36834699999999998</v>
      </c>
      <c r="P103" s="21">
        <v>9.4644200000000005</v>
      </c>
      <c r="Q103" s="21">
        <v>-1.4267E-2</v>
      </c>
      <c r="R103" s="21">
        <v>93</v>
      </c>
      <c r="S103" s="21">
        <v>0.36773699999999998</v>
      </c>
      <c r="T103">
        <f t="shared" si="14"/>
        <v>17.613580246913582</v>
      </c>
      <c r="U103">
        <f t="shared" si="15"/>
        <v>6.4879094432098769</v>
      </c>
      <c r="X103" s="9"/>
      <c r="Y103" s="21">
        <v>1.1416599999999999</v>
      </c>
      <c r="Z103" s="21">
        <v>14.562099999999999</v>
      </c>
      <c r="AA103" s="21">
        <v>-1.2451200000000001E-2</v>
      </c>
      <c r="AB103" s="21">
        <v>93</v>
      </c>
      <c r="AC103" s="21">
        <v>1.1407499999999999</v>
      </c>
      <c r="AD103">
        <f t="shared" si="16"/>
        <v>15.371851851851853</v>
      </c>
      <c r="AE103">
        <f t="shared" si="17"/>
        <v>17.549428385185184</v>
      </c>
      <c r="AF103" s="9"/>
      <c r="AG103" s="21">
        <v>0.36834699999999998</v>
      </c>
      <c r="AH103" s="21">
        <v>17.998699999999999</v>
      </c>
      <c r="AI103" s="21">
        <v>-1.4163200000000001E-2</v>
      </c>
      <c r="AJ103" s="21">
        <v>93</v>
      </c>
      <c r="AK103" s="21">
        <v>0.36770599999999998</v>
      </c>
      <c r="AL103">
        <f t="shared" si="18"/>
        <v>17.485432098765433</v>
      </c>
      <c r="AM103">
        <f t="shared" si="19"/>
        <v>6.4407064572839507</v>
      </c>
      <c r="AP103" s="9"/>
      <c r="AQ103" s="21">
        <v>1.1416599999999999</v>
      </c>
      <c r="AR103" s="21">
        <v>23.141300000000001</v>
      </c>
      <c r="AS103" s="21">
        <v>-1.23505E-2</v>
      </c>
      <c r="AT103" s="21">
        <v>93</v>
      </c>
      <c r="AU103" s="21">
        <v>1.1407499999999999</v>
      </c>
      <c r="AV103">
        <f t="shared" si="20"/>
        <v>15.247530864197531</v>
      </c>
      <c r="AW103">
        <f t="shared" si="21"/>
        <v>17.407496086419751</v>
      </c>
      <c r="AX103" s="9"/>
      <c r="AY103" s="21">
        <v>0.36834699999999998</v>
      </c>
      <c r="AZ103" s="21">
        <v>26.5778</v>
      </c>
      <c r="BA103" s="21">
        <v>-1.4123500000000001E-2</v>
      </c>
      <c r="BB103" s="21">
        <v>93</v>
      </c>
      <c r="BC103" s="21">
        <v>0.36773699999999998</v>
      </c>
      <c r="BD103">
        <f t="shared" si="22"/>
        <v>17.436419753086419</v>
      </c>
      <c r="BE103">
        <f t="shared" si="23"/>
        <v>6.4226529067901224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1.13663</v>
      </c>
      <c r="H104" s="21">
        <v>6.0380000000000003</v>
      </c>
      <c r="I104" s="21">
        <v>-1.24695E-2</v>
      </c>
      <c r="J104" s="21">
        <v>94</v>
      </c>
      <c r="K104" s="21">
        <v>1.1361699999999999</v>
      </c>
      <c r="L104">
        <f t="shared" si="12"/>
        <v>15.394444444444444</v>
      </c>
      <c r="M104">
        <f t="shared" si="13"/>
        <v>17.497787388888888</v>
      </c>
      <c r="N104" s="9"/>
      <c r="O104" s="21">
        <v>0.37338300000000002</v>
      </c>
      <c r="P104" s="21">
        <v>9.4744899999999994</v>
      </c>
      <c r="Q104" s="21">
        <v>-1.42609E-2</v>
      </c>
      <c r="R104" s="21">
        <v>94</v>
      </c>
      <c r="S104" s="21">
        <v>0.372803</v>
      </c>
      <c r="T104">
        <f t="shared" si="14"/>
        <v>17.606049382716048</v>
      </c>
      <c r="U104">
        <f t="shared" si="15"/>
        <v>6.5737995366666668</v>
      </c>
      <c r="X104" s="9"/>
      <c r="Y104" s="21">
        <v>1.13663</v>
      </c>
      <c r="Z104" s="21">
        <v>14.5722</v>
      </c>
      <c r="AA104" s="21">
        <v>-1.24695E-2</v>
      </c>
      <c r="AB104" s="21">
        <v>94</v>
      </c>
      <c r="AC104" s="21">
        <v>1.1355599999999999</v>
      </c>
      <c r="AD104">
        <f t="shared" si="16"/>
        <v>15.394444444444444</v>
      </c>
      <c r="AE104">
        <f t="shared" si="17"/>
        <v>17.497787388888888</v>
      </c>
      <c r="AF104" s="9"/>
      <c r="AG104" s="21">
        <v>0.37338300000000002</v>
      </c>
      <c r="AH104" s="21">
        <v>18.008700000000001</v>
      </c>
      <c r="AI104" s="21">
        <v>-1.4157100000000001E-2</v>
      </c>
      <c r="AJ104" s="21">
        <v>94</v>
      </c>
      <c r="AK104" s="21">
        <v>0.372803</v>
      </c>
      <c r="AL104">
        <f t="shared" si="18"/>
        <v>17.477901234567902</v>
      </c>
      <c r="AM104">
        <f t="shared" si="19"/>
        <v>6.525951196666667</v>
      </c>
      <c r="AP104" s="9"/>
      <c r="AQ104" s="21">
        <v>1.13663</v>
      </c>
      <c r="AR104" s="21">
        <v>23.151399999999999</v>
      </c>
      <c r="AS104" s="21">
        <v>-1.2374899999999999E-2</v>
      </c>
      <c r="AT104" s="21">
        <v>94</v>
      </c>
      <c r="AU104" s="21">
        <v>1.1358600000000001</v>
      </c>
      <c r="AV104">
        <f t="shared" si="20"/>
        <v>15.277654320987653</v>
      </c>
      <c r="AW104">
        <f t="shared" si="21"/>
        <v>17.365040230864196</v>
      </c>
      <c r="AX104" s="9"/>
      <c r="AY104" s="21">
        <v>0.37338300000000002</v>
      </c>
      <c r="AZ104" s="21">
        <v>26.587900000000001</v>
      </c>
      <c r="BA104" s="21">
        <v>-1.4114399999999999E-2</v>
      </c>
      <c r="BB104" s="21">
        <v>94</v>
      </c>
      <c r="BC104" s="21">
        <v>0.37271100000000001</v>
      </c>
      <c r="BD104">
        <f t="shared" si="22"/>
        <v>17.425185185185182</v>
      </c>
      <c r="BE104">
        <f t="shared" si="23"/>
        <v>6.5062679199999991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1.1315900000000001</v>
      </c>
      <c r="H105" s="21">
        <v>6.0480700000000001</v>
      </c>
      <c r="I105" s="21">
        <v>-1.24969E-2</v>
      </c>
      <c r="J105" s="21">
        <v>95</v>
      </c>
      <c r="K105" s="21">
        <v>1.1303700000000001</v>
      </c>
      <c r="L105">
        <f t="shared" si="12"/>
        <v>15.428271604938271</v>
      </c>
      <c r="M105">
        <f t="shared" si="13"/>
        <v>17.458477865432098</v>
      </c>
      <c r="N105" s="9"/>
      <c r="O105" s="21">
        <v>0.37841799999999998</v>
      </c>
      <c r="P105" s="21">
        <v>9.4845600000000001</v>
      </c>
      <c r="Q105" s="21">
        <v>-1.4236499999999999E-2</v>
      </c>
      <c r="R105" s="21">
        <v>95</v>
      </c>
      <c r="S105" s="21">
        <v>0.37789899999999998</v>
      </c>
      <c r="T105">
        <f t="shared" si="14"/>
        <v>17.575925925925926</v>
      </c>
      <c r="U105">
        <f t="shared" si="15"/>
        <v>6.6510467370370367</v>
      </c>
      <c r="X105" s="9"/>
      <c r="Y105" s="21">
        <v>1.1315900000000001</v>
      </c>
      <c r="Z105" s="21">
        <v>14.5823</v>
      </c>
      <c r="AA105" s="21">
        <v>-1.24878E-2</v>
      </c>
      <c r="AB105" s="21">
        <v>95</v>
      </c>
      <c r="AC105" s="21">
        <v>1.1300699999999999</v>
      </c>
      <c r="AD105">
        <f t="shared" si="16"/>
        <v>15.417037037037037</v>
      </c>
      <c r="AE105">
        <f t="shared" si="17"/>
        <v>17.445764940740741</v>
      </c>
      <c r="AF105" s="9"/>
      <c r="AG105" s="21">
        <v>0.37841799999999998</v>
      </c>
      <c r="AH105" s="21">
        <v>18.018799999999999</v>
      </c>
      <c r="AI105" s="21">
        <v>-1.4154099999999999E-2</v>
      </c>
      <c r="AJ105" s="21">
        <v>95</v>
      </c>
      <c r="AK105" s="21">
        <v>0.37783800000000001</v>
      </c>
      <c r="AL105">
        <f t="shared" si="18"/>
        <v>17.474197530864195</v>
      </c>
      <c r="AM105">
        <f t="shared" si="19"/>
        <v>6.6125508812345668</v>
      </c>
      <c r="AP105" s="9"/>
      <c r="AQ105" s="21">
        <v>1.1315900000000001</v>
      </c>
      <c r="AR105" s="21">
        <v>23.1615</v>
      </c>
      <c r="AS105" s="21">
        <v>-1.23993E-2</v>
      </c>
      <c r="AT105" s="21">
        <v>95</v>
      </c>
      <c r="AU105" s="21">
        <v>1.1303700000000001</v>
      </c>
      <c r="AV105">
        <f t="shared" si="20"/>
        <v>15.307777777777778</v>
      </c>
      <c r="AW105">
        <f t="shared" si="21"/>
        <v>17.322128255555558</v>
      </c>
      <c r="AX105" s="9"/>
      <c r="AY105" s="21">
        <v>0.37841799999999998</v>
      </c>
      <c r="AZ105" s="21">
        <v>26.597999999999999</v>
      </c>
      <c r="BA105" s="21">
        <v>-1.41052E-2</v>
      </c>
      <c r="BB105" s="21">
        <v>95</v>
      </c>
      <c r="BC105" s="21">
        <v>0.37786900000000001</v>
      </c>
      <c r="BD105">
        <f t="shared" si="22"/>
        <v>17.413827160493828</v>
      </c>
      <c r="BE105">
        <f t="shared" si="23"/>
        <v>6.5897056464197528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1.12656</v>
      </c>
      <c r="H106" s="21">
        <v>6.0581399999999999</v>
      </c>
      <c r="I106" s="21">
        <v>-1.2512199999999999E-2</v>
      </c>
      <c r="J106" s="21">
        <v>96</v>
      </c>
      <c r="K106" s="21">
        <v>1.1254900000000001</v>
      </c>
      <c r="L106">
        <f t="shared" si="12"/>
        <v>15.447160493827159</v>
      </c>
      <c r="M106">
        <f t="shared" si="13"/>
        <v>17.402153125925924</v>
      </c>
      <c r="N106" s="9"/>
      <c r="O106" s="21">
        <v>0.38345299999999999</v>
      </c>
      <c r="P106" s="21">
        <v>9.4946300000000008</v>
      </c>
      <c r="Q106" s="21">
        <v>-1.42151E-2</v>
      </c>
      <c r="R106" s="21">
        <v>96</v>
      </c>
      <c r="S106" s="21">
        <v>0.38284299999999999</v>
      </c>
      <c r="T106">
        <f t="shared" si="14"/>
        <v>17.549506172839507</v>
      </c>
      <c r="U106">
        <f t="shared" si="15"/>
        <v>6.7294107904938274</v>
      </c>
      <c r="X106" s="9"/>
      <c r="Y106" s="21">
        <v>1.12656</v>
      </c>
      <c r="Z106" s="21">
        <v>14.5923</v>
      </c>
      <c r="AA106" s="21">
        <v>-1.25214E-2</v>
      </c>
      <c r="AB106" s="21">
        <v>96</v>
      </c>
      <c r="AC106" s="21">
        <v>1.1257900000000001</v>
      </c>
      <c r="AD106">
        <f t="shared" si="16"/>
        <v>15.458518518518517</v>
      </c>
      <c r="AE106">
        <f t="shared" si="17"/>
        <v>17.414948622222219</v>
      </c>
      <c r="AF106" s="9"/>
      <c r="AG106" s="21">
        <v>0.38345299999999999</v>
      </c>
      <c r="AH106" s="21">
        <v>18.0289</v>
      </c>
      <c r="AI106" s="21">
        <v>-1.4151E-2</v>
      </c>
      <c r="AJ106" s="21">
        <v>96</v>
      </c>
      <c r="AK106" s="21">
        <v>0.38290400000000002</v>
      </c>
      <c r="AL106">
        <f t="shared" si="18"/>
        <v>17.470370370370368</v>
      </c>
      <c r="AM106">
        <f t="shared" si="19"/>
        <v>6.6990659296296284</v>
      </c>
      <c r="AP106" s="9"/>
      <c r="AQ106" s="21">
        <v>1.12656</v>
      </c>
      <c r="AR106" s="21">
        <v>23.171600000000002</v>
      </c>
      <c r="AS106" s="21">
        <v>-1.24146E-2</v>
      </c>
      <c r="AT106" s="21">
        <v>96</v>
      </c>
      <c r="AU106" s="21">
        <v>1.1257900000000001</v>
      </c>
      <c r="AV106">
        <f t="shared" si="20"/>
        <v>15.326666666666666</v>
      </c>
      <c r="AW106">
        <f t="shared" si="21"/>
        <v>17.266409599999999</v>
      </c>
      <c r="AX106" s="9"/>
      <c r="AY106" s="21">
        <v>0.38345299999999999</v>
      </c>
      <c r="AZ106" s="21">
        <v>26.608000000000001</v>
      </c>
      <c r="BA106" s="21">
        <v>-1.40961E-2</v>
      </c>
      <c r="BB106" s="21">
        <v>96</v>
      </c>
      <c r="BC106" s="21">
        <v>0.38293500000000003</v>
      </c>
      <c r="BD106">
        <f t="shared" si="22"/>
        <v>17.40259259259259</v>
      </c>
      <c r="BE106">
        <f t="shared" si="23"/>
        <v>6.673076337407406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1.1215200000000001</v>
      </c>
      <c r="H107" s="21">
        <v>6.0682099999999997</v>
      </c>
      <c r="I107" s="21">
        <v>-1.25366E-2</v>
      </c>
      <c r="J107" s="21">
        <v>97</v>
      </c>
      <c r="K107" s="21">
        <v>1.1206100000000001</v>
      </c>
      <c r="L107">
        <f t="shared" si="12"/>
        <v>15.477283950617283</v>
      </c>
      <c r="M107">
        <f t="shared" si="13"/>
        <v>17.358083496296295</v>
      </c>
      <c r="N107" s="9"/>
      <c r="O107" s="21">
        <v>0.38848899999999997</v>
      </c>
      <c r="P107" s="21">
        <v>9.5046999999999997</v>
      </c>
      <c r="Q107" s="21">
        <v>-1.41998E-2</v>
      </c>
      <c r="R107" s="21">
        <v>97</v>
      </c>
      <c r="S107" s="21">
        <v>0.387878</v>
      </c>
      <c r="T107">
        <f t="shared" si="14"/>
        <v>17.530617283950615</v>
      </c>
      <c r="U107">
        <f t="shared" si="15"/>
        <v>6.8104519780246902</v>
      </c>
      <c r="X107" s="9"/>
      <c r="Y107" s="21">
        <v>1.1215200000000001</v>
      </c>
      <c r="Z107" s="21">
        <v>14.602399999999999</v>
      </c>
      <c r="AA107" s="21">
        <v>-1.2539700000000001E-2</v>
      </c>
      <c r="AB107" s="21">
        <v>97</v>
      </c>
      <c r="AC107" s="21">
        <v>1.1209100000000001</v>
      </c>
      <c r="AD107">
        <f t="shared" si="16"/>
        <v>15.48111111111111</v>
      </c>
      <c r="AE107">
        <f t="shared" si="17"/>
        <v>17.362375733333334</v>
      </c>
      <c r="AF107" s="9"/>
      <c r="AG107" s="21">
        <v>0.38848899999999997</v>
      </c>
      <c r="AH107" s="21">
        <v>18.038900000000002</v>
      </c>
      <c r="AI107" s="21">
        <v>-1.41602E-2</v>
      </c>
      <c r="AJ107" s="21">
        <v>97</v>
      </c>
      <c r="AK107" s="21">
        <v>0.38800000000000001</v>
      </c>
      <c r="AL107">
        <f t="shared" si="18"/>
        <v>17.481728395061729</v>
      </c>
      <c r="AM107">
        <f t="shared" si="19"/>
        <v>6.7914591824691355</v>
      </c>
      <c r="AP107" s="9"/>
      <c r="AQ107" s="21">
        <v>1.1215200000000001</v>
      </c>
      <c r="AR107" s="21">
        <v>23.1816</v>
      </c>
      <c r="AS107" s="21">
        <v>-1.24359E-2</v>
      </c>
      <c r="AT107" s="21">
        <v>97</v>
      </c>
      <c r="AU107" s="21">
        <v>1.1206100000000001</v>
      </c>
      <c r="AV107">
        <f t="shared" si="20"/>
        <v>15.352962962962962</v>
      </c>
      <c r="AW107">
        <f t="shared" si="21"/>
        <v>17.218655022222222</v>
      </c>
      <c r="AX107" s="9"/>
      <c r="AY107" s="21">
        <v>0.38848899999999997</v>
      </c>
      <c r="AZ107" s="21">
        <v>26.618099999999998</v>
      </c>
      <c r="BA107" s="21">
        <v>-1.40961E-2</v>
      </c>
      <c r="BB107" s="21">
        <v>97</v>
      </c>
      <c r="BC107" s="21">
        <v>0.38803100000000001</v>
      </c>
      <c r="BD107">
        <f t="shared" si="22"/>
        <v>17.40259259259259</v>
      </c>
      <c r="BE107">
        <f t="shared" si="23"/>
        <v>6.7607157937037021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1.11649</v>
      </c>
      <c r="H108" s="21">
        <v>6.0782800000000003</v>
      </c>
      <c r="I108" s="21">
        <v>-1.25519E-2</v>
      </c>
      <c r="J108" s="21">
        <v>98</v>
      </c>
      <c r="K108" s="21">
        <v>1.11572</v>
      </c>
      <c r="L108">
        <f t="shared" si="12"/>
        <v>15.496172839506173</v>
      </c>
      <c r="M108">
        <f t="shared" si="13"/>
        <v>17.301322013580247</v>
      </c>
      <c r="N108" s="9"/>
      <c r="O108" s="21">
        <v>0.39352399999999998</v>
      </c>
      <c r="P108" s="21">
        <v>9.5147700000000004</v>
      </c>
      <c r="Q108" s="21">
        <v>-1.4190700000000001E-2</v>
      </c>
      <c r="R108" s="21">
        <v>98</v>
      </c>
      <c r="S108" s="21">
        <v>0.39291399999999999</v>
      </c>
      <c r="T108">
        <f t="shared" si="14"/>
        <v>17.519382716049382</v>
      </c>
      <c r="U108">
        <f t="shared" si="15"/>
        <v>6.8942975639506168</v>
      </c>
      <c r="X108" s="9"/>
      <c r="Y108" s="21">
        <v>1.11649</v>
      </c>
      <c r="Z108" s="21">
        <v>14.612500000000001</v>
      </c>
      <c r="AA108" s="21">
        <v>-1.2560999999999999E-2</v>
      </c>
      <c r="AB108" s="21">
        <v>98</v>
      </c>
      <c r="AC108" s="21">
        <v>1.1160300000000001</v>
      </c>
      <c r="AD108">
        <f t="shared" si="16"/>
        <v>15.507407407407406</v>
      </c>
      <c r="AE108">
        <f t="shared" si="17"/>
        <v>17.313865296296296</v>
      </c>
      <c r="AF108" s="9"/>
      <c r="AG108" s="21">
        <v>0.39352399999999998</v>
      </c>
      <c r="AH108" s="21">
        <v>18.048999999999999</v>
      </c>
      <c r="AI108" s="21">
        <v>-1.4151E-2</v>
      </c>
      <c r="AJ108" s="21">
        <v>98</v>
      </c>
      <c r="AK108" s="21">
        <v>0.39291399999999999</v>
      </c>
      <c r="AL108">
        <f t="shared" si="18"/>
        <v>17.470370370370368</v>
      </c>
      <c r="AM108">
        <f t="shared" si="19"/>
        <v>6.8750100296296281</v>
      </c>
      <c r="AP108" s="9"/>
      <c r="AQ108" s="21">
        <v>1.11649</v>
      </c>
      <c r="AR108" s="21">
        <v>23.191700000000001</v>
      </c>
      <c r="AS108" s="21">
        <v>-1.2463399999999999E-2</v>
      </c>
      <c r="AT108" s="21">
        <v>98</v>
      </c>
      <c r="AU108" s="21">
        <v>1.1154200000000001</v>
      </c>
      <c r="AV108">
        <f t="shared" si="20"/>
        <v>15.386913580246912</v>
      </c>
      <c r="AW108">
        <f t="shared" si="21"/>
        <v>17.179335143209872</v>
      </c>
      <c r="AX108" s="9"/>
      <c r="AY108" s="21">
        <v>0.39352399999999998</v>
      </c>
      <c r="AZ108" s="21">
        <v>26.6282</v>
      </c>
      <c r="BA108" s="21">
        <v>-1.4080799999999999E-2</v>
      </c>
      <c r="BB108" s="21">
        <v>98</v>
      </c>
      <c r="BC108" s="21">
        <v>0.39294400000000002</v>
      </c>
      <c r="BD108">
        <f t="shared" si="22"/>
        <v>17.383703703703702</v>
      </c>
      <c r="BE108">
        <f t="shared" si="23"/>
        <v>6.840904616296295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1.11145</v>
      </c>
      <c r="H109" s="21">
        <v>6.0883500000000002</v>
      </c>
      <c r="I109" s="21">
        <v>-1.25854E-2</v>
      </c>
      <c r="J109" s="21">
        <v>99</v>
      </c>
      <c r="K109" s="21">
        <v>1.1111500000000001</v>
      </c>
      <c r="L109">
        <f t="shared" si="12"/>
        <v>15.53753086419753</v>
      </c>
      <c r="M109">
        <f t="shared" si="13"/>
        <v>17.269188679012345</v>
      </c>
      <c r="N109" s="9"/>
      <c r="O109" s="21">
        <v>0.39856000000000003</v>
      </c>
      <c r="P109" s="21">
        <v>9.5248399999999993</v>
      </c>
      <c r="Q109" s="21">
        <v>-1.4175399999999999E-2</v>
      </c>
      <c r="R109" s="21">
        <v>99</v>
      </c>
      <c r="S109" s="21">
        <v>0.39798</v>
      </c>
      <c r="T109">
        <f t="shared" si="14"/>
        <v>17.500493827160494</v>
      </c>
      <c r="U109">
        <f t="shared" si="15"/>
        <v>6.9749968197530867</v>
      </c>
      <c r="X109" s="9"/>
      <c r="Y109" s="21">
        <v>1.11145</v>
      </c>
      <c r="Z109" s="21">
        <v>14.6226</v>
      </c>
      <c r="AA109" s="21">
        <v>-1.2582400000000001E-2</v>
      </c>
      <c r="AB109" s="21">
        <v>99</v>
      </c>
      <c r="AC109" s="21">
        <v>1.1102300000000001</v>
      </c>
      <c r="AD109">
        <f t="shared" si="16"/>
        <v>15.533827160493827</v>
      </c>
      <c r="AE109">
        <f t="shared" si="17"/>
        <v>17.265072197530863</v>
      </c>
      <c r="AF109" s="9"/>
      <c r="AG109" s="21">
        <v>0.39856000000000003</v>
      </c>
      <c r="AH109" s="21">
        <v>18.059100000000001</v>
      </c>
      <c r="AI109" s="21">
        <v>-1.41388E-2</v>
      </c>
      <c r="AJ109" s="21">
        <v>99</v>
      </c>
      <c r="AK109" s="21">
        <v>0.39788800000000002</v>
      </c>
      <c r="AL109">
        <f t="shared" si="18"/>
        <v>17.455308641975307</v>
      </c>
      <c r="AM109">
        <f t="shared" si="19"/>
        <v>6.9569878123456785</v>
      </c>
      <c r="AP109" s="9"/>
      <c r="AQ109" s="21">
        <v>1.11145</v>
      </c>
      <c r="AR109" s="21">
        <v>23.201799999999999</v>
      </c>
      <c r="AS109" s="21">
        <v>-1.25031E-2</v>
      </c>
      <c r="AT109" s="21">
        <v>99</v>
      </c>
      <c r="AU109" s="21">
        <v>1.10992</v>
      </c>
      <c r="AV109">
        <f t="shared" si="20"/>
        <v>15.435925925925924</v>
      </c>
      <c r="AW109">
        <f t="shared" si="21"/>
        <v>17.15625987037037</v>
      </c>
      <c r="AX109" s="9"/>
      <c r="AY109" s="21">
        <v>0.39856000000000003</v>
      </c>
      <c r="AZ109" s="21">
        <v>26.638300000000001</v>
      </c>
      <c r="BA109" s="21">
        <v>-1.40778E-2</v>
      </c>
      <c r="BB109" s="21">
        <v>99</v>
      </c>
      <c r="BC109" s="21">
        <v>0.39791900000000002</v>
      </c>
      <c r="BD109">
        <f t="shared" si="22"/>
        <v>17.38</v>
      </c>
      <c r="BE109">
        <f t="shared" si="23"/>
        <v>6.9269727999999997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1.1064099999999999</v>
      </c>
      <c r="H110" s="21">
        <v>6.09842</v>
      </c>
      <c r="I110" s="21">
        <v>-1.2619E-2</v>
      </c>
      <c r="J110" s="21">
        <v>100</v>
      </c>
      <c r="K110" s="21">
        <v>1.10504</v>
      </c>
      <c r="L110">
        <f t="shared" si="12"/>
        <v>15.579012345679011</v>
      </c>
      <c r="M110">
        <f t="shared" si="13"/>
        <v>17.236775049382715</v>
      </c>
      <c r="N110" s="9"/>
      <c r="O110" s="21">
        <v>0.40359499999999998</v>
      </c>
      <c r="P110" s="21">
        <v>9.53491</v>
      </c>
      <c r="Q110" s="21">
        <v>-1.41602E-2</v>
      </c>
      <c r="R110" s="21">
        <v>100</v>
      </c>
      <c r="S110" s="21">
        <v>0.40301500000000001</v>
      </c>
      <c r="T110">
        <f t="shared" si="14"/>
        <v>17.481728395061729</v>
      </c>
      <c r="U110">
        <f t="shared" si="15"/>
        <v>7.0555381716049386</v>
      </c>
      <c r="X110" s="9"/>
      <c r="Y110" s="21">
        <v>1.1064099999999999</v>
      </c>
      <c r="Z110" s="21">
        <v>14.6326</v>
      </c>
      <c r="AA110" s="21">
        <v>-1.26099E-2</v>
      </c>
      <c r="AB110" s="21">
        <v>100</v>
      </c>
      <c r="AC110" s="21">
        <v>1.10565</v>
      </c>
      <c r="AD110">
        <f t="shared" si="16"/>
        <v>15.567777777777778</v>
      </c>
      <c r="AE110">
        <f t="shared" si="17"/>
        <v>17.224345011111108</v>
      </c>
      <c r="AF110" s="9"/>
      <c r="AG110" s="21">
        <v>0.40359499999999998</v>
      </c>
      <c r="AH110" s="21">
        <v>18.069199999999999</v>
      </c>
      <c r="AI110" s="21">
        <v>-1.4129600000000001E-2</v>
      </c>
      <c r="AJ110" s="21">
        <v>100</v>
      </c>
      <c r="AK110" s="21">
        <v>0.40301500000000001</v>
      </c>
      <c r="AL110">
        <f t="shared" si="18"/>
        <v>17.443950617283949</v>
      </c>
      <c r="AM110">
        <f t="shared" si="19"/>
        <v>7.0402912493827152</v>
      </c>
      <c r="AP110" s="9"/>
      <c r="AQ110" s="21">
        <v>1.1064099999999999</v>
      </c>
      <c r="AR110" s="21">
        <v>23.2118</v>
      </c>
      <c r="AS110" s="21">
        <v>-1.2533600000000001E-2</v>
      </c>
      <c r="AT110" s="21">
        <v>100</v>
      </c>
      <c r="AU110" s="21">
        <v>1.1053500000000001</v>
      </c>
      <c r="AV110">
        <f t="shared" si="20"/>
        <v>15.473580246913581</v>
      </c>
      <c r="AW110">
        <f t="shared" si="21"/>
        <v>17.120123920987655</v>
      </c>
      <c r="AX110" s="9"/>
      <c r="AY110" s="21">
        <v>0.40359499999999998</v>
      </c>
      <c r="AZ110" s="21">
        <v>26.648299999999999</v>
      </c>
      <c r="BA110" s="21">
        <v>-1.4068600000000001E-2</v>
      </c>
      <c r="BB110" s="21">
        <v>100</v>
      </c>
      <c r="BC110" s="21">
        <v>0.40298499999999998</v>
      </c>
      <c r="BD110">
        <f t="shared" si="22"/>
        <v>17.368641975308641</v>
      </c>
      <c r="BE110">
        <f t="shared" si="23"/>
        <v>7.0098970580246904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1.10138</v>
      </c>
      <c r="H111" s="21">
        <v>6.1084899999999998</v>
      </c>
      <c r="I111" s="21">
        <v>-1.2643400000000001E-2</v>
      </c>
      <c r="J111" s="21">
        <v>101</v>
      </c>
      <c r="K111" s="21">
        <v>1.10046</v>
      </c>
      <c r="L111">
        <f t="shared" si="12"/>
        <v>15.609135802469137</v>
      </c>
      <c r="M111">
        <f t="shared" si="13"/>
        <v>17.191589990123457</v>
      </c>
      <c r="N111" s="9"/>
      <c r="O111" s="21">
        <v>0.40862999999999999</v>
      </c>
      <c r="P111" s="21">
        <v>9.5449800000000007</v>
      </c>
      <c r="Q111" s="21">
        <v>-1.41602E-2</v>
      </c>
      <c r="R111" s="21">
        <v>101</v>
      </c>
      <c r="S111" s="21">
        <v>0.408051</v>
      </c>
      <c r="T111">
        <f t="shared" si="14"/>
        <v>17.481728395061729</v>
      </c>
      <c r="U111">
        <f t="shared" si="15"/>
        <v>7.1435586740740744</v>
      </c>
      <c r="X111" s="9"/>
      <c r="Y111" s="21">
        <v>1.10138</v>
      </c>
      <c r="Z111" s="21">
        <v>14.6427</v>
      </c>
      <c r="AA111" s="21">
        <v>-1.2637300000000001E-2</v>
      </c>
      <c r="AB111" s="21">
        <v>101</v>
      </c>
      <c r="AC111" s="21">
        <v>1.10046</v>
      </c>
      <c r="AD111">
        <f t="shared" si="16"/>
        <v>15.601604938271604</v>
      </c>
      <c r="AE111">
        <f t="shared" si="17"/>
        <v>17.183295646913582</v>
      </c>
      <c r="AF111" s="9"/>
      <c r="AG111" s="21">
        <v>0.40862999999999999</v>
      </c>
      <c r="AH111" s="21">
        <v>18.0792</v>
      </c>
      <c r="AI111" s="21">
        <v>-1.41327E-2</v>
      </c>
      <c r="AJ111" s="21">
        <v>101</v>
      </c>
      <c r="AK111" s="21">
        <v>0.40811199999999997</v>
      </c>
      <c r="AL111">
        <f t="shared" si="18"/>
        <v>17.447777777777777</v>
      </c>
      <c r="AM111">
        <f t="shared" si="19"/>
        <v>7.129685433333333</v>
      </c>
      <c r="AP111" s="9"/>
      <c r="AQ111" s="21">
        <v>1.10138</v>
      </c>
      <c r="AR111" s="21">
        <v>23.221900000000002</v>
      </c>
      <c r="AS111" s="21">
        <v>-1.25702E-2</v>
      </c>
      <c r="AT111" s="21">
        <v>101</v>
      </c>
      <c r="AU111" s="21">
        <v>1.10046</v>
      </c>
      <c r="AV111">
        <f t="shared" si="20"/>
        <v>15.518765432098766</v>
      </c>
      <c r="AW111">
        <f t="shared" si="21"/>
        <v>17.09205787160494</v>
      </c>
      <c r="AX111" s="9"/>
      <c r="AY111" s="21">
        <v>0.40862999999999999</v>
      </c>
      <c r="AZ111" s="21">
        <v>26.6584</v>
      </c>
      <c r="BA111" s="21">
        <v>-1.4065599999999999E-2</v>
      </c>
      <c r="BB111" s="21">
        <v>101</v>
      </c>
      <c r="BC111" s="21">
        <v>0.40799000000000002</v>
      </c>
      <c r="BD111">
        <f t="shared" si="22"/>
        <v>17.364938271604938</v>
      </c>
      <c r="BE111">
        <f t="shared" si="23"/>
        <v>7.0958347259259256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1.0963400000000001</v>
      </c>
      <c r="H112" s="21">
        <v>6.1185600000000004</v>
      </c>
      <c r="I112" s="21">
        <v>-1.2677000000000001E-2</v>
      </c>
      <c r="J112" s="21">
        <v>102</v>
      </c>
      <c r="K112" s="21">
        <v>1.09558</v>
      </c>
      <c r="L112">
        <f t="shared" si="12"/>
        <v>15.650617283950618</v>
      </c>
      <c r="M112">
        <f t="shared" si="13"/>
        <v>17.158397753086422</v>
      </c>
      <c r="N112" s="9"/>
      <c r="O112" s="21">
        <v>0.41366599999999998</v>
      </c>
      <c r="P112" s="21">
        <v>9.5550599999999992</v>
      </c>
      <c r="Q112" s="21">
        <v>-1.4157100000000001E-2</v>
      </c>
      <c r="R112" s="21">
        <v>102</v>
      </c>
      <c r="S112" s="21">
        <v>0.41299400000000003</v>
      </c>
      <c r="T112">
        <f t="shared" si="14"/>
        <v>17.477901234567902</v>
      </c>
      <c r="U112">
        <f t="shared" si="15"/>
        <v>7.2300134920987658</v>
      </c>
      <c r="X112" s="9"/>
      <c r="Y112" s="21">
        <v>1.0963400000000001</v>
      </c>
      <c r="Z112" s="21">
        <v>14.652799999999999</v>
      </c>
      <c r="AA112" s="21">
        <v>-1.26617E-2</v>
      </c>
      <c r="AB112" s="21">
        <v>102</v>
      </c>
      <c r="AC112" s="21">
        <v>1.09528</v>
      </c>
      <c r="AD112">
        <f t="shared" si="16"/>
        <v>15.631728395061728</v>
      </c>
      <c r="AE112">
        <f t="shared" si="17"/>
        <v>17.137689108641975</v>
      </c>
      <c r="AF112" s="9"/>
      <c r="AG112" s="21">
        <v>0.41366599999999998</v>
      </c>
      <c r="AH112" s="21">
        <v>18.089300000000001</v>
      </c>
      <c r="AI112" s="21">
        <v>-1.41266E-2</v>
      </c>
      <c r="AJ112" s="21">
        <v>102</v>
      </c>
      <c r="AK112" s="21">
        <v>0.41302499999999998</v>
      </c>
      <c r="AL112">
        <f t="shared" si="18"/>
        <v>17.440246913580246</v>
      </c>
      <c r="AM112">
        <f t="shared" si="19"/>
        <v>7.2144371797530855</v>
      </c>
      <c r="AP112" s="9"/>
      <c r="AQ112" s="21">
        <v>1.0963400000000001</v>
      </c>
      <c r="AR112" s="21">
        <v>23.231999999999999</v>
      </c>
      <c r="AS112" s="21">
        <v>-1.26068E-2</v>
      </c>
      <c r="AT112" s="21">
        <v>102</v>
      </c>
      <c r="AU112" s="21">
        <v>1.09528</v>
      </c>
      <c r="AV112">
        <f t="shared" si="20"/>
        <v>15.56395061728395</v>
      </c>
      <c r="AW112">
        <f t="shared" si="21"/>
        <v>17.063381619753088</v>
      </c>
      <c r="AX112" s="9"/>
      <c r="AY112" s="21">
        <v>0.41366599999999998</v>
      </c>
      <c r="AZ112" s="21">
        <v>26.668500000000002</v>
      </c>
      <c r="BA112" s="21">
        <v>-1.4065599999999999E-2</v>
      </c>
      <c r="BB112" s="21">
        <v>102</v>
      </c>
      <c r="BC112" s="21">
        <v>0.41311599999999998</v>
      </c>
      <c r="BD112">
        <f t="shared" si="22"/>
        <v>17.364938271604938</v>
      </c>
      <c r="BE112">
        <f t="shared" si="23"/>
        <v>7.1832845550617277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1.09131</v>
      </c>
      <c r="H113" s="21">
        <v>6.1286399999999999</v>
      </c>
      <c r="I113" s="21">
        <v>-1.2710600000000001E-2</v>
      </c>
      <c r="J113" s="21">
        <v>103</v>
      </c>
      <c r="K113" s="21">
        <v>1.0907</v>
      </c>
      <c r="L113">
        <f t="shared" si="12"/>
        <v>15.692098765432098</v>
      </c>
      <c r="M113">
        <f t="shared" si="13"/>
        <v>17.124944303703703</v>
      </c>
      <c r="N113" s="9"/>
      <c r="O113" s="21">
        <v>0.41870099999999999</v>
      </c>
      <c r="P113" s="21">
        <v>9.5651299999999999</v>
      </c>
      <c r="Q113" s="21">
        <v>-1.41449E-2</v>
      </c>
      <c r="R113" s="21">
        <v>103</v>
      </c>
      <c r="S113" s="21">
        <v>0.41815200000000002</v>
      </c>
      <c r="T113">
        <f t="shared" si="14"/>
        <v>17.462839506172838</v>
      </c>
      <c r="U113">
        <f t="shared" si="15"/>
        <v>7.3117083640740734</v>
      </c>
      <c r="X113" s="9"/>
      <c r="Y113" s="21">
        <v>1.09131</v>
      </c>
      <c r="Z113" s="21">
        <v>14.662800000000001</v>
      </c>
      <c r="AA113" s="21">
        <v>-1.2689199999999999E-2</v>
      </c>
      <c r="AB113" s="21">
        <v>103</v>
      </c>
      <c r="AC113" s="21">
        <v>1.091</v>
      </c>
      <c r="AD113">
        <f t="shared" si="16"/>
        <v>15.665679012345679</v>
      </c>
      <c r="AE113">
        <f t="shared" si="17"/>
        <v>17.096112162962964</v>
      </c>
      <c r="AF113" s="9"/>
      <c r="AG113" s="21">
        <v>0.41870099999999999</v>
      </c>
      <c r="AH113" s="21">
        <v>18.099399999999999</v>
      </c>
      <c r="AI113" s="21">
        <v>-1.4123500000000001E-2</v>
      </c>
      <c r="AJ113" s="21">
        <v>103</v>
      </c>
      <c r="AK113" s="21">
        <v>0.41815200000000002</v>
      </c>
      <c r="AL113">
        <f t="shared" si="18"/>
        <v>17.436419753086419</v>
      </c>
      <c r="AM113">
        <f t="shared" si="19"/>
        <v>7.3006463870370366</v>
      </c>
      <c r="AP113" s="9"/>
      <c r="AQ113" s="21">
        <v>1.09131</v>
      </c>
      <c r="AR113" s="21">
        <v>23.242000000000001</v>
      </c>
      <c r="AS113" s="21">
        <v>-1.2643400000000001E-2</v>
      </c>
      <c r="AT113" s="21">
        <v>103</v>
      </c>
      <c r="AU113" s="21">
        <v>1.09039</v>
      </c>
      <c r="AV113">
        <f t="shared" si="20"/>
        <v>15.609135802469137</v>
      </c>
      <c r="AW113">
        <f t="shared" si="21"/>
        <v>17.034405992592593</v>
      </c>
      <c r="AX113" s="9"/>
      <c r="AY113" s="21">
        <v>0.41870099999999999</v>
      </c>
      <c r="AZ113" s="21">
        <v>26.6785</v>
      </c>
      <c r="BA113" s="21">
        <v>-1.40564E-2</v>
      </c>
      <c r="BB113" s="21">
        <v>103</v>
      </c>
      <c r="BC113" s="21">
        <v>0.41824299999999998</v>
      </c>
      <c r="BD113">
        <f t="shared" si="22"/>
        <v>17.35358024691358</v>
      </c>
      <c r="BE113">
        <f t="shared" si="23"/>
        <v>7.2659614029629624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1.0862700000000001</v>
      </c>
      <c r="H114" s="21">
        <v>6.1387099999999997</v>
      </c>
      <c r="I114" s="21">
        <v>-1.2737999999999999E-2</v>
      </c>
      <c r="J114" s="21">
        <v>104</v>
      </c>
      <c r="K114" s="21">
        <v>1.08521</v>
      </c>
      <c r="L114">
        <f t="shared" si="12"/>
        <v>15.725925925925925</v>
      </c>
      <c r="M114">
        <f t="shared" si="13"/>
        <v>17.082601555555556</v>
      </c>
      <c r="N114" s="9"/>
      <c r="O114" s="21">
        <v>0.42373699999999997</v>
      </c>
      <c r="P114" s="21">
        <v>9.5752000000000006</v>
      </c>
      <c r="Q114" s="21">
        <v>-1.41388E-2</v>
      </c>
      <c r="R114" s="21">
        <v>104</v>
      </c>
      <c r="S114" s="21">
        <v>0.42318699999999998</v>
      </c>
      <c r="T114">
        <f t="shared" si="14"/>
        <v>17.455308641975307</v>
      </c>
      <c r="U114">
        <f t="shared" si="15"/>
        <v>7.3964601180246907</v>
      </c>
      <c r="X114" s="9"/>
      <c r="Y114" s="21">
        <v>1.0862700000000001</v>
      </c>
      <c r="Z114" s="21">
        <v>14.6729</v>
      </c>
      <c r="AA114" s="21">
        <v>-1.2722799999999999E-2</v>
      </c>
      <c r="AB114" s="21">
        <v>104</v>
      </c>
      <c r="AC114" s="21">
        <v>1.0849</v>
      </c>
      <c r="AD114">
        <f t="shared" si="16"/>
        <v>15.707160493827157</v>
      </c>
      <c r="AE114">
        <f t="shared" si="17"/>
        <v>17.062217229629628</v>
      </c>
      <c r="AF114" s="9"/>
      <c r="AG114" s="21">
        <v>0.42373699999999997</v>
      </c>
      <c r="AH114" s="21">
        <v>18.109400000000001</v>
      </c>
      <c r="AI114" s="21">
        <v>-1.4120499999999999E-2</v>
      </c>
      <c r="AJ114" s="21">
        <v>104</v>
      </c>
      <c r="AK114" s="21">
        <v>0.423126</v>
      </c>
      <c r="AL114">
        <f t="shared" si="18"/>
        <v>17.432716049382716</v>
      </c>
      <c r="AM114">
        <f t="shared" si="19"/>
        <v>7.3868868006172832</v>
      </c>
      <c r="AP114" s="9"/>
      <c r="AQ114" s="21">
        <v>1.0862700000000001</v>
      </c>
      <c r="AR114" s="21">
        <v>23.252099999999999</v>
      </c>
      <c r="AS114" s="21">
        <v>-1.26678E-2</v>
      </c>
      <c r="AT114" s="21">
        <v>104</v>
      </c>
      <c r="AU114" s="21">
        <v>1.08521</v>
      </c>
      <c r="AV114">
        <f t="shared" si="20"/>
        <v>15.639259259259259</v>
      </c>
      <c r="AW114">
        <f t="shared" si="21"/>
        <v>16.988458155555556</v>
      </c>
      <c r="AX114" s="9"/>
      <c r="AY114" s="21">
        <v>0.42373699999999997</v>
      </c>
      <c r="AZ114" s="21">
        <v>26.688600000000001</v>
      </c>
      <c r="BA114" s="21">
        <v>-1.4053299999999999E-2</v>
      </c>
      <c r="BB114" s="21">
        <v>104</v>
      </c>
      <c r="BC114" s="21">
        <v>0.423126</v>
      </c>
      <c r="BD114">
        <f t="shared" si="22"/>
        <v>17.349753086419753</v>
      </c>
      <c r="BE114">
        <f t="shared" si="23"/>
        <v>7.3517323235802463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1.08124</v>
      </c>
      <c r="H115" s="21">
        <v>6.1487800000000004</v>
      </c>
      <c r="I115" s="21">
        <v>-1.27686E-2</v>
      </c>
      <c r="J115" s="21">
        <v>105</v>
      </c>
      <c r="K115" s="21">
        <v>1.0803199999999999</v>
      </c>
      <c r="L115">
        <f t="shared" si="12"/>
        <v>15.763703703703703</v>
      </c>
      <c r="M115">
        <f t="shared" si="13"/>
        <v>17.04434699259259</v>
      </c>
      <c r="N115" s="9"/>
      <c r="O115" s="21">
        <v>0.42877199999999999</v>
      </c>
      <c r="P115" s="21">
        <v>9.5852699999999995</v>
      </c>
      <c r="Q115" s="21">
        <v>-1.4129600000000001E-2</v>
      </c>
      <c r="R115" s="21">
        <v>105</v>
      </c>
      <c r="S115" s="21">
        <v>0.42813099999999998</v>
      </c>
      <c r="T115">
        <f t="shared" si="14"/>
        <v>17.443950617283949</v>
      </c>
      <c r="U115">
        <f t="shared" si="15"/>
        <v>7.4794775940740736</v>
      </c>
      <c r="X115" s="9"/>
      <c r="Y115" s="21">
        <v>1.08124</v>
      </c>
      <c r="Z115" s="21">
        <v>14.683</v>
      </c>
      <c r="AA115" s="21">
        <v>-1.27441E-2</v>
      </c>
      <c r="AB115" s="21">
        <v>105</v>
      </c>
      <c r="AC115" s="21">
        <v>1.08002</v>
      </c>
      <c r="AD115">
        <f t="shared" si="16"/>
        <v>15.733456790123457</v>
      </c>
      <c r="AE115">
        <f t="shared" si="17"/>
        <v>17.011642819753085</v>
      </c>
      <c r="AF115" s="9"/>
      <c r="AG115" s="21">
        <v>0.42877199999999999</v>
      </c>
      <c r="AH115" s="21">
        <v>18.119499999999999</v>
      </c>
      <c r="AI115" s="21">
        <v>-1.41052E-2</v>
      </c>
      <c r="AJ115" s="21">
        <v>105</v>
      </c>
      <c r="AK115" s="21">
        <v>0.428284</v>
      </c>
      <c r="AL115">
        <f t="shared" si="18"/>
        <v>17.413827160493828</v>
      </c>
      <c r="AM115">
        <f t="shared" si="19"/>
        <v>7.4665614992592593</v>
      </c>
      <c r="AP115" s="9"/>
      <c r="AQ115" s="21">
        <v>1.08124</v>
      </c>
      <c r="AR115" s="21">
        <v>23.2622</v>
      </c>
      <c r="AS115" s="21">
        <v>-1.26862E-2</v>
      </c>
      <c r="AT115" s="21">
        <v>105</v>
      </c>
      <c r="AU115" s="21">
        <v>1.08063</v>
      </c>
      <c r="AV115">
        <f t="shared" si="20"/>
        <v>15.661975308641974</v>
      </c>
      <c r="AW115">
        <f t="shared" si="21"/>
        <v>16.934354182716049</v>
      </c>
      <c r="AX115" s="9"/>
      <c r="AY115" s="21">
        <v>0.42877199999999999</v>
      </c>
      <c r="AZ115" s="21">
        <v>26.698699999999999</v>
      </c>
      <c r="BA115" s="21">
        <v>-1.40503E-2</v>
      </c>
      <c r="BB115" s="21">
        <v>105</v>
      </c>
      <c r="BC115" s="21">
        <v>0.42825299999999999</v>
      </c>
      <c r="BD115">
        <f t="shared" si="22"/>
        <v>17.34604938271605</v>
      </c>
      <c r="BE115">
        <f t="shared" si="23"/>
        <v>7.4375002859259256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1.0762</v>
      </c>
      <c r="H116" s="21">
        <v>6.1588500000000002</v>
      </c>
      <c r="I116" s="21">
        <v>-1.27838E-2</v>
      </c>
      <c r="J116" s="21">
        <v>106</v>
      </c>
      <c r="K116" s="21">
        <v>1.07544</v>
      </c>
      <c r="L116">
        <f t="shared" si="12"/>
        <v>15.782469135802467</v>
      </c>
      <c r="M116">
        <f t="shared" si="13"/>
        <v>16.985093283950615</v>
      </c>
      <c r="N116" s="9"/>
      <c r="O116" s="21">
        <v>0.433807</v>
      </c>
      <c r="P116" s="21">
        <v>9.5953400000000002</v>
      </c>
      <c r="Q116" s="21">
        <v>-1.4120499999999999E-2</v>
      </c>
      <c r="R116" s="21">
        <v>106</v>
      </c>
      <c r="S116" s="21">
        <v>0.433228</v>
      </c>
      <c r="T116">
        <f t="shared" si="14"/>
        <v>17.432716049382716</v>
      </c>
      <c r="U116">
        <f t="shared" si="15"/>
        <v>7.5624342512345679</v>
      </c>
      <c r="X116" s="9"/>
      <c r="Y116" s="21">
        <v>1.0762</v>
      </c>
      <c r="Z116" s="21">
        <v>14.693099999999999</v>
      </c>
      <c r="AA116" s="21">
        <v>-1.27686E-2</v>
      </c>
      <c r="AB116" s="21">
        <v>106</v>
      </c>
      <c r="AC116" s="21">
        <v>1.07544</v>
      </c>
      <c r="AD116">
        <f t="shared" si="16"/>
        <v>15.763703703703703</v>
      </c>
      <c r="AE116">
        <f t="shared" si="17"/>
        <v>16.964897925925925</v>
      </c>
      <c r="AF116" s="9"/>
      <c r="AG116" s="21">
        <v>0.433807</v>
      </c>
      <c r="AH116" s="21">
        <v>18.1296</v>
      </c>
      <c r="AI116" s="21">
        <v>-1.4093E-2</v>
      </c>
      <c r="AJ116" s="21">
        <v>106</v>
      </c>
      <c r="AK116" s="21">
        <v>0.43325799999999998</v>
      </c>
      <c r="AL116">
        <f t="shared" si="18"/>
        <v>17.398765432098763</v>
      </c>
      <c r="AM116">
        <f t="shared" si="19"/>
        <v>7.547706235802468</v>
      </c>
      <c r="AP116" s="9"/>
      <c r="AQ116" s="21">
        <v>1.0762</v>
      </c>
      <c r="AR116" s="21">
        <v>23.272300000000001</v>
      </c>
      <c r="AS116" s="21">
        <v>-1.26984E-2</v>
      </c>
      <c r="AT116" s="21">
        <v>106</v>
      </c>
      <c r="AU116" s="21">
        <v>1.0757399999999999</v>
      </c>
      <c r="AV116">
        <f t="shared" si="20"/>
        <v>15.677037037037039</v>
      </c>
      <c r="AW116">
        <f t="shared" si="21"/>
        <v>16.871627259259263</v>
      </c>
      <c r="AX116" s="9"/>
      <c r="AY116" s="21">
        <v>0.433807</v>
      </c>
      <c r="AZ116" s="21">
        <v>26.7088</v>
      </c>
      <c r="BA116" s="21">
        <v>-1.40442E-2</v>
      </c>
      <c r="BB116" s="21">
        <v>106</v>
      </c>
      <c r="BC116" s="21">
        <v>0.43325799999999998</v>
      </c>
      <c r="BD116">
        <f t="shared" si="22"/>
        <v>17.338518518518516</v>
      </c>
      <c r="BE116">
        <f t="shared" si="23"/>
        <v>7.5215707029629622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1.07117</v>
      </c>
      <c r="H117" s="21">
        <v>6.16892</v>
      </c>
      <c r="I117" s="21">
        <v>-1.28021E-2</v>
      </c>
      <c r="J117" s="21">
        <v>107</v>
      </c>
      <c r="K117" s="21">
        <v>1.07056</v>
      </c>
      <c r="L117">
        <f t="shared" si="12"/>
        <v>15.805061728395062</v>
      </c>
      <c r="M117">
        <f t="shared" si="13"/>
        <v>16.929907971604937</v>
      </c>
      <c r="N117" s="9"/>
      <c r="O117" s="21">
        <v>0.43884299999999998</v>
      </c>
      <c r="P117" s="21">
        <v>9.6054099999999991</v>
      </c>
      <c r="Q117" s="21">
        <v>-1.41113E-2</v>
      </c>
      <c r="R117" s="21">
        <v>107</v>
      </c>
      <c r="S117" s="21">
        <v>0.43829299999999999</v>
      </c>
      <c r="T117">
        <f t="shared" si="14"/>
        <v>17.421358024691358</v>
      </c>
      <c r="U117">
        <f t="shared" si="15"/>
        <v>7.645241019629629</v>
      </c>
      <c r="X117" s="9"/>
      <c r="Y117" s="21">
        <v>1.07117</v>
      </c>
      <c r="Z117" s="21">
        <v>14.703099999999999</v>
      </c>
      <c r="AA117" s="21">
        <v>-1.28021E-2</v>
      </c>
      <c r="AB117" s="21">
        <v>107</v>
      </c>
      <c r="AC117" s="21">
        <v>1.0702499999999999</v>
      </c>
      <c r="AD117">
        <f t="shared" si="16"/>
        <v>15.805061728395062</v>
      </c>
      <c r="AE117">
        <f t="shared" si="17"/>
        <v>16.929907971604937</v>
      </c>
      <c r="AF117" s="9"/>
      <c r="AG117" s="21">
        <v>0.43884299999999998</v>
      </c>
      <c r="AH117" s="21">
        <v>18.139700000000001</v>
      </c>
      <c r="AI117" s="21">
        <v>-1.4086899999999999E-2</v>
      </c>
      <c r="AJ117" s="21">
        <v>107</v>
      </c>
      <c r="AK117" s="21">
        <v>0.43826300000000001</v>
      </c>
      <c r="AL117">
        <f t="shared" si="18"/>
        <v>17.391234567901233</v>
      </c>
      <c r="AM117">
        <f t="shared" si="19"/>
        <v>7.63202155148148</v>
      </c>
      <c r="AP117" s="9"/>
      <c r="AQ117" s="21">
        <v>1.07117</v>
      </c>
      <c r="AR117" s="21">
        <v>23.282299999999999</v>
      </c>
      <c r="AS117" s="21">
        <v>-1.2716699999999999E-2</v>
      </c>
      <c r="AT117" s="21">
        <v>107</v>
      </c>
      <c r="AU117" s="21">
        <v>1.07056</v>
      </c>
      <c r="AV117">
        <f t="shared" si="20"/>
        <v>15.699629629629626</v>
      </c>
      <c r="AW117">
        <f t="shared" si="21"/>
        <v>16.816972270370368</v>
      </c>
      <c r="AX117" s="9"/>
      <c r="AY117" s="21">
        <v>0.43884299999999998</v>
      </c>
      <c r="AZ117" s="21">
        <v>26.718800000000002</v>
      </c>
      <c r="BA117" s="21">
        <v>-1.4031999999999999E-2</v>
      </c>
      <c r="BB117" s="21">
        <v>107</v>
      </c>
      <c r="BC117" s="21">
        <v>0.43817099999999998</v>
      </c>
      <c r="BD117">
        <f t="shared" si="22"/>
        <v>17.323456790123455</v>
      </c>
      <c r="BE117">
        <f t="shared" si="23"/>
        <v>7.6022777481481469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1.06613</v>
      </c>
      <c r="H118" s="21">
        <v>6.1789899999999998</v>
      </c>
      <c r="I118" s="21">
        <v>-1.28387E-2</v>
      </c>
      <c r="J118" s="21">
        <v>108</v>
      </c>
      <c r="K118" s="21">
        <v>1.0659799999999999</v>
      </c>
      <c r="L118">
        <f t="shared" si="12"/>
        <v>15.850246913580245</v>
      </c>
      <c r="M118">
        <f t="shared" si="13"/>
        <v>16.898423741975307</v>
      </c>
      <c r="N118" s="9"/>
      <c r="O118" s="21">
        <v>0.44387799999999999</v>
      </c>
      <c r="P118" s="21">
        <v>9.6154799999999998</v>
      </c>
      <c r="Q118" s="21">
        <v>-1.40991E-2</v>
      </c>
      <c r="R118" s="21">
        <v>108</v>
      </c>
      <c r="S118" s="21">
        <v>0.44329800000000003</v>
      </c>
      <c r="T118">
        <f t="shared" si="14"/>
        <v>17.406296296296293</v>
      </c>
      <c r="U118">
        <f t="shared" si="15"/>
        <v>7.7262719874074062</v>
      </c>
      <c r="X118" s="9"/>
      <c r="Y118" s="21">
        <v>1.06613</v>
      </c>
      <c r="Z118" s="21">
        <v>14.713200000000001</v>
      </c>
      <c r="AA118" s="21">
        <v>-1.28296E-2</v>
      </c>
      <c r="AB118" s="21">
        <v>108</v>
      </c>
      <c r="AC118" s="21">
        <v>1.0650599999999999</v>
      </c>
      <c r="AD118">
        <f t="shared" si="16"/>
        <v>15.839012345679013</v>
      </c>
      <c r="AE118">
        <f t="shared" si="17"/>
        <v>16.886446232098766</v>
      </c>
      <c r="AF118" s="9"/>
      <c r="AG118" s="21">
        <v>0.44387799999999999</v>
      </c>
      <c r="AH118" s="21">
        <v>18.149699999999999</v>
      </c>
      <c r="AI118" s="21">
        <v>-1.40839E-2</v>
      </c>
      <c r="AJ118" s="21">
        <v>108</v>
      </c>
      <c r="AK118" s="21">
        <v>0.443268</v>
      </c>
      <c r="AL118">
        <f t="shared" si="18"/>
        <v>17.387530864197529</v>
      </c>
      <c r="AM118">
        <f t="shared" si="19"/>
        <v>7.7179424249382711</v>
      </c>
      <c r="AP118" s="9"/>
      <c r="AQ118" s="21">
        <v>1.06613</v>
      </c>
      <c r="AR118" s="21">
        <v>23.292400000000001</v>
      </c>
      <c r="AS118" s="21">
        <v>-1.27441E-2</v>
      </c>
      <c r="AT118" s="21">
        <v>108</v>
      </c>
      <c r="AU118" s="21">
        <v>1.0647599999999999</v>
      </c>
      <c r="AV118">
        <f t="shared" si="20"/>
        <v>15.733456790123457</v>
      </c>
      <c r="AW118">
        <f t="shared" si="21"/>
        <v>16.773910287654321</v>
      </c>
      <c r="AX118" s="9"/>
      <c r="AY118" s="21">
        <v>0.44387799999999999</v>
      </c>
      <c r="AZ118" s="21">
        <v>26.728899999999999</v>
      </c>
      <c r="BA118" s="21">
        <v>-1.4025900000000001E-2</v>
      </c>
      <c r="BB118" s="21">
        <v>108</v>
      </c>
      <c r="BC118" s="21">
        <v>0.44323699999999999</v>
      </c>
      <c r="BD118">
        <f t="shared" si="22"/>
        <v>17.315925925925924</v>
      </c>
      <c r="BE118">
        <f t="shared" si="23"/>
        <v>7.686158568148147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1.0610999999999999</v>
      </c>
      <c r="H119" s="21">
        <v>6.1890599999999996</v>
      </c>
      <c r="I119" s="21">
        <v>-1.28662E-2</v>
      </c>
      <c r="J119" s="21">
        <v>109</v>
      </c>
      <c r="K119" s="21">
        <v>1.0604899999999999</v>
      </c>
      <c r="L119">
        <f t="shared" si="12"/>
        <v>15.884197530864196</v>
      </c>
      <c r="M119">
        <f t="shared" si="13"/>
        <v>16.854721999999995</v>
      </c>
      <c r="N119" s="9"/>
      <c r="O119" s="21">
        <v>0.44891399999999998</v>
      </c>
      <c r="P119" s="21">
        <v>9.6255500000000005</v>
      </c>
      <c r="Q119" s="21">
        <v>-1.4093E-2</v>
      </c>
      <c r="R119" s="21">
        <v>109</v>
      </c>
      <c r="S119" s="21">
        <v>0.44830300000000001</v>
      </c>
      <c r="T119">
        <f t="shared" si="14"/>
        <v>17.398765432098763</v>
      </c>
      <c r="U119">
        <f t="shared" si="15"/>
        <v>7.8105493851851842</v>
      </c>
      <c r="X119" s="9"/>
      <c r="Y119" s="21">
        <v>1.0610999999999999</v>
      </c>
      <c r="Z119" s="21">
        <v>14.7233</v>
      </c>
      <c r="AA119" s="21">
        <v>-1.2847900000000001E-2</v>
      </c>
      <c r="AB119" s="21">
        <v>109</v>
      </c>
      <c r="AC119" s="21">
        <v>1.0598799999999999</v>
      </c>
      <c r="AD119">
        <f t="shared" si="16"/>
        <v>15.861604938271604</v>
      </c>
      <c r="AE119">
        <f t="shared" si="17"/>
        <v>16.830748999999997</v>
      </c>
      <c r="AF119" s="9"/>
      <c r="AG119" s="21">
        <v>0.44891399999999998</v>
      </c>
      <c r="AH119" s="21">
        <v>18.159800000000001</v>
      </c>
      <c r="AI119" s="21">
        <v>-1.40778E-2</v>
      </c>
      <c r="AJ119" s="21">
        <v>109</v>
      </c>
      <c r="AK119" s="21">
        <v>0.44836399999999998</v>
      </c>
      <c r="AL119">
        <f t="shared" si="18"/>
        <v>17.38</v>
      </c>
      <c r="AM119">
        <f t="shared" si="19"/>
        <v>7.8021253199999991</v>
      </c>
      <c r="AP119" s="9"/>
      <c r="AQ119" s="21">
        <v>1.0610999999999999</v>
      </c>
      <c r="AR119" s="21">
        <v>23.302499999999998</v>
      </c>
      <c r="AS119" s="21">
        <v>-1.27838E-2</v>
      </c>
      <c r="AT119" s="21">
        <v>109</v>
      </c>
      <c r="AU119" s="21">
        <v>1.0595699999999999</v>
      </c>
      <c r="AV119">
        <f t="shared" si="20"/>
        <v>15.782469135802467</v>
      </c>
      <c r="AW119">
        <f t="shared" si="21"/>
        <v>16.746777999999996</v>
      </c>
      <c r="AX119" s="9"/>
      <c r="AY119" s="21">
        <v>0.44891399999999998</v>
      </c>
      <c r="AZ119" s="21">
        <v>26.739000000000001</v>
      </c>
      <c r="BA119" s="21">
        <v>-1.40167E-2</v>
      </c>
      <c r="BB119" s="21">
        <v>109</v>
      </c>
      <c r="BC119" s="21">
        <v>0.448212</v>
      </c>
      <c r="BD119">
        <f t="shared" si="22"/>
        <v>17.304567901234567</v>
      </c>
      <c r="BE119">
        <f t="shared" si="23"/>
        <v>7.768262794814814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1.05606</v>
      </c>
      <c r="H120" s="21">
        <v>6.1991300000000003</v>
      </c>
      <c r="I120" s="21">
        <v>-1.28784E-2</v>
      </c>
      <c r="J120" s="21">
        <v>110</v>
      </c>
      <c r="K120" s="21">
        <v>1.0556000000000001</v>
      </c>
      <c r="L120">
        <f t="shared" si="12"/>
        <v>15.899259259259258</v>
      </c>
      <c r="M120">
        <f t="shared" si="13"/>
        <v>16.790571733333334</v>
      </c>
      <c r="N120" s="9"/>
      <c r="O120" s="21">
        <v>0.45394899999999999</v>
      </c>
      <c r="P120" s="21">
        <v>9.6356199999999994</v>
      </c>
      <c r="Q120" s="21">
        <v>-1.4074700000000001E-2</v>
      </c>
      <c r="R120" s="21">
        <v>110</v>
      </c>
      <c r="S120" s="21">
        <v>0.45343</v>
      </c>
      <c r="T120">
        <f t="shared" si="14"/>
        <v>17.376172839506172</v>
      </c>
      <c r="U120">
        <f t="shared" si="15"/>
        <v>7.8878962843209868</v>
      </c>
      <c r="X120" s="9"/>
      <c r="Y120" s="21">
        <v>1.05606</v>
      </c>
      <c r="Z120" s="21">
        <v>14.7333</v>
      </c>
      <c r="AA120" s="21">
        <v>-1.28693E-2</v>
      </c>
      <c r="AB120" s="21">
        <v>110</v>
      </c>
      <c r="AC120" s="21">
        <v>1.0556000000000001</v>
      </c>
      <c r="AD120">
        <f t="shared" si="16"/>
        <v>15.888024691358023</v>
      </c>
      <c r="AE120">
        <f t="shared" si="17"/>
        <v>16.778707355555554</v>
      </c>
      <c r="AF120" s="9"/>
      <c r="AG120" s="21">
        <v>0.45394899999999999</v>
      </c>
      <c r="AH120" s="21">
        <v>18.169899999999998</v>
      </c>
      <c r="AI120" s="21">
        <v>-1.4065599999999999E-2</v>
      </c>
      <c r="AJ120" s="21">
        <v>110</v>
      </c>
      <c r="AK120" s="21">
        <v>0.45340000000000003</v>
      </c>
      <c r="AL120">
        <f t="shared" si="18"/>
        <v>17.364938271604938</v>
      </c>
      <c r="AM120">
        <f t="shared" si="19"/>
        <v>7.8827963634567899</v>
      </c>
      <c r="AP120" s="9"/>
      <c r="AQ120" s="21">
        <v>1.05606</v>
      </c>
      <c r="AR120" s="21">
        <v>23.3125</v>
      </c>
      <c r="AS120" s="21">
        <v>-1.28174E-2</v>
      </c>
      <c r="AT120" s="21">
        <v>110</v>
      </c>
      <c r="AU120" s="21">
        <v>1.0543800000000001</v>
      </c>
      <c r="AV120">
        <f t="shared" si="20"/>
        <v>15.82395061728395</v>
      </c>
      <c r="AW120">
        <f t="shared" si="21"/>
        <v>16.71104128888889</v>
      </c>
      <c r="AX120" s="9"/>
      <c r="AY120" s="21">
        <v>0.45394899999999999</v>
      </c>
      <c r="AZ120" s="21">
        <v>26.748999999999999</v>
      </c>
      <c r="BA120" s="21">
        <v>-1.40167E-2</v>
      </c>
      <c r="BB120" s="21">
        <v>110</v>
      </c>
      <c r="BC120" s="21">
        <v>0.45336900000000002</v>
      </c>
      <c r="BD120">
        <f t="shared" si="22"/>
        <v>17.304567901234567</v>
      </c>
      <c r="BE120">
        <f t="shared" si="23"/>
        <v>7.8553912941975303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1.0510299999999999</v>
      </c>
      <c r="H121" s="21">
        <v>6.2092000000000001</v>
      </c>
      <c r="I121" s="21">
        <v>-1.28906E-2</v>
      </c>
      <c r="J121" s="21">
        <v>111</v>
      </c>
      <c r="K121" s="21">
        <v>1.0504199999999999</v>
      </c>
      <c r="L121">
        <f t="shared" si="12"/>
        <v>15.914320987654323</v>
      </c>
      <c r="M121">
        <f t="shared" si="13"/>
        <v>16.726428787654321</v>
      </c>
      <c r="N121" s="9"/>
      <c r="O121" s="21">
        <v>0.458984</v>
      </c>
      <c r="P121" s="21">
        <v>9.6456900000000001</v>
      </c>
      <c r="Q121" s="21">
        <v>-1.4065599999999999E-2</v>
      </c>
      <c r="R121" s="21">
        <v>111</v>
      </c>
      <c r="S121" s="21">
        <v>0.45834399999999997</v>
      </c>
      <c r="T121">
        <f t="shared" si="14"/>
        <v>17.364938271604938</v>
      </c>
      <c r="U121">
        <f t="shared" si="15"/>
        <v>7.9702288276543207</v>
      </c>
      <c r="X121" s="9"/>
      <c r="Y121" s="21">
        <v>1.0510299999999999</v>
      </c>
      <c r="Z121" s="21">
        <v>14.743399999999999</v>
      </c>
      <c r="AA121" s="21">
        <v>-1.2896700000000001E-2</v>
      </c>
      <c r="AB121" s="21">
        <v>111</v>
      </c>
      <c r="AC121" s="21">
        <v>1.0504199999999999</v>
      </c>
      <c r="AD121">
        <f t="shared" si="16"/>
        <v>15.92185185185185</v>
      </c>
      <c r="AE121">
        <f t="shared" si="17"/>
        <v>16.734343951851848</v>
      </c>
      <c r="AF121" s="9"/>
      <c r="AG121" s="21">
        <v>0.458984</v>
      </c>
      <c r="AH121" s="21">
        <v>18.1799</v>
      </c>
      <c r="AI121" s="21">
        <v>-1.40442E-2</v>
      </c>
      <c r="AJ121" s="21">
        <v>111</v>
      </c>
      <c r="AK121" s="21">
        <v>0.45834399999999997</v>
      </c>
      <c r="AL121">
        <f t="shared" si="18"/>
        <v>17.338518518518516</v>
      </c>
      <c r="AM121">
        <f t="shared" si="19"/>
        <v>7.9581025837037025</v>
      </c>
      <c r="AP121" s="9"/>
      <c r="AQ121" s="21">
        <v>1.0510299999999999</v>
      </c>
      <c r="AR121" s="21">
        <v>23.322600000000001</v>
      </c>
      <c r="AS121" s="21">
        <v>-1.28326E-2</v>
      </c>
      <c r="AT121" s="21">
        <v>111</v>
      </c>
      <c r="AU121" s="21">
        <v>1.0491900000000001</v>
      </c>
      <c r="AV121">
        <f t="shared" si="20"/>
        <v>15.842716049382712</v>
      </c>
      <c r="AW121">
        <f t="shared" si="21"/>
        <v>16.651169849382711</v>
      </c>
      <c r="AX121" s="9"/>
      <c r="AY121" s="21">
        <v>0.458984</v>
      </c>
      <c r="AZ121" s="21">
        <v>26.7591</v>
      </c>
      <c r="BA121" s="21">
        <v>-1.40137E-2</v>
      </c>
      <c r="BB121" s="21">
        <v>111</v>
      </c>
      <c r="BC121" s="21">
        <v>0.45834399999999997</v>
      </c>
      <c r="BD121">
        <f t="shared" si="22"/>
        <v>17.300864197530863</v>
      </c>
      <c r="BE121">
        <f t="shared" si="23"/>
        <v>7.940819852839506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1.04599</v>
      </c>
      <c r="H122" s="21">
        <v>6.2192699999999999</v>
      </c>
      <c r="I122" s="21">
        <v>-1.2914999999999999E-2</v>
      </c>
      <c r="J122" s="21">
        <v>112</v>
      </c>
      <c r="K122" s="21">
        <v>1.0452300000000001</v>
      </c>
      <c r="L122">
        <f t="shared" si="12"/>
        <v>15.944444444444441</v>
      </c>
      <c r="M122">
        <f t="shared" si="13"/>
        <v>16.677729444444441</v>
      </c>
      <c r="N122" s="9"/>
      <c r="O122" s="21">
        <v>0.46401999999999999</v>
      </c>
      <c r="P122" s="21">
        <v>9.6557700000000004</v>
      </c>
      <c r="Q122" s="21">
        <v>-1.40503E-2</v>
      </c>
      <c r="R122" s="21">
        <v>112</v>
      </c>
      <c r="S122" s="21">
        <v>0.46353100000000003</v>
      </c>
      <c r="T122">
        <f t="shared" si="14"/>
        <v>17.34604938271605</v>
      </c>
      <c r="U122">
        <f t="shared" si="15"/>
        <v>8.0489138345679017</v>
      </c>
      <c r="X122" s="9"/>
      <c r="Y122" s="21">
        <v>1.04599</v>
      </c>
      <c r="Z122" s="21">
        <v>14.753500000000001</v>
      </c>
      <c r="AA122" s="21">
        <v>-1.29272E-2</v>
      </c>
      <c r="AB122" s="21">
        <v>112</v>
      </c>
      <c r="AC122" s="21">
        <v>1.0452300000000001</v>
      </c>
      <c r="AD122">
        <f t="shared" si="16"/>
        <v>15.959506172839506</v>
      </c>
      <c r="AE122">
        <f t="shared" si="17"/>
        <v>16.693483861728392</v>
      </c>
      <c r="AF122" s="9"/>
      <c r="AG122" s="21">
        <v>0.46401999999999999</v>
      </c>
      <c r="AH122" s="21">
        <v>18.190000000000001</v>
      </c>
      <c r="AI122" s="21">
        <v>-1.40137E-2</v>
      </c>
      <c r="AJ122" s="21">
        <v>112</v>
      </c>
      <c r="AK122" s="21">
        <v>0.46340900000000002</v>
      </c>
      <c r="AL122">
        <f t="shared" si="18"/>
        <v>17.300864197530863</v>
      </c>
      <c r="AM122">
        <f t="shared" si="19"/>
        <v>8.0279470049382713</v>
      </c>
      <c r="AP122" s="9"/>
      <c r="AQ122" s="21">
        <v>1.04599</v>
      </c>
      <c r="AR122" s="21">
        <v>23.332699999999999</v>
      </c>
      <c r="AS122" s="21">
        <v>-1.28387E-2</v>
      </c>
      <c r="AT122" s="21">
        <v>112</v>
      </c>
      <c r="AU122" s="21">
        <v>1.0446200000000001</v>
      </c>
      <c r="AV122">
        <f t="shared" si="20"/>
        <v>15.850246913580245</v>
      </c>
      <c r="AW122">
        <f t="shared" si="21"/>
        <v>16.579199769135801</v>
      </c>
      <c r="AX122" s="9"/>
      <c r="AY122" s="21">
        <v>0.46401999999999999</v>
      </c>
      <c r="AZ122" s="21">
        <v>26.769200000000001</v>
      </c>
      <c r="BA122" s="21">
        <v>-1.40015E-2</v>
      </c>
      <c r="BB122" s="21">
        <v>112</v>
      </c>
      <c r="BC122" s="21">
        <v>0.46344000000000002</v>
      </c>
      <c r="BD122">
        <f t="shared" si="22"/>
        <v>17.285802469135803</v>
      </c>
      <c r="BE122">
        <f t="shared" si="23"/>
        <v>8.0209580617283951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1.04095</v>
      </c>
      <c r="H123" s="21">
        <v>6.2293500000000002</v>
      </c>
      <c r="I123" s="21">
        <v>-1.29303E-2</v>
      </c>
      <c r="J123" s="21">
        <v>113</v>
      </c>
      <c r="K123" s="21">
        <v>1.04034</v>
      </c>
      <c r="L123">
        <f t="shared" si="12"/>
        <v>15.963333333333333</v>
      </c>
      <c r="M123">
        <f t="shared" si="13"/>
        <v>16.617031833333332</v>
      </c>
      <c r="N123" s="9"/>
      <c r="O123" s="21">
        <v>0.469055</v>
      </c>
      <c r="P123" s="21">
        <v>9.6658399999999993</v>
      </c>
      <c r="Q123" s="21">
        <v>-1.40381E-2</v>
      </c>
      <c r="R123" s="21">
        <v>113</v>
      </c>
      <c r="S123" s="21">
        <v>0.46847499999999997</v>
      </c>
      <c r="T123">
        <f t="shared" si="14"/>
        <v>17.330987654320985</v>
      </c>
      <c r="U123">
        <f t="shared" si="15"/>
        <v>8.1291864141975303</v>
      </c>
      <c r="X123" s="9"/>
      <c r="Y123" s="21">
        <v>1.04095</v>
      </c>
      <c r="Z123" s="21">
        <v>14.7636</v>
      </c>
      <c r="AA123" s="21">
        <v>-1.2948599999999999E-2</v>
      </c>
      <c r="AB123" s="21">
        <v>113</v>
      </c>
      <c r="AC123" s="21">
        <v>1.03973</v>
      </c>
      <c r="AD123">
        <f t="shared" si="16"/>
        <v>15.985925925925924</v>
      </c>
      <c r="AE123">
        <f t="shared" si="17"/>
        <v>16.640549592592592</v>
      </c>
      <c r="AF123" s="9"/>
      <c r="AG123" s="21">
        <v>0.469055</v>
      </c>
      <c r="AH123" s="21">
        <v>18.200099999999999</v>
      </c>
      <c r="AI123" s="21">
        <v>-1.3998399999999999E-2</v>
      </c>
      <c r="AJ123" s="21">
        <v>113</v>
      </c>
      <c r="AK123" s="21">
        <v>0.468445</v>
      </c>
      <c r="AL123">
        <f t="shared" si="18"/>
        <v>17.281975308641975</v>
      </c>
      <c r="AM123">
        <f t="shared" si="19"/>
        <v>8.106196928395061</v>
      </c>
      <c r="AP123" s="9"/>
      <c r="AQ123" s="21">
        <v>1.04095</v>
      </c>
      <c r="AR123" s="21">
        <v>23.3428</v>
      </c>
      <c r="AS123" s="21">
        <v>-1.2851E-2</v>
      </c>
      <c r="AT123" s="21">
        <v>113</v>
      </c>
      <c r="AU123" s="21">
        <v>1.03973</v>
      </c>
      <c r="AV123">
        <f t="shared" si="20"/>
        <v>15.865432098765432</v>
      </c>
      <c r="AW123">
        <f t="shared" si="21"/>
        <v>16.515121543209876</v>
      </c>
      <c r="AX123" s="9"/>
      <c r="AY123" s="21">
        <v>0.469055</v>
      </c>
      <c r="AZ123" s="21">
        <v>26.779299999999999</v>
      </c>
      <c r="BA123" s="21">
        <v>-1.3998399999999999E-2</v>
      </c>
      <c r="BB123" s="21">
        <v>113</v>
      </c>
      <c r="BC123" s="21">
        <v>0.46862799999999999</v>
      </c>
      <c r="BD123">
        <f t="shared" si="22"/>
        <v>17.281975308641975</v>
      </c>
      <c r="BE123">
        <f t="shared" si="23"/>
        <v>8.106196928395061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1.03592</v>
      </c>
      <c r="H124" s="21">
        <v>6.23942</v>
      </c>
      <c r="I124" s="21">
        <v>-1.29456E-2</v>
      </c>
      <c r="J124" s="21">
        <v>114</v>
      </c>
      <c r="K124" s="21">
        <v>1.0351600000000001</v>
      </c>
      <c r="L124">
        <f t="shared" si="12"/>
        <v>15.982222222222221</v>
      </c>
      <c r="M124">
        <f t="shared" si="13"/>
        <v>16.556303644444444</v>
      </c>
      <c r="N124" s="9"/>
      <c r="O124" s="21">
        <v>0.47409099999999998</v>
      </c>
      <c r="P124" s="21">
        <v>9.67591</v>
      </c>
      <c r="Q124" s="21">
        <v>-1.4025900000000001E-2</v>
      </c>
      <c r="R124" s="21">
        <v>114</v>
      </c>
      <c r="S124" s="21">
        <v>0.47344999999999998</v>
      </c>
      <c r="T124">
        <f t="shared" si="14"/>
        <v>17.315925925925924</v>
      </c>
      <c r="U124">
        <f t="shared" si="15"/>
        <v>8.2093246381481464</v>
      </c>
      <c r="X124" s="9"/>
      <c r="Y124" s="21">
        <v>1.03592</v>
      </c>
      <c r="Z124" s="21">
        <v>14.7736</v>
      </c>
      <c r="AA124" s="21">
        <v>-1.29639E-2</v>
      </c>
      <c r="AB124" s="21">
        <v>114</v>
      </c>
      <c r="AC124" s="21">
        <v>1.0351600000000001</v>
      </c>
      <c r="AD124">
        <f t="shared" si="16"/>
        <v>16.004814814814814</v>
      </c>
      <c r="AE124">
        <f t="shared" si="17"/>
        <v>16.579707762962961</v>
      </c>
      <c r="AF124" s="9"/>
      <c r="AG124" s="21">
        <v>0.47409099999999998</v>
      </c>
      <c r="AH124" s="21">
        <v>18.2102</v>
      </c>
      <c r="AI124" s="21">
        <v>-1.3977099999999999E-2</v>
      </c>
      <c r="AJ124" s="21">
        <v>114</v>
      </c>
      <c r="AK124" s="21">
        <v>0.47348000000000001</v>
      </c>
      <c r="AL124">
        <f t="shared" si="18"/>
        <v>17.255679012345677</v>
      </c>
      <c r="AM124">
        <f t="shared" si="19"/>
        <v>8.1807621186419741</v>
      </c>
      <c r="AP124" s="9"/>
      <c r="AQ124" s="21">
        <v>1.03592</v>
      </c>
      <c r="AR124" s="21">
        <v>23.352799999999998</v>
      </c>
      <c r="AS124" s="21">
        <v>-1.28632E-2</v>
      </c>
      <c r="AT124" s="21">
        <v>114</v>
      </c>
      <c r="AU124" s="21">
        <v>1.03485</v>
      </c>
      <c r="AV124">
        <f t="shared" si="20"/>
        <v>15.880493827160493</v>
      </c>
      <c r="AW124">
        <f t="shared" si="21"/>
        <v>16.450921165432096</v>
      </c>
      <c r="AX124" s="9"/>
      <c r="AY124" s="21">
        <v>0.47409099999999998</v>
      </c>
      <c r="AZ124" s="21">
        <v>26.789300000000001</v>
      </c>
      <c r="BA124" s="21">
        <v>-1.3983199999999999E-2</v>
      </c>
      <c r="BB124" s="21">
        <v>114</v>
      </c>
      <c r="BC124" s="21">
        <v>0.47357199999999999</v>
      </c>
      <c r="BD124">
        <f t="shared" si="22"/>
        <v>17.263209876543208</v>
      </c>
      <c r="BE124">
        <f t="shared" si="23"/>
        <v>8.184332433580245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1.03088</v>
      </c>
      <c r="H125" s="21">
        <v>6.2494899999999998</v>
      </c>
      <c r="I125" s="21">
        <v>-1.2970000000000001E-2</v>
      </c>
      <c r="J125" s="21">
        <v>115</v>
      </c>
      <c r="K125" s="21">
        <v>1.02966</v>
      </c>
      <c r="L125">
        <f t="shared" si="12"/>
        <v>16.012345679012348</v>
      </c>
      <c r="M125">
        <f t="shared" si="13"/>
        <v>16.506806913580249</v>
      </c>
      <c r="N125" s="9"/>
      <c r="O125" s="21">
        <v>0.479126</v>
      </c>
      <c r="P125" s="21">
        <v>9.6859800000000007</v>
      </c>
      <c r="Q125" s="21">
        <v>-1.40289E-2</v>
      </c>
      <c r="R125" s="21">
        <v>115</v>
      </c>
      <c r="S125" s="21">
        <v>0.47857699999999997</v>
      </c>
      <c r="T125">
        <f t="shared" si="14"/>
        <v>17.319629629629631</v>
      </c>
      <c r="U125">
        <f t="shared" si="15"/>
        <v>8.2982848659259272</v>
      </c>
      <c r="X125" s="9"/>
      <c r="Y125" s="21">
        <v>1.03088</v>
      </c>
      <c r="Z125" s="21">
        <v>14.7837</v>
      </c>
      <c r="AA125" s="21">
        <v>-1.2976100000000001E-2</v>
      </c>
      <c r="AB125" s="21">
        <v>115</v>
      </c>
      <c r="AC125" s="21">
        <v>1.02966</v>
      </c>
      <c r="AD125">
        <f t="shared" si="16"/>
        <v>16.019876543209875</v>
      </c>
      <c r="AE125">
        <f t="shared" si="17"/>
        <v>16.514570330864196</v>
      </c>
      <c r="AF125" s="9"/>
      <c r="AG125" s="21">
        <v>0.479126</v>
      </c>
      <c r="AH125" s="21">
        <v>18.220199999999998</v>
      </c>
      <c r="AI125" s="21">
        <v>-1.39618E-2</v>
      </c>
      <c r="AJ125" s="21">
        <v>115</v>
      </c>
      <c r="AK125" s="21">
        <v>0.478516</v>
      </c>
      <c r="AL125">
        <f t="shared" si="18"/>
        <v>17.236790123456789</v>
      </c>
      <c r="AM125">
        <f t="shared" si="19"/>
        <v>8.258594304691357</v>
      </c>
      <c r="AP125" s="9"/>
      <c r="AQ125" s="21">
        <v>1.03088</v>
      </c>
      <c r="AR125" s="21">
        <v>23.3629</v>
      </c>
      <c r="AS125" s="21">
        <v>-1.28784E-2</v>
      </c>
      <c r="AT125" s="21">
        <v>115</v>
      </c>
      <c r="AU125" s="21">
        <v>1.02966</v>
      </c>
      <c r="AV125">
        <f t="shared" si="20"/>
        <v>15.899259259259258</v>
      </c>
      <c r="AW125">
        <f t="shared" si="21"/>
        <v>16.390228385185186</v>
      </c>
      <c r="AX125" s="9"/>
      <c r="AY125" s="21">
        <v>0.479126</v>
      </c>
      <c r="AZ125" s="21">
        <v>26.799399999999999</v>
      </c>
      <c r="BA125" s="21">
        <v>-1.3974E-2</v>
      </c>
      <c r="BB125" s="21">
        <v>115</v>
      </c>
      <c r="BC125" s="21">
        <v>0.47857699999999997</v>
      </c>
      <c r="BD125">
        <f t="shared" si="22"/>
        <v>17.251851851851853</v>
      </c>
      <c r="BE125">
        <f t="shared" si="23"/>
        <v>8.2658107703703703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1.0258499999999999</v>
      </c>
      <c r="H126" s="21">
        <v>6.2595599999999996</v>
      </c>
      <c r="I126" s="21">
        <v>-1.29944E-2</v>
      </c>
      <c r="J126" s="21">
        <v>116</v>
      </c>
      <c r="K126" s="21">
        <v>1.02539</v>
      </c>
      <c r="L126">
        <f t="shared" si="12"/>
        <v>16.042469135802467</v>
      </c>
      <c r="M126">
        <f t="shared" si="13"/>
        <v>16.457166962962958</v>
      </c>
      <c r="N126" s="9"/>
      <c r="O126" s="21">
        <v>0.48416100000000001</v>
      </c>
      <c r="P126" s="21">
        <v>9.6960499999999996</v>
      </c>
      <c r="Q126" s="21">
        <v>-1.4035000000000001E-2</v>
      </c>
      <c r="R126" s="21">
        <v>116</v>
      </c>
      <c r="S126" s="21">
        <v>0.48355100000000001</v>
      </c>
      <c r="T126">
        <f t="shared" si="14"/>
        <v>17.327160493827162</v>
      </c>
      <c r="U126">
        <f t="shared" si="15"/>
        <v>8.3891353518518521</v>
      </c>
      <c r="X126" s="9"/>
      <c r="Y126" s="21">
        <v>1.0258499999999999</v>
      </c>
      <c r="Z126" s="21">
        <v>14.793799999999999</v>
      </c>
      <c r="AA126" s="21">
        <v>-1.2997399999999999E-2</v>
      </c>
      <c r="AB126" s="21">
        <v>116</v>
      </c>
      <c r="AC126" s="21">
        <v>1.02539</v>
      </c>
      <c r="AD126">
        <f t="shared" si="16"/>
        <v>16.04617283950617</v>
      </c>
      <c r="AE126">
        <f t="shared" si="17"/>
        <v>16.460966407407405</v>
      </c>
      <c r="AF126" s="9"/>
      <c r="AG126" s="21">
        <v>0.48416100000000001</v>
      </c>
      <c r="AH126" s="21">
        <v>18.2303</v>
      </c>
      <c r="AI126" s="21">
        <v>-1.39496E-2</v>
      </c>
      <c r="AJ126" s="21">
        <v>116</v>
      </c>
      <c r="AK126" s="21">
        <v>0.48361199999999999</v>
      </c>
      <c r="AL126">
        <f t="shared" si="18"/>
        <v>17.221728395061724</v>
      </c>
      <c r="AM126">
        <f t="shared" si="19"/>
        <v>8.3380892414814802</v>
      </c>
      <c r="AP126" s="9"/>
      <c r="AQ126" s="21">
        <v>1.0258499999999999</v>
      </c>
      <c r="AR126" s="21">
        <v>23.373000000000001</v>
      </c>
      <c r="AS126" s="21">
        <v>-1.2896700000000001E-2</v>
      </c>
      <c r="AT126" s="21">
        <v>116</v>
      </c>
      <c r="AU126" s="21">
        <v>1.0244800000000001</v>
      </c>
      <c r="AV126">
        <f t="shared" si="20"/>
        <v>15.92185185185185</v>
      </c>
      <c r="AW126">
        <f t="shared" si="21"/>
        <v>16.333431722222219</v>
      </c>
      <c r="AX126" s="9"/>
      <c r="AY126" s="21">
        <v>0.48416100000000001</v>
      </c>
      <c r="AZ126" s="21">
        <v>26.8095</v>
      </c>
      <c r="BA126" s="21">
        <v>-1.3986200000000001E-2</v>
      </c>
      <c r="BB126" s="21">
        <v>116</v>
      </c>
      <c r="BC126" s="21">
        <v>0.48348999999999998</v>
      </c>
      <c r="BD126">
        <f t="shared" si="22"/>
        <v>17.266913580246914</v>
      </c>
      <c r="BE126">
        <f t="shared" si="23"/>
        <v>8.3599661459259256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1.02081</v>
      </c>
      <c r="H127" s="21">
        <v>6.2696300000000003</v>
      </c>
      <c r="I127" s="21">
        <v>-1.30127E-2</v>
      </c>
      <c r="J127" s="21">
        <v>117</v>
      </c>
      <c r="K127" s="21">
        <v>1.0199</v>
      </c>
      <c r="L127">
        <f t="shared" si="12"/>
        <v>16.065061728395062</v>
      </c>
      <c r="M127">
        <f t="shared" si="13"/>
        <v>16.399375662962964</v>
      </c>
      <c r="N127" s="9"/>
      <c r="O127" s="21">
        <v>0.48919699999999999</v>
      </c>
      <c r="P127" s="21">
        <v>9.7061200000000003</v>
      </c>
      <c r="Q127" s="21">
        <v>-1.4025900000000001E-2</v>
      </c>
      <c r="R127" s="21">
        <v>117</v>
      </c>
      <c r="S127" s="21">
        <v>0.48861700000000002</v>
      </c>
      <c r="T127">
        <f t="shared" si="14"/>
        <v>17.315925925925924</v>
      </c>
      <c r="U127">
        <f t="shared" si="15"/>
        <v>8.470899015185184</v>
      </c>
      <c r="X127" s="9"/>
      <c r="Y127" s="21">
        <v>1.02081</v>
      </c>
      <c r="Z127" s="21">
        <v>14.803800000000001</v>
      </c>
      <c r="AA127" s="21">
        <v>-1.30157E-2</v>
      </c>
      <c r="AB127" s="21">
        <v>117</v>
      </c>
      <c r="AC127" s="21">
        <v>1.01959</v>
      </c>
      <c r="AD127">
        <f t="shared" si="16"/>
        <v>16.068765432098765</v>
      </c>
      <c r="AE127">
        <f t="shared" si="17"/>
        <v>16.403156440740741</v>
      </c>
      <c r="AF127" s="9"/>
      <c r="AG127" s="21">
        <v>0.48919699999999999</v>
      </c>
      <c r="AH127" s="21">
        <v>18.240400000000001</v>
      </c>
      <c r="AI127" s="21">
        <v>-1.39496E-2</v>
      </c>
      <c r="AJ127" s="21">
        <v>117</v>
      </c>
      <c r="AK127" s="21">
        <v>0.48861700000000002</v>
      </c>
      <c r="AL127">
        <f t="shared" si="18"/>
        <v>17.221728395061724</v>
      </c>
      <c r="AM127">
        <f t="shared" si="19"/>
        <v>8.4248178656790103</v>
      </c>
      <c r="AP127" s="9"/>
      <c r="AQ127" s="21">
        <v>1.02081</v>
      </c>
      <c r="AR127" s="21">
        <v>23.382999999999999</v>
      </c>
      <c r="AS127" s="21">
        <v>-1.29211E-2</v>
      </c>
      <c r="AT127" s="21">
        <v>117</v>
      </c>
      <c r="AU127" s="21">
        <v>1.0199</v>
      </c>
      <c r="AV127">
        <f t="shared" si="20"/>
        <v>15.951975308641973</v>
      </c>
      <c r="AW127">
        <f t="shared" si="21"/>
        <v>16.283935914814812</v>
      </c>
      <c r="AX127" s="9"/>
      <c r="AY127" s="21">
        <v>0.48919699999999999</v>
      </c>
      <c r="AZ127" s="21">
        <v>26.819500000000001</v>
      </c>
      <c r="BA127" s="21">
        <v>-1.3974E-2</v>
      </c>
      <c r="BB127" s="21">
        <v>117</v>
      </c>
      <c r="BC127" s="21">
        <v>0.48873899999999998</v>
      </c>
      <c r="BD127">
        <f t="shared" si="22"/>
        <v>17.251851851851853</v>
      </c>
      <c r="BE127">
        <f t="shared" si="23"/>
        <v>8.4395541703703714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1.0157799999999999</v>
      </c>
      <c r="H128" s="21">
        <v>6.2797000000000001</v>
      </c>
      <c r="I128" s="21">
        <v>-1.3028E-2</v>
      </c>
      <c r="J128" s="21">
        <v>118</v>
      </c>
      <c r="K128" s="21">
        <v>1.01532</v>
      </c>
      <c r="L128">
        <f t="shared" si="12"/>
        <v>16.08395061728395</v>
      </c>
      <c r="M128">
        <f t="shared" si="13"/>
        <v>16.33775535802469</v>
      </c>
      <c r="N128" s="9"/>
      <c r="O128" s="21">
        <v>0.494232</v>
      </c>
      <c r="P128" s="21">
        <v>9.7161899999999992</v>
      </c>
      <c r="Q128" s="21">
        <v>-1.40228E-2</v>
      </c>
      <c r="R128" s="21">
        <v>118</v>
      </c>
      <c r="S128" s="21">
        <v>0.49356100000000003</v>
      </c>
      <c r="T128">
        <f t="shared" si="14"/>
        <v>17.312098765432097</v>
      </c>
      <c r="U128">
        <f t="shared" si="15"/>
        <v>8.556193197037036</v>
      </c>
      <c r="X128" s="9"/>
      <c r="Y128" s="21">
        <v>1.0157799999999999</v>
      </c>
      <c r="Z128" s="21">
        <v>14.8139</v>
      </c>
      <c r="AA128" s="21">
        <v>-1.3028E-2</v>
      </c>
      <c r="AB128" s="21">
        <v>118</v>
      </c>
      <c r="AC128" s="21">
        <v>1.01501</v>
      </c>
      <c r="AD128">
        <f t="shared" si="16"/>
        <v>16.08395061728395</v>
      </c>
      <c r="AE128">
        <f t="shared" si="17"/>
        <v>16.33775535802469</v>
      </c>
      <c r="AF128" s="9"/>
      <c r="AG128" s="21">
        <v>0.494232</v>
      </c>
      <c r="AH128" s="21">
        <v>18.250399999999999</v>
      </c>
      <c r="AI128" s="21">
        <v>-1.39557E-2</v>
      </c>
      <c r="AJ128" s="21">
        <v>118</v>
      </c>
      <c r="AK128" s="21">
        <v>0.49362200000000001</v>
      </c>
      <c r="AL128">
        <f t="shared" si="18"/>
        <v>17.229259259259258</v>
      </c>
      <c r="AM128">
        <f t="shared" si="19"/>
        <v>8.5152512622222218</v>
      </c>
      <c r="AP128" s="9"/>
      <c r="AQ128" s="21">
        <v>1.0157799999999999</v>
      </c>
      <c r="AR128" s="21">
        <v>23.3931</v>
      </c>
      <c r="AS128" s="21">
        <v>-1.29333E-2</v>
      </c>
      <c r="AT128" s="21">
        <v>118</v>
      </c>
      <c r="AU128" s="21">
        <v>1.01532</v>
      </c>
      <c r="AV128">
        <f t="shared" si="20"/>
        <v>15.967037037037036</v>
      </c>
      <c r="AW128">
        <f t="shared" si="21"/>
        <v>16.21899688148148</v>
      </c>
      <c r="AX128" s="9"/>
      <c r="AY128" s="21">
        <v>0.494232</v>
      </c>
      <c r="AZ128" s="21">
        <v>26.829599999999999</v>
      </c>
      <c r="BA128" s="21">
        <v>-1.3964799999999999E-2</v>
      </c>
      <c r="BB128" s="21">
        <v>118</v>
      </c>
      <c r="BC128" s="21">
        <v>0.49371300000000001</v>
      </c>
      <c r="BD128">
        <f t="shared" si="22"/>
        <v>17.240493827160492</v>
      </c>
      <c r="BE128">
        <f t="shared" si="23"/>
        <v>8.5208037451851837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1.01074</v>
      </c>
      <c r="H129" s="21">
        <v>6.2897699999999999</v>
      </c>
      <c r="I129" s="21">
        <v>-1.30524E-2</v>
      </c>
      <c r="J129" s="21">
        <v>119</v>
      </c>
      <c r="K129" s="21">
        <v>1.00983</v>
      </c>
      <c r="L129">
        <f t="shared" si="12"/>
        <v>16.114074074074072</v>
      </c>
      <c r="M129">
        <f t="shared" si="13"/>
        <v>16.287139229629627</v>
      </c>
      <c r="N129" s="9"/>
      <c r="O129" s="21">
        <v>0.49926799999999999</v>
      </c>
      <c r="P129" s="21">
        <v>9.7262599999999999</v>
      </c>
      <c r="Q129" s="21">
        <v>-1.40106E-2</v>
      </c>
      <c r="R129" s="21">
        <v>119</v>
      </c>
      <c r="S129" s="21">
        <v>0.498749</v>
      </c>
      <c r="T129">
        <f t="shared" si="14"/>
        <v>17.297037037037036</v>
      </c>
      <c r="U129">
        <f t="shared" si="15"/>
        <v>8.6358570874074072</v>
      </c>
      <c r="X129" s="9"/>
      <c r="Y129" s="21">
        <v>1.01074</v>
      </c>
      <c r="Z129" s="21">
        <v>14.824</v>
      </c>
      <c r="AA129" s="21">
        <v>-1.30432E-2</v>
      </c>
      <c r="AB129" s="21">
        <v>119</v>
      </c>
      <c r="AC129" s="21">
        <v>1.01013</v>
      </c>
      <c r="AD129">
        <f t="shared" si="16"/>
        <v>16.102716049382714</v>
      </c>
      <c r="AE129">
        <f t="shared" si="17"/>
        <v>16.275659219753084</v>
      </c>
      <c r="AF129" s="9"/>
      <c r="AG129" s="21">
        <v>0.49926799999999999</v>
      </c>
      <c r="AH129" s="21">
        <v>18.2605</v>
      </c>
      <c r="AI129" s="21">
        <v>-1.39496E-2</v>
      </c>
      <c r="AJ129" s="21">
        <v>119</v>
      </c>
      <c r="AK129" s="21">
        <v>0.49862699999999999</v>
      </c>
      <c r="AL129">
        <f t="shared" si="18"/>
        <v>17.221728395061724</v>
      </c>
      <c r="AM129">
        <f t="shared" si="19"/>
        <v>8.5982578923456767</v>
      </c>
      <c r="AP129" s="9"/>
      <c r="AQ129" s="21">
        <v>1.01074</v>
      </c>
      <c r="AR129" s="21">
        <v>23.403199999999998</v>
      </c>
      <c r="AS129" s="21">
        <v>-1.29395E-2</v>
      </c>
      <c r="AT129" s="21">
        <v>119</v>
      </c>
      <c r="AU129" s="21">
        <v>1.00983</v>
      </c>
      <c r="AV129">
        <f t="shared" si="20"/>
        <v>15.974691358024689</v>
      </c>
      <c r="AW129">
        <f t="shared" si="21"/>
        <v>16.146259543209872</v>
      </c>
      <c r="AX129" s="9"/>
      <c r="AY129" s="21">
        <v>0.49926799999999999</v>
      </c>
      <c r="AZ129" s="21">
        <v>26.839700000000001</v>
      </c>
      <c r="BA129" s="21">
        <v>-1.39557E-2</v>
      </c>
      <c r="BB129" s="21">
        <v>119</v>
      </c>
      <c r="BC129" s="21">
        <v>0.49856600000000001</v>
      </c>
      <c r="BD129">
        <f t="shared" si="22"/>
        <v>17.229259259259258</v>
      </c>
      <c r="BE129">
        <f t="shared" si="23"/>
        <v>8.6020178118518515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1.0057100000000001</v>
      </c>
      <c r="H130" s="21">
        <v>6.2998399999999997</v>
      </c>
      <c r="I130" s="21">
        <v>-1.3073700000000001E-2</v>
      </c>
      <c r="J130" s="21">
        <v>120</v>
      </c>
      <c r="K130" s="21">
        <v>1.0049399999999999</v>
      </c>
      <c r="L130">
        <f t="shared" si="12"/>
        <v>16.14037037037037</v>
      </c>
      <c r="M130">
        <f t="shared" si="13"/>
        <v>16.232531885185185</v>
      </c>
      <c r="N130" s="9"/>
      <c r="O130" s="21">
        <v>0.50430299999999995</v>
      </c>
      <c r="P130" s="21">
        <v>9.7363300000000006</v>
      </c>
      <c r="Q130" s="21">
        <v>-1.3992299999999999E-2</v>
      </c>
      <c r="R130" s="21">
        <v>120</v>
      </c>
      <c r="S130" s="21">
        <v>0.50363199999999997</v>
      </c>
      <c r="T130">
        <f t="shared" si="14"/>
        <v>17.274444444444445</v>
      </c>
      <c r="U130">
        <f t="shared" si="15"/>
        <v>8.711554156666665</v>
      </c>
      <c r="X130" s="9"/>
      <c r="Y130" s="21">
        <v>1.0057100000000001</v>
      </c>
      <c r="Z130" s="21">
        <v>14.834</v>
      </c>
      <c r="AA130" s="21">
        <v>-1.3058500000000001E-2</v>
      </c>
      <c r="AB130" s="21">
        <v>120</v>
      </c>
      <c r="AC130" s="21">
        <v>1.00403</v>
      </c>
      <c r="AD130">
        <f t="shared" si="16"/>
        <v>16.121604938271602</v>
      </c>
      <c r="AE130">
        <f t="shared" si="17"/>
        <v>16.213659302469136</v>
      </c>
      <c r="AF130" s="9"/>
      <c r="AG130" s="21">
        <v>0.50430299999999995</v>
      </c>
      <c r="AH130" s="21">
        <v>18.270600000000002</v>
      </c>
      <c r="AI130" s="21">
        <v>-1.3943499999999999E-2</v>
      </c>
      <c r="AJ130" s="21">
        <v>120</v>
      </c>
      <c r="AK130" s="21">
        <v>0.50360099999999997</v>
      </c>
      <c r="AL130">
        <f t="shared" si="18"/>
        <v>17.214197530864197</v>
      </c>
      <c r="AM130">
        <f t="shared" si="19"/>
        <v>8.681171457407407</v>
      </c>
      <c r="AP130" s="9"/>
      <c r="AQ130" s="21">
        <v>1.0057100000000001</v>
      </c>
      <c r="AR130" s="21">
        <v>23.4133</v>
      </c>
      <c r="AS130" s="21">
        <v>-1.29517E-2</v>
      </c>
      <c r="AT130" s="21">
        <v>120</v>
      </c>
      <c r="AU130" s="21">
        <v>1.0049399999999999</v>
      </c>
      <c r="AV130">
        <f t="shared" si="20"/>
        <v>15.989753086419752</v>
      </c>
      <c r="AW130">
        <f t="shared" si="21"/>
        <v>16.08105457654321</v>
      </c>
      <c r="AX130" s="9"/>
      <c r="AY130" s="21">
        <v>0.50430299999999995</v>
      </c>
      <c r="AZ130" s="21">
        <v>26.849699999999999</v>
      </c>
      <c r="BA130" s="21">
        <v>-1.3946500000000001E-2</v>
      </c>
      <c r="BB130" s="21">
        <v>120</v>
      </c>
      <c r="BC130" s="21">
        <v>0.50369299999999995</v>
      </c>
      <c r="BD130">
        <f t="shared" si="22"/>
        <v>17.217901234567901</v>
      </c>
      <c r="BE130">
        <f t="shared" si="23"/>
        <v>8.6830392462962944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1.0006699999999999</v>
      </c>
      <c r="H131" s="21">
        <v>6.3099100000000004</v>
      </c>
      <c r="I131" s="21">
        <v>-1.30981E-2</v>
      </c>
      <c r="J131" s="21">
        <v>121</v>
      </c>
      <c r="K131" s="21">
        <v>0.99975599999999998</v>
      </c>
      <c r="L131">
        <f t="shared" si="12"/>
        <v>16.170493827160495</v>
      </c>
      <c r="M131">
        <f t="shared" si="13"/>
        <v>16.181328058024693</v>
      </c>
      <c r="N131" s="9"/>
      <c r="O131" s="21">
        <v>0.50933799999999996</v>
      </c>
      <c r="P131" s="21">
        <v>9.7463999999999995</v>
      </c>
      <c r="Q131" s="21">
        <v>-1.3986200000000001E-2</v>
      </c>
      <c r="R131" s="21">
        <v>121</v>
      </c>
      <c r="S131" s="21">
        <v>0.50869799999999998</v>
      </c>
      <c r="T131">
        <f t="shared" si="14"/>
        <v>17.266913580246914</v>
      </c>
      <c r="U131">
        <f t="shared" si="15"/>
        <v>8.7946952291358027</v>
      </c>
      <c r="X131" s="9"/>
      <c r="Y131" s="21">
        <v>1.0006699999999999</v>
      </c>
      <c r="Z131" s="21">
        <v>14.844099999999999</v>
      </c>
      <c r="AA131" s="21">
        <v>-1.3070699999999999E-2</v>
      </c>
      <c r="AB131" s="21">
        <v>121</v>
      </c>
      <c r="AC131" s="21">
        <v>0.99975599999999998</v>
      </c>
      <c r="AD131">
        <f t="shared" si="16"/>
        <v>16.136666666666663</v>
      </c>
      <c r="AE131">
        <f t="shared" si="17"/>
        <v>16.147478233333327</v>
      </c>
      <c r="AF131" s="9"/>
      <c r="AG131" s="21">
        <v>0.50933799999999996</v>
      </c>
      <c r="AH131" s="21">
        <v>18.2806</v>
      </c>
      <c r="AI131" s="21">
        <v>-1.3943499999999999E-2</v>
      </c>
      <c r="AJ131" s="21">
        <v>121</v>
      </c>
      <c r="AK131" s="21">
        <v>0.50866699999999998</v>
      </c>
      <c r="AL131">
        <f t="shared" si="18"/>
        <v>17.214197530864197</v>
      </c>
      <c r="AM131">
        <f t="shared" si="19"/>
        <v>8.7678449419753086</v>
      </c>
      <c r="AP131" s="9"/>
      <c r="AQ131" s="21">
        <v>1.0006699999999999</v>
      </c>
      <c r="AR131" s="21">
        <v>23.423300000000001</v>
      </c>
      <c r="AS131" s="21">
        <v>-1.2970000000000001E-2</v>
      </c>
      <c r="AT131" s="21">
        <v>121</v>
      </c>
      <c r="AU131" s="21">
        <v>1.0000599999999999</v>
      </c>
      <c r="AV131">
        <f t="shared" si="20"/>
        <v>16.012345679012348</v>
      </c>
      <c r="AW131">
        <f t="shared" si="21"/>
        <v>16.023073950617285</v>
      </c>
      <c r="AX131" s="9"/>
      <c r="AY131" s="21">
        <v>0.50933799999999996</v>
      </c>
      <c r="AZ131" s="21">
        <v>26.8598</v>
      </c>
      <c r="BA131" s="21">
        <v>-1.39343E-2</v>
      </c>
      <c r="BB131" s="21">
        <v>121</v>
      </c>
      <c r="BC131" s="21">
        <v>0.50872799999999996</v>
      </c>
      <c r="BD131">
        <f t="shared" si="22"/>
        <v>17.202839506172836</v>
      </c>
      <c r="BE131">
        <f t="shared" si="23"/>
        <v>8.7620598683950597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0.99563599999999997</v>
      </c>
      <c r="H132" s="21">
        <v>6.3199800000000002</v>
      </c>
      <c r="I132" s="21">
        <v>-1.3113400000000001E-2</v>
      </c>
      <c r="J132" s="21">
        <v>122</v>
      </c>
      <c r="K132" s="21">
        <v>0.99395800000000001</v>
      </c>
      <c r="L132">
        <f t="shared" si="12"/>
        <v>16.18938271604938</v>
      </c>
      <c r="M132">
        <f t="shared" si="13"/>
        <v>16.11873224987654</v>
      </c>
      <c r="N132" s="9"/>
      <c r="O132" s="21">
        <v>0.514374</v>
      </c>
      <c r="P132" s="21">
        <v>9.7564799999999998</v>
      </c>
      <c r="Q132" s="21">
        <v>-1.3974E-2</v>
      </c>
      <c r="R132" s="21">
        <v>122</v>
      </c>
      <c r="S132" s="21">
        <v>0.51376299999999997</v>
      </c>
      <c r="T132">
        <f t="shared" si="14"/>
        <v>17.251851851851853</v>
      </c>
      <c r="U132">
        <f t="shared" si="15"/>
        <v>8.8739040444444459</v>
      </c>
      <c r="X132" s="9"/>
      <c r="Y132" s="21">
        <v>0.99563599999999997</v>
      </c>
      <c r="Z132" s="21">
        <v>14.854200000000001</v>
      </c>
      <c r="AA132" s="21">
        <v>-1.3089E-2</v>
      </c>
      <c r="AB132" s="21">
        <v>122</v>
      </c>
      <c r="AC132" s="21">
        <v>0.99487300000000001</v>
      </c>
      <c r="AD132">
        <f t="shared" si="16"/>
        <v>16.159259259259258</v>
      </c>
      <c r="AE132">
        <f t="shared" si="17"/>
        <v>16.088740251851849</v>
      </c>
      <c r="AF132" s="9"/>
      <c r="AG132" s="21">
        <v>0.514374</v>
      </c>
      <c r="AH132" s="21">
        <v>18.290700000000001</v>
      </c>
      <c r="AI132" s="21">
        <v>-1.3937400000000001E-2</v>
      </c>
      <c r="AJ132" s="21">
        <v>122</v>
      </c>
      <c r="AK132" s="21">
        <v>0.51364100000000001</v>
      </c>
      <c r="AL132">
        <f t="shared" si="18"/>
        <v>17.206666666666667</v>
      </c>
      <c r="AM132">
        <f t="shared" si="19"/>
        <v>8.8506619600000001</v>
      </c>
      <c r="AP132" s="9"/>
      <c r="AQ132" s="21">
        <v>0.99563599999999997</v>
      </c>
      <c r="AR132" s="21">
        <v>23.433399999999999</v>
      </c>
      <c r="AS132" s="21">
        <v>-1.29944E-2</v>
      </c>
      <c r="AT132" s="21">
        <v>122</v>
      </c>
      <c r="AU132" s="21">
        <v>0.99487300000000001</v>
      </c>
      <c r="AV132">
        <f t="shared" si="20"/>
        <v>16.042469135802467</v>
      </c>
      <c r="AW132">
        <f t="shared" si="21"/>
        <v>15.972459800493825</v>
      </c>
      <c r="AX132" s="9"/>
      <c r="AY132" s="21">
        <v>0.514374</v>
      </c>
      <c r="AZ132" s="21">
        <v>26.869900000000001</v>
      </c>
      <c r="BA132" s="21">
        <v>-1.39069E-2</v>
      </c>
      <c r="BB132" s="21">
        <v>122</v>
      </c>
      <c r="BC132" s="21">
        <v>0.51367200000000002</v>
      </c>
      <c r="BD132">
        <f t="shared" si="22"/>
        <v>17.169012345679011</v>
      </c>
      <c r="BE132">
        <f t="shared" si="23"/>
        <v>8.8312935562962949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0.99060099999999995</v>
      </c>
      <c r="H133" s="21">
        <v>6.3300599999999996</v>
      </c>
      <c r="I133" s="21">
        <v>-1.31165E-2</v>
      </c>
      <c r="J133" s="21">
        <v>123</v>
      </c>
      <c r="K133" s="21">
        <v>0.98938000000000004</v>
      </c>
      <c r="L133">
        <f t="shared" si="12"/>
        <v>16.193209876543211</v>
      </c>
      <c r="M133">
        <f t="shared" si="13"/>
        <v>16.041009896913579</v>
      </c>
      <c r="N133" s="9"/>
      <c r="O133" s="21">
        <v>0.51940900000000001</v>
      </c>
      <c r="P133" s="21">
        <v>9.7665500000000005</v>
      </c>
      <c r="Q133" s="21">
        <v>-1.39679E-2</v>
      </c>
      <c r="R133" s="21">
        <v>123</v>
      </c>
      <c r="S133" s="21">
        <v>0.51885999999999999</v>
      </c>
      <c r="T133">
        <f t="shared" si="14"/>
        <v>17.244320987654319</v>
      </c>
      <c r="U133">
        <f t="shared" si="15"/>
        <v>8.9568555198765427</v>
      </c>
      <c r="X133" s="9"/>
      <c r="Y133" s="21">
        <v>0.99060099999999995</v>
      </c>
      <c r="Z133" s="21">
        <v>14.8643</v>
      </c>
      <c r="AA133" s="21">
        <v>-1.3107300000000001E-2</v>
      </c>
      <c r="AB133" s="21">
        <v>123</v>
      </c>
      <c r="AC133" s="21">
        <v>0.98938000000000004</v>
      </c>
      <c r="AD133">
        <f t="shared" si="16"/>
        <v>16.181851851851849</v>
      </c>
      <c r="AE133">
        <f t="shared" si="17"/>
        <v>16.029758626296292</v>
      </c>
      <c r="AF133" s="9"/>
      <c r="AG133" s="21">
        <v>0.51940900000000001</v>
      </c>
      <c r="AH133" s="21">
        <v>18.300799999999999</v>
      </c>
      <c r="AI133" s="21">
        <v>-1.39282E-2</v>
      </c>
      <c r="AJ133" s="21">
        <v>123</v>
      </c>
      <c r="AK133" s="21">
        <v>0.51867700000000005</v>
      </c>
      <c r="AL133">
        <f t="shared" si="18"/>
        <v>17.195308641975309</v>
      </c>
      <c r="AM133">
        <f t="shared" si="19"/>
        <v>8.931398066419753</v>
      </c>
      <c r="AP133" s="9"/>
      <c r="AQ133" s="21">
        <v>0.99060099999999995</v>
      </c>
      <c r="AR133" s="21">
        <v>23.4435</v>
      </c>
      <c r="AS133" s="21">
        <v>-1.30096E-2</v>
      </c>
      <c r="AT133" s="21">
        <v>123</v>
      </c>
      <c r="AU133" s="21">
        <v>0.98938000000000004</v>
      </c>
      <c r="AV133">
        <f t="shared" si="20"/>
        <v>16.061234567901234</v>
      </c>
      <c r="AW133">
        <f t="shared" si="21"/>
        <v>15.91027502419753</v>
      </c>
      <c r="AX133" s="9"/>
      <c r="AY133" s="21">
        <v>0.51940900000000001</v>
      </c>
      <c r="AZ133" s="21">
        <v>26.88</v>
      </c>
      <c r="BA133" s="21">
        <v>-1.38916E-2</v>
      </c>
      <c r="BB133" s="21">
        <v>123</v>
      </c>
      <c r="BC133" s="21">
        <v>0.51879900000000001</v>
      </c>
      <c r="BD133">
        <f t="shared" si="22"/>
        <v>17.150123456790123</v>
      </c>
      <c r="BE133">
        <f t="shared" si="23"/>
        <v>8.9079284745679015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0.98556500000000002</v>
      </c>
      <c r="H134" s="21">
        <v>6.3401300000000003</v>
      </c>
      <c r="I134" s="21">
        <v>-1.31317E-2</v>
      </c>
      <c r="J134" s="21">
        <v>124</v>
      </c>
      <c r="K134" s="21">
        <v>0.98480199999999996</v>
      </c>
      <c r="L134">
        <f t="shared" si="12"/>
        <v>16.211975308641971</v>
      </c>
      <c r="M134">
        <f t="shared" si="13"/>
        <v>15.977955445061724</v>
      </c>
      <c r="N134" s="9"/>
      <c r="O134" s="21">
        <v>0.52444500000000005</v>
      </c>
      <c r="P134" s="21">
        <v>9.7766199999999994</v>
      </c>
      <c r="Q134" s="21">
        <v>-1.39557E-2</v>
      </c>
      <c r="R134" s="21">
        <v>124</v>
      </c>
      <c r="S134" s="21">
        <v>0.52371199999999996</v>
      </c>
      <c r="T134">
        <f t="shared" si="14"/>
        <v>17.229259259259258</v>
      </c>
      <c r="U134">
        <f t="shared" si="15"/>
        <v>9.0357988722222231</v>
      </c>
      <c r="X134" s="9"/>
      <c r="Y134" s="21">
        <v>0.98556500000000002</v>
      </c>
      <c r="Z134" s="21">
        <v>14.8743</v>
      </c>
      <c r="AA134" s="21">
        <v>-1.3119499999999999E-2</v>
      </c>
      <c r="AB134" s="21">
        <v>124</v>
      </c>
      <c r="AC134" s="21">
        <v>0.98480199999999996</v>
      </c>
      <c r="AD134">
        <f t="shared" si="16"/>
        <v>16.19691358024691</v>
      </c>
      <c r="AE134">
        <f t="shared" si="17"/>
        <v>15.963111132716048</v>
      </c>
      <c r="AF134" s="9"/>
      <c r="AG134" s="21">
        <v>0.52444500000000005</v>
      </c>
      <c r="AH134" s="21">
        <v>18.3109</v>
      </c>
      <c r="AI134" s="21">
        <v>-1.39191E-2</v>
      </c>
      <c r="AJ134" s="21">
        <v>124</v>
      </c>
      <c r="AK134" s="21">
        <v>0.52377300000000004</v>
      </c>
      <c r="AL134">
        <f t="shared" si="18"/>
        <v>17.184074074074076</v>
      </c>
      <c r="AM134">
        <f t="shared" si="19"/>
        <v>9.0121017277777788</v>
      </c>
      <c r="AP134" s="9"/>
      <c r="AQ134" s="21">
        <v>0.98556500000000002</v>
      </c>
      <c r="AR134" s="21">
        <v>23.453499999999998</v>
      </c>
      <c r="AS134" s="21">
        <v>-1.30402E-2</v>
      </c>
      <c r="AT134" s="21">
        <v>124</v>
      </c>
      <c r="AU134" s="21">
        <v>0.98388699999999996</v>
      </c>
      <c r="AV134">
        <f t="shared" si="20"/>
        <v>16.099012345679011</v>
      </c>
      <c r="AW134">
        <f t="shared" si="21"/>
        <v>15.866623102469134</v>
      </c>
      <c r="AX134" s="9"/>
      <c r="AY134" s="21">
        <v>0.52444500000000005</v>
      </c>
      <c r="AZ134" s="21">
        <v>26.89</v>
      </c>
      <c r="BA134" s="21">
        <v>-1.38733E-2</v>
      </c>
      <c r="BB134" s="21">
        <v>124</v>
      </c>
      <c r="BC134" s="21">
        <v>0.52380400000000005</v>
      </c>
      <c r="BD134">
        <f t="shared" si="22"/>
        <v>17.127530864197528</v>
      </c>
      <c r="BE134">
        <f t="shared" si="23"/>
        <v>8.9824479240740729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0.98053000000000001</v>
      </c>
      <c r="H135" s="21">
        <v>6.3502000000000001</v>
      </c>
      <c r="I135" s="21">
        <v>-1.3153099999999999E-2</v>
      </c>
      <c r="J135" s="21">
        <v>125</v>
      </c>
      <c r="K135" s="21">
        <v>0.97930899999999999</v>
      </c>
      <c r="L135">
        <f t="shared" si="12"/>
        <v>16.238395061728394</v>
      </c>
      <c r="M135">
        <f t="shared" si="13"/>
        <v>15.922233509876541</v>
      </c>
      <c r="N135" s="9"/>
      <c r="O135" s="21">
        <v>0.52947999999999995</v>
      </c>
      <c r="P135" s="21">
        <v>9.7866900000000001</v>
      </c>
      <c r="Q135" s="21">
        <v>-1.3943499999999999E-2</v>
      </c>
      <c r="R135" s="21">
        <v>125</v>
      </c>
      <c r="S135" s="21">
        <v>0.52880899999999997</v>
      </c>
      <c r="T135">
        <f t="shared" si="14"/>
        <v>17.214197530864197</v>
      </c>
      <c r="U135">
        <f t="shared" si="15"/>
        <v>9.1145733086419742</v>
      </c>
      <c r="X135" s="9"/>
      <c r="Y135" s="21">
        <v>0.98053000000000001</v>
      </c>
      <c r="Z135" s="21">
        <v>14.884399999999999</v>
      </c>
      <c r="AA135" s="21">
        <v>-1.3147000000000001E-2</v>
      </c>
      <c r="AB135" s="21">
        <v>125</v>
      </c>
      <c r="AC135" s="21">
        <v>0.97900399999999999</v>
      </c>
      <c r="AD135">
        <f t="shared" si="16"/>
        <v>16.230864197530863</v>
      </c>
      <c r="AE135">
        <f t="shared" si="17"/>
        <v>15.914849271604938</v>
      </c>
      <c r="AF135" s="9"/>
      <c r="AG135" s="21">
        <v>0.52947999999999995</v>
      </c>
      <c r="AH135" s="21">
        <v>18.320900000000002</v>
      </c>
      <c r="AI135" s="21">
        <v>-1.3909899999999999E-2</v>
      </c>
      <c r="AJ135" s="21">
        <v>125</v>
      </c>
      <c r="AK135" s="21">
        <v>0.52877799999999997</v>
      </c>
      <c r="AL135">
        <f t="shared" si="18"/>
        <v>17.172716049382714</v>
      </c>
      <c r="AM135">
        <f t="shared" si="19"/>
        <v>9.0926096938271588</v>
      </c>
      <c r="AP135" s="9"/>
      <c r="AQ135" s="21">
        <v>0.98053000000000001</v>
      </c>
      <c r="AR135" s="21">
        <v>23.4636</v>
      </c>
      <c r="AS135" s="21">
        <v>-1.3073700000000001E-2</v>
      </c>
      <c r="AT135" s="21">
        <v>125</v>
      </c>
      <c r="AU135" s="21">
        <v>0.97961399999999998</v>
      </c>
      <c r="AV135">
        <f t="shared" si="20"/>
        <v>16.14037037037037</v>
      </c>
      <c r="AW135">
        <f t="shared" si="21"/>
        <v>15.826117359259259</v>
      </c>
      <c r="AX135" s="9"/>
      <c r="AY135" s="21">
        <v>0.52947999999999995</v>
      </c>
      <c r="AZ135" s="21">
        <v>26.900099999999998</v>
      </c>
      <c r="BA135" s="21">
        <v>-1.3858000000000001E-2</v>
      </c>
      <c r="BB135" s="21">
        <v>125</v>
      </c>
      <c r="BC135" s="21">
        <v>0.52877799999999997</v>
      </c>
      <c r="BD135">
        <f t="shared" si="22"/>
        <v>17.10864197530864</v>
      </c>
      <c r="BE135">
        <f t="shared" si="23"/>
        <v>9.0586837530864184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0.97549399999999997</v>
      </c>
      <c r="H136" s="21">
        <v>6.3602699999999999</v>
      </c>
      <c r="I136" s="21">
        <v>-1.31775E-2</v>
      </c>
      <c r="J136" s="21">
        <v>126</v>
      </c>
      <c r="K136" s="21">
        <v>0.97473100000000001</v>
      </c>
      <c r="L136">
        <f t="shared" si="12"/>
        <v>16.268518518518519</v>
      </c>
      <c r="M136">
        <f t="shared" si="13"/>
        <v>15.869842203703703</v>
      </c>
      <c r="N136" s="9"/>
      <c r="O136" s="21">
        <v>0.53451499999999996</v>
      </c>
      <c r="P136" s="21">
        <v>9.7967600000000008</v>
      </c>
      <c r="Q136" s="21">
        <v>-1.3931300000000001E-2</v>
      </c>
      <c r="R136" s="21">
        <v>126</v>
      </c>
      <c r="S136" s="21">
        <v>0.53393599999999997</v>
      </c>
      <c r="T136">
        <f t="shared" si="14"/>
        <v>17.199135802469137</v>
      </c>
      <c r="U136">
        <f t="shared" si="15"/>
        <v>9.1931960734567895</v>
      </c>
      <c r="X136" s="9"/>
      <c r="Y136" s="21">
        <v>0.97549399999999997</v>
      </c>
      <c r="Z136" s="21">
        <v>14.894500000000001</v>
      </c>
      <c r="AA136" s="21">
        <v>-1.31714E-2</v>
      </c>
      <c r="AB136" s="21">
        <v>126</v>
      </c>
      <c r="AC136" s="21">
        <v>0.97442600000000001</v>
      </c>
      <c r="AD136">
        <f t="shared" si="16"/>
        <v>16.260987654320989</v>
      </c>
      <c r="AE136">
        <f t="shared" si="17"/>
        <v>15.862495890864198</v>
      </c>
      <c r="AF136" s="9"/>
      <c r="AG136" s="21">
        <v>0.53451499999999996</v>
      </c>
      <c r="AH136" s="21">
        <v>18.331</v>
      </c>
      <c r="AI136" s="21">
        <v>-1.3903799999999999E-2</v>
      </c>
      <c r="AJ136" s="21">
        <v>126</v>
      </c>
      <c r="AK136" s="21">
        <v>0.53387499999999999</v>
      </c>
      <c r="AL136">
        <f t="shared" si="18"/>
        <v>17.165185185185184</v>
      </c>
      <c r="AM136">
        <f t="shared" si="19"/>
        <v>9.1750489592592572</v>
      </c>
      <c r="AP136" s="9"/>
      <c r="AQ136" s="21">
        <v>0.97549399999999997</v>
      </c>
      <c r="AR136" s="21">
        <v>23.473700000000001</v>
      </c>
      <c r="AS136" s="21">
        <v>-1.31012E-2</v>
      </c>
      <c r="AT136" s="21">
        <v>126</v>
      </c>
      <c r="AU136" s="21">
        <v>0.97442600000000001</v>
      </c>
      <c r="AV136">
        <f t="shared" si="20"/>
        <v>16.174320987654323</v>
      </c>
      <c r="AW136">
        <f t="shared" si="21"/>
        <v>15.777953077530865</v>
      </c>
      <c r="AX136" s="9"/>
      <c r="AY136" s="21">
        <v>0.53451499999999996</v>
      </c>
      <c r="AZ136" s="21">
        <v>26.9102</v>
      </c>
      <c r="BA136" s="21">
        <v>-1.3842800000000001E-2</v>
      </c>
      <c r="BB136" s="21">
        <v>126</v>
      </c>
      <c r="BC136" s="21">
        <v>0.53381299999999998</v>
      </c>
      <c r="BD136">
        <f t="shared" si="22"/>
        <v>17.089876543209876</v>
      </c>
      <c r="BE136">
        <f t="shared" si="23"/>
        <v>9.1347953604938255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0.97045899999999996</v>
      </c>
      <c r="H137" s="21">
        <v>6.3703399999999997</v>
      </c>
      <c r="I137" s="21">
        <v>-1.31989E-2</v>
      </c>
      <c r="J137" s="21">
        <v>127</v>
      </c>
      <c r="K137" s="21">
        <v>0.96923800000000004</v>
      </c>
      <c r="L137">
        <f t="shared" si="12"/>
        <v>16.294938271604938</v>
      </c>
      <c r="M137">
        <f t="shared" si="13"/>
        <v>15.813569500123455</v>
      </c>
      <c r="N137" s="9"/>
      <c r="O137" s="21">
        <v>0.539551</v>
      </c>
      <c r="P137" s="21">
        <v>9.8068299999999997</v>
      </c>
      <c r="Q137" s="21">
        <v>-1.3931300000000001E-2</v>
      </c>
      <c r="R137" s="21">
        <v>127</v>
      </c>
      <c r="S137" s="21">
        <v>0.53893999999999997</v>
      </c>
      <c r="T137">
        <f t="shared" si="14"/>
        <v>17.199135802469137</v>
      </c>
      <c r="U137">
        <f t="shared" si="15"/>
        <v>9.2798109213580258</v>
      </c>
      <c r="X137" s="9"/>
      <c r="Y137" s="21">
        <v>0.97045899999999996</v>
      </c>
      <c r="Z137" s="21">
        <v>14.904500000000001</v>
      </c>
      <c r="AA137" s="21">
        <v>-1.31927E-2</v>
      </c>
      <c r="AB137" s="21">
        <v>127</v>
      </c>
      <c r="AC137" s="21">
        <v>0.96954300000000004</v>
      </c>
      <c r="AD137">
        <f t="shared" si="16"/>
        <v>16.287283950617283</v>
      </c>
      <c r="AE137">
        <f t="shared" si="17"/>
        <v>15.806141295432097</v>
      </c>
      <c r="AF137" s="9"/>
      <c r="AG137" s="21">
        <v>0.539551</v>
      </c>
      <c r="AH137" s="21">
        <v>18.341100000000001</v>
      </c>
      <c r="AI137" s="21">
        <v>-1.38885E-2</v>
      </c>
      <c r="AJ137" s="21">
        <v>127</v>
      </c>
      <c r="AK137" s="21">
        <v>0.53891</v>
      </c>
      <c r="AL137">
        <f t="shared" si="18"/>
        <v>17.146296296296295</v>
      </c>
      <c r="AM137">
        <f t="shared" si="19"/>
        <v>9.251301312962962</v>
      </c>
      <c r="AP137" s="9"/>
      <c r="AQ137" s="21">
        <v>0.97045899999999996</v>
      </c>
      <c r="AR137" s="21">
        <v>23.483799999999999</v>
      </c>
      <c r="AS137" s="21">
        <v>-1.31287E-2</v>
      </c>
      <c r="AT137" s="21">
        <v>127</v>
      </c>
      <c r="AU137" s="21">
        <v>0.96893300000000004</v>
      </c>
      <c r="AV137">
        <f t="shared" si="20"/>
        <v>16.208271604938268</v>
      </c>
      <c r="AW137">
        <f t="shared" si="21"/>
        <v>15.729463053456787</v>
      </c>
      <c r="AX137" s="9"/>
      <c r="AY137" s="21">
        <v>0.539551</v>
      </c>
      <c r="AZ137" s="21">
        <v>26.920200000000001</v>
      </c>
      <c r="BA137" s="21">
        <v>-1.38275E-2</v>
      </c>
      <c r="BB137" s="21">
        <v>127</v>
      </c>
      <c r="BC137" s="21">
        <v>0.53893999999999997</v>
      </c>
      <c r="BD137">
        <f t="shared" si="22"/>
        <v>17.070987654320987</v>
      </c>
      <c r="BE137">
        <f t="shared" si="23"/>
        <v>9.2106684598765423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0.96542399999999995</v>
      </c>
      <c r="H138" s="21">
        <v>6.3804100000000004</v>
      </c>
      <c r="I138" s="21">
        <v>-1.3207999999999999E-2</v>
      </c>
      <c r="J138" s="21">
        <v>128</v>
      </c>
      <c r="K138" s="21">
        <v>0.96466099999999999</v>
      </c>
      <c r="L138">
        <f t="shared" si="12"/>
        <v>16.306172839506171</v>
      </c>
      <c r="M138">
        <f t="shared" si="13"/>
        <v>15.742370607407405</v>
      </c>
      <c r="N138" s="9"/>
      <c r="O138" s="21">
        <v>0.54458600000000001</v>
      </c>
      <c r="P138" s="21">
        <v>9.8169000000000004</v>
      </c>
      <c r="Q138" s="21">
        <v>-1.39404E-2</v>
      </c>
      <c r="R138" s="21">
        <v>128</v>
      </c>
      <c r="S138" s="21">
        <v>0.54385399999999995</v>
      </c>
      <c r="T138">
        <f t="shared" si="14"/>
        <v>17.21037037037037</v>
      </c>
      <c r="U138">
        <f t="shared" si="15"/>
        <v>9.3725267585185179</v>
      </c>
      <c r="X138" s="9"/>
      <c r="Y138" s="21">
        <v>0.96542399999999995</v>
      </c>
      <c r="Z138" s="21">
        <v>14.9146</v>
      </c>
      <c r="AA138" s="21">
        <v>-1.3207999999999999E-2</v>
      </c>
      <c r="AB138" s="21">
        <v>128</v>
      </c>
      <c r="AC138" s="21">
        <v>0.96466099999999999</v>
      </c>
      <c r="AD138">
        <f t="shared" si="16"/>
        <v>16.306172839506171</v>
      </c>
      <c r="AE138">
        <f t="shared" si="17"/>
        <v>15.742370607407405</v>
      </c>
      <c r="AF138" s="9"/>
      <c r="AG138" s="21">
        <v>0.54458600000000001</v>
      </c>
      <c r="AH138" s="21">
        <v>18.351099999999999</v>
      </c>
      <c r="AI138" s="21">
        <v>-1.38672E-2</v>
      </c>
      <c r="AJ138" s="21">
        <v>128</v>
      </c>
      <c r="AK138" s="21">
        <v>0.54403699999999999</v>
      </c>
      <c r="AL138">
        <f t="shared" si="18"/>
        <v>17.12</v>
      </c>
      <c r="AM138">
        <f t="shared" si="19"/>
        <v>9.3233123200000012</v>
      </c>
      <c r="AP138" s="9"/>
      <c r="AQ138" s="21">
        <v>0.96542399999999995</v>
      </c>
      <c r="AR138" s="21">
        <v>23.4938</v>
      </c>
      <c r="AS138" s="21">
        <v>-1.3162200000000001E-2</v>
      </c>
      <c r="AT138" s="21">
        <v>128</v>
      </c>
      <c r="AU138" s="21">
        <v>0.96404999999999996</v>
      </c>
      <c r="AV138">
        <f t="shared" si="20"/>
        <v>16.249629629629627</v>
      </c>
      <c r="AW138">
        <f t="shared" si="21"/>
        <v>15.687782435555553</v>
      </c>
      <c r="AX138" s="9"/>
      <c r="AY138" s="21">
        <v>0.54458600000000001</v>
      </c>
      <c r="AZ138" s="21">
        <v>26.930299999999999</v>
      </c>
      <c r="BA138" s="21">
        <v>-1.3809200000000001E-2</v>
      </c>
      <c r="BB138" s="21">
        <v>128</v>
      </c>
      <c r="BC138" s="21">
        <v>0.54394500000000001</v>
      </c>
      <c r="BD138">
        <f t="shared" si="22"/>
        <v>17.048395061728392</v>
      </c>
      <c r="BE138">
        <f t="shared" si="23"/>
        <v>9.284317273086419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0.96038800000000002</v>
      </c>
      <c r="H139" s="21">
        <v>6.3904800000000002</v>
      </c>
      <c r="I139" s="21">
        <v>-1.3229400000000001E-2</v>
      </c>
      <c r="J139" s="21">
        <v>129</v>
      </c>
      <c r="K139" s="21">
        <v>0.95947300000000002</v>
      </c>
      <c r="L139">
        <f t="shared" si="12"/>
        <v>16.332592592592594</v>
      </c>
      <c r="M139">
        <f t="shared" si="13"/>
        <v>15.685625934814816</v>
      </c>
      <c r="N139" s="9"/>
      <c r="O139" s="21">
        <v>0.54962200000000005</v>
      </c>
      <c r="P139" s="21">
        <v>9.8269699999999993</v>
      </c>
      <c r="Q139" s="21">
        <v>-1.3937400000000001E-2</v>
      </c>
      <c r="R139" s="21">
        <v>129</v>
      </c>
      <c r="S139" s="21">
        <v>0.54898100000000005</v>
      </c>
      <c r="T139">
        <f t="shared" si="14"/>
        <v>17.206666666666667</v>
      </c>
      <c r="U139">
        <f t="shared" si="15"/>
        <v>9.4571625466666678</v>
      </c>
      <c r="X139" s="9"/>
      <c r="Y139" s="21">
        <v>0.96038800000000002</v>
      </c>
      <c r="Z139" s="21">
        <v>14.9247</v>
      </c>
      <c r="AA139" s="21">
        <v>-1.32233E-2</v>
      </c>
      <c r="AB139" s="21">
        <v>129</v>
      </c>
      <c r="AC139" s="21">
        <v>0.95916699999999999</v>
      </c>
      <c r="AD139">
        <f t="shared" si="16"/>
        <v>16.32506172839506</v>
      </c>
      <c r="AE139">
        <f t="shared" si="17"/>
        <v>15.678393383209874</v>
      </c>
      <c r="AF139" s="9"/>
      <c r="AG139" s="21">
        <v>0.54962200000000005</v>
      </c>
      <c r="AH139" s="21">
        <v>18.3612</v>
      </c>
      <c r="AI139" s="21">
        <v>-1.3854999999999999E-2</v>
      </c>
      <c r="AJ139" s="21">
        <v>129</v>
      </c>
      <c r="AK139" s="21">
        <v>0.549072</v>
      </c>
      <c r="AL139">
        <f t="shared" si="18"/>
        <v>17.104938271604937</v>
      </c>
      <c r="AM139">
        <f t="shared" si="19"/>
        <v>9.4012503827160501</v>
      </c>
      <c r="AP139" s="9"/>
      <c r="AQ139" s="21">
        <v>0.96038800000000002</v>
      </c>
      <c r="AR139" s="21">
        <v>23.503900000000002</v>
      </c>
      <c r="AS139" s="21">
        <v>-1.3195800000000001E-2</v>
      </c>
      <c r="AT139" s="21">
        <v>129</v>
      </c>
      <c r="AU139" s="21">
        <v>0.95977800000000002</v>
      </c>
      <c r="AV139">
        <f t="shared" si="20"/>
        <v>16.29111111111111</v>
      </c>
      <c r="AW139">
        <f t="shared" si="21"/>
        <v>15.645787617777778</v>
      </c>
      <c r="AX139" s="9"/>
      <c r="AY139" s="21">
        <v>0.54962200000000005</v>
      </c>
      <c r="AZ139" s="21">
        <v>26.9404</v>
      </c>
      <c r="BA139" s="21">
        <v>-1.3787799999999999E-2</v>
      </c>
      <c r="BB139" s="21">
        <v>129</v>
      </c>
      <c r="BC139" s="21">
        <v>0.54901100000000003</v>
      </c>
      <c r="BD139">
        <f t="shared" si="22"/>
        <v>17.021975308641974</v>
      </c>
      <c r="BE139">
        <f t="shared" si="23"/>
        <v>9.3556521130864194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0.95535300000000001</v>
      </c>
      <c r="H140" s="21">
        <v>6.40055</v>
      </c>
      <c r="I140" s="21">
        <v>-1.32446E-2</v>
      </c>
      <c r="J140" s="21">
        <v>130</v>
      </c>
      <c r="K140" s="21">
        <v>0.95428500000000005</v>
      </c>
      <c r="L140">
        <f t="shared" ref="L140:L203" si="24">-I140/$F$2*1000</f>
        <v>16.351358024691358</v>
      </c>
      <c r="M140">
        <f t="shared" ref="M140:M203" si="25">L140*G140</f>
        <v>15.621318942962963</v>
      </c>
      <c r="N140" s="9"/>
      <c r="O140" s="21">
        <v>0.55465699999999996</v>
      </c>
      <c r="P140" s="21">
        <v>9.83704</v>
      </c>
      <c r="Q140" s="21">
        <v>-1.3937400000000001E-2</v>
      </c>
      <c r="R140" s="21">
        <v>130</v>
      </c>
      <c r="S140" s="21">
        <v>0.55395499999999998</v>
      </c>
      <c r="T140">
        <f t="shared" ref="T140:T203" si="26">-Q140/$F$2*1000</f>
        <v>17.206666666666667</v>
      </c>
      <c r="U140">
        <f t="shared" ref="U140:U203" si="27">T140*O140</f>
        <v>9.5437981133333327</v>
      </c>
      <c r="X140" s="9"/>
      <c r="Y140" s="21">
        <v>0.95535300000000001</v>
      </c>
      <c r="Z140" s="21">
        <v>14.934799999999999</v>
      </c>
      <c r="AA140" s="21">
        <v>-1.3241599999999999E-2</v>
      </c>
      <c r="AB140" s="21">
        <v>130</v>
      </c>
      <c r="AC140" s="21">
        <v>0.95428500000000005</v>
      </c>
      <c r="AD140">
        <f t="shared" ref="AD140:AD203" si="28">-AA140/$F$2*1000</f>
        <v>16.347654320987651</v>
      </c>
      <c r="AE140">
        <f t="shared" ref="AE140:AE203" si="29">AD140*Y140</f>
        <v>15.617780598518516</v>
      </c>
      <c r="AF140" s="9"/>
      <c r="AG140" s="21">
        <v>0.55465699999999996</v>
      </c>
      <c r="AH140" s="21">
        <v>18.371300000000002</v>
      </c>
      <c r="AI140" s="21">
        <v>-1.38519E-2</v>
      </c>
      <c r="AJ140" s="21">
        <v>130</v>
      </c>
      <c r="AK140" s="21">
        <v>0.55401599999999995</v>
      </c>
      <c r="AL140">
        <f t="shared" ref="AL140:AL203" si="30">-AI140/$F$2*1000</f>
        <v>17.101111111111113</v>
      </c>
      <c r="AM140">
        <f t="shared" ref="AM140:AM203" si="31">AL140*AG140</f>
        <v>9.485250985555556</v>
      </c>
      <c r="AP140" s="9"/>
      <c r="AQ140" s="21">
        <v>0.95535300000000001</v>
      </c>
      <c r="AR140" s="21">
        <v>23.513999999999999</v>
      </c>
      <c r="AS140" s="21">
        <v>-1.3214099999999999E-2</v>
      </c>
      <c r="AT140" s="21">
        <v>130</v>
      </c>
      <c r="AU140" s="21">
        <v>0.95459000000000005</v>
      </c>
      <c r="AV140">
        <f t="shared" ref="AV140:AV203" si="32">-AS140/$F$2*1000</f>
        <v>16.313703703703702</v>
      </c>
      <c r="AW140">
        <f t="shared" ref="AW140:AW203" si="33">AV140*AQ140</f>
        <v>15.585345774444443</v>
      </c>
      <c r="AX140" s="9"/>
      <c r="AY140" s="21">
        <v>0.55465699999999996</v>
      </c>
      <c r="AZ140" s="21">
        <v>26.950500000000002</v>
      </c>
      <c r="BA140" s="21">
        <v>-1.37787E-2</v>
      </c>
      <c r="BB140" s="21">
        <v>130</v>
      </c>
      <c r="BC140" s="21">
        <v>0.55404699999999996</v>
      </c>
      <c r="BD140">
        <f t="shared" ref="BD140:BD203" si="34">-BA140/$F$2*1000</f>
        <v>17.01074074074074</v>
      </c>
      <c r="BE140">
        <f t="shared" ref="BE140:BE203" si="35">BD140*AY140</f>
        <v>9.4351264270370354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0.95031699999999997</v>
      </c>
      <c r="H141" s="21">
        <v>6.4106199999999998</v>
      </c>
      <c r="I141" s="21">
        <v>-1.32721E-2</v>
      </c>
      <c r="J141" s="21">
        <v>131</v>
      </c>
      <c r="K141" s="21">
        <v>0.95001199999999997</v>
      </c>
      <c r="L141">
        <f t="shared" si="24"/>
        <v>16.385308641975307</v>
      </c>
      <c r="M141">
        <f t="shared" si="25"/>
        <v>15.571237352716047</v>
      </c>
      <c r="N141" s="9"/>
      <c r="O141" s="21">
        <v>0.55969199999999997</v>
      </c>
      <c r="P141" s="21">
        <v>9.8471100000000007</v>
      </c>
      <c r="Q141" s="21">
        <v>-1.39282E-2</v>
      </c>
      <c r="R141" s="21">
        <v>131</v>
      </c>
      <c r="S141" s="21">
        <v>0.55905199999999999</v>
      </c>
      <c r="T141">
        <f t="shared" si="26"/>
        <v>17.195308641975309</v>
      </c>
      <c r="U141">
        <f t="shared" si="27"/>
        <v>9.6240766844444448</v>
      </c>
      <c r="X141" s="9"/>
      <c r="Y141" s="21">
        <v>0.95031699999999997</v>
      </c>
      <c r="Z141" s="21">
        <v>14.944800000000001</v>
      </c>
      <c r="AA141" s="21">
        <v>-1.3250700000000001E-2</v>
      </c>
      <c r="AB141" s="21">
        <v>131</v>
      </c>
      <c r="AC141" s="21">
        <v>0.94909699999999997</v>
      </c>
      <c r="AD141">
        <f t="shared" si="28"/>
        <v>16.358888888888888</v>
      </c>
      <c r="AE141">
        <f t="shared" si="29"/>
        <v>15.546130212222222</v>
      </c>
      <c r="AF141" s="9"/>
      <c r="AG141" s="21">
        <v>0.55969199999999997</v>
      </c>
      <c r="AH141" s="21">
        <v>18.381399999999999</v>
      </c>
      <c r="AI141" s="21">
        <v>-1.38519E-2</v>
      </c>
      <c r="AJ141" s="21">
        <v>131</v>
      </c>
      <c r="AK141" s="21">
        <v>0.55914299999999995</v>
      </c>
      <c r="AL141">
        <f t="shared" si="30"/>
        <v>17.101111111111113</v>
      </c>
      <c r="AM141">
        <f t="shared" si="31"/>
        <v>9.57135508</v>
      </c>
      <c r="AP141" s="9"/>
      <c r="AQ141" s="21">
        <v>0.95031699999999997</v>
      </c>
      <c r="AR141" s="21">
        <v>23.524000000000001</v>
      </c>
      <c r="AS141" s="21">
        <v>-1.3229400000000001E-2</v>
      </c>
      <c r="AT141" s="21">
        <v>131</v>
      </c>
      <c r="AU141" s="21">
        <v>0.94909699999999997</v>
      </c>
      <c r="AV141">
        <f t="shared" si="32"/>
        <v>16.332592592592594</v>
      </c>
      <c r="AW141">
        <f t="shared" si="33"/>
        <v>15.521140394814815</v>
      </c>
      <c r="AX141" s="9"/>
      <c r="AY141" s="21">
        <v>0.55969199999999997</v>
      </c>
      <c r="AZ141" s="21">
        <v>26.9605</v>
      </c>
      <c r="BA141" s="21">
        <v>-1.3760400000000001E-2</v>
      </c>
      <c r="BB141" s="21">
        <v>131</v>
      </c>
      <c r="BC141" s="21">
        <v>0.55911299999999997</v>
      </c>
      <c r="BD141">
        <f t="shared" si="34"/>
        <v>16.988148148148149</v>
      </c>
      <c r="BE141">
        <f t="shared" si="35"/>
        <v>9.5081306133333339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0.94528199999999996</v>
      </c>
      <c r="H142" s="21">
        <v>6.4206899999999996</v>
      </c>
      <c r="I142" s="21">
        <v>-1.3296499999999999E-2</v>
      </c>
      <c r="J142" s="21">
        <v>132</v>
      </c>
      <c r="K142" s="21">
        <v>0.944214</v>
      </c>
      <c r="L142">
        <f t="shared" si="24"/>
        <v>16.415432098765429</v>
      </c>
      <c r="M142">
        <f t="shared" si="25"/>
        <v>15.517212485185182</v>
      </c>
      <c r="N142" s="9"/>
      <c r="O142" s="21">
        <v>0.56472800000000001</v>
      </c>
      <c r="P142" s="21">
        <v>9.8571899999999992</v>
      </c>
      <c r="Q142" s="21">
        <v>-1.39069E-2</v>
      </c>
      <c r="R142" s="21">
        <v>132</v>
      </c>
      <c r="S142" s="21">
        <v>0.56408700000000001</v>
      </c>
      <c r="T142">
        <f t="shared" si="26"/>
        <v>17.169012345679011</v>
      </c>
      <c r="U142">
        <f t="shared" si="27"/>
        <v>9.6958220039506173</v>
      </c>
      <c r="X142" s="9"/>
      <c r="Y142" s="21">
        <v>0.94528199999999996</v>
      </c>
      <c r="Z142" s="21">
        <v>14.9549</v>
      </c>
      <c r="AA142" s="21">
        <v>-1.32538E-2</v>
      </c>
      <c r="AB142" s="21">
        <v>132</v>
      </c>
      <c r="AC142" s="21">
        <v>0.943909</v>
      </c>
      <c r="AD142">
        <f t="shared" si="28"/>
        <v>16.362716049382716</v>
      </c>
      <c r="AE142">
        <f t="shared" si="29"/>
        <v>15.467380952592592</v>
      </c>
      <c r="AF142" s="9"/>
      <c r="AG142" s="21">
        <v>0.56472800000000001</v>
      </c>
      <c r="AH142" s="21">
        <v>18.391400000000001</v>
      </c>
      <c r="AI142" s="21">
        <v>-1.38519E-2</v>
      </c>
      <c r="AJ142" s="21">
        <v>132</v>
      </c>
      <c r="AK142" s="21">
        <v>0.56408700000000001</v>
      </c>
      <c r="AL142">
        <f t="shared" si="30"/>
        <v>17.101111111111113</v>
      </c>
      <c r="AM142">
        <f t="shared" si="31"/>
        <v>9.6574762755555561</v>
      </c>
      <c r="AP142" s="9"/>
      <c r="AQ142" s="21">
        <v>0.94528199999999996</v>
      </c>
      <c r="AR142" s="21">
        <v>23.534099999999999</v>
      </c>
      <c r="AS142" s="21">
        <v>-1.3247699999999999E-2</v>
      </c>
      <c r="AT142" s="21">
        <v>132</v>
      </c>
      <c r="AU142" s="21">
        <v>0.944519</v>
      </c>
      <c r="AV142">
        <f t="shared" si="32"/>
        <v>16.355185185185185</v>
      </c>
      <c r="AW142">
        <f t="shared" si="33"/>
        <v>15.460262162222222</v>
      </c>
      <c r="AX142" s="9"/>
      <c r="AY142" s="21">
        <v>0.56472800000000001</v>
      </c>
      <c r="AZ142" s="21">
        <v>26.970600000000001</v>
      </c>
      <c r="BA142" s="21">
        <v>-1.37421E-2</v>
      </c>
      <c r="BB142" s="21">
        <v>132</v>
      </c>
      <c r="BC142" s="21">
        <v>0.56417799999999996</v>
      </c>
      <c r="BD142">
        <f t="shared" si="34"/>
        <v>16.965555555555554</v>
      </c>
      <c r="BE142">
        <f t="shared" si="35"/>
        <v>9.5809242577777773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0.94024700000000005</v>
      </c>
      <c r="H143" s="21">
        <v>6.4307699999999999</v>
      </c>
      <c r="I143" s="21">
        <v>-1.3327E-2</v>
      </c>
      <c r="J143" s="21">
        <v>133</v>
      </c>
      <c r="K143" s="21">
        <v>0.93963600000000003</v>
      </c>
      <c r="L143">
        <f t="shared" si="24"/>
        <v>16.453086419753085</v>
      </c>
      <c r="M143">
        <f t="shared" si="25"/>
        <v>15.46996514691358</v>
      </c>
      <c r="N143" s="9"/>
      <c r="O143" s="21">
        <v>0.56976300000000002</v>
      </c>
      <c r="P143" s="21">
        <v>9.8672599999999999</v>
      </c>
      <c r="Q143" s="21">
        <v>-1.3897700000000001E-2</v>
      </c>
      <c r="R143" s="21">
        <v>133</v>
      </c>
      <c r="S143" s="21">
        <v>0.56909200000000004</v>
      </c>
      <c r="T143">
        <f t="shared" si="26"/>
        <v>17.157654320987653</v>
      </c>
      <c r="U143">
        <f t="shared" si="27"/>
        <v>9.7757965988888884</v>
      </c>
      <c r="X143" s="9"/>
      <c r="Y143" s="21">
        <v>0.94024700000000005</v>
      </c>
      <c r="Z143" s="21">
        <v>14.965</v>
      </c>
      <c r="AA143" s="21">
        <v>-1.3269E-2</v>
      </c>
      <c r="AB143" s="21">
        <v>133</v>
      </c>
      <c r="AC143" s="21">
        <v>0.93933100000000003</v>
      </c>
      <c r="AD143">
        <f t="shared" si="28"/>
        <v>16.38148148148148</v>
      </c>
      <c r="AE143">
        <f t="shared" si="29"/>
        <v>15.402638818518518</v>
      </c>
      <c r="AF143" s="9"/>
      <c r="AG143" s="21">
        <v>0.56976300000000002</v>
      </c>
      <c r="AH143" s="21">
        <v>18.401499999999999</v>
      </c>
      <c r="AI143" s="21">
        <v>-1.3842800000000001E-2</v>
      </c>
      <c r="AJ143" s="21">
        <v>133</v>
      </c>
      <c r="AK143" s="21">
        <v>0.56909200000000004</v>
      </c>
      <c r="AL143">
        <f t="shared" si="30"/>
        <v>17.089876543209876</v>
      </c>
      <c r="AM143">
        <f t="shared" si="31"/>
        <v>9.7371793288888888</v>
      </c>
      <c r="AP143" s="9"/>
      <c r="AQ143" s="21">
        <v>0.94024700000000005</v>
      </c>
      <c r="AR143" s="21">
        <v>23.5442</v>
      </c>
      <c r="AS143" s="21">
        <v>-1.32599E-2</v>
      </c>
      <c r="AT143" s="21">
        <v>133</v>
      </c>
      <c r="AU143" s="21">
        <v>0.93963600000000003</v>
      </c>
      <c r="AV143">
        <f t="shared" si="32"/>
        <v>16.370246913580246</v>
      </c>
      <c r="AW143">
        <f t="shared" si="33"/>
        <v>15.392075549753086</v>
      </c>
      <c r="AX143" s="9"/>
      <c r="AY143" s="21">
        <v>0.56976300000000002</v>
      </c>
      <c r="AZ143" s="21">
        <v>26.980699999999999</v>
      </c>
      <c r="BA143" s="21">
        <v>-1.3738999999999999E-2</v>
      </c>
      <c r="BB143" s="21">
        <v>133</v>
      </c>
      <c r="BC143" s="21">
        <v>0.569214</v>
      </c>
      <c r="BD143">
        <f t="shared" si="34"/>
        <v>16.961728395061726</v>
      </c>
      <c r="BE143">
        <f t="shared" si="35"/>
        <v>9.6641652555555542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0.93521100000000001</v>
      </c>
      <c r="H144" s="21">
        <v>6.4408399999999997</v>
      </c>
      <c r="I144" s="21">
        <v>-1.33484E-2</v>
      </c>
      <c r="J144" s="21">
        <v>134</v>
      </c>
      <c r="K144" s="21">
        <v>0.93444799999999995</v>
      </c>
      <c r="L144">
        <f t="shared" si="24"/>
        <v>16.479506172839503</v>
      </c>
      <c r="M144">
        <f t="shared" si="25"/>
        <v>15.411815447407404</v>
      </c>
      <c r="N144" s="9"/>
      <c r="O144" s="21">
        <v>0.57479899999999995</v>
      </c>
      <c r="P144" s="21">
        <v>9.8773300000000006</v>
      </c>
      <c r="Q144" s="21">
        <v>-1.38855E-2</v>
      </c>
      <c r="R144" s="21">
        <v>134</v>
      </c>
      <c r="S144" s="21">
        <v>0.57415799999999995</v>
      </c>
      <c r="T144">
        <f t="shared" si="26"/>
        <v>17.142592592592592</v>
      </c>
      <c r="U144">
        <f t="shared" si="27"/>
        <v>9.8535450796296278</v>
      </c>
      <c r="X144" s="9"/>
      <c r="Y144" s="21">
        <v>0.93521100000000001</v>
      </c>
      <c r="Z144" s="21">
        <v>14.975</v>
      </c>
      <c r="AA144" s="21">
        <v>-1.3284300000000001E-2</v>
      </c>
      <c r="AB144" s="21">
        <v>134</v>
      </c>
      <c r="AC144" s="21">
        <v>0.93414299999999995</v>
      </c>
      <c r="AD144">
        <f t="shared" si="28"/>
        <v>16.400370370370371</v>
      </c>
      <c r="AE144">
        <f t="shared" si="29"/>
        <v>15.337806774444445</v>
      </c>
      <c r="AF144" s="9"/>
      <c r="AG144" s="21">
        <v>0.57479899999999995</v>
      </c>
      <c r="AH144" s="21">
        <v>18.4116</v>
      </c>
      <c r="AI144" s="21">
        <v>-1.38245E-2</v>
      </c>
      <c r="AJ144" s="21">
        <v>134</v>
      </c>
      <c r="AK144" s="21">
        <v>0.57428000000000001</v>
      </c>
      <c r="AL144">
        <f t="shared" si="30"/>
        <v>17.067283950617281</v>
      </c>
      <c r="AM144">
        <f t="shared" si="31"/>
        <v>9.8102577475308621</v>
      </c>
      <c r="AP144" s="9"/>
      <c r="AQ144" s="21">
        <v>0.93521100000000001</v>
      </c>
      <c r="AR144" s="21">
        <v>23.554300000000001</v>
      </c>
      <c r="AS144" s="21">
        <v>-1.3269E-2</v>
      </c>
      <c r="AT144" s="21">
        <v>134</v>
      </c>
      <c r="AU144" s="21">
        <v>0.93444799999999995</v>
      </c>
      <c r="AV144">
        <f t="shared" si="32"/>
        <v>16.38148148148148</v>
      </c>
      <c r="AW144">
        <f t="shared" si="33"/>
        <v>15.320141677777777</v>
      </c>
      <c r="AX144" s="9"/>
      <c r="AY144" s="21">
        <v>0.57479899999999995</v>
      </c>
      <c r="AZ144" s="21">
        <v>26.9907</v>
      </c>
      <c r="BA144" s="21">
        <v>-1.3732899999999999E-2</v>
      </c>
      <c r="BB144" s="21">
        <v>134</v>
      </c>
      <c r="BC144" s="21">
        <v>0.57418800000000003</v>
      </c>
      <c r="BD144">
        <f t="shared" si="34"/>
        <v>16.954197530864196</v>
      </c>
      <c r="BE144">
        <f t="shared" si="35"/>
        <v>9.7452557865432077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0.930176</v>
      </c>
      <c r="H145" s="21">
        <v>6.4509100000000004</v>
      </c>
      <c r="I145" s="21">
        <v>-1.33667E-2</v>
      </c>
      <c r="J145" s="21">
        <v>135</v>
      </c>
      <c r="K145" s="21">
        <v>0.92956499999999997</v>
      </c>
      <c r="L145">
        <f t="shared" si="24"/>
        <v>16.502098765432098</v>
      </c>
      <c r="M145">
        <f t="shared" si="25"/>
        <v>15.349856221234567</v>
      </c>
      <c r="N145" s="9"/>
      <c r="O145" s="21">
        <v>0.57983399999999996</v>
      </c>
      <c r="P145" s="21">
        <v>9.8873999999999995</v>
      </c>
      <c r="Q145" s="21">
        <v>-1.38794E-2</v>
      </c>
      <c r="R145" s="21">
        <v>135</v>
      </c>
      <c r="S145" s="21">
        <v>0.57919299999999996</v>
      </c>
      <c r="T145">
        <f t="shared" si="26"/>
        <v>17.135061728395058</v>
      </c>
      <c r="U145">
        <f t="shared" si="27"/>
        <v>9.9354913822222191</v>
      </c>
      <c r="X145" s="9"/>
      <c r="Y145" s="21">
        <v>0.930176</v>
      </c>
      <c r="Z145" s="21">
        <v>14.985099999999999</v>
      </c>
      <c r="AA145" s="21">
        <v>-1.33087E-2</v>
      </c>
      <c r="AB145" s="21">
        <v>135</v>
      </c>
      <c r="AC145" s="21">
        <v>0.92864999999999998</v>
      </c>
      <c r="AD145">
        <f t="shared" si="28"/>
        <v>16.430493827160493</v>
      </c>
      <c r="AE145">
        <f t="shared" si="29"/>
        <v>15.28325102617284</v>
      </c>
      <c r="AF145" s="9"/>
      <c r="AG145" s="21">
        <v>0.57983399999999996</v>
      </c>
      <c r="AH145" s="21">
        <v>18.421600000000002</v>
      </c>
      <c r="AI145" s="21">
        <v>-1.3815300000000001E-2</v>
      </c>
      <c r="AJ145" s="21">
        <v>135</v>
      </c>
      <c r="AK145" s="21">
        <v>0.57919299999999996</v>
      </c>
      <c r="AL145">
        <f t="shared" si="30"/>
        <v>17.055925925925926</v>
      </c>
      <c r="AM145">
        <f t="shared" si="31"/>
        <v>9.889605753333333</v>
      </c>
      <c r="AP145" s="9"/>
      <c r="AQ145" s="21">
        <v>0.930176</v>
      </c>
      <c r="AR145" s="21">
        <v>23.564299999999999</v>
      </c>
      <c r="AS145" s="21">
        <v>-1.32996E-2</v>
      </c>
      <c r="AT145" s="21">
        <v>135</v>
      </c>
      <c r="AU145" s="21">
        <v>0.92925999999999997</v>
      </c>
      <c r="AV145">
        <f t="shared" si="32"/>
        <v>16.41925925925926</v>
      </c>
      <c r="AW145">
        <f t="shared" si="33"/>
        <v>15.272800900740741</v>
      </c>
      <c r="AX145" s="9"/>
      <c r="AY145" s="21">
        <v>0.57983399999999996</v>
      </c>
      <c r="AZ145" s="21">
        <v>27.000800000000002</v>
      </c>
      <c r="BA145" s="21">
        <v>-1.3732899999999999E-2</v>
      </c>
      <c r="BB145" s="21">
        <v>135</v>
      </c>
      <c r="BC145" s="21">
        <v>0.57922399999999996</v>
      </c>
      <c r="BD145">
        <f t="shared" si="34"/>
        <v>16.954197530864196</v>
      </c>
      <c r="BE145">
        <f t="shared" si="35"/>
        <v>9.830620171111109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0.92513999999999996</v>
      </c>
      <c r="H146" s="21">
        <v>6.4609800000000002</v>
      </c>
      <c r="I146" s="21">
        <v>-1.3372800000000001E-2</v>
      </c>
      <c r="J146" s="21">
        <v>136</v>
      </c>
      <c r="K146" s="21">
        <v>0.924072</v>
      </c>
      <c r="L146">
        <f t="shared" si="24"/>
        <v>16.509629629629632</v>
      </c>
      <c r="M146">
        <f t="shared" si="25"/>
        <v>15.273718755555558</v>
      </c>
      <c r="N146" s="9"/>
      <c r="O146" s="21">
        <v>0.58486899999999997</v>
      </c>
      <c r="P146" s="21">
        <v>9.8974700000000002</v>
      </c>
      <c r="Q146" s="21">
        <v>-1.38794E-2</v>
      </c>
      <c r="R146" s="21">
        <v>136</v>
      </c>
      <c r="S146" s="21">
        <v>0.58416699999999999</v>
      </c>
      <c r="T146">
        <f t="shared" si="26"/>
        <v>17.135061728395058</v>
      </c>
      <c r="U146">
        <f t="shared" si="27"/>
        <v>10.021766418024688</v>
      </c>
      <c r="X146" s="9"/>
      <c r="Y146" s="21">
        <v>0.92513999999999996</v>
      </c>
      <c r="Z146" s="21">
        <v>14.995200000000001</v>
      </c>
      <c r="AA146" s="21">
        <v>-1.3333100000000001E-2</v>
      </c>
      <c r="AB146" s="21">
        <v>136</v>
      </c>
      <c r="AC146" s="21">
        <v>0.92468300000000003</v>
      </c>
      <c r="AD146">
        <f t="shared" si="28"/>
        <v>16.460617283950615</v>
      </c>
      <c r="AE146">
        <f t="shared" si="29"/>
        <v>15.228375474074072</v>
      </c>
      <c r="AF146" s="9"/>
      <c r="AG146" s="21">
        <v>0.58486899999999997</v>
      </c>
      <c r="AH146" s="21">
        <v>18.431699999999999</v>
      </c>
      <c r="AI146" s="21">
        <v>-1.38E-2</v>
      </c>
      <c r="AJ146" s="21">
        <v>136</v>
      </c>
      <c r="AK146" s="21">
        <v>0.58441200000000004</v>
      </c>
      <c r="AL146">
        <f t="shared" si="30"/>
        <v>17.037037037037035</v>
      </c>
      <c r="AM146">
        <f t="shared" si="31"/>
        <v>9.9644348148148136</v>
      </c>
      <c r="AP146" s="9"/>
      <c r="AQ146" s="21">
        <v>0.92513999999999996</v>
      </c>
      <c r="AR146" s="21">
        <v>23.574400000000001</v>
      </c>
      <c r="AS146" s="21">
        <v>-1.3324000000000001E-2</v>
      </c>
      <c r="AT146" s="21">
        <v>136</v>
      </c>
      <c r="AU146" s="21">
        <v>0.924377</v>
      </c>
      <c r="AV146">
        <f t="shared" si="32"/>
        <v>16.449382716049382</v>
      </c>
      <c r="AW146">
        <f t="shared" si="33"/>
        <v>15.217981925925924</v>
      </c>
      <c r="AX146" s="9"/>
      <c r="AY146" s="21">
        <v>0.58486899999999997</v>
      </c>
      <c r="AZ146" s="21">
        <v>27.010899999999999</v>
      </c>
      <c r="BA146" s="21">
        <v>-1.3732899999999999E-2</v>
      </c>
      <c r="BB146" s="21">
        <v>136</v>
      </c>
      <c r="BC146" s="21">
        <v>0.58425899999999997</v>
      </c>
      <c r="BD146">
        <f t="shared" si="34"/>
        <v>16.954197530864196</v>
      </c>
      <c r="BE146">
        <f t="shared" si="35"/>
        <v>9.9159845556790103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0.92010499999999995</v>
      </c>
      <c r="H147" s="21">
        <v>6.47105</v>
      </c>
      <c r="I147" s="21">
        <v>-1.3378900000000001E-2</v>
      </c>
      <c r="J147" s="21">
        <v>137</v>
      </c>
      <c r="K147" s="21">
        <v>0.91857900000000003</v>
      </c>
      <c r="L147">
        <f t="shared" si="24"/>
        <v>16.517160493827159</v>
      </c>
      <c r="M147">
        <f t="shared" si="25"/>
        <v>15.197521956172837</v>
      </c>
      <c r="N147" s="9"/>
      <c r="O147" s="21">
        <v>0.58990500000000001</v>
      </c>
      <c r="P147" s="21">
        <v>9.9075399999999991</v>
      </c>
      <c r="Q147" s="21">
        <v>-1.38794E-2</v>
      </c>
      <c r="R147" s="21">
        <v>137</v>
      </c>
      <c r="S147" s="21">
        <v>0.58926400000000001</v>
      </c>
      <c r="T147">
        <f t="shared" si="26"/>
        <v>17.135061728395058</v>
      </c>
      <c r="U147">
        <f t="shared" si="27"/>
        <v>10.108058588888888</v>
      </c>
      <c r="X147" s="9"/>
      <c r="Y147" s="21">
        <v>0.92010499999999995</v>
      </c>
      <c r="Z147" s="21">
        <v>15.0053</v>
      </c>
      <c r="AA147" s="21">
        <v>-1.3351399999999999E-2</v>
      </c>
      <c r="AB147" s="21">
        <v>137</v>
      </c>
      <c r="AC147" s="21">
        <v>0.91949499999999995</v>
      </c>
      <c r="AD147">
        <f t="shared" si="28"/>
        <v>16.483209876543206</v>
      </c>
      <c r="AE147">
        <f t="shared" si="29"/>
        <v>15.166283823456785</v>
      </c>
      <c r="AF147" s="9"/>
      <c r="AG147" s="21">
        <v>0.58990500000000001</v>
      </c>
      <c r="AH147" s="21">
        <v>18.441800000000001</v>
      </c>
      <c r="AI147" s="21">
        <v>-1.37909E-2</v>
      </c>
      <c r="AJ147" s="21">
        <v>137</v>
      </c>
      <c r="AK147" s="21">
        <v>0.58935499999999996</v>
      </c>
      <c r="AL147">
        <f t="shared" si="30"/>
        <v>17.025802469135801</v>
      </c>
      <c r="AM147">
        <f t="shared" si="31"/>
        <v>10.043606005555555</v>
      </c>
      <c r="AP147" s="9"/>
      <c r="AQ147" s="21">
        <v>0.92010499999999995</v>
      </c>
      <c r="AR147" s="21">
        <v>23.584499999999998</v>
      </c>
      <c r="AS147" s="21">
        <v>-1.33423E-2</v>
      </c>
      <c r="AT147" s="21">
        <v>137</v>
      </c>
      <c r="AU147" s="21">
        <v>0.91979999999999995</v>
      </c>
      <c r="AV147">
        <f t="shared" si="32"/>
        <v>16.471975308641973</v>
      </c>
      <c r="AW147">
        <f t="shared" si="33"/>
        <v>15.155946841358022</v>
      </c>
      <c r="AX147" s="9"/>
      <c r="AY147" s="21">
        <v>0.58990500000000001</v>
      </c>
      <c r="AZ147" s="21">
        <v>27.021000000000001</v>
      </c>
      <c r="BA147" s="21">
        <v>-1.3736E-2</v>
      </c>
      <c r="BB147" s="21">
        <v>137</v>
      </c>
      <c r="BC147" s="21">
        <v>0.58932499999999999</v>
      </c>
      <c r="BD147">
        <f t="shared" si="34"/>
        <v>16.958024691358023</v>
      </c>
      <c r="BE147">
        <f t="shared" si="35"/>
        <v>10.003623555555555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0.91507000000000005</v>
      </c>
      <c r="H148" s="21">
        <v>6.4811199999999998</v>
      </c>
      <c r="I148" s="21">
        <v>-1.33942E-2</v>
      </c>
      <c r="J148" s="21">
        <v>138</v>
      </c>
      <c r="K148" s="21">
        <v>0.91400099999999995</v>
      </c>
      <c r="L148">
        <f t="shared" si="24"/>
        <v>16.536049382716048</v>
      </c>
      <c r="M148">
        <f t="shared" si="25"/>
        <v>15.131642708641975</v>
      </c>
      <c r="N148" s="9"/>
      <c r="O148" s="21">
        <v>0.59494000000000002</v>
      </c>
      <c r="P148" s="21">
        <v>9.9176099999999998</v>
      </c>
      <c r="Q148" s="21">
        <v>-1.38733E-2</v>
      </c>
      <c r="R148" s="21">
        <v>138</v>
      </c>
      <c r="S148" s="21">
        <v>0.59436</v>
      </c>
      <c r="T148">
        <f t="shared" si="26"/>
        <v>17.127530864197528</v>
      </c>
      <c r="U148">
        <f t="shared" si="27"/>
        <v>10.189853212345678</v>
      </c>
      <c r="X148" s="9"/>
      <c r="Y148" s="21">
        <v>0.91507000000000005</v>
      </c>
      <c r="Z148" s="21">
        <v>15.0153</v>
      </c>
      <c r="AA148" s="21">
        <v>-1.33759E-2</v>
      </c>
      <c r="AB148" s="21">
        <v>138</v>
      </c>
      <c r="AC148" s="21">
        <v>0.91430699999999998</v>
      </c>
      <c r="AD148">
        <f t="shared" si="28"/>
        <v>16.513456790123456</v>
      </c>
      <c r="AE148">
        <f t="shared" si="29"/>
        <v>15.110968904938272</v>
      </c>
      <c r="AF148" s="9"/>
      <c r="AG148" s="21">
        <v>0.59494000000000002</v>
      </c>
      <c r="AH148" s="21">
        <v>18.451899999999998</v>
      </c>
      <c r="AI148" s="21">
        <v>-1.37909E-2</v>
      </c>
      <c r="AJ148" s="21">
        <v>138</v>
      </c>
      <c r="AK148" s="21">
        <v>0.59433000000000002</v>
      </c>
      <c r="AL148">
        <f t="shared" si="30"/>
        <v>17.025802469135801</v>
      </c>
      <c r="AM148">
        <f t="shared" si="31"/>
        <v>10.129330920987654</v>
      </c>
      <c r="AP148" s="9"/>
      <c r="AQ148" s="21">
        <v>0.91507000000000005</v>
      </c>
      <c r="AR148" s="21">
        <v>23.5945</v>
      </c>
      <c r="AS148" s="21">
        <v>-1.3351399999999999E-2</v>
      </c>
      <c r="AT148" s="21">
        <v>138</v>
      </c>
      <c r="AU148" s="21">
        <v>0.91400099999999995</v>
      </c>
      <c r="AV148">
        <f t="shared" si="32"/>
        <v>16.483209876543206</v>
      </c>
      <c r="AW148">
        <f t="shared" si="33"/>
        <v>15.083290861728393</v>
      </c>
      <c r="AX148" s="9"/>
      <c r="AY148" s="21">
        <v>0.59494000000000002</v>
      </c>
      <c r="AZ148" s="21">
        <v>27.030999999999999</v>
      </c>
      <c r="BA148" s="21">
        <v>-1.3736E-2</v>
      </c>
      <c r="BB148" s="21">
        <v>138</v>
      </c>
      <c r="BC148" s="21">
        <v>0.59436</v>
      </c>
      <c r="BD148">
        <f t="shared" si="34"/>
        <v>16.958024691358023</v>
      </c>
      <c r="BE148">
        <f t="shared" si="35"/>
        <v>10.089007209876543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0.91003400000000001</v>
      </c>
      <c r="H149" s="21">
        <v>6.4911899999999996</v>
      </c>
      <c r="I149" s="21">
        <v>-1.34033E-2</v>
      </c>
      <c r="J149" s="21">
        <v>139</v>
      </c>
      <c r="K149" s="21">
        <v>0.90911900000000001</v>
      </c>
      <c r="L149">
        <f t="shared" si="24"/>
        <v>16.547283950617281</v>
      </c>
      <c r="M149">
        <f t="shared" si="25"/>
        <v>15.058591002716048</v>
      </c>
      <c r="N149" s="9"/>
      <c r="O149" s="21">
        <v>0.59997599999999995</v>
      </c>
      <c r="P149" s="21">
        <v>9.9276800000000005</v>
      </c>
      <c r="Q149" s="21">
        <v>-1.3864100000000001E-2</v>
      </c>
      <c r="R149" s="21">
        <v>139</v>
      </c>
      <c r="S149" s="21">
        <v>0.59939600000000004</v>
      </c>
      <c r="T149">
        <f t="shared" si="26"/>
        <v>17.11617283950617</v>
      </c>
      <c r="U149">
        <f t="shared" si="27"/>
        <v>10.269292915555553</v>
      </c>
      <c r="X149" s="9"/>
      <c r="Y149" s="21">
        <v>0.91003400000000001</v>
      </c>
      <c r="Z149" s="21">
        <v>15.025399999999999</v>
      </c>
      <c r="AA149" s="21">
        <v>-1.33911E-2</v>
      </c>
      <c r="AB149" s="21">
        <v>139</v>
      </c>
      <c r="AC149" s="21">
        <v>0.90850799999999998</v>
      </c>
      <c r="AD149">
        <f t="shared" si="28"/>
        <v>16.53222222222222</v>
      </c>
      <c r="AE149">
        <f t="shared" si="29"/>
        <v>15.044884317777775</v>
      </c>
      <c r="AF149" s="9"/>
      <c r="AG149" s="21">
        <v>0.59997599999999995</v>
      </c>
      <c r="AH149" s="21">
        <v>18.4619</v>
      </c>
      <c r="AI149" s="21">
        <v>-1.37787E-2</v>
      </c>
      <c r="AJ149" s="21">
        <v>139</v>
      </c>
      <c r="AK149" s="21">
        <v>0.59936500000000004</v>
      </c>
      <c r="AL149">
        <f t="shared" si="30"/>
        <v>17.01074074074074</v>
      </c>
      <c r="AM149">
        <f t="shared" si="31"/>
        <v>10.206036186666665</v>
      </c>
      <c r="AP149" s="9"/>
      <c r="AQ149" s="21">
        <v>0.91003400000000001</v>
      </c>
      <c r="AR149" s="21">
        <v>23.604600000000001</v>
      </c>
      <c r="AS149" s="21">
        <v>-1.33606E-2</v>
      </c>
      <c r="AT149" s="21">
        <v>139</v>
      </c>
      <c r="AU149" s="21">
        <v>0.90972900000000001</v>
      </c>
      <c r="AV149">
        <f t="shared" si="32"/>
        <v>16.494567901234568</v>
      </c>
      <c r="AW149">
        <f t="shared" si="33"/>
        <v>15.010617605432099</v>
      </c>
      <c r="AX149" s="9"/>
      <c r="AY149" s="21">
        <v>0.59997599999999995</v>
      </c>
      <c r="AZ149" s="21">
        <v>27.0411</v>
      </c>
      <c r="BA149" s="21">
        <v>-1.3736E-2</v>
      </c>
      <c r="BB149" s="21">
        <v>139</v>
      </c>
      <c r="BC149" s="21">
        <v>0.59948699999999999</v>
      </c>
      <c r="BD149">
        <f t="shared" si="34"/>
        <v>16.958024691358023</v>
      </c>
      <c r="BE149">
        <f t="shared" si="35"/>
        <v>10.174407822222221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0.904999</v>
      </c>
      <c r="H150" s="21">
        <v>6.5012600000000003</v>
      </c>
      <c r="I150" s="21">
        <v>-1.34308E-2</v>
      </c>
      <c r="J150" s="21">
        <v>140</v>
      </c>
      <c r="K150" s="21">
        <v>0.90454100000000004</v>
      </c>
      <c r="L150">
        <f t="shared" si="24"/>
        <v>16.581234567901234</v>
      </c>
      <c r="M150">
        <f t="shared" si="25"/>
        <v>15.006000702716049</v>
      </c>
      <c r="N150" s="9"/>
      <c r="O150" s="21">
        <v>0.60501099999999997</v>
      </c>
      <c r="P150" s="21">
        <v>9.9377499999999994</v>
      </c>
      <c r="Q150" s="21">
        <v>-1.3848900000000001E-2</v>
      </c>
      <c r="R150" s="21">
        <v>140</v>
      </c>
      <c r="S150" s="21">
        <v>0.60430899999999999</v>
      </c>
      <c r="T150">
        <f t="shared" si="26"/>
        <v>17.09740740740741</v>
      </c>
      <c r="U150">
        <f t="shared" si="27"/>
        <v>10.344119552962963</v>
      </c>
      <c r="X150" s="9"/>
      <c r="Y150" s="21">
        <v>0.904999</v>
      </c>
      <c r="Z150" s="21">
        <v>15.035500000000001</v>
      </c>
      <c r="AA150" s="21">
        <v>-1.34155E-2</v>
      </c>
      <c r="AB150" s="21">
        <v>140</v>
      </c>
      <c r="AC150" s="21">
        <v>0.90423600000000004</v>
      </c>
      <c r="AD150">
        <f t="shared" si="28"/>
        <v>16.562345679012346</v>
      </c>
      <c r="AE150">
        <f t="shared" si="29"/>
        <v>14.988906277160494</v>
      </c>
      <c r="AF150" s="9"/>
      <c r="AG150" s="21">
        <v>0.60501099999999997</v>
      </c>
      <c r="AH150" s="21">
        <v>18.472000000000001</v>
      </c>
      <c r="AI150" s="21">
        <v>-1.3775600000000001E-2</v>
      </c>
      <c r="AJ150" s="21">
        <v>140</v>
      </c>
      <c r="AK150" s="21">
        <v>0.60427900000000001</v>
      </c>
      <c r="AL150">
        <f t="shared" si="30"/>
        <v>17.006913580246916</v>
      </c>
      <c r="AM150">
        <f t="shared" si="31"/>
        <v>10.289369792098766</v>
      </c>
      <c r="AP150" s="9"/>
      <c r="AQ150" s="21">
        <v>0.904999</v>
      </c>
      <c r="AR150" s="21">
        <v>23.614699999999999</v>
      </c>
      <c r="AS150" s="21">
        <v>-1.33881E-2</v>
      </c>
      <c r="AT150" s="21">
        <v>140</v>
      </c>
      <c r="AU150" s="21">
        <v>0.90393100000000004</v>
      </c>
      <c r="AV150">
        <f t="shared" si="32"/>
        <v>16.528518518518517</v>
      </c>
      <c r="AW150">
        <f t="shared" si="33"/>
        <v>14.958292730740739</v>
      </c>
      <c r="AX150" s="9"/>
      <c r="AY150" s="21">
        <v>0.60501099999999997</v>
      </c>
      <c r="AZ150" s="21">
        <v>27.051200000000001</v>
      </c>
      <c r="BA150" s="21">
        <v>-1.3732899999999999E-2</v>
      </c>
      <c r="BB150" s="21">
        <v>140</v>
      </c>
      <c r="BC150" s="21">
        <v>0.60452300000000003</v>
      </c>
      <c r="BD150">
        <f t="shared" si="34"/>
        <v>16.954197530864196</v>
      </c>
      <c r="BE150">
        <f t="shared" si="35"/>
        <v>10.257476002345678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0.89996299999999996</v>
      </c>
      <c r="H151" s="21">
        <v>6.5113300000000001</v>
      </c>
      <c r="I151" s="21">
        <v>-1.3443E-2</v>
      </c>
      <c r="J151" s="21">
        <v>141</v>
      </c>
      <c r="K151" s="21">
        <v>0.89874299999999996</v>
      </c>
      <c r="L151">
        <f t="shared" si="24"/>
        <v>16.596296296296295</v>
      </c>
      <c r="M151">
        <f t="shared" si="25"/>
        <v>14.936052603703702</v>
      </c>
      <c r="N151" s="9"/>
      <c r="O151" s="21">
        <v>0.61004599999999998</v>
      </c>
      <c r="P151" s="21">
        <v>9.9478200000000001</v>
      </c>
      <c r="Q151" s="21">
        <v>-1.38306E-2</v>
      </c>
      <c r="R151" s="21">
        <v>141</v>
      </c>
      <c r="S151" s="21">
        <v>0.609406</v>
      </c>
      <c r="T151">
        <f t="shared" si="26"/>
        <v>17.074814814814815</v>
      </c>
      <c r="U151">
        <f t="shared" si="27"/>
        <v>10.416422478518518</v>
      </c>
      <c r="X151" s="9"/>
      <c r="Y151" s="21">
        <v>0.89996299999999996</v>
      </c>
      <c r="Z151" s="21">
        <v>15.045500000000001</v>
      </c>
      <c r="AA151" s="21">
        <v>-1.3446E-2</v>
      </c>
      <c r="AB151" s="21">
        <v>141</v>
      </c>
      <c r="AC151" s="21">
        <v>0.89904799999999996</v>
      </c>
      <c r="AD151">
        <f t="shared" si="28"/>
        <v>16.599999999999998</v>
      </c>
      <c r="AE151">
        <f t="shared" si="29"/>
        <v>14.939385799999997</v>
      </c>
      <c r="AF151" s="9"/>
      <c r="AG151" s="21">
        <v>0.61004599999999998</v>
      </c>
      <c r="AH151" s="21">
        <v>18.482099999999999</v>
      </c>
      <c r="AI151" s="21">
        <v>-1.3772599999999999E-2</v>
      </c>
      <c r="AJ151" s="21">
        <v>141</v>
      </c>
      <c r="AK151" s="21">
        <v>0.60946699999999998</v>
      </c>
      <c r="AL151">
        <f t="shared" si="30"/>
        <v>17.00320987654321</v>
      </c>
      <c r="AM151">
        <f t="shared" si="31"/>
        <v>10.372740172345678</v>
      </c>
      <c r="AP151" s="9"/>
      <c r="AQ151" s="21">
        <v>0.89996299999999996</v>
      </c>
      <c r="AR151" s="21">
        <v>23.624700000000001</v>
      </c>
      <c r="AS151" s="21">
        <v>-1.34033E-2</v>
      </c>
      <c r="AT151" s="21">
        <v>141</v>
      </c>
      <c r="AU151" s="21">
        <v>0.89965799999999996</v>
      </c>
      <c r="AV151">
        <f t="shared" si="32"/>
        <v>16.547283950617281</v>
      </c>
      <c r="AW151">
        <f t="shared" si="33"/>
        <v>14.891943306049379</v>
      </c>
      <c r="AX151" s="9"/>
      <c r="AY151" s="21">
        <v>0.61004599999999998</v>
      </c>
      <c r="AZ151" s="21">
        <v>27.061199999999999</v>
      </c>
      <c r="BA151" s="21">
        <v>-1.37238E-2</v>
      </c>
      <c r="BB151" s="21">
        <v>141</v>
      </c>
      <c r="BC151" s="21">
        <v>0.60949699999999996</v>
      </c>
      <c r="BD151">
        <f t="shared" si="34"/>
        <v>16.942962962962962</v>
      </c>
      <c r="BE151">
        <f t="shared" si="35"/>
        <v>10.335986783703703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0.89492799999999995</v>
      </c>
      <c r="H152" s="21">
        <v>6.5213999999999999</v>
      </c>
      <c r="I152" s="21">
        <v>-1.34644E-2</v>
      </c>
      <c r="J152" s="21">
        <v>142</v>
      </c>
      <c r="K152" s="21">
        <v>0.89416499999999999</v>
      </c>
      <c r="L152">
        <f t="shared" si="24"/>
        <v>16.622716049382717</v>
      </c>
      <c r="M152">
        <f t="shared" si="25"/>
        <v>14.876134028641975</v>
      </c>
      <c r="N152" s="9"/>
      <c r="O152" s="21">
        <v>0.61508200000000002</v>
      </c>
      <c r="P152" s="21">
        <v>9.9579000000000004</v>
      </c>
      <c r="Q152" s="21">
        <v>-1.3821399999999999E-2</v>
      </c>
      <c r="R152" s="21">
        <v>142</v>
      </c>
      <c r="S152" s="21">
        <v>0.61444100000000001</v>
      </c>
      <c r="T152">
        <f t="shared" si="26"/>
        <v>17.063456790123453</v>
      </c>
      <c r="U152">
        <f t="shared" si="27"/>
        <v>10.495425129382713</v>
      </c>
      <c r="X152" s="9"/>
      <c r="Y152" s="21">
        <v>0.89492799999999995</v>
      </c>
      <c r="Z152" s="21">
        <v>15.0556</v>
      </c>
      <c r="AA152" s="21">
        <v>-1.34705E-2</v>
      </c>
      <c r="AB152" s="21">
        <v>142</v>
      </c>
      <c r="AC152" s="21">
        <v>0.89355499999999999</v>
      </c>
      <c r="AD152">
        <f t="shared" si="28"/>
        <v>16.630246913580244</v>
      </c>
      <c r="AE152">
        <f t="shared" si="29"/>
        <v>14.88287360987654</v>
      </c>
      <c r="AF152" s="9"/>
      <c r="AG152" s="21">
        <v>0.61508200000000002</v>
      </c>
      <c r="AH152" s="21">
        <v>18.492100000000001</v>
      </c>
      <c r="AI152" s="21">
        <v>-1.3772599999999999E-2</v>
      </c>
      <c r="AJ152" s="21">
        <v>142</v>
      </c>
      <c r="AK152" s="21">
        <v>0.61444100000000001</v>
      </c>
      <c r="AL152">
        <f t="shared" si="30"/>
        <v>17.00320987654321</v>
      </c>
      <c r="AM152">
        <f t="shared" si="31"/>
        <v>10.45836833728395</v>
      </c>
      <c r="AP152" s="9"/>
      <c r="AQ152" s="21">
        <v>0.89492799999999995</v>
      </c>
      <c r="AR152" s="21">
        <v>23.634799999999998</v>
      </c>
      <c r="AS152" s="21">
        <v>-1.3418599999999999E-2</v>
      </c>
      <c r="AT152" s="21">
        <v>142</v>
      </c>
      <c r="AU152" s="21">
        <v>0.89385999999999999</v>
      </c>
      <c r="AV152">
        <f t="shared" si="32"/>
        <v>16.566172839506169</v>
      </c>
      <c r="AW152">
        <f t="shared" si="33"/>
        <v>14.825531926913577</v>
      </c>
      <c r="AX152" s="9"/>
      <c r="AY152" s="21">
        <v>0.61508200000000002</v>
      </c>
      <c r="AZ152" s="21">
        <v>27.071300000000001</v>
      </c>
      <c r="BA152" s="21">
        <v>-1.37054E-2</v>
      </c>
      <c r="BB152" s="21">
        <v>142</v>
      </c>
      <c r="BC152" s="21">
        <v>0.61441000000000001</v>
      </c>
      <c r="BD152">
        <f t="shared" si="34"/>
        <v>16.920246913580247</v>
      </c>
      <c r="BE152">
        <f t="shared" si="35"/>
        <v>10.407339312098765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0.88989300000000005</v>
      </c>
      <c r="H153" s="21">
        <v>6.5314800000000002</v>
      </c>
      <c r="I153" s="21">
        <v>-1.34857E-2</v>
      </c>
      <c r="J153" s="21">
        <v>143</v>
      </c>
      <c r="K153" s="21">
        <v>0.88897700000000002</v>
      </c>
      <c r="L153">
        <f t="shared" si="24"/>
        <v>16.649012345679012</v>
      </c>
      <c r="M153">
        <f t="shared" si="25"/>
        <v>14.815839543333333</v>
      </c>
      <c r="N153" s="9"/>
      <c r="O153" s="21">
        <v>0.62011700000000003</v>
      </c>
      <c r="P153" s="21">
        <v>9.9679699999999993</v>
      </c>
      <c r="Q153" s="21">
        <v>-1.3821399999999999E-2</v>
      </c>
      <c r="R153" s="21">
        <v>143</v>
      </c>
      <c r="S153" s="21">
        <v>0.61938499999999996</v>
      </c>
      <c r="T153">
        <f t="shared" si="26"/>
        <v>17.063456790123453</v>
      </c>
      <c r="U153">
        <f t="shared" si="27"/>
        <v>10.581339634320987</v>
      </c>
      <c r="X153" s="9"/>
      <c r="Y153" s="21">
        <v>0.88989300000000005</v>
      </c>
      <c r="Z153" s="21">
        <v>15.0657</v>
      </c>
      <c r="AA153" s="21">
        <v>-1.34857E-2</v>
      </c>
      <c r="AB153" s="21">
        <v>143</v>
      </c>
      <c r="AC153" s="21">
        <v>0.88897700000000002</v>
      </c>
      <c r="AD153">
        <f t="shared" si="28"/>
        <v>16.649012345679012</v>
      </c>
      <c r="AE153">
        <f t="shared" si="29"/>
        <v>14.815839543333333</v>
      </c>
      <c r="AF153" s="9"/>
      <c r="AG153" s="21">
        <v>0.62011700000000003</v>
      </c>
      <c r="AH153" s="21">
        <v>18.502199999999998</v>
      </c>
      <c r="AI153" s="21">
        <v>-1.3772599999999999E-2</v>
      </c>
      <c r="AJ153" s="21">
        <v>143</v>
      </c>
      <c r="AK153" s="21">
        <v>0.61959799999999998</v>
      </c>
      <c r="AL153">
        <f t="shared" si="30"/>
        <v>17.00320987654321</v>
      </c>
      <c r="AM153">
        <f t="shared" si="31"/>
        <v>10.543979499012346</v>
      </c>
      <c r="AP153" s="9"/>
      <c r="AQ153" s="21">
        <v>0.88989300000000005</v>
      </c>
      <c r="AR153" s="21">
        <v>23.6449</v>
      </c>
      <c r="AS153" s="21">
        <v>-1.34369E-2</v>
      </c>
      <c r="AT153" s="21">
        <v>143</v>
      </c>
      <c r="AU153" s="21">
        <v>0.88958700000000002</v>
      </c>
      <c r="AV153">
        <f t="shared" si="32"/>
        <v>16.588765432098764</v>
      </c>
      <c r="AW153">
        <f t="shared" si="33"/>
        <v>14.762226236666667</v>
      </c>
      <c r="AX153" s="9"/>
      <c r="AY153" s="21">
        <v>0.62011700000000003</v>
      </c>
      <c r="AZ153" s="21">
        <v>27.081399999999999</v>
      </c>
      <c r="BA153" s="21">
        <v>-1.36902E-2</v>
      </c>
      <c r="BB153" s="21">
        <v>143</v>
      </c>
      <c r="BC153" s="21">
        <v>0.61944600000000005</v>
      </c>
      <c r="BD153">
        <f t="shared" si="34"/>
        <v>16.901481481481479</v>
      </c>
      <c r="BE153">
        <f t="shared" si="35"/>
        <v>10.480895991851851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0.884857</v>
      </c>
      <c r="H154" s="21">
        <v>6.54155</v>
      </c>
      <c r="I154" s="21">
        <v>-1.34888E-2</v>
      </c>
      <c r="J154" s="21">
        <v>144</v>
      </c>
      <c r="K154" s="21">
        <v>0.88378900000000005</v>
      </c>
      <c r="L154">
        <f t="shared" si="24"/>
        <v>16.652839506172839</v>
      </c>
      <c r="M154">
        <f t="shared" si="25"/>
        <v>14.735381606913579</v>
      </c>
      <c r="N154" s="9"/>
      <c r="O154" s="21">
        <v>0.62515299999999996</v>
      </c>
      <c r="P154" s="21">
        <v>9.97804</v>
      </c>
      <c r="Q154" s="21">
        <v>-1.3815300000000001E-2</v>
      </c>
      <c r="R154" s="21">
        <v>144</v>
      </c>
      <c r="S154" s="21">
        <v>0.62451199999999996</v>
      </c>
      <c r="T154">
        <f t="shared" si="26"/>
        <v>17.055925925925926</v>
      </c>
      <c r="U154">
        <f t="shared" si="27"/>
        <v>10.662563260370369</v>
      </c>
      <c r="X154" s="9"/>
      <c r="Y154" s="21">
        <v>0.884857</v>
      </c>
      <c r="Z154" s="21">
        <v>15.075799999999999</v>
      </c>
      <c r="AA154" s="21">
        <v>-1.3504E-2</v>
      </c>
      <c r="AB154" s="21">
        <v>144</v>
      </c>
      <c r="AC154" s="21">
        <v>0.88317900000000005</v>
      </c>
      <c r="AD154">
        <f t="shared" si="28"/>
        <v>16.671604938271606</v>
      </c>
      <c r="AE154">
        <f t="shared" si="29"/>
        <v>14.751986330864199</v>
      </c>
      <c r="AF154" s="9"/>
      <c r="AG154" s="21">
        <v>0.62515299999999996</v>
      </c>
      <c r="AH154" s="21">
        <v>18.5123</v>
      </c>
      <c r="AI154" s="21">
        <v>-1.3775600000000001E-2</v>
      </c>
      <c r="AJ154" s="21">
        <v>144</v>
      </c>
      <c r="AK154" s="21">
        <v>0.62454200000000004</v>
      </c>
      <c r="AL154">
        <f t="shared" si="30"/>
        <v>17.006913580246916</v>
      </c>
      <c r="AM154">
        <f t="shared" si="31"/>
        <v>10.631923045432099</v>
      </c>
      <c r="AP154" s="9"/>
      <c r="AQ154" s="21">
        <v>0.884857</v>
      </c>
      <c r="AR154" s="21">
        <v>23.655000000000001</v>
      </c>
      <c r="AS154" s="21">
        <v>-1.3446E-2</v>
      </c>
      <c r="AT154" s="21">
        <v>144</v>
      </c>
      <c r="AU154" s="21">
        <v>0.88378900000000005</v>
      </c>
      <c r="AV154">
        <f t="shared" si="32"/>
        <v>16.599999999999998</v>
      </c>
      <c r="AW154">
        <f t="shared" si="33"/>
        <v>14.688626199999998</v>
      </c>
      <c r="AX154" s="9"/>
      <c r="AY154" s="21">
        <v>0.62515299999999996</v>
      </c>
      <c r="AZ154" s="21">
        <v>27.0915</v>
      </c>
      <c r="BA154" s="21">
        <v>-1.3671900000000001E-2</v>
      </c>
      <c r="BB154" s="21">
        <v>144</v>
      </c>
      <c r="BC154" s="21">
        <v>0.624664</v>
      </c>
      <c r="BD154">
        <f t="shared" si="34"/>
        <v>16.878888888888888</v>
      </c>
      <c r="BE154">
        <f t="shared" si="35"/>
        <v>10.551888025555554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0.87982199999999999</v>
      </c>
      <c r="H155" s="21">
        <v>6.5516199999999998</v>
      </c>
      <c r="I155" s="21">
        <v>-1.3494900000000001E-2</v>
      </c>
      <c r="J155" s="21">
        <v>145</v>
      </c>
      <c r="K155" s="21">
        <v>0.87829599999999997</v>
      </c>
      <c r="L155">
        <f t="shared" si="24"/>
        <v>16.660370370370369</v>
      </c>
      <c r="M155">
        <f t="shared" si="25"/>
        <v>14.658160379999998</v>
      </c>
      <c r="N155" s="9"/>
      <c r="O155" s="21">
        <v>0.63018799999999997</v>
      </c>
      <c r="P155" s="21">
        <v>9.9881100000000007</v>
      </c>
      <c r="Q155" s="21">
        <v>-1.3815300000000001E-2</v>
      </c>
      <c r="R155" s="21">
        <v>145</v>
      </c>
      <c r="S155" s="21">
        <v>0.62960799999999995</v>
      </c>
      <c r="T155">
        <f t="shared" si="26"/>
        <v>17.055925925925926</v>
      </c>
      <c r="U155">
        <f t="shared" si="27"/>
        <v>10.748439847407408</v>
      </c>
      <c r="X155" s="9"/>
      <c r="Y155" s="21">
        <v>0.87982199999999999</v>
      </c>
      <c r="Z155" s="21">
        <v>15.085800000000001</v>
      </c>
      <c r="AA155" s="21">
        <v>-1.35254E-2</v>
      </c>
      <c r="AB155" s="21">
        <v>145</v>
      </c>
      <c r="AC155" s="21">
        <v>0.87860099999999997</v>
      </c>
      <c r="AD155">
        <f t="shared" si="28"/>
        <v>16.698024691358025</v>
      </c>
      <c r="AE155">
        <f t="shared" si="29"/>
        <v>14.69128948</v>
      </c>
      <c r="AF155" s="9"/>
      <c r="AG155" s="21">
        <v>0.63018799999999997</v>
      </c>
      <c r="AH155" s="21">
        <v>18.522400000000001</v>
      </c>
      <c r="AI155" s="21">
        <v>-1.3772599999999999E-2</v>
      </c>
      <c r="AJ155" s="21">
        <v>145</v>
      </c>
      <c r="AK155" s="21">
        <v>0.62960799999999995</v>
      </c>
      <c r="AL155">
        <f t="shared" si="30"/>
        <v>17.00320987654321</v>
      </c>
      <c r="AM155">
        <f t="shared" si="31"/>
        <v>10.715218825679012</v>
      </c>
      <c r="AP155" s="9"/>
      <c r="AQ155" s="21">
        <v>0.87982199999999999</v>
      </c>
      <c r="AR155" s="21">
        <v>23.664999999999999</v>
      </c>
      <c r="AS155" s="21">
        <v>-1.3461300000000001E-2</v>
      </c>
      <c r="AT155" s="21">
        <v>145</v>
      </c>
      <c r="AU155" s="21">
        <v>0.87921099999999996</v>
      </c>
      <c r="AV155">
        <f t="shared" si="32"/>
        <v>16.618888888888886</v>
      </c>
      <c r="AW155">
        <f t="shared" si="33"/>
        <v>14.621664059999997</v>
      </c>
      <c r="AX155" s="9"/>
      <c r="AY155" s="21">
        <v>0.63018799999999997</v>
      </c>
      <c r="AZ155" s="21">
        <v>27.101500000000001</v>
      </c>
      <c r="BA155" s="21">
        <v>-1.36688E-2</v>
      </c>
      <c r="BB155" s="21">
        <v>145</v>
      </c>
      <c r="BC155" s="21">
        <v>0.62957799999999997</v>
      </c>
      <c r="BD155">
        <f t="shared" si="34"/>
        <v>16.87506172839506</v>
      </c>
      <c r="BE155">
        <f t="shared" si="35"/>
        <v>10.634461400493826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0.87478599999999995</v>
      </c>
      <c r="H156" s="21">
        <v>6.5616899999999996</v>
      </c>
      <c r="I156" s="21">
        <v>-1.3507099999999999E-2</v>
      </c>
      <c r="J156" s="21">
        <v>146</v>
      </c>
      <c r="K156" s="21">
        <v>0.87371799999999999</v>
      </c>
      <c r="L156">
        <f t="shared" si="24"/>
        <v>16.67543209876543</v>
      </c>
      <c r="M156">
        <f t="shared" si="25"/>
        <v>14.587434543950614</v>
      </c>
      <c r="N156" s="9"/>
      <c r="O156" s="21">
        <v>0.63522299999999998</v>
      </c>
      <c r="P156" s="21">
        <v>9.9981799999999996</v>
      </c>
      <c r="Q156" s="21">
        <v>-1.3806199999999999E-2</v>
      </c>
      <c r="R156" s="21">
        <v>146</v>
      </c>
      <c r="S156" s="21">
        <v>0.63458300000000001</v>
      </c>
      <c r="T156">
        <f t="shared" si="26"/>
        <v>17.044691358024689</v>
      </c>
      <c r="U156">
        <f t="shared" si="27"/>
        <v>10.827179978518517</v>
      </c>
      <c r="X156" s="9"/>
      <c r="Y156" s="21">
        <v>0.87478599999999995</v>
      </c>
      <c r="Z156" s="21">
        <v>15.0959</v>
      </c>
      <c r="AA156" s="21">
        <v>-1.3528399999999999E-2</v>
      </c>
      <c r="AB156" s="21">
        <v>146</v>
      </c>
      <c r="AC156" s="21">
        <v>0.87371799999999999</v>
      </c>
      <c r="AD156">
        <f t="shared" si="28"/>
        <v>16.701728395061725</v>
      </c>
      <c r="AE156">
        <f t="shared" si="29"/>
        <v>14.610438175802464</v>
      </c>
      <c r="AF156" s="9"/>
      <c r="AG156" s="21">
        <v>0.63522299999999998</v>
      </c>
      <c r="AH156" s="21">
        <v>18.532399999999999</v>
      </c>
      <c r="AI156" s="21">
        <v>-1.37634E-2</v>
      </c>
      <c r="AJ156" s="21">
        <v>146</v>
      </c>
      <c r="AK156" s="21">
        <v>0.63461299999999998</v>
      </c>
      <c r="AL156">
        <f t="shared" si="30"/>
        <v>16.991851851851852</v>
      </c>
      <c r="AM156">
        <f t="shared" si="31"/>
        <v>10.793615108888888</v>
      </c>
      <c r="AP156" s="9"/>
      <c r="AQ156" s="21">
        <v>0.87478599999999995</v>
      </c>
      <c r="AR156" s="21">
        <v>23.6751</v>
      </c>
      <c r="AS156" s="21">
        <v>-1.34766E-2</v>
      </c>
      <c r="AT156" s="21">
        <v>146</v>
      </c>
      <c r="AU156" s="21">
        <v>0.87402299999999999</v>
      </c>
      <c r="AV156">
        <f t="shared" si="32"/>
        <v>16.637777777777774</v>
      </c>
      <c r="AW156">
        <f t="shared" si="33"/>
        <v>14.554495071111107</v>
      </c>
      <c r="AX156" s="9"/>
      <c r="AY156" s="21">
        <v>0.63522299999999998</v>
      </c>
      <c r="AZ156" s="21">
        <v>27.111599999999999</v>
      </c>
      <c r="BA156" s="21">
        <v>-1.3665800000000001E-2</v>
      </c>
      <c r="BB156" s="21">
        <v>146</v>
      </c>
      <c r="BC156" s="21">
        <v>0.63461299999999998</v>
      </c>
      <c r="BD156">
        <f t="shared" si="34"/>
        <v>16.871358024691357</v>
      </c>
      <c r="BE156">
        <f t="shared" si="35"/>
        <v>10.717074658518518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0.86975100000000005</v>
      </c>
      <c r="H157" s="21">
        <v>6.5717600000000003</v>
      </c>
      <c r="I157" s="21">
        <v>-1.3522299999999999E-2</v>
      </c>
      <c r="J157" s="21">
        <v>147</v>
      </c>
      <c r="K157" s="21">
        <v>0.86853000000000002</v>
      </c>
      <c r="L157">
        <f t="shared" si="24"/>
        <v>16.694197530864194</v>
      </c>
      <c r="M157">
        <f t="shared" si="25"/>
        <v>14.519794996666665</v>
      </c>
      <c r="N157" s="9"/>
      <c r="O157" s="21">
        <v>0.64025900000000002</v>
      </c>
      <c r="P157" s="21">
        <v>10.0083</v>
      </c>
      <c r="Q157" s="21">
        <v>-1.3809200000000001E-2</v>
      </c>
      <c r="R157" s="21">
        <v>147</v>
      </c>
      <c r="S157" s="21">
        <v>0.63958700000000002</v>
      </c>
      <c r="T157">
        <f t="shared" si="26"/>
        <v>17.048395061728392</v>
      </c>
      <c r="U157">
        <f t="shared" si="27"/>
        <v>10.91538837382716</v>
      </c>
      <c r="X157" s="9"/>
      <c r="Y157" s="21">
        <v>0.86975100000000005</v>
      </c>
      <c r="Z157" s="21">
        <v>15.106</v>
      </c>
      <c r="AA157" s="21">
        <v>-1.35376E-2</v>
      </c>
      <c r="AB157" s="21">
        <v>147</v>
      </c>
      <c r="AC157" s="21">
        <v>0.86914100000000005</v>
      </c>
      <c r="AD157">
        <f t="shared" si="28"/>
        <v>16.713086419753086</v>
      </c>
      <c r="AE157">
        <f t="shared" si="29"/>
        <v>14.536223626666667</v>
      </c>
      <c r="AF157" s="9"/>
      <c r="AG157" s="21">
        <v>0.64025900000000002</v>
      </c>
      <c r="AH157" s="21">
        <v>18.5425</v>
      </c>
      <c r="AI157" s="21">
        <v>-1.3754300000000001E-2</v>
      </c>
      <c r="AJ157" s="21">
        <v>147</v>
      </c>
      <c r="AK157" s="21">
        <v>0.63970899999999997</v>
      </c>
      <c r="AL157">
        <f t="shared" si="30"/>
        <v>16.980617283950615</v>
      </c>
      <c r="AM157">
        <f t="shared" si="31"/>
        <v>10.871993041604936</v>
      </c>
      <c r="AP157" s="9"/>
      <c r="AQ157" s="21">
        <v>0.86975100000000005</v>
      </c>
      <c r="AR157" s="21">
        <v>23.685199999999998</v>
      </c>
      <c r="AS157" s="21">
        <v>-1.34827E-2</v>
      </c>
      <c r="AT157" s="21">
        <v>147</v>
      </c>
      <c r="AU157" s="21">
        <v>0.86853000000000002</v>
      </c>
      <c r="AV157">
        <f t="shared" si="32"/>
        <v>16.645308641975308</v>
      </c>
      <c r="AW157">
        <f t="shared" si="33"/>
        <v>14.477273836666667</v>
      </c>
      <c r="AX157" s="9"/>
      <c r="AY157" s="21">
        <v>0.64025900000000002</v>
      </c>
      <c r="AZ157" s="21">
        <v>27.121700000000001</v>
      </c>
      <c r="BA157" s="21">
        <v>-1.3665800000000001E-2</v>
      </c>
      <c r="BB157" s="21">
        <v>147</v>
      </c>
      <c r="BC157" s="21">
        <v>0.639679</v>
      </c>
      <c r="BD157">
        <f t="shared" si="34"/>
        <v>16.871358024691357</v>
      </c>
      <c r="BE157">
        <f t="shared" si="35"/>
        <v>10.802038817530864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0.86471600000000004</v>
      </c>
      <c r="H158" s="21">
        <v>6.5818300000000001</v>
      </c>
      <c r="I158" s="21">
        <v>-1.35376E-2</v>
      </c>
      <c r="J158" s="21">
        <v>148</v>
      </c>
      <c r="K158" s="21">
        <v>0.86334200000000005</v>
      </c>
      <c r="L158">
        <f t="shared" si="24"/>
        <v>16.713086419753086</v>
      </c>
      <c r="M158">
        <f t="shared" si="25"/>
        <v>14.45207323654321</v>
      </c>
      <c r="N158" s="9"/>
      <c r="O158" s="21">
        <v>0.64529400000000003</v>
      </c>
      <c r="P158" s="21">
        <v>10.0183</v>
      </c>
      <c r="Q158" s="21">
        <v>-1.3806199999999999E-2</v>
      </c>
      <c r="R158" s="21">
        <v>148</v>
      </c>
      <c r="S158" s="21">
        <v>0.64465300000000003</v>
      </c>
      <c r="T158">
        <f t="shared" si="26"/>
        <v>17.044691358024689</v>
      </c>
      <c r="U158">
        <f t="shared" si="27"/>
        <v>10.998837065185185</v>
      </c>
      <c r="X158" s="9"/>
      <c r="Y158" s="21">
        <v>0.86471600000000004</v>
      </c>
      <c r="Z158" s="21">
        <v>15.116</v>
      </c>
      <c r="AA158" s="21">
        <v>-1.3559E-2</v>
      </c>
      <c r="AB158" s="21">
        <v>148</v>
      </c>
      <c r="AC158" s="21">
        <v>0.86364700000000005</v>
      </c>
      <c r="AD158">
        <f t="shared" si="28"/>
        <v>16.739506172839505</v>
      </c>
      <c r="AE158">
        <f t="shared" si="29"/>
        <v>14.474918819753086</v>
      </c>
      <c r="AF158" s="9"/>
      <c r="AG158" s="21">
        <v>0.64529400000000003</v>
      </c>
      <c r="AH158" s="21">
        <v>18.552600000000002</v>
      </c>
      <c r="AI158" s="21">
        <v>-1.3738999999999999E-2</v>
      </c>
      <c r="AJ158" s="21">
        <v>148</v>
      </c>
      <c r="AK158" s="21">
        <v>0.64471400000000001</v>
      </c>
      <c r="AL158">
        <f t="shared" si="30"/>
        <v>16.961728395061726</v>
      </c>
      <c r="AM158">
        <f t="shared" si="31"/>
        <v>10.945301562962962</v>
      </c>
      <c r="AP158" s="9"/>
      <c r="AQ158" s="21">
        <v>0.86471600000000004</v>
      </c>
      <c r="AR158" s="21">
        <v>23.6952</v>
      </c>
      <c r="AS158" s="21">
        <v>-1.34857E-2</v>
      </c>
      <c r="AT158" s="21">
        <v>148</v>
      </c>
      <c r="AU158" s="21">
        <v>0.86364700000000005</v>
      </c>
      <c r="AV158">
        <f t="shared" si="32"/>
        <v>16.649012345679012</v>
      </c>
      <c r="AW158">
        <f t="shared" si="33"/>
        <v>14.396667359506173</v>
      </c>
      <c r="AX158" s="9"/>
      <c r="AY158" s="21">
        <v>0.64529400000000003</v>
      </c>
      <c r="AZ158" s="21">
        <v>27.131699999999999</v>
      </c>
      <c r="BA158" s="21">
        <v>-1.36536E-2</v>
      </c>
      <c r="BB158" s="21">
        <v>148</v>
      </c>
      <c r="BC158" s="21">
        <v>0.64471400000000001</v>
      </c>
      <c r="BD158">
        <f t="shared" si="34"/>
        <v>16.856296296296296</v>
      </c>
      <c r="BE158">
        <f t="shared" si="35"/>
        <v>10.877266862222223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0.85968</v>
      </c>
      <c r="H159" s="21">
        <v>6.5918999999999999</v>
      </c>
      <c r="I159" s="21">
        <v>-1.35529E-2</v>
      </c>
      <c r="J159" s="21">
        <v>149</v>
      </c>
      <c r="K159" s="21">
        <v>0.858765</v>
      </c>
      <c r="L159">
        <f t="shared" si="24"/>
        <v>16.731975308641974</v>
      </c>
      <c r="M159">
        <f t="shared" si="25"/>
        <v>14.384144533333332</v>
      </c>
      <c r="N159" s="9"/>
      <c r="O159" s="21">
        <v>0.65032999999999996</v>
      </c>
      <c r="P159" s="21">
        <v>10.0284</v>
      </c>
      <c r="Q159" s="21">
        <v>-1.3797E-2</v>
      </c>
      <c r="R159" s="21">
        <v>149</v>
      </c>
      <c r="S159" s="21">
        <v>0.64971900000000005</v>
      </c>
      <c r="T159">
        <f t="shared" si="26"/>
        <v>17.033333333333331</v>
      </c>
      <c r="U159">
        <f t="shared" si="27"/>
        <v>11.077287666666665</v>
      </c>
      <c r="X159" s="9"/>
      <c r="Y159" s="21">
        <v>0.85968</v>
      </c>
      <c r="Z159" s="21">
        <v>15.126099999999999</v>
      </c>
      <c r="AA159" s="21">
        <v>-1.35803E-2</v>
      </c>
      <c r="AB159" s="21">
        <v>149</v>
      </c>
      <c r="AC159" s="21">
        <v>0.858765</v>
      </c>
      <c r="AD159">
        <f t="shared" si="28"/>
        <v>16.765802469135803</v>
      </c>
      <c r="AE159">
        <f t="shared" si="29"/>
        <v>14.413225066666667</v>
      </c>
      <c r="AF159" s="9"/>
      <c r="AG159" s="21">
        <v>0.65032999999999996</v>
      </c>
      <c r="AH159" s="21">
        <v>18.5626</v>
      </c>
      <c r="AI159" s="21">
        <v>-1.37299E-2</v>
      </c>
      <c r="AJ159" s="21">
        <v>149</v>
      </c>
      <c r="AK159" s="21">
        <v>0.64968899999999996</v>
      </c>
      <c r="AL159">
        <f t="shared" si="30"/>
        <v>16.950493827160493</v>
      </c>
      <c r="AM159">
        <f t="shared" si="31"/>
        <v>11.023414650617283</v>
      </c>
      <c r="AP159" s="9"/>
      <c r="AQ159" s="21">
        <v>0.85968</v>
      </c>
      <c r="AR159" s="21">
        <v>23.705300000000001</v>
      </c>
      <c r="AS159" s="21">
        <v>-1.34888E-2</v>
      </c>
      <c r="AT159" s="21">
        <v>149</v>
      </c>
      <c r="AU159" s="21">
        <v>0.859375</v>
      </c>
      <c r="AV159">
        <f t="shared" si="32"/>
        <v>16.652839506172839</v>
      </c>
      <c r="AW159">
        <f t="shared" si="33"/>
        <v>14.316113066666666</v>
      </c>
      <c r="AX159" s="9"/>
      <c r="AY159" s="21">
        <v>0.65032999999999996</v>
      </c>
      <c r="AZ159" s="21">
        <v>27.1418</v>
      </c>
      <c r="BA159" s="21">
        <v>-1.36414E-2</v>
      </c>
      <c r="BB159" s="21">
        <v>149</v>
      </c>
      <c r="BC159" s="21">
        <v>0.64975000000000005</v>
      </c>
      <c r="BD159">
        <f t="shared" si="34"/>
        <v>16.841234567901232</v>
      </c>
      <c r="BE159">
        <f t="shared" si="35"/>
        <v>10.952360076543208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0.85464499999999999</v>
      </c>
      <c r="H160" s="21">
        <v>6.6019699999999997</v>
      </c>
      <c r="I160" s="21">
        <v>-1.35712E-2</v>
      </c>
      <c r="J160" s="21">
        <v>150</v>
      </c>
      <c r="K160" s="21">
        <v>0.853271</v>
      </c>
      <c r="L160">
        <f t="shared" si="24"/>
        <v>16.754567901234566</v>
      </c>
      <c r="M160">
        <f t="shared" si="25"/>
        <v>14.319207683950616</v>
      </c>
      <c r="N160" s="9"/>
      <c r="O160" s="21">
        <v>0.65536499999999998</v>
      </c>
      <c r="P160" s="21">
        <v>10.038500000000001</v>
      </c>
      <c r="Q160" s="21">
        <v>-1.3775600000000001E-2</v>
      </c>
      <c r="R160" s="21">
        <v>150</v>
      </c>
      <c r="S160" s="21">
        <v>0.65472399999999997</v>
      </c>
      <c r="T160">
        <f t="shared" si="26"/>
        <v>17.006913580246916</v>
      </c>
      <c r="U160">
        <f t="shared" si="27"/>
        <v>11.14573591851852</v>
      </c>
      <c r="X160" s="9"/>
      <c r="Y160" s="21">
        <v>0.85464499999999999</v>
      </c>
      <c r="Z160" s="21">
        <v>15.136200000000001</v>
      </c>
      <c r="AA160" s="21">
        <v>-1.3598600000000001E-2</v>
      </c>
      <c r="AB160" s="21">
        <v>150</v>
      </c>
      <c r="AC160" s="21">
        <v>0.85418700000000003</v>
      </c>
      <c r="AD160">
        <f t="shared" si="28"/>
        <v>16.788395061728394</v>
      </c>
      <c r="AE160">
        <f t="shared" si="29"/>
        <v>14.348117897530864</v>
      </c>
      <c r="AF160" s="9"/>
      <c r="AG160" s="21">
        <v>0.65536499999999998</v>
      </c>
      <c r="AH160" s="21">
        <v>18.572700000000001</v>
      </c>
      <c r="AI160" s="21">
        <v>-1.3720700000000001E-2</v>
      </c>
      <c r="AJ160" s="21">
        <v>150</v>
      </c>
      <c r="AK160" s="21">
        <v>0.65475499999999998</v>
      </c>
      <c r="AL160">
        <f t="shared" si="30"/>
        <v>16.939135802469135</v>
      </c>
      <c r="AM160">
        <f t="shared" si="31"/>
        <v>11.101316735185184</v>
      </c>
      <c r="AP160" s="9"/>
      <c r="AQ160" s="21">
        <v>0.85464499999999999</v>
      </c>
      <c r="AR160" s="21">
        <v>23.715399999999999</v>
      </c>
      <c r="AS160" s="21">
        <v>-1.34979E-2</v>
      </c>
      <c r="AT160" s="21">
        <v>150</v>
      </c>
      <c r="AU160" s="21">
        <v>0.85388200000000003</v>
      </c>
      <c r="AV160">
        <f t="shared" si="32"/>
        <v>16.664074074074072</v>
      </c>
      <c r="AW160">
        <f t="shared" si="33"/>
        <v>14.241867587037035</v>
      </c>
      <c r="AX160" s="9"/>
      <c r="AY160" s="21">
        <v>0.65536499999999998</v>
      </c>
      <c r="AZ160" s="21">
        <v>27.151900000000001</v>
      </c>
      <c r="BA160" s="21">
        <v>-1.3623E-2</v>
      </c>
      <c r="BB160" s="21">
        <v>150</v>
      </c>
      <c r="BC160" s="21">
        <v>0.65484600000000004</v>
      </c>
      <c r="BD160">
        <f t="shared" si="34"/>
        <v>16.818518518518516</v>
      </c>
      <c r="BE160">
        <f t="shared" si="35"/>
        <v>11.022268388888888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0.84960899999999995</v>
      </c>
      <c r="H161" s="21">
        <v>6.6120400000000004</v>
      </c>
      <c r="I161" s="21">
        <v>-1.3583400000000001E-2</v>
      </c>
      <c r="J161" s="21">
        <v>151</v>
      </c>
      <c r="K161" s="21">
        <v>0.84869399999999995</v>
      </c>
      <c r="L161">
        <f t="shared" si="24"/>
        <v>16.76962962962963</v>
      </c>
      <c r="M161">
        <f t="shared" si="25"/>
        <v>14.247628259999999</v>
      </c>
      <c r="N161" s="9"/>
      <c r="O161" s="21">
        <v>0.66039999999999999</v>
      </c>
      <c r="P161" s="21">
        <v>10.048500000000001</v>
      </c>
      <c r="Q161" s="21">
        <v>-1.37573E-2</v>
      </c>
      <c r="R161" s="21">
        <v>151</v>
      </c>
      <c r="S161" s="21">
        <v>0.65978999999999999</v>
      </c>
      <c r="T161">
        <f t="shared" si="26"/>
        <v>16.984320987654321</v>
      </c>
      <c r="U161">
        <f t="shared" si="27"/>
        <v>11.216445580246914</v>
      </c>
      <c r="X161" s="9"/>
      <c r="Y161" s="21">
        <v>0.84960899999999995</v>
      </c>
      <c r="Z161" s="21">
        <v>15.1462</v>
      </c>
      <c r="AA161" s="21">
        <v>-1.3610799999999999E-2</v>
      </c>
      <c r="AB161" s="21">
        <v>151</v>
      </c>
      <c r="AC161" s="21">
        <v>0.84838899999999995</v>
      </c>
      <c r="AD161">
        <f t="shared" si="28"/>
        <v>16.803456790123455</v>
      </c>
      <c r="AE161">
        <f t="shared" si="29"/>
        <v>14.276368119999997</v>
      </c>
      <c r="AF161" s="9"/>
      <c r="AG161" s="21">
        <v>0.66039999999999999</v>
      </c>
      <c r="AH161" s="21">
        <v>18.582799999999999</v>
      </c>
      <c r="AI161" s="21">
        <v>-1.3717699999999999E-2</v>
      </c>
      <c r="AJ161" s="21">
        <v>151</v>
      </c>
      <c r="AK161" s="21">
        <v>0.65969800000000001</v>
      </c>
      <c r="AL161">
        <f t="shared" si="30"/>
        <v>16.935432098765432</v>
      </c>
      <c r="AM161">
        <f t="shared" si="31"/>
        <v>11.184159358024692</v>
      </c>
      <c r="AP161" s="9"/>
      <c r="AQ161" s="21">
        <v>0.84960899999999995</v>
      </c>
      <c r="AR161" s="21">
        <v>23.7255</v>
      </c>
      <c r="AS161" s="21">
        <v>-1.3501000000000001E-2</v>
      </c>
      <c r="AT161" s="21">
        <v>151</v>
      </c>
      <c r="AU161" s="21">
        <v>0.84930399999999995</v>
      </c>
      <c r="AV161">
        <f t="shared" si="32"/>
        <v>16.667901234567903</v>
      </c>
      <c r="AW161">
        <f t="shared" si="33"/>
        <v>14.1611989</v>
      </c>
      <c r="AX161" s="9"/>
      <c r="AY161" s="21">
        <v>0.66039999999999999</v>
      </c>
      <c r="AZ161" s="21">
        <v>27.161899999999999</v>
      </c>
      <c r="BA161" s="21">
        <v>-1.3610799999999999E-2</v>
      </c>
      <c r="BB161" s="21">
        <v>151</v>
      </c>
      <c r="BC161" s="21">
        <v>0.65982099999999999</v>
      </c>
      <c r="BD161">
        <f t="shared" si="34"/>
        <v>16.803456790123455</v>
      </c>
      <c r="BE161">
        <f t="shared" si="35"/>
        <v>11.097002864197529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0.84457400000000005</v>
      </c>
      <c r="H162" s="21">
        <v>6.6221100000000002</v>
      </c>
      <c r="I162" s="21">
        <v>-1.3598600000000001E-2</v>
      </c>
      <c r="J162" s="21">
        <v>152</v>
      </c>
      <c r="K162" s="21">
        <v>0.84350599999999998</v>
      </c>
      <c r="L162">
        <f t="shared" si="24"/>
        <v>16.788395061728394</v>
      </c>
      <c r="M162">
        <f t="shared" si="25"/>
        <v>14.179041970864198</v>
      </c>
      <c r="N162" s="9"/>
      <c r="O162" s="21">
        <v>0.66543600000000003</v>
      </c>
      <c r="P162" s="21">
        <v>10.0586</v>
      </c>
      <c r="Q162" s="21">
        <v>-1.37451E-2</v>
      </c>
      <c r="R162" s="21">
        <v>152</v>
      </c>
      <c r="S162" s="21">
        <v>0.66479500000000002</v>
      </c>
      <c r="T162">
        <f t="shared" si="26"/>
        <v>16.969259259259257</v>
      </c>
      <c r="U162">
        <f t="shared" si="27"/>
        <v>11.291956004444444</v>
      </c>
      <c r="X162" s="9"/>
      <c r="Y162" s="21">
        <v>0.84457400000000005</v>
      </c>
      <c r="Z162" s="21">
        <v>15.1563</v>
      </c>
      <c r="AA162" s="21">
        <v>-1.36261E-2</v>
      </c>
      <c r="AB162" s="21">
        <v>152</v>
      </c>
      <c r="AC162" s="21">
        <v>0.84350599999999998</v>
      </c>
      <c r="AD162">
        <f t="shared" si="28"/>
        <v>16.822345679012344</v>
      </c>
      <c r="AE162">
        <f t="shared" si="29"/>
        <v>14.207715779506172</v>
      </c>
      <c r="AF162" s="9"/>
      <c r="AG162" s="21">
        <v>0.66543600000000003</v>
      </c>
      <c r="AH162" s="21">
        <v>18.5928</v>
      </c>
      <c r="AI162" s="21">
        <v>-1.37146E-2</v>
      </c>
      <c r="AJ162" s="21">
        <v>152</v>
      </c>
      <c r="AK162" s="21">
        <v>0.664825</v>
      </c>
      <c r="AL162">
        <f t="shared" si="30"/>
        <v>16.931604938271605</v>
      </c>
      <c r="AM162">
        <f t="shared" si="31"/>
        <v>11.266899463703703</v>
      </c>
      <c r="AP162" s="9"/>
      <c r="AQ162" s="21">
        <v>0.84457400000000005</v>
      </c>
      <c r="AR162" s="21">
        <v>23.735499999999998</v>
      </c>
      <c r="AS162" s="21">
        <v>-1.3516200000000001E-2</v>
      </c>
      <c r="AT162" s="21">
        <v>152</v>
      </c>
      <c r="AU162" s="21">
        <v>0.84381099999999998</v>
      </c>
      <c r="AV162">
        <f t="shared" si="32"/>
        <v>16.686666666666664</v>
      </c>
      <c r="AW162">
        <f t="shared" si="33"/>
        <v>14.093124813333331</v>
      </c>
      <c r="AX162" s="9"/>
      <c r="AY162" s="21">
        <v>0.66543600000000003</v>
      </c>
      <c r="AZ162" s="21">
        <v>27.172000000000001</v>
      </c>
      <c r="BA162" s="21">
        <v>-1.3610799999999999E-2</v>
      </c>
      <c r="BB162" s="21">
        <v>152</v>
      </c>
      <c r="BC162" s="21">
        <v>0.66491699999999998</v>
      </c>
      <c r="BD162">
        <f t="shared" si="34"/>
        <v>16.803456790123455</v>
      </c>
      <c r="BE162">
        <f t="shared" si="35"/>
        <v>11.181625072592592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0.83953900000000004</v>
      </c>
      <c r="H163" s="21">
        <v>6.6321899999999996</v>
      </c>
      <c r="I163" s="21">
        <v>-1.3616899999999999E-2</v>
      </c>
      <c r="J163" s="21">
        <v>153</v>
      </c>
      <c r="K163" s="21">
        <v>0.83923300000000001</v>
      </c>
      <c r="L163">
        <f t="shared" si="24"/>
        <v>16.810987654320986</v>
      </c>
      <c r="M163">
        <f t="shared" si="25"/>
        <v>14.113479764320987</v>
      </c>
      <c r="N163" s="9"/>
      <c r="O163" s="21">
        <v>0.67047100000000004</v>
      </c>
      <c r="P163" s="21">
        <v>10.0687</v>
      </c>
      <c r="Q163" s="21">
        <v>-1.3736E-2</v>
      </c>
      <c r="R163" s="21">
        <v>153</v>
      </c>
      <c r="S163" s="21">
        <v>0.66983000000000004</v>
      </c>
      <c r="T163">
        <f t="shared" si="26"/>
        <v>16.958024691358023</v>
      </c>
      <c r="U163">
        <f t="shared" si="27"/>
        <v>11.369863772839507</v>
      </c>
      <c r="X163" s="9"/>
      <c r="Y163" s="21">
        <v>0.83953900000000004</v>
      </c>
      <c r="Z163" s="21">
        <v>15.166399999999999</v>
      </c>
      <c r="AA163" s="21">
        <v>-1.3623E-2</v>
      </c>
      <c r="AB163" s="21">
        <v>153</v>
      </c>
      <c r="AC163" s="21">
        <v>0.83892800000000001</v>
      </c>
      <c r="AD163">
        <f t="shared" si="28"/>
        <v>16.818518518518516</v>
      </c>
      <c r="AE163">
        <f t="shared" si="29"/>
        <v>14.119802218518517</v>
      </c>
      <c r="AF163" s="9"/>
      <c r="AG163" s="21">
        <v>0.67047100000000004</v>
      </c>
      <c r="AH163" s="21">
        <v>18.602900000000002</v>
      </c>
      <c r="AI163" s="21">
        <v>-1.37085E-2</v>
      </c>
      <c r="AJ163" s="21">
        <v>153</v>
      </c>
      <c r="AK163" s="21">
        <v>0.66986100000000004</v>
      </c>
      <c r="AL163">
        <f t="shared" si="30"/>
        <v>16.924074074074074</v>
      </c>
      <c r="AM163">
        <f t="shared" si="31"/>
        <v>11.347100868518519</v>
      </c>
      <c r="AP163" s="9"/>
      <c r="AQ163" s="21">
        <v>0.83953900000000004</v>
      </c>
      <c r="AR163" s="21">
        <v>23.7456</v>
      </c>
      <c r="AS163" s="21">
        <v>-1.35254E-2</v>
      </c>
      <c r="AT163" s="21">
        <v>153</v>
      </c>
      <c r="AU163" s="21">
        <v>0.83862300000000001</v>
      </c>
      <c r="AV163">
        <f t="shared" si="32"/>
        <v>16.698024691358025</v>
      </c>
      <c r="AW163">
        <f t="shared" si="33"/>
        <v>14.018642951358025</v>
      </c>
      <c r="AX163" s="9"/>
      <c r="AY163" s="21">
        <v>0.67047100000000004</v>
      </c>
      <c r="AZ163" s="21">
        <v>27.182099999999998</v>
      </c>
      <c r="BA163" s="21">
        <v>-1.3604700000000001E-2</v>
      </c>
      <c r="BB163" s="21">
        <v>153</v>
      </c>
      <c r="BC163" s="21">
        <v>0.66983000000000004</v>
      </c>
      <c r="BD163">
        <f t="shared" si="34"/>
        <v>16.795925925925925</v>
      </c>
      <c r="BE163">
        <f t="shared" si="35"/>
        <v>11.261181251481482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0.83450299999999999</v>
      </c>
      <c r="H164" s="21">
        <v>6.6422600000000003</v>
      </c>
      <c r="I164" s="21">
        <v>-1.36353E-2</v>
      </c>
      <c r="J164" s="21">
        <v>154</v>
      </c>
      <c r="K164" s="21">
        <v>0.83404500000000004</v>
      </c>
      <c r="L164">
        <f t="shared" si="24"/>
        <v>16.833703703703701</v>
      </c>
      <c r="M164">
        <f t="shared" si="25"/>
        <v>14.047776241851849</v>
      </c>
      <c r="N164" s="9"/>
      <c r="O164" s="21">
        <v>0.67550699999999997</v>
      </c>
      <c r="P164" s="21">
        <v>10.0787</v>
      </c>
      <c r="Q164" s="21">
        <v>-1.37238E-2</v>
      </c>
      <c r="R164" s="21">
        <v>154</v>
      </c>
      <c r="S164" s="21">
        <v>0.67492700000000005</v>
      </c>
      <c r="T164">
        <f t="shared" si="26"/>
        <v>16.942962962962962</v>
      </c>
      <c r="U164">
        <f t="shared" si="27"/>
        <v>11.445090082222221</v>
      </c>
      <c r="X164" s="9"/>
      <c r="Y164" s="21">
        <v>0.83450299999999999</v>
      </c>
      <c r="Z164" s="21">
        <v>15.176500000000001</v>
      </c>
      <c r="AA164" s="21">
        <v>-1.36139E-2</v>
      </c>
      <c r="AB164" s="21">
        <v>154</v>
      </c>
      <c r="AC164" s="21">
        <v>0.83374000000000004</v>
      </c>
      <c r="AD164">
        <f t="shared" si="28"/>
        <v>16.807283950617283</v>
      </c>
      <c r="AE164">
        <f t="shared" si="29"/>
        <v>14.025728878641974</v>
      </c>
      <c r="AF164" s="9"/>
      <c r="AG164" s="21">
        <v>0.67550699999999997</v>
      </c>
      <c r="AH164" s="21">
        <v>18.613</v>
      </c>
      <c r="AI164" s="21">
        <v>-1.37024E-2</v>
      </c>
      <c r="AJ164" s="21">
        <v>154</v>
      </c>
      <c r="AK164" s="21">
        <v>0.67495700000000003</v>
      </c>
      <c r="AL164">
        <f t="shared" si="30"/>
        <v>16.916543209876544</v>
      </c>
      <c r="AM164">
        <f t="shared" si="31"/>
        <v>11.427243354074074</v>
      </c>
      <c r="AP164" s="9"/>
      <c r="AQ164" s="21">
        <v>0.83450299999999999</v>
      </c>
      <c r="AR164" s="21">
        <v>23.755700000000001</v>
      </c>
      <c r="AS164" s="21">
        <v>-1.35376E-2</v>
      </c>
      <c r="AT164" s="21">
        <v>154</v>
      </c>
      <c r="AU164" s="21">
        <v>0.83343500000000004</v>
      </c>
      <c r="AV164">
        <f t="shared" si="32"/>
        <v>16.713086419753086</v>
      </c>
      <c r="AW164">
        <f t="shared" si="33"/>
        <v>13.94712075654321</v>
      </c>
      <c r="AX164" s="9"/>
      <c r="AY164" s="21">
        <v>0.67550699999999997</v>
      </c>
      <c r="AZ164" s="21">
        <v>27.1922</v>
      </c>
      <c r="BA164" s="21">
        <v>-1.36078E-2</v>
      </c>
      <c r="BB164" s="21">
        <v>154</v>
      </c>
      <c r="BC164" s="21">
        <v>0.67489600000000005</v>
      </c>
      <c r="BD164">
        <f t="shared" si="34"/>
        <v>16.799753086419752</v>
      </c>
      <c r="BE164">
        <f t="shared" si="35"/>
        <v>11.348350808148147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0.82946799999999998</v>
      </c>
      <c r="H165" s="21">
        <v>6.6523300000000001</v>
      </c>
      <c r="I165" s="21">
        <v>-1.36536E-2</v>
      </c>
      <c r="J165" s="21">
        <v>155</v>
      </c>
      <c r="K165" s="21">
        <v>0.82824699999999996</v>
      </c>
      <c r="L165">
        <f t="shared" si="24"/>
        <v>16.856296296296296</v>
      </c>
      <c r="M165">
        <f t="shared" si="25"/>
        <v>13.981758376296296</v>
      </c>
      <c r="N165" s="9"/>
      <c r="O165" s="21">
        <v>0.68054199999999998</v>
      </c>
      <c r="P165" s="21">
        <v>10.088800000000001</v>
      </c>
      <c r="Q165" s="21">
        <v>-1.37146E-2</v>
      </c>
      <c r="R165" s="21">
        <v>155</v>
      </c>
      <c r="S165" s="21">
        <v>0.67984</v>
      </c>
      <c r="T165">
        <f t="shared" si="26"/>
        <v>16.931604938271605</v>
      </c>
      <c r="U165">
        <f t="shared" si="27"/>
        <v>11.522668287901235</v>
      </c>
      <c r="X165" s="9"/>
      <c r="Y165" s="21">
        <v>0.82946799999999998</v>
      </c>
      <c r="Z165" s="21">
        <v>15.186500000000001</v>
      </c>
      <c r="AA165" s="21">
        <v>-1.3610799999999999E-2</v>
      </c>
      <c r="AB165" s="21">
        <v>155</v>
      </c>
      <c r="AC165" s="21">
        <v>0.82855199999999996</v>
      </c>
      <c r="AD165">
        <f t="shared" si="28"/>
        <v>16.803456790123455</v>
      </c>
      <c r="AE165">
        <f t="shared" si="29"/>
        <v>13.937929696790121</v>
      </c>
      <c r="AF165" s="9"/>
      <c r="AG165" s="21">
        <v>0.68054199999999998</v>
      </c>
      <c r="AH165" s="21">
        <v>18.623100000000001</v>
      </c>
      <c r="AI165" s="21">
        <v>-1.3684099999999999E-2</v>
      </c>
      <c r="AJ165" s="21">
        <v>155</v>
      </c>
      <c r="AK165" s="21">
        <v>0.67996199999999996</v>
      </c>
      <c r="AL165">
        <f t="shared" si="30"/>
        <v>16.893950617283949</v>
      </c>
      <c r="AM165">
        <f t="shared" si="31"/>
        <v>11.497042940987653</v>
      </c>
      <c r="AP165" s="9"/>
      <c r="AQ165" s="21">
        <v>0.82946799999999998</v>
      </c>
      <c r="AR165" s="21">
        <v>23.765699999999999</v>
      </c>
      <c r="AS165" s="21">
        <v>-1.3543700000000001E-2</v>
      </c>
      <c r="AT165" s="21">
        <v>155</v>
      </c>
      <c r="AU165" s="21">
        <v>0.82916299999999998</v>
      </c>
      <c r="AV165">
        <f t="shared" si="32"/>
        <v>16.720617283950617</v>
      </c>
      <c r="AW165">
        <f t="shared" si="33"/>
        <v>13.86921697728395</v>
      </c>
      <c r="AX165" s="9"/>
      <c r="AY165" s="21">
        <v>0.68054199999999998</v>
      </c>
      <c r="AZ165" s="21">
        <v>27.202200000000001</v>
      </c>
      <c r="BA165" s="21">
        <v>-1.3604700000000001E-2</v>
      </c>
      <c r="BB165" s="21">
        <v>155</v>
      </c>
      <c r="BC165" s="21">
        <v>0.67996199999999996</v>
      </c>
      <c r="BD165">
        <f t="shared" si="34"/>
        <v>16.795925925925925</v>
      </c>
      <c r="BE165">
        <f t="shared" si="35"/>
        <v>11.430333021481481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0.82443200000000005</v>
      </c>
      <c r="H166" s="21">
        <v>6.6623999999999999</v>
      </c>
      <c r="I166" s="21">
        <v>-1.36749E-2</v>
      </c>
      <c r="J166" s="21">
        <v>156</v>
      </c>
      <c r="K166" s="21">
        <v>0.82366899999999998</v>
      </c>
      <c r="L166">
        <f t="shared" si="24"/>
        <v>16.882592592592591</v>
      </c>
      <c r="M166">
        <f t="shared" si="25"/>
        <v>13.918549576296297</v>
      </c>
      <c r="N166" s="9"/>
      <c r="O166" s="21">
        <v>0.68557699999999999</v>
      </c>
      <c r="P166" s="21">
        <v>10.0989</v>
      </c>
      <c r="Q166" s="21">
        <v>-1.37085E-2</v>
      </c>
      <c r="R166" s="21">
        <v>156</v>
      </c>
      <c r="S166" s="21">
        <v>0.684998</v>
      </c>
      <c r="T166">
        <f t="shared" si="26"/>
        <v>16.924074074074074</v>
      </c>
      <c r="U166">
        <f t="shared" si="27"/>
        <v>11.602755931481481</v>
      </c>
      <c r="X166" s="9"/>
      <c r="Y166" s="21">
        <v>0.82443200000000005</v>
      </c>
      <c r="Z166" s="21">
        <v>15.1966</v>
      </c>
      <c r="AA166" s="21">
        <v>-1.3616899999999999E-2</v>
      </c>
      <c r="AB166" s="21">
        <v>156</v>
      </c>
      <c r="AC166" s="21">
        <v>0.82366899999999998</v>
      </c>
      <c r="AD166">
        <f t="shared" si="28"/>
        <v>16.810987654320986</v>
      </c>
      <c r="AE166">
        <f t="shared" si="29"/>
        <v>13.85951617382716</v>
      </c>
      <c r="AF166" s="9"/>
      <c r="AG166" s="21">
        <v>0.68557699999999999</v>
      </c>
      <c r="AH166" s="21">
        <v>18.633099999999999</v>
      </c>
      <c r="AI166" s="21">
        <v>-1.3681E-2</v>
      </c>
      <c r="AJ166" s="21">
        <v>156</v>
      </c>
      <c r="AK166" s="21">
        <v>0.68490600000000001</v>
      </c>
      <c r="AL166">
        <f t="shared" si="30"/>
        <v>16.890123456790121</v>
      </c>
      <c r="AM166">
        <f t="shared" si="31"/>
        <v>11.579480169135801</v>
      </c>
      <c r="AP166" s="9"/>
      <c r="AQ166" s="21">
        <v>0.82443200000000005</v>
      </c>
      <c r="AR166" s="21">
        <v>23.7758</v>
      </c>
      <c r="AS166" s="21">
        <v>-1.35376E-2</v>
      </c>
      <c r="AT166" s="21">
        <v>156</v>
      </c>
      <c r="AU166" s="21">
        <v>0.82366899999999998</v>
      </c>
      <c r="AV166">
        <f t="shared" si="32"/>
        <v>16.713086419753086</v>
      </c>
      <c r="AW166">
        <f t="shared" si="33"/>
        <v>13.778803263209877</v>
      </c>
      <c r="AX166" s="9"/>
      <c r="AY166" s="21">
        <v>0.68557699999999999</v>
      </c>
      <c r="AZ166" s="21">
        <v>27.212299999999999</v>
      </c>
      <c r="BA166" s="21">
        <v>-1.35925E-2</v>
      </c>
      <c r="BB166" s="21">
        <v>156</v>
      </c>
      <c r="BC166" s="21">
        <v>0.68496699999999999</v>
      </c>
      <c r="BD166">
        <f t="shared" si="34"/>
        <v>16.780864197530864</v>
      </c>
      <c r="BE166">
        <f t="shared" si="35"/>
        <v>11.504574533950617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0.81939700000000004</v>
      </c>
      <c r="H167" s="21">
        <v>6.6724699999999997</v>
      </c>
      <c r="I167" s="21">
        <v>-1.3699299999999999E-2</v>
      </c>
      <c r="J167" s="21">
        <v>157</v>
      </c>
      <c r="K167" s="21">
        <v>0.81848100000000001</v>
      </c>
      <c r="L167">
        <f t="shared" si="24"/>
        <v>16.912716049382716</v>
      </c>
      <c r="M167">
        <f t="shared" si="25"/>
        <v>13.85822879271605</v>
      </c>
      <c r="N167" s="9"/>
      <c r="O167" s="21">
        <v>0.69061300000000003</v>
      </c>
      <c r="P167" s="21">
        <v>10.109</v>
      </c>
      <c r="Q167" s="21">
        <v>-1.37024E-2</v>
      </c>
      <c r="R167" s="21">
        <v>157</v>
      </c>
      <c r="S167" s="21">
        <v>0.69003300000000001</v>
      </c>
      <c r="T167">
        <f t="shared" si="26"/>
        <v>16.916543209876544</v>
      </c>
      <c r="U167">
        <f t="shared" si="27"/>
        <v>11.68278465580247</v>
      </c>
      <c r="X167" s="9"/>
      <c r="Y167" s="21">
        <v>0.81939700000000004</v>
      </c>
      <c r="Z167" s="21">
        <v>15.2067</v>
      </c>
      <c r="AA167" s="21">
        <v>-1.36353E-2</v>
      </c>
      <c r="AB167" s="21">
        <v>157</v>
      </c>
      <c r="AC167" s="21">
        <v>0.81878700000000004</v>
      </c>
      <c r="AD167">
        <f t="shared" si="28"/>
        <v>16.833703703703701</v>
      </c>
      <c r="AE167">
        <f t="shared" si="29"/>
        <v>13.793486313703703</v>
      </c>
      <c r="AF167" s="9"/>
      <c r="AG167" s="21">
        <v>0.69061300000000003</v>
      </c>
      <c r="AH167" s="21">
        <v>18.6432</v>
      </c>
      <c r="AI167" s="21">
        <v>-1.3671900000000001E-2</v>
      </c>
      <c r="AJ167" s="21">
        <v>157</v>
      </c>
      <c r="AK167" s="21">
        <v>0.69003300000000001</v>
      </c>
      <c r="AL167">
        <f t="shared" si="30"/>
        <v>16.878888888888888</v>
      </c>
      <c r="AM167">
        <f t="shared" si="31"/>
        <v>11.656780092222222</v>
      </c>
      <c r="AP167" s="9"/>
      <c r="AQ167" s="21">
        <v>0.81939700000000004</v>
      </c>
      <c r="AR167" s="21">
        <v>23.785900000000002</v>
      </c>
      <c r="AS167" s="21">
        <v>-1.3555899999999999E-2</v>
      </c>
      <c r="AT167" s="21">
        <v>157</v>
      </c>
      <c r="AU167" s="21">
        <v>0.81787100000000001</v>
      </c>
      <c r="AV167">
        <f t="shared" si="32"/>
        <v>16.735679012345678</v>
      </c>
      <c r="AW167">
        <f t="shared" si="33"/>
        <v>13.713165175679013</v>
      </c>
      <c r="AX167" s="9"/>
      <c r="AY167" s="21">
        <v>0.69061300000000003</v>
      </c>
      <c r="AZ167" s="21">
        <v>27.2224</v>
      </c>
      <c r="BA167" s="21">
        <v>-1.35773E-2</v>
      </c>
      <c r="BB167" s="21">
        <v>157</v>
      </c>
      <c r="BC167" s="21">
        <v>0.68997200000000003</v>
      </c>
      <c r="BD167">
        <f t="shared" si="34"/>
        <v>16.7620987654321</v>
      </c>
      <c r="BE167">
        <f t="shared" si="35"/>
        <v>11.57612331469136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0.81436200000000003</v>
      </c>
      <c r="H168" s="21">
        <v>6.6825400000000004</v>
      </c>
      <c r="I168" s="21">
        <v>-1.37115E-2</v>
      </c>
      <c r="J168" s="21">
        <v>158</v>
      </c>
      <c r="K168" s="21">
        <v>0.81359899999999996</v>
      </c>
      <c r="L168">
        <f t="shared" si="24"/>
        <v>16.927777777777777</v>
      </c>
      <c r="M168">
        <f t="shared" si="25"/>
        <v>13.785338966666666</v>
      </c>
      <c r="N168" s="9"/>
      <c r="O168" s="21">
        <v>0.69564800000000004</v>
      </c>
      <c r="P168" s="21">
        <v>10.119</v>
      </c>
      <c r="Q168" s="21">
        <v>-1.37085E-2</v>
      </c>
      <c r="R168" s="21">
        <v>158</v>
      </c>
      <c r="S168" s="21">
        <v>0.69500700000000004</v>
      </c>
      <c r="T168">
        <f t="shared" si="26"/>
        <v>16.924074074074074</v>
      </c>
      <c r="U168">
        <f t="shared" si="27"/>
        <v>11.773198281481482</v>
      </c>
      <c r="X168" s="9"/>
      <c r="Y168" s="21">
        <v>0.81436200000000003</v>
      </c>
      <c r="Z168" s="21">
        <v>15.216699999999999</v>
      </c>
      <c r="AA168" s="21">
        <v>-1.36627E-2</v>
      </c>
      <c r="AB168" s="21">
        <v>158</v>
      </c>
      <c r="AC168" s="21">
        <v>0.81390399999999996</v>
      </c>
      <c r="AD168">
        <f t="shared" si="28"/>
        <v>16.86753086419753</v>
      </c>
      <c r="AE168">
        <f t="shared" si="29"/>
        <v>13.73627616962963</v>
      </c>
      <c r="AF168" s="9"/>
      <c r="AG168" s="21">
        <v>0.69564800000000004</v>
      </c>
      <c r="AH168" s="21">
        <v>18.653300000000002</v>
      </c>
      <c r="AI168" s="21">
        <v>-1.36597E-2</v>
      </c>
      <c r="AJ168" s="21">
        <v>158</v>
      </c>
      <c r="AK168" s="21">
        <v>0.69509900000000002</v>
      </c>
      <c r="AL168">
        <f t="shared" si="30"/>
        <v>16.863827160493827</v>
      </c>
      <c r="AM168">
        <f t="shared" si="31"/>
        <v>11.731287636543211</v>
      </c>
      <c r="AP168" s="9"/>
      <c r="AQ168" s="21">
        <v>0.81436200000000003</v>
      </c>
      <c r="AR168" s="21">
        <v>23.795999999999999</v>
      </c>
      <c r="AS168" s="21">
        <v>-1.35742E-2</v>
      </c>
      <c r="AT168" s="21">
        <v>158</v>
      </c>
      <c r="AU168" s="21">
        <v>0.81329300000000004</v>
      </c>
      <c r="AV168">
        <f t="shared" si="32"/>
        <v>16.758271604938273</v>
      </c>
      <c r="AW168">
        <f t="shared" si="33"/>
        <v>13.647299580740741</v>
      </c>
      <c r="AX168" s="9"/>
      <c r="AY168" s="21">
        <v>0.69564800000000004</v>
      </c>
      <c r="AZ168" s="21">
        <v>27.232399999999998</v>
      </c>
      <c r="BA168" s="21">
        <v>-1.35651E-2</v>
      </c>
      <c r="BB168" s="21">
        <v>158</v>
      </c>
      <c r="BC168" s="21">
        <v>0.69500700000000004</v>
      </c>
      <c r="BD168">
        <f t="shared" si="34"/>
        <v>16.747037037037035</v>
      </c>
      <c r="BE168">
        <f t="shared" si="35"/>
        <v>11.65004282074074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0.80932599999999999</v>
      </c>
      <c r="H169" s="21">
        <v>6.6926100000000002</v>
      </c>
      <c r="I169" s="21">
        <v>-1.37421E-2</v>
      </c>
      <c r="J169" s="21">
        <v>159</v>
      </c>
      <c r="K169" s="21">
        <v>0.80871599999999999</v>
      </c>
      <c r="L169">
        <f t="shared" si="24"/>
        <v>16.965555555555554</v>
      </c>
      <c r="M169">
        <f t="shared" si="25"/>
        <v>13.730665215555554</v>
      </c>
      <c r="N169" s="9"/>
      <c r="O169" s="21">
        <v>0.70068399999999997</v>
      </c>
      <c r="P169" s="21">
        <v>10.129099999999999</v>
      </c>
      <c r="Q169" s="21">
        <v>-1.37085E-2</v>
      </c>
      <c r="R169" s="21">
        <v>159</v>
      </c>
      <c r="S169" s="21">
        <v>0.70004299999999997</v>
      </c>
      <c r="T169">
        <f t="shared" si="26"/>
        <v>16.924074074074074</v>
      </c>
      <c r="U169">
        <f t="shared" si="27"/>
        <v>11.858427918518519</v>
      </c>
      <c r="X169" s="9"/>
      <c r="Y169" s="21">
        <v>0.80932599999999999</v>
      </c>
      <c r="Z169" s="21">
        <v>15.226800000000001</v>
      </c>
      <c r="AA169" s="21">
        <v>-1.3684099999999999E-2</v>
      </c>
      <c r="AB169" s="21">
        <v>159</v>
      </c>
      <c r="AC169" s="21">
        <v>0.80779999999999996</v>
      </c>
      <c r="AD169">
        <f t="shared" si="28"/>
        <v>16.893950617283949</v>
      </c>
      <c r="AE169">
        <f t="shared" si="29"/>
        <v>13.672713477283949</v>
      </c>
      <c r="AF169" s="9"/>
      <c r="AG169" s="21">
        <v>0.70068399999999997</v>
      </c>
      <c r="AH169" s="21">
        <v>18.6633</v>
      </c>
      <c r="AI169" s="21">
        <v>-1.3650499999999999E-2</v>
      </c>
      <c r="AJ169" s="21">
        <v>159</v>
      </c>
      <c r="AK169" s="21">
        <v>0.70013400000000003</v>
      </c>
      <c r="AL169">
        <f t="shared" si="30"/>
        <v>16.852469135802469</v>
      </c>
      <c r="AM169">
        <f t="shared" si="31"/>
        <v>11.808255483950617</v>
      </c>
      <c r="AP169" s="9"/>
      <c r="AQ169" s="21">
        <v>0.80932599999999999</v>
      </c>
      <c r="AR169" s="21">
        <v>23.806000000000001</v>
      </c>
      <c r="AS169" s="21">
        <v>-1.3583400000000001E-2</v>
      </c>
      <c r="AT169" s="21">
        <v>159</v>
      </c>
      <c r="AU169" s="21">
        <v>0.80841099999999999</v>
      </c>
      <c r="AV169">
        <f t="shared" si="32"/>
        <v>16.76962962962963</v>
      </c>
      <c r="AW169">
        <f t="shared" si="33"/>
        <v>13.57209726962963</v>
      </c>
      <c r="AX169" s="9"/>
      <c r="AY169" s="21">
        <v>0.70068399999999997</v>
      </c>
      <c r="AZ169" s="21">
        <v>27.2425</v>
      </c>
      <c r="BA169" s="21">
        <v>-1.3561999999999999E-2</v>
      </c>
      <c r="BB169" s="21">
        <v>159</v>
      </c>
      <c r="BC169" s="21">
        <v>0.70007299999999995</v>
      </c>
      <c r="BD169">
        <f t="shared" si="34"/>
        <v>16.743209876543208</v>
      </c>
      <c r="BE169">
        <f t="shared" si="35"/>
        <v>11.731699269135801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0.80429099999999998</v>
      </c>
      <c r="H170" s="21">
        <v>6.70268</v>
      </c>
      <c r="I170" s="21">
        <v>-1.37634E-2</v>
      </c>
      <c r="J170" s="21">
        <v>160</v>
      </c>
      <c r="K170" s="21">
        <v>0.80413800000000002</v>
      </c>
      <c r="L170">
        <f t="shared" si="24"/>
        <v>16.991851851851852</v>
      </c>
      <c r="M170">
        <f t="shared" si="25"/>
        <v>13.666393517777777</v>
      </c>
      <c r="N170" s="9"/>
      <c r="O170" s="21">
        <v>0.70571899999999999</v>
      </c>
      <c r="P170" s="21">
        <v>10.139200000000001</v>
      </c>
      <c r="Q170" s="21">
        <v>-1.36963E-2</v>
      </c>
      <c r="R170" s="21">
        <v>160</v>
      </c>
      <c r="S170" s="21">
        <v>0.70513899999999996</v>
      </c>
      <c r="T170">
        <f t="shared" si="26"/>
        <v>16.90901234567901</v>
      </c>
      <c r="U170">
        <f t="shared" si="27"/>
        <v>11.933011283580244</v>
      </c>
      <c r="X170" s="9"/>
      <c r="Y170" s="21">
        <v>0.80429099999999998</v>
      </c>
      <c r="Z170" s="21">
        <v>15.2369</v>
      </c>
      <c r="AA170" s="21">
        <v>-1.3693200000000001E-2</v>
      </c>
      <c r="AB170" s="21">
        <v>160</v>
      </c>
      <c r="AC170" s="21">
        <v>0.80383300000000002</v>
      </c>
      <c r="AD170">
        <f t="shared" si="28"/>
        <v>16.905185185185186</v>
      </c>
      <c r="AE170">
        <f t="shared" si="29"/>
        <v>13.596688297777778</v>
      </c>
      <c r="AF170" s="9"/>
      <c r="AG170" s="21">
        <v>0.70571899999999999</v>
      </c>
      <c r="AH170" s="21">
        <v>18.673400000000001</v>
      </c>
      <c r="AI170" s="21">
        <v>-1.3632200000000001E-2</v>
      </c>
      <c r="AJ170" s="21">
        <v>160</v>
      </c>
      <c r="AK170" s="21">
        <v>0.70510899999999999</v>
      </c>
      <c r="AL170">
        <f t="shared" si="30"/>
        <v>16.829876543209878</v>
      </c>
      <c r="AM170">
        <f t="shared" si="31"/>
        <v>11.877163644197532</v>
      </c>
      <c r="AP170" s="9"/>
      <c r="AQ170" s="21">
        <v>0.80429099999999998</v>
      </c>
      <c r="AR170" s="21">
        <v>23.816099999999999</v>
      </c>
      <c r="AS170" s="21">
        <v>-1.3595599999999999E-2</v>
      </c>
      <c r="AT170" s="21">
        <v>160</v>
      </c>
      <c r="AU170" s="21">
        <v>0.80322300000000002</v>
      </c>
      <c r="AV170">
        <f t="shared" si="32"/>
        <v>16.784691358024691</v>
      </c>
      <c r="AW170">
        <f t="shared" si="33"/>
        <v>13.499776197037036</v>
      </c>
      <c r="AX170" s="9"/>
      <c r="AY170" s="21">
        <v>0.70571899999999999</v>
      </c>
      <c r="AZ170" s="21">
        <v>27.252600000000001</v>
      </c>
      <c r="BA170" s="21">
        <v>-1.3555899999999999E-2</v>
      </c>
      <c r="BB170" s="21">
        <v>160</v>
      </c>
      <c r="BC170" s="21">
        <v>0.70507799999999998</v>
      </c>
      <c r="BD170">
        <f t="shared" si="34"/>
        <v>16.735679012345678</v>
      </c>
      <c r="BE170">
        <f t="shared" si="35"/>
        <v>11.810686656913578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0.79925500000000005</v>
      </c>
      <c r="H171" s="21">
        <v>6.7127499999999998</v>
      </c>
      <c r="I171" s="21">
        <v>-1.3772599999999999E-2</v>
      </c>
      <c r="J171" s="21">
        <v>161</v>
      </c>
      <c r="K171" s="21">
        <v>0.79834000000000005</v>
      </c>
      <c r="L171">
        <f t="shared" si="24"/>
        <v>17.00320987654321</v>
      </c>
      <c r="M171">
        <f t="shared" si="25"/>
        <v>13.589900509876545</v>
      </c>
      <c r="N171" s="9"/>
      <c r="O171" s="21">
        <v>0.710754</v>
      </c>
      <c r="P171" s="21">
        <v>10.1492</v>
      </c>
      <c r="Q171" s="21">
        <v>-1.3671900000000001E-2</v>
      </c>
      <c r="R171" s="21">
        <v>161</v>
      </c>
      <c r="S171" s="21">
        <v>0.71008300000000002</v>
      </c>
      <c r="T171">
        <f t="shared" si="26"/>
        <v>16.878888888888888</v>
      </c>
      <c r="U171">
        <f t="shared" si="27"/>
        <v>11.996737793333333</v>
      </c>
      <c r="X171" s="9"/>
      <c r="Y171" s="21">
        <v>0.79925500000000005</v>
      </c>
      <c r="Z171" s="21">
        <v>15.247</v>
      </c>
      <c r="AA171" s="21">
        <v>-1.37054E-2</v>
      </c>
      <c r="AB171" s="21">
        <v>161</v>
      </c>
      <c r="AC171" s="21">
        <v>0.79803500000000005</v>
      </c>
      <c r="AD171">
        <f t="shared" si="28"/>
        <v>16.920246913580247</v>
      </c>
      <c r="AE171">
        <f t="shared" si="29"/>
        <v>13.52359194691358</v>
      </c>
      <c r="AF171" s="9"/>
      <c r="AG171" s="21">
        <v>0.710754</v>
      </c>
      <c r="AH171" s="21">
        <v>18.683499999999999</v>
      </c>
      <c r="AI171" s="21">
        <v>-1.362E-2</v>
      </c>
      <c r="AJ171" s="21">
        <v>161</v>
      </c>
      <c r="AK171" s="21">
        <v>0.71011400000000002</v>
      </c>
      <c r="AL171">
        <f t="shared" si="30"/>
        <v>16.814814814814813</v>
      </c>
      <c r="AM171">
        <f t="shared" si="31"/>
        <v>11.951196888888887</v>
      </c>
      <c r="AP171" s="9"/>
      <c r="AQ171" s="21">
        <v>0.79925500000000005</v>
      </c>
      <c r="AR171" s="21">
        <v>23.8262</v>
      </c>
      <c r="AS171" s="21">
        <v>-1.3610799999999999E-2</v>
      </c>
      <c r="AT171" s="21">
        <v>161</v>
      </c>
      <c r="AU171" s="21">
        <v>0.79772900000000002</v>
      </c>
      <c r="AV171">
        <f t="shared" si="32"/>
        <v>16.803456790123455</v>
      </c>
      <c r="AW171">
        <f t="shared" si="33"/>
        <v>13.430246856790124</v>
      </c>
      <c r="AX171" s="9"/>
      <c r="AY171" s="21">
        <v>0.710754</v>
      </c>
      <c r="AZ171" s="21">
        <v>27.262699999999999</v>
      </c>
      <c r="BA171" s="21">
        <v>-1.35376E-2</v>
      </c>
      <c r="BB171" s="21">
        <v>161</v>
      </c>
      <c r="BC171" s="21">
        <v>0.710144</v>
      </c>
      <c r="BD171">
        <f t="shared" si="34"/>
        <v>16.713086419753086</v>
      </c>
      <c r="BE171">
        <f t="shared" si="35"/>
        <v>11.878893025185185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0.79422000000000004</v>
      </c>
      <c r="H172" s="21">
        <v>6.7228199999999996</v>
      </c>
      <c r="I172" s="21">
        <v>-1.3772599999999999E-2</v>
      </c>
      <c r="J172" s="21">
        <v>162</v>
      </c>
      <c r="K172" s="21">
        <v>0.79376199999999997</v>
      </c>
      <c r="L172">
        <f t="shared" si="24"/>
        <v>17.00320987654321</v>
      </c>
      <c r="M172">
        <f t="shared" si="25"/>
        <v>13.504289348148149</v>
      </c>
      <c r="N172" s="9"/>
      <c r="O172" s="21">
        <v>0.71579000000000004</v>
      </c>
      <c r="P172" s="21">
        <v>10.1593</v>
      </c>
      <c r="Q172" s="21">
        <v>-1.36536E-2</v>
      </c>
      <c r="R172" s="21">
        <v>162</v>
      </c>
      <c r="S172" s="21">
        <v>0.71505700000000005</v>
      </c>
      <c r="T172">
        <f t="shared" si="26"/>
        <v>16.856296296296296</v>
      </c>
      <c r="U172">
        <f t="shared" si="27"/>
        <v>12.065568325925927</v>
      </c>
      <c r="X172" s="9"/>
      <c r="Y172" s="21">
        <v>0.79422000000000004</v>
      </c>
      <c r="Z172" s="21">
        <v>15.257</v>
      </c>
      <c r="AA172" s="21">
        <v>-1.3726800000000001E-2</v>
      </c>
      <c r="AB172" s="21">
        <v>162</v>
      </c>
      <c r="AC172" s="21">
        <v>0.79376199999999997</v>
      </c>
      <c r="AD172">
        <f t="shared" si="28"/>
        <v>16.946666666666665</v>
      </c>
      <c r="AE172">
        <f t="shared" si="29"/>
        <v>13.4593816</v>
      </c>
      <c r="AF172" s="9"/>
      <c r="AG172" s="21">
        <v>0.71579000000000004</v>
      </c>
      <c r="AH172" s="21">
        <v>18.6936</v>
      </c>
      <c r="AI172" s="21">
        <v>-1.3598600000000001E-2</v>
      </c>
      <c r="AJ172" s="21">
        <v>162</v>
      </c>
      <c r="AK172" s="21">
        <v>0.71527099999999999</v>
      </c>
      <c r="AL172">
        <f t="shared" si="30"/>
        <v>16.788395061728394</v>
      </c>
      <c r="AM172">
        <f t="shared" si="31"/>
        <v>12.016965301234569</v>
      </c>
      <c r="AP172" s="9"/>
      <c r="AQ172" s="21">
        <v>0.79422000000000004</v>
      </c>
      <c r="AR172" s="21">
        <v>23.836200000000002</v>
      </c>
      <c r="AS172" s="21">
        <v>-1.36139E-2</v>
      </c>
      <c r="AT172" s="21">
        <v>162</v>
      </c>
      <c r="AU172" s="21">
        <v>0.79315199999999997</v>
      </c>
      <c r="AV172">
        <f t="shared" si="32"/>
        <v>16.807283950617283</v>
      </c>
      <c r="AW172">
        <f t="shared" si="33"/>
        <v>13.348681059259258</v>
      </c>
      <c r="AX172" s="9"/>
      <c r="AY172" s="21">
        <v>0.71579000000000004</v>
      </c>
      <c r="AZ172" s="21">
        <v>27.2727</v>
      </c>
      <c r="BA172" s="21">
        <v>-1.35254E-2</v>
      </c>
      <c r="BB172" s="21">
        <v>162</v>
      </c>
      <c r="BC172" s="21">
        <v>0.71527099999999999</v>
      </c>
      <c r="BD172">
        <f t="shared" si="34"/>
        <v>16.698024691358025</v>
      </c>
      <c r="BE172">
        <f t="shared" si="35"/>
        <v>11.952279093827162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0.78918500000000003</v>
      </c>
      <c r="H173" s="21">
        <v>6.7328999999999999</v>
      </c>
      <c r="I173" s="21">
        <v>-1.37848E-2</v>
      </c>
      <c r="J173" s="21">
        <v>163</v>
      </c>
      <c r="K173" s="21">
        <v>0.788879</v>
      </c>
      <c r="L173">
        <f t="shared" si="24"/>
        <v>17.018271604938271</v>
      </c>
      <c r="M173">
        <f t="shared" si="25"/>
        <v>13.430564676543209</v>
      </c>
      <c r="N173" s="9"/>
      <c r="O173" s="21">
        <v>0.72082500000000005</v>
      </c>
      <c r="P173" s="21">
        <v>10.1694</v>
      </c>
      <c r="Q173" s="21">
        <v>-1.3632200000000001E-2</v>
      </c>
      <c r="R173" s="21">
        <v>163</v>
      </c>
      <c r="S173" s="21">
        <v>0.72036699999999998</v>
      </c>
      <c r="T173">
        <f t="shared" si="26"/>
        <v>16.829876543209878</v>
      </c>
      <c r="U173">
        <f t="shared" si="27"/>
        <v>12.131395759259261</v>
      </c>
      <c r="X173" s="9"/>
      <c r="Y173" s="21">
        <v>0.78918500000000003</v>
      </c>
      <c r="Z173" s="21">
        <v>15.267099999999999</v>
      </c>
      <c r="AA173" s="21">
        <v>-1.3736E-2</v>
      </c>
      <c r="AB173" s="21">
        <v>163</v>
      </c>
      <c r="AC173" s="21">
        <v>0.788879</v>
      </c>
      <c r="AD173">
        <f t="shared" si="28"/>
        <v>16.958024691358023</v>
      </c>
      <c r="AE173">
        <f t="shared" si="29"/>
        <v>13.383018716049381</v>
      </c>
      <c r="AF173" s="9"/>
      <c r="AG173" s="21">
        <v>0.72082500000000005</v>
      </c>
      <c r="AH173" s="21">
        <v>18.703600000000002</v>
      </c>
      <c r="AI173" s="21">
        <v>-1.35925E-2</v>
      </c>
      <c r="AJ173" s="21">
        <v>163</v>
      </c>
      <c r="AK173" s="21">
        <v>0.72009299999999998</v>
      </c>
      <c r="AL173">
        <f t="shared" si="30"/>
        <v>16.780864197530864</v>
      </c>
      <c r="AM173">
        <f t="shared" si="31"/>
        <v>12.096066435185186</v>
      </c>
      <c r="AP173" s="9"/>
      <c r="AQ173" s="21">
        <v>0.78918500000000003</v>
      </c>
      <c r="AR173" s="21">
        <v>23.846299999999999</v>
      </c>
      <c r="AS173" s="21">
        <v>-1.36139E-2</v>
      </c>
      <c r="AT173" s="21">
        <v>163</v>
      </c>
      <c r="AU173" s="21">
        <v>0.788574</v>
      </c>
      <c r="AV173">
        <f t="shared" si="32"/>
        <v>16.807283950617283</v>
      </c>
      <c r="AW173">
        <f t="shared" si="33"/>
        <v>13.264056384567901</v>
      </c>
      <c r="AX173" s="9"/>
      <c r="AY173" s="21">
        <v>0.72082500000000005</v>
      </c>
      <c r="AZ173" s="21">
        <v>27.282800000000002</v>
      </c>
      <c r="BA173" s="21">
        <v>-1.35132E-2</v>
      </c>
      <c r="BB173" s="21">
        <v>163</v>
      </c>
      <c r="BC173" s="21">
        <v>0.72015399999999996</v>
      </c>
      <c r="BD173">
        <f t="shared" si="34"/>
        <v>16.682962962962961</v>
      </c>
      <c r="BE173">
        <f t="shared" si="35"/>
        <v>12.025496777777777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0.78414899999999998</v>
      </c>
      <c r="H174" s="21">
        <v>6.7429699999999997</v>
      </c>
      <c r="I174" s="21">
        <v>-1.37848E-2</v>
      </c>
      <c r="J174" s="21">
        <v>164</v>
      </c>
      <c r="K174" s="21">
        <v>0.78338600000000003</v>
      </c>
      <c r="L174">
        <f t="shared" si="24"/>
        <v>17.018271604938271</v>
      </c>
      <c r="M174">
        <f t="shared" si="25"/>
        <v>13.344860660740739</v>
      </c>
      <c r="N174" s="9"/>
      <c r="O174" s="21">
        <v>0.72586099999999998</v>
      </c>
      <c r="P174" s="21">
        <v>10.179500000000001</v>
      </c>
      <c r="Q174" s="21">
        <v>-1.3623E-2</v>
      </c>
      <c r="R174" s="21">
        <v>164</v>
      </c>
      <c r="S174" s="21">
        <v>0.72524999999999995</v>
      </c>
      <c r="T174">
        <f t="shared" si="26"/>
        <v>16.818518518518516</v>
      </c>
      <c r="U174">
        <f t="shared" si="27"/>
        <v>12.207906670370368</v>
      </c>
      <c r="X174" s="9"/>
      <c r="Y174" s="21">
        <v>0.78414899999999998</v>
      </c>
      <c r="Z174" s="21">
        <v>15.277200000000001</v>
      </c>
      <c r="AA174" s="21">
        <v>-1.37451E-2</v>
      </c>
      <c r="AB174" s="21">
        <v>164</v>
      </c>
      <c r="AC174" s="21">
        <v>0.78277600000000003</v>
      </c>
      <c r="AD174">
        <f t="shared" si="28"/>
        <v>16.969259259259257</v>
      </c>
      <c r="AE174">
        <f t="shared" si="29"/>
        <v>13.306427678888888</v>
      </c>
      <c r="AF174" s="9"/>
      <c r="AG174" s="21">
        <v>0.72586099999999998</v>
      </c>
      <c r="AH174" s="21">
        <v>18.713699999999999</v>
      </c>
      <c r="AI174" s="21">
        <v>-1.35925E-2</v>
      </c>
      <c r="AJ174" s="21">
        <v>164</v>
      </c>
      <c r="AK174" s="21">
        <v>0.72531100000000004</v>
      </c>
      <c r="AL174">
        <f t="shared" si="30"/>
        <v>16.780864197530864</v>
      </c>
      <c r="AM174">
        <f t="shared" si="31"/>
        <v>12.18057486728395</v>
      </c>
      <c r="AP174" s="9"/>
      <c r="AQ174" s="21">
        <v>0.78414899999999998</v>
      </c>
      <c r="AR174" s="21">
        <v>23.856400000000001</v>
      </c>
      <c r="AS174" s="21">
        <v>-1.3623E-2</v>
      </c>
      <c r="AT174" s="21">
        <v>164</v>
      </c>
      <c r="AU174" s="21">
        <v>0.78338600000000003</v>
      </c>
      <c r="AV174">
        <f t="shared" si="32"/>
        <v>16.818518518518516</v>
      </c>
      <c r="AW174">
        <f t="shared" si="33"/>
        <v>13.188224477777776</v>
      </c>
      <c r="AX174" s="9"/>
      <c r="AY174" s="21">
        <v>0.72586099999999998</v>
      </c>
      <c r="AZ174" s="21">
        <v>27.292899999999999</v>
      </c>
      <c r="BA174" s="21">
        <v>-1.3501000000000001E-2</v>
      </c>
      <c r="BB174" s="21">
        <v>164</v>
      </c>
      <c r="BC174" s="21">
        <v>0.72524999999999995</v>
      </c>
      <c r="BD174">
        <f t="shared" si="34"/>
        <v>16.667901234567903</v>
      </c>
      <c r="BE174">
        <f t="shared" si="35"/>
        <v>12.098579458024693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0.77911399999999997</v>
      </c>
      <c r="H175" s="21">
        <v>6.7530400000000004</v>
      </c>
      <c r="I175" s="21">
        <v>-1.37939E-2</v>
      </c>
      <c r="J175" s="21">
        <v>165</v>
      </c>
      <c r="K175" s="21">
        <v>0.77758799999999995</v>
      </c>
      <c r="L175">
        <f t="shared" si="24"/>
        <v>17.029506172839504</v>
      </c>
      <c r="M175">
        <f t="shared" si="25"/>
        <v>13.267926672345677</v>
      </c>
      <c r="N175" s="9"/>
      <c r="O175" s="21">
        <v>0.73089599999999999</v>
      </c>
      <c r="P175" s="21">
        <v>10.189500000000001</v>
      </c>
      <c r="Q175" s="21">
        <v>-1.36078E-2</v>
      </c>
      <c r="R175" s="21">
        <v>165</v>
      </c>
      <c r="S175" s="21">
        <v>0.73031599999999997</v>
      </c>
      <c r="T175">
        <f t="shared" si="26"/>
        <v>16.799753086419752</v>
      </c>
      <c r="U175">
        <f t="shared" si="27"/>
        <v>12.278872331851851</v>
      </c>
      <c r="X175" s="9"/>
      <c r="Y175" s="21">
        <v>0.77911399999999997</v>
      </c>
      <c r="Z175" s="21">
        <v>15.2872</v>
      </c>
      <c r="AA175" s="21">
        <v>-1.3754300000000001E-2</v>
      </c>
      <c r="AB175" s="21">
        <v>165</v>
      </c>
      <c r="AC175" s="21">
        <v>0.77850299999999995</v>
      </c>
      <c r="AD175">
        <f t="shared" si="28"/>
        <v>16.980617283950615</v>
      </c>
      <c r="AE175">
        <f t="shared" si="29"/>
        <v>13.229836654567899</v>
      </c>
      <c r="AF175" s="9"/>
      <c r="AG175" s="21">
        <v>0.73089599999999999</v>
      </c>
      <c r="AH175" s="21">
        <v>18.723800000000001</v>
      </c>
      <c r="AI175" s="21">
        <v>-1.3589499999999999E-2</v>
      </c>
      <c r="AJ175" s="21">
        <v>165</v>
      </c>
      <c r="AK175" s="21">
        <v>0.73022500000000001</v>
      </c>
      <c r="AL175">
        <f t="shared" si="30"/>
        <v>16.777160493827161</v>
      </c>
      <c r="AM175">
        <f t="shared" si="31"/>
        <v>12.262359496296297</v>
      </c>
      <c r="AP175" s="9"/>
      <c r="AQ175" s="21">
        <v>0.77911399999999997</v>
      </c>
      <c r="AR175" s="21">
        <v>23.866499999999998</v>
      </c>
      <c r="AS175" s="21">
        <v>-1.3638300000000001E-2</v>
      </c>
      <c r="AT175" s="21">
        <v>165</v>
      </c>
      <c r="AU175" s="21">
        <v>0.77789299999999995</v>
      </c>
      <c r="AV175">
        <f t="shared" si="32"/>
        <v>16.837407407407408</v>
      </c>
      <c r="AW175">
        <f t="shared" si="33"/>
        <v>13.118259834814815</v>
      </c>
      <c r="AX175" s="9"/>
      <c r="AY175" s="21">
        <v>0.73089599999999999</v>
      </c>
      <c r="AZ175" s="21">
        <v>27.302900000000001</v>
      </c>
      <c r="BA175" s="21">
        <v>-1.34796E-2</v>
      </c>
      <c r="BB175" s="21">
        <v>165</v>
      </c>
      <c r="BC175" s="21">
        <v>0.73031599999999997</v>
      </c>
      <c r="BD175">
        <f t="shared" si="34"/>
        <v>16.641481481481478</v>
      </c>
      <c r="BE175">
        <f t="shared" si="35"/>
        <v>12.163192248888885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0.77407800000000004</v>
      </c>
      <c r="H176" s="21">
        <v>6.7631100000000002</v>
      </c>
      <c r="I176" s="21">
        <v>-1.38031E-2</v>
      </c>
      <c r="J176" s="21">
        <v>166</v>
      </c>
      <c r="K176" s="21">
        <v>0.77300999999999997</v>
      </c>
      <c r="L176">
        <f t="shared" si="24"/>
        <v>17.040864197530862</v>
      </c>
      <c r="M176">
        <f t="shared" si="25"/>
        <v>13.190958076296296</v>
      </c>
      <c r="N176" s="9"/>
      <c r="O176" s="21">
        <v>0.735931</v>
      </c>
      <c r="P176" s="21">
        <v>10.1996</v>
      </c>
      <c r="Q176" s="21">
        <v>-1.3604700000000001E-2</v>
      </c>
      <c r="R176" s="21">
        <v>166</v>
      </c>
      <c r="S176" s="21">
        <v>0.73529100000000003</v>
      </c>
      <c r="T176">
        <f t="shared" si="26"/>
        <v>16.795925925925925</v>
      </c>
      <c r="U176">
        <f t="shared" si="27"/>
        <v>12.360642562592592</v>
      </c>
      <c r="X176" s="9"/>
      <c r="Y176" s="21">
        <v>0.77407800000000004</v>
      </c>
      <c r="Z176" s="21">
        <v>15.2973</v>
      </c>
      <c r="AA176" s="21">
        <v>-1.3760400000000001E-2</v>
      </c>
      <c r="AB176" s="21">
        <v>166</v>
      </c>
      <c r="AC176" s="21">
        <v>0.77300999999999997</v>
      </c>
      <c r="AD176">
        <f t="shared" si="28"/>
        <v>16.988148148148149</v>
      </c>
      <c r="AE176">
        <f t="shared" si="29"/>
        <v>13.150151742222222</v>
      </c>
      <c r="AF176" s="9"/>
      <c r="AG176" s="21">
        <v>0.735931</v>
      </c>
      <c r="AH176" s="21">
        <v>18.733799999999999</v>
      </c>
      <c r="AI176" s="21">
        <v>-1.35742E-2</v>
      </c>
      <c r="AJ176" s="21">
        <v>166</v>
      </c>
      <c r="AK176" s="21">
        <v>0.73535200000000001</v>
      </c>
      <c r="AL176">
        <f t="shared" si="30"/>
        <v>16.758271604938273</v>
      </c>
      <c r="AM176">
        <f t="shared" si="31"/>
        <v>12.332931580493828</v>
      </c>
      <c r="AP176" s="9"/>
      <c r="AQ176" s="21">
        <v>0.77407800000000004</v>
      </c>
      <c r="AR176" s="21">
        <v>23.8765</v>
      </c>
      <c r="AS176" s="21">
        <v>-1.36566E-2</v>
      </c>
      <c r="AT176" s="21">
        <v>166</v>
      </c>
      <c r="AU176" s="21">
        <v>0.77300999999999997</v>
      </c>
      <c r="AV176">
        <f t="shared" si="32"/>
        <v>16.86</v>
      </c>
      <c r="AW176">
        <f t="shared" si="33"/>
        <v>13.05095508</v>
      </c>
      <c r="AX176" s="9"/>
      <c r="AY176" s="21">
        <v>0.735931</v>
      </c>
      <c r="AZ176" s="21">
        <v>27.312999999999999</v>
      </c>
      <c r="BA176" s="21">
        <v>-1.3461300000000001E-2</v>
      </c>
      <c r="BB176" s="21">
        <v>166</v>
      </c>
      <c r="BC176" s="21">
        <v>0.735321</v>
      </c>
      <c r="BD176">
        <f t="shared" si="34"/>
        <v>16.618888888888886</v>
      </c>
      <c r="BE176">
        <f t="shared" si="35"/>
        <v>12.230355518888887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0.76904300000000003</v>
      </c>
      <c r="H177" s="21">
        <v>6.77318</v>
      </c>
      <c r="I177" s="21">
        <v>-1.38306E-2</v>
      </c>
      <c r="J177" s="21">
        <v>167</v>
      </c>
      <c r="K177" s="21">
        <v>0.767822</v>
      </c>
      <c r="L177">
        <f t="shared" si="24"/>
        <v>17.074814814814815</v>
      </c>
      <c r="M177">
        <f t="shared" si="25"/>
        <v>13.131266809629629</v>
      </c>
      <c r="N177" s="9"/>
      <c r="O177" s="21">
        <v>0.74096700000000004</v>
      </c>
      <c r="P177" s="21">
        <v>10.2097</v>
      </c>
      <c r="Q177" s="21">
        <v>-1.3598600000000001E-2</v>
      </c>
      <c r="R177" s="21">
        <v>167</v>
      </c>
      <c r="S177" s="21">
        <v>0.74035600000000001</v>
      </c>
      <c r="T177">
        <f t="shared" si="26"/>
        <v>16.788395061728394</v>
      </c>
      <c r="U177">
        <f t="shared" si="27"/>
        <v>12.439646723703705</v>
      </c>
      <c r="X177" s="9"/>
      <c r="Y177" s="21">
        <v>0.76904300000000003</v>
      </c>
      <c r="Z177" s="21">
        <v>15.307399999999999</v>
      </c>
      <c r="AA177" s="21">
        <v>-1.37634E-2</v>
      </c>
      <c r="AB177" s="21">
        <v>167</v>
      </c>
      <c r="AC177" s="21">
        <v>0.768127</v>
      </c>
      <c r="AD177">
        <f t="shared" si="28"/>
        <v>16.991851851851852</v>
      </c>
      <c r="AE177">
        <f t="shared" si="29"/>
        <v>13.067464723703704</v>
      </c>
      <c r="AF177" s="9"/>
      <c r="AG177" s="21">
        <v>0.74096700000000004</v>
      </c>
      <c r="AH177" s="21">
        <v>18.7439</v>
      </c>
      <c r="AI177" s="21">
        <v>-1.3559E-2</v>
      </c>
      <c r="AJ177" s="21">
        <v>167</v>
      </c>
      <c r="AK177" s="21">
        <v>0.74035600000000001</v>
      </c>
      <c r="AL177">
        <f t="shared" si="30"/>
        <v>16.739506172839505</v>
      </c>
      <c r="AM177">
        <f t="shared" si="31"/>
        <v>12.403421670370371</v>
      </c>
      <c r="AP177" s="9"/>
      <c r="AQ177" s="21">
        <v>0.76904300000000003</v>
      </c>
      <c r="AR177" s="21">
        <v>23.886600000000001</v>
      </c>
      <c r="AS177" s="21">
        <v>-1.3665800000000001E-2</v>
      </c>
      <c r="AT177" s="21">
        <v>167</v>
      </c>
      <c r="AU177" s="21">
        <v>0.76843300000000003</v>
      </c>
      <c r="AV177">
        <f t="shared" si="32"/>
        <v>16.871358024691357</v>
      </c>
      <c r="AW177">
        <f t="shared" si="33"/>
        <v>12.974799789382716</v>
      </c>
      <c r="AX177" s="9"/>
      <c r="AY177" s="21">
        <v>0.74096700000000004</v>
      </c>
      <c r="AZ177" s="21">
        <v>27.3231</v>
      </c>
      <c r="BA177" s="21">
        <v>-1.3446E-2</v>
      </c>
      <c r="BB177" s="21">
        <v>167</v>
      </c>
      <c r="BC177" s="21">
        <v>0.74020399999999997</v>
      </c>
      <c r="BD177">
        <f t="shared" si="34"/>
        <v>16.599999999999998</v>
      </c>
      <c r="BE177">
        <f t="shared" si="35"/>
        <v>12.3000522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0.76400800000000002</v>
      </c>
      <c r="H178" s="21">
        <v>6.7832499999999998</v>
      </c>
      <c r="I178" s="21">
        <v>-1.3848900000000001E-2</v>
      </c>
      <c r="J178" s="21">
        <v>168</v>
      </c>
      <c r="K178" s="21">
        <v>0.76324499999999995</v>
      </c>
      <c r="L178">
        <f t="shared" si="24"/>
        <v>17.09740740740741</v>
      </c>
      <c r="M178">
        <f t="shared" si="25"/>
        <v>13.062556038518521</v>
      </c>
      <c r="N178" s="9"/>
      <c r="O178" s="21">
        <v>0.74600200000000005</v>
      </c>
      <c r="P178" s="21">
        <v>10.2197</v>
      </c>
      <c r="Q178" s="21">
        <v>-1.35925E-2</v>
      </c>
      <c r="R178" s="21">
        <v>168</v>
      </c>
      <c r="S178" s="21">
        <v>0.74536100000000005</v>
      </c>
      <c r="T178">
        <f t="shared" si="26"/>
        <v>16.780864197530864</v>
      </c>
      <c r="U178">
        <f t="shared" si="27"/>
        <v>12.51855825308642</v>
      </c>
      <c r="X178" s="9"/>
      <c r="Y178" s="21">
        <v>0.76400800000000002</v>
      </c>
      <c r="Z178" s="21">
        <v>15.317500000000001</v>
      </c>
      <c r="AA178" s="21">
        <v>-1.3772599999999999E-2</v>
      </c>
      <c r="AB178" s="21">
        <v>168</v>
      </c>
      <c r="AC178" s="21">
        <v>0.76324499999999995</v>
      </c>
      <c r="AD178">
        <f t="shared" si="28"/>
        <v>17.00320987654321</v>
      </c>
      <c r="AE178">
        <f t="shared" si="29"/>
        <v>12.990588371358024</v>
      </c>
      <c r="AF178" s="9"/>
      <c r="AG178" s="21">
        <v>0.74600200000000005</v>
      </c>
      <c r="AH178" s="21">
        <v>18.754000000000001</v>
      </c>
      <c r="AI178" s="21">
        <v>-1.35345E-2</v>
      </c>
      <c r="AJ178" s="21">
        <v>168</v>
      </c>
      <c r="AK178" s="21">
        <v>0.74542200000000003</v>
      </c>
      <c r="AL178">
        <f t="shared" si="30"/>
        <v>16.709259259259255</v>
      </c>
      <c r="AM178">
        <f t="shared" si="31"/>
        <v>12.465140825925923</v>
      </c>
      <c r="AP178" s="9"/>
      <c r="AQ178" s="21">
        <v>0.76400800000000002</v>
      </c>
      <c r="AR178" s="21">
        <v>23.896699999999999</v>
      </c>
      <c r="AS178" s="21">
        <v>-1.36749E-2</v>
      </c>
      <c r="AT178" s="21">
        <v>168</v>
      </c>
      <c r="AU178" s="21">
        <v>0.76324499999999995</v>
      </c>
      <c r="AV178">
        <f t="shared" si="32"/>
        <v>16.882592592592591</v>
      </c>
      <c r="AW178">
        <f t="shared" si="33"/>
        <v>12.898435801481481</v>
      </c>
      <c r="AX178" s="9"/>
      <c r="AY178" s="21">
        <v>0.74600200000000005</v>
      </c>
      <c r="AZ178" s="21">
        <v>27.333200000000001</v>
      </c>
      <c r="BA178" s="21">
        <v>-1.34308E-2</v>
      </c>
      <c r="BB178" s="21">
        <v>168</v>
      </c>
      <c r="BC178" s="21">
        <v>0.74536100000000005</v>
      </c>
      <c r="BD178">
        <f t="shared" si="34"/>
        <v>16.581234567901234</v>
      </c>
      <c r="BE178">
        <f t="shared" si="35"/>
        <v>12.369634150123456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0.75897199999999998</v>
      </c>
      <c r="H179" s="21">
        <v>6.7933199999999996</v>
      </c>
      <c r="I179" s="21">
        <v>-1.3870199999999999E-2</v>
      </c>
      <c r="J179" s="21">
        <v>169</v>
      </c>
      <c r="K179" s="21">
        <v>0.75836199999999998</v>
      </c>
      <c r="L179">
        <f t="shared" si="24"/>
        <v>17.123703703703701</v>
      </c>
      <c r="M179">
        <f t="shared" si="25"/>
        <v>12.996411647407404</v>
      </c>
      <c r="N179" s="9"/>
      <c r="O179" s="21">
        <v>0.75103799999999998</v>
      </c>
      <c r="P179" s="21">
        <v>10.229799999999999</v>
      </c>
      <c r="Q179" s="21">
        <v>-1.3595599999999999E-2</v>
      </c>
      <c r="R179" s="21">
        <v>169</v>
      </c>
      <c r="S179" s="21">
        <v>0.75036599999999998</v>
      </c>
      <c r="T179">
        <f t="shared" si="26"/>
        <v>16.784691358024691</v>
      </c>
      <c r="U179">
        <f t="shared" si="27"/>
        <v>12.605941028148148</v>
      </c>
      <c r="X179" s="9"/>
      <c r="Y179" s="21">
        <v>0.75897199999999998</v>
      </c>
      <c r="Z179" s="21">
        <v>15.327500000000001</v>
      </c>
      <c r="AA179" s="21">
        <v>-1.3775600000000001E-2</v>
      </c>
      <c r="AB179" s="21">
        <v>169</v>
      </c>
      <c r="AC179" s="21">
        <v>0.75805699999999998</v>
      </c>
      <c r="AD179">
        <f t="shared" si="28"/>
        <v>17.006913580246916</v>
      </c>
      <c r="AE179">
        <f t="shared" si="29"/>
        <v>12.907771213827163</v>
      </c>
      <c r="AF179" s="9"/>
      <c r="AG179" s="21">
        <v>0.75103799999999998</v>
      </c>
      <c r="AH179" s="21">
        <v>18.764099999999999</v>
      </c>
      <c r="AI179" s="21">
        <v>-1.3501000000000001E-2</v>
      </c>
      <c r="AJ179" s="21">
        <v>169</v>
      </c>
      <c r="AK179" s="21">
        <v>0.75039699999999998</v>
      </c>
      <c r="AL179">
        <f t="shared" si="30"/>
        <v>16.667901234567903</v>
      </c>
      <c r="AM179">
        <f t="shared" si="31"/>
        <v>12.518227207407408</v>
      </c>
      <c r="AP179" s="9"/>
      <c r="AQ179" s="21">
        <v>0.75897199999999998</v>
      </c>
      <c r="AR179" s="21">
        <v>23.906700000000001</v>
      </c>
      <c r="AS179" s="21">
        <v>-1.3693200000000001E-2</v>
      </c>
      <c r="AT179" s="21">
        <v>169</v>
      </c>
      <c r="AU179" s="21">
        <v>0.75836199999999998</v>
      </c>
      <c r="AV179">
        <f t="shared" si="32"/>
        <v>16.905185185185186</v>
      </c>
      <c r="AW179">
        <f t="shared" si="33"/>
        <v>12.83056221037037</v>
      </c>
      <c r="AX179" s="9"/>
      <c r="AY179" s="21">
        <v>0.75103799999999998</v>
      </c>
      <c r="AZ179" s="21">
        <v>27.3432</v>
      </c>
      <c r="BA179" s="21">
        <v>-1.3421600000000001E-2</v>
      </c>
      <c r="BB179" s="21">
        <v>169</v>
      </c>
      <c r="BC179" s="21">
        <v>0.75039699999999998</v>
      </c>
      <c r="BD179">
        <f t="shared" si="34"/>
        <v>16.569876543209876</v>
      </c>
      <c r="BE179">
        <f t="shared" si="35"/>
        <v>12.444606939259259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0.75393699999999997</v>
      </c>
      <c r="H180" s="21">
        <v>6.8033900000000003</v>
      </c>
      <c r="I180" s="21">
        <v>-1.38855E-2</v>
      </c>
      <c r="J180" s="21">
        <v>170</v>
      </c>
      <c r="K180" s="21">
        <v>0.75347900000000001</v>
      </c>
      <c r="L180">
        <f t="shared" si="24"/>
        <v>17.142592592592592</v>
      </c>
      <c r="M180">
        <f t="shared" si="25"/>
        <v>12.924434831481481</v>
      </c>
      <c r="N180" s="9"/>
      <c r="O180" s="21">
        <v>0.756073</v>
      </c>
      <c r="P180" s="21">
        <v>10.2399</v>
      </c>
      <c r="Q180" s="21">
        <v>-1.3598600000000001E-2</v>
      </c>
      <c r="R180" s="21">
        <v>170</v>
      </c>
      <c r="S180" s="21">
        <v>0.75531000000000004</v>
      </c>
      <c r="T180">
        <f t="shared" si="26"/>
        <v>16.788395061728394</v>
      </c>
      <c r="U180">
        <f t="shared" si="27"/>
        <v>12.693252219506173</v>
      </c>
      <c r="X180" s="9"/>
      <c r="Y180" s="21">
        <v>0.75393699999999997</v>
      </c>
      <c r="Z180" s="21">
        <v>15.3376</v>
      </c>
      <c r="AA180" s="21">
        <v>-1.37848E-2</v>
      </c>
      <c r="AB180" s="21">
        <v>170</v>
      </c>
      <c r="AC180" s="21">
        <v>0.75256299999999998</v>
      </c>
      <c r="AD180">
        <f t="shared" si="28"/>
        <v>17.018271604938271</v>
      </c>
      <c r="AE180">
        <f t="shared" si="29"/>
        <v>12.830704639012344</v>
      </c>
      <c r="AF180" s="9"/>
      <c r="AG180" s="21">
        <v>0.756073</v>
      </c>
      <c r="AH180" s="21">
        <v>18.774100000000001</v>
      </c>
      <c r="AI180" s="21">
        <v>-1.3473499999999999E-2</v>
      </c>
      <c r="AJ180" s="21">
        <v>170</v>
      </c>
      <c r="AK180" s="21">
        <v>0.75561500000000004</v>
      </c>
      <c r="AL180">
        <f t="shared" si="30"/>
        <v>16.633950617283947</v>
      </c>
      <c r="AM180">
        <f t="shared" si="31"/>
        <v>12.576480945061725</v>
      </c>
      <c r="AP180" s="9"/>
      <c r="AQ180" s="21">
        <v>0.75393699999999997</v>
      </c>
      <c r="AR180" s="21">
        <v>23.916799999999999</v>
      </c>
      <c r="AS180" s="21">
        <v>-1.37054E-2</v>
      </c>
      <c r="AT180" s="21">
        <v>170</v>
      </c>
      <c r="AU180" s="21">
        <v>0.75347900000000001</v>
      </c>
      <c r="AV180">
        <f t="shared" si="32"/>
        <v>16.920246913580247</v>
      </c>
      <c r="AW180">
        <f t="shared" si="33"/>
        <v>12.756800197283949</v>
      </c>
      <c r="AX180" s="9"/>
      <c r="AY180" s="21">
        <v>0.756073</v>
      </c>
      <c r="AZ180" s="21">
        <v>27.353300000000001</v>
      </c>
      <c r="BA180" s="21">
        <v>-1.3412500000000001E-2</v>
      </c>
      <c r="BB180" s="21">
        <v>170</v>
      </c>
      <c r="BC180" s="21">
        <v>0.75531000000000004</v>
      </c>
      <c r="BD180">
        <f t="shared" si="34"/>
        <v>16.558641975308642</v>
      </c>
      <c r="BE180">
        <f t="shared" si="35"/>
        <v>12.519542114197531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0.74890100000000004</v>
      </c>
      <c r="H181" s="21">
        <v>6.8134600000000001</v>
      </c>
      <c r="I181" s="21">
        <v>-1.3897700000000001E-2</v>
      </c>
      <c r="J181" s="21">
        <v>171</v>
      </c>
      <c r="K181" s="21">
        <v>0.74822999999999995</v>
      </c>
      <c r="L181">
        <f t="shared" si="24"/>
        <v>17.157654320987653</v>
      </c>
      <c r="M181">
        <f t="shared" si="25"/>
        <v>12.849384478641975</v>
      </c>
      <c r="N181" s="9"/>
      <c r="O181" s="21">
        <v>0.76110800000000001</v>
      </c>
      <c r="P181" s="21">
        <v>10.25</v>
      </c>
      <c r="Q181" s="21">
        <v>-1.36017E-2</v>
      </c>
      <c r="R181" s="21">
        <v>171</v>
      </c>
      <c r="S181" s="21">
        <v>0.76049800000000001</v>
      </c>
      <c r="T181">
        <f t="shared" si="26"/>
        <v>16.792222222222222</v>
      </c>
      <c r="U181">
        <f t="shared" si="27"/>
        <v>12.78069467111111</v>
      </c>
      <c r="X181" s="9"/>
      <c r="Y181" s="21">
        <v>0.74890100000000004</v>
      </c>
      <c r="Z181" s="21">
        <v>15.3477</v>
      </c>
      <c r="AA181" s="21">
        <v>-1.37909E-2</v>
      </c>
      <c r="AB181" s="21">
        <v>171</v>
      </c>
      <c r="AC181" s="21">
        <v>0.74829100000000004</v>
      </c>
      <c r="AD181">
        <f t="shared" si="28"/>
        <v>17.025802469135801</v>
      </c>
      <c r="AE181">
        <f t="shared" si="29"/>
        <v>12.750640494938271</v>
      </c>
      <c r="AF181" s="9"/>
      <c r="AG181" s="21">
        <v>0.76110800000000001</v>
      </c>
      <c r="AH181" s="21">
        <v>18.784199999999998</v>
      </c>
      <c r="AI181" s="21">
        <v>-1.34644E-2</v>
      </c>
      <c r="AJ181" s="21">
        <v>171</v>
      </c>
      <c r="AK181" s="21">
        <v>0.76080300000000001</v>
      </c>
      <c r="AL181">
        <f t="shared" si="30"/>
        <v>16.622716049382717</v>
      </c>
      <c r="AM181">
        <f t="shared" si="31"/>
        <v>12.651682166913581</v>
      </c>
      <c r="AP181" s="9"/>
      <c r="AQ181" s="21">
        <v>0.74890100000000004</v>
      </c>
      <c r="AR181" s="21">
        <v>23.9269</v>
      </c>
      <c r="AS181" s="21">
        <v>-1.3720700000000001E-2</v>
      </c>
      <c r="AT181" s="21">
        <v>171</v>
      </c>
      <c r="AU181" s="21">
        <v>0.74832200000000004</v>
      </c>
      <c r="AV181">
        <f t="shared" si="32"/>
        <v>16.939135802469135</v>
      </c>
      <c r="AW181">
        <f t="shared" si="33"/>
        <v>12.685735741604939</v>
      </c>
      <c r="AX181" s="9"/>
      <c r="AY181" s="21">
        <v>0.76110800000000001</v>
      </c>
      <c r="AZ181" s="21">
        <v>27.363399999999999</v>
      </c>
      <c r="BA181" s="21">
        <v>-1.34033E-2</v>
      </c>
      <c r="BB181" s="21">
        <v>171</v>
      </c>
      <c r="BC181" s="21">
        <v>0.76049800000000001</v>
      </c>
      <c r="BD181">
        <f t="shared" si="34"/>
        <v>16.547283950617281</v>
      </c>
      <c r="BE181">
        <f t="shared" si="35"/>
        <v>12.594270193086418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0.74386600000000003</v>
      </c>
      <c r="H182" s="21">
        <v>6.8235299999999999</v>
      </c>
      <c r="I182" s="21">
        <v>-1.3909899999999999E-2</v>
      </c>
      <c r="J182" s="21">
        <v>172</v>
      </c>
      <c r="K182" s="21">
        <v>0.74319500000000005</v>
      </c>
      <c r="L182">
        <f t="shared" si="24"/>
        <v>17.172716049382714</v>
      </c>
      <c r="M182">
        <f t="shared" si="25"/>
        <v>12.774199596790123</v>
      </c>
      <c r="N182" s="9"/>
      <c r="O182" s="21">
        <v>0.76614400000000005</v>
      </c>
      <c r="P182" s="21">
        <v>10.26</v>
      </c>
      <c r="Q182" s="21">
        <v>-1.3589499999999999E-2</v>
      </c>
      <c r="R182" s="21">
        <v>172</v>
      </c>
      <c r="S182" s="21">
        <v>0.76507599999999998</v>
      </c>
      <c r="T182">
        <f t="shared" si="26"/>
        <v>16.777160493827161</v>
      </c>
      <c r="U182">
        <f t="shared" si="27"/>
        <v>12.853720849382716</v>
      </c>
      <c r="X182" s="9"/>
      <c r="Y182" s="21">
        <v>0.74386600000000003</v>
      </c>
      <c r="Z182" s="21">
        <v>15.357699999999999</v>
      </c>
      <c r="AA182" s="21">
        <v>-1.38E-2</v>
      </c>
      <c r="AB182" s="21">
        <v>172</v>
      </c>
      <c r="AC182" s="21">
        <v>0.74322500000000002</v>
      </c>
      <c r="AD182">
        <f t="shared" si="28"/>
        <v>17.037037037037035</v>
      </c>
      <c r="AE182">
        <f t="shared" si="29"/>
        <v>12.673272592592591</v>
      </c>
      <c r="AF182" s="9"/>
      <c r="AG182" s="21">
        <v>0.76614400000000005</v>
      </c>
      <c r="AH182" s="21">
        <v>18.7943</v>
      </c>
      <c r="AI182" s="21">
        <v>-1.3458299999999999E-2</v>
      </c>
      <c r="AJ182" s="21">
        <v>172</v>
      </c>
      <c r="AK182" s="21">
        <v>0.76538099999999998</v>
      </c>
      <c r="AL182">
        <f t="shared" si="30"/>
        <v>16.615185185185183</v>
      </c>
      <c r="AM182">
        <f t="shared" si="31"/>
        <v>12.729624438518517</v>
      </c>
      <c r="AP182" s="9"/>
      <c r="AQ182" s="21">
        <v>0.74386600000000003</v>
      </c>
      <c r="AR182" s="21">
        <v>23.936900000000001</v>
      </c>
      <c r="AS182" s="21">
        <v>-1.3738999999999999E-2</v>
      </c>
      <c r="AT182" s="21">
        <v>172</v>
      </c>
      <c r="AU182" s="21">
        <v>0.74325600000000003</v>
      </c>
      <c r="AV182">
        <f t="shared" si="32"/>
        <v>16.961728395061726</v>
      </c>
      <c r="AW182">
        <f t="shared" si="33"/>
        <v>12.617253054320987</v>
      </c>
      <c r="AX182" s="9"/>
      <c r="AY182" s="21">
        <v>0.76614400000000005</v>
      </c>
      <c r="AZ182" s="21">
        <v>27.3734</v>
      </c>
      <c r="BA182" s="21">
        <v>-1.34003E-2</v>
      </c>
      <c r="BB182" s="21">
        <v>172</v>
      </c>
      <c r="BC182" s="21">
        <v>0.76538099999999998</v>
      </c>
      <c r="BD182">
        <f t="shared" si="34"/>
        <v>16.543580246913578</v>
      </c>
      <c r="BE182">
        <f t="shared" si="35"/>
        <v>12.674764744691357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0.73883100000000002</v>
      </c>
      <c r="H183" s="21">
        <v>6.8336100000000002</v>
      </c>
      <c r="I183" s="21">
        <v>-1.3913E-2</v>
      </c>
      <c r="J183" s="21">
        <v>173</v>
      </c>
      <c r="K183" s="21">
        <v>0.73821999999999999</v>
      </c>
      <c r="L183">
        <f t="shared" si="24"/>
        <v>17.176543209876542</v>
      </c>
      <c r="M183">
        <f t="shared" si="25"/>
        <v>12.690562596296296</v>
      </c>
      <c r="N183" s="9"/>
      <c r="O183" s="21">
        <v>0.77117899999999995</v>
      </c>
      <c r="P183" s="21">
        <v>10.270099999999999</v>
      </c>
      <c r="Q183" s="21">
        <v>-1.3583400000000001E-2</v>
      </c>
      <c r="R183" s="21">
        <v>173</v>
      </c>
      <c r="S183" s="21">
        <v>0.77056899999999995</v>
      </c>
      <c r="T183">
        <f t="shared" si="26"/>
        <v>16.76962962962963</v>
      </c>
      <c r="U183">
        <f t="shared" si="27"/>
        <v>12.932386208148149</v>
      </c>
      <c r="X183" s="9"/>
      <c r="Y183" s="21">
        <v>0.73883100000000002</v>
      </c>
      <c r="Z183" s="21">
        <v>15.367800000000001</v>
      </c>
      <c r="AA183" s="21">
        <v>-1.3815300000000001E-2</v>
      </c>
      <c r="AB183" s="21">
        <v>173</v>
      </c>
      <c r="AC183" s="21">
        <v>0.73821999999999999</v>
      </c>
      <c r="AD183">
        <f t="shared" si="28"/>
        <v>17.055925925925926</v>
      </c>
      <c r="AE183">
        <f t="shared" si="29"/>
        <v>12.601446807777778</v>
      </c>
      <c r="AF183" s="9"/>
      <c r="AG183" s="21">
        <v>0.77117899999999995</v>
      </c>
      <c r="AH183" s="21">
        <v>18.804300000000001</v>
      </c>
      <c r="AI183" s="21">
        <v>-1.34552E-2</v>
      </c>
      <c r="AJ183" s="21">
        <v>173</v>
      </c>
      <c r="AK183" s="21">
        <v>0.77056899999999995</v>
      </c>
      <c r="AL183">
        <f t="shared" si="30"/>
        <v>16.611358024691356</v>
      </c>
      <c r="AM183">
        <f t="shared" si="31"/>
        <v>12.810330470123453</v>
      </c>
      <c r="AP183" s="9"/>
      <c r="AQ183" s="21">
        <v>0.73883100000000002</v>
      </c>
      <c r="AR183" s="21">
        <v>23.946999999999999</v>
      </c>
      <c r="AS183" s="21">
        <v>-1.37634E-2</v>
      </c>
      <c r="AT183" s="21">
        <v>173</v>
      </c>
      <c r="AU183" s="21">
        <v>0.73840300000000003</v>
      </c>
      <c r="AV183">
        <f t="shared" si="32"/>
        <v>16.991851851851852</v>
      </c>
      <c r="AW183">
        <f t="shared" si="33"/>
        <v>12.554106895555556</v>
      </c>
      <c r="AX183" s="9"/>
      <c r="AY183" s="21">
        <v>0.77117899999999995</v>
      </c>
      <c r="AZ183" s="21">
        <v>27.383500000000002</v>
      </c>
      <c r="BA183" s="21">
        <v>-1.33972E-2</v>
      </c>
      <c r="BB183" s="21">
        <v>173</v>
      </c>
      <c r="BC183" s="21">
        <v>0.77056899999999995</v>
      </c>
      <c r="BD183">
        <f t="shared" si="34"/>
        <v>16.539753086419751</v>
      </c>
      <c r="BE183">
        <f t="shared" si="35"/>
        <v>12.755110245432096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0.73379499999999998</v>
      </c>
      <c r="H184" s="21">
        <v>6.84368</v>
      </c>
      <c r="I184" s="21">
        <v>-1.39221E-2</v>
      </c>
      <c r="J184" s="21">
        <v>174</v>
      </c>
      <c r="K184" s="21">
        <v>0.73315399999999997</v>
      </c>
      <c r="L184">
        <f t="shared" si="24"/>
        <v>17.187777777777779</v>
      </c>
      <c r="M184">
        <f t="shared" si="25"/>
        <v>12.612305394444444</v>
      </c>
      <c r="N184" s="9"/>
      <c r="O184" s="21">
        <v>0.77621499999999999</v>
      </c>
      <c r="P184" s="21">
        <v>10.280200000000001</v>
      </c>
      <c r="Q184" s="21">
        <v>-1.35773E-2</v>
      </c>
      <c r="R184" s="21">
        <v>174</v>
      </c>
      <c r="S184" s="21">
        <v>0.77575700000000003</v>
      </c>
      <c r="T184">
        <f t="shared" si="26"/>
        <v>16.7620987654321</v>
      </c>
      <c r="U184">
        <f t="shared" si="27"/>
        <v>13.010992493209876</v>
      </c>
      <c r="X184" s="9"/>
      <c r="Y184" s="21">
        <v>0.73379499999999998</v>
      </c>
      <c r="Z184" s="21">
        <v>15.3779</v>
      </c>
      <c r="AA184" s="21">
        <v>-1.38397E-2</v>
      </c>
      <c r="AB184" s="21">
        <v>174</v>
      </c>
      <c r="AC184" s="21">
        <v>0.73321499999999995</v>
      </c>
      <c r="AD184">
        <f t="shared" si="28"/>
        <v>17.086049382716048</v>
      </c>
      <c r="AE184">
        <f t="shared" si="29"/>
        <v>12.537657606790122</v>
      </c>
      <c r="AF184" s="9"/>
      <c r="AG184" s="21">
        <v>0.77621499999999999</v>
      </c>
      <c r="AH184" s="21">
        <v>18.814399999999999</v>
      </c>
      <c r="AI184" s="21">
        <v>-1.3443E-2</v>
      </c>
      <c r="AJ184" s="21">
        <v>174</v>
      </c>
      <c r="AK184" s="21">
        <v>0.775146</v>
      </c>
      <c r="AL184">
        <f t="shared" si="30"/>
        <v>16.596296296296295</v>
      </c>
      <c r="AM184">
        <f t="shared" si="31"/>
        <v>12.882294129629628</v>
      </c>
      <c r="AP184" s="9"/>
      <c r="AQ184" s="21">
        <v>0.73379499999999998</v>
      </c>
      <c r="AR184" s="21">
        <v>23.957100000000001</v>
      </c>
      <c r="AS184" s="21">
        <v>-1.3781699999999999E-2</v>
      </c>
      <c r="AT184" s="21">
        <v>174</v>
      </c>
      <c r="AU184" s="21">
        <v>0.73321499999999995</v>
      </c>
      <c r="AV184">
        <f t="shared" si="32"/>
        <v>17.014444444444443</v>
      </c>
      <c r="AW184">
        <f t="shared" si="33"/>
        <v>12.485114261111109</v>
      </c>
      <c r="AX184" s="9"/>
      <c r="AY184" s="21">
        <v>0.77621499999999999</v>
      </c>
      <c r="AZ184" s="21">
        <v>27.393599999999999</v>
      </c>
      <c r="BA184" s="21">
        <v>-1.33881E-2</v>
      </c>
      <c r="BB184" s="21">
        <v>174</v>
      </c>
      <c r="BC184" s="21">
        <v>0.77545200000000003</v>
      </c>
      <c r="BD184">
        <f t="shared" si="34"/>
        <v>16.528518518518517</v>
      </c>
      <c r="BE184">
        <f t="shared" si="35"/>
        <v>12.829684001851851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0.72875999999999996</v>
      </c>
      <c r="H185" s="21">
        <v>6.8537499999999998</v>
      </c>
      <c r="I185" s="21">
        <v>-1.39252E-2</v>
      </c>
      <c r="J185" s="21">
        <v>175</v>
      </c>
      <c r="K185" s="21">
        <v>0.72818000000000005</v>
      </c>
      <c r="L185">
        <f t="shared" si="24"/>
        <v>17.191604938271606</v>
      </c>
      <c r="M185">
        <f t="shared" si="25"/>
        <v>12.528554014814816</v>
      </c>
      <c r="N185" s="9"/>
      <c r="O185" s="21">
        <v>0.78125</v>
      </c>
      <c r="P185" s="21">
        <v>10.2902</v>
      </c>
      <c r="Q185" s="21">
        <v>-1.35681E-2</v>
      </c>
      <c r="R185" s="21">
        <v>175</v>
      </c>
      <c r="S185" s="21">
        <v>0.77972399999999997</v>
      </c>
      <c r="T185">
        <f t="shared" si="26"/>
        <v>16.750740740740738</v>
      </c>
      <c r="U185">
        <f t="shared" si="27"/>
        <v>13.086516203703702</v>
      </c>
      <c r="X185" s="9"/>
      <c r="Y185" s="21">
        <v>0.72875999999999996</v>
      </c>
      <c r="Z185" s="21">
        <v>15.388</v>
      </c>
      <c r="AA185" s="21">
        <v>-1.3848900000000001E-2</v>
      </c>
      <c r="AB185" s="21">
        <v>175</v>
      </c>
      <c r="AC185" s="21">
        <v>0.72821000000000002</v>
      </c>
      <c r="AD185">
        <f t="shared" si="28"/>
        <v>17.09740740740741</v>
      </c>
      <c r="AE185">
        <f t="shared" si="29"/>
        <v>12.459906622222222</v>
      </c>
      <c r="AF185" s="9"/>
      <c r="AG185" s="21">
        <v>0.78125</v>
      </c>
      <c r="AH185" s="21">
        <v>18.8245</v>
      </c>
      <c r="AI185" s="21">
        <v>-1.3427700000000001E-2</v>
      </c>
      <c r="AJ185" s="21">
        <v>175</v>
      </c>
      <c r="AK185" s="21">
        <v>0.78033399999999997</v>
      </c>
      <c r="AL185">
        <f t="shared" si="30"/>
        <v>16.57740740740741</v>
      </c>
      <c r="AM185">
        <f t="shared" si="31"/>
        <v>12.95109953703704</v>
      </c>
      <c r="AP185" s="9"/>
      <c r="AQ185" s="21">
        <v>0.72875999999999996</v>
      </c>
      <c r="AR185" s="21">
        <v>23.967199999999998</v>
      </c>
      <c r="AS185" s="21">
        <v>-1.37909E-2</v>
      </c>
      <c r="AT185" s="21">
        <v>175</v>
      </c>
      <c r="AU185" s="21">
        <v>0.72814900000000005</v>
      </c>
      <c r="AV185">
        <f t="shared" si="32"/>
        <v>17.025802469135801</v>
      </c>
      <c r="AW185">
        <f t="shared" si="33"/>
        <v>12.407723807407406</v>
      </c>
      <c r="AX185" s="9"/>
      <c r="AY185" s="21">
        <v>0.78125</v>
      </c>
      <c r="AZ185" s="21">
        <v>27.403700000000001</v>
      </c>
      <c r="BA185" s="21">
        <v>-1.3372800000000001E-2</v>
      </c>
      <c r="BB185" s="21">
        <v>175</v>
      </c>
      <c r="BC185" s="21">
        <v>0.78064</v>
      </c>
      <c r="BD185">
        <f t="shared" si="34"/>
        <v>16.509629629629632</v>
      </c>
      <c r="BE185">
        <f t="shared" si="35"/>
        <v>12.898148148148151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0.72372400000000003</v>
      </c>
      <c r="H186" s="21">
        <v>6.8638199999999996</v>
      </c>
      <c r="I186" s="21">
        <v>-1.39252E-2</v>
      </c>
      <c r="J186" s="21">
        <v>176</v>
      </c>
      <c r="K186" s="21">
        <v>0.72311400000000003</v>
      </c>
      <c r="L186">
        <f t="shared" si="24"/>
        <v>17.191604938271606</v>
      </c>
      <c r="M186">
        <f t="shared" si="25"/>
        <v>12.441977092345681</v>
      </c>
      <c r="N186" s="9"/>
      <c r="O186" s="21">
        <v>0.78628500000000001</v>
      </c>
      <c r="P186" s="21">
        <v>10.3003</v>
      </c>
      <c r="Q186" s="21">
        <v>-1.3555899999999999E-2</v>
      </c>
      <c r="R186" s="21">
        <v>176</v>
      </c>
      <c r="S186" s="21">
        <v>0.78552200000000005</v>
      </c>
      <c r="T186">
        <f t="shared" si="26"/>
        <v>16.735679012345678</v>
      </c>
      <c r="U186">
        <f t="shared" si="27"/>
        <v>13.159013372222221</v>
      </c>
      <c r="X186" s="9"/>
      <c r="Y186" s="21">
        <v>0.72372400000000003</v>
      </c>
      <c r="Z186" s="21">
        <v>15.398</v>
      </c>
      <c r="AA186" s="21">
        <v>-1.3858000000000001E-2</v>
      </c>
      <c r="AB186" s="21">
        <v>176</v>
      </c>
      <c r="AC186" s="21">
        <v>0.72311400000000003</v>
      </c>
      <c r="AD186">
        <f t="shared" si="28"/>
        <v>17.10864197530864</v>
      </c>
      <c r="AE186">
        <f t="shared" si="29"/>
        <v>12.38193480493827</v>
      </c>
      <c r="AF186" s="9"/>
      <c r="AG186" s="21">
        <v>0.78628500000000001</v>
      </c>
      <c r="AH186" s="21">
        <v>18.834599999999998</v>
      </c>
      <c r="AI186" s="21">
        <v>-1.3412500000000001E-2</v>
      </c>
      <c r="AJ186" s="21">
        <v>176</v>
      </c>
      <c r="AK186" s="21">
        <v>0.78521700000000005</v>
      </c>
      <c r="AL186">
        <f t="shared" si="30"/>
        <v>16.558641975308642</v>
      </c>
      <c r="AM186">
        <f t="shared" si="31"/>
        <v>13.019811805555555</v>
      </c>
      <c r="AP186" s="9"/>
      <c r="AQ186" s="21">
        <v>0.72372400000000003</v>
      </c>
      <c r="AR186" s="21">
        <v>23.9772</v>
      </c>
      <c r="AS186" s="21">
        <v>-1.38031E-2</v>
      </c>
      <c r="AT186" s="21">
        <v>176</v>
      </c>
      <c r="AU186" s="21">
        <v>0.72314500000000004</v>
      </c>
      <c r="AV186">
        <f t="shared" si="32"/>
        <v>17.040864197530862</v>
      </c>
      <c r="AW186">
        <f t="shared" si="33"/>
        <v>12.332882400493826</v>
      </c>
      <c r="AX186" s="9"/>
      <c r="AY186" s="21">
        <v>0.78628500000000001</v>
      </c>
      <c r="AZ186" s="21">
        <v>27.413699999999999</v>
      </c>
      <c r="BA186" s="21">
        <v>-1.33667E-2</v>
      </c>
      <c r="BB186" s="21">
        <v>176</v>
      </c>
      <c r="BC186" s="21">
        <v>0.78552200000000005</v>
      </c>
      <c r="BD186">
        <f t="shared" si="34"/>
        <v>16.502098765432098</v>
      </c>
      <c r="BE186">
        <f t="shared" si="35"/>
        <v>12.975352727777778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0.71868900000000002</v>
      </c>
      <c r="H187" s="21">
        <v>6.8738900000000003</v>
      </c>
      <c r="I187" s="21">
        <v>-1.39343E-2</v>
      </c>
      <c r="J187" s="21">
        <v>177</v>
      </c>
      <c r="K187" s="21">
        <v>0.71807900000000002</v>
      </c>
      <c r="L187">
        <f t="shared" si="24"/>
        <v>17.202839506172836</v>
      </c>
      <c r="M187">
        <f t="shared" si="25"/>
        <v>12.36349152185185</v>
      </c>
      <c r="N187" s="9"/>
      <c r="O187" s="21">
        <v>0.79132100000000005</v>
      </c>
      <c r="P187" s="21">
        <v>10.3104</v>
      </c>
      <c r="Q187" s="21">
        <v>-1.35406E-2</v>
      </c>
      <c r="R187" s="21">
        <v>177</v>
      </c>
      <c r="S187" s="21">
        <v>0.79071000000000002</v>
      </c>
      <c r="T187">
        <f t="shared" si="26"/>
        <v>16.716790123456789</v>
      </c>
      <c r="U187">
        <f t="shared" si="27"/>
        <v>13.228347077283951</v>
      </c>
      <c r="X187" s="9"/>
      <c r="Y187" s="21">
        <v>0.71868900000000002</v>
      </c>
      <c r="Z187" s="21">
        <v>15.408099999999999</v>
      </c>
      <c r="AA187" s="21">
        <v>-1.38733E-2</v>
      </c>
      <c r="AB187" s="21">
        <v>177</v>
      </c>
      <c r="AC187" s="21">
        <v>0.71807900000000002</v>
      </c>
      <c r="AD187">
        <f t="shared" si="28"/>
        <v>17.127530864197528</v>
      </c>
      <c r="AE187">
        <f t="shared" si="29"/>
        <v>12.309368029259257</v>
      </c>
      <c r="AF187" s="9"/>
      <c r="AG187" s="21">
        <v>0.79132100000000005</v>
      </c>
      <c r="AH187" s="21">
        <v>18.8446</v>
      </c>
      <c r="AI187" s="21">
        <v>-1.34033E-2</v>
      </c>
      <c r="AJ187" s="21">
        <v>177</v>
      </c>
      <c r="AK187" s="21">
        <v>0.79101600000000005</v>
      </c>
      <c r="AL187">
        <f t="shared" si="30"/>
        <v>16.547283950617281</v>
      </c>
      <c r="AM187">
        <f t="shared" si="31"/>
        <v>13.094213283086418</v>
      </c>
      <c r="AP187" s="9"/>
      <c r="AQ187" s="21">
        <v>0.71868900000000002</v>
      </c>
      <c r="AR187" s="21">
        <v>23.987300000000001</v>
      </c>
      <c r="AS187" s="21">
        <v>-1.3809200000000001E-2</v>
      </c>
      <c r="AT187" s="21">
        <v>177</v>
      </c>
      <c r="AU187" s="21">
        <v>0.718109</v>
      </c>
      <c r="AV187">
        <f t="shared" si="32"/>
        <v>17.048395061728392</v>
      </c>
      <c r="AW187">
        <f t="shared" si="33"/>
        <v>12.252493998518517</v>
      </c>
      <c r="AX187" s="9"/>
      <c r="AY187" s="21">
        <v>0.79132100000000005</v>
      </c>
      <c r="AZ187" s="21">
        <v>27.4238</v>
      </c>
      <c r="BA187" s="21">
        <v>-1.33545E-2</v>
      </c>
      <c r="BB187" s="21">
        <v>177</v>
      </c>
      <c r="BC187" s="21">
        <v>0.79071000000000002</v>
      </c>
      <c r="BD187">
        <f t="shared" si="34"/>
        <v>16.487037037037037</v>
      </c>
      <c r="BE187">
        <f t="shared" si="35"/>
        <v>13.046538635185186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0.71365400000000001</v>
      </c>
      <c r="H188" s="21">
        <v>6.8839600000000001</v>
      </c>
      <c r="I188" s="21">
        <v>-1.3946500000000001E-2</v>
      </c>
      <c r="J188" s="21">
        <v>178</v>
      </c>
      <c r="K188" s="21">
        <v>0.71301300000000001</v>
      </c>
      <c r="L188">
        <f t="shared" si="24"/>
        <v>17.217901234567901</v>
      </c>
      <c r="M188">
        <f t="shared" si="25"/>
        <v>12.28762408765432</v>
      </c>
      <c r="N188" s="9"/>
      <c r="O188" s="21">
        <v>0.79635599999999995</v>
      </c>
      <c r="P188" s="21">
        <v>10.320499999999999</v>
      </c>
      <c r="Q188" s="21">
        <v>-1.3528399999999999E-2</v>
      </c>
      <c r="R188" s="21">
        <v>178</v>
      </c>
      <c r="S188" s="21">
        <v>0.79589799999999999</v>
      </c>
      <c r="T188">
        <f t="shared" si="26"/>
        <v>16.701728395061725</v>
      </c>
      <c r="U188">
        <f t="shared" si="27"/>
        <v>13.300521617777774</v>
      </c>
      <c r="X188" s="9"/>
      <c r="Y188" s="21">
        <v>0.71365400000000001</v>
      </c>
      <c r="Z188" s="21">
        <v>15.418200000000001</v>
      </c>
      <c r="AA188" s="21">
        <v>-1.38855E-2</v>
      </c>
      <c r="AB188" s="21">
        <v>178</v>
      </c>
      <c r="AC188" s="21">
        <v>0.712982</v>
      </c>
      <c r="AD188">
        <f t="shared" si="28"/>
        <v>17.142592592592592</v>
      </c>
      <c r="AE188">
        <f t="shared" si="29"/>
        <v>12.233879774074074</v>
      </c>
      <c r="AF188" s="9"/>
      <c r="AG188" s="21">
        <v>0.79635599999999995</v>
      </c>
      <c r="AH188" s="21">
        <v>18.854700000000001</v>
      </c>
      <c r="AI188" s="21">
        <v>-1.34033E-2</v>
      </c>
      <c r="AJ188" s="21">
        <v>178</v>
      </c>
      <c r="AK188" s="21">
        <v>0.79528799999999999</v>
      </c>
      <c r="AL188">
        <f t="shared" si="30"/>
        <v>16.547283950617281</v>
      </c>
      <c r="AM188">
        <f t="shared" si="31"/>
        <v>13.177528857777775</v>
      </c>
      <c r="AP188" s="9"/>
      <c r="AQ188" s="21">
        <v>0.71365400000000001</v>
      </c>
      <c r="AR188" s="21">
        <v>23.997399999999999</v>
      </c>
      <c r="AS188" s="21">
        <v>-1.3806199999999999E-2</v>
      </c>
      <c r="AT188" s="21">
        <v>178</v>
      </c>
      <c r="AU188" s="21">
        <v>0.71304299999999998</v>
      </c>
      <c r="AV188">
        <f t="shared" si="32"/>
        <v>17.044691358024689</v>
      </c>
      <c r="AW188">
        <f t="shared" si="33"/>
        <v>12.164012166419752</v>
      </c>
      <c r="AX188" s="9"/>
      <c r="AY188" s="21">
        <v>0.79635599999999995</v>
      </c>
      <c r="AZ188" s="21">
        <v>27.433900000000001</v>
      </c>
      <c r="BA188" s="21">
        <v>-1.33575E-2</v>
      </c>
      <c r="BB188" s="21">
        <v>178</v>
      </c>
      <c r="BC188" s="21">
        <v>0.794983</v>
      </c>
      <c r="BD188">
        <f t="shared" si="34"/>
        <v>16.49074074074074</v>
      </c>
      <c r="BE188">
        <f t="shared" si="35"/>
        <v>13.132500333333333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0.70861799999999997</v>
      </c>
      <c r="H189" s="21">
        <v>6.8940299999999999</v>
      </c>
      <c r="I189" s="21">
        <v>-1.3958699999999999E-2</v>
      </c>
      <c r="J189" s="21">
        <v>179</v>
      </c>
      <c r="K189" s="21">
        <v>0.70800799999999997</v>
      </c>
      <c r="L189">
        <f t="shared" si="24"/>
        <v>17.232962962962961</v>
      </c>
      <c r="M189">
        <f t="shared" si="25"/>
        <v>12.211587748888887</v>
      </c>
      <c r="N189" s="9"/>
      <c r="O189" s="21">
        <v>0.80139199999999999</v>
      </c>
      <c r="P189" s="21">
        <v>10.330500000000001</v>
      </c>
      <c r="Q189" s="21">
        <v>-1.3510100000000001E-2</v>
      </c>
      <c r="R189" s="21">
        <v>179</v>
      </c>
      <c r="S189" s="21">
        <v>0.80047599999999997</v>
      </c>
      <c r="T189">
        <f t="shared" si="26"/>
        <v>16.679135802469133</v>
      </c>
      <c r="U189">
        <f t="shared" si="27"/>
        <v>13.366525999012344</v>
      </c>
      <c r="X189" s="9"/>
      <c r="Y189" s="21">
        <v>0.70861799999999997</v>
      </c>
      <c r="Z189" s="21">
        <v>15.4282</v>
      </c>
      <c r="AA189" s="21">
        <v>-1.38916E-2</v>
      </c>
      <c r="AB189" s="21">
        <v>179</v>
      </c>
      <c r="AC189" s="21">
        <v>0.70797699999999997</v>
      </c>
      <c r="AD189">
        <f t="shared" si="28"/>
        <v>17.150123456790123</v>
      </c>
      <c r="AE189">
        <f t="shared" si="29"/>
        <v>12.152886183703703</v>
      </c>
      <c r="AF189" s="9"/>
      <c r="AG189" s="21">
        <v>0.80139199999999999</v>
      </c>
      <c r="AH189" s="21">
        <v>18.864799999999999</v>
      </c>
      <c r="AI189" s="21">
        <v>-1.33911E-2</v>
      </c>
      <c r="AJ189" s="21">
        <v>179</v>
      </c>
      <c r="AK189" s="21">
        <v>0.80017099999999997</v>
      </c>
      <c r="AL189">
        <f t="shared" si="30"/>
        <v>16.53222222222222</v>
      </c>
      <c r="AM189">
        <f t="shared" si="31"/>
        <v>13.24879063111111</v>
      </c>
      <c r="AP189" s="9"/>
      <c r="AQ189" s="21">
        <v>0.70861799999999997</v>
      </c>
      <c r="AR189" s="21">
        <v>24.007400000000001</v>
      </c>
      <c r="AS189" s="21">
        <v>-1.3821399999999999E-2</v>
      </c>
      <c r="AT189" s="21">
        <v>179</v>
      </c>
      <c r="AU189" s="21">
        <v>0.70806899999999995</v>
      </c>
      <c r="AV189">
        <f t="shared" si="32"/>
        <v>17.063456790123453</v>
      </c>
      <c r="AW189">
        <f t="shared" si="33"/>
        <v>12.091472623703702</v>
      </c>
      <c r="AX189" s="9"/>
      <c r="AY189" s="21">
        <v>0.80139199999999999</v>
      </c>
      <c r="AZ189" s="21">
        <v>27.443899999999999</v>
      </c>
      <c r="BA189" s="21">
        <v>-1.3351399999999999E-2</v>
      </c>
      <c r="BB189" s="21">
        <v>179</v>
      </c>
      <c r="BC189" s="21">
        <v>0.80047599999999997</v>
      </c>
      <c r="BD189">
        <f t="shared" si="34"/>
        <v>16.483209876543206</v>
      </c>
      <c r="BE189">
        <f t="shared" si="35"/>
        <v>13.209512529382714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0.70358299999999996</v>
      </c>
      <c r="H190" s="21">
        <v>6.9040999999999997</v>
      </c>
      <c r="I190" s="21">
        <v>-1.3964799999999999E-2</v>
      </c>
      <c r="J190" s="21">
        <v>180</v>
      </c>
      <c r="K190" s="21">
        <v>0.70294199999999996</v>
      </c>
      <c r="L190">
        <f t="shared" si="24"/>
        <v>17.240493827160492</v>
      </c>
      <c r="M190">
        <f t="shared" si="25"/>
        <v>12.13011836839506</v>
      </c>
      <c r="N190" s="9"/>
      <c r="O190" s="21">
        <v>0.806427</v>
      </c>
      <c r="P190" s="21">
        <v>10.3406</v>
      </c>
      <c r="Q190" s="21">
        <v>-1.3501000000000001E-2</v>
      </c>
      <c r="R190" s="21">
        <v>180</v>
      </c>
      <c r="S190" s="21">
        <v>0.80535900000000005</v>
      </c>
      <c r="T190">
        <f t="shared" si="26"/>
        <v>16.667901234567903</v>
      </c>
      <c r="U190">
        <f t="shared" si="27"/>
        <v>13.441445588888891</v>
      </c>
      <c r="X190" s="9"/>
      <c r="Y190" s="21">
        <v>0.70358299999999996</v>
      </c>
      <c r="Z190" s="21">
        <v>15.4383</v>
      </c>
      <c r="AA190" s="21">
        <v>-1.38885E-2</v>
      </c>
      <c r="AB190" s="21">
        <v>180</v>
      </c>
      <c r="AC190" s="21">
        <v>0.70294199999999996</v>
      </c>
      <c r="AD190">
        <f t="shared" si="28"/>
        <v>17.146296296296295</v>
      </c>
      <c r="AE190">
        <f t="shared" si="29"/>
        <v>12.063842587037035</v>
      </c>
      <c r="AF190" s="9"/>
      <c r="AG190" s="21">
        <v>0.806427</v>
      </c>
      <c r="AH190" s="21">
        <v>18.8748</v>
      </c>
      <c r="AI190" s="21">
        <v>-1.3382E-2</v>
      </c>
      <c r="AJ190" s="21">
        <v>180</v>
      </c>
      <c r="AK190" s="21">
        <v>0.80566400000000005</v>
      </c>
      <c r="AL190">
        <f t="shared" si="30"/>
        <v>16.520987654320987</v>
      </c>
      <c r="AM190">
        <f t="shared" si="31"/>
        <v>13.322970511111111</v>
      </c>
      <c r="AP190" s="9"/>
      <c r="AQ190" s="21">
        <v>0.70358299999999996</v>
      </c>
      <c r="AR190" s="21">
        <v>24.017499999999998</v>
      </c>
      <c r="AS190" s="21">
        <v>-1.3821399999999999E-2</v>
      </c>
      <c r="AT190" s="21">
        <v>180</v>
      </c>
      <c r="AU190" s="21">
        <v>0.70297200000000004</v>
      </c>
      <c r="AV190">
        <f t="shared" si="32"/>
        <v>17.063456790123453</v>
      </c>
      <c r="AW190">
        <f t="shared" si="33"/>
        <v>12.005558118765428</v>
      </c>
      <c r="AX190" s="9"/>
      <c r="AY190" s="21">
        <v>0.806427</v>
      </c>
      <c r="AZ190" s="21">
        <v>27.454000000000001</v>
      </c>
      <c r="BA190" s="21">
        <v>-1.3339200000000001E-2</v>
      </c>
      <c r="BB190" s="21">
        <v>180</v>
      </c>
      <c r="BC190" s="21">
        <v>0.80566400000000005</v>
      </c>
      <c r="BD190">
        <f t="shared" si="34"/>
        <v>16.468148148148149</v>
      </c>
      <c r="BE190">
        <f t="shared" si="35"/>
        <v>13.280359306666668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0.69854700000000003</v>
      </c>
      <c r="H191" s="21">
        <v>6.9141700000000004</v>
      </c>
      <c r="I191" s="21">
        <v>-1.3983199999999999E-2</v>
      </c>
      <c r="J191" s="21">
        <v>181</v>
      </c>
      <c r="K191" s="21">
        <v>0.69790600000000003</v>
      </c>
      <c r="L191">
        <f t="shared" si="24"/>
        <v>17.263209876543208</v>
      </c>
      <c r="M191">
        <f t="shared" si="25"/>
        <v>12.059163469629629</v>
      </c>
      <c r="N191" s="9"/>
      <c r="O191" s="21">
        <v>0.81146200000000002</v>
      </c>
      <c r="P191" s="21">
        <v>10.3507</v>
      </c>
      <c r="Q191" s="21">
        <v>-1.34857E-2</v>
      </c>
      <c r="R191" s="21">
        <v>181</v>
      </c>
      <c r="S191" s="21">
        <v>0.81054700000000002</v>
      </c>
      <c r="T191">
        <f t="shared" si="26"/>
        <v>16.649012345679012</v>
      </c>
      <c r="U191">
        <f t="shared" si="27"/>
        <v>13.510040856049383</v>
      </c>
      <c r="X191" s="9"/>
      <c r="Y191" s="21">
        <v>0.69854700000000003</v>
      </c>
      <c r="Z191" s="21">
        <v>15.448399999999999</v>
      </c>
      <c r="AA191" s="21">
        <v>-1.38916E-2</v>
      </c>
      <c r="AB191" s="21">
        <v>181</v>
      </c>
      <c r="AC191" s="21">
        <v>0.69781499999999996</v>
      </c>
      <c r="AD191">
        <f t="shared" si="28"/>
        <v>17.150123456790123</v>
      </c>
      <c r="AE191">
        <f t="shared" si="29"/>
        <v>11.980167290370371</v>
      </c>
      <c r="AF191" s="9"/>
      <c r="AG191" s="21">
        <v>0.81146200000000002</v>
      </c>
      <c r="AH191" s="21">
        <v>18.884899999999998</v>
      </c>
      <c r="AI191" s="21">
        <v>-1.33759E-2</v>
      </c>
      <c r="AJ191" s="21">
        <v>181</v>
      </c>
      <c r="AK191" s="21">
        <v>0.81024200000000002</v>
      </c>
      <c r="AL191">
        <f t="shared" si="30"/>
        <v>16.513456790123456</v>
      </c>
      <c r="AM191">
        <f t="shared" si="31"/>
        <v>13.40004267382716</v>
      </c>
      <c r="AP191" s="9"/>
      <c r="AQ191" s="21">
        <v>0.69854700000000003</v>
      </c>
      <c r="AR191" s="21">
        <v>24.0276</v>
      </c>
      <c r="AS191" s="21">
        <v>-1.3815300000000001E-2</v>
      </c>
      <c r="AT191" s="21">
        <v>181</v>
      </c>
      <c r="AU191" s="21">
        <v>0.69781499999999996</v>
      </c>
      <c r="AV191">
        <f t="shared" si="32"/>
        <v>17.055925925925926</v>
      </c>
      <c r="AW191">
        <f t="shared" si="33"/>
        <v>11.914365887777778</v>
      </c>
      <c r="AX191" s="9"/>
      <c r="AY191" s="21">
        <v>0.81146200000000002</v>
      </c>
      <c r="AZ191" s="21">
        <v>27.464099999999998</v>
      </c>
      <c r="BA191" s="21">
        <v>-1.3327E-2</v>
      </c>
      <c r="BB191" s="21">
        <v>181</v>
      </c>
      <c r="BC191" s="21">
        <v>0.81085200000000002</v>
      </c>
      <c r="BD191">
        <f t="shared" si="34"/>
        <v>16.453086419753085</v>
      </c>
      <c r="BE191">
        <f t="shared" si="35"/>
        <v>13.351054412345677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0.69351200000000002</v>
      </c>
      <c r="H192" s="21">
        <v>6.9242400000000002</v>
      </c>
      <c r="I192" s="21">
        <v>-1.40045E-2</v>
      </c>
      <c r="J192" s="21">
        <v>182</v>
      </c>
      <c r="K192" s="21">
        <v>0.69293199999999999</v>
      </c>
      <c r="L192">
        <f t="shared" si="24"/>
        <v>17.289506172839506</v>
      </c>
      <c r="M192">
        <f t="shared" si="25"/>
        <v>11.990480004938272</v>
      </c>
      <c r="N192" s="9"/>
      <c r="O192" s="21">
        <v>0.81649799999999995</v>
      </c>
      <c r="P192" s="21">
        <v>10.3607</v>
      </c>
      <c r="Q192" s="21">
        <v>-1.34644E-2</v>
      </c>
      <c r="R192" s="21">
        <v>182</v>
      </c>
      <c r="S192" s="21">
        <v>0.81573499999999999</v>
      </c>
      <c r="T192">
        <f t="shared" si="26"/>
        <v>16.622716049382717</v>
      </c>
      <c r="U192">
        <f t="shared" si="27"/>
        <v>13.572414408888889</v>
      </c>
      <c r="X192" s="9"/>
      <c r="Y192" s="21">
        <v>0.69351200000000002</v>
      </c>
      <c r="Z192" s="21">
        <v>15.458399999999999</v>
      </c>
      <c r="AA192" s="21">
        <v>-1.3897700000000001E-2</v>
      </c>
      <c r="AB192" s="21">
        <v>182</v>
      </c>
      <c r="AC192" s="21">
        <v>0.69287100000000001</v>
      </c>
      <c r="AD192">
        <f t="shared" si="28"/>
        <v>17.157654320987653</v>
      </c>
      <c r="AE192">
        <f t="shared" si="29"/>
        <v>11.89903916345679</v>
      </c>
      <c r="AF192" s="9"/>
      <c r="AG192" s="21">
        <v>0.81649799999999995</v>
      </c>
      <c r="AH192" s="21">
        <v>18.895</v>
      </c>
      <c r="AI192" s="21">
        <v>-1.33606E-2</v>
      </c>
      <c r="AJ192" s="21">
        <v>182</v>
      </c>
      <c r="AK192" s="21">
        <v>0.81481899999999996</v>
      </c>
      <c r="AL192">
        <f t="shared" si="30"/>
        <v>16.494567901234568</v>
      </c>
      <c r="AM192">
        <f t="shared" si="31"/>
        <v>13.467781702222222</v>
      </c>
      <c r="AP192" s="9"/>
      <c r="AQ192" s="21">
        <v>0.69351200000000002</v>
      </c>
      <c r="AR192" s="21">
        <v>24.037700000000001</v>
      </c>
      <c r="AS192" s="21">
        <v>-1.38123E-2</v>
      </c>
      <c r="AT192" s="21">
        <v>182</v>
      </c>
      <c r="AU192" s="21">
        <v>0.69302399999999997</v>
      </c>
      <c r="AV192">
        <f t="shared" si="32"/>
        <v>17.052222222222223</v>
      </c>
      <c r="AW192">
        <f t="shared" si="33"/>
        <v>11.825920737777778</v>
      </c>
      <c r="AX192" s="9"/>
      <c r="AY192" s="21">
        <v>0.81649799999999995</v>
      </c>
      <c r="AZ192" s="21">
        <v>27.4741</v>
      </c>
      <c r="BA192" s="21">
        <v>-1.33118E-2</v>
      </c>
      <c r="BB192" s="21">
        <v>182</v>
      </c>
      <c r="BC192" s="21">
        <v>0.81603999999999999</v>
      </c>
      <c r="BD192">
        <f t="shared" si="34"/>
        <v>16.434320987654321</v>
      </c>
      <c r="BE192">
        <f t="shared" si="35"/>
        <v>13.418590217777776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0.68847700000000001</v>
      </c>
      <c r="H193" s="21">
        <v>6.9343199999999996</v>
      </c>
      <c r="I193" s="21">
        <v>-1.40228E-2</v>
      </c>
      <c r="J193" s="21">
        <v>183</v>
      </c>
      <c r="K193" s="21">
        <v>0.68789699999999998</v>
      </c>
      <c r="L193">
        <f t="shared" si="24"/>
        <v>17.312098765432097</v>
      </c>
      <c r="M193">
        <f t="shared" si="25"/>
        <v>11.918981821728394</v>
      </c>
      <c r="N193" s="9"/>
      <c r="O193" s="21">
        <v>0.82153299999999996</v>
      </c>
      <c r="P193" s="21">
        <v>10.370799999999999</v>
      </c>
      <c r="Q193" s="21">
        <v>-1.34552E-2</v>
      </c>
      <c r="R193" s="21">
        <v>183</v>
      </c>
      <c r="S193" s="21">
        <v>0.82031299999999996</v>
      </c>
      <c r="T193">
        <f t="shared" si="26"/>
        <v>16.611358024691356</v>
      </c>
      <c r="U193">
        <f t="shared" si="27"/>
        <v>13.646778792098763</v>
      </c>
      <c r="X193" s="9"/>
      <c r="Y193" s="21">
        <v>0.68847700000000001</v>
      </c>
      <c r="Z193" s="21">
        <v>15.468500000000001</v>
      </c>
      <c r="AA193" s="21">
        <v>-1.3909899999999999E-2</v>
      </c>
      <c r="AB193" s="21">
        <v>183</v>
      </c>
      <c r="AC193" s="21">
        <v>0.68786599999999998</v>
      </c>
      <c r="AD193">
        <f t="shared" si="28"/>
        <v>17.172716049382714</v>
      </c>
      <c r="AE193">
        <f t="shared" si="29"/>
        <v>11.823020027530863</v>
      </c>
      <c r="AF193" s="9"/>
      <c r="AG193" s="21">
        <v>0.82153299999999996</v>
      </c>
      <c r="AH193" s="21">
        <v>18.905100000000001</v>
      </c>
      <c r="AI193" s="21">
        <v>-1.3345299999999999E-2</v>
      </c>
      <c r="AJ193" s="21">
        <v>183</v>
      </c>
      <c r="AK193" s="21">
        <v>0.82122799999999996</v>
      </c>
      <c r="AL193">
        <f t="shared" si="30"/>
        <v>16.475679012345676</v>
      </c>
      <c r="AM193">
        <f t="shared" si="31"/>
        <v>13.535314006049379</v>
      </c>
      <c r="AP193" s="9"/>
      <c r="AQ193" s="21">
        <v>0.68847700000000001</v>
      </c>
      <c r="AR193" s="21">
        <v>24.047699999999999</v>
      </c>
      <c r="AS193" s="21">
        <v>-1.3815300000000001E-2</v>
      </c>
      <c r="AT193" s="21">
        <v>183</v>
      </c>
      <c r="AU193" s="21">
        <v>0.68771400000000005</v>
      </c>
      <c r="AV193">
        <f t="shared" si="32"/>
        <v>17.055925925925926</v>
      </c>
      <c r="AW193">
        <f t="shared" si="33"/>
        <v>11.742612713703704</v>
      </c>
      <c r="AX193" s="9"/>
      <c r="AY193" s="21">
        <v>0.82153299999999996</v>
      </c>
      <c r="AZ193" s="21">
        <v>27.484200000000001</v>
      </c>
      <c r="BA193" s="21">
        <v>-1.3302599999999999E-2</v>
      </c>
      <c r="BB193" s="21">
        <v>183</v>
      </c>
      <c r="BC193" s="21">
        <v>0.82061799999999996</v>
      </c>
      <c r="BD193">
        <f t="shared" si="34"/>
        <v>16.422962962962963</v>
      </c>
      <c r="BE193">
        <f t="shared" si="35"/>
        <v>13.492006031851851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0.68344099999999997</v>
      </c>
      <c r="H194" s="21">
        <v>6.9443900000000003</v>
      </c>
      <c r="I194" s="21">
        <v>-1.40381E-2</v>
      </c>
      <c r="J194" s="21">
        <v>184</v>
      </c>
      <c r="K194" s="21">
        <v>0.68276999999999999</v>
      </c>
      <c r="L194">
        <f t="shared" si="24"/>
        <v>17.330987654320985</v>
      </c>
      <c r="M194">
        <f t="shared" si="25"/>
        <v>11.844707533456788</v>
      </c>
      <c r="N194" s="9"/>
      <c r="O194" s="21">
        <v>0.826569</v>
      </c>
      <c r="P194" s="21">
        <v>10.3809</v>
      </c>
      <c r="Q194" s="21">
        <v>-1.3439899999999999E-2</v>
      </c>
      <c r="R194" s="21">
        <v>184</v>
      </c>
      <c r="S194" s="21">
        <v>0.82580600000000004</v>
      </c>
      <c r="T194">
        <f t="shared" si="26"/>
        <v>16.592469135802467</v>
      </c>
      <c r="U194">
        <f t="shared" si="27"/>
        <v>13.714820621111109</v>
      </c>
      <c r="X194" s="9"/>
      <c r="Y194" s="21">
        <v>0.68344099999999997</v>
      </c>
      <c r="Z194" s="21">
        <v>15.4786</v>
      </c>
      <c r="AA194" s="21">
        <v>-1.39282E-2</v>
      </c>
      <c r="AB194" s="21">
        <v>184</v>
      </c>
      <c r="AC194" s="21">
        <v>0.68279999999999996</v>
      </c>
      <c r="AD194">
        <f t="shared" si="28"/>
        <v>17.195308641975309</v>
      </c>
      <c r="AE194">
        <f t="shared" si="29"/>
        <v>11.751978933580247</v>
      </c>
      <c r="AF194" s="9"/>
      <c r="AG194" s="21">
        <v>0.826569</v>
      </c>
      <c r="AH194" s="21">
        <v>18.915099999999999</v>
      </c>
      <c r="AI194" s="21">
        <v>-1.33423E-2</v>
      </c>
      <c r="AJ194" s="21">
        <v>184</v>
      </c>
      <c r="AK194" s="21">
        <v>0.82580600000000004</v>
      </c>
      <c r="AL194">
        <f t="shared" si="30"/>
        <v>16.471975308641973</v>
      </c>
      <c r="AM194">
        <f t="shared" si="31"/>
        <v>13.615224158888887</v>
      </c>
      <c r="AP194" s="9"/>
      <c r="AQ194" s="21">
        <v>0.68344099999999997</v>
      </c>
      <c r="AR194" s="21">
        <v>24.0578</v>
      </c>
      <c r="AS194" s="21">
        <v>-1.38245E-2</v>
      </c>
      <c r="AT194" s="21">
        <v>184</v>
      </c>
      <c r="AU194" s="21">
        <v>0.68279999999999996</v>
      </c>
      <c r="AV194">
        <f t="shared" si="32"/>
        <v>17.067283950617281</v>
      </c>
      <c r="AW194">
        <f t="shared" si="33"/>
        <v>11.664481610493825</v>
      </c>
      <c r="AX194" s="9"/>
      <c r="AY194" s="21">
        <v>0.826569</v>
      </c>
      <c r="AZ194" s="21">
        <v>27.494299999999999</v>
      </c>
      <c r="BA194" s="21">
        <v>-1.32874E-2</v>
      </c>
      <c r="BB194" s="21">
        <v>184</v>
      </c>
      <c r="BC194" s="21">
        <v>0.82580600000000004</v>
      </c>
      <c r="BD194">
        <f t="shared" si="34"/>
        <v>16.404197530864195</v>
      </c>
      <c r="BE194">
        <f t="shared" si="35"/>
        <v>13.559201148888887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0.67840599999999995</v>
      </c>
      <c r="H195" s="21">
        <v>6.9544600000000001</v>
      </c>
      <c r="I195" s="21">
        <v>-1.40503E-2</v>
      </c>
      <c r="J195" s="21">
        <v>185</v>
      </c>
      <c r="K195" s="21">
        <v>0.67788700000000002</v>
      </c>
      <c r="L195">
        <f t="shared" si="24"/>
        <v>17.34604938271605</v>
      </c>
      <c r="M195">
        <f t="shared" si="25"/>
        <v>11.767663977530864</v>
      </c>
      <c r="N195" s="9"/>
      <c r="O195" s="21">
        <v>0.83160400000000001</v>
      </c>
      <c r="P195" s="21">
        <v>10.3909</v>
      </c>
      <c r="Q195" s="21">
        <v>-1.3421600000000001E-2</v>
      </c>
      <c r="R195" s="21">
        <v>185</v>
      </c>
      <c r="S195" s="21">
        <v>0.83129900000000001</v>
      </c>
      <c r="T195">
        <f t="shared" si="26"/>
        <v>16.569876543209876</v>
      </c>
      <c r="U195">
        <f t="shared" si="27"/>
        <v>13.779575612839507</v>
      </c>
      <c r="X195" s="9"/>
      <c r="Y195" s="21">
        <v>0.67840599999999995</v>
      </c>
      <c r="Z195" s="21">
        <v>15.4887</v>
      </c>
      <c r="AA195" s="21">
        <v>-1.39404E-2</v>
      </c>
      <c r="AB195" s="21">
        <v>185</v>
      </c>
      <c r="AC195" s="21">
        <v>0.67785600000000001</v>
      </c>
      <c r="AD195">
        <f t="shared" si="28"/>
        <v>17.21037037037037</v>
      </c>
      <c r="AE195">
        <f t="shared" si="29"/>
        <v>11.67561852148148</v>
      </c>
      <c r="AF195" s="9"/>
      <c r="AG195" s="21">
        <v>0.83160400000000001</v>
      </c>
      <c r="AH195" s="21">
        <v>18.9252</v>
      </c>
      <c r="AI195" s="21">
        <v>-1.33484E-2</v>
      </c>
      <c r="AJ195" s="21">
        <v>185</v>
      </c>
      <c r="AK195" s="21">
        <v>0.83099400000000001</v>
      </c>
      <c r="AL195">
        <f t="shared" si="30"/>
        <v>16.479506172839503</v>
      </c>
      <c r="AM195">
        <f t="shared" si="31"/>
        <v>13.704423251358023</v>
      </c>
      <c r="AP195" s="9"/>
      <c r="AQ195" s="21">
        <v>0.67840599999999995</v>
      </c>
      <c r="AR195" s="21">
        <v>24.067900000000002</v>
      </c>
      <c r="AS195" s="21">
        <v>-1.38397E-2</v>
      </c>
      <c r="AT195" s="21">
        <v>185</v>
      </c>
      <c r="AU195" s="21">
        <v>0.67779500000000004</v>
      </c>
      <c r="AV195">
        <f t="shared" si="32"/>
        <v>17.086049382716048</v>
      </c>
      <c r="AW195">
        <f t="shared" si="33"/>
        <v>11.591278417530862</v>
      </c>
      <c r="AX195" s="9"/>
      <c r="AY195" s="21">
        <v>0.83160400000000001</v>
      </c>
      <c r="AZ195" s="21">
        <v>27.5044</v>
      </c>
      <c r="BA195" s="21">
        <v>-1.3281299999999999E-2</v>
      </c>
      <c r="BB195" s="21">
        <v>185</v>
      </c>
      <c r="BC195" s="21">
        <v>0.83068799999999998</v>
      </c>
      <c r="BD195">
        <f t="shared" si="34"/>
        <v>16.396666666666665</v>
      </c>
      <c r="BE195">
        <f t="shared" si="35"/>
        <v>13.635533586666666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0.67337000000000002</v>
      </c>
      <c r="H196" s="21">
        <v>6.9645299999999999</v>
      </c>
      <c r="I196" s="21">
        <v>-1.4041100000000001E-2</v>
      </c>
      <c r="J196" s="21">
        <v>186</v>
      </c>
      <c r="K196" s="21">
        <v>0.67266800000000004</v>
      </c>
      <c r="L196">
        <f t="shared" si="24"/>
        <v>17.334691358024692</v>
      </c>
      <c r="M196">
        <f t="shared" si="25"/>
        <v>11.672661119753087</v>
      </c>
      <c r="N196" s="9"/>
      <c r="O196" s="21">
        <v>0.83663900000000002</v>
      </c>
      <c r="P196" s="21">
        <v>10.401</v>
      </c>
      <c r="Q196" s="21">
        <v>-1.34033E-2</v>
      </c>
      <c r="R196" s="21">
        <v>186</v>
      </c>
      <c r="S196" s="21">
        <v>0.83587599999999995</v>
      </c>
      <c r="T196">
        <f t="shared" si="26"/>
        <v>16.547283950617281</v>
      </c>
      <c r="U196">
        <f t="shared" si="27"/>
        <v>13.844103097160492</v>
      </c>
      <c r="X196" s="9"/>
      <c r="Y196" s="21">
        <v>0.67337000000000002</v>
      </c>
      <c r="Z196" s="21">
        <v>15.498699999999999</v>
      </c>
      <c r="AA196" s="21">
        <v>-1.3946500000000001E-2</v>
      </c>
      <c r="AB196" s="21">
        <v>186</v>
      </c>
      <c r="AC196" s="21">
        <v>0.67272900000000002</v>
      </c>
      <c r="AD196">
        <f t="shared" si="28"/>
        <v>17.217901234567901</v>
      </c>
      <c r="AE196">
        <f t="shared" si="29"/>
        <v>11.594018154320988</v>
      </c>
      <c r="AF196" s="9"/>
      <c r="AG196" s="21">
        <v>0.83663900000000002</v>
      </c>
      <c r="AH196" s="21">
        <v>18.935300000000002</v>
      </c>
      <c r="AI196" s="21">
        <v>-1.33423E-2</v>
      </c>
      <c r="AJ196" s="21">
        <v>186</v>
      </c>
      <c r="AK196" s="21">
        <v>0.83618199999999998</v>
      </c>
      <c r="AL196">
        <f t="shared" si="30"/>
        <v>16.471975308641973</v>
      </c>
      <c r="AM196">
        <f t="shared" si="31"/>
        <v>13.781096950246912</v>
      </c>
      <c r="AP196" s="9"/>
      <c r="AQ196" s="21">
        <v>0.67337000000000002</v>
      </c>
      <c r="AR196" s="21">
        <v>24.0779</v>
      </c>
      <c r="AS196" s="21">
        <v>-1.3848900000000001E-2</v>
      </c>
      <c r="AT196" s="21">
        <v>186</v>
      </c>
      <c r="AU196" s="21">
        <v>0.67272900000000002</v>
      </c>
      <c r="AV196">
        <f t="shared" si="32"/>
        <v>17.09740740740741</v>
      </c>
      <c r="AW196">
        <f t="shared" si="33"/>
        <v>11.512881225925927</v>
      </c>
      <c r="AX196" s="9"/>
      <c r="AY196" s="21">
        <v>0.83663900000000002</v>
      </c>
      <c r="AZ196" s="21">
        <v>27.514399999999998</v>
      </c>
      <c r="BA196" s="21">
        <v>-1.32721E-2</v>
      </c>
      <c r="BB196" s="21">
        <v>186</v>
      </c>
      <c r="BC196" s="21">
        <v>0.83618199999999998</v>
      </c>
      <c r="BD196">
        <f t="shared" si="34"/>
        <v>16.385308641975307</v>
      </c>
      <c r="BE196">
        <f t="shared" si="35"/>
        <v>13.708588236913579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0.66833500000000001</v>
      </c>
      <c r="H197" s="21">
        <v>6.9745999999999997</v>
      </c>
      <c r="I197" s="21">
        <v>-1.4047199999999999E-2</v>
      </c>
      <c r="J197" s="21">
        <v>187</v>
      </c>
      <c r="K197" s="21">
        <v>0.66766400000000004</v>
      </c>
      <c r="L197">
        <f t="shared" si="24"/>
        <v>17.342222222222222</v>
      </c>
      <c r="M197">
        <f t="shared" si="25"/>
        <v>11.59041408888889</v>
      </c>
      <c r="N197" s="9"/>
      <c r="O197" s="21">
        <v>0.84167499999999995</v>
      </c>
      <c r="P197" s="21">
        <v>10.411099999999999</v>
      </c>
      <c r="Q197" s="21">
        <v>-1.3382E-2</v>
      </c>
      <c r="R197" s="21">
        <v>187</v>
      </c>
      <c r="S197" s="21">
        <v>0.84045400000000003</v>
      </c>
      <c r="T197">
        <f t="shared" si="26"/>
        <v>16.520987654320987</v>
      </c>
      <c r="U197">
        <f t="shared" si="27"/>
        <v>13.905302283950615</v>
      </c>
      <c r="X197" s="9"/>
      <c r="Y197" s="21">
        <v>0.66833500000000001</v>
      </c>
      <c r="Z197" s="21">
        <v>15.508800000000001</v>
      </c>
      <c r="AA197" s="21">
        <v>-1.39679E-2</v>
      </c>
      <c r="AB197" s="21">
        <v>187</v>
      </c>
      <c r="AC197" s="21">
        <v>0.66769400000000001</v>
      </c>
      <c r="AD197">
        <f t="shared" si="28"/>
        <v>17.244320987654319</v>
      </c>
      <c r="AE197">
        <f t="shared" si="29"/>
        <v>11.52498326728395</v>
      </c>
      <c r="AF197" s="9"/>
      <c r="AG197" s="21">
        <v>0.84167499999999995</v>
      </c>
      <c r="AH197" s="21">
        <v>18.9453</v>
      </c>
      <c r="AI197" s="21">
        <v>-1.3330099999999999E-2</v>
      </c>
      <c r="AJ197" s="21">
        <v>187</v>
      </c>
      <c r="AK197" s="21">
        <v>0.84106400000000003</v>
      </c>
      <c r="AL197">
        <f t="shared" si="30"/>
        <v>16.456913580246912</v>
      </c>
      <c r="AM197">
        <f t="shared" si="31"/>
        <v>13.851372737654319</v>
      </c>
      <c r="AP197" s="9"/>
      <c r="AQ197" s="21">
        <v>0.66833500000000001</v>
      </c>
      <c r="AR197" s="21">
        <v>24.088000000000001</v>
      </c>
      <c r="AS197" s="21">
        <v>-1.3870199999999999E-2</v>
      </c>
      <c r="AT197" s="21">
        <v>187</v>
      </c>
      <c r="AU197" s="21">
        <v>0.66775499999999999</v>
      </c>
      <c r="AV197">
        <f t="shared" si="32"/>
        <v>17.123703703703701</v>
      </c>
      <c r="AW197">
        <f t="shared" si="33"/>
        <v>11.444370514814812</v>
      </c>
      <c r="AX197" s="9"/>
      <c r="AY197" s="21">
        <v>0.84167499999999995</v>
      </c>
      <c r="AZ197" s="21">
        <v>27.5245</v>
      </c>
      <c r="BA197" s="21">
        <v>-1.3256799999999999E-2</v>
      </c>
      <c r="BB197" s="21">
        <v>187</v>
      </c>
      <c r="BC197" s="21">
        <v>0.84045400000000003</v>
      </c>
      <c r="BD197">
        <f t="shared" si="34"/>
        <v>16.366419753086415</v>
      </c>
      <c r="BE197">
        <f t="shared" si="35"/>
        <v>13.775206345679008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0.6633</v>
      </c>
      <c r="H198" s="21">
        <v>6.9846700000000004</v>
      </c>
      <c r="I198" s="21">
        <v>-1.4047199999999999E-2</v>
      </c>
      <c r="J198" s="21">
        <v>188</v>
      </c>
      <c r="K198" s="21">
        <v>0.66253700000000004</v>
      </c>
      <c r="L198">
        <f t="shared" si="24"/>
        <v>17.342222222222222</v>
      </c>
      <c r="M198">
        <f t="shared" si="25"/>
        <v>11.503095999999999</v>
      </c>
      <c r="N198" s="9"/>
      <c r="O198" s="21">
        <v>0.84670999999999996</v>
      </c>
      <c r="P198" s="21">
        <v>10.421200000000001</v>
      </c>
      <c r="Q198" s="21">
        <v>-1.33636E-2</v>
      </c>
      <c r="R198" s="21">
        <v>188</v>
      </c>
      <c r="S198" s="21">
        <v>0.845947</v>
      </c>
      <c r="T198">
        <f t="shared" si="26"/>
        <v>16.498271604938271</v>
      </c>
      <c r="U198">
        <f t="shared" si="27"/>
        <v>13.969251550617283</v>
      </c>
      <c r="X198" s="9"/>
      <c r="Y198" s="21">
        <v>0.6633</v>
      </c>
      <c r="Z198" s="21">
        <v>15.5189</v>
      </c>
      <c r="AA198" s="21">
        <v>-1.3974E-2</v>
      </c>
      <c r="AB198" s="21">
        <v>188</v>
      </c>
      <c r="AC198" s="21">
        <v>0.66259800000000002</v>
      </c>
      <c r="AD198">
        <f t="shared" si="28"/>
        <v>17.251851851851853</v>
      </c>
      <c r="AE198">
        <f t="shared" si="29"/>
        <v>11.443153333333335</v>
      </c>
      <c r="AF198" s="9"/>
      <c r="AG198" s="21">
        <v>0.84670999999999996</v>
      </c>
      <c r="AH198" s="21">
        <v>18.955400000000001</v>
      </c>
      <c r="AI198" s="21">
        <v>-1.33209E-2</v>
      </c>
      <c r="AJ198" s="21">
        <v>188</v>
      </c>
      <c r="AK198" s="21">
        <v>0.846252</v>
      </c>
      <c r="AL198">
        <f t="shared" si="30"/>
        <v>16.445555555555554</v>
      </c>
      <c r="AM198">
        <f t="shared" si="31"/>
        <v>13.924616344444443</v>
      </c>
      <c r="AP198" s="9"/>
      <c r="AQ198" s="21">
        <v>0.6633</v>
      </c>
      <c r="AR198" s="21">
        <v>24.098099999999999</v>
      </c>
      <c r="AS198" s="21">
        <v>-1.38885E-2</v>
      </c>
      <c r="AT198" s="21">
        <v>188</v>
      </c>
      <c r="AU198" s="21">
        <v>0.662659</v>
      </c>
      <c r="AV198">
        <f t="shared" si="32"/>
        <v>17.146296296296295</v>
      </c>
      <c r="AW198">
        <f t="shared" si="33"/>
        <v>11.373138333333333</v>
      </c>
      <c r="AX198" s="9"/>
      <c r="AY198" s="21">
        <v>0.84670999999999996</v>
      </c>
      <c r="AZ198" s="21">
        <v>27.534600000000001</v>
      </c>
      <c r="BA198" s="21">
        <v>-1.3235500000000001E-2</v>
      </c>
      <c r="BB198" s="21">
        <v>188</v>
      </c>
      <c r="BC198" s="21">
        <v>0.845947</v>
      </c>
      <c r="BD198">
        <f t="shared" si="34"/>
        <v>16.340123456790124</v>
      </c>
      <c r="BE198">
        <f t="shared" si="35"/>
        <v>13.835345932098765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0.65826399999999996</v>
      </c>
      <c r="H199" s="21">
        <v>6.9947400000000002</v>
      </c>
      <c r="I199" s="21">
        <v>-1.40503E-2</v>
      </c>
      <c r="J199" s="21">
        <v>189</v>
      </c>
      <c r="K199" s="21">
        <v>0.65756199999999998</v>
      </c>
      <c r="L199">
        <f t="shared" si="24"/>
        <v>17.34604938271605</v>
      </c>
      <c r="M199">
        <f t="shared" si="25"/>
        <v>11.418279850864197</v>
      </c>
      <c r="N199" s="9"/>
      <c r="O199" s="21">
        <v>0.851746</v>
      </c>
      <c r="P199" s="21">
        <v>10.4312</v>
      </c>
      <c r="Q199" s="21">
        <v>-1.33484E-2</v>
      </c>
      <c r="R199" s="21">
        <v>189</v>
      </c>
      <c r="S199" s="21">
        <v>0.85082999999999998</v>
      </c>
      <c r="T199">
        <f t="shared" si="26"/>
        <v>16.479506172839503</v>
      </c>
      <c r="U199">
        <f t="shared" si="27"/>
        <v>14.036353464691356</v>
      </c>
      <c r="X199" s="9"/>
      <c r="Y199" s="21">
        <v>0.65826399999999996</v>
      </c>
      <c r="Z199" s="21">
        <v>15.5289</v>
      </c>
      <c r="AA199" s="21">
        <v>-1.3974E-2</v>
      </c>
      <c r="AB199" s="21">
        <v>189</v>
      </c>
      <c r="AC199" s="21">
        <v>0.65768400000000005</v>
      </c>
      <c r="AD199">
        <f t="shared" si="28"/>
        <v>17.251851851851853</v>
      </c>
      <c r="AE199">
        <f t="shared" si="29"/>
        <v>11.356273007407408</v>
      </c>
      <c r="AF199" s="9"/>
      <c r="AG199" s="21">
        <v>0.851746</v>
      </c>
      <c r="AH199" s="21">
        <v>18.965499999999999</v>
      </c>
      <c r="AI199" s="21">
        <v>-1.33057E-2</v>
      </c>
      <c r="AJ199" s="21">
        <v>189</v>
      </c>
      <c r="AK199" s="21">
        <v>0.85113499999999997</v>
      </c>
      <c r="AL199">
        <f t="shared" si="30"/>
        <v>16.42679012345679</v>
      </c>
      <c r="AM199">
        <f t="shared" si="31"/>
        <v>13.991452780493827</v>
      </c>
      <c r="AP199" s="9"/>
      <c r="AQ199" s="21">
        <v>0.65826399999999996</v>
      </c>
      <c r="AR199" s="21">
        <v>24.1082</v>
      </c>
      <c r="AS199" s="21">
        <v>-1.39008E-2</v>
      </c>
      <c r="AT199" s="21">
        <v>189</v>
      </c>
      <c r="AU199" s="21">
        <v>0.65768400000000005</v>
      </c>
      <c r="AV199">
        <f t="shared" si="32"/>
        <v>17.161481481481481</v>
      </c>
      <c r="AW199">
        <f t="shared" si="33"/>
        <v>11.296785445925925</v>
      </c>
      <c r="AX199" s="9"/>
      <c r="AY199" s="21">
        <v>0.851746</v>
      </c>
      <c r="AZ199" s="21">
        <v>27.544599999999999</v>
      </c>
      <c r="BA199" s="21">
        <v>-1.3201900000000001E-2</v>
      </c>
      <c r="BB199" s="21">
        <v>189</v>
      </c>
      <c r="BC199" s="21">
        <v>0.85082999999999998</v>
      </c>
      <c r="BD199">
        <f t="shared" si="34"/>
        <v>16.298641975308641</v>
      </c>
      <c r="BE199">
        <f t="shared" si="35"/>
        <v>13.882303107901233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0.65322899999999995</v>
      </c>
      <c r="H200" s="21">
        <v>7.00481</v>
      </c>
      <c r="I200" s="21">
        <v>-1.4053299999999999E-2</v>
      </c>
      <c r="J200" s="21">
        <v>190</v>
      </c>
      <c r="K200" s="21">
        <v>0.65261800000000003</v>
      </c>
      <c r="L200">
        <f t="shared" si="24"/>
        <v>17.349753086419753</v>
      </c>
      <c r="M200">
        <f t="shared" si="25"/>
        <v>11.333361858888887</v>
      </c>
      <c r="N200" s="9"/>
      <c r="O200" s="21">
        <v>0.85678100000000001</v>
      </c>
      <c r="P200" s="21">
        <v>10.4413</v>
      </c>
      <c r="Q200" s="21">
        <v>-1.3324000000000001E-2</v>
      </c>
      <c r="R200" s="21">
        <v>190</v>
      </c>
      <c r="S200" s="21">
        <v>0.85662799999999995</v>
      </c>
      <c r="T200">
        <f t="shared" si="26"/>
        <v>16.449382716049382</v>
      </c>
      <c r="U200">
        <f t="shared" si="27"/>
        <v>14.093518572839505</v>
      </c>
      <c r="X200" s="9"/>
      <c r="Y200" s="21">
        <v>0.65322899999999995</v>
      </c>
      <c r="Z200" s="21">
        <v>15.539</v>
      </c>
      <c r="AA200" s="21">
        <v>-1.3986200000000001E-2</v>
      </c>
      <c r="AB200" s="21">
        <v>190</v>
      </c>
      <c r="AC200" s="21">
        <v>0.65267900000000001</v>
      </c>
      <c r="AD200">
        <f t="shared" si="28"/>
        <v>17.266913580246914</v>
      </c>
      <c r="AE200">
        <f t="shared" si="29"/>
        <v>11.279248691111111</v>
      </c>
      <c r="AF200" s="9"/>
      <c r="AG200" s="21">
        <v>0.85678100000000001</v>
      </c>
      <c r="AH200" s="21">
        <v>18.9755</v>
      </c>
      <c r="AI200" s="21">
        <v>-1.3290400000000001E-2</v>
      </c>
      <c r="AJ200" s="21">
        <v>190</v>
      </c>
      <c r="AK200" s="21">
        <v>0.85571299999999995</v>
      </c>
      <c r="AL200">
        <f t="shared" si="30"/>
        <v>16.407901234567902</v>
      </c>
      <c r="AM200">
        <f t="shared" si="31"/>
        <v>14.057978027654322</v>
      </c>
      <c r="AP200" s="9"/>
      <c r="AQ200" s="21">
        <v>0.65322899999999995</v>
      </c>
      <c r="AR200" s="21">
        <v>24.118200000000002</v>
      </c>
      <c r="AS200" s="21">
        <v>-1.3913E-2</v>
      </c>
      <c r="AT200" s="21">
        <v>190</v>
      </c>
      <c r="AU200" s="21">
        <v>0.65255700000000005</v>
      </c>
      <c r="AV200">
        <f t="shared" si="32"/>
        <v>17.176543209876542</v>
      </c>
      <c r="AW200">
        <f t="shared" si="33"/>
        <v>11.220216144444443</v>
      </c>
      <c r="AX200" s="9"/>
      <c r="AY200" s="21">
        <v>0.85678100000000001</v>
      </c>
      <c r="AZ200" s="21">
        <v>27.5547</v>
      </c>
      <c r="BA200" s="21">
        <v>-1.31836E-2</v>
      </c>
      <c r="BB200" s="21">
        <v>190</v>
      </c>
      <c r="BC200" s="21">
        <v>0.85632299999999995</v>
      </c>
      <c r="BD200">
        <f t="shared" si="34"/>
        <v>16.276049382716046</v>
      </c>
      <c r="BE200">
        <f t="shared" si="35"/>
        <v>13.945009866172837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0.64819300000000002</v>
      </c>
      <c r="H201" s="21">
        <v>7.0148799999999998</v>
      </c>
      <c r="I201" s="21">
        <v>-1.40564E-2</v>
      </c>
      <c r="J201" s="21">
        <v>191</v>
      </c>
      <c r="K201" s="21">
        <v>0.64761400000000002</v>
      </c>
      <c r="L201">
        <f t="shared" si="24"/>
        <v>17.35358024691358</v>
      </c>
      <c r="M201">
        <f t="shared" si="25"/>
        <v>11.248469240987655</v>
      </c>
      <c r="N201" s="9"/>
      <c r="O201" s="21">
        <v>0.86181600000000003</v>
      </c>
      <c r="P201" s="21">
        <v>10.4514</v>
      </c>
      <c r="Q201" s="21">
        <v>-1.33118E-2</v>
      </c>
      <c r="R201" s="21">
        <v>191</v>
      </c>
      <c r="S201" s="21">
        <v>0.86059600000000003</v>
      </c>
      <c r="T201">
        <f t="shared" si="26"/>
        <v>16.434320987654321</v>
      </c>
      <c r="U201">
        <f t="shared" si="27"/>
        <v>14.163360776296296</v>
      </c>
      <c r="X201" s="9"/>
      <c r="Y201" s="21">
        <v>0.64819300000000002</v>
      </c>
      <c r="Z201" s="21">
        <v>15.549099999999999</v>
      </c>
      <c r="AA201" s="21">
        <v>-1.40015E-2</v>
      </c>
      <c r="AB201" s="21">
        <v>191</v>
      </c>
      <c r="AC201" s="21">
        <v>0.64761400000000002</v>
      </c>
      <c r="AD201">
        <f t="shared" si="28"/>
        <v>17.285802469135803</v>
      </c>
      <c r="AE201">
        <f t="shared" si="29"/>
        <v>11.204536159876543</v>
      </c>
      <c r="AF201" s="9"/>
      <c r="AG201" s="21">
        <v>0.86181600000000003</v>
      </c>
      <c r="AH201" s="21">
        <v>18.985600000000002</v>
      </c>
      <c r="AI201" s="21">
        <v>-1.32751E-2</v>
      </c>
      <c r="AJ201" s="21">
        <v>191</v>
      </c>
      <c r="AK201" s="21">
        <v>0.86151100000000003</v>
      </c>
      <c r="AL201">
        <f t="shared" si="30"/>
        <v>16.38901234567901</v>
      </c>
      <c r="AM201">
        <f t="shared" si="31"/>
        <v>14.124313063703703</v>
      </c>
      <c r="AP201" s="9"/>
      <c r="AQ201" s="21">
        <v>0.64819300000000002</v>
      </c>
      <c r="AR201" s="21">
        <v>24.128299999999999</v>
      </c>
      <c r="AS201" s="21">
        <v>-1.39282E-2</v>
      </c>
      <c r="AT201" s="21">
        <v>191</v>
      </c>
      <c r="AU201" s="21">
        <v>0.64755200000000002</v>
      </c>
      <c r="AV201">
        <f t="shared" si="32"/>
        <v>17.195308641975309</v>
      </c>
      <c r="AW201">
        <f t="shared" si="33"/>
        <v>11.145878694567902</v>
      </c>
      <c r="AX201" s="9"/>
      <c r="AY201" s="21">
        <v>0.86181600000000003</v>
      </c>
      <c r="AZ201" s="21">
        <v>27.564800000000002</v>
      </c>
      <c r="BA201" s="21">
        <v>-1.3162200000000001E-2</v>
      </c>
      <c r="BB201" s="21">
        <v>191</v>
      </c>
      <c r="BC201" s="21">
        <v>0.86090100000000003</v>
      </c>
      <c r="BD201">
        <f t="shared" si="34"/>
        <v>16.249629629629627</v>
      </c>
      <c r="BE201">
        <f t="shared" si="35"/>
        <v>14.004190808888888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0.64315800000000001</v>
      </c>
      <c r="H202" s="21">
        <v>7.0249499999999996</v>
      </c>
      <c r="I202" s="21">
        <v>-1.40625E-2</v>
      </c>
      <c r="J202" s="21">
        <v>192</v>
      </c>
      <c r="K202" s="21">
        <v>0.64260899999999999</v>
      </c>
      <c r="L202">
        <f t="shared" si="24"/>
        <v>17.361111111111111</v>
      </c>
      <c r="M202">
        <f t="shared" si="25"/>
        <v>11.1659375</v>
      </c>
      <c r="N202" s="9"/>
      <c r="O202" s="21">
        <v>0.86685199999999996</v>
      </c>
      <c r="P202" s="21">
        <v>10.461399999999999</v>
      </c>
      <c r="Q202" s="21">
        <v>-1.32874E-2</v>
      </c>
      <c r="R202" s="21">
        <v>192</v>
      </c>
      <c r="S202" s="21">
        <v>0.866089</v>
      </c>
      <c r="T202">
        <f t="shared" si="26"/>
        <v>16.404197530864195</v>
      </c>
      <c r="U202">
        <f t="shared" si="27"/>
        <v>14.220011438024688</v>
      </c>
      <c r="X202" s="9"/>
      <c r="Y202" s="21">
        <v>0.64315800000000001</v>
      </c>
      <c r="Z202" s="21">
        <v>15.559200000000001</v>
      </c>
      <c r="AA202" s="21">
        <v>-1.40167E-2</v>
      </c>
      <c r="AB202" s="21">
        <v>192</v>
      </c>
      <c r="AC202" s="21">
        <v>0.64248700000000003</v>
      </c>
      <c r="AD202">
        <f t="shared" si="28"/>
        <v>17.304567901234567</v>
      </c>
      <c r="AE202">
        <f t="shared" si="29"/>
        <v>11.129571282222221</v>
      </c>
      <c r="AF202" s="9"/>
      <c r="AG202" s="21">
        <v>0.86685199999999996</v>
      </c>
      <c r="AH202" s="21">
        <v>18.995699999999999</v>
      </c>
      <c r="AI202" s="21">
        <v>-1.32599E-2</v>
      </c>
      <c r="AJ202" s="21">
        <v>192</v>
      </c>
      <c r="AK202" s="21">
        <v>0.866089</v>
      </c>
      <c r="AL202">
        <f t="shared" si="30"/>
        <v>16.370246913580246</v>
      </c>
      <c r="AM202">
        <f t="shared" si="31"/>
        <v>14.190581277530862</v>
      </c>
      <c r="AP202" s="9"/>
      <c r="AQ202" s="21">
        <v>0.64315800000000001</v>
      </c>
      <c r="AR202" s="21">
        <v>24.138400000000001</v>
      </c>
      <c r="AS202" s="21">
        <v>-1.39343E-2</v>
      </c>
      <c r="AT202" s="21">
        <v>192</v>
      </c>
      <c r="AU202" s="21">
        <v>0.642517</v>
      </c>
      <c r="AV202">
        <f t="shared" si="32"/>
        <v>17.202839506172836</v>
      </c>
      <c r="AW202">
        <f t="shared" si="33"/>
        <v>11.064143851111108</v>
      </c>
      <c r="AX202" s="9"/>
      <c r="AY202" s="21">
        <v>0.86685199999999996</v>
      </c>
      <c r="AZ202" s="21">
        <v>27.5749</v>
      </c>
      <c r="BA202" s="21">
        <v>-1.31439E-2</v>
      </c>
      <c r="BB202" s="21">
        <v>192</v>
      </c>
      <c r="BC202" s="21">
        <v>0.865784</v>
      </c>
      <c r="BD202">
        <f t="shared" si="34"/>
        <v>16.227037037037036</v>
      </c>
      <c r="BE202">
        <f t="shared" si="35"/>
        <v>14.066439509629628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0.638123</v>
      </c>
      <c r="H203" s="21">
        <v>7.0350299999999999</v>
      </c>
      <c r="I203" s="21">
        <v>-1.4074700000000001E-2</v>
      </c>
      <c r="J203" s="21">
        <v>193</v>
      </c>
      <c r="K203" s="21">
        <v>0.63748199999999999</v>
      </c>
      <c r="L203">
        <f t="shared" si="24"/>
        <v>17.376172839506172</v>
      </c>
      <c r="M203">
        <f t="shared" si="25"/>
        <v>11.088135540864197</v>
      </c>
      <c r="N203" s="9"/>
      <c r="O203" s="21">
        <v>0.87188699999999997</v>
      </c>
      <c r="P203" s="21">
        <v>10.471500000000001</v>
      </c>
      <c r="Q203" s="21">
        <v>-1.32782E-2</v>
      </c>
      <c r="R203" s="21">
        <v>193</v>
      </c>
      <c r="S203" s="21">
        <v>0.87097199999999997</v>
      </c>
      <c r="T203">
        <f t="shared" si="26"/>
        <v>16.392839506172837</v>
      </c>
      <c r="U203">
        <f t="shared" si="27"/>
        <v>14.292703658518516</v>
      </c>
      <c r="X203" s="9"/>
      <c r="Y203" s="21">
        <v>0.638123</v>
      </c>
      <c r="Z203" s="21">
        <v>15.5692</v>
      </c>
      <c r="AA203" s="21">
        <v>-1.4031999999999999E-2</v>
      </c>
      <c r="AB203" s="21">
        <v>193</v>
      </c>
      <c r="AC203" s="21">
        <v>0.63760399999999995</v>
      </c>
      <c r="AD203">
        <f t="shared" si="28"/>
        <v>17.323456790123455</v>
      </c>
      <c r="AE203">
        <f t="shared" si="29"/>
        <v>11.054496217283949</v>
      </c>
      <c r="AF203" s="9"/>
      <c r="AG203" s="21">
        <v>0.87188699999999997</v>
      </c>
      <c r="AH203" s="21">
        <v>19.005800000000001</v>
      </c>
      <c r="AI203" s="21">
        <v>-1.32324E-2</v>
      </c>
      <c r="AJ203" s="21">
        <v>193</v>
      </c>
      <c r="AK203" s="21">
        <v>0.87127699999999997</v>
      </c>
      <c r="AL203">
        <f t="shared" si="30"/>
        <v>16.336296296296297</v>
      </c>
      <c r="AM203">
        <f t="shared" si="31"/>
        <v>14.243404368888889</v>
      </c>
      <c r="AP203" s="9"/>
      <c r="AQ203" s="21">
        <v>0.638123</v>
      </c>
      <c r="AR203" s="21">
        <v>24.148399999999999</v>
      </c>
      <c r="AS203" s="21">
        <v>-1.3943499999999999E-2</v>
      </c>
      <c r="AT203" s="21">
        <v>193</v>
      </c>
      <c r="AU203" s="21">
        <v>0.63748199999999999</v>
      </c>
      <c r="AV203">
        <f t="shared" si="32"/>
        <v>17.214197530864197</v>
      </c>
      <c r="AW203">
        <f t="shared" si="33"/>
        <v>10.984775370987654</v>
      </c>
      <c r="AX203" s="9"/>
      <c r="AY203" s="21">
        <v>0.87188699999999997</v>
      </c>
      <c r="AZ203" s="21">
        <v>27.584900000000001</v>
      </c>
      <c r="BA203" s="21">
        <v>-1.31287E-2</v>
      </c>
      <c r="BB203" s="21">
        <v>193</v>
      </c>
      <c r="BC203" s="21">
        <v>0.87066699999999997</v>
      </c>
      <c r="BD203">
        <f t="shared" si="34"/>
        <v>16.208271604938268</v>
      </c>
      <c r="BE203">
        <f t="shared" si="35"/>
        <v>14.131781304814812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0.63308699999999996</v>
      </c>
      <c r="H204" s="21">
        <v>7.0450999999999997</v>
      </c>
      <c r="I204" s="21">
        <v>-1.40961E-2</v>
      </c>
      <c r="J204" s="21">
        <v>194</v>
      </c>
      <c r="K204" s="21">
        <v>0.63244599999999995</v>
      </c>
      <c r="L204">
        <f t="shared" ref="L204:L267" si="36">-I204/$F$2*1000</f>
        <v>17.40259259259259</v>
      </c>
      <c r="M204">
        <f t="shared" ref="M204:M267" si="37">L204*G204</f>
        <v>11.017355136666664</v>
      </c>
      <c r="N204" s="9"/>
      <c r="O204" s="21">
        <v>0.87692300000000001</v>
      </c>
      <c r="P204" s="21">
        <v>10.4816</v>
      </c>
      <c r="Q204" s="21">
        <v>-1.32782E-2</v>
      </c>
      <c r="R204" s="21">
        <v>194</v>
      </c>
      <c r="S204" s="21">
        <v>0.87585400000000002</v>
      </c>
      <c r="T204">
        <f t="shared" ref="T204:T267" si="38">-Q204/$F$2*1000</f>
        <v>16.392839506172837</v>
      </c>
      <c r="U204">
        <f t="shared" ref="U204:U267" si="39">T204*O204</f>
        <v>14.375257998271604</v>
      </c>
      <c r="X204" s="9"/>
      <c r="Y204" s="21">
        <v>0.63308699999999996</v>
      </c>
      <c r="Z204" s="21">
        <v>15.5793</v>
      </c>
      <c r="AA204" s="21">
        <v>-1.4041100000000001E-2</v>
      </c>
      <c r="AB204" s="21">
        <v>194</v>
      </c>
      <c r="AC204" s="21">
        <v>0.63259900000000002</v>
      </c>
      <c r="AD204">
        <f t="shared" ref="AD204:AD267" si="40">-AA204/$F$2*1000</f>
        <v>17.334691358024692</v>
      </c>
      <c r="AE204">
        <f t="shared" ref="AE204:AE267" si="41">AD204*Y204</f>
        <v>10.974367747777777</v>
      </c>
      <c r="AF204" s="9"/>
      <c r="AG204" s="21">
        <v>0.87692300000000001</v>
      </c>
      <c r="AH204" s="21">
        <v>19.015799999999999</v>
      </c>
      <c r="AI204" s="21">
        <v>-1.32111E-2</v>
      </c>
      <c r="AJ204" s="21">
        <v>194</v>
      </c>
      <c r="AK204" s="21">
        <v>0.87554900000000002</v>
      </c>
      <c r="AL204">
        <f t="shared" ref="AL204:AL267" si="42">-AI204/$F$2*1000</f>
        <v>16.309999999999999</v>
      </c>
      <c r="AM204">
        <f t="shared" ref="AM204:AM267" si="43">AL204*AG204</f>
        <v>14.302614129999998</v>
      </c>
      <c r="AP204" s="9"/>
      <c r="AQ204" s="21">
        <v>0.63308699999999996</v>
      </c>
      <c r="AR204" s="21">
        <v>24.1585</v>
      </c>
      <c r="AS204" s="21">
        <v>-1.3952600000000001E-2</v>
      </c>
      <c r="AT204" s="21">
        <v>194</v>
      </c>
      <c r="AU204" s="21">
        <v>0.63238499999999997</v>
      </c>
      <c r="AV204">
        <f t="shared" ref="AV204:AV267" si="44">-AS204/$F$2*1000</f>
        <v>17.225432098765431</v>
      </c>
      <c r="AW204">
        <f t="shared" ref="AW204:AW267" si="45">AV204*AQ204</f>
        <v>10.905197131111109</v>
      </c>
      <c r="AX204" s="9"/>
      <c r="AY204" s="21">
        <v>0.87692300000000001</v>
      </c>
      <c r="AZ204" s="21">
        <v>27.594999999999999</v>
      </c>
      <c r="BA204" s="21">
        <v>-1.31226E-2</v>
      </c>
      <c r="BB204" s="21">
        <v>194</v>
      </c>
      <c r="BC204" s="21">
        <v>0.87616000000000005</v>
      </c>
      <c r="BD204">
        <f t="shared" ref="BD204:BD267" si="46">-BA204/$F$2*1000</f>
        <v>16.200740740740741</v>
      </c>
      <c r="BE204">
        <f t="shared" ref="BE204:BE267" si="47">BD204*AY204</f>
        <v>14.206802172592592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0.62805200000000005</v>
      </c>
      <c r="H205" s="21">
        <v>7.0551700000000004</v>
      </c>
      <c r="I205" s="21">
        <v>-1.41113E-2</v>
      </c>
      <c r="J205" s="21">
        <v>195</v>
      </c>
      <c r="K205" s="21">
        <v>0.62741100000000005</v>
      </c>
      <c r="L205">
        <f t="shared" si="36"/>
        <v>17.421358024691358</v>
      </c>
      <c r="M205">
        <f t="shared" si="37"/>
        <v>10.941518750123457</v>
      </c>
      <c r="N205" s="9"/>
      <c r="O205" s="21">
        <v>0.88195800000000002</v>
      </c>
      <c r="P205" s="21">
        <v>10.4917</v>
      </c>
      <c r="Q205" s="21">
        <v>-1.32935E-2</v>
      </c>
      <c r="R205" s="21">
        <v>195</v>
      </c>
      <c r="S205" s="21">
        <v>0.88104199999999999</v>
      </c>
      <c r="T205">
        <f t="shared" si="38"/>
        <v>16.411728395061726</v>
      </c>
      <c r="U205">
        <f t="shared" si="39"/>
        <v>14.474455151851849</v>
      </c>
      <c r="X205" s="9"/>
      <c r="Y205" s="21">
        <v>0.62805200000000005</v>
      </c>
      <c r="Z205" s="21">
        <v>15.589399999999999</v>
      </c>
      <c r="AA205" s="21">
        <v>-1.4053299999999999E-2</v>
      </c>
      <c r="AB205" s="21">
        <v>195</v>
      </c>
      <c r="AC205" s="21">
        <v>0.62741100000000005</v>
      </c>
      <c r="AD205">
        <f t="shared" si="40"/>
        <v>17.349753086419753</v>
      </c>
      <c r="AE205">
        <f t="shared" si="41"/>
        <v>10.8965471254321</v>
      </c>
      <c r="AF205" s="9"/>
      <c r="AG205" s="21">
        <v>0.88195800000000002</v>
      </c>
      <c r="AH205" s="21">
        <v>19.0259</v>
      </c>
      <c r="AI205" s="21">
        <v>-1.3195800000000001E-2</v>
      </c>
      <c r="AJ205" s="21">
        <v>195</v>
      </c>
      <c r="AK205" s="21">
        <v>0.88104199999999999</v>
      </c>
      <c r="AL205">
        <f t="shared" si="42"/>
        <v>16.29111111111111</v>
      </c>
      <c r="AM205">
        <f t="shared" si="43"/>
        <v>14.368075773333333</v>
      </c>
      <c r="AP205" s="9"/>
      <c r="AQ205" s="21">
        <v>0.62805200000000005</v>
      </c>
      <c r="AR205" s="21">
        <v>24.168600000000001</v>
      </c>
      <c r="AS205" s="21">
        <v>-1.3974E-2</v>
      </c>
      <c r="AT205" s="21">
        <v>195</v>
      </c>
      <c r="AU205" s="21">
        <v>0.62744100000000003</v>
      </c>
      <c r="AV205">
        <f t="shared" si="44"/>
        <v>17.251851851851853</v>
      </c>
      <c r="AW205">
        <f t="shared" si="45"/>
        <v>10.835060059259261</v>
      </c>
      <c r="AX205" s="9"/>
      <c r="AY205" s="21">
        <v>0.88195800000000002</v>
      </c>
      <c r="AZ205" s="21">
        <v>27.6051</v>
      </c>
      <c r="BA205" s="21">
        <v>-1.3113400000000001E-2</v>
      </c>
      <c r="BB205" s="21">
        <v>195</v>
      </c>
      <c r="BC205" s="21">
        <v>0.88073699999999999</v>
      </c>
      <c r="BD205">
        <f t="shared" si="46"/>
        <v>16.18938271604938</v>
      </c>
      <c r="BE205">
        <f t="shared" si="47"/>
        <v>14.278355601481479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0.62301600000000001</v>
      </c>
      <c r="H206" s="21">
        <v>7.0652400000000002</v>
      </c>
      <c r="I206" s="21">
        <v>-1.4123500000000001E-2</v>
      </c>
      <c r="J206" s="21">
        <v>196</v>
      </c>
      <c r="K206" s="21">
        <v>0.62234500000000004</v>
      </c>
      <c r="L206">
        <f t="shared" si="36"/>
        <v>17.436419753086419</v>
      </c>
      <c r="M206">
        <f t="shared" si="37"/>
        <v>10.863168488888888</v>
      </c>
      <c r="N206" s="9"/>
      <c r="O206" s="21">
        <v>0.88699300000000003</v>
      </c>
      <c r="P206" s="21">
        <v>10.5017</v>
      </c>
      <c r="Q206" s="21">
        <v>-1.3290400000000001E-2</v>
      </c>
      <c r="R206" s="21">
        <v>196</v>
      </c>
      <c r="S206" s="21">
        <v>0.88653599999999999</v>
      </c>
      <c r="T206">
        <f t="shared" si="38"/>
        <v>16.407901234567902</v>
      </c>
      <c r="U206">
        <f t="shared" si="39"/>
        <v>14.553693539753088</v>
      </c>
      <c r="X206" s="9"/>
      <c r="Y206" s="21">
        <v>0.62301600000000001</v>
      </c>
      <c r="Z206" s="21">
        <v>15.599399999999999</v>
      </c>
      <c r="AA206" s="21">
        <v>-1.40594E-2</v>
      </c>
      <c r="AB206" s="21">
        <v>196</v>
      </c>
      <c r="AC206" s="21">
        <v>0.62237500000000001</v>
      </c>
      <c r="AD206">
        <f t="shared" si="40"/>
        <v>17.357283950617283</v>
      </c>
      <c r="AE206">
        <f t="shared" si="41"/>
        <v>10.813865617777777</v>
      </c>
      <c r="AF206" s="9"/>
      <c r="AG206" s="21">
        <v>0.88699300000000003</v>
      </c>
      <c r="AH206" s="21">
        <v>19.036000000000001</v>
      </c>
      <c r="AI206" s="21">
        <v>-1.31714E-2</v>
      </c>
      <c r="AJ206" s="21">
        <v>196</v>
      </c>
      <c r="AK206" s="21">
        <v>0.88592499999999996</v>
      </c>
      <c r="AL206">
        <f t="shared" si="42"/>
        <v>16.260987654320989</v>
      </c>
      <c r="AM206">
        <f t="shared" si="43"/>
        <v>14.423382222469137</v>
      </c>
      <c r="AP206" s="9"/>
      <c r="AQ206" s="21">
        <v>0.62301600000000001</v>
      </c>
      <c r="AR206" s="21">
        <v>24.178699999999999</v>
      </c>
      <c r="AS206" s="21">
        <v>-1.3980100000000001E-2</v>
      </c>
      <c r="AT206" s="21">
        <v>196</v>
      </c>
      <c r="AU206" s="21">
        <v>0.62237500000000001</v>
      </c>
      <c r="AV206">
        <f t="shared" si="44"/>
        <v>17.259382716049384</v>
      </c>
      <c r="AW206">
        <f t="shared" si="45"/>
        <v>10.752871582222223</v>
      </c>
      <c r="AX206" s="9"/>
      <c r="AY206" s="21">
        <v>0.88699300000000003</v>
      </c>
      <c r="AZ206" s="21">
        <v>27.615100000000002</v>
      </c>
      <c r="BA206" s="21">
        <v>-1.3085899999999999E-2</v>
      </c>
      <c r="BB206" s="21">
        <v>196</v>
      </c>
      <c r="BC206" s="21">
        <v>0.88592499999999996</v>
      </c>
      <c r="BD206">
        <f t="shared" si="46"/>
        <v>16.155432098765431</v>
      </c>
      <c r="BE206">
        <f t="shared" si="47"/>
        <v>14.329755183580247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0.617981</v>
      </c>
      <c r="H207" s="21">
        <v>7.07531</v>
      </c>
      <c r="I207" s="21">
        <v>-1.41418E-2</v>
      </c>
      <c r="J207" s="21">
        <v>197</v>
      </c>
      <c r="K207" s="21">
        <v>0.61734</v>
      </c>
      <c r="L207">
        <f t="shared" si="36"/>
        <v>17.45901234567901</v>
      </c>
      <c r="M207">
        <f t="shared" si="37"/>
        <v>10.78933790839506</v>
      </c>
      <c r="N207" s="9"/>
      <c r="O207" s="21">
        <v>0.89202899999999996</v>
      </c>
      <c r="P207" s="21">
        <v>10.511799999999999</v>
      </c>
      <c r="Q207" s="21">
        <v>-1.32874E-2</v>
      </c>
      <c r="R207" s="21">
        <v>197</v>
      </c>
      <c r="S207" s="21">
        <v>0.89141800000000004</v>
      </c>
      <c r="T207">
        <f t="shared" si="38"/>
        <v>16.404197530864195</v>
      </c>
      <c r="U207">
        <f t="shared" si="39"/>
        <v>14.633019919259256</v>
      </c>
      <c r="X207" s="9"/>
      <c r="Y207" s="21">
        <v>0.617981</v>
      </c>
      <c r="Z207" s="21">
        <v>15.609500000000001</v>
      </c>
      <c r="AA207" s="21">
        <v>-1.4065599999999999E-2</v>
      </c>
      <c r="AB207" s="21">
        <v>197</v>
      </c>
      <c r="AC207" s="21">
        <v>0.61734</v>
      </c>
      <c r="AD207">
        <f t="shared" si="40"/>
        <v>17.364938271604938</v>
      </c>
      <c r="AE207">
        <f t="shared" si="41"/>
        <v>10.731201918024691</v>
      </c>
      <c r="AF207" s="9"/>
      <c r="AG207" s="21">
        <v>0.89202899999999996</v>
      </c>
      <c r="AH207" s="21">
        <v>19.045999999999999</v>
      </c>
      <c r="AI207" s="21">
        <v>-1.3153099999999999E-2</v>
      </c>
      <c r="AJ207" s="21">
        <v>197</v>
      </c>
      <c r="AK207" s="21">
        <v>0.89111300000000004</v>
      </c>
      <c r="AL207">
        <f t="shared" si="42"/>
        <v>16.238395061728394</v>
      </c>
      <c r="AM207">
        <f t="shared" si="43"/>
        <v>14.485119308518517</v>
      </c>
      <c r="AP207" s="9"/>
      <c r="AQ207" s="21">
        <v>0.617981</v>
      </c>
      <c r="AR207" s="21">
        <v>24.188700000000001</v>
      </c>
      <c r="AS207" s="21">
        <v>-1.3986200000000001E-2</v>
      </c>
      <c r="AT207" s="21">
        <v>197</v>
      </c>
      <c r="AU207" s="21">
        <v>0.61743199999999998</v>
      </c>
      <c r="AV207">
        <f t="shared" si="44"/>
        <v>17.266913580246914</v>
      </c>
      <c r="AW207">
        <f t="shared" si="45"/>
        <v>10.670624521234569</v>
      </c>
      <c r="AX207" s="9"/>
      <c r="AY207" s="21">
        <v>0.89202899999999996</v>
      </c>
      <c r="AZ207" s="21">
        <v>27.6252</v>
      </c>
      <c r="BA207" s="21">
        <v>-1.3064600000000001E-2</v>
      </c>
      <c r="BB207" s="21">
        <v>197</v>
      </c>
      <c r="BC207" s="21">
        <v>0.89111300000000004</v>
      </c>
      <c r="BD207">
        <f t="shared" si="46"/>
        <v>16.129135802469136</v>
      </c>
      <c r="BE207">
        <f t="shared" si="47"/>
        <v>14.387656880740741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0.61294599999999999</v>
      </c>
      <c r="H208" s="21">
        <v>7.0853799999999998</v>
      </c>
      <c r="I208" s="21">
        <v>-1.4154099999999999E-2</v>
      </c>
      <c r="J208" s="21">
        <v>198</v>
      </c>
      <c r="K208" s="21">
        <v>0.61233499999999996</v>
      </c>
      <c r="L208">
        <f t="shared" si="36"/>
        <v>17.474197530864195</v>
      </c>
      <c r="M208">
        <f t="shared" si="37"/>
        <v>10.710739479753085</v>
      </c>
      <c r="N208" s="9"/>
      <c r="O208" s="21">
        <v>0.89706399999999997</v>
      </c>
      <c r="P208" s="21">
        <v>10.5219</v>
      </c>
      <c r="Q208" s="21">
        <v>-1.32721E-2</v>
      </c>
      <c r="R208" s="21">
        <v>198</v>
      </c>
      <c r="S208" s="21">
        <v>0.89630100000000001</v>
      </c>
      <c r="T208">
        <f t="shared" si="38"/>
        <v>16.385308641975307</v>
      </c>
      <c r="U208">
        <f t="shared" si="39"/>
        <v>14.698670511604936</v>
      </c>
      <c r="X208" s="9"/>
      <c r="Y208" s="21">
        <v>0.61294599999999999</v>
      </c>
      <c r="Z208" s="21">
        <v>15.6196</v>
      </c>
      <c r="AA208" s="21">
        <v>-1.4071699999999999E-2</v>
      </c>
      <c r="AB208" s="21">
        <v>198</v>
      </c>
      <c r="AC208" s="21">
        <v>0.61233499999999996</v>
      </c>
      <c r="AD208">
        <f t="shared" si="40"/>
        <v>17.372469135802469</v>
      </c>
      <c r="AE208">
        <f t="shared" si="41"/>
        <v>10.648385466913579</v>
      </c>
      <c r="AF208" s="9"/>
      <c r="AG208" s="21">
        <v>0.89706399999999997</v>
      </c>
      <c r="AH208" s="21">
        <v>19.056100000000001</v>
      </c>
      <c r="AI208" s="21">
        <v>-1.31409E-2</v>
      </c>
      <c r="AJ208" s="21">
        <v>198</v>
      </c>
      <c r="AK208" s="21">
        <v>0.89630100000000001</v>
      </c>
      <c r="AL208">
        <f t="shared" si="42"/>
        <v>16.223333333333333</v>
      </c>
      <c r="AM208">
        <f t="shared" si="43"/>
        <v>14.553368293333332</v>
      </c>
      <c r="AP208" s="9"/>
      <c r="AQ208" s="21">
        <v>0.61294599999999999</v>
      </c>
      <c r="AR208" s="21">
        <v>24.198799999999999</v>
      </c>
      <c r="AS208" s="21">
        <v>-1.3992299999999999E-2</v>
      </c>
      <c r="AT208" s="21">
        <v>198</v>
      </c>
      <c r="AU208" s="21">
        <v>0.61230499999999999</v>
      </c>
      <c r="AV208">
        <f t="shared" si="44"/>
        <v>17.274444444444445</v>
      </c>
      <c r="AW208">
        <f t="shared" si="45"/>
        <v>10.588301624444444</v>
      </c>
      <c r="AX208" s="9"/>
      <c r="AY208" s="21">
        <v>0.89706399999999997</v>
      </c>
      <c r="AZ208" s="21">
        <v>27.635300000000001</v>
      </c>
      <c r="BA208" s="21">
        <v>-1.30432E-2</v>
      </c>
      <c r="BB208" s="21">
        <v>198</v>
      </c>
      <c r="BC208" s="21">
        <v>0.89630100000000001</v>
      </c>
      <c r="BD208">
        <f t="shared" si="46"/>
        <v>16.102716049382714</v>
      </c>
      <c r="BE208">
        <f t="shared" si="47"/>
        <v>14.445166870123455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0.60790999999999995</v>
      </c>
      <c r="H209" s="21">
        <v>7.0954499999999996</v>
      </c>
      <c r="I209" s="21">
        <v>-1.41663E-2</v>
      </c>
      <c r="J209" s="21">
        <v>199</v>
      </c>
      <c r="K209" s="21">
        <v>0.60729999999999995</v>
      </c>
      <c r="L209">
        <f t="shared" si="36"/>
        <v>17.489259259259256</v>
      </c>
      <c r="M209">
        <f t="shared" si="37"/>
        <v>10.631895596296294</v>
      </c>
      <c r="N209" s="9"/>
      <c r="O209" s="21">
        <v>0.90210000000000001</v>
      </c>
      <c r="P209" s="21">
        <v>10.5319</v>
      </c>
      <c r="Q209" s="21">
        <v>-1.3247699999999999E-2</v>
      </c>
      <c r="R209" s="21">
        <v>199</v>
      </c>
      <c r="S209" s="21">
        <v>0.90118399999999999</v>
      </c>
      <c r="T209">
        <f t="shared" si="38"/>
        <v>16.355185185185185</v>
      </c>
      <c r="U209">
        <f t="shared" si="39"/>
        <v>14.754012555555555</v>
      </c>
      <c r="X209" s="9"/>
      <c r="Y209" s="21">
        <v>0.60790999999999995</v>
      </c>
      <c r="Z209" s="21">
        <v>15.6297</v>
      </c>
      <c r="AA209" s="21">
        <v>-1.40778E-2</v>
      </c>
      <c r="AB209" s="21">
        <v>199</v>
      </c>
      <c r="AC209" s="21">
        <v>0.60726899999999995</v>
      </c>
      <c r="AD209">
        <f t="shared" si="40"/>
        <v>17.38</v>
      </c>
      <c r="AE209">
        <f t="shared" si="41"/>
        <v>10.565475799999998</v>
      </c>
      <c r="AF209" s="9"/>
      <c r="AG209" s="21">
        <v>0.90210000000000001</v>
      </c>
      <c r="AH209" s="21">
        <v>19.066199999999998</v>
      </c>
      <c r="AI209" s="21">
        <v>-1.3125599999999999E-2</v>
      </c>
      <c r="AJ209" s="21">
        <v>199</v>
      </c>
      <c r="AK209" s="21">
        <v>0.90118399999999999</v>
      </c>
      <c r="AL209">
        <f t="shared" si="42"/>
        <v>16.204444444444441</v>
      </c>
      <c r="AM209">
        <f t="shared" si="43"/>
        <v>14.618029333333331</v>
      </c>
      <c r="AP209" s="9"/>
      <c r="AQ209" s="21">
        <v>0.60790999999999995</v>
      </c>
      <c r="AR209" s="21">
        <v>24.2089</v>
      </c>
      <c r="AS209" s="21">
        <v>-1.3998399999999999E-2</v>
      </c>
      <c r="AT209" s="21">
        <v>199</v>
      </c>
      <c r="AU209" s="21">
        <v>0.607178</v>
      </c>
      <c r="AV209">
        <f t="shared" si="44"/>
        <v>17.281975308641975</v>
      </c>
      <c r="AW209">
        <f t="shared" si="45"/>
        <v>10.505885609876541</v>
      </c>
      <c r="AX209" s="9"/>
      <c r="AY209" s="21">
        <v>0.90210000000000001</v>
      </c>
      <c r="AZ209" s="21">
        <v>27.645399999999999</v>
      </c>
      <c r="BA209" s="21">
        <v>-1.3030999999999999E-2</v>
      </c>
      <c r="BB209" s="21">
        <v>199</v>
      </c>
      <c r="BC209" s="21">
        <v>0.90148899999999998</v>
      </c>
      <c r="BD209">
        <f t="shared" si="46"/>
        <v>16.087654320987653</v>
      </c>
      <c r="BE209">
        <f t="shared" si="47"/>
        <v>14.512672962962961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0.60287500000000005</v>
      </c>
      <c r="H210" s="21">
        <v>7.1055200000000003</v>
      </c>
      <c r="I210" s="21">
        <v>-1.4175399999999999E-2</v>
      </c>
      <c r="J210" s="21">
        <v>200</v>
      </c>
      <c r="K210" s="21">
        <v>0.60223400000000005</v>
      </c>
      <c r="L210">
        <f t="shared" si="36"/>
        <v>17.500493827160494</v>
      </c>
      <c r="M210">
        <f t="shared" si="37"/>
        <v>10.550610216049384</v>
      </c>
      <c r="N210" s="9"/>
      <c r="O210" s="21">
        <v>0.90713500000000002</v>
      </c>
      <c r="P210" s="21">
        <v>10.542</v>
      </c>
      <c r="Q210" s="21">
        <v>-1.32385E-2</v>
      </c>
      <c r="R210" s="21">
        <v>200</v>
      </c>
      <c r="S210" s="21">
        <v>0.90667699999999996</v>
      </c>
      <c r="T210">
        <f t="shared" si="38"/>
        <v>16.343827160493824</v>
      </c>
      <c r="U210">
        <f t="shared" si="39"/>
        <v>14.826057651234565</v>
      </c>
      <c r="X210" s="9"/>
      <c r="Y210" s="21">
        <v>0.60287500000000005</v>
      </c>
      <c r="Z210" s="21">
        <v>15.639699999999999</v>
      </c>
      <c r="AA210" s="21">
        <v>-1.40839E-2</v>
      </c>
      <c r="AB210" s="21">
        <v>200</v>
      </c>
      <c r="AC210" s="21">
        <v>0.60211199999999998</v>
      </c>
      <c r="AD210">
        <f t="shared" si="40"/>
        <v>17.387530864197529</v>
      </c>
      <c r="AE210">
        <f t="shared" si="41"/>
        <v>10.482507669753087</v>
      </c>
      <c r="AF210" s="9"/>
      <c r="AG210" s="21">
        <v>0.90713500000000002</v>
      </c>
      <c r="AH210" s="21">
        <v>19.0763</v>
      </c>
      <c r="AI210" s="21">
        <v>-1.3113400000000001E-2</v>
      </c>
      <c r="AJ210" s="21">
        <v>200</v>
      </c>
      <c r="AK210" s="21">
        <v>0.90576199999999996</v>
      </c>
      <c r="AL210">
        <f t="shared" si="42"/>
        <v>16.18938271604938</v>
      </c>
      <c r="AM210">
        <f t="shared" si="43"/>
        <v>14.685955690123455</v>
      </c>
      <c r="AP210" s="9"/>
      <c r="AQ210" s="21">
        <v>0.60287500000000005</v>
      </c>
      <c r="AR210" s="21">
        <v>24.218900000000001</v>
      </c>
      <c r="AS210" s="21">
        <v>-1.40167E-2</v>
      </c>
      <c r="AT210" s="21">
        <v>200</v>
      </c>
      <c r="AU210" s="21">
        <v>0.60226400000000002</v>
      </c>
      <c r="AV210">
        <f t="shared" si="44"/>
        <v>17.304567901234567</v>
      </c>
      <c r="AW210">
        <f t="shared" si="45"/>
        <v>10.43249137345679</v>
      </c>
      <c r="AX210" s="9"/>
      <c r="AY210" s="21">
        <v>0.90713500000000002</v>
      </c>
      <c r="AZ210" s="21">
        <v>27.6554</v>
      </c>
      <c r="BA210" s="21">
        <v>-1.3030999999999999E-2</v>
      </c>
      <c r="BB210" s="21">
        <v>200</v>
      </c>
      <c r="BC210" s="21">
        <v>0.90637199999999996</v>
      </c>
      <c r="BD210">
        <f t="shared" si="46"/>
        <v>16.087654320987653</v>
      </c>
      <c r="BE210">
        <f t="shared" si="47"/>
        <v>14.593674302469134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0.59783900000000001</v>
      </c>
      <c r="H211" s="21">
        <v>7.1155900000000001</v>
      </c>
      <c r="I211" s="21">
        <v>-1.41876E-2</v>
      </c>
      <c r="J211" s="21">
        <v>201</v>
      </c>
      <c r="K211" s="21">
        <v>0.59710700000000005</v>
      </c>
      <c r="L211">
        <f t="shared" si="36"/>
        <v>17.515555555555554</v>
      </c>
      <c r="M211">
        <f t="shared" si="37"/>
        <v>10.471482217777778</v>
      </c>
      <c r="N211" s="9"/>
      <c r="O211" s="21">
        <v>0.91217000000000004</v>
      </c>
      <c r="P211" s="21">
        <v>10.552099999999999</v>
      </c>
      <c r="Q211" s="21">
        <v>-1.3214099999999999E-2</v>
      </c>
      <c r="R211" s="21">
        <v>201</v>
      </c>
      <c r="S211" s="21">
        <v>0.91095000000000004</v>
      </c>
      <c r="T211">
        <f t="shared" si="38"/>
        <v>16.313703703703702</v>
      </c>
      <c r="U211">
        <f t="shared" si="39"/>
        <v>14.880871107407406</v>
      </c>
      <c r="X211" s="9"/>
      <c r="Y211" s="21">
        <v>0.59783900000000001</v>
      </c>
      <c r="Z211" s="21">
        <v>15.649800000000001</v>
      </c>
      <c r="AA211" s="21">
        <v>-1.40961E-2</v>
      </c>
      <c r="AB211" s="21">
        <v>201</v>
      </c>
      <c r="AC211" s="21">
        <v>0.59722900000000001</v>
      </c>
      <c r="AD211">
        <f t="shared" si="40"/>
        <v>17.40259259259259</v>
      </c>
      <c r="AE211">
        <f t="shared" si="41"/>
        <v>10.403948552962962</v>
      </c>
      <c r="AF211" s="9"/>
      <c r="AG211" s="21">
        <v>0.91217000000000004</v>
      </c>
      <c r="AH211" s="21">
        <v>19.086300000000001</v>
      </c>
      <c r="AI211" s="21">
        <v>-1.31012E-2</v>
      </c>
      <c r="AJ211" s="21">
        <v>201</v>
      </c>
      <c r="AK211" s="21">
        <v>0.91156000000000004</v>
      </c>
      <c r="AL211">
        <f t="shared" si="42"/>
        <v>16.174320987654323</v>
      </c>
      <c r="AM211">
        <f t="shared" si="43"/>
        <v>14.753730375308644</v>
      </c>
      <c r="AP211" s="9"/>
      <c r="AQ211" s="21">
        <v>0.59783900000000001</v>
      </c>
      <c r="AR211" s="21">
        <v>24.228999999999999</v>
      </c>
      <c r="AS211" s="21">
        <v>-1.4025900000000001E-2</v>
      </c>
      <c r="AT211" s="21">
        <v>201</v>
      </c>
      <c r="AU211" s="21">
        <v>0.59722900000000001</v>
      </c>
      <c r="AV211">
        <f t="shared" si="44"/>
        <v>17.315925925925924</v>
      </c>
      <c r="AW211">
        <f t="shared" si="45"/>
        <v>10.352135839629629</v>
      </c>
      <c r="AX211" s="9"/>
      <c r="AY211" s="21">
        <v>0.91217000000000004</v>
      </c>
      <c r="AZ211" s="21">
        <v>27.665500000000002</v>
      </c>
      <c r="BA211" s="21">
        <v>-1.3024900000000001E-2</v>
      </c>
      <c r="BB211" s="21">
        <v>201</v>
      </c>
      <c r="BC211" s="21">
        <v>0.91156000000000004</v>
      </c>
      <c r="BD211">
        <f t="shared" si="46"/>
        <v>16.080123456790126</v>
      </c>
      <c r="BE211">
        <f t="shared" si="47"/>
        <v>14.667806213580249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0.592804</v>
      </c>
      <c r="H212" s="21">
        <v>7.1256599999999999</v>
      </c>
      <c r="I212" s="21">
        <v>-1.41998E-2</v>
      </c>
      <c r="J212" s="21">
        <v>202</v>
      </c>
      <c r="K212" s="21">
        <v>0.59213300000000002</v>
      </c>
      <c r="L212">
        <f t="shared" si="36"/>
        <v>17.530617283950615</v>
      </c>
      <c r="M212">
        <f t="shared" si="37"/>
        <v>10.39222004839506</v>
      </c>
      <c r="N212" s="9"/>
      <c r="O212" s="21">
        <v>0.91720599999999997</v>
      </c>
      <c r="P212" s="21">
        <v>10.562200000000001</v>
      </c>
      <c r="Q212" s="21">
        <v>-1.3195800000000001E-2</v>
      </c>
      <c r="R212" s="21">
        <v>202</v>
      </c>
      <c r="S212" s="21">
        <v>0.91613800000000001</v>
      </c>
      <c r="T212">
        <f t="shared" si="38"/>
        <v>16.29111111111111</v>
      </c>
      <c r="U212">
        <f t="shared" si="39"/>
        <v>14.942304857777776</v>
      </c>
      <c r="X212" s="9"/>
      <c r="Y212" s="21">
        <v>0.592804</v>
      </c>
      <c r="Z212" s="21">
        <v>15.6599</v>
      </c>
      <c r="AA212" s="21">
        <v>-1.4108300000000001E-2</v>
      </c>
      <c r="AB212" s="21">
        <v>202</v>
      </c>
      <c r="AC212" s="21">
        <v>0.59228499999999995</v>
      </c>
      <c r="AD212">
        <f t="shared" si="40"/>
        <v>17.417654320987655</v>
      </c>
      <c r="AE212">
        <f t="shared" si="41"/>
        <v>10.325255152098766</v>
      </c>
      <c r="AF212" s="9"/>
      <c r="AG212" s="21">
        <v>0.91720599999999997</v>
      </c>
      <c r="AH212" s="21">
        <v>19.096399999999999</v>
      </c>
      <c r="AI212" s="21">
        <v>-1.3091999999999999E-2</v>
      </c>
      <c r="AJ212" s="21">
        <v>202</v>
      </c>
      <c r="AK212" s="21">
        <v>0.91613800000000001</v>
      </c>
      <c r="AL212">
        <f t="shared" si="42"/>
        <v>16.162962962962961</v>
      </c>
      <c r="AM212">
        <f t="shared" si="43"/>
        <v>14.824766607407405</v>
      </c>
      <c r="AP212" s="9"/>
      <c r="AQ212" s="21">
        <v>0.592804</v>
      </c>
      <c r="AR212" s="21">
        <v>24.239100000000001</v>
      </c>
      <c r="AS212" s="21">
        <v>-1.4019800000000001E-2</v>
      </c>
      <c r="AT212" s="21">
        <v>202</v>
      </c>
      <c r="AU212" s="21">
        <v>0.59222399999999997</v>
      </c>
      <c r="AV212">
        <f t="shared" si="44"/>
        <v>17.308395061728394</v>
      </c>
      <c r="AW212">
        <f t="shared" si="45"/>
        <v>10.26048582617284</v>
      </c>
      <c r="AX212" s="9"/>
      <c r="AY212" s="21">
        <v>0.91720599999999997</v>
      </c>
      <c r="AZ212" s="21">
        <v>27.675599999999999</v>
      </c>
      <c r="BA212" s="21">
        <v>-1.30127E-2</v>
      </c>
      <c r="BB212" s="21">
        <v>202</v>
      </c>
      <c r="BC212" s="21">
        <v>0.91644300000000001</v>
      </c>
      <c r="BD212">
        <f t="shared" si="46"/>
        <v>16.065061728395062</v>
      </c>
      <c r="BE212">
        <f t="shared" si="47"/>
        <v>14.73497100765432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0.58776899999999999</v>
      </c>
      <c r="H213" s="21">
        <v>7.1357400000000002</v>
      </c>
      <c r="I213" s="21">
        <v>-1.42059E-2</v>
      </c>
      <c r="J213" s="21">
        <v>203</v>
      </c>
      <c r="K213" s="21">
        <v>0.58709699999999998</v>
      </c>
      <c r="L213">
        <f t="shared" si="36"/>
        <v>17.538148148148146</v>
      </c>
      <c r="M213">
        <f t="shared" si="37"/>
        <v>10.308379798888888</v>
      </c>
      <c r="N213" s="9"/>
      <c r="O213" s="21">
        <v>0.92224099999999998</v>
      </c>
      <c r="P213" s="21">
        <v>10.5722</v>
      </c>
      <c r="Q213" s="21">
        <v>-1.31805E-2</v>
      </c>
      <c r="R213" s="21">
        <v>203</v>
      </c>
      <c r="S213" s="21">
        <v>0.92102099999999998</v>
      </c>
      <c r="T213">
        <f t="shared" si="38"/>
        <v>16.272222222222219</v>
      </c>
      <c r="U213">
        <f t="shared" si="39"/>
        <v>15.00691049444444</v>
      </c>
      <c r="X213" s="9"/>
      <c r="Y213" s="21">
        <v>0.58776899999999999</v>
      </c>
      <c r="Z213" s="21">
        <v>15.6699</v>
      </c>
      <c r="AA213" s="21">
        <v>-1.41174E-2</v>
      </c>
      <c r="AB213" s="21">
        <v>203</v>
      </c>
      <c r="AC213" s="21">
        <v>0.58706700000000001</v>
      </c>
      <c r="AD213">
        <f t="shared" si="40"/>
        <v>17.428888888888888</v>
      </c>
      <c r="AE213">
        <f t="shared" si="41"/>
        <v>10.244160593333334</v>
      </c>
      <c r="AF213" s="9"/>
      <c r="AG213" s="21">
        <v>0.92224099999999998</v>
      </c>
      <c r="AH213" s="21">
        <v>19.1065</v>
      </c>
      <c r="AI213" s="21">
        <v>-1.30829E-2</v>
      </c>
      <c r="AJ213" s="21">
        <v>203</v>
      </c>
      <c r="AK213" s="21">
        <v>0.92163099999999998</v>
      </c>
      <c r="AL213">
        <f t="shared" si="42"/>
        <v>16.151728395061728</v>
      </c>
      <c r="AM213">
        <f t="shared" si="43"/>
        <v>14.895786146790122</v>
      </c>
      <c r="AP213" s="9"/>
      <c r="AQ213" s="21">
        <v>0.58776899999999999</v>
      </c>
      <c r="AR213" s="21">
        <v>24.249099999999999</v>
      </c>
      <c r="AS213" s="21">
        <v>-1.40228E-2</v>
      </c>
      <c r="AT213" s="21">
        <v>203</v>
      </c>
      <c r="AU213" s="21">
        <v>0.58718899999999996</v>
      </c>
      <c r="AV213">
        <f t="shared" si="44"/>
        <v>17.312098765432097</v>
      </c>
      <c r="AW213">
        <f t="shared" si="45"/>
        <v>10.175514979259258</v>
      </c>
      <c r="AX213" s="9"/>
      <c r="AY213" s="21">
        <v>0.92224099999999998</v>
      </c>
      <c r="AZ213" s="21">
        <v>27.685600000000001</v>
      </c>
      <c r="BA213" s="21">
        <v>-1.2991300000000001E-2</v>
      </c>
      <c r="BB213" s="21">
        <v>203</v>
      </c>
      <c r="BC213" s="21">
        <v>0.92132599999999998</v>
      </c>
      <c r="BD213">
        <f t="shared" si="46"/>
        <v>16.038641975308643</v>
      </c>
      <c r="BE213">
        <f t="shared" si="47"/>
        <v>14.791493213950618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0.58273299999999995</v>
      </c>
      <c r="H214" s="21">
        <v>7.14581</v>
      </c>
      <c r="I214" s="21">
        <v>-1.42059E-2</v>
      </c>
      <c r="J214" s="21">
        <v>204</v>
      </c>
      <c r="K214" s="21">
        <v>0.58212299999999995</v>
      </c>
      <c r="L214">
        <f t="shared" si="36"/>
        <v>17.538148148148146</v>
      </c>
      <c r="M214">
        <f t="shared" si="37"/>
        <v>10.220057684814812</v>
      </c>
      <c r="N214" s="9"/>
      <c r="O214" s="21">
        <v>0.92727700000000002</v>
      </c>
      <c r="P214" s="21">
        <v>10.5823</v>
      </c>
      <c r="Q214" s="21">
        <v>-1.31714E-2</v>
      </c>
      <c r="R214" s="21">
        <v>204</v>
      </c>
      <c r="S214" s="21">
        <v>0.92651399999999995</v>
      </c>
      <c r="T214">
        <f t="shared" si="38"/>
        <v>16.260987654320989</v>
      </c>
      <c r="U214">
        <f t="shared" si="39"/>
        <v>15.078439849135803</v>
      </c>
      <c r="X214" s="9"/>
      <c r="Y214" s="21">
        <v>0.58273299999999995</v>
      </c>
      <c r="Z214" s="21">
        <v>15.68</v>
      </c>
      <c r="AA214" s="21">
        <v>-1.41174E-2</v>
      </c>
      <c r="AB214" s="21">
        <v>204</v>
      </c>
      <c r="AC214" s="21">
        <v>0.58209200000000005</v>
      </c>
      <c r="AD214">
        <f t="shared" si="40"/>
        <v>17.428888888888888</v>
      </c>
      <c r="AE214">
        <f t="shared" si="41"/>
        <v>10.156388708888887</v>
      </c>
      <c r="AF214" s="9"/>
      <c r="AG214" s="21">
        <v>0.92727700000000002</v>
      </c>
      <c r="AH214" s="21">
        <v>19.116499999999998</v>
      </c>
      <c r="AI214" s="21">
        <v>-1.3073700000000001E-2</v>
      </c>
      <c r="AJ214" s="21">
        <v>204</v>
      </c>
      <c r="AK214" s="21">
        <v>0.92681899999999995</v>
      </c>
      <c r="AL214">
        <f t="shared" si="42"/>
        <v>16.14037037037037</v>
      </c>
      <c r="AM214">
        <f t="shared" si="43"/>
        <v>14.966594215925925</v>
      </c>
      <c r="AP214" s="9"/>
      <c r="AQ214" s="21">
        <v>0.58273299999999995</v>
      </c>
      <c r="AR214" s="21">
        <v>24.2592</v>
      </c>
      <c r="AS214" s="21">
        <v>-1.40289E-2</v>
      </c>
      <c r="AT214" s="21">
        <v>204</v>
      </c>
      <c r="AU214" s="21">
        <v>0.58209200000000005</v>
      </c>
      <c r="AV214">
        <f t="shared" si="44"/>
        <v>17.319629629629631</v>
      </c>
      <c r="AW214">
        <f t="shared" si="45"/>
        <v>10.092719732962962</v>
      </c>
      <c r="AX214" s="9"/>
      <c r="AY214" s="21">
        <v>0.92727700000000002</v>
      </c>
      <c r="AZ214" s="21">
        <v>27.695699999999999</v>
      </c>
      <c r="BA214" s="21">
        <v>-1.2976100000000001E-2</v>
      </c>
      <c r="BB214" s="21">
        <v>204</v>
      </c>
      <c r="BC214" s="21">
        <v>0.92590300000000003</v>
      </c>
      <c r="BD214">
        <f t="shared" si="46"/>
        <v>16.019876543209875</v>
      </c>
      <c r="BE214">
        <f t="shared" si="47"/>
        <v>14.854863061358024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0.57769800000000004</v>
      </c>
      <c r="H215" s="21">
        <v>7.1558799999999998</v>
      </c>
      <c r="I215" s="21">
        <v>-1.4208999999999999E-2</v>
      </c>
      <c r="J215" s="21">
        <v>205</v>
      </c>
      <c r="K215" s="21">
        <v>0.57708700000000002</v>
      </c>
      <c r="L215">
        <f t="shared" si="36"/>
        <v>17.541975308641973</v>
      </c>
      <c r="M215">
        <f t="shared" si="37"/>
        <v>10.133964051851851</v>
      </c>
      <c r="N215" s="9"/>
      <c r="O215" s="21">
        <v>0.93231200000000003</v>
      </c>
      <c r="P215" s="21">
        <v>10.5924</v>
      </c>
      <c r="Q215" s="21">
        <v>-1.31561E-2</v>
      </c>
      <c r="R215" s="21">
        <v>205</v>
      </c>
      <c r="S215" s="21">
        <v>0.93170200000000003</v>
      </c>
      <c r="T215">
        <f t="shared" si="38"/>
        <v>16.2420987654321</v>
      </c>
      <c r="U215">
        <f t="shared" si="39"/>
        <v>15.142703584197532</v>
      </c>
      <c r="X215" s="9"/>
      <c r="Y215" s="21">
        <v>0.57769800000000004</v>
      </c>
      <c r="Z215" s="21">
        <v>15.690099999999999</v>
      </c>
      <c r="AA215" s="21">
        <v>-1.41174E-2</v>
      </c>
      <c r="AB215" s="21">
        <v>205</v>
      </c>
      <c r="AC215" s="21">
        <v>0.57711800000000002</v>
      </c>
      <c r="AD215">
        <f t="shared" si="40"/>
        <v>17.428888888888888</v>
      </c>
      <c r="AE215">
        <f t="shared" si="41"/>
        <v>10.068634253333334</v>
      </c>
      <c r="AF215" s="9"/>
      <c r="AG215" s="21">
        <v>0.93231200000000003</v>
      </c>
      <c r="AH215" s="21">
        <v>19.1266</v>
      </c>
      <c r="AI215" s="21">
        <v>-1.30554E-2</v>
      </c>
      <c r="AJ215" s="21">
        <v>205</v>
      </c>
      <c r="AK215" s="21">
        <v>0.931396</v>
      </c>
      <c r="AL215">
        <f t="shared" si="42"/>
        <v>16.117777777777775</v>
      </c>
      <c r="AM215">
        <f t="shared" si="43"/>
        <v>15.026797635555553</v>
      </c>
      <c r="AP215" s="9"/>
      <c r="AQ215" s="21">
        <v>0.57769800000000004</v>
      </c>
      <c r="AR215" s="21">
        <v>24.269300000000001</v>
      </c>
      <c r="AS215" s="21">
        <v>-1.4047199999999999E-2</v>
      </c>
      <c r="AT215" s="21">
        <v>205</v>
      </c>
      <c r="AU215" s="21">
        <v>0.57693499999999998</v>
      </c>
      <c r="AV215">
        <f t="shared" si="44"/>
        <v>17.342222222222222</v>
      </c>
      <c r="AW215">
        <f t="shared" si="45"/>
        <v>10.018567093333335</v>
      </c>
      <c r="AX215" s="9"/>
      <c r="AY215" s="21">
        <v>0.93231200000000003</v>
      </c>
      <c r="AZ215" s="21">
        <v>27.7058</v>
      </c>
      <c r="BA215" s="21">
        <v>-1.2973E-2</v>
      </c>
      <c r="BB215" s="21">
        <v>205</v>
      </c>
      <c r="BC215" s="21">
        <v>0.93170200000000003</v>
      </c>
      <c r="BD215">
        <f t="shared" si="46"/>
        <v>16.016049382716048</v>
      </c>
      <c r="BE215">
        <f t="shared" si="47"/>
        <v>14.931955032098765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0.572662</v>
      </c>
      <c r="H216" s="21">
        <v>7.1659499999999996</v>
      </c>
      <c r="I216" s="21">
        <v>-1.42151E-2</v>
      </c>
      <c r="J216" s="21">
        <v>206</v>
      </c>
      <c r="K216" s="21">
        <v>0.57208300000000001</v>
      </c>
      <c r="L216">
        <f t="shared" si="36"/>
        <v>17.549506172839507</v>
      </c>
      <c r="M216">
        <f t="shared" si="37"/>
        <v>10.049935303950617</v>
      </c>
      <c r="N216" s="9"/>
      <c r="O216" s="21">
        <v>0.93734700000000004</v>
      </c>
      <c r="P216" s="21">
        <v>10.602399999999999</v>
      </c>
      <c r="Q216" s="21">
        <v>-1.31439E-2</v>
      </c>
      <c r="R216" s="21">
        <v>206</v>
      </c>
      <c r="S216" s="21">
        <v>0.93658399999999997</v>
      </c>
      <c r="T216">
        <f t="shared" si="38"/>
        <v>16.227037037037036</v>
      </c>
      <c r="U216">
        <f t="shared" si="39"/>
        <v>15.210364485555555</v>
      </c>
      <c r="X216" s="9"/>
      <c r="Y216" s="21">
        <v>0.572662</v>
      </c>
      <c r="Z216" s="21">
        <v>15.700200000000001</v>
      </c>
      <c r="AA216" s="21">
        <v>-1.41174E-2</v>
      </c>
      <c r="AB216" s="21">
        <v>206</v>
      </c>
      <c r="AC216" s="21">
        <v>0.57199100000000003</v>
      </c>
      <c r="AD216">
        <f t="shared" si="40"/>
        <v>17.428888888888888</v>
      </c>
      <c r="AE216">
        <f t="shared" si="41"/>
        <v>9.9808623688888893</v>
      </c>
      <c r="AF216" s="9"/>
      <c r="AG216" s="21">
        <v>0.93734700000000004</v>
      </c>
      <c r="AH216" s="21">
        <v>19.136700000000001</v>
      </c>
      <c r="AI216" s="21">
        <v>-1.3024900000000001E-2</v>
      </c>
      <c r="AJ216" s="21">
        <v>206</v>
      </c>
      <c r="AK216" s="21">
        <v>0.93658399999999997</v>
      </c>
      <c r="AL216">
        <f t="shared" si="42"/>
        <v>16.080123456790126</v>
      </c>
      <c r="AM216">
        <f t="shared" si="43"/>
        <v>15.072655481851855</v>
      </c>
      <c r="AP216" s="9"/>
      <c r="AQ216" s="21">
        <v>0.572662</v>
      </c>
      <c r="AR216" s="21">
        <v>24.279399999999999</v>
      </c>
      <c r="AS216" s="21">
        <v>-1.40625E-2</v>
      </c>
      <c r="AT216" s="21">
        <v>206</v>
      </c>
      <c r="AU216" s="21">
        <v>0.57199100000000003</v>
      </c>
      <c r="AV216">
        <f t="shared" si="44"/>
        <v>17.361111111111111</v>
      </c>
      <c r="AW216">
        <f t="shared" si="45"/>
        <v>9.9420486111111117</v>
      </c>
      <c r="AX216" s="9"/>
      <c r="AY216" s="21">
        <v>0.93734700000000004</v>
      </c>
      <c r="AZ216" s="21">
        <v>27.715900000000001</v>
      </c>
      <c r="BA216" s="21">
        <v>-1.29639E-2</v>
      </c>
      <c r="BB216" s="21">
        <v>206</v>
      </c>
      <c r="BC216" s="21">
        <v>0.93658399999999997</v>
      </c>
      <c r="BD216">
        <f t="shared" si="46"/>
        <v>16.004814814814814</v>
      </c>
      <c r="BE216">
        <f t="shared" si="47"/>
        <v>15.002065152222222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0.56762699999999999</v>
      </c>
      <c r="H217" s="21">
        <v>7.1760200000000003</v>
      </c>
      <c r="I217" s="21">
        <v>-1.42273E-2</v>
      </c>
      <c r="J217" s="21">
        <v>207</v>
      </c>
      <c r="K217" s="21">
        <v>0.56695600000000002</v>
      </c>
      <c r="L217">
        <f t="shared" si="36"/>
        <v>17.564567901234565</v>
      </c>
      <c r="M217">
        <f t="shared" si="37"/>
        <v>9.9701229840740719</v>
      </c>
      <c r="N217" s="9"/>
      <c r="O217" s="21">
        <v>0.94238299999999997</v>
      </c>
      <c r="P217" s="21">
        <v>10.612500000000001</v>
      </c>
      <c r="Q217" s="21">
        <v>-1.31317E-2</v>
      </c>
      <c r="R217" s="21">
        <v>207</v>
      </c>
      <c r="S217" s="21">
        <v>0.94146700000000005</v>
      </c>
      <c r="T217">
        <f t="shared" si="38"/>
        <v>16.211975308641971</v>
      </c>
      <c r="U217">
        <f t="shared" si="39"/>
        <v>15.277889927283946</v>
      </c>
      <c r="X217" s="9"/>
      <c r="Y217" s="21">
        <v>0.56762699999999999</v>
      </c>
      <c r="Z217" s="21">
        <v>15.7102</v>
      </c>
      <c r="AA217" s="21">
        <v>-1.4129600000000001E-2</v>
      </c>
      <c r="AB217" s="21">
        <v>207</v>
      </c>
      <c r="AC217" s="21">
        <v>0.56701699999999999</v>
      </c>
      <c r="AD217">
        <f t="shared" si="40"/>
        <v>17.443950617283949</v>
      </c>
      <c r="AE217">
        <f t="shared" si="41"/>
        <v>9.9016573570370365</v>
      </c>
      <c r="AF217" s="9"/>
      <c r="AG217" s="21">
        <v>0.94238299999999997</v>
      </c>
      <c r="AH217" s="21">
        <v>19.146799999999999</v>
      </c>
      <c r="AI217" s="21">
        <v>-1.30005E-2</v>
      </c>
      <c r="AJ217" s="21">
        <v>207</v>
      </c>
      <c r="AK217" s="21">
        <v>0.94146700000000005</v>
      </c>
      <c r="AL217">
        <f t="shared" si="42"/>
        <v>16.049999999999997</v>
      </c>
      <c r="AM217">
        <f t="shared" si="43"/>
        <v>15.125247149999996</v>
      </c>
      <c r="AP217" s="9"/>
      <c r="AQ217" s="21">
        <v>0.56762699999999999</v>
      </c>
      <c r="AR217" s="21">
        <v>24.289400000000001</v>
      </c>
      <c r="AS217" s="21">
        <v>-1.4068600000000001E-2</v>
      </c>
      <c r="AT217" s="21">
        <v>207</v>
      </c>
      <c r="AU217" s="21">
        <v>0.56698599999999999</v>
      </c>
      <c r="AV217">
        <f t="shared" si="44"/>
        <v>17.368641975308641</v>
      </c>
      <c r="AW217">
        <f t="shared" si="45"/>
        <v>9.8589101385185174</v>
      </c>
      <c r="AX217" s="9"/>
      <c r="AY217" s="21">
        <v>0.94238299999999997</v>
      </c>
      <c r="AZ217" s="21">
        <v>27.725899999999999</v>
      </c>
      <c r="BA217" s="21">
        <v>-1.29608E-2</v>
      </c>
      <c r="BB217" s="21">
        <v>207</v>
      </c>
      <c r="BC217" s="21">
        <v>0.94177200000000005</v>
      </c>
      <c r="BD217">
        <f t="shared" si="46"/>
        <v>16.000987654320987</v>
      </c>
      <c r="BE217">
        <f t="shared" si="47"/>
        <v>15.079058748641975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0.56259199999999998</v>
      </c>
      <c r="H218" s="21">
        <v>7.1860900000000001</v>
      </c>
      <c r="I218" s="21">
        <v>-1.4236499999999999E-2</v>
      </c>
      <c r="J218" s="21">
        <v>208</v>
      </c>
      <c r="K218" s="21">
        <v>0.56204200000000004</v>
      </c>
      <c r="L218">
        <f t="shared" si="36"/>
        <v>17.575925925925926</v>
      </c>
      <c r="M218">
        <f t="shared" si="37"/>
        <v>9.8880753185185188</v>
      </c>
      <c r="N218" s="9"/>
      <c r="O218" s="21">
        <v>0.94741799999999998</v>
      </c>
      <c r="P218" s="21">
        <v>10.6226</v>
      </c>
      <c r="Q218" s="21">
        <v>-1.3113400000000001E-2</v>
      </c>
      <c r="R218" s="21">
        <v>208</v>
      </c>
      <c r="S218" s="21">
        <v>0.94665500000000002</v>
      </c>
      <c r="T218">
        <f t="shared" si="38"/>
        <v>16.18938271604938</v>
      </c>
      <c r="U218">
        <f t="shared" si="39"/>
        <v>15.338112594074071</v>
      </c>
      <c r="X218" s="9"/>
      <c r="Y218" s="21">
        <v>0.56259199999999998</v>
      </c>
      <c r="Z218" s="21">
        <v>15.7203</v>
      </c>
      <c r="AA218" s="21">
        <v>-1.41449E-2</v>
      </c>
      <c r="AB218" s="21">
        <v>208</v>
      </c>
      <c r="AC218" s="21">
        <v>0.561859</v>
      </c>
      <c r="AD218">
        <f t="shared" si="40"/>
        <v>17.462839506172838</v>
      </c>
      <c r="AE218">
        <f t="shared" si="41"/>
        <v>9.8244538034567892</v>
      </c>
      <c r="AF218" s="9"/>
      <c r="AG218" s="21">
        <v>0.94741799999999998</v>
      </c>
      <c r="AH218" s="21">
        <v>19.1568</v>
      </c>
      <c r="AI218" s="21">
        <v>-1.2985200000000001E-2</v>
      </c>
      <c r="AJ218" s="21">
        <v>208</v>
      </c>
      <c r="AK218" s="21">
        <v>0.94665500000000002</v>
      </c>
      <c r="AL218">
        <f t="shared" si="42"/>
        <v>16.031111111111109</v>
      </c>
      <c r="AM218">
        <f t="shared" si="43"/>
        <v>15.188163226666664</v>
      </c>
      <c r="AP218" s="9"/>
      <c r="AQ218" s="21">
        <v>0.56259199999999998</v>
      </c>
      <c r="AR218" s="21">
        <v>24.299499999999998</v>
      </c>
      <c r="AS218" s="21">
        <v>-1.4086899999999999E-2</v>
      </c>
      <c r="AT218" s="21">
        <v>208</v>
      </c>
      <c r="AU218" s="21">
        <v>0.56195099999999998</v>
      </c>
      <c r="AV218">
        <f t="shared" si="44"/>
        <v>17.391234567901233</v>
      </c>
      <c r="AW218">
        <f t="shared" si="45"/>
        <v>9.7841694380246906</v>
      </c>
      <c r="AX218" s="9"/>
      <c r="AY218" s="21">
        <v>0.94741799999999998</v>
      </c>
      <c r="AZ218" s="21">
        <v>27.736000000000001</v>
      </c>
      <c r="BA218" s="21">
        <v>-1.29395E-2</v>
      </c>
      <c r="BB218" s="21">
        <v>208</v>
      </c>
      <c r="BC218" s="21">
        <v>0.94635000000000002</v>
      </c>
      <c r="BD218">
        <f t="shared" si="46"/>
        <v>15.974691358024689</v>
      </c>
      <c r="BE218">
        <f t="shared" si="47"/>
        <v>15.134710137037034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0.55755600000000005</v>
      </c>
      <c r="H219" s="21">
        <v>7.1961599999999999</v>
      </c>
      <c r="I219" s="21">
        <v>-1.4242599999999999E-2</v>
      </c>
      <c r="J219" s="21">
        <v>209</v>
      </c>
      <c r="K219" s="21">
        <v>0.55691500000000005</v>
      </c>
      <c r="L219">
        <f t="shared" si="36"/>
        <v>17.583456790123453</v>
      </c>
      <c r="M219">
        <f t="shared" si="37"/>
        <v>9.8037618340740735</v>
      </c>
      <c r="N219" s="9"/>
      <c r="O219" s="21">
        <v>0.95245400000000002</v>
      </c>
      <c r="P219" s="21">
        <v>10.6327</v>
      </c>
      <c r="Q219" s="21">
        <v>-1.3091999999999999E-2</v>
      </c>
      <c r="R219" s="21">
        <v>209</v>
      </c>
      <c r="S219" s="21">
        <v>0.951233</v>
      </c>
      <c r="T219">
        <f t="shared" si="38"/>
        <v>16.162962962962961</v>
      </c>
      <c r="U219">
        <f t="shared" si="39"/>
        <v>15.394478725925925</v>
      </c>
      <c r="X219" s="9"/>
      <c r="Y219" s="21">
        <v>0.55755600000000005</v>
      </c>
      <c r="Z219" s="21">
        <v>15.730399999999999</v>
      </c>
      <c r="AA219" s="21">
        <v>-1.41602E-2</v>
      </c>
      <c r="AB219" s="21">
        <v>209</v>
      </c>
      <c r="AC219" s="21">
        <v>0.55691500000000005</v>
      </c>
      <c r="AD219">
        <f t="shared" si="40"/>
        <v>17.481728395061729</v>
      </c>
      <c r="AE219">
        <f t="shared" si="41"/>
        <v>9.7470425570370391</v>
      </c>
      <c r="AF219" s="9"/>
      <c r="AG219" s="21">
        <v>0.95245400000000002</v>
      </c>
      <c r="AH219" s="21">
        <v>19.166899999999998</v>
      </c>
      <c r="AI219" s="21">
        <v>-1.29639E-2</v>
      </c>
      <c r="AJ219" s="21">
        <v>209</v>
      </c>
      <c r="AK219" s="21">
        <v>0.951233</v>
      </c>
      <c r="AL219">
        <f t="shared" si="42"/>
        <v>16.004814814814814</v>
      </c>
      <c r="AM219">
        <f t="shared" si="43"/>
        <v>15.24384988962963</v>
      </c>
      <c r="AP219" s="9"/>
      <c r="AQ219" s="21">
        <v>0.55755600000000005</v>
      </c>
      <c r="AR219" s="21">
        <v>24.3096</v>
      </c>
      <c r="AS219" s="21">
        <v>-1.40961E-2</v>
      </c>
      <c r="AT219" s="21">
        <v>209</v>
      </c>
      <c r="AU219" s="21">
        <v>0.55691500000000005</v>
      </c>
      <c r="AV219">
        <f t="shared" si="44"/>
        <v>17.40259259259259</v>
      </c>
      <c r="AW219">
        <f t="shared" si="45"/>
        <v>9.7029199155555546</v>
      </c>
      <c r="AX219" s="9"/>
      <c r="AY219" s="21">
        <v>0.95245400000000002</v>
      </c>
      <c r="AZ219" s="21">
        <v>27.746099999999998</v>
      </c>
      <c r="BA219" s="21">
        <v>-1.29181E-2</v>
      </c>
      <c r="BB219" s="21">
        <v>209</v>
      </c>
      <c r="BC219" s="21">
        <v>0.950928</v>
      </c>
      <c r="BD219">
        <f t="shared" si="46"/>
        <v>15.94827160493827</v>
      </c>
      <c r="BE219">
        <f t="shared" si="47"/>
        <v>15.189995083209876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0.55252100000000004</v>
      </c>
      <c r="H220" s="21">
        <v>7.2062299999999997</v>
      </c>
      <c r="I220" s="21">
        <v>-1.4257799999999999E-2</v>
      </c>
      <c r="J220" s="21">
        <v>210</v>
      </c>
      <c r="K220" s="21">
        <v>0.55197099999999999</v>
      </c>
      <c r="L220">
        <f t="shared" si="36"/>
        <v>17.60222222222222</v>
      </c>
      <c r="M220">
        <f t="shared" si="37"/>
        <v>9.7255974244444445</v>
      </c>
      <c r="N220" s="9"/>
      <c r="O220" s="21">
        <v>0.95748900000000003</v>
      </c>
      <c r="P220" s="21">
        <v>10.6427</v>
      </c>
      <c r="Q220" s="21">
        <v>-1.30829E-2</v>
      </c>
      <c r="R220" s="21">
        <v>210</v>
      </c>
      <c r="S220" s="21">
        <v>0.95642099999999997</v>
      </c>
      <c r="T220">
        <f t="shared" si="38"/>
        <v>16.151728395061728</v>
      </c>
      <c r="U220">
        <f t="shared" si="39"/>
        <v>15.465102269259258</v>
      </c>
      <c r="X220" s="9"/>
      <c r="Y220" s="21">
        <v>0.55252100000000004</v>
      </c>
      <c r="Z220" s="21">
        <v>15.740399999999999</v>
      </c>
      <c r="AA220" s="21">
        <v>-1.41663E-2</v>
      </c>
      <c r="AB220" s="21">
        <v>210</v>
      </c>
      <c r="AC220" s="21">
        <v>0.55197099999999999</v>
      </c>
      <c r="AD220">
        <f t="shared" si="40"/>
        <v>17.489259259259256</v>
      </c>
      <c r="AE220">
        <f t="shared" si="41"/>
        <v>9.6631830151851847</v>
      </c>
      <c r="AF220" s="9"/>
      <c r="AG220" s="21">
        <v>0.95748900000000003</v>
      </c>
      <c r="AH220" s="21">
        <v>19.177</v>
      </c>
      <c r="AI220" s="21">
        <v>-1.29395E-2</v>
      </c>
      <c r="AJ220" s="21">
        <v>210</v>
      </c>
      <c r="AK220" s="21">
        <v>0.95672599999999997</v>
      </c>
      <c r="AL220">
        <f t="shared" si="42"/>
        <v>15.974691358024689</v>
      </c>
      <c r="AM220">
        <f t="shared" si="43"/>
        <v>15.295591253703702</v>
      </c>
      <c r="AP220" s="9"/>
      <c r="AQ220" s="21">
        <v>0.55252100000000004</v>
      </c>
      <c r="AR220" s="21">
        <v>24.319600000000001</v>
      </c>
      <c r="AS220" s="21">
        <v>-1.41022E-2</v>
      </c>
      <c r="AT220" s="21">
        <v>210</v>
      </c>
      <c r="AU220" s="21">
        <v>0.55191000000000001</v>
      </c>
      <c r="AV220">
        <f t="shared" si="44"/>
        <v>17.410123456790124</v>
      </c>
      <c r="AW220">
        <f t="shared" si="45"/>
        <v>9.6194588224691362</v>
      </c>
      <c r="AX220" s="9"/>
      <c r="AY220" s="21">
        <v>0.95748900000000003</v>
      </c>
      <c r="AZ220" s="21">
        <v>27.7561</v>
      </c>
      <c r="BA220" s="21">
        <v>-1.28906E-2</v>
      </c>
      <c r="BB220" s="21">
        <v>210</v>
      </c>
      <c r="BC220" s="21">
        <v>0.95642099999999997</v>
      </c>
      <c r="BD220">
        <f t="shared" si="46"/>
        <v>15.914320987654323</v>
      </c>
      <c r="BE220">
        <f t="shared" si="47"/>
        <v>15.23778728814815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0.547485</v>
      </c>
      <c r="H221" s="21">
        <v>7.2163000000000004</v>
      </c>
      <c r="I221" s="21">
        <v>-1.42548E-2</v>
      </c>
      <c r="J221" s="21">
        <v>211</v>
      </c>
      <c r="K221" s="21">
        <v>0.54681400000000002</v>
      </c>
      <c r="L221">
        <f t="shared" si="36"/>
        <v>17.598518518518517</v>
      </c>
      <c r="M221">
        <f t="shared" si="37"/>
        <v>9.6349249111111099</v>
      </c>
      <c r="N221" s="9"/>
      <c r="O221" s="21">
        <v>0.96252400000000005</v>
      </c>
      <c r="P221" s="21">
        <v>10.652799999999999</v>
      </c>
      <c r="Q221" s="21">
        <v>-1.30676E-2</v>
      </c>
      <c r="R221" s="21">
        <v>211</v>
      </c>
      <c r="S221" s="21">
        <v>0.96130400000000005</v>
      </c>
      <c r="T221">
        <f t="shared" si="38"/>
        <v>16.132839506172839</v>
      </c>
      <c r="U221">
        <f t="shared" si="39"/>
        <v>15.528245212839506</v>
      </c>
      <c r="X221" s="9"/>
      <c r="Y221" s="21">
        <v>0.547485</v>
      </c>
      <c r="Z221" s="21">
        <v>15.750500000000001</v>
      </c>
      <c r="AA221" s="21">
        <v>-1.41663E-2</v>
      </c>
      <c r="AB221" s="21">
        <v>211</v>
      </c>
      <c r="AC221" s="21">
        <v>0.54693599999999998</v>
      </c>
      <c r="AD221">
        <f t="shared" si="40"/>
        <v>17.489259259259256</v>
      </c>
      <c r="AE221">
        <f t="shared" si="41"/>
        <v>9.5751071055555546</v>
      </c>
      <c r="AF221" s="9"/>
      <c r="AG221" s="21">
        <v>0.96252400000000005</v>
      </c>
      <c r="AH221" s="21">
        <v>19.187000000000001</v>
      </c>
      <c r="AI221" s="21">
        <v>-1.29181E-2</v>
      </c>
      <c r="AJ221" s="21">
        <v>211</v>
      </c>
      <c r="AK221" s="21">
        <v>0.96160900000000005</v>
      </c>
      <c r="AL221">
        <f t="shared" si="42"/>
        <v>15.94827160493827</v>
      </c>
      <c r="AM221">
        <f t="shared" si="43"/>
        <v>15.350594178271605</v>
      </c>
      <c r="AP221" s="9"/>
      <c r="AQ221" s="21">
        <v>0.547485</v>
      </c>
      <c r="AR221" s="21">
        <v>24.329699999999999</v>
      </c>
      <c r="AS221" s="21">
        <v>-1.4114399999999999E-2</v>
      </c>
      <c r="AT221" s="21">
        <v>211</v>
      </c>
      <c r="AU221" s="21">
        <v>0.546906</v>
      </c>
      <c r="AV221">
        <f t="shared" si="44"/>
        <v>17.425185185185182</v>
      </c>
      <c r="AW221">
        <f t="shared" si="45"/>
        <v>9.5400275111111092</v>
      </c>
      <c r="AX221" s="9"/>
      <c r="AY221" s="21">
        <v>0.96252400000000005</v>
      </c>
      <c r="AZ221" s="21">
        <v>27.766200000000001</v>
      </c>
      <c r="BA221" s="21">
        <v>-1.2854000000000001E-2</v>
      </c>
      <c r="BB221" s="21">
        <v>211</v>
      </c>
      <c r="BC221" s="21">
        <v>0.96130400000000005</v>
      </c>
      <c r="BD221">
        <f t="shared" si="46"/>
        <v>15.869135802469136</v>
      </c>
      <c r="BE221">
        <f t="shared" si="47"/>
        <v>15.274424069135804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0.54244999999999999</v>
      </c>
      <c r="H222" s="21">
        <v>7.2263700000000002</v>
      </c>
      <c r="I222" s="21">
        <v>-1.42609E-2</v>
      </c>
      <c r="J222" s="21">
        <v>212</v>
      </c>
      <c r="K222" s="21">
        <v>0.54174800000000001</v>
      </c>
      <c r="L222">
        <f t="shared" si="36"/>
        <v>17.606049382716048</v>
      </c>
      <c r="M222">
        <f t="shared" si="37"/>
        <v>9.5504014876543195</v>
      </c>
      <c r="N222" s="9"/>
      <c r="O222" s="21">
        <v>0.96755999999999998</v>
      </c>
      <c r="P222" s="21">
        <v>10.6629</v>
      </c>
      <c r="Q222" s="21">
        <v>-1.30554E-2</v>
      </c>
      <c r="R222" s="21">
        <v>212</v>
      </c>
      <c r="S222" s="21">
        <v>0.96679700000000002</v>
      </c>
      <c r="T222">
        <f t="shared" si="38"/>
        <v>16.117777777777775</v>
      </c>
      <c r="U222">
        <f t="shared" si="39"/>
        <v>15.594917066666664</v>
      </c>
      <c r="X222" s="9"/>
      <c r="Y222" s="21">
        <v>0.54244999999999999</v>
      </c>
      <c r="Z222" s="21">
        <v>15.7606</v>
      </c>
      <c r="AA222" s="21">
        <v>-1.41785E-2</v>
      </c>
      <c r="AB222" s="21">
        <v>212</v>
      </c>
      <c r="AC222" s="21">
        <v>0.54180899999999999</v>
      </c>
      <c r="AD222">
        <f t="shared" si="40"/>
        <v>17.504320987654321</v>
      </c>
      <c r="AE222">
        <f t="shared" si="41"/>
        <v>9.4952189197530856</v>
      </c>
      <c r="AF222" s="9"/>
      <c r="AG222" s="21">
        <v>0.96755999999999998</v>
      </c>
      <c r="AH222" s="21">
        <v>19.197099999999999</v>
      </c>
      <c r="AI222" s="21">
        <v>-1.2902800000000001E-2</v>
      </c>
      <c r="AJ222" s="21">
        <v>212</v>
      </c>
      <c r="AK222" s="21">
        <v>0.96679700000000002</v>
      </c>
      <c r="AL222">
        <f t="shared" si="42"/>
        <v>15.929382716049382</v>
      </c>
      <c r="AM222">
        <f t="shared" si="43"/>
        <v>15.412633540740739</v>
      </c>
      <c r="AP222" s="9"/>
      <c r="AQ222" s="21">
        <v>0.54244999999999999</v>
      </c>
      <c r="AR222" s="21">
        <v>24.3398</v>
      </c>
      <c r="AS222" s="21">
        <v>-1.41174E-2</v>
      </c>
      <c r="AT222" s="21">
        <v>212</v>
      </c>
      <c r="AU222" s="21">
        <v>0.54190099999999997</v>
      </c>
      <c r="AV222">
        <f t="shared" si="44"/>
        <v>17.428888888888888</v>
      </c>
      <c r="AW222">
        <f t="shared" si="45"/>
        <v>9.4543007777777781</v>
      </c>
      <c r="AX222" s="9"/>
      <c r="AY222" s="21">
        <v>0.96755999999999998</v>
      </c>
      <c r="AZ222" s="21">
        <v>27.776299999999999</v>
      </c>
      <c r="BA222" s="21">
        <v>-1.28235E-2</v>
      </c>
      <c r="BB222" s="21">
        <v>212</v>
      </c>
      <c r="BC222" s="21">
        <v>0.96649200000000002</v>
      </c>
      <c r="BD222">
        <f t="shared" si="46"/>
        <v>15.831481481481481</v>
      </c>
      <c r="BE222">
        <f t="shared" si="47"/>
        <v>15.31790822222222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0.53741499999999998</v>
      </c>
      <c r="H223" s="21">
        <v>7.2364499999999996</v>
      </c>
      <c r="I223" s="21">
        <v>-1.42731E-2</v>
      </c>
      <c r="J223" s="21">
        <v>213</v>
      </c>
      <c r="K223" s="21">
        <v>0.536713</v>
      </c>
      <c r="L223">
        <f t="shared" si="36"/>
        <v>17.621111111111112</v>
      </c>
      <c r="M223">
        <f t="shared" si="37"/>
        <v>9.4698494277777776</v>
      </c>
      <c r="N223" s="9"/>
      <c r="O223" s="21">
        <v>0.97259499999999999</v>
      </c>
      <c r="P223" s="21">
        <v>10.6729</v>
      </c>
      <c r="Q223" s="21">
        <v>-1.3037099999999999E-2</v>
      </c>
      <c r="R223" s="21">
        <v>213</v>
      </c>
      <c r="S223" s="21">
        <v>0.97137499999999999</v>
      </c>
      <c r="T223">
        <f t="shared" si="38"/>
        <v>16.095185185185183</v>
      </c>
      <c r="U223">
        <f t="shared" si="39"/>
        <v>15.654096635185184</v>
      </c>
      <c r="X223" s="9"/>
      <c r="Y223" s="21">
        <v>0.53741499999999998</v>
      </c>
      <c r="Z223" s="21">
        <v>15.7707</v>
      </c>
      <c r="AA223" s="21">
        <v>-1.41937E-2</v>
      </c>
      <c r="AB223" s="21">
        <v>213</v>
      </c>
      <c r="AC223" s="21">
        <v>0.53668199999999999</v>
      </c>
      <c r="AD223">
        <f t="shared" si="40"/>
        <v>17.523086419753085</v>
      </c>
      <c r="AE223">
        <f t="shared" si="41"/>
        <v>9.4171694882716039</v>
      </c>
      <c r="AF223" s="9"/>
      <c r="AG223" s="21">
        <v>0.97259499999999999</v>
      </c>
      <c r="AH223" s="21">
        <v>19.2072</v>
      </c>
      <c r="AI223" s="21">
        <v>-1.28906E-2</v>
      </c>
      <c r="AJ223" s="21">
        <v>213</v>
      </c>
      <c r="AK223" s="21">
        <v>0.97167999999999999</v>
      </c>
      <c r="AL223">
        <f t="shared" si="42"/>
        <v>15.914320987654323</v>
      </c>
      <c r="AM223">
        <f t="shared" si="43"/>
        <v>15.478189020987656</v>
      </c>
      <c r="AP223" s="9"/>
      <c r="AQ223" s="21">
        <v>0.53741499999999998</v>
      </c>
      <c r="AR223" s="21">
        <v>24.349900000000002</v>
      </c>
      <c r="AS223" s="21">
        <v>-1.4108300000000001E-2</v>
      </c>
      <c r="AT223" s="21">
        <v>213</v>
      </c>
      <c r="AU223" s="21">
        <v>0.53683499999999995</v>
      </c>
      <c r="AV223">
        <f t="shared" si="44"/>
        <v>17.417654320987655</v>
      </c>
      <c r="AW223">
        <f t="shared" si="45"/>
        <v>9.3605086969135805</v>
      </c>
      <c r="AX223" s="9"/>
      <c r="AY223" s="21">
        <v>0.97259499999999999</v>
      </c>
      <c r="AZ223" s="21">
        <v>27.7864</v>
      </c>
      <c r="BA223" s="21">
        <v>-1.27838E-2</v>
      </c>
      <c r="BB223" s="21">
        <v>213</v>
      </c>
      <c r="BC223" s="21">
        <v>0.97137499999999999</v>
      </c>
      <c r="BD223">
        <f t="shared" si="46"/>
        <v>15.782469135802467</v>
      </c>
      <c r="BE223">
        <f t="shared" si="47"/>
        <v>15.3499505691358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0.53237900000000005</v>
      </c>
      <c r="H224" s="21">
        <v>7.2465200000000003</v>
      </c>
      <c r="I224" s="21">
        <v>-1.42822E-2</v>
      </c>
      <c r="J224" s="21">
        <v>214</v>
      </c>
      <c r="K224" s="21">
        <v>0.53176900000000005</v>
      </c>
      <c r="L224">
        <f t="shared" si="36"/>
        <v>17.632345679012342</v>
      </c>
      <c r="M224">
        <f t="shared" si="37"/>
        <v>9.3870905602469126</v>
      </c>
      <c r="N224" s="9"/>
      <c r="O224" s="21">
        <v>0.97763100000000003</v>
      </c>
      <c r="P224" s="21">
        <v>10.683</v>
      </c>
      <c r="Q224" s="21">
        <v>-1.30127E-2</v>
      </c>
      <c r="R224" s="21">
        <v>214</v>
      </c>
      <c r="S224" s="21">
        <v>0.97686799999999996</v>
      </c>
      <c r="T224">
        <f t="shared" si="38"/>
        <v>16.065061728395062</v>
      </c>
      <c r="U224">
        <f t="shared" si="39"/>
        <v>15.705702362592593</v>
      </c>
      <c r="X224" s="9"/>
      <c r="Y224" s="21">
        <v>0.53237900000000005</v>
      </c>
      <c r="Z224" s="21">
        <v>15.7807</v>
      </c>
      <c r="AA224" s="21">
        <v>-1.41937E-2</v>
      </c>
      <c r="AB224" s="21">
        <v>214</v>
      </c>
      <c r="AC224" s="21">
        <v>0.53173800000000004</v>
      </c>
      <c r="AD224">
        <f t="shared" si="40"/>
        <v>17.523086419753085</v>
      </c>
      <c r="AE224">
        <f t="shared" si="41"/>
        <v>9.3289232250617289</v>
      </c>
      <c r="AF224" s="9"/>
      <c r="AG224" s="21">
        <v>0.97763100000000003</v>
      </c>
      <c r="AH224" s="21">
        <v>19.217300000000002</v>
      </c>
      <c r="AI224" s="21">
        <v>-1.2881500000000001E-2</v>
      </c>
      <c r="AJ224" s="21">
        <v>214</v>
      </c>
      <c r="AK224" s="21">
        <v>0.97595200000000004</v>
      </c>
      <c r="AL224">
        <f t="shared" si="42"/>
        <v>15.903086419753087</v>
      </c>
      <c r="AM224">
        <f t="shared" si="43"/>
        <v>15.547350279629631</v>
      </c>
      <c r="AP224" s="9"/>
      <c r="AQ224" s="21">
        <v>0.53237900000000005</v>
      </c>
      <c r="AR224" s="21">
        <v>24.3599</v>
      </c>
      <c r="AS224" s="21">
        <v>-1.4108300000000001E-2</v>
      </c>
      <c r="AT224" s="21">
        <v>214</v>
      </c>
      <c r="AU224" s="21">
        <v>0.53186</v>
      </c>
      <c r="AV224">
        <f t="shared" si="44"/>
        <v>17.417654320987655</v>
      </c>
      <c r="AW224">
        <f t="shared" si="45"/>
        <v>9.2727933897530868</v>
      </c>
      <c r="AX224" s="9"/>
      <c r="AY224" s="21">
        <v>0.97763100000000003</v>
      </c>
      <c r="AZ224" s="21">
        <v>27.796399999999998</v>
      </c>
      <c r="BA224" s="21">
        <v>-1.27563E-2</v>
      </c>
      <c r="BB224" s="21">
        <v>214</v>
      </c>
      <c r="BC224" s="21">
        <v>0.97686799999999996</v>
      </c>
      <c r="BD224">
        <f t="shared" si="46"/>
        <v>15.748518518518516</v>
      </c>
      <c r="BE224">
        <f t="shared" si="47"/>
        <v>15.396239907777776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0.52734400000000003</v>
      </c>
      <c r="H225" s="21">
        <v>7.2565900000000001</v>
      </c>
      <c r="I225" s="21">
        <v>-1.4291399999999999E-2</v>
      </c>
      <c r="J225" s="21">
        <v>215</v>
      </c>
      <c r="K225" s="21">
        <v>0.52679399999999998</v>
      </c>
      <c r="L225">
        <f t="shared" si="36"/>
        <v>17.643703703703704</v>
      </c>
      <c r="M225">
        <f t="shared" si="37"/>
        <v>9.3043012859259271</v>
      </c>
      <c r="N225" s="9"/>
      <c r="O225" s="21">
        <v>0.98266600000000004</v>
      </c>
      <c r="P225" s="21">
        <v>10.693099999999999</v>
      </c>
      <c r="Q225" s="21">
        <v>-1.29944E-2</v>
      </c>
      <c r="R225" s="21">
        <v>215</v>
      </c>
      <c r="S225" s="21">
        <v>0.98175000000000001</v>
      </c>
      <c r="T225">
        <f t="shared" si="38"/>
        <v>16.042469135802467</v>
      </c>
      <c r="U225">
        <f t="shared" si="39"/>
        <v>15.764388975802467</v>
      </c>
      <c r="X225" s="9"/>
      <c r="Y225" s="21">
        <v>0.52734400000000003</v>
      </c>
      <c r="Z225" s="21">
        <v>15.790800000000001</v>
      </c>
      <c r="AA225" s="21">
        <v>-1.4202899999999999E-2</v>
      </c>
      <c r="AB225" s="21">
        <v>215</v>
      </c>
      <c r="AC225" s="21">
        <v>0.52673300000000001</v>
      </c>
      <c r="AD225">
        <f t="shared" si="40"/>
        <v>17.534444444444443</v>
      </c>
      <c r="AE225">
        <f t="shared" si="41"/>
        <v>9.24668407111111</v>
      </c>
      <c r="AF225" s="9"/>
      <c r="AG225" s="21">
        <v>0.98266600000000004</v>
      </c>
      <c r="AH225" s="21">
        <v>19.2273</v>
      </c>
      <c r="AI225" s="21">
        <v>-1.2860099999999999E-2</v>
      </c>
      <c r="AJ225" s="21">
        <v>215</v>
      </c>
      <c r="AK225" s="21">
        <v>0.98175000000000001</v>
      </c>
      <c r="AL225">
        <f t="shared" si="42"/>
        <v>15.876666666666663</v>
      </c>
      <c r="AM225">
        <f t="shared" si="43"/>
        <v>15.601460526666663</v>
      </c>
      <c r="AP225" s="9"/>
      <c r="AQ225" s="21">
        <v>0.52734400000000003</v>
      </c>
      <c r="AR225" s="21">
        <v>24.37</v>
      </c>
      <c r="AS225" s="21">
        <v>-1.41174E-2</v>
      </c>
      <c r="AT225" s="21">
        <v>215</v>
      </c>
      <c r="AU225" s="21">
        <v>0.52670300000000003</v>
      </c>
      <c r="AV225">
        <f t="shared" si="44"/>
        <v>17.428888888888888</v>
      </c>
      <c r="AW225">
        <f t="shared" si="45"/>
        <v>9.1910199822222225</v>
      </c>
      <c r="AX225" s="9"/>
      <c r="AY225" s="21">
        <v>0.98266600000000004</v>
      </c>
      <c r="AZ225" s="21">
        <v>27.8065</v>
      </c>
      <c r="BA225" s="21">
        <v>-1.27441E-2</v>
      </c>
      <c r="BB225" s="21">
        <v>215</v>
      </c>
      <c r="BC225" s="21">
        <v>0.98236100000000004</v>
      </c>
      <c r="BD225">
        <f t="shared" si="46"/>
        <v>15.733456790123457</v>
      </c>
      <c r="BE225">
        <f t="shared" si="47"/>
        <v>15.460733050123457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0.52230799999999999</v>
      </c>
      <c r="H226" s="21">
        <v>7.2666599999999999</v>
      </c>
      <c r="I226" s="21">
        <v>-1.4306599999999999E-2</v>
      </c>
      <c r="J226" s="21">
        <v>216</v>
      </c>
      <c r="K226" s="21">
        <v>0.52166699999999999</v>
      </c>
      <c r="L226">
        <f t="shared" si="36"/>
        <v>17.662469135802468</v>
      </c>
      <c r="M226">
        <f t="shared" si="37"/>
        <v>9.2252489293827153</v>
      </c>
      <c r="N226" s="9"/>
      <c r="O226" s="21">
        <v>0.98770100000000005</v>
      </c>
      <c r="P226" s="21">
        <v>10.703099999999999</v>
      </c>
      <c r="Q226" s="21">
        <v>-1.2982199999999999E-2</v>
      </c>
      <c r="R226" s="21">
        <v>216</v>
      </c>
      <c r="S226" s="21">
        <v>0.98663299999999998</v>
      </c>
      <c r="T226">
        <f t="shared" si="38"/>
        <v>16.027407407407406</v>
      </c>
      <c r="U226">
        <f t="shared" si="39"/>
        <v>15.830286323703703</v>
      </c>
      <c r="X226" s="9"/>
      <c r="Y226" s="21">
        <v>0.52230799999999999</v>
      </c>
      <c r="Z226" s="21">
        <v>15.8009</v>
      </c>
      <c r="AA226" s="21">
        <v>-1.4212000000000001E-2</v>
      </c>
      <c r="AB226" s="21">
        <v>216</v>
      </c>
      <c r="AC226" s="21">
        <v>0.521729</v>
      </c>
      <c r="AD226">
        <f t="shared" si="40"/>
        <v>17.54567901234568</v>
      </c>
      <c r="AE226">
        <f t="shared" si="41"/>
        <v>9.1642485135802474</v>
      </c>
      <c r="AF226" s="9"/>
      <c r="AG226" s="21">
        <v>0.98770100000000005</v>
      </c>
      <c r="AH226" s="21">
        <v>19.237400000000001</v>
      </c>
      <c r="AI226" s="21">
        <v>-1.2826499999999999E-2</v>
      </c>
      <c r="AJ226" s="21">
        <v>216</v>
      </c>
      <c r="AK226" s="21">
        <v>0.98663299999999998</v>
      </c>
      <c r="AL226">
        <f t="shared" si="42"/>
        <v>15.835185185185185</v>
      </c>
      <c r="AM226">
        <f t="shared" si="43"/>
        <v>15.640428242592593</v>
      </c>
      <c r="AP226" s="9"/>
      <c r="AQ226" s="21">
        <v>0.52230799999999999</v>
      </c>
      <c r="AR226" s="21">
        <v>24.380099999999999</v>
      </c>
      <c r="AS226" s="21">
        <v>-1.4108300000000001E-2</v>
      </c>
      <c r="AT226" s="21">
        <v>216</v>
      </c>
      <c r="AU226" s="21">
        <v>0.521729</v>
      </c>
      <c r="AV226">
        <f t="shared" si="44"/>
        <v>17.417654320987655</v>
      </c>
      <c r="AW226">
        <f t="shared" si="45"/>
        <v>9.0973801930864191</v>
      </c>
      <c r="AX226" s="9"/>
      <c r="AY226" s="21">
        <v>0.98770100000000005</v>
      </c>
      <c r="AZ226" s="21">
        <v>27.816600000000001</v>
      </c>
      <c r="BA226" s="21">
        <v>-1.2722799999999999E-2</v>
      </c>
      <c r="BB226" s="21">
        <v>216</v>
      </c>
      <c r="BC226" s="21">
        <v>0.98693799999999998</v>
      </c>
      <c r="BD226">
        <f t="shared" si="46"/>
        <v>15.707160493827157</v>
      </c>
      <c r="BE226">
        <f t="shared" si="47"/>
        <v>15.513978126913578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0.51727299999999998</v>
      </c>
      <c r="H227" s="21">
        <v>7.2767299999999997</v>
      </c>
      <c r="I227" s="21">
        <v>-1.4328E-2</v>
      </c>
      <c r="J227" s="21">
        <v>217</v>
      </c>
      <c r="K227" s="21">
        <v>0.51654100000000003</v>
      </c>
      <c r="L227">
        <f t="shared" si="36"/>
        <v>17.68888888888889</v>
      </c>
      <c r="M227">
        <f t="shared" si="37"/>
        <v>9.1499846222222221</v>
      </c>
      <c r="N227" s="9"/>
      <c r="O227" s="21">
        <v>0.99273699999999998</v>
      </c>
      <c r="P227" s="21">
        <v>10.713200000000001</v>
      </c>
      <c r="Q227" s="21">
        <v>-1.29608E-2</v>
      </c>
      <c r="R227" s="21">
        <v>217</v>
      </c>
      <c r="S227" s="21">
        <v>0.99182099999999995</v>
      </c>
      <c r="T227">
        <f t="shared" si="38"/>
        <v>16.000987654320987</v>
      </c>
      <c r="U227">
        <f t="shared" si="39"/>
        <v>15.884772480987653</v>
      </c>
      <c r="X227" s="9"/>
      <c r="Y227" s="21">
        <v>0.51727299999999998</v>
      </c>
      <c r="Z227" s="21">
        <v>15.8109</v>
      </c>
      <c r="AA227" s="21">
        <v>-1.4212000000000001E-2</v>
      </c>
      <c r="AB227" s="21">
        <v>217</v>
      </c>
      <c r="AC227" s="21">
        <v>0.51663199999999998</v>
      </c>
      <c r="AD227">
        <f t="shared" si="40"/>
        <v>17.54567901234568</v>
      </c>
      <c r="AE227">
        <f t="shared" si="41"/>
        <v>9.0759060197530861</v>
      </c>
      <c r="AF227" s="9"/>
      <c r="AG227" s="21">
        <v>0.99273699999999998</v>
      </c>
      <c r="AH227" s="21">
        <v>19.247499999999999</v>
      </c>
      <c r="AI227" s="21">
        <v>-1.2796E-2</v>
      </c>
      <c r="AJ227" s="21">
        <v>217</v>
      </c>
      <c r="AK227" s="21">
        <v>0.99151599999999995</v>
      </c>
      <c r="AL227">
        <f t="shared" si="42"/>
        <v>15.79753086419753</v>
      </c>
      <c r="AM227">
        <f t="shared" si="43"/>
        <v>15.682793397530862</v>
      </c>
      <c r="AP227" s="9"/>
      <c r="AQ227" s="21">
        <v>0.51727299999999998</v>
      </c>
      <c r="AR227" s="21">
        <v>24.3901</v>
      </c>
      <c r="AS227" s="21">
        <v>-1.41022E-2</v>
      </c>
      <c r="AT227" s="21">
        <v>217</v>
      </c>
      <c r="AU227" s="21">
        <v>0.51678500000000005</v>
      </c>
      <c r="AV227">
        <f t="shared" si="44"/>
        <v>17.410123456790124</v>
      </c>
      <c r="AW227">
        <f t="shared" si="45"/>
        <v>9.0057867908641978</v>
      </c>
      <c r="AX227" s="9"/>
      <c r="AY227" s="21">
        <v>0.99273699999999998</v>
      </c>
      <c r="AZ227" s="21">
        <v>27.826599999999999</v>
      </c>
      <c r="BA227" s="21">
        <v>-1.26984E-2</v>
      </c>
      <c r="BB227" s="21">
        <v>217</v>
      </c>
      <c r="BC227" s="21">
        <v>0.99151599999999995</v>
      </c>
      <c r="BD227">
        <f t="shared" si="46"/>
        <v>15.677037037037039</v>
      </c>
      <c r="BE227">
        <f t="shared" si="47"/>
        <v>15.563174717037038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0.51223799999999997</v>
      </c>
      <c r="H228" s="21">
        <v>7.2868000000000004</v>
      </c>
      <c r="I228" s="21">
        <v>-1.43433E-2</v>
      </c>
      <c r="J228" s="21">
        <v>218</v>
      </c>
      <c r="K228" s="21">
        <v>0.51165799999999995</v>
      </c>
      <c r="L228">
        <f t="shared" si="36"/>
        <v>17.707777777777778</v>
      </c>
      <c r="M228">
        <f t="shared" si="37"/>
        <v>9.0705966733333323</v>
      </c>
      <c r="N228" s="9"/>
      <c r="O228" s="21">
        <v>0.99777199999999999</v>
      </c>
      <c r="P228" s="21">
        <v>10.7233</v>
      </c>
      <c r="Q228" s="21">
        <v>-1.29333E-2</v>
      </c>
      <c r="R228" s="21">
        <v>218</v>
      </c>
      <c r="S228" s="21">
        <v>0.99700900000000003</v>
      </c>
      <c r="T228">
        <f t="shared" si="38"/>
        <v>15.967037037037036</v>
      </c>
      <c r="U228">
        <f t="shared" si="39"/>
        <v>15.931462478518517</v>
      </c>
      <c r="X228" s="9"/>
      <c r="Y228" s="21">
        <v>0.51223799999999997</v>
      </c>
      <c r="Z228" s="21">
        <v>15.821</v>
      </c>
      <c r="AA228" s="21">
        <v>-1.4218099999999999E-2</v>
      </c>
      <c r="AB228" s="21">
        <v>218</v>
      </c>
      <c r="AC228" s="21">
        <v>0.51162700000000005</v>
      </c>
      <c r="AD228">
        <f t="shared" si="40"/>
        <v>17.553209876543207</v>
      </c>
      <c r="AE228">
        <f t="shared" si="41"/>
        <v>8.9914211207407391</v>
      </c>
      <c r="AF228" s="9"/>
      <c r="AG228" s="21">
        <v>0.99777199999999999</v>
      </c>
      <c r="AH228" s="21">
        <v>19.2575</v>
      </c>
      <c r="AI228" s="21">
        <v>-1.27625E-2</v>
      </c>
      <c r="AJ228" s="21">
        <v>218</v>
      </c>
      <c r="AK228" s="21">
        <v>0.99578900000000004</v>
      </c>
      <c r="AL228">
        <f t="shared" si="42"/>
        <v>15.756172839506172</v>
      </c>
      <c r="AM228">
        <f t="shared" si="43"/>
        <v>15.721068086419752</v>
      </c>
      <c r="AP228" s="9"/>
      <c r="AQ228" s="21">
        <v>0.51223799999999997</v>
      </c>
      <c r="AR228" s="21">
        <v>24.400200000000002</v>
      </c>
      <c r="AS228" s="21">
        <v>-1.4093E-2</v>
      </c>
      <c r="AT228" s="21">
        <v>218</v>
      </c>
      <c r="AU228" s="21">
        <v>0.51162700000000005</v>
      </c>
      <c r="AV228">
        <f t="shared" si="44"/>
        <v>17.398765432098763</v>
      </c>
      <c r="AW228">
        <f t="shared" si="45"/>
        <v>8.9123088074074062</v>
      </c>
      <c r="AX228" s="9"/>
      <c r="AY228" s="21">
        <v>0.99777199999999999</v>
      </c>
      <c r="AZ228" s="21">
        <v>27.8367</v>
      </c>
      <c r="BA228" s="21">
        <v>-1.26801E-2</v>
      </c>
      <c r="BB228" s="21">
        <v>218</v>
      </c>
      <c r="BC228" s="21">
        <v>0.99670400000000003</v>
      </c>
      <c r="BD228">
        <f t="shared" si="46"/>
        <v>15.654444444444444</v>
      </c>
      <c r="BE228">
        <f t="shared" si="47"/>
        <v>15.619566342222221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0.50720200000000004</v>
      </c>
      <c r="H229" s="21">
        <v>7.2968700000000002</v>
      </c>
      <c r="I229" s="21">
        <v>-1.43616E-2</v>
      </c>
      <c r="J229" s="21">
        <v>219</v>
      </c>
      <c r="K229" s="21">
        <v>0.50659200000000004</v>
      </c>
      <c r="L229">
        <f t="shared" si="36"/>
        <v>17.73037037037037</v>
      </c>
      <c r="M229">
        <f t="shared" si="37"/>
        <v>8.9928793125925921</v>
      </c>
      <c r="N229" s="9"/>
      <c r="O229" s="21">
        <v>1.00281</v>
      </c>
      <c r="P229" s="21">
        <v>10.7334</v>
      </c>
      <c r="Q229" s="21">
        <v>-1.29181E-2</v>
      </c>
      <c r="R229" s="21">
        <v>219</v>
      </c>
      <c r="S229" s="21">
        <v>1.0022</v>
      </c>
      <c r="T229">
        <f t="shared" si="38"/>
        <v>15.94827160493827</v>
      </c>
      <c r="U229">
        <f t="shared" si="39"/>
        <v>15.993086248148147</v>
      </c>
      <c r="X229" s="9"/>
      <c r="Y229" s="21">
        <v>0.50720200000000004</v>
      </c>
      <c r="Z229" s="21">
        <v>15.831099999999999</v>
      </c>
      <c r="AA229" s="21">
        <v>-1.4218099999999999E-2</v>
      </c>
      <c r="AB229" s="21">
        <v>219</v>
      </c>
      <c r="AC229" s="21">
        <v>0.50659200000000004</v>
      </c>
      <c r="AD229">
        <f t="shared" si="40"/>
        <v>17.553209876543207</v>
      </c>
      <c r="AE229">
        <f t="shared" si="41"/>
        <v>8.9030231558024688</v>
      </c>
      <c r="AF229" s="9"/>
      <c r="AG229" s="21">
        <v>1.00281</v>
      </c>
      <c r="AH229" s="21">
        <v>19.267600000000002</v>
      </c>
      <c r="AI229" s="21">
        <v>-1.2737999999999999E-2</v>
      </c>
      <c r="AJ229" s="21">
        <v>219</v>
      </c>
      <c r="AK229" s="21">
        <v>1.00281</v>
      </c>
      <c r="AL229">
        <f t="shared" si="42"/>
        <v>15.725925925925925</v>
      </c>
      <c r="AM229">
        <f t="shared" si="43"/>
        <v>15.770115777777775</v>
      </c>
      <c r="AP229" s="9"/>
      <c r="AQ229" s="21">
        <v>0.50720200000000004</v>
      </c>
      <c r="AR229" s="21">
        <v>24.410299999999999</v>
      </c>
      <c r="AS229" s="21">
        <v>-1.4093E-2</v>
      </c>
      <c r="AT229" s="21">
        <v>219</v>
      </c>
      <c r="AU229" s="21">
        <v>0.50653099999999995</v>
      </c>
      <c r="AV229">
        <f t="shared" si="44"/>
        <v>17.398765432098763</v>
      </c>
      <c r="AW229">
        <f t="shared" si="45"/>
        <v>8.8246886246913583</v>
      </c>
      <c r="AX229" s="9"/>
      <c r="AY229" s="21">
        <v>1.00281</v>
      </c>
      <c r="AZ229" s="21">
        <v>27.846800000000002</v>
      </c>
      <c r="BA229" s="21">
        <v>-1.26678E-2</v>
      </c>
      <c r="BB229" s="21">
        <v>219</v>
      </c>
      <c r="BC229" s="21">
        <v>1.0022</v>
      </c>
      <c r="BD229">
        <f t="shared" si="46"/>
        <v>15.639259259259259</v>
      </c>
      <c r="BE229">
        <f t="shared" si="47"/>
        <v>15.683205577777777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0.50216700000000003</v>
      </c>
      <c r="H230" s="21">
        <v>7.30694</v>
      </c>
      <c r="I230" s="21">
        <v>-1.4373800000000001E-2</v>
      </c>
      <c r="J230" s="21">
        <v>220</v>
      </c>
      <c r="K230" s="21">
        <v>0.50161699999999998</v>
      </c>
      <c r="L230">
        <f t="shared" si="36"/>
        <v>17.745432098765431</v>
      </c>
      <c r="M230">
        <f t="shared" si="37"/>
        <v>8.9111704007407404</v>
      </c>
      <c r="N230" s="9"/>
      <c r="O230" s="21">
        <v>1.0078400000000001</v>
      </c>
      <c r="P230" s="21">
        <v>10.743399999999999</v>
      </c>
      <c r="Q230" s="21">
        <v>-1.2902800000000001E-2</v>
      </c>
      <c r="R230" s="21">
        <v>220</v>
      </c>
      <c r="S230" s="21">
        <v>1.00708</v>
      </c>
      <c r="T230">
        <f t="shared" si="38"/>
        <v>15.929382716049382</v>
      </c>
      <c r="U230">
        <f t="shared" si="39"/>
        <v>16.054269076543211</v>
      </c>
      <c r="X230" s="9"/>
      <c r="Y230" s="21">
        <v>0.50216700000000003</v>
      </c>
      <c r="Z230" s="21">
        <v>15.841100000000001</v>
      </c>
      <c r="AA230" s="21">
        <v>-1.42151E-2</v>
      </c>
      <c r="AB230" s="21">
        <v>220</v>
      </c>
      <c r="AC230" s="21">
        <v>0.50164799999999998</v>
      </c>
      <c r="AD230">
        <f t="shared" si="40"/>
        <v>17.549506172839507</v>
      </c>
      <c r="AE230">
        <f t="shared" si="41"/>
        <v>8.8127828662962973</v>
      </c>
      <c r="AF230" s="9"/>
      <c r="AG230" s="21">
        <v>1.0078400000000001</v>
      </c>
      <c r="AH230" s="21">
        <v>19.277699999999999</v>
      </c>
      <c r="AI230" s="21">
        <v>-1.2710600000000001E-2</v>
      </c>
      <c r="AJ230" s="21">
        <v>220</v>
      </c>
      <c r="AK230" s="21">
        <v>1.00708</v>
      </c>
      <c r="AL230">
        <f t="shared" si="42"/>
        <v>15.692098765432098</v>
      </c>
      <c r="AM230">
        <f t="shared" si="43"/>
        <v>15.815124819753086</v>
      </c>
      <c r="AP230" s="9"/>
      <c r="AQ230" s="21">
        <v>0.50216700000000003</v>
      </c>
      <c r="AR230" s="21">
        <v>24.420400000000001</v>
      </c>
      <c r="AS230" s="21">
        <v>-1.4086899999999999E-2</v>
      </c>
      <c r="AT230" s="21">
        <v>220</v>
      </c>
      <c r="AU230" s="21">
        <v>0.50149500000000002</v>
      </c>
      <c r="AV230">
        <f t="shared" si="44"/>
        <v>17.391234567901233</v>
      </c>
      <c r="AW230">
        <f t="shared" si="45"/>
        <v>8.7333040892592582</v>
      </c>
      <c r="AX230" s="9"/>
      <c r="AY230" s="21">
        <v>1.0078400000000001</v>
      </c>
      <c r="AZ230" s="21">
        <v>27.8568</v>
      </c>
      <c r="BA230" s="21">
        <v>-1.2643400000000001E-2</v>
      </c>
      <c r="BB230" s="21">
        <v>220</v>
      </c>
      <c r="BC230" s="21">
        <v>1.00739</v>
      </c>
      <c r="BD230">
        <f t="shared" si="46"/>
        <v>15.609135802469137</v>
      </c>
      <c r="BE230">
        <f t="shared" si="47"/>
        <v>15.731511427160497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0.49713099999999999</v>
      </c>
      <c r="H231" s="21">
        <v>7.3170099999999998</v>
      </c>
      <c r="I231" s="21">
        <v>-1.4385999999999999E-2</v>
      </c>
      <c r="J231" s="21">
        <v>221</v>
      </c>
      <c r="K231" s="21">
        <v>0.49661300000000003</v>
      </c>
      <c r="L231">
        <f t="shared" si="36"/>
        <v>17.760493827160492</v>
      </c>
      <c r="M231">
        <f t="shared" si="37"/>
        <v>8.8292920567901216</v>
      </c>
      <c r="N231" s="9"/>
      <c r="O231" s="21">
        <v>1.01288</v>
      </c>
      <c r="P231" s="21">
        <v>10.753500000000001</v>
      </c>
      <c r="Q231" s="21">
        <v>-1.2899799999999999E-2</v>
      </c>
      <c r="R231" s="21">
        <v>221</v>
      </c>
      <c r="S231" s="21">
        <v>1.01166</v>
      </c>
      <c r="T231">
        <f t="shared" si="38"/>
        <v>15.925679012345679</v>
      </c>
      <c r="U231">
        <f t="shared" si="39"/>
        <v>16.130801758024692</v>
      </c>
      <c r="X231" s="9"/>
      <c r="Y231" s="21">
        <v>0.49713099999999999</v>
      </c>
      <c r="Z231" s="21">
        <v>15.8512</v>
      </c>
      <c r="AA231" s="21">
        <v>-1.42151E-2</v>
      </c>
      <c r="AB231" s="21">
        <v>221</v>
      </c>
      <c r="AC231" s="21">
        <v>0.49655199999999999</v>
      </c>
      <c r="AD231">
        <f t="shared" si="40"/>
        <v>17.549506172839507</v>
      </c>
      <c r="AE231">
        <f t="shared" si="41"/>
        <v>8.7244035532098767</v>
      </c>
      <c r="AF231" s="9"/>
      <c r="AG231" s="21">
        <v>1.01288</v>
      </c>
      <c r="AH231" s="21">
        <v>19.287700000000001</v>
      </c>
      <c r="AI231" s="21">
        <v>-1.26984E-2</v>
      </c>
      <c r="AJ231" s="21">
        <v>221</v>
      </c>
      <c r="AK231" s="21">
        <v>1.01196</v>
      </c>
      <c r="AL231">
        <f t="shared" si="42"/>
        <v>15.677037037037039</v>
      </c>
      <c r="AM231">
        <f t="shared" si="43"/>
        <v>15.878957274074075</v>
      </c>
      <c r="AP231" s="9"/>
      <c r="AQ231" s="21">
        <v>0.49713099999999999</v>
      </c>
      <c r="AR231" s="21">
        <v>24.430399999999999</v>
      </c>
      <c r="AS231" s="21">
        <v>-1.4071699999999999E-2</v>
      </c>
      <c r="AT231" s="21">
        <v>221</v>
      </c>
      <c r="AU231" s="21">
        <v>0.49658200000000002</v>
      </c>
      <c r="AV231">
        <f t="shared" si="44"/>
        <v>17.372469135802469</v>
      </c>
      <c r="AW231">
        <f t="shared" si="45"/>
        <v>8.636392953950617</v>
      </c>
      <c r="AX231" s="9"/>
      <c r="AY231" s="21">
        <v>1.01288</v>
      </c>
      <c r="AZ231" s="21">
        <v>27.866900000000001</v>
      </c>
      <c r="BA231" s="21">
        <v>-1.26099E-2</v>
      </c>
      <c r="BB231" s="21">
        <v>221</v>
      </c>
      <c r="BC231" s="21">
        <v>1.01105</v>
      </c>
      <c r="BD231">
        <f t="shared" si="46"/>
        <v>15.567777777777778</v>
      </c>
      <c r="BE231">
        <f t="shared" si="47"/>
        <v>15.768290755555556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0.49209599999999998</v>
      </c>
      <c r="H232" s="21">
        <v>7.3270799999999996</v>
      </c>
      <c r="I232" s="21">
        <v>-1.43982E-2</v>
      </c>
      <c r="J232" s="21">
        <v>222</v>
      </c>
      <c r="K232" s="21">
        <v>0.49157699999999999</v>
      </c>
      <c r="L232">
        <f t="shared" si="36"/>
        <v>17.775555555555556</v>
      </c>
      <c r="M232">
        <f t="shared" si="37"/>
        <v>8.7472797866666667</v>
      </c>
      <c r="N232" s="9"/>
      <c r="O232" s="21">
        <v>1.0179100000000001</v>
      </c>
      <c r="P232" s="21">
        <v>10.7636</v>
      </c>
      <c r="Q232" s="21">
        <v>-1.2887600000000001E-2</v>
      </c>
      <c r="R232" s="21">
        <v>222</v>
      </c>
      <c r="S232" s="21">
        <v>1.01685</v>
      </c>
      <c r="T232">
        <f t="shared" si="38"/>
        <v>15.910617283950618</v>
      </c>
      <c r="U232">
        <f t="shared" si="39"/>
        <v>16.195576439506176</v>
      </c>
      <c r="X232" s="9"/>
      <c r="Y232" s="21">
        <v>0.49209599999999998</v>
      </c>
      <c r="Z232" s="21">
        <v>15.8613</v>
      </c>
      <c r="AA232" s="21">
        <v>-1.4224199999999999E-2</v>
      </c>
      <c r="AB232" s="21">
        <v>222</v>
      </c>
      <c r="AC232" s="21">
        <v>0.491425</v>
      </c>
      <c r="AD232">
        <f t="shared" si="40"/>
        <v>17.560740740740737</v>
      </c>
      <c r="AE232">
        <f t="shared" si="41"/>
        <v>8.6415702755555532</v>
      </c>
      <c r="AF232" s="9"/>
      <c r="AG232" s="21">
        <v>1.0179100000000001</v>
      </c>
      <c r="AH232" s="21">
        <v>19.297799999999999</v>
      </c>
      <c r="AI232" s="21">
        <v>-1.2674E-2</v>
      </c>
      <c r="AJ232" s="21">
        <v>222</v>
      </c>
      <c r="AK232" s="21">
        <v>1.01715</v>
      </c>
      <c r="AL232">
        <f t="shared" si="42"/>
        <v>15.646913580246911</v>
      </c>
      <c r="AM232">
        <f t="shared" si="43"/>
        <v>15.927149802469135</v>
      </c>
      <c r="AP232" s="9"/>
      <c r="AQ232" s="21">
        <v>0.49209599999999998</v>
      </c>
      <c r="AR232" s="21">
        <v>24.4405</v>
      </c>
      <c r="AS232" s="21">
        <v>-1.40778E-2</v>
      </c>
      <c r="AT232" s="21">
        <v>222</v>
      </c>
      <c r="AU232" s="21">
        <v>0.49145499999999998</v>
      </c>
      <c r="AV232">
        <f t="shared" si="44"/>
        <v>17.38</v>
      </c>
      <c r="AW232">
        <f t="shared" si="45"/>
        <v>8.5526284799999992</v>
      </c>
      <c r="AX232" s="9"/>
      <c r="AY232" s="21">
        <v>1.0179100000000001</v>
      </c>
      <c r="AZ232" s="21">
        <v>27.876999999999999</v>
      </c>
      <c r="BA232" s="21">
        <v>-1.2588500000000001E-2</v>
      </c>
      <c r="BB232" s="21">
        <v>222</v>
      </c>
      <c r="BC232" s="21">
        <v>1.01776</v>
      </c>
      <c r="BD232">
        <f t="shared" si="46"/>
        <v>15.541358024691359</v>
      </c>
      <c r="BE232">
        <f t="shared" si="47"/>
        <v>15.819703746913582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0.48706100000000002</v>
      </c>
      <c r="H233" s="21">
        <v>7.3371599999999999</v>
      </c>
      <c r="I233" s="21">
        <v>-1.44073E-2</v>
      </c>
      <c r="J233" s="21">
        <v>223</v>
      </c>
      <c r="K233" s="21">
        <v>0.48644999999999999</v>
      </c>
      <c r="L233">
        <f t="shared" si="36"/>
        <v>17.78679012345679</v>
      </c>
      <c r="M233">
        <f t="shared" si="37"/>
        <v>8.6632517843209875</v>
      </c>
      <c r="N233" s="9"/>
      <c r="O233" s="21">
        <v>1.02295</v>
      </c>
      <c r="P233" s="21">
        <v>10.7736</v>
      </c>
      <c r="Q233" s="21">
        <v>-1.28693E-2</v>
      </c>
      <c r="R233" s="21">
        <v>223</v>
      </c>
      <c r="S233" s="21">
        <v>1.02173</v>
      </c>
      <c r="T233">
        <f t="shared" si="38"/>
        <v>15.888024691358023</v>
      </c>
      <c r="U233">
        <f t="shared" si="39"/>
        <v>16.252654858024691</v>
      </c>
      <c r="X233" s="9"/>
      <c r="Y233" s="21">
        <v>0.48706100000000002</v>
      </c>
      <c r="Z233" s="21">
        <v>15.8714</v>
      </c>
      <c r="AA233" s="21">
        <v>-1.42273E-2</v>
      </c>
      <c r="AB233" s="21">
        <v>223</v>
      </c>
      <c r="AC233" s="21">
        <v>0.48654199999999997</v>
      </c>
      <c r="AD233">
        <f t="shared" si="40"/>
        <v>17.564567901234565</v>
      </c>
      <c r="AE233">
        <f t="shared" si="41"/>
        <v>8.5550160065432088</v>
      </c>
      <c r="AF233" s="9"/>
      <c r="AG233" s="21">
        <v>1.02295</v>
      </c>
      <c r="AH233" s="21">
        <v>19.3079</v>
      </c>
      <c r="AI233" s="21">
        <v>-1.26465E-2</v>
      </c>
      <c r="AJ233" s="21">
        <v>223</v>
      </c>
      <c r="AK233" s="21">
        <v>1.02173</v>
      </c>
      <c r="AL233">
        <f t="shared" si="42"/>
        <v>15.612962962962962</v>
      </c>
      <c r="AM233">
        <f t="shared" si="43"/>
        <v>15.971280462962962</v>
      </c>
      <c r="AP233" s="9"/>
      <c r="AQ233" s="21">
        <v>0.48706100000000002</v>
      </c>
      <c r="AR233" s="21">
        <v>24.450600000000001</v>
      </c>
      <c r="AS233" s="21">
        <v>-1.4093E-2</v>
      </c>
      <c r="AT233" s="21">
        <v>223</v>
      </c>
      <c r="AU233" s="21">
        <v>0.486481</v>
      </c>
      <c r="AV233">
        <f t="shared" si="44"/>
        <v>17.398765432098763</v>
      </c>
      <c r="AW233">
        <f t="shared" si="45"/>
        <v>8.4742600901234564</v>
      </c>
      <c r="AX233" s="9"/>
      <c r="AY233" s="21">
        <v>1.02295</v>
      </c>
      <c r="AZ233" s="21">
        <v>27.8871</v>
      </c>
      <c r="BA233" s="21">
        <v>-1.25519E-2</v>
      </c>
      <c r="BB233" s="21">
        <v>223</v>
      </c>
      <c r="BC233" s="21">
        <v>1.02203</v>
      </c>
      <c r="BD233">
        <f t="shared" si="46"/>
        <v>15.496172839506173</v>
      </c>
      <c r="BE233">
        <f t="shared" si="47"/>
        <v>15.85181000617284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0.48202499999999998</v>
      </c>
      <c r="H234" s="21">
        <v>7.3472299999999997</v>
      </c>
      <c r="I234" s="21">
        <v>-1.44104E-2</v>
      </c>
      <c r="J234" s="21">
        <v>224</v>
      </c>
      <c r="K234" s="21">
        <v>0.48147600000000002</v>
      </c>
      <c r="L234">
        <f t="shared" si="36"/>
        <v>17.790617283950617</v>
      </c>
      <c r="M234">
        <f t="shared" si="37"/>
        <v>8.5755222962962954</v>
      </c>
      <c r="N234" s="9"/>
      <c r="O234" s="21">
        <v>1.0279799999999999</v>
      </c>
      <c r="P234" s="21">
        <v>10.7837</v>
      </c>
      <c r="Q234" s="21">
        <v>-1.28448E-2</v>
      </c>
      <c r="R234" s="21">
        <v>224</v>
      </c>
      <c r="S234" s="21">
        <v>1.0269200000000001</v>
      </c>
      <c r="T234">
        <f t="shared" si="38"/>
        <v>15.857777777777777</v>
      </c>
      <c r="U234">
        <f t="shared" si="39"/>
        <v>16.301478399999997</v>
      </c>
      <c r="X234" s="9"/>
      <c r="Y234" s="21">
        <v>0.48202499999999998</v>
      </c>
      <c r="Z234" s="21">
        <v>15.881399999999999</v>
      </c>
      <c r="AA234" s="21">
        <v>-1.4224199999999999E-2</v>
      </c>
      <c r="AB234" s="21">
        <v>224</v>
      </c>
      <c r="AC234" s="21">
        <v>0.48150599999999999</v>
      </c>
      <c r="AD234">
        <f t="shared" si="40"/>
        <v>17.560740740740737</v>
      </c>
      <c r="AE234">
        <f t="shared" si="41"/>
        <v>8.4647160555555541</v>
      </c>
      <c r="AF234" s="9"/>
      <c r="AG234" s="21">
        <v>1.0279799999999999</v>
      </c>
      <c r="AH234" s="21">
        <v>19.318000000000001</v>
      </c>
      <c r="AI234" s="21">
        <v>-1.2619E-2</v>
      </c>
      <c r="AJ234" s="21">
        <v>224</v>
      </c>
      <c r="AK234" s="21">
        <v>1.02722</v>
      </c>
      <c r="AL234">
        <f t="shared" si="42"/>
        <v>15.579012345679011</v>
      </c>
      <c r="AM234">
        <f t="shared" si="43"/>
        <v>16.01491311111111</v>
      </c>
      <c r="AP234" s="9"/>
      <c r="AQ234" s="21">
        <v>0.48202499999999998</v>
      </c>
      <c r="AR234" s="21">
        <v>24.460599999999999</v>
      </c>
      <c r="AS234" s="21">
        <v>-1.4108300000000001E-2</v>
      </c>
      <c r="AT234" s="21">
        <v>224</v>
      </c>
      <c r="AU234" s="21">
        <v>0.48144500000000001</v>
      </c>
      <c r="AV234">
        <f t="shared" si="44"/>
        <v>17.417654320987655</v>
      </c>
      <c r="AW234">
        <f t="shared" si="45"/>
        <v>8.3957448240740735</v>
      </c>
      <c r="AX234" s="9"/>
      <c r="AY234" s="21">
        <v>1.0279799999999999</v>
      </c>
      <c r="AZ234" s="21">
        <v>27.897099999999998</v>
      </c>
      <c r="BA234" s="21">
        <v>-1.25153E-2</v>
      </c>
      <c r="BB234" s="21">
        <v>224</v>
      </c>
      <c r="BC234" s="21">
        <v>1.02661</v>
      </c>
      <c r="BD234">
        <f t="shared" si="46"/>
        <v>15.450987654320988</v>
      </c>
      <c r="BE234">
        <f t="shared" si="47"/>
        <v>15.883306288888887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0.47699000000000003</v>
      </c>
      <c r="H235" s="21">
        <v>7.3573000000000004</v>
      </c>
      <c r="I235" s="21">
        <v>-1.44165E-2</v>
      </c>
      <c r="J235" s="21">
        <v>225</v>
      </c>
      <c r="K235" s="21">
        <v>0.47643999999999997</v>
      </c>
      <c r="L235">
        <f t="shared" si="36"/>
        <v>17.798148148148147</v>
      </c>
      <c r="M235">
        <f t="shared" si="37"/>
        <v>8.4895386851851846</v>
      </c>
      <c r="N235" s="9"/>
      <c r="O235" s="21">
        <v>1.03302</v>
      </c>
      <c r="P235" s="21">
        <v>10.793799999999999</v>
      </c>
      <c r="Q235" s="21">
        <v>-1.28082E-2</v>
      </c>
      <c r="R235" s="21">
        <v>225</v>
      </c>
      <c r="S235" s="21">
        <v>1.03241</v>
      </c>
      <c r="T235">
        <f t="shared" si="38"/>
        <v>15.812592592592594</v>
      </c>
      <c r="U235">
        <f t="shared" si="39"/>
        <v>16.334724400000002</v>
      </c>
      <c r="X235" s="9"/>
      <c r="Y235" s="21">
        <v>0.47699000000000003</v>
      </c>
      <c r="Z235" s="21">
        <v>15.891500000000001</v>
      </c>
      <c r="AA235" s="21">
        <v>-1.42273E-2</v>
      </c>
      <c r="AB235" s="21">
        <v>225</v>
      </c>
      <c r="AC235" s="21">
        <v>0.476379</v>
      </c>
      <c r="AD235">
        <f t="shared" si="40"/>
        <v>17.564567901234565</v>
      </c>
      <c r="AE235">
        <f t="shared" si="41"/>
        <v>8.3781232432098758</v>
      </c>
      <c r="AF235" s="9"/>
      <c r="AG235" s="21">
        <v>1.03302</v>
      </c>
      <c r="AH235" s="21">
        <v>19.327999999999999</v>
      </c>
      <c r="AI235" s="21">
        <v>-1.25977E-2</v>
      </c>
      <c r="AJ235" s="21">
        <v>225</v>
      </c>
      <c r="AK235" s="21">
        <v>1.0321</v>
      </c>
      <c r="AL235">
        <f t="shared" si="42"/>
        <v>15.552716049382715</v>
      </c>
      <c r="AM235">
        <f t="shared" si="43"/>
        <v>16.066266733333332</v>
      </c>
      <c r="AP235" s="9"/>
      <c r="AQ235" s="21">
        <v>0.47699000000000003</v>
      </c>
      <c r="AR235" s="21">
        <v>24.470700000000001</v>
      </c>
      <c r="AS235" s="21">
        <v>-1.4123500000000001E-2</v>
      </c>
      <c r="AT235" s="21">
        <v>225</v>
      </c>
      <c r="AU235" s="21">
        <v>0.47643999999999997</v>
      </c>
      <c r="AV235">
        <f t="shared" si="44"/>
        <v>17.436419753086419</v>
      </c>
      <c r="AW235">
        <f t="shared" si="45"/>
        <v>8.3169978580246919</v>
      </c>
      <c r="AX235" s="9"/>
      <c r="AY235" s="21">
        <v>1.03302</v>
      </c>
      <c r="AZ235" s="21">
        <v>27.9072</v>
      </c>
      <c r="BA235" s="21">
        <v>-1.24756E-2</v>
      </c>
      <c r="BB235" s="21">
        <v>225</v>
      </c>
      <c r="BC235" s="21">
        <v>1.0321</v>
      </c>
      <c r="BD235">
        <f t="shared" si="46"/>
        <v>15.401975308641974</v>
      </c>
      <c r="BE235">
        <f t="shared" si="47"/>
        <v>15.910548533333333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0.47195399999999998</v>
      </c>
      <c r="H236" s="21">
        <v>7.3673700000000002</v>
      </c>
      <c r="I236" s="21">
        <v>-1.44165E-2</v>
      </c>
      <c r="J236" s="21">
        <v>226</v>
      </c>
      <c r="K236" s="21">
        <v>0.47131299999999998</v>
      </c>
      <c r="L236">
        <f t="shared" si="36"/>
        <v>17.798148148148147</v>
      </c>
      <c r="M236">
        <f t="shared" si="37"/>
        <v>8.3999072111111097</v>
      </c>
      <c r="N236" s="9"/>
      <c r="O236" s="21">
        <v>1.03806</v>
      </c>
      <c r="P236" s="21">
        <v>10.803900000000001</v>
      </c>
      <c r="Q236" s="21">
        <v>-1.27747E-2</v>
      </c>
      <c r="R236" s="21">
        <v>226</v>
      </c>
      <c r="S236" s="21">
        <v>1.03668</v>
      </c>
      <c r="T236">
        <f t="shared" si="38"/>
        <v>15.771234567901235</v>
      </c>
      <c r="U236">
        <f t="shared" si="39"/>
        <v>16.371487755555556</v>
      </c>
      <c r="X236" s="9"/>
      <c r="Y236" s="21">
        <v>0.47195399999999998</v>
      </c>
      <c r="Z236" s="21">
        <v>15.9016</v>
      </c>
      <c r="AA236" s="21">
        <v>-1.42334E-2</v>
      </c>
      <c r="AB236" s="21">
        <v>226</v>
      </c>
      <c r="AC236" s="21">
        <v>0.47140500000000002</v>
      </c>
      <c r="AD236">
        <f t="shared" si="40"/>
        <v>17.572098765432099</v>
      </c>
      <c r="AE236">
        <f t="shared" si="41"/>
        <v>8.2932223007407408</v>
      </c>
      <c r="AF236" s="9"/>
      <c r="AG236" s="21">
        <v>1.03806</v>
      </c>
      <c r="AH236" s="21">
        <v>19.338100000000001</v>
      </c>
      <c r="AI236" s="21">
        <v>-1.25793E-2</v>
      </c>
      <c r="AJ236" s="21">
        <v>226</v>
      </c>
      <c r="AK236" s="21">
        <v>1.0369900000000001</v>
      </c>
      <c r="AL236">
        <f t="shared" si="42"/>
        <v>15.53</v>
      </c>
      <c r="AM236">
        <f t="shared" si="43"/>
        <v>16.121071799999999</v>
      </c>
      <c r="AP236" s="9"/>
      <c r="AQ236" s="21">
        <v>0.47195399999999998</v>
      </c>
      <c r="AR236" s="21">
        <v>24.480799999999999</v>
      </c>
      <c r="AS236" s="21">
        <v>-1.4154099999999999E-2</v>
      </c>
      <c r="AT236" s="21">
        <v>226</v>
      </c>
      <c r="AU236" s="21">
        <v>0.47137499999999999</v>
      </c>
      <c r="AV236">
        <f t="shared" si="44"/>
        <v>17.474197530864195</v>
      </c>
      <c r="AW236">
        <f t="shared" si="45"/>
        <v>8.2470174214814804</v>
      </c>
      <c r="AX236" s="9"/>
      <c r="AY236" s="21">
        <v>1.03806</v>
      </c>
      <c r="AZ236" s="21">
        <v>27.917300000000001</v>
      </c>
      <c r="BA236" s="21">
        <v>-1.24481E-2</v>
      </c>
      <c r="BB236" s="21">
        <v>226</v>
      </c>
      <c r="BC236" s="21">
        <v>1.0369900000000001</v>
      </c>
      <c r="BD236">
        <f t="shared" si="46"/>
        <v>15.368024691358023</v>
      </c>
      <c r="BE236">
        <f t="shared" si="47"/>
        <v>15.952931711111109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0.46691899999999997</v>
      </c>
      <c r="H237" s="21">
        <v>7.37744</v>
      </c>
      <c r="I237" s="21">
        <v>-1.44165E-2</v>
      </c>
      <c r="J237" s="21">
        <v>227</v>
      </c>
      <c r="K237" s="21">
        <v>0.466339</v>
      </c>
      <c r="L237">
        <f t="shared" si="36"/>
        <v>17.798148148148147</v>
      </c>
      <c r="M237">
        <f t="shared" si="37"/>
        <v>8.3102935351851848</v>
      </c>
      <c r="N237" s="9"/>
      <c r="O237" s="21">
        <v>1.0430900000000001</v>
      </c>
      <c r="P237" s="21">
        <v>10.8139</v>
      </c>
      <c r="Q237" s="21">
        <v>-1.27441E-2</v>
      </c>
      <c r="R237" s="21">
        <v>227</v>
      </c>
      <c r="S237" s="21">
        <v>1.0421800000000001</v>
      </c>
      <c r="T237">
        <f t="shared" si="38"/>
        <v>15.733456790123457</v>
      </c>
      <c r="U237">
        <f t="shared" si="39"/>
        <v>16.411411443209879</v>
      </c>
      <c r="X237" s="9"/>
      <c r="Y237" s="21">
        <v>0.46691899999999997</v>
      </c>
      <c r="Z237" s="21">
        <v>15.9116</v>
      </c>
      <c r="AA237" s="21">
        <v>-1.4251700000000001E-2</v>
      </c>
      <c r="AB237" s="21">
        <v>227</v>
      </c>
      <c r="AC237" s="21">
        <v>0.46637000000000001</v>
      </c>
      <c r="AD237">
        <f t="shared" si="40"/>
        <v>17.594691358024694</v>
      </c>
      <c r="AE237">
        <f t="shared" si="41"/>
        <v>8.2152956941975308</v>
      </c>
      <c r="AF237" s="9"/>
      <c r="AG237" s="21">
        <v>1.0430900000000001</v>
      </c>
      <c r="AH237" s="21">
        <v>19.348199999999999</v>
      </c>
      <c r="AI237" s="21">
        <v>-1.25519E-2</v>
      </c>
      <c r="AJ237" s="21">
        <v>227</v>
      </c>
      <c r="AK237" s="21">
        <v>1.0412600000000001</v>
      </c>
      <c r="AL237">
        <f t="shared" si="42"/>
        <v>15.496172839506173</v>
      </c>
      <c r="AM237">
        <f t="shared" si="43"/>
        <v>16.163902927160496</v>
      </c>
      <c r="AP237" s="9"/>
      <c r="AQ237" s="21">
        <v>0.46691899999999997</v>
      </c>
      <c r="AR237" s="21">
        <v>24.4909</v>
      </c>
      <c r="AS237" s="21">
        <v>-1.41602E-2</v>
      </c>
      <c r="AT237" s="21">
        <v>227</v>
      </c>
      <c r="AU237" s="21">
        <v>0.46637000000000001</v>
      </c>
      <c r="AV237">
        <f t="shared" si="44"/>
        <v>17.481728395061729</v>
      </c>
      <c r="AW237">
        <f t="shared" si="45"/>
        <v>8.1625511404938269</v>
      </c>
      <c r="AX237" s="9"/>
      <c r="AY237" s="21">
        <v>1.0430900000000001</v>
      </c>
      <c r="AZ237" s="21">
        <v>27.927299999999999</v>
      </c>
      <c r="BA237" s="21">
        <v>-1.24329E-2</v>
      </c>
      <c r="BB237" s="21">
        <v>227</v>
      </c>
      <c r="BC237" s="21">
        <v>1.0418700000000001</v>
      </c>
      <c r="BD237">
        <f t="shared" si="46"/>
        <v>15.349259259259259</v>
      </c>
      <c r="BE237">
        <f t="shared" si="47"/>
        <v>16.010658840740742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0.46188400000000002</v>
      </c>
      <c r="H238" s="21">
        <v>7.3875099999999998</v>
      </c>
      <c r="I238" s="21">
        <v>-1.44104E-2</v>
      </c>
      <c r="J238" s="21">
        <v>228</v>
      </c>
      <c r="K238" s="21">
        <v>0.46130399999999999</v>
      </c>
      <c r="L238">
        <f t="shared" si="36"/>
        <v>17.790617283950617</v>
      </c>
      <c r="M238">
        <f t="shared" si="37"/>
        <v>8.2172014735802463</v>
      </c>
      <c r="N238" s="9"/>
      <c r="O238" s="21">
        <v>1.04813</v>
      </c>
      <c r="P238" s="21">
        <v>10.824</v>
      </c>
      <c r="Q238" s="21">
        <v>-1.2710600000000001E-2</v>
      </c>
      <c r="R238" s="21">
        <v>228</v>
      </c>
      <c r="S238" s="21">
        <v>1.0473600000000001</v>
      </c>
      <c r="T238">
        <f t="shared" si="38"/>
        <v>15.692098765432098</v>
      </c>
      <c r="U238">
        <f t="shared" si="39"/>
        <v>16.447359479012345</v>
      </c>
      <c r="X238" s="9"/>
      <c r="Y238" s="21">
        <v>0.46188400000000002</v>
      </c>
      <c r="Z238" s="21">
        <v>15.9217</v>
      </c>
      <c r="AA238" s="21">
        <v>-1.4251700000000001E-2</v>
      </c>
      <c r="AB238" s="21">
        <v>228</v>
      </c>
      <c r="AC238" s="21">
        <v>0.46145599999999998</v>
      </c>
      <c r="AD238">
        <f t="shared" si="40"/>
        <v>17.594691358024694</v>
      </c>
      <c r="AE238">
        <f t="shared" si="41"/>
        <v>8.1267064232098782</v>
      </c>
      <c r="AF238" s="9"/>
      <c r="AG238" s="21">
        <v>1.04813</v>
      </c>
      <c r="AH238" s="21">
        <v>19.3582</v>
      </c>
      <c r="AI238" s="21">
        <v>-1.25214E-2</v>
      </c>
      <c r="AJ238" s="21">
        <v>228</v>
      </c>
      <c r="AK238" s="21">
        <v>1.0467500000000001</v>
      </c>
      <c r="AL238">
        <f t="shared" si="42"/>
        <v>15.458518518518517</v>
      </c>
      <c r="AM238">
        <f t="shared" si="43"/>
        <v>16.202537014814812</v>
      </c>
      <c r="AP238" s="9"/>
      <c r="AQ238" s="21">
        <v>0.46188400000000002</v>
      </c>
      <c r="AR238" s="21">
        <v>24.500900000000001</v>
      </c>
      <c r="AS238" s="21">
        <v>-1.41724E-2</v>
      </c>
      <c r="AT238" s="21">
        <v>228</v>
      </c>
      <c r="AU238" s="21">
        <v>0.46124300000000001</v>
      </c>
      <c r="AV238">
        <f t="shared" si="44"/>
        <v>17.496790123456787</v>
      </c>
      <c r="AW238">
        <f t="shared" si="45"/>
        <v>8.0814874093827154</v>
      </c>
      <c r="AX238" s="9"/>
      <c r="AY238" s="21">
        <v>1.04813</v>
      </c>
      <c r="AZ238" s="21">
        <v>27.9374</v>
      </c>
      <c r="BA238" s="21">
        <v>-1.24054E-2</v>
      </c>
      <c r="BB238" s="21">
        <v>228</v>
      </c>
      <c r="BC238" s="21">
        <v>1.0470600000000001</v>
      </c>
      <c r="BD238">
        <f t="shared" si="46"/>
        <v>15.315308641975308</v>
      </c>
      <c r="BE238">
        <f t="shared" si="47"/>
        <v>16.05243444691358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0.45684799999999998</v>
      </c>
      <c r="H239" s="21">
        <v>7.3975799999999996</v>
      </c>
      <c r="I239" s="21">
        <v>-1.44165E-2</v>
      </c>
      <c r="J239" s="21">
        <v>229</v>
      </c>
      <c r="K239" s="21">
        <v>0.45623799999999998</v>
      </c>
      <c r="L239">
        <f t="shared" si="36"/>
        <v>17.798148148148147</v>
      </c>
      <c r="M239">
        <f t="shared" si="37"/>
        <v>8.1310483851851849</v>
      </c>
      <c r="N239" s="9"/>
      <c r="O239" s="21">
        <v>1.0531600000000001</v>
      </c>
      <c r="P239" s="21">
        <v>10.834099999999999</v>
      </c>
      <c r="Q239" s="21">
        <v>-1.2683099999999999E-2</v>
      </c>
      <c r="R239" s="21">
        <v>229</v>
      </c>
      <c r="S239" s="21">
        <v>1.0522499999999999</v>
      </c>
      <c r="T239">
        <f t="shared" si="38"/>
        <v>15.658148148148147</v>
      </c>
      <c r="U239">
        <f t="shared" si="39"/>
        <v>16.490535303703705</v>
      </c>
      <c r="X239" s="9"/>
      <c r="Y239" s="21">
        <v>0.45684799999999998</v>
      </c>
      <c r="Z239" s="21">
        <v>15.931800000000001</v>
      </c>
      <c r="AA239" s="21">
        <v>-1.42609E-2</v>
      </c>
      <c r="AB239" s="21">
        <v>229</v>
      </c>
      <c r="AC239" s="21">
        <v>0.45626800000000001</v>
      </c>
      <c r="AD239">
        <f t="shared" si="40"/>
        <v>17.606049382716048</v>
      </c>
      <c r="AE239">
        <f t="shared" si="41"/>
        <v>8.0432884483950602</v>
      </c>
      <c r="AF239" s="9"/>
      <c r="AG239" s="21">
        <v>1.0531600000000001</v>
      </c>
      <c r="AH239" s="21">
        <v>19.368300000000001</v>
      </c>
      <c r="AI239" s="21">
        <v>-1.24847E-2</v>
      </c>
      <c r="AJ239" s="21">
        <v>229</v>
      </c>
      <c r="AK239" s="21">
        <v>1.0525500000000001</v>
      </c>
      <c r="AL239">
        <f t="shared" si="42"/>
        <v>15.413209876543208</v>
      </c>
      <c r="AM239">
        <f t="shared" si="43"/>
        <v>16.232576113580247</v>
      </c>
      <c r="AP239" s="9"/>
      <c r="AQ239" s="21">
        <v>0.45684799999999998</v>
      </c>
      <c r="AR239" s="21">
        <v>24.510999999999999</v>
      </c>
      <c r="AS239" s="21">
        <v>-1.41846E-2</v>
      </c>
      <c r="AT239" s="21">
        <v>229</v>
      </c>
      <c r="AU239" s="21">
        <v>0.45629900000000001</v>
      </c>
      <c r="AV239">
        <f t="shared" si="44"/>
        <v>17.511851851851851</v>
      </c>
      <c r="AW239">
        <f t="shared" si="45"/>
        <v>8.0002544948148149</v>
      </c>
      <c r="AX239" s="9"/>
      <c r="AY239" s="21">
        <v>1.0531600000000001</v>
      </c>
      <c r="AZ239" s="21">
        <v>27.947500000000002</v>
      </c>
      <c r="BA239" s="21">
        <v>-1.2381E-2</v>
      </c>
      <c r="BB239" s="21">
        <v>229</v>
      </c>
      <c r="BC239" s="21">
        <v>1.0525500000000001</v>
      </c>
      <c r="BD239">
        <f t="shared" si="46"/>
        <v>15.285185185185183</v>
      </c>
      <c r="BE239">
        <f t="shared" si="47"/>
        <v>16.097745629629628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0.45181300000000002</v>
      </c>
      <c r="H240" s="21">
        <v>7.4076500000000003</v>
      </c>
      <c r="I240" s="21">
        <v>-1.4428699999999999E-2</v>
      </c>
      <c r="J240" s="21">
        <v>230</v>
      </c>
      <c r="K240" s="21">
        <v>0.45126300000000003</v>
      </c>
      <c r="L240">
        <f t="shared" si="36"/>
        <v>17.813209876543205</v>
      </c>
      <c r="M240">
        <f t="shared" si="37"/>
        <v>8.0482397939506161</v>
      </c>
      <c r="N240" s="9"/>
      <c r="O240" s="21">
        <v>1.0582</v>
      </c>
      <c r="P240" s="21">
        <v>10.844099999999999</v>
      </c>
      <c r="Q240" s="21">
        <v>-1.26648E-2</v>
      </c>
      <c r="R240" s="21">
        <v>230</v>
      </c>
      <c r="S240" s="21">
        <v>1.0574300000000001</v>
      </c>
      <c r="T240">
        <f t="shared" si="38"/>
        <v>15.635555555555555</v>
      </c>
      <c r="U240">
        <f t="shared" si="39"/>
        <v>16.545544888888891</v>
      </c>
      <c r="X240" s="9"/>
      <c r="Y240" s="21">
        <v>0.45181300000000002</v>
      </c>
      <c r="Z240" s="21">
        <v>15.9419</v>
      </c>
      <c r="AA240" s="21">
        <v>-1.42731E-2</v>
      </c>
      <c r="AB240" s="21">
        <v>230</v>
      </c>
      <c r="AC240" s="21">
        <v>0.45126300000000003</v>
      </c>
      <c r="AD240">
        <f t="shared" si="40"/>
        <v>17.621111111111112</v>
      </c>
      <c r="AE240">
        <f t="shared" si="41"/>
        <v>7.961447074444445</v>
      </c>
      <c r="AF240" s="9"/>
      <c r="AG240" s="21">
        <v>1.0582</v>
      </c>
      <c r="AH240" s="21">
        <v>19.378399999999999</v>
      </c>
      <c r="AI240" s="21">
        <v>-1.2466400000000001E-2</v>
      </c>
      <c r="AJ240" s="21">
        <v>230</v>
      </c>
      <c r="AK240" s="21">
        <v>1.0571299999999999</v>
      </c>
      <c r="AL240">
        <f t="shared" si="42"/>
        <v>15.390617283950617</v>
      </c>
      <c r="AM240">
        <f t="shared" si="43"/>
        <v>16.286351209876543</v>
      </c>
      <c r="AP240" s="9"/>
      <c r="AQ240" s="21">
        <v>0.45181300000000002</v>
      </c>
      <c r="AR240" s="21">
        <v>24.521100000000001</v>
      </c>
      <c r="AS240" s="21">
        <v>-1.41937E-2</v>
      </c>
      <c r="AT240" s="21">
        <v>230</v>
      </c>
      <c r="AU240" s="21">
        <v>0.45126300000000003</v>
      </c>
      <c r="AV240">
        <f t="shared" si="44"/>
        <v>17.523086419753085</v>
      </c>
      <c r="AW240">
        <f t="shared" si="45"/>
        <v>7.9171582445679007</v>
      </c>
      <c r="AX240" s="9"/>
      <c r="AY240" s="21">
        <v>1.0582</v>
      </c>
      <c r="AZ240" s="21">
        <v>27.957599999999999</v>
      </c>
      <c r="BA240" s="21">
        <v>-1.2356600000000001E-2</v>
      </c>
      <c r="BB240" s="21">
        <v>230</v>
      </c>
      <c r="BC240" s="21">
        <v>1.0574300000000001</v>
      </c>
      <c r="BD240">
        <f t="shared" si="46"/>
        <v>15.255061728395061</v>
      </c>
      <c r="BE240">
        <f t="shared" si="47"/>
        <v>16.142906320987652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0.44677699999999998</v>
      </c>
      <c r="H241" s="21">
        <v>7.4177200000000001</v>
      </c>
      <c r="I241" s="21">
        <v>-1.4444E-2</v>
      </c>
      <c r="J241" s="21">
        <v>231</v>
      </c>
      <c r="K241" s="21">
        <v>0.44622800000000001</v>
      </c>
      <c r="L241">
        <f t="shared" si="36"/>
        <v>17.832098765432097</v>
      </c>
      <c r="M241">
        <f t="shared" si="37"/>
        <v>7.966971590123455</v>
      </c>
      <c r="N241" s="9"/>
      <c r="O241" s="21">
        <v>1.0632299999999999</v>
      </c>
      <c r="P241" s="21">
        <v>10.854200000000001</v>
      </c>
      <c r="Q241" s="21">
        <v>-1.2643400000000001E-2</v>
      </c>
      <c r="R241" s="21">
        <v>231</v>
      </c>
      <c r="S241" s="21">
        <v>1.0623199999999999</v>
      </c>
      <c r="T241">
        <f t="shared" si="38"/>
        <v>15.609135802469137</v>
      </c>
      <c r="U241">
        <f t="shared" si="39"/>
        <v>16.596101459259259</v>
      </c>
      <c r="X241" s="9"/>
      <c r="Y241" s="21">
        <v>0.44677699999999998</v>
      </c>
      <c r="Z241" s="21">
        <v>15.9519</v>
      </c>
      <c r="AA241" s="21">
        <v>-1.4279200000000001E-2</v>
      </c>
      <c r="AB241" s="21">
        <v>231</v>
      </c>
      <c r="AC241" s="21">
        <v>0.44619799999999998</v>
      </c>
      <c r="AD241">
        <f t="shared" si="40"/>
        <v>17.628641975308639</v>
      </c>
      <c r="AE241">
        <f t="shared" si="41"/>
        <v>7.8760717758024672</v>
      </c>
      <c r="AF241" s="9"/>
      <c r="AG241" s="21">
        <v>1.0632299999999999</v>
      </c>
      <c r="AH241" s="21">
        <v>19.388500000000001</v>
      </c>
      <c r="AI241" s="21">
        <v>-1.2445100000000001E-2</v>
      </c>
      <c r="AJ241" s="21">
        <v>231</v>
      </c>
      <c r="AK241" s="21">
        <v>1.0623199999999999</v>
      </c>
      <c r="AL241">
        <f t="shared" si="42"/>
        <v>15.36432098765432</v>
      </c>
      <c r="AM241">
        <f t="shared" si="43"/>
        <v>16.335807003703703</v>
      </c>
      <c r="AP241" s="9"/>
      <c r="AQ241" s="21">
        <v>0.44677699999999998</v>
      </c>
      <c r="AR241" s="21">
        <v>24.531099999999999</v>
      </c>
      <c r="AS241" s="21">
        <v>-1.41998E-2</v>
      </c>
      <c r="AT241" s="21">
        <v>231</v>
      </c>
      <c r="AU241" s="21">
        <v>0.44613599999999998</v>
      </c>
      <c r="AV241">
        <f t="shared" si="44"/>
        <v>17.530617283950615</v>
      </c>
      <c r="AW241">
        <f t="shared" si="45"/>
        <v>7.8322765982716041</v>
      </c>
      <c r="AX241" s="9"/>
      <c r="AY241" s="21">
        <v>1.0632299999999999</v>
      </c>
      <c r="AZ241" s="21">
        <v>27.967600000000001</v>
      </c>
      <c r="BA241" s="21">
        <v>-1.2335199999999999E-2</v>
      </c>
      <c r="BB241" s="21">
        <v>231</v>
      </c>
      <c r="BC241" s="21">
        <v>1.0626199999999999</v>
      </c>
      <c r="BD241">
        <f t="shared" si="46"/>
        <v>15.228641975308641</v>
      </c>
      <c r="BE241">
        <f t="shared" si="47"/>
        <v>16.191549007407403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0.44174200000000002</v>
      </c>
      <c r="H242" s="21">
        <v>7.4277899999999999</v>
      </c>
      <c r="I242" s="21">
        <v>-1.4462300000000001E-2</v>
      </c>
      <c r="J242" s="21">
        <v>232</v>
      </c>
      <c r="K242" s="21">
        <v>0.44110100000000002</v>
      </c>
      <c r="L242">
        <f t="shared" si="36"/>
        <v>17.854691358024692</v>
      </c>
      <c r="M242">
        <f t="shared" si="37"/>
        <v>7.8871670698765435</v>
      </c>
      <c r="N242" s="9"/>
      <c r="O242" s="21">
        <v>1.0682700000000001</v>
      </c>
      <c r="P242" s="21">
        <v>10.8643</v>
      </c>
      <c r="Q242" s="21">
        <v>-1.2619E-2</v>
      </c>
      <c r="R242" s="21">
        <v>232</v>
      </c>
      <c r="S242" s="21">
        <v>1.0678099999999999</v>
      </c>
      <c r="T242">
        <f t="shared" si="38"/>
        <v>15.579012345679011</v>
      </c>
      <c r="U242">
        <f t="shared" si="39"/>
        <v>16.642591518518518</v>
      </c>
      <c r="X242" s="9"/>
      <c r="Y242" s="21">
        <v>0.44174200000000002</v>
      </c>
      <c r="Z242" s="21">
        <v>15.962</v>
      </c>
      <c r="AA242" s="21">
        <v>-1.42883E-2</v>
      </c>
      <c r="AB242" s="21">
        <v>232</v>
      </c>
      <c r="AC242" s="21">
        <v>0.44113200000000002</v>
      </c>
      <c r="AD242">
        <f t="shared" si="40"/>
        <v>17.639876543209876</v>
      </c>
      <c r="AE242">
        <f t="shared" si="41"/>
        <v>7.7922743439506172</v>
      </c>
      <c r="AF242" s="9"/>
      <c r="AG242" s="21">
        <v>1.0682700000000001</v>
      </c>
      <c r="AH242" s="21">
        <v>19.398499999999999</v>
      </c>
      <c r="AI242" s="21">
        <v>-1.2411500000000001E-2</v>
      </c>
      <c r="AJ242" s="21">
        <v>232</v>
      </c>
      <c r="AK242" s="21">
        <v>1.0668899999999999</v>
      </c>
      <c r="AL242">
        <f t="shared" si="42"/>
        <v>15.322839506172839</v>
      </c>
      <c r="AM242">
        <f t="shared" si="43"/>
        <v>16.36892975925926</v>
      </c>
      <c r="AP242" s="9"/>
      <c r="AQ242" s="21">
        <v>0.44174200000000002</v>
      </c>
      <c r="AR242" s="21">
        <v>24.5412</v>
      </c>
      <c r="AS242" s="21">
        <v>-1.41998E-2</v>
      </c>
      <c r="AT242" s="21">
        <v>232</v>
      </c>
      <c r="AU242" s="21">
        <v>0.44107099999999999</v>
      </c>
      <c r="AV242">
        <f t="shared" si="44"/>
        <v>17.530617283950615</v>
      </c>
      <c r="AW242">
        <f t="shared" si="45"/>
        <v>7.7440099402469134</v>
      </c>
      <c r="AX242" s="9"/>
      <c r="AY242" s="21">
        <v>1.0682700000000001</v>
      </c>
      <c r="AZ242" s="21">
        <v>27.977699999999999</v>
      </c>
      <c r="BA242" s="21">
        <v>-1.23047E-2</v>
      </c>
      <c r="BB242" s="21">
        <v>232</v>
      </c>
      <c r="BC242" s="21">
        <v>1.0678099999999999</v>
      </c>
      <c r="BD242">
        <f t="shared" si="46"/>
        <v>15.190987654320987</v>
      </c>
      <c r="BE242">
        <f t="shared" si="47"/>
        <v>16.228076381481483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0.43670700000000001</v>
      </c>
      <c r="H243" s="21">
        <v>7.4378700000000002</v>
      </c>
      <c r="I243" s="21">
        <v>-1.4471400000000001E-2</v>
      </c>
      <c r="J243" s="21">
        <v>233</v>
      </c>
      <c r="K243" s="21">
        <v>0.43612699999999999</v>
      </c>
      <c r="L243">
        <f t="shared" si="36"/>
        <v>17.865925925925925</v>
      </c>
      <c r="M243">
        <f t="shared" si="37"/>
        <v>7.8021749133333334</v>
      </c>
      <c r="N243" s="9"/>
      <c r="O243" s="21">
        <v>1.0732999999999999</v>
      </c>
      <c r="P243" s="21">
        <v>10.8744</v>
      </c>
      <c r="Q243" s="21">
        <v>-1.2594599999999999E-2</v>
      </c>
      <c r="R243" s="21">
        <v>233</v>
      </c>
      <c r="S243" s="21">
        <v>1.0720799999999999</v>
      </c>
      <c r="T243">
        <f t="shared" si="38"/>
        <v>15.548888888888886</v>
      </c>
      <c r="U243">
        <f t="shared" si="39"/>
        <v>16.688622444444441</v>
      </c>
      <c r="X243" s="9"/>
      <c r="Y243" s="21">
        <v>0.43670700000000001</v>
      </c>
      <c r="Z243" s="21">
        <v>15.972099999999999</v>
      </c>
      <c r="AA243" s="21">
        <v>-1.4294400000000001E-2</v>
      </c>
      <c r="AB243" s="21">
        <v>233</v>
      </c>
      <c r="AC243" s="21">
        <v>0.43609599999999998</v>
      </c>
      <c r="AD243">
        <f t="shared" si="40"/>
        <v>17.647407407407407</v>
      </c>
      <c r="AE243">
        <f t="shared" si="41"/>
        <v>7.7067463466666668</v>
      </c>
      <c r="AF243" s="9"/>
      <c r="AG243" s="21">
        <v>1.0732999999999999</v>
      </c>
      <c r="AH243" s="21">
        <v>19.4086</v>
      </c>
      <c r="AI243" s="21">
        <v>-1.2377900000000001E-2</v>
      </c>
      <c r="AJ243" s="21">
        <v>233</v>
      </c>
      <c r="AK243" s="21">
        <v>1.07239</v>
      </c>
      <c r="AL243">
        <f t="shared" si="42"/>
        <v>15.281358024691359</v>
      </c>
      <c r="AM243">
        <f t="shared" si="43"/>
        <v>16.401481567901236</v>
      </c>
      <c r="AP243" s="9"/>
      <c r="AQ243" s="21">
        <v>0.43670700000000001</v>
      </c>
      <c r="AR243" s="21">
        <v>24.551300000000001</v>
      </c>
      <c r="AS243" s="21">
        <v>-1.4196800000000001E-2</v>
      </c>
      <c r="AT243" s="21">
        <v>233</v>
      </c>
      <c r="AU243" s="21">
        <v>0.43612699999999999</v>
      </c>
      <c r="AV243">
        <f t="shared" si="44"/>
        <v>17.526913580246916</v>
      </c>
      <c r="AW243">
        <f t="shared" si="45"/>
        <v>7.6541258488888904</v>
      </c>
      <c r="AX243" s="9"/>
      <c r="AY243" s="21">
        <v>1.0732999999999999</v>
      </c>
      <c r="AZ243" s="21">
        <v>27.9878</v>
      </c>
      <c r="BA243" s="21">
        <v>-1.2274200000000001E-2</v>
      </c>
      <c r="BB243" s="21">
        <v>233</v>
      </c>
      <c r="BC243" s="21">
        <v>1.0714699999999999</v>
      </c>
      <c r="BD243">
        <f t="shared" si="46"/>
        <v>15.153333333333332</v>
      </c>
      <c r="BE243">
        <f t="shared" si="47"/>
        <v>16.264072666666664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0.43167100000000003</v>
      </c>
      <c r="H244" s="21">
        <v>7.44794</v>
      </c>
      <c r="I244" s="21">
        <v>-1.4483599999999999E-2</v>
      </c>
      <c r="J244" s="21">
        <v>234</v>
      </c>
      <c r="K244" s="21">
        <v>0.43096899999999999</v>
      </c>
      <c r="L244">
        <f t="shared" si="36"/>
        <v>17.880987654320986</v>
      </c>
      <c r="M244">
        <f t="shared" si="37"/>
        <v>7.7187038217283952</v>
      </c>
      <c r="N244" s="9"/>
      <c r="O244" s="21">
        <v>1.0783400000000001</v>
      </c>
      <c r="P244" s="21">
        <v>10.884399999999999</v>
      </c>
      <c r="Q244" s="21">
        <v>-1.25702E-2</v>
      </c>
      <c r="R244" s="21">
        <v>234</v>
      </c>
      <c r="S244" s="21">
        <v>1.0772699999999999</v>
      </c>
      <c r="T244">
        <f t="shared" si="38"/>
        <v>15.518765432098766</v>
      </c>
      <c r="U244">
        <f t="shared" si="39"/>
        <v>16.734505516049385</v>
      </c>
      <c r="X244" s="9"/>
      <c r="Y244" s="21">
        <v>0.43167100000000003</v>
      </c>
      <c r="Z244" s="21">
        <v>15.982100000000001</v>
      </c>
      <c r="AA244" s="21">
        <v>-1.43097E-2</v>
      </c>
      <c r="AB244" s="21">
        <v>234</v>
      </c>
      <c r="AC244" s="21">
        <v>0.43106100000000003</v>
      </c>
      <c r="AD244">
        <f t="shared" si="40"/>
        <v>17.666296296296295</v>
      </c>
      <c r="AE244">
        <f t="shared" si="41"/>
        <v>7.6260277885185186</v>
      </c>
      <c r="AF244" s="9"/>
      <c r="AG244" s="21">
        <v>1.0783400000000001</v>
      </c>
      <c r="AH244" s="21">
        <v>19.418700000000001</v>
      </c>
      <c r="AI244" s="21">
        <v>-1.23383E-2</v>
      </c>
      <c r="AJ244" s="21">
        <v>234</v>
      </c>
      <c r="AK244" s="21">
        <v>1.0772699999999999</v>
      </c>
      <c r="AL244">
        <f t="shared" si="42"/>
        <v>15.232469135802468</v>
      </c>
      <c r="AM244">
        <f t="shared" si="43"/>
        <v>16.425780767901234</v>
      </c>
      <c r="AP244" s="9"/>
      <c r="AQ244" s="21">
        <v>0.43167100000000003</v>
      </c>
      <c r="AR244" s="21">
        <v>24.561399999999999</v>
      </c>
      <c r="AS244" s="21">
        <v>-1.42059E-2</v>
      </c>
      <c r="AT244" s="21">
        <v>234</v>
      </c>
      <c r="AU244" s="21">
        <v>0.43112200000000001</v>
      </c>
      <c r="AV244">
        <f t="shared" si="44"/>
        <v>17.538148148148146</v>
      </c>
      <c r="AW244">
        <f t="shared" si="45"/>
        <v>7.5707099492592587</v>
      </c>
      <c r="AX244" s="9"/>
      <c r="AY244" s="21">
        <v>1.0783400000000001</v>
      </c>
      <c r="AZ244" s="21">
        <v>27.997800000000002</v>
      </c>
      <c r="BA244" s="21">
        <v>-1.2234500000000001E-2</v>
      </c>
      <c r="BB244" s="21">
        <v>234</v>
      </c>
      <c r="BC244" s="21">
        <v>1.0772699999999999</v>
      </c>
      <c r="BD244">
        <f t="shared" si="46"/>
        <v>15.104320987654321</v>
      </c>
      <c r="BE244">
        <f t="shared" si="47"/>
        <v>16.28759349382716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0.42663600000000002</v>
      </c>
      <c r="H245" s="21">
        <v>7.4580099999999998</v>
      </c>
      <c r="I245" s="21">
        <v>-1.44958E-2</v>
      </c>
      <c r="J245" s="21">
        <v>235</v>
      </c>
      <c r="K245" s="21">
        <v>0.42602499999999999</v>
      </c>
      <c r="L245">
        <f t="shared" si="36"/>
        <v>17.896049382716047</v>
      </c>
      <c r="M245">
        <f t="shared" si="37"/>
        <v>7.6350989244444438</v>
      </c>
      <c r="N245" s="9"/>
      <c r="O245" s="21">
        <v>1.0833699999999999</v>
      </c>
      <c r="P245" s="21">
        <v>10.894500000000001</v>
      </c>
      <c r="Q245" s="21">
        <v>-1.25366E-2</v>
      </c>
      <c r="R245" s="21">
        <v>235</v>
      </c>
      <c r="S245" s="21">
        <v>1.0827599999999999</v>
      </c>
      <c r="T245">
        <f t="shared" si="38"/>
        <v>15.477283950617283</v>
      </c>
      <c r="U245">
        <f t="shared" si="39"/>
        <v>16.767625113580245</v>
      </c>
      <c r="X245" s="9"/>
      <c r="Y245" s="21">
        <v>0.42663600000000002</v>
      </c>
      <c r="Z245" s="21">
        <v>15.9922</v>
      </c>
      <c r="AA245" s="21">
        <v>-1.4334100000000001E-2</v>
      </c>
      <c r="AB245" s="21">
        <v>235</v>
      </c>
      <c r="AC245" s="21">
        <v>0.42608600000000002</v>
      </c>
      <c r="AD245">
        <f t="shared" si="40"/>
        <v>17.69641975308642</v>
      </c>
      <c r="AE245">
        <f t="shared" si="41"/>
        <v>7.5499297377777781</v>
      </c>
      <c r="AF245" s="9"/>
      <c r="AG245" s="21">
        <v>1.0833699999999999</v>
      </c>
      <c r="AH245" s="21">
        <v>19.428699999999999</v>
      </c>
      <c r="AI245" s="21">
        <v>-1.22986E-2</v>
      </c>
      <c r="AJ245" s="21">
        <v>235</v>
      </c>
      <c r="AK245" s="21">
        <v>1.0827599999999999</v>
      </c>
      <c r="AL245">
        <f t="shared" si="42"/>
        <v>15.183456790123456</v>
      </c>
      <c r="AM245">
        <f t="shared" si="43"/>
        <v>16.449301582716046</v>
      </c>
      <c r="AP245" s="9"/>
      <c r="AQ245" s="21">
        <v>0.42663600000000002</v>
      </c>
      <c r="AR245" s="21">
        <v>24.571400000000001</v>
      </c>
      <c r="AS245" s="21">
        <v>-1.42151E-2</v>
      </c>
      <c r="AT245" s="21">
        <v>235</v>
      </c>
      <c r="AU245" s="21">
        <v>0.42605599999999999</v>
      </c>
      <c r="AV245">
        <f t="shared" si="44"/>
        <v>17.549506172839507</v>
      </c>
      <c r="AW245">
        <f t="shared" si="45"/>
        <v>7.4872511155555559</v>
      </c>
      <c r="AX245" s="9"/>
      <c r="AY245" s="21">
        <v>1.0833699999999999</v>
      </c>
      <c r="AZ245" s="21">
        <v>28.007899999999999</v>
      </c>
      <c r="BA245" s="21">
        <v>-1.21948E-2</v>
      </c>
      <c r="BB245" s="21">
        <v>235</v>
      </c>
      <c r="BC245" s="21">
        <v>1.0827599999999999</v>
      </c>
      <c r="BD245">
        <f t="shared" si="46"/>
        <v>15.055308641975309</v>
      </c>
      <c r="BE245">
        <f t="shared" si="47"/>
        <v>16.310469723456791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0.42159999999999997</v>
      </c>
      <c r="H246" s="21">
        <v>7.4680799999999996</v>
      </c>
      <c r="I246" s="21">
        <v>-1.4508099999999999E-2</v>
      </c>
      <c r="J246" s="21">
        <v>236</v>
      </c>
      <c r="K246" s="21">
        <v>0.42098999999999998</v>
      </c>
      <c r="L246">
        <f t="shared" si="36"/>
        <v>17.911234567901232</v>
      </c>
      <c r="M246">
        <f t="shared" si="37"/>
        <v>7.551376493827159</v>
      </c>
      <c r="N246" s="9"/>
      <c r="O246" s="21">
        <v>1.0884100000000001</v>
      </c>
      <c r="P246" s="21">
        <v>10.9046</v>
      </c>
      <c r="Q246" s="21">
        <v>-1.25092E-2</v>
      </c>
      <c r="R246" s="21">
        <v>236</v>
      </c>
      <c r="S246" s="21">
        <v>1.08704</v>
      </c>
      <c r="T246">
        <f t="shared" si="38"/>
        <v>15.443456790123456</v>
      </c>
      <c r="U246">
        <f t="shared" si="39"/>
        <v>16.80881280493827</v>
      </c>
      <c r="X246" s="9"/>
      <c r="Y246" s="21">
        <v>0.42159999999999997</v>
      </c>
      <c r="Z246" s="21">
        <v>16.002300000000002</v>
      </c>
      <c r="AA246" s="21">
        <v>-1.43524E-2</v>
      </c>
      <c r="AB246" s="21">
        <v>236</v>
      </c>
      <c r="AC246" s="21">
        <v>0.42102099999999998</v>
      </c>
      <c r="AD246">
        <f t="shared" si="40"/>
        <v>17.719012345679008</v>
      </c>
      <c r="AE246">
        <f t="shared" si="41"/>
        <v>7.4703356049382696</v>
      </c>
      <c r="AF246" s="9"/>
      <c r="AG246" s="21">
        <v>1.0884100000000001</v>
      </c>
      <c r="AH246" s="21">
        <v>19.438800000000001</v>
      </c>
      <c r="AI246" s="21">
        <v>-1.2265E-2</v>
      </c>
      <c r="AJ246" s="21">
        <v>236</v>
      </c>
      <c r="AK246" s="21">
        <v>1.08673</v>
      </c>
      <c r="AL246">
        <f t="shared" si="42"/>
        <v>15.141975308641973</v>
      </c>
      <c r="AM246">
        <f t="shared" si="43"/>
        <v>16.480677345679013</v>
      </c>
      <c r="AP246" s="9"/>
      <c r="AQ246" s="21">
        <v>0.42159999999999997</v>
      </c>
      <c r="AR246" s="21">
        <v>24.581499999999998</v>
      </c>
      <c r="AS246" s="21">
        <v>-1.4196800000000001E-2</v>
      </c>
      <c r="AT246" s="21">
        <v>236</v>
      </c>
      <c r="AU246" s="21">
        <v>0.42080699999999999</v>
      </c>
      <c r="AV246">
        <f t="shared" si="44"/>
        <v>17.526913580246916</v>
      </c>
      <c r="AW246">
        <f t="shared" si="45"/>
        <v>7.3893467654320997</v>
      </c>
      <c r="AX246" s="9"/>
      <c r="AY246" s="21">
        <v>1.0884100000000001</v>
      </c>
      <c r="AZ246" s="21">
        <v>28.018000000000001</v>
      </c>
      <c r="BA246" s="21">
        <v>-1.2164299999999999E-2</v>
      </c>
      <c r="BB246" s="21">
        <v>236</v>
      </c>
      <c r="BC246" s="21">
        <v>1.08734</v>
      </c>
      <c r="BD246">
        <f t="shared" si="46"/>
        <v>15.017654320987653</v>
      </c>
      <c r="BE246">
        <f t="shared" si="47"/>
        <v>16.345365139506171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0.41656500000000002</v>
      </c>
      <c r="H247" s="21">
        <v>7.4781500000000003</v>
      </c>
      <c r="I247" s="21">
        <v>-1.45142E-2</v>
      </c>
      <c r="J247" s="21">
        <v>237</v>
      </c>
      <c r="K247" s="21">
        <v>0.41595500000000002</v>
      </c>
      <c r="L247">
        <f t="shared" si="36"/>
        <v>17.918765432098763</v>
      </c>
      <c r="M247">
        <f t="shared" si="37"/>
        <v>7.4643305222222214</v>
      </c>
      <c r="N247" s="9"/>
      <c r="O247" s="21">
        <v>1.09344</v>
      </c>
      <c r="P247" s="21">
        <v>10.9146</v>
      </c>
      <c r="Q247" s="21">
        <v>-1.24908E-2</v>
      </c>
      <c r="R247" s="21">
        <v>237</v>
      </c>
      <c r="S247" s="21">
        <v>1.09253</v>
      </c>
      <c r="T247">
        <f t="shared" si="38"/>
        <v>15.42074074074074</v>
      </c>
      <c r="U247">
        <f t="shared" si="39"/>
        <v>16.861654755555556</v>
      </c>
      <c r="X247" s="9"/>
      <c r="Y247" s="21">
        <v>0.41656500000000002</v>
      </c>
      <c r="Z247" s="21">
        <v>16.0124</v>
      </c>
      <c r="AA247" s="21">
        <v>-1.43524E-2</v>
      </c>
      <c r="AB247" s="21">
        <v>237</v>
      </c>
      <c r="AC247" s="21">
        <v>0.41595500000000002</v>
      </c>
      <c r="AD247">
        <f t="shared" si="40"/>
        <v>17.719012345679008</v>
      </c>
      <c r="AE247">
        <f t="shared" si="41"/>
        <v>7.3811203777777763</v>
      </c>
      <c r="AF247" s="9"/>
      <c r="AG247" s="21">
        <v>1.09344</v>
      </c>
      <c r="AH247" s="21">
        <v>19.448899999999998</v>
      </c>
      <c r="AI247" s="21">
        <v>-1.22314E-2</v>
      </c>
      <c r="AJ247" s="21">
        <v>237</v>
      </c>
      <c r="AK247" s="21">
        <v>1.09253</v>
      </c>
      <c r="AL247">
        <f t="shared" si="42"/>
        <v>15.100493827160493</v>
      </c>
      <c r="AM247">
        <f t="shared" si="43"/>
        <v>16.511483970370371</v>
      </c>
      <c r="AP247" s="9"/>
      <c r="AQ247" s="21">
        <v>0.41656500000000002</v>
      </c>
      <c r="AR247" s="21">
        <v>24.5916</v>
      </c>
      <c r="AS247" s="21">
        <v>-1.4212000000000001E-2</v>
      </c>
      <c r="AT247" s="21">
        <v>237</v>
      </c>
      <c r="AU247" s="21">
        <v>0.41592400000000002</v>
      </c>
      <c r="AV247">
        <f t="shared" si="44"/>
        <v>17.54567901234568</v>
      </c>
      <c r="AW247">
        <f t="shared" si="45"/>
        <v>7.308915777777778</v>
      </c>
      <c r="AX247" s="9"/>
      <c r="AY247" s="21">
        <v>1.09344</v>
      </c>
      <c r="AZ247" s="21">
        <v>28.028099999999998</v>
      </c>
      <c r="BA247" s="21">
        <v>-1.21216E-2</v>
      </c>
      <c r="BB247" s="21">
        <v>237</v>
      </c>
      <c r="BC247" s="21">
        <v>1.09283</v>
      </c>
      <c r="BD247">
        <f t="shared" si="46"/>
        <v>14.964938271604938</v>
      </c>
      <c r="BE247">
        <f t="shared" si="47"/>
        <v>16.363262103703704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0.41153000000000001</v>
      </c>
      <c r="H248" s="21">
        <v>7.4882200000000001</v>
      </c>
      <c r="I248" s="21">
        <v>-1.4523299999999999E-2</v>
      </c>
      <c r="J248" s="21">
        <v>238</v>
      </c>
      <c r="K248" s="21">
        <v>0.41079700000000002</v>
      </c>
      <c r="L248">
        <f t="shared" si="36"/>
        <v>17.93</v>
      </c>
      <c r="M248">
        <f t="shared" si="37"/>
        <v>7.3787329000000001</v>
      </c>
      <c r="N248" s="9"/>
      <c r="O248" s="21">
        <v>1.0984799999999999</v>
      </c>
      <c r="P248" s="21">
        <v>10.9247</v>
      </c>
      <c r="Q248" s="21">
        <v>-1.2478599999999999E-2</v>
      </c>
      <c r="R248" s="21">
        <v>238</v>
      </c>
      <c r="S248" s="21">
        <v>1.09772</v>
      </c>
      <c r="T248">
        <f t="shared" si="38"/>
        <v>15.405679012345677</v>
      </c>
      <c r="U248">
        <f t="shared" si="39"/>
        <v>16.922830281481477</v>
      </c>
      <c r="X248" s="9"/>
      <c r="Y248" s="21">
        <v>0.41153000000000001</v>
      </c>
      <c r="Z248" s="21">
        <v>16.022400000000001</v>
      </c>
      <c r="AA248" s="21">
        <v>-1.43524E-2</v>
      </c>
      <c r="AB248" s="21">
        <v>238</v>
      </c>
      <c r="AC248" s="21">
        <v>0.41104099999999999</v>
      </c>
      <c r="AD248">
        <f t="shared" si="40"/>
        <v>17.719012345679008</v>
      </c>
      <c r="AE248">
        <f t="shared" si="41"/>
        <v>7.2919051506172821</v>
      </c>
      <c r="AF248" s="9"/>
      <c r="AG248" s="21">
        <v>1.0984799999999999</v>
      </c>
      <c r="AH248" s="21">
        <v>19.459</v>
      </c>
      <c r="AI248" s="21">
        <v>-1.2200900000000001E-2</v>
      </c>
      <c r="AJ248" s="21">
        <v>238</v>
      </c>
      <c r="AK248" s="21">
        <v>1.09741</v>
      </c>
      <c r="AL248">
        <f t="shared" si="42"/>
        <v>15.062839506172839</v>
      </c>
      <c r="AM248">
        <f t="shared" si="43"/>
        <v>16.546227940740739</v>
      </c>
      <c r="AP248" s="9"/>
      <c r="AQ248" s="21">
        <v>0.41153000000000001</v>
      </c>
      <c r="AR248" s="21">
        <v>24.601600000000001</v>
      </c>
      <c r="AS248" s="21">
        <v>-1.42334E-2</v>
      </c>
      <c r="AT248" s="21">
        <v>238</v>
      </c>
      <c r="AU248" s="21">
        <v>0.41104099999999999</v>
      </c>
      <c r="AV248">
        <f t="shared" si="44"/>
        <v>17.572098765432099</v>
      </c>
      <c r="AW248">
        <f t="shared" si="45"/>
        <v>7.2314458049382715</v>
      </c>
      <c r="AX248" s="9"/>
      <c r="AY248" s="21">
        <v>1.0984799999999999</v>
      </c>
      <c r="AZ248" s="21">
        <v>28.0381</v>
      </c>
      <c r="BA248" s="21">
        <v>-1.20819E-2</v>
      </c>
      <c r="BB248" s="21">
        <v>238</v>
      </c>
      <c r="BC248" s="21">
        <v>1.09772</v>
      </c>
      <c r="BD248">
        <f t="shared" si="46"/>
        <v>14.915925925925924</v>
      </c>
      <c r="BE248">
        <f t="shared" si="47"/>
        <v>16.384846311111108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0.40649400000000002</v>
      </c>
      <c r="H249" s="21">
        <v>7.4982899999999999</v>
      </c>
      <c r="I249" s="21">
        <v>-1.45294E-2</v>
      </c>
      <c r="J249" s="21">
        <v>239</v>
      </c>
      <c r="K249" s="21">
        <v>0.40585300000000002</v>
      </c>
      <c r="L249">
        <f t="shared" si="36"/>
        <v>17.93753086419753</v>
      </c>
      <c r="M249">
        <f t="shared" si="37"/>
        <v>7.2914986711111114</v>
      </c>
      <c r="N249" s="9"/>
      <c r="O249" s="21">
        <v>1.1035200000000001</v>
      </c>
      <c r="P249" s="21">
        <v>10.934799999999999</v>
      </c>
      <c r="Q249" s="21">
        <v>-1.2451200000000001E-2</v>
      </c>
      <c r="R249" s="21">
        <v>239</v>
      </c>
      <c r="S249" s="21">
        <v>1.1026</v>
      </c>
      <c r="T249">
        <f t="shared" si="38"/>
        <v>15.371851851851853</v>
      </c>
      <c r="U249">
        <f t="shared" si="39"/>
        <v>16.963145955555557</v>
      </c>
      <c r="X249" s="9"/>
      <c r="Y249" s="21">
        <v>0.40649400000000002</v>
      </c>
      <c r="Z249" s="21">
        <v>16.032499999999999</v>
      </c>
      <c r="AA249" s="21">
        <v>-1.43555E-2</v>
      </c>
      <c r="AB249" s="21">
        <v>239</v>
      </c>
      <c r="AC249" s="21">
        <v>0.40597499999999997</v>
      </c>
      <c r="AD249">
        <f t="shared" si="40"/>
        <v>17.722839506172836</v>
      </c>
      <c r="AE249">
        <f t="shared" si="41"/>
        <v>7.2042279222222207</v>
      </c>
      <c r="AF249" s="9"/>
      <c r="AG249" s="21">
        <v>1.1035200000000001</v>
      </c>
      <c r="AH249" s="21">
        <v>19.469000000000001</v>
      </c>
      <c r="AI249" s="21">
        <v>-1.21735E-2</v>
      </c>
      <c r="AJ249" s="21">
        <v>239</v>
      </c>
      <c r="AK249" s="21">
        <v>1.10168</v>
      </c>
      <c r="AL249">
        <f t="shared" si="42"/>
        <v>15.029012345679011</v>
      </c>
      <c r="AM249">
        <f t="shared" si="43"/>
        <v>16.584815703703704</v>
      </c>
      <c r="AP249" s="9"/>
      <c r="AQ249" s="21">
        <v>0.40649400000000002</v>
      </c>
      <c r="AR249" s="21">
        <v>24.611699999999999</v>
      </c>
      <c r="AS249" s="21">
        <v>-1.4245600000000001E-2</v>
      </c>
      <c r="AT249" s="21">
        <v>239</v>
      </c>
      <c r="AU249" s="21">
        <v>0.40588400000000002</v>
      </c>
      <c r="AV249">
        <f t="shared" si="44"/>
        <v>17.58716049382716</v>
      </c>
      <c r="AW249">
        <f t="shared" si="45"/>
        <v>7.1490752177777779</v>
      </c>
      <c r="AX249" s="9"/>
      <c r="AY249" s="21">
        <v>1.1035200000000001</v>
      </c>
      <c r="AZ249" s="21">
        <v>28.048200000000001</v>
      </c>
      <c r="BA249" s="21">
        <v>-1.20514E-2</v>
      </c>
      <c r="BB249" s="21">
        <v>239</v>
      </c>
      <c r="BC249" s="21">
        <v>1.10199</v>
      </c>
      <c r="BD249">
        <f t="shared" si="46"/>
        <v>14.878271604938272</v>
      </c>
      <c r="BE249">
        <f t="shared" si="47"/>
        <v>16.418470281481483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0.40145900000000001</v>
      </c>
      <c r="H250" s="21">
        <v>7.5083599999999997</v>
      </c>
      <c r="I250" s="21">
        <v>-1.45355E-2</v>
      </c>
      <c r="J250" s="21">
        <v>240</v>
      </c>
      <c r="K250" s="21">
        <v>0.40084799999999998</v>
      </c>
      <c r="L250">
        <f t="shared" si="36"/>
        <v>17.945061728395061</v>
      </c>
      <c r="M250">
        <f t="shared" si="37"/>
        <v>7.2042065364197532</v>
      </c>
      <c r="N250" s="9"/>
      <c r="O250" s="21">
        <v>1.1085499999999999</v>
      </c>
      <c r="P250" s="21">
        <v>10.944900000000001</v>
      </c>
      <c r="Q250" s="21">
        <v>-1.24146E-2</v>
      </c>
      <c r="R250" s="21">
        <v>240</v>
      </c>
      <c r="S250" s="21">
        <v>1.10748</v>
      </c>
      <c r="T250">
        <f t="shared" si="38"/>
        <v>15.326666666666666</v>
      </c>
      <c r="U250">
        <f t="shared" si="39"/>
        <v>16.99037633333333</v>
      </c>
      <c r="X250" s="9"/>
      <c r="Y250" s="21">
        <v>0.40145900000000001</v>
      </c>
      <c r="Z250" s="21">
        <v>16.0426</v>
      </c>
      <c r="AA250" s="21">
        <v>-1.43555E-2</v>
      </c>
      <c r="AB250" s="21">
        <v>240</v>
      </c>
      <c r="AC250" s="21">
        <v>0.40090900000000002</v>
      </c>
      <c r="AD250">
        <f t="shared" si="40"/>
        <v>17.722839506172836</v>
      </c>
      <c r="AE250">
        <f t="shared" si="41"/>
        <v>7.1149934253086409</v>
      </c>
      <c r="AF250" s="9"/>
      <c r="AG250" s="21">
        <v>1.1085499999999999</v>
      </c>
      <c r="AH250" s="21">
        <v>19.479099999999999</v>
      </c>
      <c r="AI250" s="21">
        <v>-1.21613E-2</v>
      </c>
      <c r="AJ250" s="21">
        <v>240</v>
      </c>
      <c r="AK250" s="21">
        <v>1.10809</v>
      </c>
      <c r="AL250">
        <f t="shared" si="42"/>
        <v>15.01395061728395</v>
      </c>
      <c r="AM250">
        <f t="shared" si="43"/>
        <v>16.64371495679012</v>
      </c>
      <c r="AP250" s="9"/>
      <c r="AQ250" s="21">
        <v>0.40145900000000001</v>
      </c>
      <c r="AR250" s="21">
        <v>24.6218</v>
      </c>
      <c r="AS250" s="21">
        <v>-1.42609E-2</v>
      </c>
      <c r="AT250" s="21">
        <v>240</v>
      </c>
      <c r="AU250" s="21">
        <v>0.40087899999999999</v>
      </c>
      <c r="AV250">
        <f t="shared" si="44"/>
        <v>17.606049382716048</v>
      </c>
      <c r="AW250">
        <f t="shared" si="45"/>
        <v>7.068106979135802</v>
      </c>
      <c r="AX250" s="9"/>
      <c r="AY250" s="21">
        <v>1.1085499999999999</v>
      </c>
      <c r="AZ250" s="21">
        <v>28.058299999999999</v>
      </c>
      <c r="BA250" s="21">
        <v>-1.2030000000000001E-2</v>
      </c>
      <c r="BB250" s="21">
        <v>240</v>
      </c>
      <c r="BC250" s="21">
        <v>1.1077900000000001</v>
      </c>
      <c r="BD250">
        <f t="shared" si="46"/>
        <v>14.851851851851853</v>
      </c>
      <c r="BE250">
        <f t="shared" si="47"/>
        <v>16.46402037037037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0.39642300000000003</v>
      </c>
      <c r="H251" s="21">
        <v>7.5184300000000004</v>
      </c>
      <c r="I251" s="21">
        <v>-1.45477E-2</v>
      </c>
      <c r="J251" s="21">
        <v>241</v>
      </c>
      <c r="K251" s="21">
        <v>0.39578200000000002</v>
      </c>
      <c r="L251">
        <f t="shared" si="36"/>
        <v>17.960123456790122</v>
      </c>
      <c r="M251">
        <f t="shared" si="37"/>
        <v>7.1198060211111107</v>
      </c>
      <c r="N251" s="9"/>
      <c r="O251" s="21">
        <v>1.1135900000000001</v>
      </c>
      <c r="P251" s="21">
        <v>10.9549</v>
      </c>
      <c r="Q251" s="21">
        <v>-1.2381E-2</v>
      </c>
      <c r="R251" s="21">
        <v>241</v>
      </c>
      <c r="S251" s="21">
        <v>1.11206</v>
      </c>
      <c r="T251">
        <f t="shared" si="38"/>
        <v>15.285185185185183</v>
      </c>
      <c r="U251">
        <f t="shared" si="39"/>
        <v>17.02142937037037</v>
      </c>
      <c r="X251" s="9"/>
      <c r="Y251" s="21">
        <v>0.39642300000000003</v>
      </c>
      <c r="Z251" s="21">
        <v>16.052600000000002</v>
      </c>
      <c r="AA251" s="21">
        <v>-1.43707E-2</v>
      </c>
      <c r="AB251" s="21">
        <v>241</v>
      </c>
      <c r="AC251" s="21">
        <v>0.395874</v>
      </c>
      <c r="AD251">
        <f t="shared" si="40"/>
        <v>17.741604938271603</v>
      </c>
      <c r="AE251">
        <f t="shared" si="41"/>
        <v>7.0331802544444439</v>
      </c>
      <c r="AF251" s="9"/>
      <c r="AG251" s="21">
        <v>1.1135900000000001</v>
      </c>
      <c r="AH251" s="21">
        <v>19.4892</v>
      </c>
      <c r="AI251" s="21">
        <v>-1.21399E-2</v>
      </c>
      <c r="AJ251" s="21">
        <v>241</v>
      </c>
      <c r="AK251" s="21">
        <v>1.1129800000000001</v>
      </c>
      <c r="AL251">
        <f t="shared" si="42"/>
        <v>14.987530864197531</v>
      </c>
      <c r="AM251">
        <f t="shared" si="43"/>
        <v>16.68996449506173</v>
      </c>
      <c r="AP251" s="9"/>
      <c r="AQ251" s="21">
        <v>0.39642300000000003</v>
      </c>
      <c r="AR251" s="21">
        <v>24.631799999999998</v>
      </c>
      <c r="AS251" s="21">
        <v>-1.4285300000000001E-2</v>
      </c>
      <c r="AT251" s="21">
        <v>241</v>
      </c>
      <c r="AU251" s="21">
        <v>0.39578200000000002</v>
      </c>
      <c r="AV251">
        <f t="shared" si="44"/>
        <v>17.636172839506173</v>
      </c>
      <c r="AW251">
        <f t="shared" si="45"/>
        <v>6.9913845455555563</v>
      </c>
      <c r="AX251" s="9"/>
      <c r="AY251" s="21">
        <v>1.1135900000000001</v>
      </c>
      <c r="AZ251" s="21">
        <v>28.068300000000001</v>
      </c>
      <c r="BA251" s="21">
        <v>-1.20056E-2</v>
      </c>
      <c r="BB251" s="21">
        <v>241</v>
      </c>
      <c r="BC251" s="21">
        <v>1.1129800000000001</v>
      </c>
      <c r="BD251">
        <f t="shared" si="46"/>
        <v>14.821728395061728</v>
      </c>
      <c r="BE251">
        <f t="shared" si="47"/>
        <v>16.505328523456789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0.39138800000000001</v>
      </c>
      <c r="H252" s="21">
        <v>7.5285000000000002</v>
      </c>
      <c r="I252" s="21">
        <v>-1.4550799999999999E-2</v>
      </c>
      <c r="J252" s="21">
        <v>242</v>
      </c>
      <c r="K252" s="21">
        <v>0.39090000000000003</v>
      </c>
      <c r="L252">
        <f t="shared" si="36"/>
        <v>17.963950617283949</v>
      </c>
      <c r="M252">
        <f t="shared" si="37"/>
        <v>7.0308747041975304</v>
      </c>
      <c r="N252" s="9"/>
      <c r="O252" s="21">
        <v>1.1186199999999999</v>
      </c>
      <c r="P252" s="21">
        <v>10.965</v>
      </c>
      <c r="Q252" s="21">
        <v>-1.23474E-2</v>
      </c>
      <c r="R252" s="21">
        <v>242</v>
      </c>
      <c r="S252" s="21">
        <v>1.1178600000000001</v>
      </c>
      <c r="T252">
        <f t="shared" si="38"/>
        <v>15.243703703703702</v>
      </c>
      <c r="U252">
        <f t="shared" si="39"/>
        <v>17.051911837037032</v>
      </c>
      <c r="X252" s="9"/>
      <c r="Y252" s="21">
        <v>0.39138800000000001</v>
      </c>
      <c r="Z252" s="21">
        <v>16.0627</v>
      </c>
      <c r="AA252" s="21">
        <v>-1.4379899999999999E-2</v>
      </c>
      <c r="AB252" s="21">
        <v>242</v>
      </c>
      <c r="AC252" s="21">
        <v>0.39083899999999999</v>
      </c>
      <c r="AD252">
        <f t="shared" si="40"/>
        <v>17.752962962962961</v>
      </c>
      <c r="AE252">
        <f t="shared" si="41"/>
        <v>6.9482966681481475</v>
      </c>
      <c r="AF252" s="9"/>
      <c r="AG252" s="21">
        <v>1.1186199999999999</v>
      </c>
      <c r="AH252" s="21">
        <v>19.499199999999998</v>
      </c>
      <c r="AI252" s="21">
        <v>-1.21063E-2</v>
      </c>
      <c r="AJ252" s="21">
        <v>242</v>
      </c>
      <c r="AK252" s="21">
        <v>1.11755</v>
      </c>
      <c r="AL252">
        <f t="shared" si="42"/>
        <v>14.946049382716049</v>
      </c>
      <c r="AM252">
        <f t="shared" si="43"/>
        <v>16.718949760493828</v>
      </c>
      <c r="AP252" s="9"/>
      <c r="AQ252" s="21">
        <v>0.39138800000000001</v>
      </c>
      <c r="AR252" s="21">
        <v>24.6419</v>
      </c>
      <c r="AS252" s="21">
        <v>-1.4291399999999999E-2</v>
      </c>
      <c r="AT252" s="21">
        <v>242</v>
      </c>
      <c r="AU252" s="21">
        <v>0.39080799999999999</v>
      </c>
      <c r="AV252">
        <f t="shared" si="44"/>
        <v>17.643703703703704</v>
      </c>
      <c r="AW252">
        <f t="shared" si="45"/>
        <v>6.9055339051851856</v>
      </c>
      <c r="AX252" s="9"/>
      <c r="AY252" s="21">
        <v>1.1186199999999999</v>
      </c>
      <c r="AZ252" s="21">
        <v>28.078399999999998</v>
      </c>
      <c r="BA252" s="21">
        <v>-1.1969E-2</v>
      </c>
      <c r="BB252" s="21">
        <v>242</v>
      </c>
      <c r="BC252" s="21">
        <v>1.11755</v>
      </c>
      <c r="BD252">
        <f t="shared" si="46"/>
        <v>14.776543209876543</v>
      </c>
      <c r="BE252">
        <f t="shared" si="47"/>
        <v>16.529336765432099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0.386353</v>
      </c>
      <c r="H253" s="21">
        <v>7.5385799999999996</v>
      </c>
      <c r="I253" s="21">
        <v>-1.4559900000000001E-2</v>
      </c>
      <c r="J253" s="21">
        <v>243</v>
      </c>
      <c r="K253" s="21">
        <v>0.38577299999999998</v>
      </c>
      <c r="L253">
        <f t="shared" si="36"/>
        <v>17.975185185185186</v>
      </c>
      <c r="M253">
        <f t="shared" si="37"/>
        <v>6.9447667218518525</v>
      </c>
      <c r="N253" s="9"/>
      <c r="O253" s="21">
        <v>1.1236600000000001</v>
      </c>
      <c r="P253" s="21">
        <v>10.975099999999999</v>
      </c>
      <c r="Q253" s="21">
        <v>-1.23199E-2</v>
      </c>
      <c r="R253" s="21">
        <v>243</v>
      </c>
      <c r="S253" s="21">
        <v>1.1224400000000001</v>
      </c>
      <c r="T253">
        <f t="shared" si="38"/>
        <v>15.209753086419752</v>
      </c>
      <c r="U253">
        <f t="shared" si="39"/>
        <v>17.090591153086422</v>
      </c>
      <c r="X253" s="9"/>
      <c r="Y253" s="21">
        <v>0.386353</v>
      </c>
      <c r="Z253" s="21">
        <v>16.072800000000001</v>
      </c>
      <c r="AA253" s="21">
        <v>-1.4389000000000001E-2</v>
      </c>
      <c r="AB253" s="21">
        <v>243</v>
      </c>
      <c r="AC253" s="21">
        <v>0.38577299999999998</v>
      </c>
      <c r="AD253">
        <f t="shared" si="40"/>
        <v>17.764197530864198</v>
      </c>
      <c r="AE253">
        <f t="shared" si="41"/>
        <v>6.863251008641976</v>
      </c>
      <c r="AF253" s="9"/>
      <c r="AG253" s="21">
        <v>1.1236600000000001</v>
      </c>
      <c r="AH253" s="21">
        <v>19.5093</v>
      </c>
      <c r="AI253" s="21">
        <v>-1.2063600000000001E-2</v>
      </c>
      <c r="AJ253" s="21">
        <v>243</v>
      </c>
      <c r="AK253" s="21">
        <v>1.1227400000000001</v>
      </c>
      <c r="AL253">
        <f t="shared" si="42"/>
        <v>14.893333333333333</v>
      </c>
      <c r="AM253">
        <f t="shared" si="43"/>
        <v>16.735042933333332</v>
      </c>
      <c r="AP253" s="9"/>
      <c r="AQ253" s="21">
        <v>0.386353</v>
      </c>
      <c r="AR253" s="21">
        <v>24.652000000000001</v>
      </c>
      <c r="AS253" s="21">
        <v>-1.43036E-2</v>
      </c>
      <c r="AT253" s="21">
        <v>243</v>
      </c>
      <c r="AU253" s="21">
        <v>0.38586399999999998</v>
      </c>
      <c r="AV253">
        <f t="shared" si="44"/>
        <v>17.658765432098765</v>
      </c>
      <c r="AW253">
        <f t="shared" si="45"/>
        <v>6.8225170009876539</v>
      </c>
      <c r="AX253" s="9"/>
      <c r="AY253" s="21">
        <v>1.1236600000000001</v>
      </c>
      <c r="AZ253" s="21">
        <v>28.0885</v>
      </c>
      <c r="BA253" s="21">
        <v>-1.1935400000000001E-2</v>
      </c>
      <c r="BB253" s="21">
        <v>243</v>
      </c>
      <c r="BC253" s="21">
        <v>1.1224400000000001</v>
      </c>
      <c r="BD253">
        <f t="shared" si="46"/>
        <v>14.735061728395062</v>
      </c>
      <c r="BE253">
        <f t="shared" si="47"/>
        <v>16.557199461728395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0.38131700000000002</v>
      </c>
      <c r="H254" s="21">
        <v>7.5486500000000003</v>
      </c>
      <c r="I254" s="21">
        <v>-1.4572099999999999E-2</v>
      </c>
      <c r="J254" s="21">
        <v>244</v>
      </c>
      <c r="K254" s="21">
        <v>0.380768</v>
      </c>
      <c r="L254">
        <f t="shared" si="36"/>
        <v>17.990246913580243</v>
      </c>
      <c r="M254">
        <f t="shared" si="37"/>
        <v>6.8599869823456778</v>
      </c>
      <c r="N254" s="9"/>
      <c r="O254" s="21">
        <v>1.12869</v>
      </c>
      <c r="P254" s="21">
        <v>10.985099999999999</v>
      </c>
      <c r="Q254" s="21">
        <v>-1.22772E-2</v>
      </c>
      <c r="R254" s="21">
        <v>244</v>
      </c>
      <c r="S254" s="21">
        <v>1.1276200000000001</v>
      </c>
      <c r="T254">
        <f t="shared" si="38"/>
        <v>15.157037037037037</v>
      </c>
      <c r="U254">
        <f t="shared" si="39"/>
        <v>17.107596133333335</v>
      </c>
      <c r="X254" s="9"/>
      <c r="Y254" s="21">
        <v>0.38131700000000002</v>
      </c>
      <c r="Z254" s="21">
        <v>16.082899999999999</v>
      </c>
      <c r="AA254" s="21">
        <v>-1.4395099999999999E-2</v>
      </c>
      <c r="AB254" s="21">
        <v>244</v>
      </c>
      <c r="AC254" s="21">
        <v>0.380768</v>
      </c>
      <c r="AD254">
        <f t="shared" si="40"/>
        <v>17.771728395061729</v>
      </c>
      <c r="AE254">
        <f t="shared" si="41"/>
        <v>6.7766621564197536</v>
      </c>
      <c r="AF254" s="9"/>
      <c r="AG254" s="21">
        <v>1.12869</v>
      </c>
      <c r="AH254" s="21">
        <v>19.519400000000001</v>
      </c>
      <c r="AI254" s="21">
        <v>-1.2023900000000001E-2</v>
      </c>
      <c r="AJ254" s="21">
        <v>244</v>
      </c>
      <c r="AK254" s="21">
        <v>1.1279300000000001</v>
      </c>
      <c r="AL254">
        <f t="shared" si="42"/>
        <v>14.844320987654321</v>
      </c>
      <c r="AM254">
        <f t="shared" si="43"/>
        <v>16.754636655555554</v>
      </c>
      <c r="AP254" s="9"/>
      <c r="AQ254" s="21">
        <v>0.38131700000000002</v>
      </c>
      <c r="AR254" s="21">
        <v>24.662099999999999</v>
      </c>
      <c r="AS254" s="21">
        <v>-1.43188E-2</v>
      </c>
      <c r="AT254" s="21">
        <v>244</v>
      </c>
      <c r="AU254" s="21">
        <v>0.380768</v>
      </c>
      <c r="AV254">
        <f t="shared" si="44"/>
        <v>17.677530864197529</v>
      </c>
      <c r="AW254">
        <f t="shared" si="45"/>
        <v>6.7407430365432095</v>
      </c>
      <c r="AX254" s="9"/>
      <c r="AY254" s="21">
        <v>1.12869</v>
      </c>
      <c r="AZ254" s="21">
        <v>28.098600000000001</v>
      </c>
      <c r="BA254" s="21">
        <v>-1.18958E-2</v>
      </c>
      <c r="BB254" s="21">
        <v>244</v>
      </c>
      <c r="BC254" s="21">
        <v>1.1282300000000001</v>
      </c>
      <c r="BD254">
        <f t="shared" si="46"/>
        <v>14.686172839506172</v>
      </c>
      <c r="BE254">
        <f t="shared" si="47"/>
        <v>16.57613642222222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0.37628200000000001</v>
      </c>
      <c r="H255" s="21">
        <v>7.5587200000000001</v>
      </c>
      <c r="I255" s="21">
        <v>-1.45752E-2</v>
      </c>
      <c r="J255" s="21">
        <v>245</v>
      </c>
      <c r="K255" s="21">
        <v>0.37573200000000001</v>
      </c>
      <c r="L255">
        <f t="shared" si="36"/>
        <v>17.994074074074071</v>
      </c>
      <c r="M255">
        <f t="shared" si="37"/>
        <v>6.7708461807407394</v>
      </c>
      <c r="N255" s="9"/>
      <c r="O255" s="21">
        <v>1.1337299999999999</v>
      </c>
      <c r="P255" s="21">
        <v>10.995200000000001</v>
      </c>
      <c r="Q255" s="21">
        <v>-1.22437E-2</v>
      </c>
      <c r="R255" s="21">
        <v>245</v>
      </c>
      <c r="S255" s="21">
        <v>1.1322000000000001</v>
      </c>
      <c r="T255">
        <f t="shared" si="38"/>
        <v>15.115679012345678</v>
      </c>
      <c r="U255">
        <f t="shared" si="39"/>
        <v>17.137098766666664</v>
      </c>
      <c r="X255" s="9"/>
      <c r="Y255" s="21">
        <v>0.37628200000000001</v>
      </c>
      <c r="Z255" s="21">
        <v>16.0929</v>
      </c>
      <c r="AA255" s="21">
        <v>-1.43982E-2</v>
      </c>
      <c r="AB255" s="21">
        <v>245</v>
      </c>
      <c r="AC255" s="21">
        <v>0.37570199999999998</v>
      </c>
      <c r="AD255">
        <f t="shared" si="40"/>
        <v>17.775555555555556</v>
      </c>
      <c r="AE255">
        <f t="shared" si="41"/>
        <v>6.6886215955555555</v>
      </c>
      <c r="AF255" s="9"/>
      <c r="AG255" s="21">
        <v>1.1337299999999999</v>
      </c>
      <c r="AH255" s="21">
        <v>19.529499999999999</v>
      </c>
      <c r="AI255" s="21">
        <v>-1.19904E-2</v>
      </c>
      <c r="AJ255" s="21">
        <v>245</v>
      </c>
      <c r="AK255" s="21">
        <v>1.1331199999999999</v>
      </c>
      <c r="AL255">
        <f t="shared" si="42"/>
        <v>14.802962962962962</v>
      </c>
      <c r="AM255">
        <f t="shared" si="43"/>
        <v>16.782563199999998</v>
      </c>
      <c r="AP255" s="9"/>
      <c r="AQ255" s="21">
        <v>0.37628200000000001</v>
      </c>
      <c r="AR255" s="21">
        <v>24.6721</v>
      </c>
      <c r="AS255" s="21">
        <v>-1.4324999999999999E-2</v>
      </c>
      <c r="AT255" s="21">
        <v>245</v>
      </c>
      <c r="AU255" s="21">
        <v>0.375641</v>
      </c>
      <c r="AV255">
        <f t="shared" si="44"/>
        <v>17.685185185185183</v>
      </c>
      <c r="AW255">
        <f t="shared" si="45"/>
        <v>6.6546168518518511</v>
      </c>
      <c r="AX255" s="9"/>
      <c r="AY255" s="21">
        <v>1.1337299999999999</v>
      </c>
      <c r="AZ255" s="21">
        <v>28.108599999999999</v>
      </c>
      <c r="BA255" s="21">
        <v>-1.1849999999999999E-2</v>
      </c>
      <c r="BB255" s="21">
        <v>245</v>
      </c>
      <c r="BC255" s="21">
        <v>1.1331199999999999</v>
      </c>
      <c r="BD255">
        <f t="shared" si="46"/>
        <v>14.629629629629628</v>
      </c>
      <c r="BE255">
        <f t="shared" si="47"/>
        <v>16.586049999999997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0.37124600000000002</v>
      </c>
      <c r="H256" s="21">
        <v>7.5687899999999999</v>
      </c>
      <c r="I256" s="21">
        <v>-1.45813E-2</v>
      </c>
      <c r="J256" s="21">
        <v>246</v>
      </c>
      <c r="K256" s="21">
        <v>0.37063600000000002</v>
      </c>
      <c r="L256">
        <f t="shared" si="36"/>
        <v>18.001604938271605</v>
      </c>
      <c r="M256">
        <f t="shared" si="37"/>
        <v>6.6830238269135807</v>
      </c>
      <c r="N256" s="9"/>
      <c r="O256" s="21">
        <v>1.13876</v>
      </c>
      <c r="P256" s="21">
        <v>11.0053</v>
      </c>
      <c r="Q256" s="21">
        <v>-1.2213099999999999E-2</v>
      </c>
      <c r="R256" s="21">
        <v>246</v>
      </c>
      <c r="S256" s="21">
        <v>1.1379999999999999</v>
      </c>
      <c r="T256">
        <f t="shared" si="38"/>
        <v>15.0779012345679</v>
      </c>
      <c r="U256">
        <f t="shared" si="39"/>
        <v>17.17011080987654</v>
      </c>
      <c r="X256" s="9"/>
      <c r="Y256" s="21">
        <v>0.37124600000000002</v>
      </c>
      <c r="Z256" s="21">
        <v>16.103000000000002</v>
      </c>
      <c r="AA256" s="21">
        <v>-1.4395099999999999E-2</v>
      </c>
      <c r="AB256" s="21">
        <v>246</v>
      </c>
      <c r="AC256" s="21">
        <v>0.37066700000000002</v>
      </c>
      <c r="AD256">
        <f t="shared" si="40"/>
        <v>17.771728395061729</v>
      </c>
      <c r="AE256">
        <f t="shared" si="41"/>
        <v>6.5976830797530868</v>
      </c>
      <c r="AF256" s="9"/>
      <c r="AG256" s="21">
        <v>1.13876</v>
      </c>
      <c r="AH256" s="21">
        <v>19.5395</v>
      </c>
      <c r="AI256" s="21">
        <v>-1.1953699999999999E-2</v>
      </c>
      <c r="AJ256" s="21">
        <v>246</v>
      </c>
      <c r="AK256" s="21">
        <v>1.1383099999999999</v>
      </c>
      <c r="AL256">
        <f t="shared" si="42"/>
        <v>14.757654320987653</v>
      </c>
      <c r="AM256">
        <f t="shared" si="43"/>
        <v>16.805426434567899</v>
      </c>
      <c r="AP256" s="9"/>
      <c r="AQ256" s="21">
        <v>0.37124600000000002</v>
      </c>
      <c r="AR256" s="21">
        <v>24.682200000000002</v>
      </c>
      <c r="AS256" s="21">
        <v>-1.43372E-2</v>
      </c>
      <c r="AT256" s="21">
        <v>246</v>
      </c>
      <c r="AU256" s="21">
        <v>0.37063600000000002</v>
      </c>
      <c r="AV256">
        <f t="shared" si="44"/>
        <v>17.700246913580244</v>
      </c>
      <c r="AW256">
        <f t="shared" si="45"/>
        <v>6.5711458656790116</v>
      </c>
      <c r="AX256" s="9"/>
      <c r="AY256" s="21">
        <v>1.13876</v>
      </c>
      <c r="AZ256" s="21">
        <v>28.1187</v>
      </c>
      <c r="BA256" s="21">
        <v>-1.18195E-2</v>
      </c>
      <c r="BB256" s="21">
        <v>246</v>
      </c>
      <c r="BC256" s="21">
        <v>1.1383099999999999</v>
      </c>
      <c r="BD256">
        <f t="shared" si="46"/>
        <v>14.591975308641976</v>
      </c>
      <c r="BE256">
        <f t="shared" si="47"/>
        <v>16.616757802469134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0.36621100000000001</v>
      </c>
      <c r="H257" s="21">
        <v>7.5788599999999997</v>
      </c>
      <c r="I257" s="21">
        <v>-1.4584400000000001E-2</v>
      </c>
      <c r="J257" s="21">
        <v>247</v>
      </c>
      <c r="K257" s="21">
        <v>0.36563099999999998</v>
      </c>
      <c r="L257">
        <f t="shared" si="36"/>
        <v>18.005432098765432</v>
      </c>
      <c r="M257">
        <f t="shared" si="37"/>
        <v>6.5937872943209879</v>
      </c>
      <c r="N257" s="9"/>
      <c r="O257" s="21">
        <v>1.1437999999999999</v>
      </c>
      <c r="P257" s="21">
        <v>11.0154</v>
      </c>
      <c r="Q257" s="21">
        <v>-1.21887E-2</v>
      </c>
      <c r="R257" s="21">
        <v>247</v>
      </c>
      <c r="S257" s="21">
        <v>1.1431899999999999</v>
      </c>
      <c r="T257">
        <f t="shared" si="38"/>
        <v>15.047777777777776</v>
      </c>
      <c r="U257">
        <f t="shared" si="39"/>
        <v>17.21164822222222</v>
      </c>
      <c r="X257" s="9"/>
      <c r="Y257" s="21">
        <v>0.36621100000000001</v>
      </c>
      <c r="Z257" s="21">
        <v>16.113099999999999</v>
      </c>
      <c r="AA257" s="21">
        <v>-1.4395099999999999E-2</v>
      </c>
      <c r="AB257" s="21">
        <v>247</v>
      </c>
      <c r="AC257" s="21">
        <v>0.36563099999999998</v>
      </c>
      <c r="AD257">
        <f t="shared" si="40"/>
        <v>17.771728395061729</v>
      </c>
      <c r="AE257">
        <f t="shared" si="41"/>
        <v>6.5082024272839512</v>
      </c>
      <c r="AF257" s="9"/>
      <c r="AG257" s="21">
        <v>1.1437999999999999</v>
      </c>
      <c r="AH257" s="21">
        <v>19.549600000000002</v>
      </c>
      <c r="AI257" s="21">
        <v>-1.19141E-2</v>
      </c>
      <c r="AJ257" s="21">
        <v>247</v>
      </c>
      <c r="AK257" s="21">
        <v>1.1428799999999999</v>
      </c>
      <c r="AL257">
        <f t="shared" si="42"/>
        <v>14.708765432098765</v>
      </c>
      <c r="AM257">
        <f t="shared" si="43"/>
        <v>16.823885901234565</v>
      </c>
      <c r="AP257" s="9"/>
      <c r="AQ257" s="21">
        <v>0.36621100000000001</v>
      </c>
      <c r="AR257" s="21">
        <v>24.692299999999999</v>
      </c>
      <c r="AS257" s="21">
        <v>-1.4331099999999999E-2</v>
      </c>
      <c r="AT257" s="21">
        <v>247</v>
      </c>
      <c r="AU257" s="21">
        <v>0.36563099999999998</v>
      </c>
      <c r="AV257">
        <f t="shared" si="44"/>
        <v>17.692716049382714</v>
      </c>
      <c r="AW257">
        <f t="shared" si="45"/>
        <v>6.4792672371604931</v>
      </c>
      <c r="AX257" s="9"/>
      <c r="AY257" s="21">
        <v>1.1437999999999999</v>
      </c>
      <c r="AZ257" s="21">
        <v>28.128799999999998</v>
      </c>
      <c r="BA257" s="21">
        <v>-1.17798E-2</v>
      </c>
      <c r="BB257" s="21">
        <v>247</v>
      </c>
      <c r="BC257" s="21">
        <v>1.1422699999999999</v>
      </c>
      <c r="BD257">
        <f t="shared" si="46"/>
        <v>14.542962962962962</v>
      </c>
      <c r="BE257">
        <f t="shared" si="47"/>
        <v>16.634241037037036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0.361176</v>
      </c>
      <c r="H258" s="21">
        <v>7.5889300000000004</v>
      </c>
      <c r="I258" s="21">
        <v>-1.4584400000000001E-2</v>
      </c>
      <c r="J258" s="21">
        <v>248</v>
      </c>
      <c r="K258" s="21">
        <v>0.36056500000000002</v>
      </c>
      <c r="L258">
        <f t="shared" si="36"/>
        <v>18.005432098765432</v>
      </c>
      <c r="M258">
        <f t="shared" si="37"/>
        <v>6.503129943703704</v>
      </c>
      <c r="N258" s="9"/>
      <c r="O258" s="21">
        <v>1.14883</v>
      </c>
      <c r="P258" s="21">
        <v>11.025399999999999</v>
      </c>
      <c r="Q258" s="21">
        <v>-1.2158199999999999E-2</v>
      </c>
      <c r="R258" s="21">
        <v>248</v>
      </c>
      <c r="S258" s="21">
        <v>1.1480699999999999</v>
      </c>
      <c r="T258">
        <f t="shared" si="38"/>
        <v>15.010123456790122</v>
      </c>
      <c r="U258">
        <f t="shared" si="39"/>
        <v>17.244080130864198</v>
      </c>
      <c r="X258" s="9"/>
      <c r="Y258" s="21">
        <v>0.361176</v>
      </c>
      <c r="Z258" s="21">
        <v>16.123100000000001</v>
      </c>
      <c r="AA258" s="21">
        <v>-1.44043E-2</v>
      </c>
      <c r="AB258" s="21">
        <v>248</v>
      </c>
      <c r="AC258" s="21">
        <v>0.36056500000000002</v>
      </c>
      <c r="AD258">
        <f t="shared" si="40"/>
        <v>17.783086419753086</v>
      </c>
      <c r="AE258">
        <f t="shared" si="41"/>
        <v>6.422824020740741</v>
      </c>
      <c r="AF258" s="9"/>
      <c r="AG258" s="21">
        <v>1.14883</v>
      </c>
      <c r="AH258" s="21">
        <v>19.559699999999999</v>
      </c>
      <c r="AI258" s="21">
        <v>-1.18713E-2</v>
      </c>
      <c r="AJ258" s="21">
        <v>248</v>
      </c>
      <c r="AK258" s="21">
        <v>1.14777</v>
      </c>
      <c r="AL258">
        <f t="shared" si="42"/>
        <v>14.655925925925924</v>
      </c>
      <c r="AM258">
        <f t="shared" si="43"/>
        <v>16.837167381481478</v>
      </c>
      <c r="AP258" s="9"/>
      <c r="AQ258" s="21">
        <v>0.361176</v>
      </c>
      <c r="AR258" s="21">
        <v>24.702300000000001</v>
      </c>
      <c r="AS258" s="21">
        <v>-1.4340200000000001E-2</v>
      </c>
      <c r="AT258" s="21">
        <v>248</v>
      </c>
      <c r="AU258" s="21">
        <v>0.36056500000000002</v>
      </c>
      <c r="AV258">
        <f t="shared" si="44"/>
        <v>17.703950617283951</v>
      </c>
      <c r="AW258">
        <f t="shared" si="45"/>
        <v>6.3942420681481478</v>
      </c>
      <c r="AX258" s="9"/>
      <c r="AY258" s="21">
        <v>1.14883</v>
      </c>
      <c r="AZ258" s="21">
        <v>28.1388</v>
      </c>
      <c r="BA258" s="21">
        <v>-1.17401E-2</v>
      </c>
      <c r="BB258" s="21">
        <v>248</v>
      </c>
      <c r="BC258" s="21">
        <v>1.14777</v>
      </c>
      <c r="BD258">
        <f t="shared" si="46"/>
        <v>14.49395061728395</v>
      </c>
      <c r="BE258">
        <f t="shared" si="47"/>
        <v>16.651085287654322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0.35614000000000001</v>
      </c>
      <c r="H259" s="21">
        <v>7.5990000000000002</v>
      </c>
      <c r="I259" s="21">
        <v>-1.45874E-2</v>
      </c>
      <c r="J259" s="21">
        <v>249</v>
      </c>
      <c r="K259" s="21">
        <v>0.35555999999999999</v>
      </c>
      <c r="L259">
        <f t="shared" si="36"/>
        <v>18.009135802469135</v>
      </c>
      <c r="M259">
        <f t="shared" si="37"/>
        <v>6.4137736246913581</v>
      </c>
      <c r="N259" s="9"/>
      <c r="O259" s="21">
        <v>1.15387</v>
      </c>
      <c r="P259" s="21">
        <v>11.035500000000001</v>
      </c>
      <c r="Q259" s="21">
        <v>-1.2109399999999999E-2</v>
      </c>
      <c r="R259" s="21">
        <v>249</v>
      </c>
      <c r="S259" s="21">
        <v>1.1529499999999999</v>
      </c>
      <c r="T259">
        <f t="shared" si="38"/>
        <v>14.949876543209875</v>
      </c>
      <c r="U259">
        <f t="shared" si="39"/>
        <v>17.250214046913577</v>
      </c>
      <c r="X259" s="9"/>
      <c r="Y259" s="21">
        <v>0.35614000000000001</v>
      </c>
      <c r="Z259" s="21">
        <v>16.133199999999999</v>
      </c>
      <c r="AA259" s="21">
        <v>-1.44104E-2</v>
      </c>
      <c r="AB259" s="21">
        <v>249</v>
      </c>
      <c r="AC259" s="21">
        <v>0.35559099999999999</v>
      </c>
      <c r="AD259">
        <f t="shared" si="40"/>
        <v>17.790617283950617</v>
      </c>
      <c r="AE259">
        <f t="shared" si="41"/>
        <v>6.3359504395061732</v>
      </c>
      <c r="AF259" s="9"/>
      <c r="AG259" s="21">
        <v>1.15387</v>
      </c>
      <c r="AH259" s="21">
        <v>19.569700000000001</v>
      </c>
      <c r="AI259" s="21">
        <v>-1.18195E-2</v>
      </c>
      <c r="AJ259" s="21">
        <v>249</v>
      </c>
      <c r="AK259" s="21">
        <v>1.1535599999999999</v>
      </c>
      <c r="AL259">
        <f t="shared" si="42"/>
        <v>14.591975308641976</v>
      </c>
      <c r="AM259">
        <f t="shared" si="43"/>
        <v>16.837242549382715</v>
      </c>
      <c r="AP259" s="9"/>
      <c r="AQ259" s="21">
        <v>0.35614000000000001</v>
      </c>
      <c r="AR259" s="21">
        <v>24.712399999999999</v>
      </c>
      <c r="AS259" s="21">
        <v>-1.43494E-2</v>
      </c>
      <c r="AT259" s="21">
        <v>249</v>
      </c>
      <c r="AU259" s="21">
        <v>0.355682</v>
      </c>
      <c r="AV259">
        <f t="shared" si="44"/>
        <v>17.715308641975309</v>
      </c>
      <c r="AW259">
        <f t="shared" si="45"/>
        <v>6.3091300197530868</v>
      </c>
      <c r="AX259" s="9"/>
      <c r="AY259" s="21">
        <v>1.15387</v>
      </c>
      <c r="AZ259" s="21">
        <v>28.148900000000001</v>
      </c>
      <c r="BA259" s="21">
        <v>-1.17035E-2</v>
      </c>
      <c r="BB259" s="21">
        <v>249</v>
      </c>
      <c r="BC259" s="21">
        <v>1.1529499999999999</v>
      </c>
      <c r="BD259">
        <f t="shared" si="46"/>
        <v>14.448765432098766</v>
      </c>
      <c r="BE259">
        <f t="shared" si="47"/>
        <v>16.671996969135801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0.351105</v>
      </c>
      <c r="H260" s="21">
        <v>7.60907</v>
      </c>
      <c r="I260" s="21">
        <v>-1.4593500000000001E-2</v>
      </c>
      <c r="J260" s="21">
        <v>250</v>
      </c>
      <c r="K260" s="21">
        <v>0.35049400000000003</v>
      </c>
      <c r="L260">
        <f t="shared" si="36"/>
        <v>18.016666666666666</v>
      </c>
      <c r="M260">
        <f t="shared" si="37"/>
        <v>6.3257417499999997</v>
      </c>
      <c r="N260" s="9"/>
      <c r="O260" s="21">
        <v>1.1589100000000001</v>
      </c>
      <c r="P260" s="21">
        <v>11.0456</v>
      </c>
      <c r="Q260" s="21">
        <v>-1.20605E-2</v>
      </c>
      <c r="R260" s="21">
        <v>250</v>
      </c>
      <c r="S260" s="21">
        <v>1.15784</v>
      </c>
      <c r="T260">
        <f t="shared" si="38"/>
        <v>14.889506172839505</v>
      </c>
      <c r="U260">
        <f t="shared" si="39"/>
        <v>17.255597598765434</v>
      </c>
      <c r="X260" s="9"/>
      <c r="Y260" s="21">
        <v>0.351105</v>
      </c>
      <c r="Z260" s="21">
        <v>16.1433</v>
      </c>
      <c r="AA260" s="21">
        <v>-1.4413499999999999E-2</v>
      </c>
      <c r="AB260" s="21">
        <v>250</v>
      </c>
      <c r="AC260" s="21">
        <v>0.35049400000000003</v>
      </c>
      <c r="AD260">
        <f t="shared" si="40"/>
        <v>17.794444444444444</v>
      </c>
      <c r="AE260">
        <f t="shared" si="41"/>
        <v>6.2477184166666664</v>
      </c>
      <c r="AF260" s="9"/>
      <c r="AG260" s="21">
        <v>1.1589100000000001</v>
      </c>
      <c r="AH260" s="21">
        <v>19.579799999999999</v>
      </c>
      <c r="AI260" s="21">
        <v>-1.1770600000000001E-2</v>
      </c>
      <c r="AJ260" s="21">
        <v>250</v>
      </c>
      <c r="AK260" s="21">
        <v>1.15845</v>
      </c>
      <c r="AL260">
        <f t="shared" si="42"/>
        <v>14.531604938271604</v>
      </c>
      <c r="AM260">
        <f t="shared" si="43"/>
        <v>16.840822279012347</v>
      </c>
      <c r="AP260" s="9"/>
      <c r="AQ260" s="21">
        <v>0.351105</v>
      </c>
      <c r="AR260" s="21">
        <v>24.7225</v>
      </c>
      <c r="AS260" s="21">
        <v>-1.4367700000000001E-2</v>
      </c>
      <c r="AT260" s="21">
        <v>250</v>
      </c>
      <c r="AU260" s="21">
        <v>0.350464</v>
      </c>
      <c r="AV260">
        <f t="shared" si="44"/>
        <v>17.7379012345679</v>
      </c>
      <c r="AW260">
        <f t="shared" si="45"/>
        <v>6.2278658129629623</v>
      </c>
      <c r="AX260" s="9"/>
      <c r="AY260" s="21">
        <v>1.1589100000000001</v>
      </c>
      <c r="AZ260" s="21">
        <v>28.158999999999999</v>
      </c>
      <c r="BA260" s="21">
        <v>-1.1660800000000001E-2</v>
      </c>
      <c r="BB260" s="21">
        <v>250</v>
      </c>
      <c r="BC260" s="21">
        <v>1.1581399999999999</v>
      </c>
      <c r="BD260">
        <f t="shared" si="46"/>
        <v>14.396049382716049</v>
      </c>
      <c r="BE260">
        <f t="shared" si="47"/>
        <v>16.683725590123458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0.34606900000000002</v>
      </c>
      <c r="H261" s="21">
        <v>7.6191399999999998</v>
      </c>
      <c r="I261" s="21">
        <v>-1.46027E-2</v>
      </c>
      <c r="J261" s="21">
        <v>251</v>
      </c>
      <c r="K261" s="21">
        <v>0.34551999999999999</v>
      </c>
      <c r="L261">
        <f t="shared" si="36"/>
        <v>18.028024691358024</v>
      </c>
      <c r="M261">
        <f t="shared" si="37"/>
        <v>6.2389404769135801</v>
      </c>
      <c r="N261" s="9"/>
      <c r="O261" s="21">
        <v>1.16394</v>
      </c>
      <c r="P261" s="21">
        <v>11.0556</v>
      </c>
      <c r="Q261" s="21">
        <v>-1.2020899999999999E-2</v>
      </c>
      <c r="R261" s="21">
        <v>251</v>
      </c>
      <c r="S261" s="21">
        <v>1.16333</v>
      </c>
      <c r="T261">
        <f t="shared" si="38"/>
        <v>14.840617283950616</v>
      </c>
      <c r="U261">
        <f t="shared" si="39"/>
        <v>17.273588081481478</v>
      </c>
      <c r="X261" s="9"/>
      <c r="Y261" s="21">
        <v>0.34606900000000002</v>
      </c>
      <c r="Z261" s="21">
        <v>16.153300000000002</v>
      </c>
      <c r="AA261" s="21">
        <v>-1.4428699999999999E-2</v>
      </c>
      <c r="AB261" s="21">
        <v>251</v>
      </c>
      <c r="AC261" s="21">
        <v>0.34545900000000002</v>
      </c>
      <c r="AD261">
        <f t="shared" si="40"/>
        <v>17.813209876543205</v>
      </c>
      <c r="AE261">
        <f t="shared" si="41"/>
        <v>6.1645997287654302</v>
      </c>
      <c r="AF261" s="9"/>
      <c r="AG261" s="21">
        <v>1.16394</v>
      </c>
      <c r="AH261" s="21">
        <v>19.5899</v>
      </c>
      <c r="AI261" s="21">
        <v>-1.17188E-2</v>
      </c>
      <c r="AJ261" s="21">
        <v>251</v>
      </c>
      <c r="AK261" s="21">
        <v>1.1630199999999999</v>
      </c>
      <c r="AL261">
        <f t="shared" si="42"/>
        <v>14.467654320987654</v>
      </c>
      <c r="AM261">
        <f t="shared" si="43"/>
        <v>16.839481570370371</v>
      </c>
      <c r="AP261" s="9"/>
      <c r="AQ261" s="21">
        <v>0.34606900000000002</v>
      </c>
      <c r="AR261" s="21">
        <v>24.732600000000001</v>
      </c>
      <c r="AS261" s="21">
        <v>-1.4367700000000001E-2</v>
      </c>
      <c r="AT261" s="21">
        <v>251</v>
      </c>
      <c r="AU261" s="21">
        <v>0.34542800000000001</v>
      </c>
      <c r="AV261">
        <f t="shared" si="44"/>
        <v>17.7379012345679</v>
      </c>
      <c r="AW261">
        <f t="shared" si="45"/>
        <v>6.1385377423456786</v>
      </c>
      <c r="AX261" s="9"/>
      <c r="AY261" s="21">
        <v>1.16394</v>
      </c>
      <c r="AZ261" s="21">
        <v>28.169</v>
      </c>
      <c r="BA261" s="21">
        <v>-1.16241E-2</v>
      </c>
      <c r="BB261" s="21">
        <v>251</v>
      </c>
      <c r="BC261" s="21">
        <v>1.16333</v>
      </c>
      <c r="BD261">
        <f t="shared" si="46"/>
        <v>14.35074074074074</v>
      </c>
      <c r="BE261">
        <f t="shared" si="47"/>
        <v>16.703401177777778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0.341034</v>
      </c>
      <c r="H262" s="21">
        <v>7.6292099999999996</v>
      </c>
      <c r="I262" s="21">
        <v>-1.4611799999999999E-2</v>
      </c>
      <c r="J262" s="21">
        <v>252</v>
      </c>
      <c r="K262" s="21">
        <v>0.34045399999999998</v>
      </c>
      <c r="L262">
        <f t="shared" si="36"/>
        <v>18.039259259259257</v>
      </c>
      <c r="M262">
        <f t="shared" si="37"/>
        <v>6.1520007422222216</v>
      </c>
      <c r="N262" s="9"/>
      <c r="O262" s="21">
        <v>1.1689799999999999</v>
      </c>
      <c r="P262" s="21">
        <v>11.0657</v>
      </c>
      <c r="Q262" s="21">
        <v>-1.1981199999999999E-2</v>
      </c>
      <c r="R262" s="21">
        <v>252</v>
      </c>
      <c r="S262" s="21">
        <v>1.1676</v>
      </c>
      <c r="T262">
        <f t="shared" si="38"/>
        <v>14.791604938271602</v>
      </c>
      <c r="U262">
        <f t="shared" si="39"/>
        <v>17.291090340740737</v>
      </c>
      <c r="X262" s="9"/>
      <c r="Y262" s="21">
        <v>0.341034</v>
      </c>
      <c r="Z262" s="21">
        <v>16.163399999999999</v>
      </c>
      <c r="AA262" s="21">
        <v>-1.4434799999999999E-2</v>
      </c>
      <c r="AB262" s="21">
        <v>252</v>
      </c>
      <c r="AC262" s="21">
        <v>0.34048499999999998</v>
      </c>
      <c r="AD262">
        <f t="shared" si="40"/>
        <v>17.820740740740739</v>
      </c>
      <c r="AE262">
        <f t="shared" si="41"/>
        <v>6.0774784977777774</v>
      </c>
      <c r="AF262" s="9"/>
      <c r="AG262" s="21">
        <v>1.1689799999999999</v>
      </c>
      <c r="AH262" s="21">
        <v>19.599900000000002</v>
      </c>
      <c r="AI262" s="21">
        <v>-1.1666899999999999E-2</v>
      </c>
      <c r="AJ262" s="21">
        <v>252</v>
      </c>
      <c r="AK262" s="21">
        <v>1.16791</v>
      </c>
      <c r="AL262">
        <f t="shared" si="42"/>
        <v>14.403580246913579</v>
      </c>
      <c r="AM262">
        <f t="shared" si="43"/>
        <v>16.837497237037034</v>
      </c>
      <c r="AP262" s="9"/>
      <c r="AQ262" s="21">
        <v>0.341034</v>
      </c>
      <c r="AR262" s="21">
        <v>24.742599999999999</v>
      </c>
      <c r="AS262" s="21">
        <v>-1.43646E-2</v>
      </c>
      <c r="AT262" s="21">
        <v>252</v>
      </c>
      <c r="AU262" s="21">
        <v>0.34045399999999998</v>
      </c>
      <c r="AV262">
        <f t="shared" si="44"/>
        <v>17.734074074074073</v>
      </c>
      <c r="AW262">
        <f t="shared" si="45"/>
        <v>6.0479222177777778</v>
      </c>
      <c r="AX262" s="9"/>
      <c r="AY262" s="21">
        <v>1.1689799999999999</v>
      </c>
      <c r="AZ262" s="21">
        <v>28.179099999999998</v>
      </c>
      <c r="BA262" s="21">
        <v>-1.1587500000000001E-2</v>
      </c>
      <c r="BB262" s="21">
        <v>252</v>
      </c>
      <c r="BC262" s="21">
        <v>1.16821</v>
      </c>
      <c r="BD262">
        <f t="shared" si="46"/>
        <v>14.305555555555555</v>
      </c>
      <c r="BE262">
        <f t="shared" si="47"/>
        <v>16.722908333333333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0.33599899999999999</v>
      </c>
      <c r="H263" s="21">
        <v>7.6392899999999999</v>
      </c>
      <c r="I263" s="21">
        <v>-1.4627100000000001E-2</v>
      </c>
      <c r="J263" s="21">
        <v>253</v>
      </c>
      <c r="K263" s="21">
        <v>0.335449</v>
      </c>
      <c r="L263">
        <f t="shared" si="36"/>
        <v>18.058148148148145</v>
      </c>
      <c r="M263">
        <f t="shared" si="37"/>
        <v>6.0675197196296287</v>
      </c>
      <c r="N263" s="9"/>
      <c r="O263" s="21">
        <v>1.17401</v>
      </c>
      <c r="P263" s="21">
        <v>11.075799999999999</v>
      </c>
      <c r="Q263" s="21">
        <v>-1.1938499999999999E-2</v>
      </c>
      <c r="R263" s="21">
        <v>253</v>
      </c>
      <c r="S263" s="21">
        <v>1.17279</v>
      </c>
      <c r="T263">
        <f t="shared" si="38"/>
        <v>14.738888888888887</v>
      </c>
      <c r="U263">
        <f t="shared" si="39"/>
        <v>17.303602944444442</v>
      </c>
      <c r="X263" s="9"/>
      <c r="Y263" s="21">
        <v>0.33599899999999999</v>
      </c>
      <c r="Z263" s="21">
        <v>16.173500000000001</v>
      </c>
      <c r="AA263" s="21">
        <v>-1.4447E-2</v>
      </c>
      <c r="AB263" s="21">
        <v>253</v>
      </c>
      <c r="AC263" s="21">
        <v>0.33550999999999997</v>
      </c>
      <c r="AD263">
        <f t="shared" si="40"/>
        <v>17.8358024691358</v>
      </c>
      <c r="AE263">
        <f t="shared" si="41"/>
        <v>5.9928117938271592</v>
      </c>
      <c r="AF263" s="9"/>
      <c r="AG263" s="21">
        <v>1.17401</v>
      </c>
      <c r="AH263" s="21">
        <v>19.61</v>
      </c>
      <c r="AI263" s="21">
        <v>-1.1627200000000001E-2</v>
      </c>
      <c r="AJ263" s="21">
        <v>253</v>
      </c>
      <c r="AK263" s="21">
        <v>1.1731</v>
      </c>
      <c r="AL263">
        <f t="shared" si="42"/>
        <v>14.354567901234569</v>
      </c>
      <c r="AM263">
        <f t="shared" si="43"/>
        <v>16.852406261728397</v>
      </c>
      <c r="AP263" s="9"/>
      <c r="AQ263" s="21">
        <v>0.33599899999999999</v>
      </c>
      <c r="AR263" s="21">
        <v>24.752700000000001</v>
      </c>
      <c r="AS263" s="21">
        <v>-1.43646E-2</v>
      </c>
      <c r="AT263" s="21">
        <v>253</v>
      </c>
      <c r="AU263" s="21">
        <v>0.33538800000000002</v>
      </c>
      <c r="AV263">
        <f t="shared" si="44"/>
        <v>17.734074074074073</v>
      </c>
      <c r="AW263">
        <f t="shared" si="45"/>
        <v>5.9586311548148139</v>
      </c>
      <c r="AX263" s="9"/>
      <c r="AY263" s="21">
        <v>1.17401</v>
      </c>
      <c r="AZ263" s="21">
        <v>28.1892</v>
      </c>
      <c r="BA263" s="21">
        <v>-1.15326E-2</v>
      </c>
      <c r="BB263" s="21">
        <v>253</v>
      </c>
      <c r="BC263" s="21">
        <v>1.17279</v>
      </c>
      <c r="BD263">
        <f t="shared" si="46"/>
        <v>14.237777777777778</v>
      </c>
      <c r="BE263">
        <f t="shared" si="47"/>
        <v>16.715293488888889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0.33096300000000001</v>
      </c>
      <c r="H264" s="21">
        <v>7.6493599999999997</v>
      </c>
      <c r="I264" s="21">
        <v>-1.4639299999999999E-2</v>
      </c>
      <c r="J264" s="21">
        <v>254</v>
      </c>
      <c r="K264" s="21">
        <v>0.330322</v>
      </c>
      <c r="L264">
        <f t="shared" si="36"/>
        <v>18.07320987654321</v>
      </c>
      <c r="M264">
        <f t="shared" si="37"/>
        <v>5.9815637603703706</v>
      </c>
      <c r="N264" s="9"/>
      <c r="O264" s="21">
        <v>1.1790499999999999</v>
      </c>
      <c r="P264" s="21">
        <v>11.085800000000001</v>
      </c>
      <c r="Q264" s="21">
        <v>-1.1898799999999999E-2</v>
      </c>
      <c r="R264" s="21">
        <v>254</v>
      </c>
      <c r="S264" s="21">
        <v>1.17828</v>
      </c>
      <c r="T264">
        <f t="shared" si="38"/>
        <v>14.689876543209873</v>
      </c>
      <c r="U264">
        <f t="shared" si="39"/>
        <v>17.320098938271599</v>
      </c>
      <c r="X264" s="9"/>
      <c r="Y264" s="21">
        <v>0.33096300000000001</v>
      </c>
      <c r="Z264" s="21">
        <v>16.183599999999998</v>
      </c>
      <c r="AA264" s="21">
        <v>-1.44501E-2</v>
      </c>
      <c r="AB264" s="21">
        <v>254</v>
      </c>
      <c r="AC264" s="21">
        <v>0.33041399999999999</v>
      </c>
      <c r="AD264">
        <f t="shared" si="40"/>
        <v>17.839629629629631</v>
      </c>
      <c r="AE264">
        <f t="shared" si="41"/>
        <v>5.9042573411111112</v>
      </c>
      <c r="AF264" s="9"/>
      <c r="AG264" s="21">
        <v>1.1790499999999999</v>
      </c>
      <c r="AH264" s="21">
        <v>19.620100000000001</v>
      </c>
      <c r="AI264" s="21">
        <v>-1.1584499999999999E-2</v>
      </c>
      <c r="AJ264" s="21">
        <v>254</v>
      </c>
      <c r="AK264" s="21">
        <v>1.17798</v>
      </c>
      <c r="AL264">
        <f t="shared" si="42"/>
        <v>14.30185185185185</v>
      </c>
      <c r="AM264">
        <f t="shared" si="43"/>
        <v>16.862598425925924</v>
      </c>
      <c r="AP264" s="9"/>
      <c r="AQ264" s="21">
        <v>0.33096300000000001</v>
      </c>
      <c r="AR264" s="21">
        <v>24.762799999999999</v>
      </c>
      <c r="AS264" s="21">
        <v>-1.43616E-2</v>
      </c>
      <c r="AT264" s="21">
        <v>254</v>
      </c>
      <c r="AU264" s="21">
        <v>0.33035300000000001</v>
      </c>
      <c r="AV264">
        <f t="shared" si="44"/>
        <v>17.73037037037037</v>
      </c>
      <c r="AW264">
        <f t="shared" si="45"/>
        <v>5.8680965688888884</v>
      </c>
      <c r="AX264" s="9"/>
      <c r="AY264" s="21">
        <v>1.1790499999999999</v>
      </c>
      <c r="AZ264" s="21">
        <v>28.199300000000001</v>
      </c>
      <c r="BA264" s="21">
        <v>-1.14868E-2</v>
      </c>
      <c r="BB264" s="21">
        <v>254</v>
      </c>
      <c r="BC264" s="21">
        <v>1.17798</v>
      </c>
      <c r="BD264">
        <f t="shared" si="46"/>
        <v>14.181234567901233</v>
      </c>
      <c r="BE264">
        <f t="shared" si="47"/>
        <v>16.720384617283948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0.325928</v>
      </c>
      <c r="H265" s="21">
        <v>7.6594300000000004</v>
      </c>
      <c r="I265" s="21">
        <v>-1.46423E-2</v>
      </c>
      <c r="J265" s="21">
        <v>255</v>
      </c>
      <c r="K265" s="21">
        <v>0.32522600000000002</v>
      </c>
      <c r="L265">
        <f t="shared" si="36"/>
        <v>18.076913580246913</v>
      </c>
      <c r="M265">
        <f t="shared" si="37"/>
        <v>5.8917722893827156</v>
      </c>
      <c r="N265" s="9"/>
      <c r="O265" s="21">
        <v>1.18408</v>
      </c>
      <c r="P265" s="21">
        <v>11.0959</v>
      </c>
      <c r="Q265" s="21">
        <v>-1.18622E-2</v>
      </c>
      <c r="R265" s="21">
        <v>255</v>
      </c>
      <c r="S265" s="21">
        <v>1.1831700000000001</v>
      </c>
      <c r="T265">
        <f t="shared" si="38"/>
        <v>14.644691358024689</v>
      </c>
      <c r="U265">
        <f t="shared" si="39"/>
        <v>17.340486143209873</v>
      </c>
      <c r="X265" s="9"/>
      <c r="Y265" s="21">
        <v>0.325928</v>
      </c>
      <c r="Z265" s="21">
        <v>16.1936</v>
      </c>
      <c r="AA265" s="21">
        <v>-1.4444E-2</v>
      </c>
      <c r="AB265" s="21">
        <v>255</v>
      </c>
      <c r="AC265" s="21">
        <v>0.32543899999999998</v>
      </c>
      <c r="AD265">
        <f t="shared" si="40"/>
        <v>17.832098765432097</v>
      </c>
      <c r="AE265">
        <f t="shared" si="41"/>
        <v>5.8119802864197521</v>
      </c>
      <c r="AF265" s="9"/>
      <c r="AG265" s="21">
        <v>1.18408</v>
      </c>
      <c r="AH265" s="21">
        <v>19.630199999999999</v>
      </c>
      <c r="AI265" s="21">
        <v>-1.15479E-2</v>
      </c>
      <c r="AJ265" s="21">
        <v>255</v>
      </c>
      <c r="AK265" s="21">
        <v>1.1831700000000001</v>
      </c>
      <c r="AL265">
        <f t="shared" si="42"/>
        <v>14.256666666666666</v>
      </c>
      <c r="AM265">
        <f t="shared" si="43"/>
        <v>16.881033866666666</v>
      </c>
      <c r="AP265" s="9"/>
      <c r="AQ265" s="21">
        <v>0.325928</v>
      </c>
      <c r="AR265" s="21">
        <v>24.7728</v>
      </c>
      <c r="AS265" s="21">
        <v>-1.43433E-2</v>
      </c>
      <c r="AT265" s="21">
        <v>255</v>
      </c>
      <c r="AU265" s="21">
        <v>0.32534800000000003</v>
      </c>
      <c r="AV265">
        <f t="shared" si="44"/>
        <v>17.707777777777778</v>
      </c>
      <c r="AW265">
        <f t="shared" si="45"/>
        <v>5.7714605955555554</v>
      </c>
      <c r="AX265" s="9"/>
      <c r="AY265" s="21">
        <v>1.18408</v>
      </c>
      <c r="AZ265" s="21">
        <v>28.209299999999999</v>
      </c>
      <c r="BA265" s="21">
        <v>-1.14441E-2</v>
      </c>
      <c r="BB265" s="21">
        <v>255</v>
      </c>
      <c r="BC265" s="21">
        <v>1.18347</v>
      </c>
      <c r="BD265">
        <f t="shared" si="46"/>
        <v>14.128518518518518</v>
      </c>
      <c r="BE265">
        <f t="shared" si="47"/>
        <v>16.729296207407408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0.32089200000000001</v>
      </c>
      <c r="H266" s="21">
        <v>7.6695000000000002</v>
      </c>
      <c r="I266" s="21">
        <v>-1.4639299999999999E-2</v>
      </c>
      <c r="J266" s="21">
        <v>256</v>
      </c>
      <c r="K266" s="21">
        <v>0.32028200000000001</v>
      </c>
      <c r="L266">
        <f t="shared" si="36"/>
        <v>18.07320987654321</v>
      </c>
      <c r="M266">
        <f t="shared" si="37"/>
        <v>5.7995484637037036</v>
      </c>
      <c r="N266" s="9"/>
      <c r="O266" s="21">
        <v>1.18912</v>
      </c>
      <c r="P266" s="21">
        <v>11.106</v>
      </c>
      <c r="Q266" s="21">
        <v>-1.18225E-2</v>
      </c>
      <c r="R266" s="21">
        <v>256</v>
      </c>
      <c r="S266" s="21">
        <v>1.1880500000000001</v>
      </c>
      <c r="T266">
        <f t="shared" si="38"/>
        <v>14.595679012345677</v>
      </c>
      <c r="U266">
        <f t="shared" si="39"/>
        <v>17.356013827160492</v>
      </c>
      <c r="X266" s="9"/>
      <c r="Y266" s="21">
        <v>0.32089200000000001</v>
      </c>
      <c r="Z266" s="21">
        <v>16.203700000000001</v>
      </c>
      <c r="AA266" s="21">
        <v>-1.44531E-2</v>
      </c>
      <c r="AB266" s="21">
        <v>256</v>
      </c>
      <c r="AC266" s="21">
        <v>0.32031300000000001</v>
      </c>
      <c r="AD266">
        <f t="shared" si="40"/>
        <v>17.843333333333334</v>
      </c>
      <c r="AE266">
        <f t="shared" si="41"/>
        <v>5.7257829200000003</v>
      </c>
      <c r="AF266" s="9"/>
      <c r="AG266" s="21">
        <v>1.18912</v>
      </c>
      <c r="AH266" s="21">
        <v>19.6402</v>
      </c>
      <c r="AI266" s="21">
        <v>-1.15143E-2</v>
      </c>
      <c r="AJ266" s="21">
        <v>256</v>
      </c>
      <c r="AK266" s="21">
        <v>1.18866</v>
      </c>
      <c r="AL266">
        <f t="shared" si="42"/>
        <v>14.215185185185184</v>
      </c>
      <c r="AM266">
        <f t="shared" si="43"/>
        <v>16.903561007407404</v>
      </c>
      <c r="AP266" s="9"/>
      <c r="AQ266" s="21">
        <v>0.32089200000000001</v>
      </c>
      <c r="AR266" s="21">
        <v>24.782900000000001</v>
      </c>
      <c r="AS266" s="21">
        <v>-1.43433E-2</v>
      </c>
      <c r="AT266" s="21">
        <v>256</v>
      </c>
      <c r="AU266" s="21">
        <v>0.32018999999999997</v>
      </c>
      <c r="AV266">
        <f t="shared" si="44"/>
        <v>17.707777777777778</v>
      </c>
      <c r="AW266">
        <f t="shared" si="45"/>
        <v>5.6822842266666669</v>
      </c>
      <c r="AX266" s="9"/>
      <c r="AY266" s="21">
        <v>1.18912</v>
      </c>
      <c r="AZ266" s="21">
        <v>28.2194</v>
      </c>
      <c r="BA266" s="21">
        <v>-1.1401400000000001E-2</v>
      </c>
      <c r="BB266" s="21">
        <v>256</v>
      </c>
      <c r="BC266" s="21">
        <v>1.18835</v>
      </c>
      <c r="BD266">
        <f t="shared" si="46"/>
        <v>14.075802469135803</v>
      </c>
      <c r="BE266">
        <f t="shared" si="47"/>
        <v>16.737818232098768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0.315857</v>
      </c>
      <c r="H267" s="21">
        <v>7.67957</v>
      </c>
      <c r="I267" s="21">
        <v>-1.46362E-2</v>
      </c>
      <c r="J267" s="21">
        <v>257</v>
      </c>
      <c r="K267" s="21">
        <v>0.31533800000000001</v>
      </c>
      <c r="L267">
        <f t="shared" si="36"/>
        <v>18.069382716049383</v>
      </c>
      <c r="M267">
        <f t="shared" si="37"/>
        <v>5.7073410165432099</v>
      </c>
      <c r="N267" s="9"/>
      <c r="O267" s="21">
        <v>1.19415</v>
      </c>
      <c r="P267" s="21">
        <v>11.116099999999999</v>
      </c>
      <c r="Q267" s="21">
        <v>-1.17737E-2</v>
      </c>
      <c r="R267" s="21">
        <v>257</v>
      </c>
      <c r="S267" s="21">
        <v>1.19293</v>
      </c>
      <c r="T267">
        <f t="shared" si="38"/>
        <v>14.535432098765432</v>
      </c>
      <c r="U267">
        <f t="shared" si="39"/>
        <v>17.357486240740741</v>
      </c>
      <c r="X267" s="9"/>
      <c r="Y267" s="21">
        <v>0.315857</v>
      </c>
      <c r="Z267" s="21">
        <v>16.213799999999999</v>
      </c>
      <c r="AA267" s="21">
        <v>-1.4462300000000001E-2</v>
      </c>
      <c r="AB267" s="21">
        <v>257</v>
      </c>
      <c r="AC267" s="21">
        <v>0.31530799999999998</v>
      </c>
      <c r="AD267">
        <f t="shared" si="40"/>
        <v>17.854691358024692</v>
      </c>
      <c r="AE267">
        <f t="shared" si="41"/>
        <v>5.6395292482716046</v>
      </c>
      <c r="AF267" s="9"/>
      <c r="AG267" s="21">
        <v>1.19415</v>
      </c>
      <c r="AH267" s="21">
        <v>19.650300000000001</v>
      </c>
      <c r="AI267" s="21">
        <v>-1.14777E-2</v>
      </c>
      <c r="AJ267" s="21">
        <v>257</v>
      </c>
      <c r="AK267" s="21">
        <v>1.19293</v>
      </c>
      <c r="AL267">
        <f t="shared" si="42"/>
        <v>14.17</v>
      </c>
      <c r="AM267">
        <f t="shared" si="43"/>
        <v>16.921105499999999</v>
      </c>
      <c r="AP267" s="9"/>
      <c r="AQ267" s="21">
        <v>0.315857</v>
      </c>
      <c r="AR267" s="21">
        <v>24.792999999999999</v>
      </c>
      <c r="AS267" s="21">
        <v>-1.43524E-2</v>
      </c>
      <c r="AT267" s="21">
        <v>257</v>
      </c>
      <c r="AU267" s="21">
        <v>0.31539899999999998</v>
      </c>
      <c r="AV267">
        <f t="shared" si="44"/>
        <v>17.719012345679008</v>
      </c>
      <c r="AW267">
        <f t="shared" si="45"/>
        <v>5.5966740824691348</v>
      </c>
      <c r="AX267" s="9"/>
      <c r="AY267" s="21">
        <v>1.19415</v>
      </c>
      <c r="AZ267" s="21">
        <v>28.229500000000002</v>
      </c>
      <c r="BA267" s="21">
        <v>-1.1361700000000001E-2</v>
      </c>
      <c r="BB267" s="21">
        <v>257</v>
      </c>
      <c r="BC267" s="21">
        <v>1.1932400000000001</v>
      </c>
      <c r="BD267">
        <f t="shared" si="46"/>
        <v>14.026790123456792</v>
      </c>
      <c r="BE267">
        <f t="shared" si="47"/>
        <v>16.750091425925927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0.31082199999999999</v>
      </c>
      <c r="H268" s="21">
        <v>7.6896399999999998</v>
      </c>
      <c r="I268" s="21">
        <v>-1.46362E-2</v>
      </c>
      <c r="J268" s="21">
        <v>258</v>
      </c>
      <c r="K268" s="21">
        <v>0.31021100000000001</v>
      </c>
      <c r="L268">
        <f t="shared" ref="L268:L331" si="48">-I268/$F$2*1000</f>
        <v>18.069382716049383</v>
      </c>
      <c r="M268">
        <f t="shared" ref="M268:M331" si="49">L268*G268</f>
        <v>5.6163616745679006</v>
      </c>
      <c r="N268" s="9"/>
      <c r="O268" s="21">
        <v>1.19919</v>
      </c>
      <c r="P268" s="21">
        <v>11.126099999999999</v>
      </c>
      <c r="Q268" s="21">
        <v>-1.1727899999999999E-2</v>
      </c>
      <c r="R268" s="21">
        <v>258</v>
      </c>
      <c r="S268" s="21">
        <v>1.1981200000000001</v>
      </c>
      <c r="T268">
        <f t="shared" ref="T268:T331" si="50">-Q268/$F$2*1000</f>
        <v>14.478888888888887</v>
      </c>
      <c r="U268">
        <f t="shared" ref="U268:U331" si="51">T268*O268</f>
        <v>17.362938766666666</v>
      </c>
      <c r="X268" s="9"/>
      <c r="Y268" s="21">
        <v>0.31082199999999999</v>
      </c>
      <c r="Z268" s="21">
        <v>16.223800000000001</v>
      </c>
      <c r="AA268" s="21">
        <v>-1.4468399999999999E-2</v>
      </c>
      <c r="AB268" s="21">
        <v>258</v>
      </c>
      <c r="AC268" s="21">
        <v>0.31021100000000001</v>
      </c>
      <c r="AD268">
        <f t="shared" ref="AD268:AD331" si="52">-AA268/$F$2*1000</f>
        <v>17.862222222222222</v>
      </c>
      <c r="AE268">
        <f t="shared" ref="AE268:AE331" si="53">AD268*Y268</f>
        <v>5.5519716355555548</v>
      </c>
      <c r="AF268" s="9"/>
      <c r="AG268" s="21">
        <v>1.19919</v>
      </c>
      <c r="AH268" s="21">
        <v>19.660399999999999</v>
      </c>
      <c r="AI268" s="21">
        <v>-1.14319E-2</v>
      </c>
      <c r="AJ268" s="21">
        <v>258</v>
      </c>
      <c r="AK268" s="21">
        <v>1.19781</v>
      </c>
      <c r="AL268">
        <f t="shared" ref="AL268:AL331" si="54">-AI268/$F$2*1000</f>
        <v>14.113456790123456</v>
      </c>
      <c r="AM268">
        <f t="shared" ref="AM268:AM331" si="55">AL268*AG268</f>
        <v>16.924716248148147</v>
      </c>
      <c r="AP268" s="9"/>
      <c r="AQ268" s="21">
        <v>0.31082199999999999</v>
      </c>
      <c r="AR268" s="21">
        <v>24.803100000000001</v>
      </c>
      <c r="AS268" s="21">
        <v>-1.43616E-2</v>
      </c>
      <c r="AT268" s="21">
        <v>258</v>
      </c>
      <c r="AU268" s="21">
        <v>0.31021100000000001</v>
      </c>
      <c r="AV268">
        <f t="shared" ref="AV268:AV331" si="56">-AS268/$F$2*1000</f>
        <v>17.73037037037037</v>
      </c>
      <c r="AW268">
        <f t="shared" ref="AW268:AW331" si="57">AV268*AQ268</f>
        <v>5.5109891792592585</v>
      </c>
      <c r="AX268" s="9"/>
      <c r="AY268" s="21">
        <v>1.19919</v>
      </c>
      <c r="AZ268" s="21">
        <v>28.2395</v>
      </c>
      <c r="BA268" s="21">
        <v>-1.1325099999999999E-2</v>
      </c>
      <c r="BB268" s="21">
        <v>258</v>
      </c>
      <c r="BC268" s="21">
        <v>1.1981200000000001</v>
      </c>
      <c r="BD268">
        <f t="shared" ref="BD268:BD331" si="58">-BA268/$F$2*1000</f>
        <v>13.981604938271603</v>
      </c>
      <c r="BE268">
        <f t="shared" ref="BE268:BE331" si="59">BD268*AY268</f>
        <v>16.766600825925924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0.305786</v>
      </c>
      <c r="H269" s="21">
        <v>7.6997099999999996</v>
      </c>
      <c r="I269" s="21">
        <v>-1.46362E-2</v>
      </c>
      <c r="J269" s="21">
        <v>259</v>
      </c>
      <c r="K269" s="21">
        <v>0.30526700000000001</v>
      </c>
      <c r="L269">
        <f t="shared" si="48"/>
        <v>18.069382716049383</v>
      </c>
      <c r="M269">
        <f t="shared" si="49"/>
        <v>5.5253642632098767</v>
      </c>
      <c r="N269" s="9"/>
      <c r="O269" s="21">
        <v>1.2042200000000001</v>
      </c>
      <c r="P269" s="21">
        <v>11.136200000000001</v>
      </c>
      <c r="Q269" s="21">
        <v>-1.16791E-2</v>
      </c>
      <c r="R269" s="21">
        <v>259</v>
      </c>
      <c r="S269" s="21">
        <v>1.2033100000000001</v>
      </c>
      <c r="T269">
        <f t="shared" si="50"/>
        <v>14.41864197530864</v>
      </c>
      <c r="U269">
        <f t="shared" si="51"/>
        <v>17.363217039506171</v>
      </c>
      <c r="X269" s="9"/>
      <c r="Y269" s="21">
        <v>0.305786</v>
      </c>
      <c r="Z269" s="21">
        <v>16.233899999999998</v>
      </c>
      <c r="AA269" s="21">
        <v>-1.4471400000000001E-2</v>
      </c>
      <c r="AB269" s="21">
        <v>259</v>
      </c>
      <c r="AC269" s="21">
        <v>0.305176</v>
      </c>
      <c r="AD269">
        <f t="shared" si="52"/>
        <v>17.865925925925925</v>
      </c>
      <c r="AE269">
        <f t="shared" si="53"/>
        <v>5.4631500251851852</v>
      </c>
      <c r="AF269" s="9"/>
      <c r="AG269" s="21">
        <v>1.2042200000000001</v>
      </c>
      <c r="AH269" s="21">
        <v>19.670400000000001</v>
      </c>
      <c r="AI269" s="21">
        <v>-1.13861E-2</v>
      </c>
      <c r="AJ269" s="21">
        <v>259</v>
      </c>
      <c r="AK269" s="21">
        <v>1.2039200000000001</v>
      </c>
      <c r="AL269">
        <f t="shared" si="54"/>
        <v>14.056913580246912</v>
      </c>
      <c r="AM269">
        <f t="shared" si="55"/>
        <v>16.927616471604935</v>
      </c>
      <c r="AP269" s="9"/>
      <c r="AQ269" s="21">
        <v>0.305786</v>
      </c>
      <c r="AR269" s="21">
        <v>24.813099999999999</v>
      </c>
      <c r="AS269" s="21">
        <v>-1.43555E-2</v>
      </c>
      <c r="AT269" s="21">
        <v>259</v>
      </c>
      <c r="AU269" s="21">
        <v>0.30523699999999998</v>
      </c>
      <c r="AV269">
        <f t="shared" si="56"/>
        <v>17.722839506172836</v>
      </c>
      <c r="AW269">
        <f t="shared" si="57"/>
        <v>5.4193962012345667</v>
      </c>
      <c r="AX269" s="9"/>
      <c r="AY269" s="21">
        <v>1.2042200000000001</v>
      </c>
      <c r="AZ269" s="21">
        <v>28.249600000000001</v>
      </c>
      <c r="BA269" s="21">
        <v>-1.1285399999999999E-2</v>
      </c>
      <c r="BB269" s="21">
        <v>259</v>
      </c>
      <c r="BC269" s="21">
        <v>1.2030000000000001</v>
      </c>
      <c r="BD269">
        <f t="shared" si="58"/>
        <v>13.93259259259259</v>
      </c>
      <c r="BE269">
        <f t="shared" si="59"/>
        <v>16.77790665185185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0.30075099999999999</v>
      </c>
      <c r="H270" s="21">
        <v>7.7097800000000003</v>
      </c>
      <c r="I270" s="21">
        <v>-1.4639299999999999E-2</v>
      </c>
      <c r="J270" s="21">
        <v>260</v>
      </c>
      <c r="K270" s="21">
        <v>0.30014000000000002</v>
      </c>
      <c r="L270">
        <f t="shared" si="48"/>
        <v>18.07320987654321</v>
      </c>
      <c r="M270">
        <f t="shared" si="49"/>
        <v>5.4355359435802466</v>
      </c>
      <c r="N270" s="9"/>
      <c r="O270" s="21">
        <v>1.20926</v>
      </c>
      <c r="P270" s="21">
        <v>11.1463</v>
      </c>
      <c r="Q270" s="21">
        <v>-1.16364E-2</v>
      </c>
      <c r="R270" s="21">
        <v>260</v>
      </c>
      <c r="S270" s="21">
        <v>1.2084999999999999</v>
      </c>
      <c r="T270">
        <f t="shared" si="50"/>
        <v>14.365925925925925</v>
      </c>
      <c r="U270">
        <f t="shared" si="51"/>
        <v>17.372139585185185</v>
      </c>
      <c r="X270" s="9"/>
      <c r="Y270" s="21">
        <v>0.30075099999999999</v>
      </c>
      <c r="Z270" s="21">
        <v>16.244</v>
      </c>
      <c r="AA270" s="21">
        <v>-1.4477500000000001E-2</v>
      </c>
      <c r="AB270" s="21">
        <v>260</v>
      </c>
      <c r="AC270" s="21">
        <v>0.300201</v>
      </c>
      <c r="AD270">
        <f t="shared" si="52"/>
        <v>17.873456790123456</v>
      </c>
      <c r="AE270">
        <f t="shared" si="53"/>
        <v>5.3754600030864195</v>
      </c>
      <c r="AF270" s="9"/>
      <c r="AG270" s="21">
        <v>1.20926</v>
      </c>
      <c r="AH270" s="21">
        <v>19.680499999999999</v>
      </c>
      <c r="AI270" s="21">
        <v>-1.13434E-2</v>
      </c>
      <c r="AJ270" s="21">
        <v>260</v>
      </c>
      <c r="AK270" s="21">
        <v>1.2081900000000001</v>
      </c>
      <c r="AL270">
        <f t="shared" si="54"/>
        <v>14.004197530864197</v>
      </c>
      <c r="AM270">
        <f t="shared" si="55"/>
        <v>16.934715906172837</v>
      </c>
      <c r="AP270" s="9"/>
      <c r="AQ270" s="21">
        <v>0.30075099999999999</v>
      </c>
      <c r="AR270" s="21">
        <v>24.8232</v>
      </c>
      <c r="AS270" s="21">
        <v>-1.43616E-2</v>
      </c>
      <c r="AT270" s="21">
        <v>260</v>
      </c>
      <c r="AU270" s="21">
        <v>0.300232</v>
      </c>
      <c r="AV270">
        <f t="shared" si="56"/>
        <v>17.73037037037037</v>
      </c>
      <c r="AW270">
        <f t="shared" si="57"/>
        <v>5.3324266192592589</v>
      </c>
      <c r="AX270" s="9"/>
      <c r="AY270" s="21">
        <v>1.20926</v>
      </c>
      <c r="AZ270" s="21">
        <v>28.259699999999999</v>
      </c>
      <c r="BA270" s="21">
        <v>-1.12427E-2</v>
      </c>
      <c r="BB270" s="21">
        <v>260</v>
      </c>
      <c r="BC270" s="21">
        <v>1.2081900000000001</v>
      </c>
      <c r="BD270">
        <f t="shared" si="58"/>
        <v>13.879876543209877</v>
      </c>
      <c r="BE270">
        <f t="shared" si="59"/>
        <v>16.784379508641976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0.29571500000000001</v>
      </c>
      <c r="H271" s="21">
        <v>7.7198500000000001</v>
      </c>
      <c r="I271" s="21">
        <v>-1.46423E-2</v>
      </c>
      <c r="J271" s="21">
        <v>261</v>
      </c>
      <c r="K271" s="21">
        <v>0.29513499999999998</v>
      </c>
      <c r="L271">
        <f t="shared" si="48"/>
        <v>18.076913580246913</v>
      </c>
      <c r="M271">
        <f t="shared" si="49"/>
        <v>5.3456144993827159</v>
      </c>
      <c r="N271" s="9"/>
      <c r="O271" s="21">
        <v>1.2142900000000001</v>
      </c>
      <c r="P271" s="21">
        <v>11.1563</v>
      </c>
      <c r="Q271" s="21">
        <v>-1.1593600000000001E-2</v>
      </c>
      <c r="R271" s="21">
        <v>261</v>
      </c>
      <c r="S271" s="21">
        <v>1.2127699999999999</v>
      </c>
      <c r="T271">
        <f t="shared" si="50"/>
        <v>14.313086419753086</v>
      </c>
      <c r="U271">
        <f t="shared" si="51"/>
        <v>17.380237708641975</v>
      </c>
      <c r="X271" s="9"/>
      <c r="Y271" s="21">
        <v>0.29571500000000001</v>
      </c>
      <c r="Z271" s="21">
        <v>16.254100000000001</v>
      </c>
      <c r="AA271" s="21">
        <v>-1.44867E-2</v>
      </c>
      <c r="AB271" s="21">
        <v>261</v>
      </c>
      <c r="AC271" s="21">
        <v>0.295074</v>
      </c>
      <c r="AD271">
        <f t="shared" si="52"/>
        <v>17.884814814814817</v>
      </c>
      <c r="AE271">
        <f t="shared" si="53"/>
        <v>5.2888080129629635</v>
      </c>
      <c r="AF271" s="9"/>
      <c r="AG271" s="21">
        <v>1.2142900000000001</v>
      </c>
      <c r="AH271" s="21">
        <v>19.6906</v>
      </c>
      <c r="AI271" s="21">
        <v>-1.1291499999999999E-2</v>
      </c>
      <c r="AJ271" s="21">
        <v>261</v>
      </c>
      <c r="AK271" s="21">
        <v>1.2130700000000001</v>
      </c>
      <c r="AL271">
        <f t="shared" si="54"/>
        <v>13.940123456790122</v>
      </c>
      <c r="AM271">
        <f t="shared" si="55"/>
        <v>16.927352512345678</v>
      </c>
      <c r="AP271" s="9"/>
      <c r="AQ271" s="21">
        <v>0.29571500000000001</v>
      </c>
      <c r="AR271" s="21">
        <v>24.833300000000001</v>
      </c>
      <c r="AS271" s="21">
        <v>-1.43646E-2</v>
      </c>
      <c r="AT271" s="21">
        <v>261</v>
      </c>
      <c r="AU271" s="21">
        <v>0.29534899999999997</v>
      </c>
      <c r="AV271">
        <f t="shared" si="56"/>
        <v>17.734074074074073</v>
      </c>
      <c r="AW271">
        <f t="shared" si="57"/>
        <v>5.2442317148148145</v>
      </c>
      <c r="AX271" s="9"/>
      <c r="AY271" s="21">
        <v>1.2142900000000001</v>
      </c>
      <c r="AZ271" s="21">
        <v>28.2698</v>
      </c>
      <c r="BA271" s="21">
        <v>-1.1190800000000001E-2</v>
      </c>
      <c r="BB271" s="21">
        <v>261</v>
      </c>
      <c r="BC271" s="21">
        <v>1.2136800000000001</v>
      </c>
      <c r="BD271">
        <f t="shared" si="58"/>
        <v>13.815802469135802</v>
      </c>
      <c r="BE271">
        <f t="shared" si="59"/>
        <v>16.776390780246913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0.29067999999999999</v>
      </c>
      <c r="H272" s="21">
        <v>7.7299199999999999</v>
      </c>
      <c r="I272" s="21">
        <v>-1.46515E-2</v>
      </c>
      <c r="J272" s="21">
        <v>262</v>
      </c>
      <c r="K272" s="21">
        <v>0.29006999999999999</v>
      </c>
      <c r="L272">
        <f t="shared" si="48"/>
        <v>18.088271604938271</v>
      </c>
      <c r="M272">
        <f t="shared" si="49"/>
        <v>5.2578987901234564</v>
      </c>
      <c r="N272" s="9"/>
      <c r="O272" s="21">
        <v>1.21933</v>
      </c>
      <c r="P272" s="21">
        <v>11.166399999999999</v>
      </c>
      <c r="Q272" s="21">
        <v>-1.1550899999999999E-2</v>
      </c>
      <c r="R272" s="21">
        <v>262</v>
      </c>
      <c r="S272" s="21">
        <v>1.2185699999999999</v>
      </c>
      <c r="T272">
        <f t="shared" si="50"/>
        <v>14.260370370370369</v>
      </c>
      <c r="U272">
        <f t="shared" si="51"/>
        <v>17.388097403703703</v>
      </c>
      <c r="X272" s="9"/>
      <c r="Y272" s="21">
        <v>0.29067999999999999</v>
      </c>
      <c r="Z272" s="21">
        <v>16.264099999999999</v>
      </c>
      <c r="AA272" s="21">
        <v>-1.44867E-2</v>
      </c>
      <c r="AB272" s="21">
        <v>262</v>
      </c>
      <c r="AC272" s="21">
        <v>0.29013100000000003</v>
      </c>
      <c r="AD272">
        <f t="shared" si="52"/>
        <v>17.884814814814817</v>
      </c>
      <c r="AE272">
        <f t="shared" si="53"/>
        <v>5.1987579703703712</v>
      </c>
      <c r="AF272" s="9"/>
      <c r="AG272" s="21">
        <v>1.21933</v>
      </c>
      <c r="AH272" s="21">
        <v>19.700700000000001</v>
      </c>
      <c r="AI272" s="21">
        <v>-1.1245700000000001E-2</v>
      </c>
      <c r="AJ272" s="21">
        <v>262</v>
      </c>
      <c r="AK272" s="21">
        <v>1.2176499999999999</v>
      </c>
      <c r="AL272">
        <f t="shared" si="54"/>
        <v>13.883580246913581</v>
      </c>
      <c r="AM272">
        <f t="shared" si="55"/>
        <v>16.928665902469138</v>
      </c>
      <c r="AP272" s="9"/>
      <c r="AQ272" s="21">
        <v>0.29067999999999999</v>
      </c>
      <c r="AR272" s="21">
        <v>24.843299999999999</v>
      </c>
      <c r="AS272" s="21">
        <v>-1.4367700000000001E-2</v>
      </c>
      <c r="AT272" s="21">
        <v>262</v>
      </c>
      <c r="AU272" s="21">
        <v>0.29006999999999999</v>
      </c>
      <c r="AV272">
        <f t="shared" si="56"/>
        <v>17.7379012345679</v>
      </c>
      <c r="AW272">
        <f t="shared" si="57"/>
        <v>5.1560531308641968</v>
      </c>
      <c r="AX272" s="9"/>
      <c r="AY272" s="21">
        <v>1.21933</v>
      </c>
      <c r="AZ272" s="21">
        <v>28.279800000000002</v>
      </c>
      <c r="BA272" s="21">
        <v>-1.1148099999999999E-2</v>
      </c>
      <c r="BB272" s="21">
        <v>262</v>
      </c>
      <c r="BC272" s="21">
        <v>1.2182599999999999</v>
      </c>
      <c r="BD272">
        <f t="shared" si="58"/>
        <v>13.763086419753085</v>
      </c>
      <c r="BE272">
        <f t="shared" si="59"/>
        <v>16.78174416419753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0.28564499999999998</v>
      </c>
      <c r="H273" s="21">
        <v>7.74</v>
      </c>
      <c r="I273" s="21">
        <v>-1.46637E-2</v>
      </c>
      <c r="J273" s="21">
        <v>263</v>
      </c>
      <c r="K273" s="21">
        <v>0.28503400000000001</v>
      </c>
      <c r="L273">
        <f t="shared" si="48"/>
        <v>18.103333333333332</v>
      </c>
      <c r="M273">
        <f t="shared" si="49"/>
        <v>5.1711266499999988</v>
      </c>
      <c r="N273" s="9"/>
      <c r="O273" s="21">
        <v>1.22437</v>
      </c>
      <c r="P273" s="21">
        <v>11.176500000000001</v>
      </c>
      <c r="Q273" s="21">
        <v>-1.1502099999999999E-2</v>
      </c>
      <c r="R273" s="21">
        <v>263</v>
      </c>
      <c r="S273" s="21">
        <v>1.2237499999999999</v>
      </c>
      <c r="T273">
        <f t="shared" si="50"/>
        <v>14.200123456790122</v>
      </c>
      <c r="U273">
        <f t="shared" si="51"/>
        <v>17.386205156790123</v>
      </c>
      <c r="X273" s="9"/>
      <c r="Y273" s="21">
        <v>0.28564499999999998</v>
      </c>
      <c r="Z273" s="21">
        <v>16.2742</v>
      </c>
      <c r="AA273" s="21">
        <v>-1.44867E-2</v>
      </c>
      <c r="AB273" s="21">
        <v>263</v>
      </c>
      <c r="AC273" s="21">
        <v>0.28506500000000001</v>
      </c>
      <c r="AD273">
        <f t="shared" si="52"/>
        <v>17.884814814814817</v>
      </c>
      <c r="AE273">
        <f t="shared" si="53"/>
        <v>5.108707927777778</v>
      </c>
      <c r="AF273" s="9"/>
      <c r="AG273" s="21">
        <v>1.22437</v>
      </c>
      <c r="AH273" s="21">
        <v>19.710699999999999</v>
      </c>
      <c r="AI273" s="21">
        <v>-1.1184700000000001E-2</v>
      </c>
      <c r="AJ273" s="21">
        <v>263</v>
      </c>
      <c r="AK273" s="21">
        <v>1.2237499999999999</v>
      </c>
      <c r="AL273">
        <f t="shared" si="54"/>
        <v>13.808271604938271</v>
      </c>
      <c r="AM273">
        <f t="shared" si="55"/>
        <v>16.906433504938271</v>
      </c>
      <c r="AP273" s="9"/>
      <c r="AQ273" s="21">
        <v>0.28564499999999998</v>
      </c>
      <c r="AR273" s="21">
        <v>24.853400000000001</v>
      </c>
      <c r="AS273" s="21">
        <v>-1.4379899999999999E-2</v>
      </c>
      <c r="AT273" s="21">
        <v>263</v>
      </c>
      <c r="AU273" s="21">
        <v>0.28509499999999999</v>
      </c>
      <c r="AV273">
        <f t="shared" si="56"/>
        <v>17.752962962962961</v>
      </c>
      <c r="AW273">
        <f t="shared" si="57"/>
        <v>5.0710451055555543</v>
      </c>
      <c r="AX273" s="9"/>
      <c r="AY273" s="21">
        <v>1.22437</v>
      </c>
      <c r="AZ273" s="21">
        <v>28.289899999999999</v>
      </c>
      <c r="BA273" s="21">
        <v>-1.10901E-2</v>
      </c>
      <c r="BB273" s="21">
        <v>263</v>
      </c>
      <c r="BC273" s="21">
        <v>1.2240599999999999</v>
      </c>
      <c r="BD273">
        <f t="shared" si="58"/>
        <v>13.691481481481482</v>
      </c>
      <c r="BE273">
        <f t="shared" si="59"/>
        <v>16.76343918148148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0.280609</v>
      </c>
      <c r="H274" s="21">
        <v>7.75007</v>
      </c>
      <c r="I274" s="21">
        <v>-1.46667E-2</v>
      </c>
      <c r="J274" s="21">
        <v>264</v>
      </c>
      <c r="K274" s="21">
        <v>0.28002899999999997</v>
      </c>
      <c r="L274">
        <f t="shared" si="48"/>
        <v>18.107037037037035</v>
      </c>
      <c r="M274">
        <f t="shared" si="49"/>
        <v>5.0809975559259248</v>
      </c>
      <c r="N274" s="9"/>
      <c r="O274" s="21">
        <v>1.2294</v>
      </c>
      <c r="P274" s="21">
        <v>11.1866</v>
      </c>
      <c r="Q274" s="21">
        <v>-1.1456300000000001E-2</v>
      </c>
      <c r="R274" s="21">
        <v>264</v>
      </c>
      <c r="S274" s="21">
        <v>1.22864</v>
      </c>
      <c r="T274">
        <f t="shared" si="50"/>
        <v>14.143580246913581</v>
      </c>
      <c r="U274">
        <f t="shared" si="51"/>
        <v>17.388117555555556</v>
      </c>
      <c r="X274" s="9"/>
      <c r="Y274" s="21">
        <v>0.280609</v>
      </c>
      <c r="Z274" s="21">
        <v>16.284300000000002</v>
      </c>
      <c r="AA274" s="21">
        <v>-1.4483599999999999E-2</v>
      </c>
      <c r="AB274" s="21">
        <v>264</v>
      </c>
      <c r="AC274" s="21">
        <v>0.28005999999999998</v>
      </c>
      <c r="AD274">
        <f t="shared" si="52"/>
        <v>17.880987654320986</v>
      </c>
      <c r="AE274">
        <f t="shared" si="53"/>
        <v>5.0175660646913576</v>
      </c>
      <c r="AF274" s="9"/>
      <c r="AG274" s="21">
        <v>1.2294</v>
      </c>
      <c r="AH274" s="21">
        <v>19.720800000000001</v>
      </c>
      <c r="AI274" s="21">
        <v>-1.11206E-2</v>
      </c>
      <c r="AJ274" s="21">
        <v>264</v>
      </c>
      <c r="AK274" s="21">
        <v>1.22864</v>
      </c>
      <c r="AL274">
        <f t="shared" si="54"/>
        <v>13.729135802469134</v>
      </c>
      <c r="AM274">
        <f t="shared" si="55"/>
        <v>16.878599555555553</v>
      </c>
      <c r="AP274" s="9"/>
      <c r="AQ274" s="21">
        <v>0.280609</v>
      </c>
      <c r="AR274" s="21">
        <v>24.863499999999998</v>
      </c>
      <c r="AS274" s="21">
        <v>-1.4389000000000001E-2</v>
      </c>
      <c r="AT274" s="21">
        <v>264</v>
      </c>
      <c r="AU274" s="21">
        <v>0.27996799999999999</v>
      </c>
      <c r="AV274">
        <f t="shared" si="56"/>
        <v>17.764197530864198</v>
      </c>
      <c r="AW274">
        <f t="shared" si="57"/>
        <v>4.984793704938272</v>
      </c>
      <c r="AX274" s="9"/>
      <c r="AY274" s="21">
        <v>1.2294</v>
      </c>
      <c r="AZ274" s="21">
        <v>28.3</v>
      </c>
      <c r="BA274" s="21">
        <v>-1.10443E-2</v>
      </c>
      <c r="BB274" s="21">
        <v>264</v>
      </c>
      <c r="BC274" s="21">
        <v>1.22864</v>
      </c>
      <c r="BD274">
        <f t="shared" si="58"/>
        <v>13.634938271604938</v>
      </c>
      <c r="BE274">
        <f t="shared" si="59"/>
        <v>16.762793111111112</v>
      </c>
    </row>
    <row r="275" spans="6:101" x14ac:dyDescent="0.25">
      <c r="F275" s="9"/>
      <c r="G275" s="21">
        <v>0.27557399999999999</v>
      </c>
      <c r="H275" s="21">
        <v>7.7601399999999998</v>
      </c>
      <c r="I275" s="21">
        <v>-1.46759E-2</v>
      </c>
      <c r="J275" s="21">
        <v>265</v>
      </c>
      <c r="K275" s="21">
        <v>0.27496300000000001</v>
      </c>
      <c r="L275">
        <f t="shared" si="48"/>
        <v>18.118395061728396</v>
      </c>
      <c r="M275">
        <f t="shared" si="49"/>
        <v>4.9929586007407405</v>
      </c>
      <c r="N275" s="9"/>
      <c r="O275" s="21">
        <v>1.23444</v>
      </c>
      <c r="P275" s="21">
        <v>11.1966</v>
      </c>
      <c r="Q275" s="21">
        <v>-1.13983E-2</v>
      </c>
      <c r="R275" s="21">
        <v>265</v>
      </c>
      <c r="S275" s="21">
        <v>1.23383</v>
      </c>
      <c r="T275">
        <f t="shared" si="50"/>
        <v>14.071975308641976</v>
      </c>
      <c r="U275">
        <f t="shared" si="51"/>
        <v>17.3710092</v>
      </c>
      <c r="X275" s="9"/>
      <c r="Y275" s="21">
        <v>0.27557399999999999</v>
      </c>
      <c r="Z275" s="21">
        <v>16.2943</v>
      </c>
      <c r="AA275" s="21">
        <v>-1.44806E-2</v>
      </c>
      <c r="AB275" s="21">
        <v>265</v>
      </c>
      <c r="AC275" s="21">
        <v>0.27505499999999999</v>
      </c>
      <c r="AD275">
        <f t="shared" si="52"/>
        <v>17.877283950617283</v>
      </c>
      <c r="AE275">
        <f t="shared" si="53"/>
        <v>4.9265146474074069</v>
      </c>
      <c r="AF275" s="9"/>
      <c r="AG275" s="21">
        <v>1.23444</v>
      </c>
      <c r="AH275" s="21">
        <v>19.730899999999998</v>
      </c>
      <c r="AI275" s="21">
        <v>-1.10718E-2</v>
      </c>
      <c r="AJ275" s="21">
        <v>265</v>
      </c>
      <c r="AK275" s="21">
        <v>1.23383</v>
      </c>
      <c r="AL275">
        <f t="shared" si="54"/>
        <v>13.668888888888889</v>
      </c>
      <c r="AM275">
        <f t="shared" si="55"/>
        <v>16.873423199999998</v>
      </c>
      <c r="AP275" s="9"/>
      <c r="AQ275" s="21">
        <v>0.27557399999999999</v>
      </c>
      <c r="AR275" s="21">
        <v>24.8736</v>
      </c>
      <c r="AS275" s="21">
        <v>-1.44104E-2</v>
      </c>
      <c r="AT275" s="21">
        <v>265</v>
      </c>
      <c r="AU275" s="21">
        <v>0.27499400000000002</v>
      </c>
      <c r="AV275">
        <f t="shared" si="56"/>
        <v>17.790617283950617</v>
      </c>
      <c r="AW275">
        <f t="shared" si="57"/>
        <v>4.9026315674074068</v>
      </c>
      <c r="AX275" s="9"/>
      <c r="AY275" s="21">
        <v>1.23444</v>
      </c>
      <c r="AZ275" s="21">
        <v>28.31</v>
      </c>
      <c r="BA275" s="21">
        <v>-1.09894E-2</v>
      </c>
      <c r="BB275" s="21">
        <v>265</v>
      </c>
      <c r="BC275" s="21">
        <v>1.23322</v>
      </c>
      <c r="BD275">
        <f t="shared" si="58"/>
        <v>13.56716049382716</v>
      </c>
      <c r="BE275">
        <f t="shared" si="59"/>
        <v>16.747845599999998</v>
      </c>
    </row>
    <row r="276" spans="6:101" x14ac:dyDescent="0.25">
      <c r="F276" s="9"/>
      <c r="G276" s="21">
        <v>0.270538</v>
      </c>
      <c r="H276" s="21">
        <v>7.7702099999999996</v>
      </c>
      <c r="I276" s="21">
        <v>-1.4678999999999999E-2</v>
      </c>
      <c r="J276" s="21">
        <v>266</v>
      </c>
      <c r="K276" s="21">
        <v>0.26995799999999998</v>
      </c>
      <c r="L276">
        <f t="shared" si="48"/>
        <v>18.12222222222222</v>
      </c>
      <c r="M276">
        <f t="shared" si="49"/>
        <v>4.902749755555555</v>
      </c>
      <c r="N276" s="9"/>
      <c r="O276" s="21">
        <v>1.2394700000000001</v>
      </c>
      <c r="P276" s="21">
        <v>11.2067</v>
      </c>
      <c r="Q276" s="21">
        <v>-1.13373E-2</v>
      </c>
      <c r="R276" s="21">
        <v>266</v>
      </c>
      <c r="S276" s="21">
        <v>1.2383999999999999</v>
      </c>
      <c r="T276">
        <f t="shared" si="50"/>
        <v>13.996666666666666</v>
      </c>
      <c r="U276">
        <f t="shared" si="51"/>
        <v>17.348448433333335</v>
      </c>
      <c r="X276" s="9"/>
      <c r="Y276" s="21">
        <v>0.270538</v>
      </c>
      <c r="Z276" s="21">
        <v>16.304400000000001</v>
      </c>
      <c r="AA276" s="21">
        <v>-1.4477500000000001E-2</v>
      </c>
      <c r="AB276" s="21">
        <v>266</v>
      </c>
      <c r="AC276" s="21">
        <v>0.269928</v>
      </c>
      <c r="AD276">
        <f t="shared" si="52"/>
        <v>17.873456790123456</v>
      </c>
      <c r="AE276">
        <f t="shared" si="53"/>
        <v>4.835449253086419</v>
      </c>
      <c r="AF276" s="9"/>
      <c r="AG276" s="21">
        <v>1.2394700000000001</v>
      </c>
      <c r="AH276" s="21">
        <v>19.7409</v>
      </c>
      <c r="AI276" s="21">
        <v>-1.1019899999999999E-2</v>
      </c>
      <c r="AJ276" s="21">
        <v>266</v>
      </c>
      <c r="AK276" s="21">
        <v>1.23871</v>
      </c>
      <c r="AL276">
        <f t="shared" si="54"/>
        <v>13.604814814814812</v>
      </c>
      <c r="AM276">
        <f t="shared" si="55"/>
        <v>16.862759818518516</v>
      </c>
      <c r="AP276" s="9"/>
      <c r="AQ276" s="21">
        <v>0.270538</v>
      </c>
      <c r="AR276" s="21">
        <v>24.883600000000001</v>
      </c>
      <c r="AS276" s="21">
        <v>-1.4434799999999999E-2</v>
      </c>
      <c r="AT276" s="21">
        <v>266</v>
      </c>
      <c r="AU276" s="21">
        <v>0.269897</v>
      </c>
      <c r="AV276">
        <f t="shared" si="56"/>
        <v>17.820740740740739</v>
      </c>
      <c r="AW276">
        <f t="shared" si="57"/>
        <v>4.8211875585185178</v>
      </c>
      <c r="AX276" s="9"/>
      <c r="AY276" s="21">
        <v>1.2394700000000001</v>
      </c>
      <c r="AZ276" s="21">
        <v>28.3201</v>
      </c>
      <c r="BA276" s="21">
        <v>-1.0925300000000001E-2</v>
      </c>
      <c r="BB276" s="21">
        <v>266</v>
      </c>
      <c r="BC276" s="21">
        <v>1.2381</v>
      </c>
      <c r="BD276">
        <f t="shared" si="58"/>
        <v>13.488024691358024</v>
      </c>
      <c r="BE276">
        <f t="shared" si="59"/>
        <v>16.71800196419753</v>
      </c>
    </row>
    <row r="277" spans="6:101" x14ac:dyDescent="0.25">
      <c r="F277" s="9"/>
      <c r="G277" s="21">
        <v>0.26550299999999999</v>
      </c>
      <c r="H277" s="21">
        <v>7.7802800000000003</v>
      </c>
      <c r="I277" s="21">
        <v>-1.4682000000000001E-2</v>
      </c>
      <c r="J277" s="21">
        <v>267</v>
      </c>
      <c r="K277" s="21">
        <v>0.265015</v>
      </c>
      <c r="L277">
        <f t="shared" si="48"/>
        <v>18.125925925925923</v>
      </c>
      <c r="M277">
        <f t="shared" si="49"/>
        <v>4.8124877111111104</v>
      </c>
      <c r="N277" s="9"/>
      <c r="O277" s="21">
        <v>1.24451</v>
      </c>
      <c r="P277" s="21">
        <v>11.216799999999999</v>
      </c>
      <c r="Q277" s="21">
        <v>-1.12823E-2</v>
      </c>
      <c r="R277" s="21">
        <v>267</v>
      </c>
      <c r="S277" s="21">
        <v>1.2439</v>
      </c>
      <c r="T277">
        <f t="shared" si="50"/>
        <v>13.928765432098766</v>
      </c>
      <c r="U277">
        <f t="shared" si="51"/>
        <v>17.334487867901235</v>
      </c>
      <c r="X277" s="9"/>
      <c r="Y277" s="21">
        <v>0.26550299999999999</v>
      </c>
      <c r="Z277" s="21">
        <v>16.314499999999999</v>
      </c>
      <c r="AA277" s="21">
        <v>-1.4489699999999999E-2</v>
      </c>
      <c r="AB277" s="21">
        <v>267</v>
      </c>
      <c r="AC277" s="21">
        <v>0.26492300000000002</v>
      </c>
      <c r="AD277">
        <f t="shared" si="52"/>
        <v>17.888518518518516</v>
      </c>
      <c r="AE277">
        <f t="shared" si="53"/>
        <v>4.7494553322222215</v>
      </c>
      <c r="AF277" s="9"/>
      <c r="AG277" s="21">
        <v>1.24451</v>
      </c>
      <c r="AH277" s="21">
        <v>19.751000000000001</v>
      </c>
      <c r="AI277" s="21">
        <v>-1.0974100000000001E-2</v>
      </c>
      <c r="AJ277" s="21">
        <v>267</v>
      </c>
      <c r="AK277" s="21">
        <v>1.24359</v>
      </c>
      <c r="AL277">
        <f t="shared" si="54"/>
        <v>13.548271604938272</v>
      </c>
      <c r="AM277">
        <f t="shared" si="55"/>
        <v>16.860959495061728</v>
      </c>
      <c r="AP277" s="9"/>
      <c r="AQ277" s="21">
        <v>0.26550299999999999</v>
      </c>
      <c r="AR277" s="21">
        <v>24.893699999999999</v>
      </c>
      <c r="AS277" s="21">
        <v>-1.44501E-2</v>
      </c>
      <c r="AT277" s="21">
        <v>267</v>
      </c>
      <c r="AU277" s="21">
        <v>0.26492300000000002</v>
      </c>
      <c r="AV277">
        <f t="shared" si="56"/>
        <v>17.839629629629631</v>
      </c>
      <c r="AW277">
        <f t="shared" si="57"/>
        <v>4.7364751855555554</v>
      </c>
      <c r="AX277" s="9"/>
      <c r="AY277" s="21">
        <v>1.24451</v>
      </c>
      <c r="AZ277" s="21">
        <v>28.330200000000001</v>
      </c>
      <c r="BA277" s="21">
        <v>-1.08643E-2</v>
      </c>
      <c r="BB277" s="21">
        <v>267</v>
      </c>
      <c r="BC277" s="21">
        <v>1.24329</v>
      </c>
      <c r="BD277">
        <f t="shared" si="58"/>
        <v>13.412716049382714</v>
      </c>
      <c r="BE277">
        <f t="shared" si="59"/>
        <v>16.692259250617283</v>
      </c>
    </row>
    <row r="278" spans="6:101" x14ac:dyDescent="0.25">
      <c r="F278" s="9"/>
      <c r="G278" s="21">
        <v>0.26046799999999998</v>
      </c>
      <c r="H278" s="21">
        <v>7.7903500000000001</v>
      </c>
      <c r="I278" s="21">
        <v>-1.46973E-2</v>
      </c>
      <c r="J278" s="21">
        <v>268</v>
      </c>
      <c r="K278" s="21">
        <v>0.25991799999999998</v>
      </c>
      <c r="L278">
        <f t="shared" si="48"/>
        <v>18.144814814814815</v>
      </c>
      <c r="M278">
        <f t="shared" si="49"/>
        <v>4.7261436251851849</v>
      </c>
      <c r="N278" s="9"/>
      <c r="O278" s="21">
        <v>1.2495400000000001</v>
      </c>
      <c r="P278" s="21">
        <v>11.226800000000001</v>
      </c>
      <c r="Q278" s="21">
        <v>-1.1224400000000001E-2</v>
      </c>
      <c r="R278" s="21">
        <v>268</v>
      </c>
      <c r="S278" s="21">
        <v>1.24878</v>
      </c>
      <c r="T278">
        <f t="shared" si="50"/>
        <v>13.857283950617285</v>
      </c>
      <c r="U278">
        <f t="shared" si="51"/>
        <v>17.315230587654323</v>
      </c>
      <c r="X278" s="9"/>
      <c r="Y278" s="21">
        <v>0.26046799999999998</v>
      </c>
      <c r="Z278" s="21">
        <v>16.3246</v>
      </c>
      <c r="AA278" s="21">
        <v>-1.4501999999999999E-2</v>
      </c>
      <c r="AB278" s="21">
        <v>268</v>
      </c>
      <c r="AC278" s="21">
        <v>0.25988800000000001</v>
      </c>
      <c r="AD278">
        <f t="shared" si="52"/>
        <v>17.903703703703702</v>
      </c>
      <c r="AE278">
        <f t="shared" si="53"/>
        <v>4.6633418962962949</v>
      </c>
      <c r="AF278" s="9"/>
      <c r="AG278" s="21">
        <v>1.2495400000000001</v>
      </c>
      <c r="AH278" s="21">
        <v>19.761099999999999</v>
      </c>
      <c r="AI278" s="21">
        <v>-1.09222E-2</v>
      </c>
      <c r="AJ278" s="21">
        <v>268</v>
      </c>
      <c r="AK278" s="21">
        <v>1.24847</v>
      </c>
      <c r="AL278">
        <f t="shared" si="54"/>
        <v>13.484197530864197</v>
      </c>
      <c r="AM278">
        <f t="shared" si="55"/>
        <v>16.84904418271605</v>
      </c>
      <c r="AP278" s="9"/>
      <c r="AQ278" s="21">
        <v>0.26046799999999998</v>
      </c>
      <c r="AR278" s="21">
        <v>24.9038</v>
      </c>
      <c r="AS278" s="21">
        <v>-1.4462300000000001E-2</v>
      </c>
      <c r="AT278" s="21">
        <v>268</v>
      </c>
      <c r="AU278" s="21">
        <v>0.25988800000000001</v>
      </c>
      <c r="AV278">
        <f t="shared" si="56"/>
        <v>17.854691358024692</v>
      </c>
      <c r="AW278">
        <f t="shared" si="57"/>
        <v>4.650575748641975</v>
      </c>
      <c r="AX278" s="9"/>
      <c r="AY278" s="21">
        <v>1.2495400000000001</v>
      </c>
      <c r="AZ278" s="21">
        <v>28.340299999999999</v>
      </c>
      <c r="BA278" s="21">
        <v>-1.07971E-2</v>
      </c>
      <c r="BB278" s="21">
        <v>268</v>
      </c>
      <c r="BC278" s="21">
        <v>1.24817</v>
      </c>
      <c r="BD278">
        <f t="shared" si="58"/>
        <v>13.329753086419753</v>
      </c>
      <c r="BE278">
        <f t="shared" si="59"/>
        <v>16.65605967160494</v>
      </c>
    </row>
    <row r="279" spans="6:101" x14ac:dyDescent="0.25">
      <c r="F279" s="9"/>
      <c r="G279" s="21">
        <v>0.25543199999999999</v>
      </c>
      <c r="H279" s="21">
        <v>7.8004199999999999</v>
      </c>
      <c r="I279" s="21">
        <v>-1.47064E-2</v>
      </c>
      <c r="J279" s="21">
        <v>269</v>
      </c>
      <c r="K279" s="21">
        <v>0.25485200000000002</v>
      </c>
      <c r="L279">
        <f t="shared" si="48"/>
        <v>18.156049382716049</v>
      </c>
      <c r="M279">
        <f t="shared" si="49"/>
        <v>4.6376360059259252</v>
      </c>
      <c r="N279" s="9"/>
      <c r="O279" s="21">
        <v>1.25458</v>
      </c>
      <c r="P279" s="21">
        <v>11.2369</v>
      </c>
      <c r="Q279" s="21">
        <v>-1.1169399999999999E-2</v>
      </c>
      <c r="R279" s="21">
        <v>269</v>
      </c>
      <c r="S279" s="21">
        <v>1.25336</v>
      </c>
      <c r="T279">
        <f t="shared" si="50"/>
        <v>13.789382716049381</v>
      </c>
      <c r="U279">
        <f t="shared" si="51"/>
        <v>17.299883767901232</v>
      </c>
      <c r="X279" s="9"/>
      <c r="Y279" s="21">
        <v>0.25543199999999999</v>
      </c>
      <c r="Z279" s="21">
        <v>16.334599999999998</v>
      </c>
      <c r="AA279" s="21">
        <v>-1.4511100000000001E-2</v>
      </c>
      <c r="AB279" s="21">
        <v>269</v>
      </c>
      <c r="AC279" s="21">
        <v>0.25466899999999998</v>
      </c>
      <c r="AD279">
        <f t="shared" si="52"/>
        <v>17.914938271604939</v>
      </c>
      <c r="AE279">
        <f t="shared" si="53"/>
        <v>4.5760485125925925</v>
      </c>
      <c r="AF279" s="9"/>
      <c r="AG279" s="21">
        <v>1.25458</v>
      </c>
      <c r="AH279" s="21">
        <v>19.7712</v>
      </c>
      <c r="AI279" s="21">
        <v>-1.08856E-2</v>
      </c>
      <c r="AJ279" s="21">
        <v>269</v>
      </c>
      <c r="AK279" s="21">
        <v>1.25397</v>
      </c>
      <c r="AL279">
        <f t="shared" si="54"/>
        <v>13.439012345679012</v>
      </c>
      <c r="AM279">
        <f t="shared" si="55"/>
        <v>16.860316108641975</v>
      </c>
      <c r="AP279" s="9"/>
      <c r="AQ279" s="21">
        <v>0.25543199999999999</v>
      </c>
      <c r="AR279" s="21">
        <v>24.913799999999998</v>
      </c>
      <c r="AS279" s="21">
        <v>-1.44653E-2</v>
      </c>
      <c r="AT279" s="21">
        <v>269</v>
      </c>
      <c r="AU279" s="21">
        <v>0.25479099999999999</v>
      </c>
      <c r="AV279">
        <f t="shared" si="56"/>
        <v>17.858395061728395</v>
      </c>
      <c r="AW279">
        <f t="shared" si="57"/>
        <v>4.5616055674074074</v>
      </c>
      <c r="AX279" s="9"/>
      <c r="AY279" s="21">
        <v>1.25458</v>
      </c>
      <c r="AZ279" s="21">
        <v>28.350300000000001</v>
      </c>
      <c r="BA279" s="21">
        <v>-1.07391E-2</v>
      </c>
      <c r="BB279" s="21">
        <v>269</v>
      </c>
      <c r="BC279" s="21">
        <v>1.25305</v>
      </c>
      <c r="BD279">
        <f t="shared" si="58"/>
        <v>13.258148148148148</v>
      </c>
      <c r="BE279">
        <f t="shared" si="59"/>
        <v>16.633407503703705</v>
      </c>
    </row>
    <row r="280" spans="6:101" x14ac:dyDescent="0.25">
      <c r="F280" s="9"/>
      <c r="G280" s="21">
        <v>0.25039699999999998</v>
      </c>
      <c r="H280" s="21">
        <v>7.8104899999999997</v>
      </c>
      <c r="I280" s="21">
        <v>-1.4715600000000001E-2</v>
      </c>
      <c r="J280" s="21">
        <v>270</v>
      </c>
      <c r="K280" s="21">
        <v>0.249725</v>
      </c>
      <c r="L280">
        <f t="shared" si="48"/>
        <v>18.167407407407406</v>
      </c>
      <c r="M280">
        <f t="shared" si="49"/>
        <v>4.5490643125925923</v>
      </c>
      <c r="N280" s="9"/>
      <c r="O280" s="21">
        <v>1.2596099999999999</v>
      </c>
      <c r="P280" s="21">
        <v>11.247</v>
      </c>
      <c r="Q280" s="21">
        <v>-1.11176E-2</v>
      </c>
      <c r="R280" s="21">
        <v>270</v>
      </c>
      <c r="S280" s="21">
        <v>1.25885</v>
      </c>
      <c r="T280">
        <f t="shared" si="50"/>
        <v>13.725432098765431</v>
      </c>
      <c r="U280">
        <f t="shared" si="51"/>
        <v>17.288691525925923</v>
      </c>
      <c r="X280" s="9"/>
      <c r="Y280" s="21">
        <v>0.25039699999999998</v>
      </c>
      <c r="Z280" s="21">
        <v>16.3447</v>
      </c>
      <c r="AA280" s="21">
        <v>-1.4517199999999999E-2</v>
      </c>
      <c r="AB280" s="21">
        <v>270</v>
      </c>
      <c r="AC280" s="21">
        <v>0.24987799999999999</v>
      </c>
      <c r="AD280">
        <f t="shared" si="52"/>
        <v>17.922469135802466</v>
      </c>
      <c r="AE280">
        <f t="shared" si="53"/>
        <v>4.4877325041975293</v>
      </c>
      <c r="AF280" s="9"/>
      <c r="AG280" s="21">
        <v>1.2596099999999999</v>
      </c>
      <c r="AH280" s="21">
        <v>19.781199999999998</v>
      </c>
      <c r="AI280" s="21">
        <v>-1.08276E-2</v>
      </c>
      <c r="AJ280" s="21">
        <v>270</v>
      </c>
      <c r="AK280" s="21">
        <v>1.25854</v>
      </c>
      <c r="AL280">
        <f t="shared" si="54"/>
        <v>13.367407407407406</v>
      </c>
      <c r="AM280">
        <f t="shared" si="55"/>
        <v>16.837720044444442</v>
      </c>
      <c r="AP280" s="9"/>
      <c r="AQ280" s="21">
        <v>0.25039699999999998</v>
      </c>
      <c r="AR280" s="21">
        <v>24.9239</v>
      </c>
      <c r="AS280" s="21">
        <v>-1.4471400000000001E-2</v>
      </c>
      <c r="AT280" s="21">
        <v>270</v>
      </c>
      <c r="AU280" s="21">
        <v>0.24978600000000001</v>
      </c>
      <c r="AV280">
        <f t="shared" si="56"/>
        <v>17.865925925925925</v>
      </c>
      <c r="AW280">
        <f t="shared" si="57"/>
        <v>4.4735742540740739</v>
      </c>
      <c r="AX280" s="9"/>
      <c r="AY280" s="21">
        <v>1.2596099999999999</v>
      </c>
      <c r="AZ280" s="21">
        <v>28.360399999999998</v>
      </c>
      <c r="BA280" s="21">
        <v>-1.06812E-2</v>
      </c>
      <c r="BB280" s="21">
        <v>270</v>
      </c>
      <c r="BC280" s="21">
        <v>1.25854</v>
      </c>
      <c r="BD280">
        <f t="shared" si="58"/>
        <v>13.186666666666666</v>
      </c>
      <c r="BE280">
        <f t="shared" si="59"/>
        <v>16.610057199999996</v>
      </c>
    </row>
    <row r="281" spans="6:101" x14ac:dyDescent="0.25">
      <c r="F281" s="9"/>
      <c r="G281" s="21">
        <v>0.245361</v>
      </c>
      <c r="H281" s="21">
        <v>7.8205600000000004</v>
      </c>
      <c r="I281" s="21">
        <v>-1.4727799999999999E-2</v>
      </c>
      <c r="J281" s="21">
        <v>271</v>
      </c>
      <c r="K281" s="21">
        <v>0.24462900000000001</v>
      </c>
      <c r="L281">
        <f t="shared" si="48"/>
        <v>18.182469135802467</v>
      </c>
      <c r="M281">
        <f t="shared" si="49"/>
        <v>4.4612688096296287</v>
      </c>
      <c r="N281" s="9"/>
      <c r="O281" s="21">
        <v>1.2646500000000001</v>
      </c>
      <c r="P281" s="21">
        <v>11.257099999999999</v>
      </c>
      <c r="Q281" s="21">
        <v>-1.1053500000000001E-2</v>
      </c>
      <c r="R281" s="21">
        <v>271</v>
      </c>
      <c r="S281" s="21">
        <v>1.2640400000000001</v>
      </c>
      <c r="T281">
        <f t="shared" si="50"/>
        <v>13.646296296296297</v>
      </c>
      <c r="U281">
        <f t="shared" si="51"/>
        <v>17.257788611111113</v>
      </c>
      <c r="X281" s="9"/>
      <c r="Y281" s="21">
        <v>0.245361</v>
      </c>
      <c r="Z281" s="21">
        <v>16.354800000000001</v>
      </c>
      <c r="AA281" s="21">
        <v>-1.45264E-2</v>
      </c>
      <c r="AB281" s="21">
        <v>271</v>
      </c>
      <c r="AC281" s="21">
        <v>0.244781</v>
      </c>
      <c r="AD281">
        <f t="shared" si="52"/>
        <v>17.933827160493827</v>
      </c>
      <c r="AE281">
        <f t="shared" si="53"/>
        <v>4.4002617659259258</v>
      </c>
      <c r="AF281" s="9"/>
      <c r="AG281" s="21">
        <v>1.2646500000000001</v>
      </c>
      <c r="AH281" s="21">
        <v>19.7913</v>
      </c>
      <c r="AI281" s="21">
        <v>-1.0754400000000001E-2</v>
      </c>
      <c r="AJ281" s="21">
        <v>271</v>
      </c>
      <c r="AK281" s="21">
        <v>1.2640400000000001</v>
      </c>
      <c r="AL281">
        <f t="shared" si="54"/>
        <v>13.277037037037037</v>
      </c>
      <c r="AM281">
        <f t="shared" si="55"/>
        <v>16.790804888888889</v>
      </c>
      <c r="AP281" s="9"/>
      <c r="AQ281" s="21">
        <v>0.245361</v>
      </c>
      <c r="AR281" s="21">
        <v>24.934000000000001</v>
      </c>
      <c r="AS281" s="21">
        <v>-1.44806E-2</v>
      </c>
      <c r="AT281" s="21">
        <v>271</v>
      </c>
      <c r="AU281" s="21">
        <v>0.24468999999999999</v>
      </c>
      <c r="AV281">
        <f t="shared" si="56"/>
        <v>17.877283950617283</v>
      </c>
      <c r="AW281">
        <f t="shared" si="57"/>
        <v>4.3863882674074075</v>
      </c>
      <c r="AX281" s="9"/>
      <c r="AY281" s="21">
        <v>1.2646500000000001</v>
      </c>
      <c r="AZ281" s="21">
        <v>28.3705</v>
      </c>
      <c r="BA281" s="21">
        <v>-1.0614E-2</v>
      </c>
      <c r="BB281" s="21">
        <v>271</v>
      </c>
      <c r="BC281" s="21">
        <v>1.2640400000000001</v>
      </c>
      <c r="BD281">
        <f t="shared" si="58"/>
        <v>13.103703703703703</v>
      </c>
      <c r="BE281">
        <f t="shared" si="59"/>
        <v>16.571598888888889</v>
      </c>
    </row>
    <row r="282" spans="6:101" x14ac:dyDescent="0.25">
      <c r="F282" s="9"/>
      <c r="G282" s="21">
        <v>0.24032600000000001</v>
      </c>
      <c r="H282" s="21">
        <v>7.8306300000000002</v>
      </c>
      <c r="I282" s="21">
        <v>-1.474E-2</v>
      </c>
      <c r="J282" s="21">
        <v>272</v>
      </c>
      <c r="K282" s="21">
        <v>0.23974599999999999</v>
      </c>
      <c r="L282">
        <f t="shared" si="48"/>
        <v>18.197530864197528</v>
      </c>
      <c r="M282">
        <f t="shared" si="49"/>
        <v>4.3733398024691352</v>
      </c>
      <c r="N282" s="9"/>
      <c r="O282" s="21">
        <v>1.2696799999999999</v>
      </c>
      <c r="P282" s="21">
        <v>11.267099999999999</v>
      </c>
      <c r="Q282" s="21">
        <v>-1.10046E-2</v>
      </c>
      <c r="R282" s="21">
        <v>272</v>
      </c>
      <c r="S282" s="21">
        <v>1.2686200000000001</v>
      </c>
      <c r="T282">
        <f t="shared" si="50"/>
        <v>13.585925925925926</v>
      </c>
      <c r="U282">
        <f t="shared" si="51"/>
        <v>17.249778429629629</v>
      </c>
      <c r="X282" s="9"/>
      <c r="Y282" s="21">
        <v>0.24032600000000001</v>
      </c>
      <c r="Z282" s="21">
        <v>16.364799999999999</v>
      </c>
      <c r="AA282" s="21">
        <v>-1.45325E-2</v>
      </c>
      <c r="AB282" s="21">
        <v>272</v>
      </c>
      <c r="AC282" s="21">
        <v>0.23971600000000001</v>
      </c>
      <c r="AD282">
        <f t="shared" si="52"/>
        <v>17.941358024691358</v>
      </c>
      <c r="AE282">
        <f t="shared" si="53"/>
        <v>4.3117748086419754</v>
      </c>
      <c r="AF282" s="9"/>
      <c r="AG282" s="21">
        <v>1.2696799999999999</v>
      </c>
      <c r="AH282" s="21">
        <v>19.801400000000001</v>
      </c>
      <c r="AI282" s="21">
        <v>-1.06842E-2</v>
      </c>
      <c r="AJ282" s="21">
        <v>272</v>
      </c>
      <c r="AK282" s="21">
        <v>1.2686200000000001</v>
      </c>
      <c r="AL282">
        <f t="shared" si="54"/>
        <v>13.190370370370371</v>
      </c>
      <c r="AM282">
        <f t="shared" si="55"/>
        <v>16.74754945185185</v>
      </c>
      <c r="AP282" s="9"/>
      <c r="AQ282" s="21">
        <v>0.24032600000000001</v>
      </c>
      <c r="AR282" s="21">
        <v>24.943999999999999</v>
      </c>
      <c r="AS282" s="21">
        <v>-1.4477500000000001E-2</v>
      </c>
      <c r="AT282" s="21">
        <v>272</v>
      </c>
      <c r="AU282" s="21">
        <v>0.23974599999999999</v>
      </c>
      <c r="AV282">
        <f t="shared" si="56"/>
        <v>17.873456790123456</v>
      </c>
      <c r="AW282">
        <f t="shared" si="57"/>
        <v>4.2954563765432097</v>
      </c>
      <c r="AX282" s="9"/>
      <c r="AY282" s="21">
        <v>1.2696799999999999</v>
      </c>
      <c r="AZ282" s="21">
        <v>28.380500000000001</v>
      </c>
      <c r="BA282" s="21">
        <v>-1.0549899999999999E-2</v>
      </c>
      <c r="BB282" s="21">
        <v>272</v>
      </c>
      <c r="BC282" s="21">
        <v>1.26892</v>
      </c>
      <c r="BD282">
        <f t="shared" si="58"/>
        <v>13.024567901234567</v>
      </c>
      <c r="BE282">
        <f t="shared" si="59"/>
        <v>16.537033372839502</v>
      </c>
    </row>
    <row r="283" spans="6:101" x14ac:dyDescent="0.25">
      <c r="F283" s="9"/>
      <c r="G283" s="21">
        <v>0.235291</v>
      </c>
      <c r="H283" s="21">
        <v>7.8407099999999996</v>
      </c>
      <c r="I283" s="21">
        <v>-1.4749099999999999E-2</v>
      </c>
      <c r="J283" s="21">
        <v>273</v>
      </c>
      <c r="K283" s="21">
        <v>0.23468</v>
      </c>
      <c r="L283">
        <f t="shared" si="48"/>
        <v>18.208765432098765</v>
      </c>
      <c r="M283">
        <f t="shared" si="49"/>
        <v>4.2843586272839502</v>
      </c>
      <c r="N283" s="9"/>
      <c r="O283" s="21">
        <v>1.2747200000000001</v>
      </c>
      <c r="P283" s="21">
        <v>11.277200000000001</v>
      </c>
      <c r="Q283" s="21">
        <v>-1.09467E-2</v>
      </c>
      <c r="R283" s="21">
        <v>273</v>
      </c>
      <c r="S283" s="21">
        <v>1.2738</v>
      </c>
      <c r="T283">
        <f t="shared" si="50"/>
        <v>13.514444444444443</v>
      </c>
      <c r="U283">
        <f t="shared" si="51"/>
        <v>17.227132622222221</v>
      </c>
      <c r="X283" s="9"/>
      <c r="Y283" s="21">
        <v>0.235291</v>
      </c>
      <c r="Z283" s="21">
        <v>16.3749</v>
      </c>
      <c r="AA283" s="21">
        <v>-1.4544700000000001E-2</v>
      </c>
      <c r="AB283" s="21">
        <v>273</v>
      </c>
      <c r="AC283" s="21">
        <v>0.23477200000000001</v>
      </c>
      <c r="AD283">
        <f t="shared" si="52"/>
        <v>17.956419753086422</v>
      </c>
      <c r="AE283">
        <f t="shared" si="53"/>
        <v>4.2249839601234571</v>
      </c>
      <c r="AF283" s="9"/>
      <c r="AG283" s="21">
        <v>1.2747200000000001</v>
      </c>
      <c r="AH283" s="21">
        <v>19.811399999999999</v>
      </c>
      <c r="AI283" s="21">
        <v>-1.06079E-2</v>
      </c>
      <c r="AJ283" s="21">
        <v>273</v>
      </c>
      <c r="AK283" s="21">
        <v>1.2741100000000001</v>
      </c>
      <c r="AL283">
        <f t="shared" si="54"/>
        <v>13.096172839506172</v>
      </c>
      <c r="AM283">
        <f t="shared" si="55"/>
        <v>16.69395344197531</v>
      </c>
      <c r="AP283" s="9"/>
      <c r="AQ283" s="21">
        <v>0.235291</v>
      </c>
      <c r="AR283" s="21">
        <v>24.9541</v>
      </c>
      <c r="AS283" s="21">
        <v>-1.44806E-2</v>
      </c>
      <c r="AT283" s="21">
        <v>273</v>
      </c>
      <c r="AU283" s="21">
        <v>0.23480200000000001</v>
      </c>
      <c r="AV283">
        <f t="shared" si="56"/>
        <v>17.877283950617283</v>
      </c>
      <c r="AW283">
        <f t="shared" si="57"/>
        <v>4.2063640180246908</v>
      </c>
      <c r="AX283" s="9"/>
      <c r="AY283" s="21">
        <v>1.2747200000000001</v>
      </c>
      <c r="AZ283" s="21">
        <v>28.390599999999999</v>
      </c>
      <c r="BA283" s="21">
        <v>-1.04858E-2</v>
      </c>
      <c r="BB283" s="21">
        <v>273</v>
      </c>
      <c r="BC283" s="21">
        <v>1.2741100000000001</v>
      </c>
      <c r="BD283">
        <f t="shared" si="58"/>
        <v>12.945432098765432</v>
      </c>
      <c r="BE283">
        <f t="shared" si="59"/>
        <v>16.501801204938271</v>
      </c>
    </row>
    <row r="284" spans="6:101" x14ac:dyDescent="0.25">
      <c r="F284" s="9"/>
      <c r="G284" s="21">
        <v>0.23025499999999999</v>
      </c>
      <c r="H284" s="21">
        <v>7.8507800000000003</v>
      </c>
      <c r="I284" s="21">
        <v>-1.47461E-2</v>
      </c>
      <c r="J284" s="21">
        <v>274</v>
      </c>
      <c r="K284" s="21">
        <v>0.22967499999999999</v>
      </c>
      <c r="L284">
        <f t="shared" si="48"/>
        <v>18.205061728395062</v>
      </c>
      <c r="M284">
        <f t="shared" si="49"/>
        <v>4.1918064882716051</v>
      </c>
      <c r="N284" s="9"/>
      <c r="O284" s="21">
        <v>1.2797499999999999</v>
      </c>
      <c r="P284" s="21">
        <v>11.2873</v>
      </c>
      <c r="Q284" s="21">
        <v>-1.0888699999999999E-2</v>
      </c>
      <c r="R284" s="21">
        <v>274</v>
      </c>
      <c r="S284" s="21">
        <v>1.2793000000000001</v>
      </c>
      <c r="T284">
        <f t="shared" si="50"/>
        <v>13.442839506172838</v>
      </c>
      <c r="U284">
        <f t="shared" si="51"/>
        <v>17.20347385802469</v>
      </c>
      <c r="X284" s="9"/>
      <c r="Y284" s="21">
        <v>0.23025499999999999</v>
      </c>
      <c r="Z284" s="21">
        <v>16.385000000000002</v>
      </c>
      <c r="AA284" s="21">
        <v>-1.45538E-2</v>
      </c>
      <c r="AB284" s="21">
        <v>274</v>
      </c>
      <c r="AC284" s="21">
        <v>0.229797</v>
      </c>
      <c r="AD284">
        <f t="shared" si="52"/>
        <v>17.967654320987652</v>
      </c>
      <c r="AE284">
        <f t="shared" si="53"/>
        <v>4.1371422456790112</v>
      </c>
      <c r="AF284" s="9"/>
      <c r="AG284" s="21">
        <v>1.2797499999999999</v>
      </c>
      <c r="AH284" s="21">
        <v>19.8215</v>
      </c>
      <c r="AI284" s="21">
        <v>-1.0534699999999999E-2</v>
      </c>
      <c r="AJ284" s="21">
        <v>274</v>
      </c>
      <c r="AK284" s="21">
        <v>1.2789900000000001</v>
      </c>
      <c r="AL284">
        <f t="shared" si="54"/>
        <v>13.0058024691358</v>
      </c>
      <c r="AM284">
        <f t="shared" si="55"/>
        <v>16.644175709876539</v>
      </c>
      <c r="AP284" s="9"/>
      <c r="AQ284" s="21">
        <v>0.23025499999999999</v>
      </c>
      <c r="AR284" s="21">
        <v>24.964200000000002</v>
      </c>
      <c r="AS284" s="21">
        <v>-1.4483599999999999E-2</v>
      </c>
      <c r="AT284" s="21">
        <v>274</v>
      </c>
      <c r="AU284" s="21">
        <v>0.22955300000000001</v>
      </c>
      <c r="AV284">
        <f t="shared" si="56"/>
        <v>17.880987654320986</v>
      </c>
      <c r="AW284">
        <f t="shared" si="57"/>
        <v>4.1171868123456781</v>
      </c>
      <c r="AX284" s="9"/>
      <c r="AY284" s="21">
        <v>1.2797499999999999</v>
      </c>
      <c r="AZ284" s="21">
        <v>28.400700000000001</v>
      </c>
      <c r="BA284" s="21">
        <v>-1.0415600000000001E-2</v>
      </c>
      <c r="BB284" s="21">
        <v>274</v>
      </c>
      <c r="BC284" s="21">
        <v>1.2786900000000001</v>
      </c>
      <c r="BD284">
        <f t="shared" si="58"/>
        <v>12.858765432098766</v>
      </c>
      <c r="BE284">
        <f t="shared" si="59"/>
        <v>16.456005061728394</v>
      </c>
    </row>
    <row r="285" spans="6:101" x14ac:dyDescent="0.25">
      <c r="F285" s="9"/>
      <c r="G285" s="21">
        <v>0.22522</v>
      </c>
      <c r="H285" s="21">
        <v>7.8608500000000001</v>
      </c>
      <c r="I285" s="21">
        <v>-1.47461E-2</v>
      </c>
      <c r="J285" s="21">
        <v>275</v>
      </c>
      <c r="K285" s="21">
        <v>0.22467000000000001</v>
      </c>
      <c r="L285">
        <f t="shared" si="48"/>
        <v>18.205061728395062</v>
      </c>
      <c r="M285">
        <f t="shared" si="49"/>
        <v>4.1001440024691362</v>
      </c>
      <c r="N285" s="9"/>
      <c r="O285" s="21">
        <v>1.2847900000000001</v>
      </c>
      <c r="P285" s="21">
        <v>11.2973</v>
      </c>
      <c r="Q285" s="21">
        <v>-1.08246E-2</v>
      </c>
      <c r="R285" s="21">
        <v>275</v>
      </c>
      <c r="S285" s="21">
        <v>1.2841800000000001</v>
      </c>
      <c r="T285">
        <f t="shared" si="50"/>
        <v>13.363703703703703</v>
      </c>
      <c r="U285">
        <f t="shared" si="51"/>
        <v>17.169552881481483</v>
      </c>
      <c r="X285" s="9"/>
      <c r="Y285" s="21">
        <v>0.22522</v>
      </c>
      <c r="Z285" s="21">
        <v>16.395099999999999</v>
      </c>
      <c r="AA285" s="21">
        <v>-1.4572099999999999E-2</v>
      </c>
      <c r="AB285" s="21">
        <v>275</v>
      </c>
      <c r="AC285" s="21">
        <v>0.22470100000000001</v>
      </c>
      <c r="AD285">
        <f t="shared" si="52"/>
        <v>17.990246913580243</v>
      </c>
      <c r="AE285">
        <f t="shared" si="53"/>
        <v>4.0517634098765427</v>
      </c>
      <c r="AF285" s="9"/>
      <c r="AG285" s="21">
        <v>1.2847900000000001</v>
      </c>
      <c r="AH285" s="21">
        <v>19.831600000000002</v>
      </c>
      <c r="AI285" s="21">
        <v>-1.0461399999999999E-2</v>
      </c>
      <c r="AJ285" s="21">
        <v>275</v>
      </c>
      <c r="AK285" s="21">
        <v>1.2841800000000001</v>
      </c>
      <c r="AL285">
        <f t="shared" si="54"/>
        <v>12.915308641975306</v>
      </c>
      <c r="AM285">
        <f t="shared" si="55"/>
        <v>16.593459390123456</v>
      </c>
      <c r="AP285" s="9"/>
      <c r="AQ285" s="21">
        <v>0.22522</v>
      </c>
      <c r="AR285" s="21">
        <v>24.974299999999999</v>
      </c>
      <c r="AS285" s="21">
        <v>-1.44989E-2</v>
      </c>
      <c r="AT285" s="21">
        <v>275</v>
      </c>
      <c r="AU285" s="21">
        <v>0.224609</v>
      </c>
      <c r="AV285">
        <f t="shared" si="56"/>
        <v>17.899876543209874</v>
      </c>
      <c r="AW285">
        <f t="shared" si="57"/>
        <v>4.0314101950617278</v>
      </c>
      <c r="AX285" s="9"/>
      <c r="AY285" s="21">
        <v>1.2847900000000001</v>
      </c>
      <c r="AZ285" s="21">
        <v>28.410799999999998</v>
      </c>
      <c r="BA285" s="21">
        <v>-1.0345500000000001E-2</v>
      </c>
      <c r="BB285" s="21">
        <v>275</v>
      </c>
      <c r="BC285" s="21">
        <v>1.2841800000000001</v>
      </c>
      <c r="BD285">
        <f t="shared" si="58"/>
        <v>12.772222222222222</v>
      </c>
      <c r="BE285">
        <f t="shared" si="59"/>
        <v>16.409623388888889</v>
      </c>
    </row>
    <row r="286" spans="6:101" x14ac:dyDescent="0.25">
      <c r="F286" s="9"/>
      <c r="G286" s="21">
        <v>0.22018399999999999</v>
      </c>
      <c r="H286" s="21">
        <v>7.8709199999999999</v>
      </c>
      <c r="I286" s="21">
        <v>-1.4742999999999999E-2</v>
      </c>
      <c r="J286" s="21">
        <v>276</v>
      </c>
      <c r="K286" s="21">
        <v>0.219696</v>
      </c>
      <c r="L286">
        <f t="shared" si="48"/>
        <v>18.201234567901235</v>
      </c>
      <c r="M286">
        <f t="shared" si="49"/>
        <v>4.0076206320987655</v>
      </c>
      <c r="N286" s="9"/>
      <c r="O286" s="21">
        <v>1.28983</v>
      </c>
      <c r="P286" s="21">
        <v>11.307399999999999</v>
      </c>
      <c r="Q286" s="21">
        <v>-1.07635E-2</v>
      </c>
      <c r="R286" s="21">
        <v>276</v>
      </c>
      <c r="S286" s="21">
        <v>1.2890600000000001</v>
      </c>
      <c r="T286">
        <f t="shared" si="50"/>
        <v>13.288271604938272</v>
      </c>
      <c r="U286">
        <f t="shared" si="51"/>
        <v>17.139611364197531</v>
      </c>
      <c r="X286" s="9"/>
      <c r="Y286" s="21">
        <v>0.22018399999999999</v>
      </c>
      <c r="Z286" s="21">
        <v>16.405100000000001</v>
      </c>
      <c r="AA286" s="21">
        <v>-1.4578199999999999E-2</v>
      </c>
      <c r="AB286" s="21">
        <v>276</v>
      </c>
      <c r="AC286" s="21">
        <v>0.21960399999999999</v>
      </c>
      <c r="AD286">
        <f t="shared" si="52"/>
        <v>17.997777777777777</v>
      </c>
      <c r="AE286">
        <f t="shared" si="53"/>
        <v>3.9628227022222218</v>
      </c>
      <c r="AF286" s="9"/>
      <c r="AG286" s="21">
        <v>1.28983</v>
      </c>
      <c r="AH286" s="21">
        <v>19.841699999999999</v>
      </c>
      <c r="AI286" s="21">
        <v>-1.03851E-2</v>
      </c>
      <c r="AJ286" s="21">
        <v>276</v>
      </c>
      <c r="AK286" s="21">
        <v>1.2893699999999999</v>
      </c>
      <c r="AL286">
        <f t="shared" si="54"/>
        <v>12.82111111111111</v>
      </c>
      <c r="AM286">
        <f t="shared" si="55"/>
        <v>16.537053744444442</v>
      </c>
      <c r="AP286" s="9"/>
      <c r="AQ286" s="21">
        <v>0.22018399999999999</v>
      </c>
      <c r="AR286" s="21">
        <v>24.984300000000001</v>
      </c>
      <c r="AS286" s="21">
        <v>-1.4508099999999999E-2</v>
      </c>
      <c r="AT286" s="21">
        <v>276</v>
      </c>
      <c r="AU286" s="21">
        <v>0.219635</v>
      </c>
      <c r="AV286">
        <f t="shared" si="56"/>
        <v>17.911234567901232</v>
      </c>
      <c r="AW286">
        <f t="shared" si="57"/>
        <v>3.9437672720987647</v>
      </c>
      <c r="AX286" s="9"/>
      <c r="AY286" s="21">
        <v>1.28983</v>
      </c>
      <c r="AZ286" s="21">
        <v>28.4208</v>
      </c>
      <c r="BA286" s="21">
        <v>-1.0278300000000001E-2</v>
      </c>
      <c r="BB286" s="21">
        <v>276</v>
      </c>
      <c r="BC286" s="21">
        <v>1.2890600000000001</v>
      </c>
      <c r="BD286">
        <f t="shared" si="58"/>
        <v>12.689259259259259</v>
      </c>
      <c r="BE286">
        <f t="shared" si="59"/>
        <v>16.36698727037037</v>
      </c>
    </row>
    <row r="287" spans="6:101" x14ac:dyDescent="0.25">
      <c r="F287" s="9"/>
      <c r="G287" s="21">
        <v>0.21514900000000001</v>
      </c>
      <c r="H287" s="21">
        <v>7.8809899999999997</v>
      </c>
      <c r="I287" s="21">
        <v>-1.47461E-2</v>
      </c>
      <c r="J287" s="21">
        <v>277</v>
      </c>
      <c r="K287" s="21">
        <v>0.214478</v>
      </c>
      <c r="L287">
        <f t="shared" si="48"/>
        <v>18.205061728395062</v>
      </c>
      <c r="M287">
        <f t="shared" si="49"/>
        <v>3.9168008258024694</v>
      </c>
      <c r="N287" s="9"/>
      <c r="O287" s="21">
        <v>1.2948599999999999</v>
      </c>
      <c r="P287" s="21">
        <v>11.317500000000001</v>
      </c>
      <c r="Q287" s="21">
        <v>-1.0711699999999999E-2</v>
      </c>
      <c r="R287" s="21">
        <v>277</v>
      </c>
      <c r="S287" s="21">
        <v>1.2939499999999999</v>
      </c>
      <c r="T287">
        <f t="shared" si="50"/>
        <v>13.22432098765432</v>
      </c>
      <c r="U287">
        <f t="shared" si="51"/>
        <v>17.123644274074071</v>
      </c>
      <c r="X287" s="9"/>
      <c r="Y287" s="21">
        <v>0.21514900000000001</v>
      </c>
      <c r="Z287" s="21">
        <v>16.415199999999999</v>
      </c>
      <c r="AA287" s="21">
        <v>-1.4593500000000001E-2</v>
      </c>
      <c r="AB287" s="21">
        <v>277</v>
      </c>
      <c r="AC287" s="21">
        <v>0.21469099999999999</v>
      </c>
      <c r="AD287">
        <f t="shared" si="52"/>
        <v>18.016666666666666</v>
      </c>
      <c r="AE287">
        <f t="shared" si="53"/>
        <v>3.8762678166666666</v>
      </c>
      <c r="AF287" s="9"/>
      <c r="AG287" s="21">
        <v>1.2948599999999999</v>
      </c>
      <c r="AH287" s="21">
        <v>19.851700000000001</v>
      </c>
      <c r="AI287" s="21">
        <v>-1.0321E-2</v>
      </c>
      <c r="AJ287" s="21">
        <v>277</v>
      </c>
      <c r="AK287" s="21">
        <v>1.2939499999999999</v>
      </c>
      <c r="AL287">
        <f t="shared" si="54"/>
        <v>12.741975308641976</v>
      </c>
      <c r="AM287">
        <f t="shared" si="55"/>
        <v>16.499074148148146</v>
      </c>
      <c r="AP287" s="9"/>
      <c r="AQ287" s="21">
        <v>0.21514900000000001</v>
      </c>
      <c r="AR287" s="21">
        <v>24.994399999999999</v>
      </c>
      <c r="AS287" s="21">
        <v>-1.4511100000000001E-2</v>
      </c>
      <c r="AT287" s="21">
        <v>277</v>
      </c>
      <c r="AU287" s="21">
        <v>0.214478</v>
      </c>
      <c r="AV287">
        <f t="shared" si="56"/>
        <v>17.914938271604939</v>
      </c>
      <c r="AW287">
        <f t="shared" si="57"/>
        <v>3.854381054197531</v>
      </c>
      <c r="AX287" s="9"/>
      <c r="AY287" s="21">
        <v>1.2948599999999999</v>
      </c>
      <c r="AZ287" s="21">
        <v>28.430900000000001</v>
      </c>
      <c r="BA287" s="21">
        <v>-1.0201999999999999E-2</v>
      </c>
      <c r="BB287" s="21">
        <v>277</v>
      </c>
      <c r="BC287" s="21">
        <v>1.2933300000000001</v>
      </c>
      <c r="BD287">
        <f t="shared" si="58"/>
        <v>12.595061728395061</v>
      </c>
      <c r="BE287">
        <f t="shared" si="59"/>
        <v>16.308841629629626</v>
      </c>
    </row>
    <row r="288" spans="6:101" x14ac:dyDescent="0.25">
      <c r="F288" s="9"/>
      <c r="G288" s="21">
        <v>0.210114</v>
      </c>
      <c r="H288" s="21">
        <v>7.8910600000000004</v>
      </c>
      <c r="I288" s="21">
        <v>-1.4749099999999999E-2</v>
      </c>
      <c r="J288" s="21">
        <v>278</v>
      </c>
      <c r="K288" s="21">
        <v>0.209595</v>
      </c>
      <c r="L288">
        <f t="shared" si="48"/>
        <v>18.208765432098765</v>
      </c>
      <c r="M288">
        <f t="shared" si="49"/>
        <v>3.8259165399999997</v>
      </c>
      <c r="N288" s="9"/>
      <c r="O288" s="21">
        <v>1.2999000000000001</v>
      </c>
      <c r="P288" s="21">
        <v>11.3276</v>
      </c>
      <c r="Q288" s="21">
        <v>-1.06567E-2</v>
      </c>
      <c r="R288" s="21">
        <v>278</v>
      </c>
      <c r="S288" s="21">
        <v>1.2991299999999999</v>
      </c>
      <c r="T288">
        <f t="shared" si="50"/>
        <v>13.15641975308642</v>
      </c>
      <c r="U288">
        <f t="shared" si="51"/>
        <v>17.102030037037036</v>
      </c>
      <c r="X288" s="9"/>
      <c r="Y288" s="21">
        <v>0.210114</v>
      </c>
      <c r="Z288" s="21">
        <v>16.4253</v>
      </c>
      <c r="AA288" s="21">
        <v>-1.4605699999999999E-2</v>
      </c>
      <c r="AB288" s="21">
        <v>278</v>
      </c>
      <c r="AC288" s="21">
        <v>0.20962500000000001</v>
      </c>
      <c r="AD288">
        <f t="shared" si="52"/>
        <v>18.031728395061727</v>
      </c>
      <c r="AE288">
        <f t="shared" si="53"/>
        <v>3.7887185799999994</v>
      </c>
      <c r="AF288" s="9"/>
      <c r="AG288" s="21">
        <v>1.2999000000000001</v>
      </c>
      <c r="AH288" s="21">
        <v>19.861799999999999</v>
      </c>
      <c r="AI288" s="21">
        <v>-1.026E-2</v>
      </c>
      <c r="AJ288" s="21">
        <v>278</v>
      </c>
      <c r="AK288" s="21">
        <v>1.2994399999999999</v>
      </c>
      <c r="AL288">
        <f t="shared" si="54"/>
        <v>12.666666666666666</v>
      </c>
      <c r="AM288">
        <f t="shared" si="55"/>
        <v>16.465399999999999</v>
      </c>
      <c r="AP288" s="9"/>
      <c r="AQ288" s="21">
        <v>0.210114</v>
      </c>
      <c r="AR288" s="21">
        <v>25.0045</v>
      </c>
      <c r="AS288" s="21">
        <v>-1.4511100000000001E-2</v>
      </c>
      <c r="AT288" s="21">
        <v>278</v>
      </c>
      <c r="AU288" s="21">
        <v>0.20962500000000001</v>
      </c>
      <c r="AV288">
        <f t="shared" si="56"/>
        <v>17.914938271604939</v>
      </c>
      <c r="AW288">
        <f t="shared" si="57"/>
        <v>3.7641793400000001</v>
      </c>
      <c r="AX288" s="9"/>
      <c r="AY288" s="21">
        <v>1.2999000000000001</v>
      </c>
      <c r="AZ288" s="21">
        <v>28.440999999999999</v>
      </c>
      <c r="BA288" s="21">
        <v>-1.01227E-2</v>
      </c>
      <c r="BB288" s="21">
        <v>278</v>
      </c>
      <c r="BC288" s="21">
        <v>1.2997399999999999</v>
      </c>
      <c r="BD288">
        <f t="shared" si="58"/>
        <v>12.49716049382716</v>
      </c>
      <c r="BE288">
        <f t="shared" si="59"/>
        <v>16.245058925925925</v>
      </c>
    </row>
    <row r="289" spans="6:57" x14ac:dyDescent="0.25">
      <c r="F289" s="9"/>
      <c r="G289" s="21">
        <v>0.20507800000000001</v>
      </c>
      <c r="H289" s="21">
        <v>7.9011300000000002</v>
      </c>
      <c r="I289" s="21">
        <v>-1.47522E-2</v>
      </c>
      <c r="J289" s="21">
        <v>279</v>
      </c>
      <c r="K289" s="21">
        <v>0.20458999999999999</v>
      </c>
      <c r="L289">
        <f t="shared" si="48"/>
        <v>18.212592592592593</v>
      </c>
      <c r="M289">
        <f t="shared" si="49"/>
        <v>3.7350020637037038</v>
      </c>
      <c r="N289" s="9"/>
      <c r="O289" s="21">
        <v>1.3049299999999999</v>
      </c>
      <c r="P289" s="21">
        <v>11.3376</v>
      </c>
      <c r="Q289" s="21">
        <v>-1.0577400000000001E-2</v>
      </c>
      <c r="R289" s="21">
        <v>279</v>
      </c>
      <c r="S289" s="21">
        <v>1.30402</v>
      </c>
      <c r="T289">
        <f t="shared" si="50"/>
        <v>13.058518518518518</v>
      </c>
      <c r="U289">
        <f t="shared" si="51"/>
        <v>17.04045257037037</v>
      </c>
      <c r="X289" s="9"/>
      <c r="Y289" s="21">
        <v>0.20507800000000001</v>
      </c>
      <c r="Z289" s="21">
        <v>16.435300000000002</v>
      </c>
      <c r="AA289" s="21">
        <v>-1.46149E-2</v>
      </c>
      <c r="AB289" s="21">
        <v>279</v>
      </c>
      <c r="AC289" s="21">
        <v>0.20449800000000001</v>
      </c>
      <c r="AD289">
        <f t="shared" si="52"/>
        <v>18.043086419753088</v>
      </c>
      <c r="AE289">
        <f t="shared" si="53"/>
        <v>3.700240076790124</v>
      </c>
      <c r="AF289" s="9"/>
      <c r="AG289" s="21">
        <v>1.3049299999999999</v>
      </c>
      <c r="AH289" s="21">
        <v>19.8719</v>
      </c>
      <c r="AI289" s="21">
        <v>-1.01929E-2</v>
      </c>
      <c r="AJ289" s="21">
        <v>279</v>
      </c>
      <c r="AK289" s="21">
        <v>1.30463</v>
      </c>
      <c r="AL289">
        <f t="shared" si="54"/>
        <v>12.583827160493826</v>
      </c>
      <c r="AM289">
        <f t="shared" si="55"/>
        <v>16.421013576543206</v>
      </c>
      <c r="AP289" s="9"/>
      <c r="AQ289" s="21">
        <v>0.20507800000000001</v>
      </c>
      <c r="AR289" s="21">
        <v>25.014500000000002</v>
      </c>
      <c r="AS289" s="21">
        <v>-1.4523299999999999E-2</v>
      </c>
      <c r="AT289" s="21">
        <v>279</v>
      </c>
      <c r="AU289" s="21">
        <v>0.20449800000000001</v>
      </c>
      <c r="AV289">
        <f t="shared" si="56"/>
        <v>17.93</v>
      </c>
      <c r="AW289">
        <f t="shared" si="57"/>
        <v>3.6770485399999999</v>
      </c>
      <c r="AX289" s="9"/>
      <c r="AY289" s="21">
        <v>1.3049299999999999</v>
      </c>
      <c r="AZ289" s="21">
        <v>28.451000000000001</v>
      </c>
      <c r="BA289" s="21">
        <v>-1.00555E-2</v>
      </c>
      <c r="BB289" s="21">
        <v>279</v>
      </c>
      <c r="BC289" s="21">
        <v>1.30463</v>
      </c>
      <c r="BD289">
        <f t="shared" si="58"/>
        <v>12.414197530864197</v>
      </c>
      <c r="BE289">
        <f t="shared" si="59"/>
        <v>16.199658783950614</v>
      </c>
    </row>
    <row r="290" spans="6:57" x14ac:dyDescent="0.25">
      <c r="F290" s="9"/>
      <c r="G290" s="21">
        <v>0.200043</v>
      </c>
      <c r="H290" s="21">
        <v>7.9112</v>
      </c>
      <c r="I290" s="21">
        <v>-1.47583E-2</v>
      </c>
      <c r="J290" s="21">
        <v>280</v>
      </c>
      <c r="K290" s="21">
        <v>0.19952400000000001</v>
      </c>
      <c r="L290">
        <f t="shared" si="48"/>
        <v>18.22012345679012</v>
      </c>
      <c r="M290">
        <f t="shared" si="49"/>
        <v>3.6448081566666657</v>
      </c>
      <c r="N290" s="9"/>
      <c r="O290" s="21">
        <v>1.3099700000000001</v>
      </c>
      <c r="P290" s="21">
        <v>11.3477</v>
      </c>
      <c r="Q290" s="21">
        <v>-1.05042E-2</v>
      </c>
      <c r="R290" s="21">
        <v>280</v>
      </c>
      <c r="S290" s="21">
        <v>1.3091999999999999</v>
      </c>
      <c r="T290">
        <f t="shared" si="50"/>
        <v>12.968148148148147</v>
      </c>
      <c r="U290">
        <f t="shared" si="51"/>
        <v>16.987885029629631</v>
      </c>
      <c r="X290" s="9"/>
      <c r="Y290" s="21">
        <v>0.200043</v>
      </c>
      <c r="Z290" s="21">
        <v>16.445399999999999</v>
      </c>
      <c r="AA290" s="21">
        <v>-1.46179E-2</v>
      </c>
      <c r="AB290" s="21">
        <v>280</v>
      </c>
      <c r="AC290" s="21">
        <v>0.19952400000000001</v>
      </c>
      <c r="AD290">
        <f t="shared" si="52"/>
        <v>18.046790123456791</v>
      </c>
      <c r="AE290">
        <f t="shared" si="53"/>
        <v>3.610134036666667</v>
      </c>
      <c r="AF290" s="9"/>
      <c r="AG290" s="21">
        <v>1.3099700000000001</v>
      </c>
      <c r="AH290" s="21">
        <v>19.881900000000002</v>
      </c>
      <c r="AI290" s="21">
        <v>-1.01257E-2</v>
      </c>
      <c r="AJ290" s="21">
        <v>280</v>
      </c>
      <c r="AK290" s="21">
        <v>1.3089</v>
      </c>
      <c r="AL290">
        <f t="shared" si="54"/>
        <v>12.500864197530863</v>
      </c>
      <c r="AM290">
        <f t="shared" si="55"/>
        <v>16.375757072839505</v>
      </c>
      <c r="AP290" s="9"/>
      <c r="AQ290" s="21">
        <v>0.200043</v>
      </c>
      <c r="AR290" s="21">
        <v>25.0246</v>
      </c>
      <c r="AS290" s="21">
        <v>-1.4572099999999999E-2</v>
      </c>
      <c r="AT290" s="21">
        <v>280</v>
      </c>
      <c r="AU290" s="21">
        <v>0.199432</v>
      </c>
      <c r="AV290">
        <f t="shared" si="56"/>
        <v>17.990246913580243</v>
      </c>
      <c r="AW290">
        <f t="shared" si="57"/>
        <v>3.5988229633333324</v>
      </c>
      <c r="AX290" s="9"/>
      <c r="AY290" s="21">
        <v>1.3099700000000001</v>
      </c>
      <c r="AZ290" s="21">
        <v>28.461099999999998</v>
      </c>
      <c r="BA290" s="21">
        <v>-9.9853500000000005E-3</v>
      </c>
      <c r="BB290" s="21">
        <v>280</v>
      </c>
      <c r="BC290" s="21">
        <v>1.30951</v>
      </c>
      <c r="BD290">
        <f t="shared" si="58"/>
        <v>12.327592592592593</v>
      </c>
      <c r="BE290">
        <f t="shared" si="59"/>
        <v>16.14877646851852</v>
      </c>
    </row>
    <row r="291" spans="6:57" x14ac:dyDescent="0.25">
      <c r="F291" s="9"/>
      <c r="G291" s="21">
        <v>0.19500700000000001</v>
      </c>
      <c r="H291" s="21">
        <v>7.9212699999999998</v>
      </c>
      <c r="I291" s="21">
        <v>-1.47644E-2</v>
      </c>
      <c r="J291" s="21">
        <v>281</v>
      </c>
      <c r="K291" s="21">
        <v>0.19439699999999999</v>
      </c>
      <c r="L291">
        <f t="shared" si="48"/>
        <v>18.227654320987654</v>
      </c>
      <c r="M291">
        <f t="shared" si="49"/>
        <v>3.5545201861728395</v>
      </c>
      <c r="N291" s="9"/>
      <c r="O291" s="21">
        <v>1.3149999999999999</v>
      </c>
      <c r="P291" s="21">
        <v>11.357799999999999</v>
      </c>
      <c r="Q291" s="21">
        <v>-1.0437E-2</v>
      </c>
      <c r="R291" s="21">
        <v>281</v>
      </c>
      <c r="S291" s="21">
        <v>1.3143899999999999</v>
      </c>
      <c r="T291">
        <f t="shared" si="50"/>
        <v>12.885185185185184</v>
      </c>
      <c r="U291">
        <f t="shared" si="51"/>
        <v>16.944018518518515</v>
      </c>
      <c r="X291" s="9"/>
      <c r="Y291" s="21">
        <v>0.19500700000000001</v>
      </c>
      <c r="Z291" s="21">
        <v>16.455500000000001</v>
      </c>
      <c r="AA291" s="21">
        <v>-1.4624E-2</v>
      </c>
      <c r="AB291" s="21">
        <v>281</v>
      </c>
      <c r="AC291" s="21">
        <v>0.19442699999999999</v>
      </c>
      <c r="AD291">
        <f t="shared" si="52"/>
        <v>18.054320987654318</v>
      </c>
      <c r="AE291">
        <f t="shared" si="53"/>
        <v>3.5207189728395059</v>
      </c>
      <c r="AF291" s="9"/>
      <c r="AG291" s="21">
        <v>1.3149999999999999</v>
      </c>
      <c r="AH291" s="21">
        <v>19.891999999999999</v>
      </c>
      <c r="AI291" s="21">
        <v>-1.00555E-2</v>
      </c>
      <c r="AJ291" s="21">
        <v>281</v>
      </c>
      <c r="AK291" s="21">
        <v>1.3137799999999999</v>
      </c>
      <c r="AL291">
        <f t="shared" si="54"/>
        <v>12.414197530864197</v>
      </c>
      <c r="AM291">
        <f t="shared" si="55"/>
        <v>16.324669753086418</v>
      </c>
      <c r="AP291" s="9"/>
      <c r="AQ291" s="21">
        <v>0.19500700000000001</v>
      </c>
      <c r="AR291" s="21">
        <v>25.034700000000001</v>
      </c>
      <c r="AS291" s="21">
        <v>-1.4584400000000001E-2</v>
      </c>
      <c r="AT291" s="21">
        <v>281</v>
      </c>
      <c r="AU291" s="21">
        <v>0.194519</v>
      </c>
      <c r="AV291">
        <f t="shared" si="56"/>
        <v>18.005432098765432</v>
      </c>
      <c r="AW291">
        <f t="shared" si="57"/>
        <v>3.511185297283951</v>
      </c>
      <c r="AX291" s="9"/>
      <c r="AY291" s="21">
        <v>1.3149999999999999</v>
      </c>
      <c r="AZ291" s="21">
        <v>28.4712</v>
      </c>
      <c r="BA291" s="21">
        <v>-9.9090600000000008E-3</v>
      </c>
      <c r="BB291" s="21">
        <v>281</v>
      </c>
      <c r="BC291" s="21">
        <v>1.31409</v>
      </c>
      <c r="BD291">
        <f t="shared" si="58"/>
        <v>12.233407407407409</v>
      </c>
      <c r="BE291">
        <f t="shared" si="59"/>
        <v>16.08693074074074</v>
      </c>
    </row>
    <row r="292" spans="6:57" x14ac:dyDescent="0.25">
      <c r="F292" s="9"/>
      <c r="G292" s="21">
        <v>0.189972</v>
      </c>
      <c r="H292" s="21">
        <v>7.9313399999999996</v>
      </c>
      <c r="I292" s="21">
        <v>-1.4767499999999999E-2</v>
      </c>
      <c r="J292" s="21">
        <v>282</v>
      </c>
      <c r="K292" s="21">
        <v>0.189331</v>
      </c>
      <c r="L292">
        <f t="shared" si="48"/>
        <v>18.231481481481481</v>
      </c>
      <c r="M292">
        <f t="shared" si="49"/>
        <v>3.4634709999999997</v>
      </c>
      <c r="N292" s="9"/>
      <c r="O292" s="21">
        <v>1.3200400000000001</v>
      </c>
      <c r="P292" s="21">
        <v>11.367800000000001</v>
      </c>
      <c r="Q292" s="21">
        <v>-1.0372899999999999E-2</v>
      </c>
      <c r="R292" s="21">
        <v>282</v>
      </c>
      <c r="S292" s="21">
        <v>1.31958</v>
      </c>
      <c r="T292">
        <f t="shared" si="50"/>
        <v>12.806049382716049</v>
      </c>
      <c r="U292">
        <f t="shared" si="51"/>
        <v>16.904497427160493</v>
      </c>
      <c r="X292" s="9"/>
      <c r="Y292" s="21">
        <v>0.189972</v>
      </c>
      <c r="Z292" s="21">
        <v>16.465499999999999</v>
      </c>
      <c r="AA292" s="21">
        <v>-1.4639299999999999E-2</v>
      </c>
      <c r="AB292" s="21">
        <v>282</v>
      </c>
      <c r="AC292" s="21">
        <v>0.18942300000000001</v>
      </c>
      <c r="AD292">
        <f t="shared" si="52"/>
        <v>18.07320987654321</v>
      </c>
      <c r="AE292">
        <f t="shared" si="53"/>
        <v>3.4334038266666669</v>
      </c>
      <c r="AF292" s="9"/>
      <c r="AG292" s="21">
        <v>1.3200400000000001</v>
      </c>
      <c r="AH292" s="21">
        <v>19.902100000000001</v>
      </c>
      <c r="AI292" s="21">
        <v>-9.9792500000000003E-3</v>
      </c>
      <c r="AJ292" s="21">
        <v>282</v>
      </c>
      <c r="AK292" s="21">
        <v>1.31958</v>
      </c>
      <c r="AL292">
        <f t="shared" si="54"/>
        <v>12.320061728395061</v>
      </c>
      <c r="AM292">
        <f t="shared" si="55"/>
        <v>16.262974283950616</v>
      </c>
      <c r="AP292" s="9"/>
      <c r="AQ292" s="21">
        <v>0.189972</v>
      </c>
      <c r="AR292" s="21">
        <v>25.044799999999999</v>
      </c>
      <c r="AS292" s="21">
        <v>-1.4584400000000001E-2</v>
      </c>
      <c r="AT292" s="21">
        <v>282</v>
      </c>
      <c r="AU292" s="21">
        <v>0.18942300000000001</v>
      </c>
      <c r="AV292">
        <f t="shared" si="56"/>
        <v>18.005432098765432</v>
      </c>
      <c r="AW292">
        <f t="shared" si="57"/>
        <v>3.4205279466666667</v>
      </c>
      <c r="AX292" s="9"/>
      <c r="AY292" s="21">
        <v>1.3200400000000001</v>
      </c>
      <c r="AZ292" s="21">
        <v>28.481200000000001</v>
      </c>
      <c r="BA292" s="21">
        <v>-9.8419200000000005E-3</v>
      </c>
      <c r="BB292" s="21">
        <v>282</v>
      </c>
      <c r="BC292" s="21">
        <v>1.31897</v>
      </c>
      <c r="BD292">
        <f t="shared" si="58"/>
        <v>12.150518518518519</v>
      </c>
      <c r="BE292">
        <f t="shared" si="59"/>
        <v>16.039170465185187</v>
      </c>
    </row>
    <row r="293" spans="6:57" x14ac:dyDescent="0.25">
      <c r="F293" s="9"/>
      <c r="G293" s="21">
        <v>0.18493699999999999</v>
      </c>
      <c r="H293" s="21">
        <v>7.9414199999999999</v>
      </c>
      <c r="I293" s="21">
        <v>-1.4767499999999999E-2</v>
      </c>
      <c r="J293" s="21">
        <v>283</v>
      </c>
      <c r="K293" s="21">
        <v>0.18432599999999999</v>
      </c>
      <c r="L293">
        <f t="shared" si="48"/>
        <v>18.231481481481481</v>
      </c>
      <c r="M293">
        <f t="shared" si="49"/>
        <v>3.3716754907407402</v>
      </c>
      <c r="N293" s="9"/>
      <c r="O293" s="21">
        <v>1.32507</v>
      </c>
      <c r="P293" s="21">
        <v>11.3779</v>
      </c>
      <c r="Q293" s="21">
        <v>-1.03027E-2</v>
      </c>
      <c r="R293" s="21">
        <v>283</v>
      </c>
      <c r="S293" s="21">
        <v>1.32416</v>
      </c>
      <c r="T293">
        <f t="shared" si="50"/>
        <v>12.719382716049381</v>
      </c>
      <c r="U293">
        <f t="shared" si="51"/>
        <v>16.854072455555553</v>
      </c>
      <c r="X293" s="9"/>
      <c r="Y293" s="21">
        <v>0.18493699999999999</v>
      </c>
      <c r="Z293" s="21">
        <v>16.4756</v>
      </c>
      <c r="AA293" s="21">
        <v>-1.4645399999999999E-2</v>
      </c>
      <c r="AB293" s="21">
        <v>283</v>
      </c>
      <c r="AC293" s="21">
        <v>0.18435699999999999</v>
      </c>
      <c r="AD293">
        <f t="shared" si="52"/>
        <v>18.080740740740737</v>
      </c>
      <c r="AE293">
        <f t="shared" si="53"/>
        <v>3.3437979503703694</v>
      </c>
      <c r="AF293" s="9"/>
      <c r="AG293" s="21">
        <v>1.32507</v>
      </c>
      <c r="AH293" s="21">
        <v>19.912199999999999</v>
      </c>
      <c r="AI293" s="21">
        <v>-9.8968500000000004E-3</v>
      </c>
      <c r="AJ293" s="21">
        <v>283</v>
      </c>
      <c r="AK293" s="21">
        <v>1.32416</v>
      </c>
      <c r="AL293">
        <f t="shared" si="54"/>
        <v>12.218333333333332</v>
      </c>
      <c r="AM293">
        <f t="shared" si="55"/>
        <v>16.190146949999999</v>
      </c>
      <c r="AP293" s="9"/>
      <c r="AQ293" s="21">
        <v>0.18493699999999999</v>
      </c>
      <c r="AR293" s="21">
        <v>25.0548</v>
      </c>
      <c r="AS293" s="21">
        <v>-1.45813E-2</v>
      </c>
      <c r="AT293" s="21">
        <v>283</v>
      </c>
      <c r="AU293" s="21">
        <v>0.18435699999999999</v>
      </c>
      <c r="AV293">
        <f t="shared" si="56"/>
        <v>18.001604938271605</v>
      </c>
      <c r="AW293">
        <f t="shared" si="57"/>
        <v>3.3291628124691357</v>
      </c>
      <c r="AX293" s="9"/>
      <c r="AY293" s="21">
        <v>1.32507</v>
      </c>
      <c r="AZ293" s="21">
        <v>28.491299999999999</v>
      </c>
      <c r="BA293" s="21">
        <v>-9.7503699999999995E-3</v>
      </c>
      <c r="BB293" s="21">
        <v>283</v>
      </c>
      <c r="BC293" s="21">
        <v>1.32416</v>
      </c>
      <c r="BD293">
        <f t="shared" si="58"/>
        <v>12.037493827160493</v>
      </c>
      <c r="BE293">
        <f t="shared" si="59"/>
        <v>15.950521945555554</v>
      </c>
    </row>
    <row r="294" spans="6:57" x14ac:dyDescent="0.25">
      <c r="F294" s="9"/>
      <c r="G294" s="21">
        <v>0.17990100000000001</v>
      </c>
      <c r="H294" s="21">
        <v>7.9514899999999997</v>
      </c>
      <c r="I294" s="21">
        <v>-1.4767499999999999E-2</v>
      </c>
      <c r="J294" s="21">
        <v>284</v>
      </c>
      <c r="K294" s="21">
        <v>0.17935200000000001</v>
      </c>
      <c r="L294">
        <f t="shared" si="48"/>
        <v>18.231481481481481</v>
      </c>
      <c r="M294">
        <f t="shared" si="49"/>
        <v>3.2798617499999998</v>
      </c>
      <c r="N294" s="9"/>
      <c r="O294" s="21">
        <v>1.3301099999999999</v>
      </c>
      <c r="P294" s="21">
        <v>11.388</v>
      </c>
      <c r="Q294" s="21">
        <v>-1.0229500000000001E-2</v>
      </c>
      <c r="R294" s="21">
        <v>284</v>
      </c>
      <c r="S294" s="21">
        <v>1.32935</v>
      </c>
      <c r="T294">
        <f t="shared" si="50"/>
        <v>12.629012345679012</v>
      </c>
      <c r="U294">
        <f t="shared" si="51"/>
        <v>16.797975611111109</v>
      </c>
      <c r="X294" s="9"/>
      <c r="Y294" s="21">
        <v>0.17990100000000001</v>
      </c>
      <c r="Z294" s="21">
        <v>16.485700000000001</v>
      </c>
      <c r="AA294" s="21">
        <v>-1.4648400000000001E-2</v>
      </c>
      <c r="AB294" s="21">
        <v>284</v>
      </c>
      <c r="AC294" s="21">
        <v>0.17932100000000001</v>
      </c>
      <c r="AD294">
        <f t="shared" si="52"/>
        <v>18.084444444444443</v>
      </c>
      <c r="AE294">
        <f t="shared" si="53"/>
        <v>3.2534096400000001</v>
      </c>
      <c r="AF294" s="9"/>
      <c r="AG294" s="21">
        <v>1.3301099999999999</v>
      </c>
      <c r="AH294" s="21">
        <v>19.9222</v>
      </c>
      <c r="AI294" s="21">
        <v>-9.8174999999999998E-3</v>
      </c>
      <c r="AJ294" s="21">
        <v>284</v>
      </c>
      <c r="AK294" s="21">
        <v>1.32904</v>
      </c>
      <c r="AL294">
        <f t="shared" si="54"/>
        <v>12.12037037037037</v>
      </c>
      <c r="AM294">
        <f t="shared" si="55"/>
        <v>16.121425833333333</v>
      </c>
      <c r="AP294" s="9"/>
      <c r="AQ294" s="21">
        <v>0.17990100000000001</v>
      </c>
      <c r="AR294" s="21">
        <v>25.064900000000002</v>
      </c>
      <c r="AS294" s="21">
        <v>-1.4590499999999999E-2</v>
      </c>
      <c r="AT294" s="21">
        <v>284</v>
      </c>
      <c r="AU294" s="21">
        <v>0.17941299999999999</v>
      </c>
      <c r="AV294">
        <f t="shared" si="56"/>
        <v>18.012962962962959</v>
      </c>
      <c r="AW294">
        <f t="shared" si="57"/>
        <v>3.2405500499999995</v>
      </c>
      <c r="AX294" s="9"/>
      <c r="AY294" s="21">
        <v>1.3301099999999999</v>
      </c>
      <c r="AZ294" s="21">
        <v>28.5014</v>
      </c>
      <c r="BA294" s="21">
        <v>-9.6649200000000005E-3</v>
      </c>
      <c r="BB294" s="21">
        <v>284</v>
      </c>
      <c r="BC294" s="21">
        <v>1.32965</v>
      </c>
      <c r="BD294">
        <f t="shared" si="58"/>
        <v>11.932</v>
      </c>
      <c r="BE294">
        <f t="shared" si="59"/>
        <v>15.870872519999999</v>
      </c>
    </row>
    <row r="295" spans="6:57" x14ac:dyDescent="0.25">
      <c r="F295" s="9"/>
      <c r="G295" s="21">
        <v>0.17486599999999999</v>
      </c>
      <c r="H295" s="21">
        <v>7.9615600000000004</v>
      </c>
      <c r="I295" s="21">
        <v>-1.4770500000000001E-2</v>
      </c>
      <c r="J295" s="21">
        <v>285</v>
      </c>
      <c r="K295" s="21">
        <v>0.174286</v>
      </c>
      <c r="L295">
        <f t="shared" si="48"/>
        <v>18.235185185185184</v>
      </c>
      <c r="M295">
        <f t="shared" si="49"/>
        <v>3.1887138925925922</v>
      </c>
      <c r="N295" s="9"/>
      <c r="O295" s="21">
        <v>1.33514</v>
      </c>
      <c r="P295" s="21">
        <v>11.398</v>
      </c>
      <c r="Q295" s="21">
        <v>-1.0144E-2</v>
      </c>
      <c r="R295" s="21">
        <v>285</v>
      </c>
      <c r="S295" s="21">
        <v>1.33453</v>
      </c>
      <c r="T295">
        <f t="shared" si="50"/>
        <v>12.523456790123456</v>
      </c>
      <c r="U295">
        <f t="shared" si="51"/>
        <v>16.72056809876543</v>
      </c>
      <c r="X295" s="9"/>
      <c r="Y295" s="21">
        <v>0.17486599999999999</v>
      </c>
      <c r="Z295" s="21">
        <v>16.495799999999999</v>
      </c>
      <c r="AA295" s="21">
        <v>-1.4645399999999999E-2</v>
      </c>
      <c r="AB295" s="21">
        <v>285</v>
      </c>
      <c r="AC295" s="21">
        <v>0.17419399999999999</v>
      </c>
      <c r="AD295">
        <f t="shared" si="52"/>
        <v>18.080740740740737</v>
      </c>
      <c r="AE295">
        <f t="shared" si="53"/>
        <v>3.1617068103703696</v>
      </c>
      <c r="AF295" s="9"/>
      <c r="AG295" s="21">
        <v>1.33514</v>
      </c>
      <c r="AH295" s="21">
        <v>19.932300000000001</v>
      </c>
      <c r="AI295" s="21">
        <v>-9.7259500000000006E-3</v>
      </c>
      <c r="AJ295" s="21">
        <v>285</v>
      </c>
      <c r="AK295" s="21">
        <v>1.33423</v>
      </c>
      <c r="AL295">
        <f t="shared" si="54"/>
        <v>12.007345679012346</v>
      </c>
      <c r="AM295">
        <f t="shared" si="55"/>
        <v>16.031487509876545</v>
      </c>
      <c r="AP295" s="9"/>
      <c r="AQ295" s="21">
        <v>0.17486599999999999</v>
      </c>
      <c r="AR295" s="21">
        <v>25.074999999999999</v>
      </c>
      <c r="AS295" s="21">
        <v>-1.45966E-2</v>
      </c>
      <c r="AT295" s="21">
        <v>285</v>
      </c>
      <c r="AU295" s="21">
        <v>0.174377</v>
      </c>
      <c r="AV295">
        <f t="shared" si="56"/>
        <v>18.020493827160493</v>
      </c>
      <c r="AW295">
        <f t="shared" si="57"/>
        <v>3.1511716735802469</v>
      </c>
      <c r="AX295" s="9"/>
      <c r="AY295" s="21">
        <v>1.33514</v>
      </c>
      <c r="AZ295" s="21">
        <v>28.511500000000002</v>
      </c>
      <c r="BA295" s="21">
        <v>-9.5886200000000008E-3</v>
      </c>
      <c r="BB295" s="21">
        <v>285</v>
      </c>
      <c r="BC295" s="21">
        <v>1.33484</v>
      </c>
      <c r="BD295">
        <f t="shared" si="58"/>
        <v>11.837802469135802</v>
      </c>
      <c r="BE295">
        <f t="shared" si="59"/>
        <v>15.805123588641974</v>
      </c>
    </row>
    <row r="296" spans="6:57" x14ac:dyDescent="0.25">
      <c r="F296" s="9"/>
      <c r="G296" s="21">
        <v>0.16983000000000001</v>
      </c>
      <c r="H296" s="21">
        <v>7.9716300000000002</v>
      </c>
      <c r="I296" s="21">
        <v>-1.47736E-2</v>
      </c>
      <c r="J296" s="21">
        <v>286</v>
      </c>
      <c r="K296" s="21">
        <v>0.16928099999999999</v>
      </c>
      <c r="L296">
        <f t="shared" si="48"/>
        <v>18.239012345679011</v>
      </c>
      <c r="M296">
        <f t="shared" si="49"/>
        <v>3.0975314666666667</v>
      </c>
      <c r="N296" s="9"/>
      <c r="O296" s="21">
        <v>1.3401799999999999</v>
      </c>
      <c r="P296" s="21">
        <v>11.408099999999999</v>
      </c>
      <c r="Q296" s="21">
        <v>-1.00494E-2</v>
      </c>
      <c r="R296" s="21">
        <v>286</v>
      </c>
      <c r="S296" s="21">
        <v>1.3394200000000001</v>
      </c>
      <c r="T296">
        <f t="shared" si="50"/>
        <v>12.406666666666666</v>
      </c>
      <c r="U296">
        <f t="shared" si="51"/>
        <v>16.62716653333333</v>
      </c>
      <c r="X296" s="9"/>
      <c r="Y296" s="21">
        <v>0.16983000000000001</v>
      </c>
      <c r="Z296" s="21">
        <v>16.505800000000001</v>
      </c>
      <c r="AA296" s="21">
        <v>-1.4645399999999999E-2</v>
      </c>
      <c r="AB296" s="21">
        <v>286</v>
      </c>
      <c r="AC296" s="21">
        <v>0.16928099999999999</v>
      </c>
      <c r="AD296">
        <f t="shared" si="52"/>
        <v>18.080740740740737</v>
      </c>
      <c r="AE296">
        <f t="shared" si="53"/>
        <v>3.0706521999999996</v>
      </c>
      <c r="AF296" s="9"/>
      <c r="AG296" s="21">
        <v>1.3401799999999999</v>
      </c>
      <c r="AH296" s="21">
        <v>19.942399999999999</v>
      </c>
      <c r="AI296" s="21">
        <v>-9.6404999999999998E-3</v>
      </c>
      <c r="AJ296" s="21">
        <v>286</v>
      </c>
      <c r="AK296" s="21">
        <v>1.3388100000000001</v>
      </c>
      <c r="AL296">
        <f t="shared" si="54"/>
        <v>11.90185185185185</v>
      </c>
      <c r="AM296">
        <f t="shared" si="55"/>
        <v>15.950623814814811</v>
      </c>
      <c r="AP296" s="9"/>
      <c r="AQ296" s="21">
        <v>0.16983000000000001</v>
      </c>
      <c r="AR296" s="21">
        <v>25.085000000000001</v>
      </c>
      <c r="AS296" s="21">
        <v>-1.4599600000000001E-2</v>
      </c>
      <c r="AT296" s="21">
        <v>286</v>
      </c>
      <c r="AU296" s="21">
        <v>0.16925000000000001</v>
      </c>
      <c r="AV296">
        <f t="shared" si="56"/>
        <v>18.0241975308642</v>
      </c>
      <c r="AW296">
        <f t="shared" si="57"/>
        <v>3.0610494666666672</v>
      </c>
      <c r="AX296" s="9"/>
      <c r="AY296" s="21">
        <v>1.3401799999999999</v>
      </c>
      <c r="AZ296" s="21">
        <v>28.5215</v>
      </c>
      <c r="BA296" s="21">
        <v>-9.5092800000000002E-3</v>
      </c>
      <c r="BB296" s="21">
        <v>286</v>
      </c>
      <c r="BC296" s="21">
        <v>1.33972</v>
      </c>
      <c r="BD296">
        <f t="shared" si="58"/>
        <v>11.739851851851853</v>
      </c>
      <c r="BE296">
        <f t="shared" si="59"/>
        <v>15.733514654814815</v>
      </c>
    </row>
    <row r="297" spans="6:57" x14ac:dyDescent="0.25">
      <c r="F297" s="9"/>
      <c r="G297" s="21">
        <v>0.164795</v>
      </c>
      <c r="H297" s="21">
        <v>7.9817</v>
      </c>
      <c r="I297" s="21">
        <v>-1.4782699999999999E-2</v>
      </c>
      <c r="J297" s="21">
        <v>287</v>
      </c>
      <c r="K297" s="21">
        <v>0.16427600000000001</v>
      </c>
      <c r="L297">
        <f t="shared" si="48"/>
        <v>18.250246913580245</v>
      </c>
      <c r="M297">
        <f t="shared" si="49"/>
        <v>3.0075494401234564</v>
      </c>
      <c r="N297" s="9"/>
      <c r="O297" s="21">
        <v>1.34521</v>
      </c>
      <c r="P297" s="21">
        <v>11.418200000000001</v>
      </c>
      <c r="Q297" s="21">
        <v>-9.9548299999999996E-3</v>
      </c>
      <c r="R297" s="21">
        <v>287</v>
      </c>
      <c r="S297" s="21">
        <v>1.3446</v>
      </c>
      <c r="T297">
        <f t="shared" si="50"/>
        <v>12.289913580246912</v>
      </c>
      <c r="U297">
        <f t="shared" si="51"/>
        <v>16.53251464728395</v>
      </c>
      <c r="X297" s="9"/>
      <c r="Y297" s="21">
        <v>0.164795</v>
      </c>
      <c r="Z297" s="21">
        <v>16.515899999999998</v>
      </c>
      <c r="AA297" s="21">
        <v>-1.46423E-2</v>
      </c>
      <c r="AB297" s="21">
        <v>287</v>
      </c>
      <c r="AC297" s="21">
        <v>0.164215</v>
      </c>
      <c r="AD297">
        <f t="shared" si="52"/>
        <v>18.076913580246913</v>
      </c>
      <c r="AE297">
        <f t="shared" si="53"/>
        <v>2.9789849734567899</v>
      </c>
      <c r="AF297" s="9"/>
      <c r="AG297" s="21">
        <v>1.34521</v>
      </c>
      <c r="AH297" s="21">
        <v>19.952400000000001</v>
      </c>
      <c r="AI297" s="21">
        <v>-9.5428500000000003E-3</v>
      </c>
      <c r="AJ297" s="21">
        <v>287</v>
      </c>
      <c r="AK297" s="21">
        <v>1.34491</v>
      </c>
      <c r="AL297">
        <f t="shared" si="54"/>
        <v>11.781296296296297</v>
      </c>
      <c r="AM297">
        <f t="shared" si="55"/>
        <v>15.848317590740741</v>
      </c>
      <c r="AP297" s="9"/>
      <c r="AQ297" s="21">
        <v>0.164795</v>
      </c>
      <c r="AR297" s="21">
        <v>25.095099999999999</v>
      </c>
      <c r="AS297" s="21">
        <v>-1.46179E-2</v>
      </c>
      <c r="AT297" s="21">
        <v>287</v>
      </c>
      <c r="AU297" s="21">
        <v>0.16412399999999999</v>
      </c>
      <c r="AV297">
        <f t="shared" si="56"/>
        <v>18.046790123456791</v>
      </c>
      <c r="AW297">
        <f t="shared" si="57"/>
        <v>2.9740207783950616</v>
      </c>
      <c r="AX297" s="9"/>
      <c r="AY297" s="21">
        <v>1.34521</v>
      </c>
      <c r="AZ297" s="21">
        <v>28.531600000000001</v>
      </c>
      <c r="BA297" s="21">
        <v>-9.4238299999999994E-3</v>
      </c>
      <c r="BB297" s="21">
        <v>287</v>
      </c>
      <c r="BC297" s="21">
        <v>1.3443000000000001</v>
      </c>
      <c r="BD297">
        <f t="shared" si="58"/>
        <v>11.634358024691355</v>
      </c>
      <c r="BE297">
        <f t="shared" si="59"/>
        <v>15.650654758395058</v>
      </c>
    </row>
    <row r="298" spans="6:57" x14ac:dyDescent="0.25">
      <c r="F298" s="9"/>
      <c r="G298" s="21">
        <v>0.15976000000000001</v>
      </c>
      <c r="H298" s="21">
        <v>7.9917699999999998</v>
      </c>
      <c r="I298" s="21">
        <v>-1.47888E-2</v>
      </c>
      <c r="J298" s="21">
        <v>288</v>
      </c>
      <c r="K298" s="21">
        <v>0.159271</v>
      </c>
      <c r="L298">
        <f t="shared" si="48"/>
        <v>18.257777777777775</v>
      </c>
      <c r="M298">
        <f t="shared" si="49"/>
        <v>2.9168625777777777</v>
      </c>
      <c r="N298" s="9"/>
      <c r="O298" s="21">
        <v>1.35025</v>
      </c>
      <c r="P298" s="21">
        <v>11.4283</v>
      </c>
      <c r="Q298" s="21">
        <v>-9.8693800000000005E-3</v>
      </c>
      <c r="R298" s="21">
        <v>288</v>
      </c>
      <c r="S298" s="21">
        <v>1.3494900000000001</v>
      </c>
      <c r="T298">
        <f t="shared" si="50"/>
        <v>12.18441975308642</v>
      </c>
      <c r="U298">
        <f t="shared" si="51"/>
        <v>16.452012771604938</v>
      </c>
      <c r="X298" s="9"/>
      <c r="Y298" s="21">
        <v>0.15976000000000001</v>
      </c>
      <c r="Z298" s="21">
        <v>16.526</v>
      </c>
      <c r="AA298" s="21">
        <v>-1.4639299999999999E-2</v>
      </c>
      <c r="AB298" s="21">
        <v>288</v>
      </c>
      <c r="AC298" s="21">
        <v>0.15917999999999999</v>
      </c>
      <c r="AD298">
        <f t="shared" si="52"/>
        <v>18.07320987654321</v>
      </c>
      <c r="AE298">
        <f t="shared" si="53"/>
        <v>2.8873760098765433</v>
      </c>
      <c r="AF298" s="9"/>
      <c r="AG298" s="21">
        <v>1.35025</v>
      </c>
      <c r="AH298" s="21">
        <v>19.962499999999999</v>
      </c>
      <c r="AI298" s="21">
        <v>-9.4512899999999993E-3</v>
      </c>
      <c r="AJ298" s="21">
        <v>288</v>
      </c>
      <c r="AK298" s="21">
        <v>1.34918</v>
      </c>
      <c r="AL298">
        <f t="shared" si="54"/>
        <v>11.668259259259258</v>
      </c>
      <c r="AM298">
        <f t="shared" si="55"/>
        <v>15.755067064814813</v>
      </c>
      <c r="AP298" s="9"/>
      <c r="AQ298" s="21">
        <v>0.15976000000000001</v>
      </c>
      <c r="AR298" s="21">
        <v>25.1052</v>
      </c>
      <c r="AS298" s="21">
        <v>-1.46301E-2</v>
      </c>
      <c r="AT298" s="21">
        <v>288</v>
      </c>
      <c r="AU298" s="21">
        <v>0.15924099999999999</v>
      </c>
      <c r="AV298">
        <f t="shared" si="56"/>
        <v>18.061851851851848</v>
      </c>
      <c r="AW298">
        <f t="shared" si="57"/>
        <v>2.8855614518518515</v>
      </c>
      <c r="AX298" s="9"/>
      <c r="AY298" s="21">
        <v>1.35025</v>
      </c>
      <c r="AZ298" s="21">
        <v>28.541699999999999</v>
      </c>
      <c r="BA298" s="21">
        <v>-9.3292199999999992E-3</v>
      </c>
      <c r="BB298" s="21">
        <v>288</v>
      </c>
      <c r="BC298" s="21">
        <v>1.34918</v>
      </c>
      <c r="BD298">
        <f t="shared" si="58"/>
        <v>11.517555555555553</v>
      </c>
      <c r="BE298">
        <f t="shared" si="59"/>
        <v>15.551579388888886</v>
      </c>
    </row>
    <row r="299" spans="6:57" x14ac:dyDescent="0.25">
      <c r="F299" s="9"/>
      <c r="G299" s="21">
        <v>0.154724</v>
      </c>
      <c r="H299" s="21">
        <v>8.0018399999999996</v>
      </c>
      <c r="I299" s="21">
        <v>-1.4798E-2</v>
      </c>
      <c r="J299" s="21">
        <v>289</v>
      </c>
      <c r="K299" s="21">
        <v>0.15417500000000001</v>
      </c>
      <c r="L299">
        <f t="shared" si="48"/>
        <v>18.269135802469137</v>
      </c>
      <c r="M299">
        <f t="shared" si="49"/>
        <v>2.8266737679012346</v>
      </c>
      <c r="N299" s="9"/>
      <c r="O299" s="21">
        <v>1.3552900000000001</v>
      </c>
      <c r="P299" s="21">
        <v>11.4383</v>
      </c>
      <c r="Q299" s="21">
        <v>-9.7747800000000003E-3</v>
      </c>
      <c r="R299" s="21">
        <v>289</v>
      </c>
      <c r="S299" s="21">
        <v>1.3546800000000001</v>
      </c>
      <c r="T299">
        <f t="shared" si="50"/>
        <v>12.06762962962963</v>
      </c>
      <c r="U299">
        <f t="shared" si="51"/>
        <v>16.355137760740742</v>
      </c>
      <c r="X299" s="9"/>
      <c r="Y299" s="21">
        <v>0.154724</v>
      </c>
      <c r="Z299" s="21">
        <v>16.536000000000001</v>
      </c>
      <c r="AA299" s="21">
        <v>-1.4645399999999999E-2</v>
      </c>
      <c r="AB299" s="21">
        <v>289</v>
      </c>
      <c r="AC299" s="21">
        <v>0.15417500000000001</v>
      </c>
      <c r="AD299">
        <f t="shared" si="52"/>
        <v>18.080740740740737</v>
      </c>
      <c r="AE299">
        <f t="shared" si="53"/>
        <v>2.79752453037037</v>
      </c>
      <c r="AF299" s="9"/>
      <c r="AG299" s="21">
        <v>1.3552900000000001</v>
      </c>
      <c r="AH299" s="21">
        <v>19.9726</v>
      </c>
      <c r="AI299" s="21">
        <v>-9.3627899999999993E-3</v>
      </c>
      <c r="AJ299" s="21">
        <v>289</v>
      </c>
      <c r="AK299" s="21">
        <v>1.3549800000000001</v>
      </c>
      <c r="AL299">
        <f t="shared" si="54"/>
        <v>11.558999999999997</v>
      </c>
      <c r="AM299">
        <f t="shared" si="55"/>
        <v>15.665797109999998</v>
      </c>
      <c r="AP299" s="9"/>
      <c r="AQ299" s="21">
        <v>0.154724</v>
      </c>
      <c r="AR299" s="21">
        <v>25.115300000000001</v>
      </c>
      <c r="AS299" s="21">
        <v>-1.46423E-2</v>
      </c>
      <c r="AT299" s="21">
        <v>289</v>
      </c>
      <c r="AU299" s="21">
        <v>0.15402199999999999</v>
      </c>
      <c r="AV299">
        <f t="shared" si="56"/>
        <v>18.076913580246913</v>
      </c>
      <c r="AW299">
        <f t="shared" si="57"/>
        <v>2.7969323767901235</v>
      </c>
      <c r="AX299" s="9"/>
      <c r="AY299" s="21">
        <v>1.3552900000000001</v>
      </c>
      <c r="AZ299" s="21">
        <v>28.5517</v>
      </c>
      <c r="BA299" s="21">
        <v>-9.2346200000000007E-3</v>
      </c>
      <c r="BB299" s="21">
        <v>289</v>
      </c>
      <c r="BC299" s="21">
        <v>1.3543700000000001</v>
      </c>
      <c r="BD299">
        <f t="shared" si="58"/>
        <v>11.400765432098765</v>
      </c>
      <c r="BE299">
        <f t="shared" si="59"/>
        <v>15.451343382469137</v>
      </c>
    </row>
    <row r="300" spans="6:57" x14ac:dyDescent="0.25">
      <c r="F300" s="9"/>
      <c r="G300" s="21">
        <v>0.14968899999999999</v>
      </c>
      <c r="H300" s="21">
        <v>8.0119100000000003</v>
      </c>
      <c r="I300" s="21">
        <v>-1.4804100000000001E-2</v>
      </c>
      <c r="J300" s="21">
        <v>290</v>
      </c>
      <c r="K300" s="21">
        <v>0.1492</v>
      </c>
      <c r="L300">
        <f t="shared" si="48"/>
        <v>18.276666666666667</v>
      </c>
      <c r="M300">
        <f t="shared" si="49"/>
        <v>2.7358159566666664</v>
      </c>
      <c r="N300" s="9"/>
      <c r="O300" s="21">
        <v>1.36032</v>
      </c>
      <c r="P300" s="21">
        <v>11.448399999999999</v>
      </c>
      <c r="Q300" s="21">
        <v>-9.68018E-3</v>
      </c>
      <c r="R300" s="21">
        <v>290</v>
      </c>
      <c r="S300" s="21">
        <v>1.3595600000000001</v>
      </c>
      <c r="T300">
        <f t="shared" si="50"/>
        <v>11.950839506172839</v>
      </c>
      <c r="U300">
        <f t="shared" si="51"/>
        <v>16.256965997037035</v>
      </c>
      <c r="X300" s="9"/>
      <c r="Y300" s="21">
        <v>0.14968899999999999</v>
      </c>
      <c r="Z300" s="21">
        <v>16.546099999999999</v>
      </c>
      <c r="AA300" s="21">
        <v>-1.4654500000000001E-2</v>
      </c>
      <c r="AB300" s="21">
        <v>290</v>
      </c>
      <c r="AC300" s="21">
        <v>0.14913899999999999</v>
      </c>
      <c r="AD300">
        <f t="shared" si="52"/>
        <v>18.091975308641977</v>
      </c>
      <c r="AE300">
        <f t="shared" si="53"/>
        <v>2.7081696919753089</v>
      </c>
      <c r="AF300" s="9"/>
      <c r="AG300" s="21">
        <v>1.36032</v>
      </c>
      <c r="AH300" s="21">
        <v>19.982600000000001</v>
      </c>
      <c r="AI300" s="21">
        <v>-9.2742899999999993E-3</v>
      </c>
      <c r="AJ300" s="21">
        <v>290</v>
      </c>
      <c r="AK300" s="21">
        <v>1.3595600000000001</v>
      </c>
      <c r="AL300">
        <f t="shared" si="54"/>
        <v>11.44974074074074</v>
      </c>
      <c r="AM300">
        <f t="shared" si="55"/>
        <v>15.575311324444444</v>
      </c>
      <c r="AP300" s="9"/>
      <c r="AQ300" s="21">
        <v>0.14968899999999999</v>
      </c>
      <c r="AR300" s="21">
        <v>25.125299999999999</v>
      </c>
      <c r="AS300" s="21">
        <v>-1.4648400000000001E-2</v>
      </c>
      <c r="AT300" s="21">
        <v>290</v>
      </c>
      <c r="AU300" s="21">
        <v>0.14917</v>
      </c>
      <c r="AV300">
        <f t="shared" si="56"/>
        <v>18.084444444444443</v>
      </c>
      <c r="AW300">
        <f t="shared" si="57"/>
        <v>2.7070424044444441</v>
      </c>
      <c r="AX300" s="9"/>
      <c r="AY300" s="21">
        <v>1.36032</v>
      </c>
      <c r="AZ300" s="21">
        <v>28.561800000000002</v>
      </c>
      <c r="BA300" s="21">
        <v>-9.1400100000000005E-3</v>
      </c>
      <c r="BB300" s="21">
        <v>290</v>
      </c>
      <c r="BC300" s="21">
        <v>1.3592500000000001</v>
      </c>
      <c r="BD300">
        <f t="shared" si="58"/>
        <v>11.283962962962963</v>
      </c>
      <c r="BE300">
        <f t="shared" si="59"/>
        <v>15.349800497777778</v>
      </c>
    </row>
    <row r="301" spans="6:57" x14ac:dyDescent="0.25">
      <c r="F301" s="9"/>
      <c r="G301" s="21">
        <v>0.144653</v>
      </c>
      <c r="H301" s="21">
        <v>8.0219799999999992</v>
      </c>
      <c r="I301" s="21">
        <v>-1.4810200000000001E-2</v>
      </c>
      <c r="J301" s="21">
        <v>291</v>
      </c>
      <c r="K301" s="21">
        <v>0.14416499999999999</v>
      </c>
      <c r="L301">
        <f t="shared" si="48"/>
        <v>18.284197530864198</v>
      </c>
      <c r="M301">
        <f t="shared" si="49"/>
        <v>2.6448640254320988</v>
      </c>
      <c r="N301" s="9"/>
      <c r="O301" s="21">
        <v>1.3653599999999999</v>
      </c>
      <c r="P301" s="21">
        <v>11.458500000000001</v>
      </c>
      <c r="Q301" s="21">
        <v>-9.5794699999999997E-3</v>
      </c>
      <c r="R301" s="21">
        <v>291</v>
      </c>
      <c r="S301" s="21">
        <v>1.3647499999999999</v>
      </c>
      <c r="T301">
        <f t="shared" si="50"/>
        <v>11.826506172839505</v>
      </c>
      <c r="U301">
        <f t="shared" si="51"/>
        <v>16.147438468148145</v>
      </c>
      <c r="X301" s="9"/>
      <c r="Y301" s="21">
        <v>0.144653</v>
      </c>
      <c r="Z301" s="21">
        <v>16.5562</v>
      </c>
      <c r="AA301" s="21">
        <v>-1.46667E-2</v>
      </c>
      <c r="AB301" s="21">
        <v>291</v>
      </c>
      <c r="AC301" s="21">
        <v>0.144012</v>
      </c>
      <c r="AD301">
        <f t="shared" si="52"/>
        <v>18.107037037037035</v>
      </c>
      <c r="AE301">
        <f t="shared" si="53"/>
        <v>2.6192372285185184</v>
      </c>
      <c r="AF301" s="9"/>
      <c r="AG301" s="21">
        <v>1.3653599999999999</v>
      </c>
      <c r="AH301" s="21">
        <v>19.992699999999999</v>
      </c>
      <c r="AI301" s="21">
        <v>-9.1796900000000008E-3</v>
      </c>
      <c r="AJ301" s="21">
        <v>291</v>
      </c>
      <c r="AK301" s="21">
        <v>1.3647499999999999</v>
      </c>
      <c r="AL301">
        <f t="shared" si="54"/>
        <v>11.33295061728395</v>
      </c>
      <c r="AM301">
        <f t="shared" si="55"/>
        <v>15.473557454814813</v>
      </c>
      <c r="AP301" s="9"/>
      <c r="AQ301" s="21">
        <v>0.144653</v>
      </c>
      <c r="AR301" s="21">
        <v>25.135400000000001</v>
      </c>
      <c r="AS301" s="21">
        <v>-1.4654500000000001E-2</v>
      </c>
      <c r="AT301" s="21">
        <v>291</v>
      </c>
      <c r="AU301" s="21">
        <v>0.14410400000000001</v>
      </c>
      <c r="AV301">
        <f t="shared" si="56"/>
        <v>18.091975308641977</v>
      </c>
      <c r="AW301">
        <f t="shared" si="57"/>
        <v>2.6170585043209882</v>
      </c>
      <c r="AX301" s="9"/>
      <c r="AY301" s="21">
        <v>1.3653599999999999</v>
      </c>
      <c r="AZ301" s="21">
        <v>28.571899999999999</v>
      </c>
      <c r="BA301" s="21">
        <v>-9.0393100000000001E-3</v>
      </c>
      <c r="BB301" s="21">
        <v>291</v>
      </c>
      <c r="BC301" s="21">
        <v>1.3647499999999999</v>
      </c>
      <c r="BD301">
        <f t="shared" si="58"/>
        <v>11.159641975308642</v>
      </c>
      <c r="BE301">
        <f t="shared" si="59"/>
        <v>15.236928767407406</v>
      </c>
    </row>
    <row r="302" spans="6:57" x14ac:dyDescent="0.25">
      <c r="F302" s="9"/>
      <c r="G302" s="21">
        <v>0.13961799999999999</v>
      </c>
      <c r="H302" s="21">
        <v>8.0320499999999999</v>
      </c>
      <c r="I302" s="21">
        <v>-1.4810200000000001E-2</v>
      </c>
      <c r="J302" s="21">
        <v>292</v>
      </c>
      <c r="K302" s="21">
        <v>0.13903799999999999</v>
      </c>
      <c r="L302">
        <f t="shared" si="48"/>
        <v>18.284197530864198</v>
      </c>
      <c r="M302">
        <f t="shared" si="49"/>
        <v>2.5528030908641974</v>
      </c>
      <c r="N302" s="9"/>
      <c r="O302" s="21">
        <v>1.37039</v>
      </c>
      <c r="P302" s="21">
        <v>11.468500000000001</v>
      </c>
      <c r="Q302" s="21">
        <v>-9.4695999999999999E-3</v>
      </c>
      <c r="R302" s="21">
        <v>292</v>
      </c>
      <c r="S302" s="21">
        <v>1.3693200000000001</v>
      </c>
      <c r="T302">
        <f t="shared" si="50"/>
        <v>11.690864197530864</v>
      </c>
      <c r="U302">
        <f t="shared" si="51"/>
        <v>16.02104338765432</v>
      </c>
      <c r="X302" s="9"/>
      <c r="Y302" s="21">
        <v>0.13961799999999999</v>
      </c>
      <c r="Z302" s="21">
        <v>16.566299999999998</v>
      </c>
      <c r="AA302" s="21">
        <v>-1.4672899999999999E-2</v>
      </c>
      <c r="AB302" s="21">
        <v>292</v>
      </c>
      <c r="AC302" s="21">
        <v>0.139099</v>
      </c>
      <c r="AD302">
        <f t="shared" si="52"/>
        <v>18.11469135802469</v>
      </c>
      <c r="AE302">
        <f t="shared" si="53"/>
        <v>2.5291369780246908</v>
      </c>
      <c r="AF302" s="9"/>
      <c r="AG302" s="21">
        <v>1.37039</v>
      </c>
      <c r="AH302" s="21">
        <v>20.002800000000001</v>
      </c>
      <c r="AI302" s="21">
        <v>-9.0759299999999994E-3</v>
      </c>
      <c r="AJ302" s="21">
        <v>292</v>
      </c>
      <c r="AK302" s="21">
        <v>1.3693200000000001</v>
      </c>
      <c r="AL302">
        <f t="shared" si="54"/>
        <v>11.204851851851851</v>
      </c>
      <c r="AM302">
        <f t="shared" si="55"/>
        <v>15.355016929259259</v>
      </c>
      <c r="AP302" s="9"/>
      <c r="AQ302" s="21">
        <v>0.13961799999999999</v>
      </c>
      <c r="AR302" s="21">
        <v>25.145499999999998</v>
      </c>
      <c r="AS302" s="21">
        <v>-1.4660599999999999E-2</v>
      </c>
      <c r="AT302" s="21">
        <v>292</v>
      </c>
      <c r="AU302" s="21">
        <v>0.139099</v>
      </c>
      <c r="AV302">
        <f t="shared" si="56"/>
        <v>18.099506172839504</v>
      </c>
      <c r="AW302">
        <f t="shared" si="57"/>
        <v>2.5270168528395058</v>
      </c>
      <c r="AX302" s="9"/>
      <c r="AY302" s="21">
        <v>1.37039</v>
      </c>
      <c r="AZ302" s="21">
        <v>28.582000000000001</v>
      </c>
      <c r="BA302" s="21">
        <v>-8.9385999999999997E-3</v>
      </c>
      <c r="BB302" s="21">
        <v>292</v>
      </c>
      <c r="BC302" s="21">
        <v>1.3696299999999999</v>
      </c>
      <c r="BD302">
        <f t="shared" si="58"/>
        <v>11.035308641975307</v>
      </c>
      <c r="BE302">
        <f t="shared" si="59"/>
        <v>15.122676609876541</v>
      </c>
    </row>
    <row r="303" spans="6:57" x14ac:dyDescent="0.25">
      <c r="F303" s="9"/>
      <c r="G303" s="21">
        <v>0.13458300000000001</v>
      </c>
      <c r="H303" s="21">
        <v>8.0421300000000002</v>
      </c>
      <c r="I303" s="21">
        <v>-1.48132E-2</v>
      </c>
      <c r="J303" s="21">
        <v>293</v>
      </c>
      <c r="K303" s="21">
        <v>0.13397200000000001</v>
      </c>
      <c r="L303">
        <f t="shared" si="48"/>
        <v>18.287901234567901</v>
      </c>
      <c r="M303">
        <f t="shared" si="49"/>
        <v>2.4612406118518519</v>
      </c>
      <c r="N303" s="9"/>
      <c r="O303" s="21">
        <v>1.3754299999999999</v>
      </c>
      <c r="P303" s="21">
        <v>11.4786</v>
      </c>
      <c r="Q303" s="21">
        <v>-9.3597400000000001E-3</v>
      </c>
      <c r="R303" s="21">
        <v>293</v>
      </c>
      <c r="S303" s="21">
        <v>1.3748199999999999</v>
      </c>
      <c r="T303">
        <f t="shared" si="50"/>
        <v>11.555234567901234</v>
      </c>
      <c r="U303">
        <f t="shared" si="51"/>
        <v>15.893416281728394</v>
      </c>
      <c r="X303" s="9"/>
      <c r="Y303" s="21">
        <v>0.13458300000000001</v>
      </c>
      <c r="Z303" s="21">
        <v>16.5763</v>
      </c>
      <c r="AA303" s="21">
        <v>-1.4672899999999999E-2</v>
      </c>
      <c r="AB303" s="21">
        <v>293</v>
      </c>
      <c r="AC303" s="21">
        <v>0.13397200000000001</v>
      </c>
      <c r="AD303">
        <f t="shared" si="52"/>
        <v>18.11469135802469</v>
      </c>
      <c r="AE303">
        <f t="shared" si="53"/>
        <v>2.4379295070370368</v>
      </c>
      <c r="AF303" s="9"/>
      <c r="AG303" s="21">
        <v>1.3754299999999999</v>
      </c>
      <c r="AH303" s="21">
        <v>20.012899999999998</v>
      </c>
      <c r="AI303" s="21">
        <v>-8.9660599999999997E-3</v>
      </c>
      <c r="AJ303" s="21">
        <v>293</v>
      </c>
      <c r="AK303" s="21">
        <v>1.3742099999999999</v>
      </c>
      <c r="AL303">
        <f t="shared" si="54"/>
        <v>11.06920987654321</v>
      </c>
      <c r="AM303">
        <f t="shared" si="55"/>
        <v>15.224923340493827</v>
      </c>
      <c r="AP303" s="9"/>
      <c r="AQ303" s="21">
        <v>0.13458300000000001</v>
      </c>
      <c r="AR303" s="21">
        <v>25.1555</v>
      </c>
      <c r="AS303" s="21">
        <v>-1.4660599999999999E-2</v>
      </c>
      <c r="AT303" s="21">
        <v>293</v>
      </c>
      <c r="AU303" s="21">
        <v>0.13400300000000001</v>
      </c>
      <c r="AV303">
        <f t="shared" si="56"/>
        <v>18.099506172839504</v>
      </c>
      <c r="AW303">
        <f t="shared" si="57"/>
        <v>2.4358858392592593</v>
      </c>
      <c r="AX303" s="9"/>
      <c r="AY303" s="21">
        <v>1.3754299999999999</v>
      </c>
      <c r="AZ303" s="21">
        <v>28.591999999999999</v>
      </c>
      <c r="BA303" s="21">
        <v>-8.8378899999999993E-3</v>
      </c>
      <c r="BB303" s="21">
        <v>293</v>
      </c>
      <c r="BC303" s="21">
        <v>1.3748199999999999</v>
      </c>
      <c r="BD303">
        <f t="shared" si="58"/>
        <v>10.910975308641973</v>
      </c>
      <c r="BE303">
        <f t="shared" si="59"/>
        <v>15.007282768765428</v>
      </c>
    </row>
    <row r="304" spans="6:57" x14ac:dyDescent="0.25">
      <c r="F304" s="9"/>
      <c r="G304" s="21">
        <v>0.129547</v>
      </c>
      <c r="H304" s="21">
        <v>8.0521999999999991</v>
      </c>
      <c r="I304" s="21">
        <v>-1.48132E-2</v>
      </c>
      <c r="J304" s="21">
        <v>294</v>
      </c>
      <c r="K304" s="21">
        <v>0.128998</v>
      </c>
      <c r="L304">
        <f t="shared" si="48"/>
        <v>18.287901234567901</v>
      </c>
      <c r="M304">
        <f t="shared" si="49"/>
        <v>2.3691427412345676</v>
      </c>
      <c r="N304" s="9"/>
      <c r="O304" s="21">
        <v>1.38046</v>
      </c>
      <c r="P304" s="21">
        <v>11.4887</v>
      </c>
      <c r="Q304" s="21">
        <v>-9.2468299999999993E-3</v>
      </c>
      <c r="R304" s="21">
        <v>294</v>
      </c>
      <c r="S304" s="21">
        <v>1.3796999999999999</v>
      </c>
      <c r="T304">
        <f t="shared" si="50"/>
        <v>11.415839506172839</v>
      </c>
      <c r="U304">
        <f t="shared" si="51"/>
        <v>15.759109804691358</v>
      </c>
      <c r="X304" s="9"/>
      <c r="Y304" s="21">
        <v>0.129547</v>
      </c>
      <c r="Z304" s="21">
        <v>16.586400000000001</v>
      </c>
      <c r="AA304" s="21">
        <v>-1.4672899999999999E-2</v>
      </c>
      <c r="AB304" s="21">
        <v>294</v>
      </c>
      <c r="AC304" s="21">
        <v>0.128998</v>
      </c>
      <c r="AD304">
        <f t="shared" si="52"/>
        <v>18.11469135802469</v>
      </c>
      <c r="AE304">
        <f t="shared" si="53"/>
        <v>2.3467039213580243</v>
      </c>
      <c r="AF304" s="9"/>
      <c r="AG304" s="21">
        <v>1.38046</v>
      </c>
      <c r="AH304" s="21">
        <v>20.0229</v>
      </c>
      <c r="AI304" s="21">
        <v>-8.8531500000000006E-3</v>
      </c>
      <c r="AJ304" s="21">
        <v>294</v>
      </c>
      <c r="AK304" s="21">
        <v>1.3796999999999999</v>
      </c>
      <c r="AL304">
        <f t="shared" si="54"/>
        <v>10.929814814814813</v>
      </c>
      <c r="AM304">
        <f t="shared" si="55"/>
        <v>15.088172159259257</v>
      </c>
      <c r="AP304" s="9"/>
      <c r="AQ304" s="21">
        <v>0.129547</v>
      </c>
      <c r="AR304" s="21">
        <v>25.165600000000001</v>
      </c>
      <c r="AS304" s="21">
        <v>-1.46667E-2</v>
      </c>
      <c r="AT304" s="21">
        <v>294</v>
      </c>
      <c r="AU304" s="21">
        <v>0.128998</v>
      </c>
      <c r="AV304">
        <f t="shared" si="56"/>
        <v>18.107037037037035</v>
      </c>
      <c r="AW304">
        <f t="shared" si="57"/>
        <v>2.3457123270370368</v>
      </c>
      <c r="AX304" s="9"/>
      <c r="AY304" s="21">
        <v>1.38046</v>
      </c>
      <c r="AZ304" s="21">
        <v>28.6021</v>
      </c>
      <c r="BA304" s="21">
        <v>-8.7341299999999997E-3</v>
      </c>
      <c r="BB304" s="21">
        <v>294</v>
      </c>
      <c r="BC304" s="21">
        <v>1.3796999999999999</v>
      </c>
      <c r="BD304">
        <f t="shared" si="58"/>
        <v>10.782876543209875</v>
      </c>
      <c r="BE304">
        <f t="shared" si="59"/>
        <v>14.885329752839505</v>
      </c>
    </row>
    <row r="305" spans="6:57" x14ac:dyDescent="0.25">
      <c r="F305" s="9"/>
      <c r="G305" s="21">
        <v>0.124512</v>
      </c>
      <c r="H305" s="21">
        <v>8.0622699999999998</v>
      </c>
      <c r="I305" s="21">
        <v>-1.48132E-2</v>
      </c>
      <c r="J305" s="21">
        <v>295</v>
      </c>
      <c r="K305" s="21">
        <v>0.123962</v>
      </c>
      <c r="L305">
        <f t="shared" si="48"/>
        <v>18.287901234567901</v>
      </c>
      <c r="M305">
        <f t="shared" si="49"/>
        <v>2.2770631585185184</v>
      </c>
      <c r="N305" s="9"/>
      <c r="O305" s="21">
        <v>1.3855</v>
      </c>
      <c r="P305" s="21">
        <v>11.498799999999999</v>
      </c>
      <c r="Q305" s="21">
        <v>-9.1400100000000005E-3</v>
      </c>
      <c r="R305" s="21">
        <v>295</v>
      </c>
      <c r="S305" s="21">
        <v>1.38428</v>
      </c>
      <c r="T305">
        <f t="shared" si="50"/>
        <v>11.283962962962963</v>
      </c>
      <c r="U305">
        <f t="shared" si="51"/>
        <v>15.633930685185184</v>
      </c>
      <c r="X305" s="9"/>
      <c r="Y305" s="21">
        <v>0.124512</v>
      </c>
      <c r="Z305" s="21">
        <v>16.596499999999999</v>
      </c>
      <c r="AA305" s="21">
        <v>-1.4682000000000001E-2</v>
      </c>
      <c r="AB305" s="21">
        <v>295</v>
      </c>
      <c r="AC305" s="21">
        <v>0.12381</v>
      </c>
      <c r="AD305">
        <f t="shared" si="52"/>
        <v>18.125925925925923</v>
      </c>
      <c r="AE305">
        <f t="shared" si="53"/>
        <v>2.2568952888888885</v>
      </c>
      <c r="AF305" s="9"/>
      <c r="AG305" s="21">
        <v>1.3855</v>
      </c>
      <c r="AH305" s="21">
        <v>20.033000000000001</v>
      </c>
      <c r="AI305" s="21">
        <v>-8.7432900000000008E-3</v>
      </c>
      <c r="AJ305" s="21">
        <v>295</v>
      </c>
      <c r="AK305" s="21">
        <v>1.38489</v>
      </c>
      <c r="AL305">
        <f t="shared" si="54"/>
        <v>10.794185185185187</v>
      </c>
      <c r="AM305">
        <f t="shared" si="55"/>
        <v>14.955343574074076</v>
      </c>
      <c r="AP305" s="9"/>
      <c r="AQ305" s="21">
        <v>0.124512</v>
      </c>
      <c r="AR305" s="21">
        <v>25.175699999999999</v>
      </c>
      <c r="AS305" s="21">
        <v>-1.46759E-2</v>
      </c>
      <c r="AT305" s="21">
        <v>295</v>
      </c>
      <c r="AU305" s="21">
        <v>0.12399300000000001</v>
      </c>
      <c r="AV305">
        <f t="shared" si="56"/>
        <v>18.118395061728396</v>
      </c>
      <c r="AW305">
        <f t="shared" si="57"/>
        <v>2.2559576059259259</v>
      </c>
      <c r="AX305" s="9"/>
      <c r="AY305" s="21">
        <v>1.3855</v>
      </c>
      <c r="AZ305" s="21">
        <v>28.612200000000001</v>
      </c>
      <c r="BA305" s="21">
        <v>-8.6212200000000006E-3</v>
      </c>
      <c r="BB305" s="21">
        <v>295</v>
      </c>
      <c r="BC305" s="21">
        <v>1.38428</v>
      </c>
      <c r="BD305">
        <f t="shared" si="58"/>
        <v>10.643481481481482</v>
      </c>
      <c r="BE305">
        <f t="shared" si="59"/>
        <v>14.746543592592593</v>
      </c>
    </row>
    <row r="306" spans="6:57" x14ac:dyDescent="0.25">
      <c r="F306" s="9"/>
      <c r="G306" s="21">
        <v>0.119476</v>
      </c>
      <c r="H306" s="21">
        <v>8.0723400000000005</v>
      </c>
      <c r="I306" s="21">
        <v>-1.4819300000000001E-2</v>
      </c>
      <c r="J306" s="21">
        <v>296</v>
      </c>
      <c r="K306" s="21">
        <v>0.119049</v>
      </c>
      <c r="L306">
        <f t="shared" si="48"/>
        <v>18.295432098765431</v>
      </c>
      <c r="M306">
        <f t="shared" si="49"/>
        <v>2.1858650454320987</v>
      </c>
      <c r="N306" s="9"/>
      <c r="O306" s="21">
        <v>1.39053</v>
      </c>
      <c r="P306" s="21">
        <v>11.508800000000001</v>
      </c>
      <c r="Q306" s="21">
        <v>-9.0301500000000007E-3</v>
      </c>
      <c r="R306" s="21">
        <v>296</v>
      </c>
      <c r="S306" s="21">
        <v>1.39008</v>
      </c>
      <c r="T306">
        <f t="shared" si="50"/>
        <v>11.148333333333333</v>
      </c>
      <c r="U306">
        <f t="shared" si="51"/>
        <v>15.502091950000001</v>
      </c>
      <c r="X306" s="9"/>
      <c r="Y306" s="21">
        <v>0.119476</v>
      </c>
      <c r="Z306" s="21">
        <v>16.6065</v>
      </c>
      <c r="AA306" s="21">
        <v>-1.4688100000000001E-2</v>
      </c>
      <c r="AB306" s="21">
        <v>296</v>
      </c>
      <c r="AC306" s="21">
        <v>0.119019</v>
      </c>
      <c r="AD306">
        <f t="shared" si="52"/>
        <v>18.133456790123457</v>
      </c>
      <c r="AE306">
        <f t="shared" si="53"/>
        <v>2.1665128834567899</v>
      </c>
      <c r="AF306" s="9"/>
      <c r="AG306" s="21">
        <v>1.39053</v>
      </c>
      <c r="AH306" s="21">
        <v>20.043099999999999</v>
      </c>
      <c r="AI306" s="21">
        <v>-8.6273200000000008E-3</v>
      </c>
      <c r="AJ306" s="21">
        <v>296</v>
      </c>
      <c r="AK306" s="21">
        <v>1.39008</v>
      </c>
      <c r="AL306">
        <f t="shared" si="54"/>
        <v>10.651012345679012</v>
      </c>
      <c r="AM306">
        <f t="shared" si="55"/>
        <v>14.810552197037037</v>
      </c>
      <c r="AP306" s="9"/>
      <c r="AQ306" s="21">
        <v>0.119476</v>
      </c>
      <c r="AR306" s="21">
        <v>25.1858</v>
      </c>
      <c r="AS306" s="21">
        <v>-1.4678999999999999E-2</v>
      </c>
      <c r="AT306" s="21">
        <v>296</v>
      </c>
      <c r="AU306" s="21">
        <v>0.118927</v>
      </c>
      <c r="AV306">
        <f t="shared" si="56"/>
        <v>18.12222222222222</v>
      </c>
      <c r="AW306">
        <f t="shared" si="57"/>
        <v>2.165170622222222</v>
      </c>
      <c r="AX306" s="9"/>
      <c r="AY306" s="21">
        <v>1.39053</v>
      </c>
      <c r="AZ306" s="21">
        <v>28.622199999999999</v>
      </c>
      <c r="BA306" s="21">
        <v>-8.5113500000000009E-3</v>
      </c>
      <c r="BB306" s="21">
        <v>296</v>
      </c>
      <c r="BC306" s="21">
        <v>1.38947</v>
      </c>
      <c r="BD306">
        <f t="shared" si="58"/>
        <v>10.507839506172839</v>
      </c>
      <c r="BE306">
        <f t="shared" si="59"/>
        <v>14.611466068518519</v>
      </c>
    </row>
    <row r="307" spans="6:57" x14ac:dyDescent="0.25">
      <c r="F307" s="9"/>
      <c r="G307" s="21">
        <v>0.114441</v>
      </c>
      <c r="H307" s="21">
        <v>8.0824099999999994</v>
      </c>
      <c r="I307" s="21">
        <v>-1.4822399999999999E-2</v>
      </c>
      <c r="J307" s="21">
        <v>297</v>
      </c>
      <c r="K307" s="21">
        <v>0.11389199999999999</v>
      </c>
      <c r="L307">
        <f t="shared" si="48"/>
        <v>18.299259259259259</v>
      </c>
      <c r="M307">
        <f t="shared" si="49"/>
        <v>2.0941855288888886</v>
      </c>
      <c r="N307" s="9"/>
      <c r="O307" s="21">
        <v>1.39557</v>
      </c>
      <c r="P307" s="21">
        <v>11.5189</v>
      </c>
      <c r="Q307" s="21">
        <v>-8.9111299999999997E-3</v>
      </c>
      <c r="R307" s="21">
        <v>297</v>
      </c>
      <c r="S307" s="21">
        <v>1.39435</v>
      </c>
      <c r="T307">
        <f t="shared" si="50"/>
        <v>11.001395061728394</v>
      </c>
      <c r="U307">
        <f t="shared" si="51"/>
        <v>15.353216906296295</v>
      </c>
      <c r="X307" s="9"/>
      <c r="Y307" s="21">
        <v>0.114441</v>
      </c>
      <c r="Z307" s="21">
        <v>16.616599999999998</v>
      </c>
      <c r="AA307" s="21">
        <v>-1.4700299999999999E-2</v>
      </c>
      <c r="AB307" s="21">
        <v>297</v>
      </c>
      <c r="AC307" s="21">
        <v>0.113922</v>
      </c>
      <c r="AD307">
        <f t="shared" si="52"/>
        <v>18.148518518518514</v>
      </c>
      <c r="AE307">
        <f t="shared" si="53"/>
        <v>2.0769346077777775</v>
      </c>
      <c r="AF307" s="9"/>
      <c r="AG307" s="21">
        <v>1.39557</v>
      </c>
      <c r="AH307" s="21">
        <v>20.053100000000001</v>
      </c>
      <c r="AI307" s="21">
        <v>-8.5113500000000009E-3</v>
      </c>
      <c r="AJ307" s="21">
        <v>297</v>
      </c>
      <c r="AK307" s="21">
        <v>1.3946499999999999</v>
      </c>
      <c r="AL307">
        <f t="shared" si="54"/>
        <v>10.507839506172839</v>
      </c>
      <c r="AM307">
        <f t="shared" si="55"/>
        <v>14.664425579629629</v>
      </c>
      <c r="AP307" s="9"/>
      <c r="AQ307" s="21">
        <v>0.114441</v>
      </c>
      <c r="AR307" s="21">
        <v>25.195799999999998</v>
      </c>
      <c r="AS307" s="21">
        <v>-1.4678999999999999E-2</v>
      </c>
      <c r="AT307" s="21">
        <v>297</v>
      </c>
      <c r="AU307" s="21">
        <v>0.113983</v>
      </c>
      <c r="AV307">
        <f t="shared" si="56"/>
        <v>18.12222222222222</v>
      </c>
      <c r="AW307">
        <f t="shared" si="57"/>
        <v>2.0739252333333331</v>
      </c>
      <c r="AX307" s="9"/>
      <c r="AY307" s="21">
        <v>1.39557</v>
      </c>
      <c r="AZ307" s="21">
        <v>28.632300000000001</v>
      </c>
      <c r="BA307" s="21">
        <v>-8.3831800000000005E-3</v>
      </c>
      <c r="BB307" s="21">
        <v>297</v>
      </c>
      <c r="BC307" s="21">
        <v>1.39496</v>
      </c>
      <c r="BD307">
        <f t="shared" si="58"/>
        <v>10.349604938271604</v>
      </c>
      <c r="BE307">
        <f t="shared" si="59"/>
        <v>14.443598163703701</v>
      </c>
    </row>
    <row r="308" spans="6:57" x14ac:dyDescent="0.25">
      <c r="F308" s="9"/>
      <c r="G308" s="21">
        <v>0.109406</v>
      </c>
      <c r="H308" s="21">
        <v>8.0924800000000001</v>
      </c>
      <c r="I308" s="21">
        <v>-1.4822399999999999E-2</v>
      </c>
      <c r="J308" s="21">
        <v>298</v>
      </c>
      <c r="K308" s="21">
        <v>0.108917</v>
      </c>
      <c r="L308">
        <f t="shared" si="48"/>
        <v>18.299259259259259</v>
      </c>
      <c r="M308">
        <f t="shared" si="49"/>
        <v>2.0020487585185185</v>
      </c>
      <c r="N308" s="9"/>
      <c r="O308" s="21">
        <v>1.4006000000000001</v>
      </c>
      <c r="P308" s="21">
        <v>11.529</v>
      </c>
      <c r="Q308" s="21">
        <v>-8.7829599999999994E-3</v>
      </c>
      <c r="R308" s="21">
        <v>298</v>
      </c>
      <c r="S308" s="21">
        <v>1.39984</v>
      </c>
      <c r="T308">
        <f t="shared" si="50"/>
        <v>10.84316049382716</v>
      </c>
      <c r="U308">
        <f t="shared" si="51"/>
        <v>15.18693058765432</v>
      </c>
      <c r="X308" s="9"/>
      <c r="Y308" s="21">
        <v>0.109406</v>
      </c>
      <c r="Z308" s="21">
        <v>16.6267</v>
      </c>
      <c r="AA308" s="21">
        <v>-1.47125E-2</v>
      </c>
      <c r="AB308" s="21">
        <v>298</v>
      </c>
      <c r="AC308" s="21">
        <v>0.10882600000000001</v>
      </c>
      <c r="AD308">
        <f t="shared" si="52"/>
        <v>18.163580246913579</v>
      </c>
      <c r="AE308">
        <f t="shared" si="53"/>
        <v>1.9872046604938272</v>
      </c>
      <c r="AF308" s="9"/>
      <c r="AG308" s="21">
        <v>1.4006000000000001</v>
      </c>
      <c r="AH308" s="21">
        <v>20.063199999999998</v>
      </c>
      <c r="AI308" s="21">
        <v>-8.3953900000000008E-3</v>
      </c>
      <c r="AJ308" s="21">
        <v>298</v>
      </c>
      <c r="AK308" s="21">
        <v>1.39984</v>
      </c>
      <c r="AL308">
        <f t="shared" si="54"/>
        <v>10.364679012345681</v>
      </c>
      <c r="AM308">
        <f t="shared" si="55"/>
        <v>14.516769424691361</v>
      </c>
      <c r="AP308" s="9"/>
      <c r="AQ308" s="21">
        <v>0.109406</v>
      </c>
      <c r="AR308" s="21">
        <v>25.2059</v>
      </c>
      <c r="AS308" s="21">
        <v>-1.4678999999999999E-2</v>
      </c>
      <c r="AT308" s="21">
        <v>298</v>
      </c>
      <c r="AU308" s="21">
        <v>0.108887</v>
      </c>
      <c r="AV308">
        <f t="shared" si="56"/>
        <v>18.12222222222222</v>
      </c>
      <c r="AW308">
        <f t="shared" si="57"/>
        <v>1.9826798444444442</v>
      </c>
      <c r="AX308" s="9"/>
      <c r="AY308" s="21">
        <v>1.4006000000000001</v>
      </c>
      <c r="AZ308" s="21">
        <v>28.642399999999999</v>
      </c>
      <c r="BA308" s="21">
        <v>-8.2580599999999994E-3</v>
      </c>
      <c r="BB308" s="21">
        <v>298</v>
      </c>
      <c r="BC308" s="21">
        <v>1.39984</v>
      </c>
      <c r="BD308">
        <f t="shared" si="58"/>
        <v>10.195135802469133</v>
      </c>
      <c r="BE308">
        <f t="shared" si="59"/>
        <v>14.279307204938268</v>
      </c>
    </row>
    <row r="309" spans="6:57" x14ac:dyDescent="0.25">
      <c r="F309" s="9"/>
      <c r="G309" s="21">
        <v>0.10437</v>
      </c>
      <c r="H309" s="21">
        <v>8.1025500000000008</v>
      </c>
      <c r="I309" s="21">
        <v>-1.4825400000000001E-2</v>
      </c>
      <c r="J309" s="21">
        <v>299</v>
      </c>
      <c r="K309" s="21">
        <v>0.10376000000000001</v>
      </c>
      <c r="L309">
        <f t="shared" si="48"/>
        <v>18.302962962962962</v>
      </c>
      <c r="M309">
        <f t="shared" si="49"/>
        <v>1.9102802444444444</v>
      </c>
      <c r="N309" s="9"/>
      <c r="O309" s="21">
        <v>1.40564</v>
      </c>
      <c r="P309" s="21">
        <v>11.539</v>
      </c>
      <c r="Q309" s="21">
        <v>-8.6547900000000007E-3</v>
      </c>
      <c r="R309" s="21">
        <v>299</v>
      </c>
      <c r="S309" s="21">
        <v>1.40472</v>
      </c>
      <c r="T309">
        <f t="shared" si="50"/>
        <v>10.684925925925926</v>
      </c>
      <c r="U309">
        <f t="shared" si="51"/>
        <v>15.019159278518519</v>
      </c>
      <c r="X309" s="9"/>
      <c r="Y309" s="21">
        <v>0.10437</v>
      </c>
      <c r="Z309" s="21">
        <v>16.636800000000001</v>
      </c>
      <c r="AA309" s="21">
        <v>-1.47247E-2</v>
      </c>
      <c r="AB309" s="21">
        <v>299</v>
      </c>
      <c r="AC309" s="21">
        <v>0.103912</v>
      </c>
      <c r="AD309">
        <f t="shared" si="52"/>
        <v>18.178641975308643</v>
      </c>
      <c r="AE309">
        <f t="shared" si="53"/>
        <v>1.8973048629629632</v>
      </c>
      <c r="AF309" s="9"/>
      <c r="AG309" s="21">
        <v>1.40564</v>
      </c>
      <c r="AH309" s="21">
        <v>20.0733</v>
      </c>
      <c r="AI309" s="21">
        <v>-8.2580599999999994E-3</v>
      </c>
      <c r="AJ309" s="21">
        <v>299</v>
      </c>
      <c r="AK309" s="21">
        <v>1.40472</v>
      </c>
      <c r="AL309">
        <f t="shared" si="54"/>
        <v>10.195135802469133</v>
      </c>
      <c r="AM309">
        <f t="shared" si="55"/>
        <v>14.330690689382713</v>
      </c>
      <c r="AP309" s="9"/>
      <c r="AQ309" s="21">
        <v>0.10437</v>
      </c>
      <c r="AR309" s="21">
        <v>25.216000000000001</v>
      </c>
      <c r="AS309" s="21">
        <v>-1.4678999999999999E-2</v>
      </c>
      <c r="AT309" s="21">
        <v>299</v>
      </c>
      <c r="AU309" s="21">
        <v>0.103699</v>
      </c>
      <c r="AV309">
        <f t="shared" si="56"/>
        <v>18.12222222222222</v>
      </c>
      <c r="AW309">
        <f t="shared" si="57"/>
        <v>1.8914163333333331</v>
      </c>
      <c r="AX309" s="9"/>
      <c r="AY309" s="21">
        <v>1.40564</v>
      </c>
      <c r="AZ309" s="21">
        <v>28.6525</v>
      </c>
      <c r="BA309" s="21">
        <v>-8.1268299999999998E-3</v>
      </c>
      <c r="BB309" s="21">
        <v>299</v>
      </c>
      <c r="BC309" s="21">
        <v>1.40503</v>
      </c>
      <c r="BD309">
        <f t="shared" si="58"/>
        <v>10.033123456790122</v>
      </c>
      <c r="BE309">
        <f t="shared" si="59"/>
        <v>14.102959655802467</v>
      </c>
    </row>
    <row r="310" spans="6:57" x14ac:dyDescent="0.25">
      <c r="F310" s="9"/>
      <c r="G310" s="21">
        <v>9.9334699999999998E-2</v>
      </c>
      <c r="H310" s="21">
        <v>8.1126199999999997</v>
      </c>
      <c r="I310" s="21">
        <v>-1.4825400000000001E-2</v>
      </c>
      <c r="J310" s="21">
        <v>300</v>
      </c>
      <c r="K310" s="21">
        <v>9.8815899999999998E-2</v>
      </c>
      <c r="L310">
        <f t="shared" si="48"/>
        <v>18.302962962962962</v>
      </c>
      <c r="M310">
        <f t="shared" si="49"/>
        <v>1.8181193350370368</v>
      </c>
      <c r="N310" s="9"/>
      <c r="O310" s="21">
        <v>1.4106799999999999</v>
      </c>
      <c r="P310" s="21">
        <v>11.549099999999999</v>
      </c>
      <c r="Q310" s="21">
        <v>-8.5296599999999997E-3</v>
      </c>
      <c r="R310" s="21">
        <v>300</v>
      </c>
      <c r="S310" s="21">
        <v>1.41022</v>
      </c>
      <c r="T310">
        <f t="shared" si="50"/>
        <v>10.530444444444443</v>
      </c>
      <c r="U310">
        <f t="shared" si="51"/>
        <v>14.855087368888887</v>
      </c>
      <c r="X310" s="9"/>
      <c r="Y310" s="21">
        <v>9.9334699999999998E-2</v>
      </c>
      <c r="Z310" s="21">
        <v>16.646799999999999</v>
      </c>
      <c r="AA310" s="21">
        <v>-1.4736900000000001E-2</v>
      </c>
      <c r="AB310" s="21">
        <v>300</v>
      </c>
      <c r="AC310" s="21">
        <v>9.8846400000000001E-2</v>
      </c>
      <c r="AD310">
        <f t="shared" si="52"/>
        <v>18.193703703703704</v>
      </c>
      <c r="AE310">
        <f t="shared" si="53"/>
        <v>1.8072660992962963</v>
      </c>
      <c r="AF310" s="9"/>
      <c r="AG310" s="21">
        <v>1.4106799999999999</v>
      </c>
      <c r="AH310" s="21">
        <v>20.083400000000001</v>
      </c>
      <c r="AI310" s="21">
        <v>-8.1268299999999998E-3</v>
      </c>
      <c r="AJ310" s="21">
        <v>300</v>
      </c>
      <c r="AK310" s="21">
        <v>1.41022</v>
      </c>
      <c r="AL310">
        <f t="shared" si="54"/>
        <v>10.033123456790122</v>
      </c>
      <c r="AM310">
        <f t="shared" si="55"/>
        <v>14.153526598024689</v>
      </c>
      <c r="AP310" s="9"/>
      <c r="AQ310" s="21">
        <v>9.9334699999999998E-2</v>
      </c>
      <c r="AR310" s="21">
        <v>25.225999999999999</v>
      </c>
      <c r="AS310" s="21">
        <v>-1.4688100000000001E-2</v>
      </c>
      <c r="AT310" s="21">
        <v>300</v>
      </c>
      <c r="AU310" s="21">
        <v>9.8754900000000007E-2</v>
      </c>
      <c r="AV310">
        <f t="shared" si="56"/>
        <v>18.133456790123457</v>
      </c>
      <c r="AW310">
        <f t="shared" si="57"/>
        <v>1.8012814902098766</v>
      </c>
      <c r="AX310" s="9"/>
      <c r="AY310" s="21">
        <v>1.4106799999999999</v>
      </c>
      <c r="AZ310" s="21">
        <v>28.662500000000001</v>
      </c>
      <c r="BA310" s="21">
        <v>-8.0017100000000004E-3</v>
      </c>
      <c r="BB310" s="21">
        <v>300</v>
      </c>
      <c r="BC310" s="21">
        <v>1.41052</v>
      </c>
      <c r="BD310">
        <f t="shared" si="58"/>
        <v>9.8786543209876534</v>
      </c>
      <c r="BE310">
        <f t="shared" si="59"/>
        <v>13.935620077530862</v>
      </c>
    </row>
    <row r="311" spans="6:57" x14ac:dyDescent="0.25">
      <c r="F311" s="9"/>
      <c r="G311" s="21">
        <v>9.4299300000000003E-2</v>
      </c>
      <c r="H311" s="21">
        <v>8.1226900000000004</v>
      </c>
      <c r="I311" s="21">
        <v>-1.4825400000000001E-2</v>
      </c>
      <c r="J311" s="21">
        <v>301</v>
      </c>
      <c r="K311" s="21">
        <v>9.3719499999999997E-2</v>
      </c>
      <c r="L311">
        <f t="shared" si="48"/>
        <v>18.302962962962962</v>
      </c>
      <c r="M311">
        <f t="shared" si="49"/>
        <v>1.7259565953333333</v>
      </c>
      <c r="N311" s="9"/>
      <c r="O311" s="21">
        <v>1.41571</v>
      </c>
      <c r="P311" s="21">
        <v>11.559200000000001</v>
      </c>
      <c r="Q311" s="21">
        <v>-8.3923299999999999E-3</v>
      </c>
      <c r="R311" s="21">
        <v>301</v>
      </c>
      <c r="S311" s="21">
        <v>1.41449</v>
      </c>
      <c r="T311">
        <f t="shared" si="50"/>
        <v>10.360901234567899</v>
      </c>
      <c r="U311">
        <f t="shared" si="51"/>
        <v>14.668031486790122</v>
      </c>
      <c r="X311" s="9"/>
      <c r="Y311" s="21">
        <v>9.4299300000000003E-2</v>
      </c>
      <c r="Z311" s="21">
        <v>16.6569</v>
      </c>
      <c r="AA311" s="21">
        <v>-1.4742999999999999E-2</v>
      </c>
      <c r="AB311" s="21">
        <v>301</v>
      </c>
      <c r="AC311" s="21">
        <v>9.375E-2</v>
      </c>
      <c r="AD311">
        <f t="shared" si="52"/>
        <v>18.201234567901235</v>
      </c>
      <c r="AE311">
        <f t="shared" si="53"/>
        <v>1.716363678888889</v>
      </c>
      <c r="AF311" s="9"/>
      <c r="AG311" s="21">
        <v>1.41571</v>
      </c>
      <c r="AH311" s="21">
        <v>20.093399999999999</v>
      </c>
      <c r="AI311" s="21">
        <v>-7.9864500000000008E-3</v>
      </c>
      <c r="AJ311" s="21">
        <v>301</v>
      </c>
      <c r="AK311" s="21">
        <v>1.4154100000000001</v>
      </c>
      <c r="AL311">
        <f t="shared" si="54"/>
        <v>9.8598148148148166</v>
      </c>
      <c r="AM311">
        <f t="shared" si="55"/>
        <v>13.958638431481484</v>
      </c>
      <c r="AP311" s="9"/>
      <c r="AQ311" s="21">
        <v>9.4299300000000003E-2</v>
      </c>
      <c r="AR311" s="21">
        <v>25.2361</v>
      </c>
      <c r="AS311" s="21">
        <v>-1.4688100000000001E-2</v>
      </c>
      <c r="AT311" s="21">
        <v>301</v>
      </c>
      <c r="AU311" s="21">
        <v>9.3688999999999995E-2</v>
      </c>
      <c r="AV311">
        <f t="shared" si="56"/>
        <v>18.133456790123457</v>
      </c>
      <c r="AW311">
        <f t="shared" si="57"/>
        <v>1.7099722818888889</v>
      </c>
      <c r="AX311" s="9"/>
      <c r="AY311" s="21">
        <v>1.41571</v>
      </c>
      <c r="AZ311" s="21">
        <v>28.672599999999999</v>
      </c>
      <c r="BA311" s="21">
        <v>-7.8704799999999991E-3</v>
      </c>
      <c r="BB311" s="21">
        <v>301</v>
      </c>
      <c r="BC311" s="21">
        <v>1.41479</v>
      </c>
      <c r="BD311">
        <f t="shared" si="58"/>
        <v>9.7166419753086402</v>
      </c>
      <c r="BE311">
        <f t="shared" si="59"/>
        <v>13.755947210864194</v>
      </c>
    </row>
    <row r="312" spans="6:57" x14ac:dyDescent="0.25">
      <c r="F312" s="9"/>
      <c r="G312" s="21">
        <v>8.9263899999999993E-2</v>
      </c>
      <c r="H312" s="21">
        <v>8.1327599999999993</v>
      </c>
      <c r="I312" s="21">
        <v>-1.48285E-2</v>
      </c>
      <c r="J312" s="21">
        <v>302</v>
      </c>
      <c r="K312" s="21">
        <v>8.8775599999999996E-2</v>
      </c>
      <c r="L312">
        <f t="shared" si="48"/>
        <v>18.306790123456789</v>
      </c>
      <c r="M312">
        <f t="shared" si="49"/>
        <v>1.6341354829012344</v>
      </c>
      <c r="N312" s="9"/>
      <c r="O312" s="21">
        <v>1.42075</v>
      </c>
      <c r="P312" s="21">
        <v>11.5693</v>
      </c>
      <c r="Q312" s="21">
        <v>-8.2458500000000007E-3</v>
      </c>
      <c r="R312" s="21">
        <v>302</v>
      </c>
      <c r="S312" s="21">
        <v>1.41998</v>
      </c>
      <c r="T312">
        <f t="shared" si="50"/>
        <v>10.180061728395062</v>
      </c>
      <c r="U312">
        <f t="shared" si="51"/>
        <v>14.463322700617283</v>
      </c>
      <c r="X312" s="9"/>
      <c r="Y312" s="21">
        <v>8.9263899999999993E-2</v>
      </c>
      <c r="Z312" s="21">
        <v>16.667000000000002</v>
      </c>
      <c r="AA312" s="21">
        <v>-1.474E-2</v>
      </c>
      <c r="AB312" s="21">
        <v>302</v>
      </c>
      <c r="AC312" s="21">
        <v>8.8562000000000002E-2</v>
      </c>
      <c r="AD312">
        <f t="shared" si="52"/>
        <v>18.197530864197528</v>
      </c>
      <c r="AE312">
        <f t="shared" si="53"/>
        <v>1.6243825753086416</v>
      </c>
      <c r="AF312" s="9"/>
      <c r="AG312" s="21">
        <v>1.42075</v>
      </c>
      <c r="AH312" s="21">
        <v>20.1035</v>
      </c>
      <c r="AI312" s="21">
        <v>-7.8460700000000001E-3</v>
      </c>
      <c r="AJ312" s="21">
        <v>302</v>
      </c>
      <c r="AK312" s="21">
        <v>1.41998</v>
      </c>
      <c r="AL312">
        <f t="shared" si="54"/>
        <v>9.6865061728395059</v>
      </c>
      <c r="AM312">
        <f t="shared" si="55"/>
        <v>13.762103645061728</v>
      </c>
      <c r="AP312" s="9"/>
      <c r="AQ312" s="21">
        <v>8.9263899999999993E-2</v>
      </c>
      <c r="AR312" s="21">
        <v>25.246200000000002</v>
      </c>
      <c r="AS312" s="21">
        <v>-1.46912E-2</v>
      </c>
      <c r="AT312" s="21">
        <v>302</v>
      </c>
      <c r="AU312" s="21">
        <v>8.8714600000000005E-2</v>
      </c>
      <c r="AV312">
        <f t="shared" si="56"/>
        <v>18.137283950617284</v>
      </c>
      <c r="AW312">
        <f t="shared" si="57"/>
        <v>1.6190047008395061</v>
      </c>
      <c r="AX312" s="9"/>
      <c r="AY312" s="21">
        <v>1.42075</v>
      </c>
      <c r="AZ312" s="21">
        <v>28.682700000000001</v>
      </c>
      <c r="BA312" s="21">
        <v>-7.7209499999999999E-3</v>
      </c>
      <c r="BB312" s="21">
        <v>302</v>
      </c>
      <c r="BC312" s="21">
        <v>1.4202900000000001</v>
      </c>
      <c r="BD312">
        <f t="shared" si="58"/>
        <v>9.5320370370370373</v>
      </c>
      <c r="BE312">
        <f t="shared" si="59"/>
        <v>13.54264162037037</v>
      </c>
    </row>
    <row r="313" spans="6:57" x14ac:dyDescent="0.25">
      <c r="F313" s="9"/>
      <c r="G313" s="21">
        <v>8.4228499999999998E-2</v>
      </c>
      <c r="H313" s="21">
        <v>8.1428399999999996</v>
      </c>
      <c r="I313" s="21">
        <v>-1.4825400000000001E-2</v>
      </c>
      <c r="J313" s="21">
        <v>303</v>
      </c>
      <c r="K313" s="21">
        <v>8.3770800000000006E-2</v>
      </c>
      <c r="L313">
        <f t="shared" si="48"/>
        <v>18.302962962962962</v>
      </c>
      <c r="M313">
        <f t="shared" si="49"/>
        <v>1.5416311159259257</v>
      </c>
      <c r="N313" s="9"/>
      <c r="O313" s="21">
        <v>1.42578</v>
      </c>
      <c r="P313" s="21">
        <v>11.5793</v>
      </c>
      <c r="Q313" s="21">
        <v>-8.0963100000000007E-3</v>
      </c>
      <c r="R313" s="21">
        <v>303</v>
      </c>
      <c r="S313" s="21">
        <v>1.4254800000000001</v>
      </c>
      <c r="T313">
        <f t="shared" si="50"/>
        <v>9.9954444444444448</v>
      </c>
      <c r="U313">
        <f t="shared" si="51"/>
        <v>14.251304780000002</v>
      </c>
      <c r="X313" s="9"/>
      <c r="Y313" s="21">
        <v>8.4228499999999998E-2</v>
      </c>
      <c r="Z313" s="21">
        <v>16.677</v>
      </c>
      <c r="AA313" s="21">
        <v>-1.47461E-2</v>
      </c>
      <c r="AB313" s="21">
        <v>303</v>
      </c>
      <c r="AC313" s="21">
        <v>8.3587599999999998E-2</v>
      </c>
      <c r="AD313">
        <f t="shared" si="52"/>
        <v>18.205061728395062</v>
      </c>
      <c r="AE313">
        <f t="shared" si="53"/>
        <v>1.5333850417901234</v>
      </c>
      <c r="AF313" s="9"/>
      <c r="AG313" s="21">
        <v>1.42578</v>
      </c>
      <c r="AH313" s="21">
        <v>20.113600000000002</v>
      </c>
      <c r="AI313" s="21">
        <v>-7.6934799999999999E-3</v>
      </c>
      <c r="AJ313" s="21">
        <v>303</v>
      </c>
      <c r="AK313" s="21">
        <v>1.42517</v>
      </c>
      <c r="AL313">
        <f t="shared" si="54"/>
        <v>9.4981234567901218</v>
      </c>
      <c r="AM313">
        <f t="shared" si="55"/>
        <v>13.54223446222222</v>
      </c>
      <c r="AP313" s="9"/>
      <c r="AQ313" s="21">
        <v>8.4228499999999998E-2</v>
      </c>
      <c r="AR313" s="21">
        <v>25.2562</v>
      </c>
      <c r="AS313" s="21">
        <v>-1.4700299999999999E-2</v>
      </c>
      <c r="AT313" s="21">
        <v>303</v>
      </c>
      <c r="AU313" s="21">
        <v>8.3587599999999998E-2</v>
      </c>
      <c r="AV313">
        <f t="shared" si="56"/>
        <v>18.148518518518514</v>
      </c>
      <c r="AW313">
        <f t="shared" si="57"/>
        <v>1.5286224920370366</v>
      </c>
      <c r="AX313" s="9"/>
      <c r="AY313" s="21">
        <v>1.42578</v>
      </c>
      <c r="AZ313" s="21">
        <v>28.692699999999999</v>
      </c>
      <c r="BA313" s="21">
        <v>-7.5836200000000001E-3</v>
      </c>
      <c r="BB313" s="21">
        <v>303</v>
      </c>
      <c r="BC313" s="21">
        <v>1.4248700000000001</v>
      </c>
      <c r="BD313">
        <f t="shared" si="58"/>
        <v>9.3624938271604936</v>
      </c>
      <c r="BE313">
        <f t="shared" si="59"/>
        <v>13.348856448888888</v>
      </c>
    </row>
    <row r="314" spans="6:57" x14ac:dyDescent="0.25">
      <c r="F314" s="9"/>
      <c r="G314" s="21">
        <v>7.9193100000000002E-2</v>
      </c>
      <c r="H314" s="21">
        <v>8.1529100000000003</v>
      </c>
      <c r="I314" s="21">
        <v>-1.4822399999999999E-2</v>
      </c>
      <c r="J314" s="21">
        <v>304</v>
      </c>
      <c r="K314" s="21">
        <v>7.8674300000000003E-2</v>
      </c>
      <c r="L314">
        <f t="shared" si="48"/>
        <v>18.299259259259259</v>
      </c>
      <c r="M314">
        <f t="shared" si="49"/>
        <v>1.4491750684444444</v>
      </c>
      <c r="N314" s="9"/>
      <c r="O314" s="21">
        <v>1.43082</v>
      </c>
      <c r="P314" s="21">
        <v>11.589399999999999</v>
      </c>
      <c r="Q314" s="21">
        <v>-7.92847E-3</v>
      </c>
      <c r="R314" s="21">
        <v>304</v>
      </c>
      <c r="S314" s="21">
        <v>1.4297500000000001</v>
      </c>
      <c r="T314">
        <f t="shared" si="50"/>
        <v>9.7882345679012346</v>
      </c>
      <c r="U314">
        <f t="shared" si="51"/>
        <v>14.005201784444445</v>
      </c>
      <c r="X314" s="9"/>
      <c r="Y314" s="21">
        <v>7.9193100000000002E-2</v>
      </c>
      <c r="Z314" s="21">
        <v>16.687100000000001</v>
      </c>
      <c r="AA314" s="21">
        <v>-1.47583E-2</v>
      </c>
      <c r="AB314" s="21">
        <v>304</v>
      </c>
      <c r="AC314" s="21">
        <v>7.8704800000000005E-2</v>
      </c>
      <c r="AD314">
        <f t="shared" si="52"/>
        <v>18.22012345679012</v>
      </c>
      <c r="AE314">
        <f t="shared" si="53"/>
        <v>1.4429080589259256</v>
      </c>
      <c r="AF314" s="9"/>
      <c r="AG314" s="21">
        <v>1.43082</v>
      </c>
      <c r="AH314" s="21">
        <v>20.1236</v>
      </c>
      <c r="AI314" s="21">
        <v>-7.5317400000000003E-3</v>
      </c>
      <c r="AJ314" s="21">
        <v>304</v>
      </c>
      <c r="AK314" s="21">
        <v>1.43066</v>
      </c>
      <c r="AL314">
        <f t="shared" si="54"/>
        <v>9.2984444444444438</v>
      </c>
      <c r="AM314">
        <f t="shared" si="55"/>
        <v>13.304400279999999</v>
      </c>
      <c r="AP314" s="9"/>
      <c r="AQ314" s="21">
        <v>7.9193100000000002E-2</v>
      </c>
      <c r="AR314" s="21">
        <v>25.266300000000001</v>
      </c>
      <c r="AS314" s="21">
        <v>-1.47064E-2</v>
      </c>
      <c r="AT314" s="21">
        <v>304</v>
      </c>
      <c r="AU314" s="21">
        <v>7.8674300000000003E-2</v>
      </c>
      <c r="AV314">
        <f t="shared" si="56"/>
        <v>18.156049382716049</v>
      </c>
      <c r="AW314">
        <f t="shared" si="57"/>
        <v>1.4378338343703703</v>
      </c>
      <c r="AX314" s="9"/>
      <c r="AY314" s="21">
        <v>1.43082</v>
      </c>
      <c r="AZ314" s="21">
        <v>28.7028</v>
      </c>
      <c r="BA314" s="21">
        <v>-7.4401900000000002E-3</v>
      </c>
      <c r="BB314" s="21">
        <v>304</v>
      </c>
      <c r="BC314" s="21">
        <v>1.43005</v>
      </c>
      <c r="BD314">
        <f t="shared" si="58"/>
        <v>9.1854197530864194</v>
      </c>
      <c r="BE314">
        <f t="shared" si="59"/>
        <v>13.142682291111111</v>
      </c>
    </row>
    <row r="315" spans="6:57" x14ac:dyDescent="0.25">
      <c r="F315" s="9"/>
      <c r="G315" s="21">
        <v>7.4157699999999993E-2</v>
      </c>
      <c r="H315" s="21">
        <v>8.1629799999999992</v>
      </c>
      <c r="I315" s="21">
        <v>-1.4825400000000001E-2</v>
      </c>
      <c r="J315" s="21">
        <v>305</v>
      </c>
      <c r="K315" s="21">
        <v>7.3638899999999993E-2</v>
      </c>
      <c r="L315">
        <f t="shared" si="48"/>
        <v>18.302962962962962</v>
      </c>
      <c r="M315">
        <f t="shared" si="49"/>
        <v>1.3573056365185183</v>
      </c>
      <c r="N315" s="9"/>
      <c r="O315" s="21">
        <v>1.4358500000000001</v>
      </c>
      <c r="P315" s="21">
        <v>11.599500000000001</v>
      </c>
      <c r="Q315" s="21">
        <v>-7.7636700000000003E-3</v>
      </c>
      <c r="R315" s="21">
        <v>305</v>
      </c>
      <c r="S315" s="21">
        <v>1.4352400000000001</v>
      </c>
      <c r="T315">
        <f t="shared" si="50"/>
        <v>9.5847777777777772</v>
      </c>
      <c r="U315">
        <f t="shared" si="51"/>
        <v>13.762303172222222</v>
      </c>
      <c r="X315" s="9"/>
      <c r="Y315" s="21">
        <v>7.4157699999999993E-2</v>
      </c>
      <c r="Z315" s="21">
        <v>16.697199999999999</v>
      </c>
      <c r="AA315" s="21">
        <v>-1.47644E-2</v>
      </c>
      <c r="AB315" s="21">
        <v>305</v>
      </c>
      <c r="AC315" s="21">
        <v>7.3608400000000004E-2</v>
      </c>
      <c r="AD315">
        <f t="shared" si="52"/>
        <v>18.227654320987654</v>
      </c>
      <c r="AE315">
        <f t="shared" si="53"/>
        <v>1.351720920839506</v>
      </c>
      <c r="AF315" s="9"/>
      <c r="AG315" s="21">
        <v>1.4358500000000001</v>
      </c>
      <c r="AH315" s="21">
        <v>20.133700000000001</v>
      </c>
      <c r="AI315" s="21">
        <v>-7.3761E-3</v>
      </c>
      <c r="AJ315" s="21">
        <v>305</v>
      </c>
      <c r="AK315" s="21">
        <v>1.4355500000000001</v>
      </c>
      <c r="AL315">
        <f t="shared" si="54"/>
        <v>9.1062962962962963</v>
      </c>
      <c r="AM315">
        <f t="shared" si="55"/>
        <v>13.075275537037038</v>
      </c>
      <c r="AP315" s="9"/>
      <c r="AQ315" s="21">
        <v>7.4157699999999993E-2</v>
      </c>
      <c r="AR315" s="21">
        <v>25.276399999999999</v>
      </c>
      <c r="AS315" s="21">
        <v>-1.47125E-2</v>
      </c>
      <c r="AT315" s="21">
        <v>305</v>
      </c>
      <c r="AU315" s="21">
        <v>7.3638899999999993E-2</v>
      </c>
      <c r="AV315">
        <f t="shared" si="56"/>
        <v>18.163580246913579</v>
      </c>
      <c r="AW315">
        <f t="shared" si="57"/>
        <v>1.346969334876543</v>
      </c>
      <c r="AX315" s="9"/>
      <c r="AY315" s="21">
        <v>1.4358500000000001</v>
      </c>
      <c r="AZ315" s="21">
        <v>28.712900000000001</v>
      </c>
      <c r="BA315" s="21">
        <v>-7.2876E-3</v>
      </c>
      <c r="BB315" s="21">
        <v>305</v>
      </c>
      <c r="BC315" s="21">
        <v>1.4343300000000001</v>
      </c>
      <c r="BD315">
        <f t="shared" si="58"/>
        <v>8.9970370370370354</v>
      </c>
      <c r="BE315">
        <f t="shared" si="59"/>
        <v>12.918395629629629</v>
      </c>
    </row>
    <row r="316" spans="6:57" x14ac:dyDescent="0.25">
      <c r="F316" s="9"/>
      <c r="G316" s="21">
        <v>6.9122299999999998E-2</v>
      </c>
      <c r="H316" s="21">
        <v>8.1730499999999999</v>
      </c>
      <c r="I316" s="21">
        <v>-1.48285E-2</v>
      </c>
      <c r="J316" s="21">
        <v>306</v>
      </c>
      <c r="K316" s="21">
        <v>6.8603499999999998E-2</v>
      </c>
      <c r="L316">
        <f t="shared" si="48"/>
        <v>18.306790123456789</v>
      </c>
      <c r="M316">
        <f t="shared" si="49"/>
        <v>1.2654074389506171</v>
      </c>
      <c r="N316" s="9"/>
      <c r="O316" s="21">
        <v>1.44089</v>
      </c>
      <c r="P316" s="21">
        <v>11.609500000000001</v>
      </c>
      <c r="Q316" s="21">
        <v>-7.5927700000000004E-3</v>
      </c>
      <c r="R316" s="21">
        <v>306</v>
      </c>
      <c r="S316" s="21">
        <v>1.4404300000000001</v>
      </c>
      <c r="T316">
        <f t="shared" si="50"/>
        <v>9.3737901234567893</v>
      </c>
      <c r="U316">
        <f t="shared" si="51"/>
        <v>13.506600450987653</v>
      </c>
      <c r="X316" s="9"/>
      <c r="Y316" s="21">
        <v>6.9122299999999998E-2</v>
      </c>
      <c r="Z316" s="21">
        <v>16.7073</v>
      </c>
      <c r="AA316" s="21">
        <v>-1.4770500000000001E-2</v>
      </c>
      <c r="AB316" s="21">
        <v>306</v>
      </c>
      <c r="AC316" s="21">
        <v>6.8512000000000003E-2</v>
      </c>
      <c r="AD316">
        <f t="shared" si="52"/>
        <v>18.235185185185184</v>
      </c>
      <c r="AE316">
        <f t="shared" si="53"/>
        <v>1.2604579409259258</v>
      </c>
      <c r="AF316" s="9"/>
      <c r="AG316" s="21">
        <v>1.44089</v>
      </c>
      <c r="AH316" s="21">
        <v>20.143799999999999</v>
      </c>
      <c r="AI316" s="21">
        <v>-7.2174099999999996E-3</v>
      </c>
      <c r="AJ316" s="21">
        <v>306</v>
      </c>
      <c r="AK316" s="21">
        <v>1.4401200000000001</v>
      </c>
      <c r="AL316">
        <f t="shared" si="54"/>
        <v>8.91038271604938</v>
      </c>
      <c r="AM316">
        <f t="shared" si="55"/>
        <v>12.838881351728391</v>
      </c>
      <c r="AP316" s="9"/>
      <c r="AQ316" s="21">
        <v>6.9122299999999998E-2</v>
      </c>
      <c r="AR316" s="21">
        <v>25.2865</v>
      </c>
      <c r="AS316" s="21">
        <v>-1.47186E-2</v>
      </c>
      <c r="AT316" s="21">
        <v>306</v>
      </c>
      <c r="AU316" s="21">
        <v>6.8603499999999998E-2</v>
      </c>
      <c r="AV316">
        <f t="shared" si="56"/>
        <v>18.171111111111109</v>
      </c>
      <c r="AW316">
        <f t="shared" si="57"/>
        <v>1.2560289935555553</v>
      </c>
      <c r="AX316" s="9"/>
      <c r="AY316" s="21">
        <v>1.44089</v>
      </c>
      <c r="AZ316" s="21">
        <v>28.722999999999999</v>
      </c>
      <c r="BA316" s="21">
        <v>-7.1258500000000004E-3</v>
      </c>
      <c r="BB316" s="21">
        <v>306</v>
      </c>
      <c r="BC316" s="21">
        <v>1.4401200000000001</v>
      </c>
      <c r="BD316">
        <f t="shared" si="58"/>
        <v>8.7973456790123468</v>
      </c>
      <c r="BE316">
        <f t="shared" si="59"/>
        <v>12.6760074154321</v>
      </c>
    </row>
    <row r="317" spans="6:57" x14ac:dyDescent="0.25">
      <c r="F317" s="9"/>
      <c r="G317" s="21">
        <v>6.4086900000000002E-2</v>
      </c>
      <c r="H317" s="21">
        <v>8.1831200000000006</v>
      </c>
      <c r="I317" s="21">
        <v>-1.4837599999999999E-2</v>
      </c>
      <c r="J317" s="21">
        <v>307</v>
      </c>
      <c r="K317" s="21">
        <v>6.3568100000000002E-2</v>
      </c>
      <c r="L317">
        <f t="shared" si="48"/>
        <v>18.318024691358023</v>
      </c>
      <c r="M317">
        <f t="shared" si="49"/>
        <v>1.1739454165925924</v>
      </c>
      <c r="N317" s="9"/>
      <c r="O317" s="21">
        <v>1.4459200000000001</v>
      </c>
      <c r="P317" s="21">
        <v>11.6196</v>
      </c>
      <c r="Q317" s="21">
        <v>-7.4157700000000003E-3</v>
      </c>
      <c r="R317" s="21">
        <v>307</v>
      </c>
      <c r="S317" s="21">
        <v>1.4447000000000001</v>
      </c>
      <c r="T317">
        <f t="shared" si="50"/>
        <v>9.155271604938271</v>
      </c>
      <c r="U317">
        <f t="shared" si="51"/>
        <v>13.237790319012346</v>
      </c>
      <c r="X317" s="9"/>
      <c r="Y317" s="21">
        <v>6.4086900000000002E-2</v>
      </c>
      <c r="Z317" s="21">
        <v>16.717300000000002</v>
      </c>
      <c r="AA317" s="21">
        <v>-1.4770500000000001E-2</v>
      </c>
      <c r="AB317" s="21">
        <v>307</v>
      </c>
      <c r="AC317" s="21">
        <v>6.35376E-2</v>
      </c>
      <c r="AD317">
        <f t="shared" si="52"/>
        <v>18.235185185185184</v>
      </c>
      <c r="AE317">
        <f t="shared" si="53"/>
        <v>1.1686364894444443</v>
      </c>
      <c r="AF317" s="9"/>
      <c r="AG317" s="21">
        <v>1.4459200000000001</v>
      </c>
      <c r="AH317" s="21">
        <v>20.1539</v>
      </c>
      <c r="AI317" s="21">
        <v>-7.0404100000000004E-3</v>
      </c>
      <c r="AJ317" s="21">
        <v>307</v>
      </c>
      <c r="AK317" s="21">
        <v>1.4456199999999999</v>
      </c>
      <c r="AL317">
        <f t="shared" si="54"/>
        <v>8.6918641975308635</v>
      </c>
      <c r="AM317">
        <f t="shared" si="55"/>
        <v>12.567740280493826</v>
      </c>
      <c r="AP317" s="9"/>
      <c r="AQ317" s="21">
        <v>6.4086900000000002E-2</v>
      </c>
      <c r="AR317" s="21">
        <v>25.296500000000002</v>
      </c>
      <c r="AS317" s="21">
        <v>-1.47247E-2</v>
      </c>
      <c r="AT317" s="21">
        <v>307</v>
      </c>
      <c r="AU317" s="21">
        <v>6.3598600000000005E-2</v>
      </c>
      <c r="AV317">
        <f t="shared" si="56"/>
        <v>18.178641975308643</v>
      </c>
      <c r="AW317">
        <f t="shared" si="57"/>
        <v>1.1650128104074076</v>
      </c>
      <c r="AX317" s="9"/>
      <c r="AY317" s="21">
        <v>1.4459200000000001</v>
      </c>
      <c r="AZ317" s="21">
        <v>28.733000000000001</v>
      </c>
      <c r="BA317" s="21">
        <v>-6.9366499999999999E-3</v>
      </c>
      <c r="BB317" s="21">
        <v>307</v>
      </c>
      <c r="BC317" s="21">
        <v>1.4447000000000001</v>
      </c>
      <c r="BD317">
        <f t="shared" si="58"/>
        <v>8.563765432098764</v>
      </c>
      <c r="BE317">
        <f t="shared" si="59"/>
        <v>12.382519713580246</v>
      </c>
    </row>
    <row r="318" spans="6:57" x14ac:dyDescent="0.25">
      <c r="F318" s="9"/>
      <c r="G318" s="21">
        <v>5.90515E-2</v>
      </c>
      <c r="H318" s="21">
        <v>8.1931899999999995</v>
      </c>
      <c r="I318" s="21">
        <v>-1.4843800000000001E-2</v>
      </c>
      <c r="J318" s="21">
        <v>308</v>
      </c>
      <c r="K318" s="21">
        <v>5.8502199999999997E-2</v>
      </c>
      <c r="L318">
        <f t="shared" si="48"/>
        <v>18.325679012345677</v>
      </c>
      <c r="M318">
        <f t="shared" si="49"/>
        <v>1.0821588341975308</v>
      </c>
      <c r="N318" s="9"/>
      <c r="O318" s="21">
        <v>1.45096</v>
      </c>
      <c r="P318" s="21">
        <v>11.6297</v>
      </c>
      <c r="Q318" s="21">
        <v>-7.2418200000000004E-3</v>
      </c>
      <c r="R318" s="21">
        <v>308</v>
      </c>
      <c r="S318" s="21">
        <v>1.4504999999999999</v>
      </c>
      <c r="T318">
        <f t="shared" si="50"/>
        <v>8.9405185185185179</v>
      </c>
      <c r="U318">
        <f t="shared" si="51"/>
        <v>12.97233474962963</v>
      </c>
      <c r="X318" s="9"/>
      <c r="Y318" s="21">
        <v>5.90515E-2</v>
      </c>
      <c r="Z318" s="21">
        <v>16.727399999999999</v>
      </c>
      <c r="AA318" s="21">
        <v>-1.4770500000000001E-2</v>
      </c>
      <c r="AB318" s="21">
        <v>308</v>
      </c>
      <c r="AC318" s="21">
        <v>5.8471700000000001E-2</v>
      </c>
      <c r="AD318">
        <f t="shared" si="52"/>
        <v>18.235185185185184</v>
      </c>
      <c r="AE318">
        <f t="shared" si="53"/>
        <v>1.0768150379629629</v>
      </c>
      <c r="AF318" s="9"/>
      <c r="AG318" s="21">
        <v>1.45096</v>
      </c>
      <c r="AH318" s="21">
        <v>20.163900000000002</v>
      </c>
      <c r="AI318" s="21">
        <v>-6.8542500000000001E-3</v>
      </c>
      <c r="AJ318" s="21">
        <v>308</v>
      </c>
      <c r="AK318" s="21">
        <v>1.4498899999999999</v>
      </c>
      <c r="AL318">
        <f t="shared" si="54"/>
        <v>8.462037037037037</v>
      </c>
      <c r="AM318">
        <f t="shared" si="55"/>
        <v>12.278077259259259</v>
      </c>
      <c r="AP318" s="9"/>
      <c r="AQ318" s="21">
        <v>5.90515E-2</v>
      </c>
      <c r="AR318" s="21">
        <v>25.3066</v>
      </c>
      <c r="AS318" s="21">
        <v>-1.4727799999999999E-2</v>
      </c>
      <c r="AT318" s="21">
        <v>308</v>
      </c>
      <c r="AU318" s="21">
        <v>5.8502199999999997E-2</v>
      </c>
      <c r="AV318">
        <f t="shared" si="56"/>
        <v>18.182469135802467</v>
      </c>
      <c r="AW318">
        <f t="shared" si="57"/>
        <v>1.0737020761728393</v>
      </c>
      <c r="AX318" s="9"/>
      <c r="AY318" s="21">
        <v>1.45096</v>
      </c>
      <c r="AZ318" s="21">
        <v>28.743099999999998</v>
      </c>
      <c r="BA318" s="21">
        <v>-6.7627E-3</v>
      </c>
      <c r="BB318" s="21">
        <v>308</v>
      </c>
      <c r="BC318" s="21">
        <v>1.4504999999999999</v>
      </c>
      <c r="BD318">
        <f t="shared" si="58"/>
        <v>8.3490123456790126</v>
      </c>
      <c r="BE318">
        <f t="shared" si="59"/>
        <v>12.11408295308642</v>
      </c>
    </row>
    <row r="319" spans="6:57" x14ac:dyDescent="0.25">
      <c r="F319" s="9"/>
      <c r="G319" s="21">
        <v>5.4016099999999997E-2</v>
      </c>
      <c r="H319" s="21">
        <v>8.2032600000000002</v>
      </c>
      <c r="I319" s="21">
        <v>-1.4849899999999999E-2</v>
      </c>
      <c r="J319" s="21">
        <v>309</v>
      </c>
      <c r="K319" s="21">
        <v>5.3405800000000003E-2</v>
      </c>
      <c r="L319">
        <f t="shared" si="48"/>
        <v>18.333209876543208</v>
      </c>
      <c r="M319">
        <f t="shared" si="49"/>
        <v>0.99028849801234553</v>
      </c>
      <c r="N319" s="9"/>
      <c r="O319" s="21">
        <v>1.4559899999999999</v>
      </c>
      <c r="P319" s="21">
        <v>11.639799999999999</v>
      </c>
      <c r="Q319" s="21">
        <v>-7.0434599999999997E-3</v>
      </c>
      <c r="R319" s="21">
        <v>309</v>
      </c>
      <c r="S319" s="21">
        <v>1.4553799999999999</v>
      </c>
      <c r="T319">
        <f t="shared" si="50"/>
        <v>8.6956296296296269</v>
      </c>
      <c r="U319">
        <f t="shared" si="51"/>
        <v>12.660749784444439</v>
      </c>
      <c r="X319" s="9"/>
      <c r="Y319" s="21">
        <v>5.4016099999999997E-2</v>
      </c>
      <c r="Z319" s="21">
        <v>16.737500000000001</v>
      </c>
      <c r="AA319" s="21">
        <v>-1.47736E-2</v>
      </c>
      <c r="AB319" s="21">
        <v>309</v>
      </c>
      <c r="AC319" s="21">
        <v>5.3466800000000002E-2</v>
      </c>
      <c r="AD319">
        <f t="shared" si="52"/>
        <v>18.239012345679011</v>
      </c>
      <c r="AE319">
        <f t="shared" si="53"/>
        <v>0.98520031476543202</v>
      </c>
      <c r="AF319" s="9"/>
      <c r="AG319" s="21">
        <v>1.4559899999999999</v>
      </c>
      <c r="AH319" s="21">
        <v>20.173999999999999</v>
      </c>
      <c r="AI319" s="21">
        <v>-6.67419E-3</v>
      </c>
      <c r="AJ319" s="21">
        <v>309</v>
      </c>
      <c r="AK319" s="21">
        <v>1.4556899999999999</v>
      </c>
      <c r="AL319">
        <f t="shared" si="54"/>
        <v>8.239740740740741</v>
      </c>
      <c r="AM319">
        <f t="shared" si="55"/>
        <v>11.996980121111111</v>
      </c>
      <c r="AP319" s="9"/>
      <c r="AQ319" s="21">
        <v>5.4016099999999997E-2</v>
      </c>
      <c r="AR319" s="21">
        <v>25.316700000000001</v>
      </c>
      <c r="AS319" s="21">
        <v>-1.4736900000000001E-2</v>
      </c>
      <c r="AT319" s="21">
        <v>309</v>
      </c>
      <c r="AU319" s="21">
        <v>5.3375199999999998E-2</v>
      </c>
      <c r="AV319">
        <f t="shared" si="56"/>
        <v>18.193703703703704</v>
      </c>
      <c r="AW319">
        <f t="shared" si="57"/>
        <v>0.98275291862962966</v>
      </c>
      <c r="AX319" s="9"/>
      <c r="AY319" s="21">
        <v>1.4559899999999999</v>
      </c>
      <c r="AZ319" s="21">
        <v>28.7532</v>
      </c>
      <c r="BA319" s="21">
        <v>-6.5795899999999997E-3</v>
      </c>
      <c r="BB319" s="21">
        <v>309</v>
      </c>
      <c r="BC319" s="21">
        <v>1.4559899999999999</v>
      </c>
      <c r="BD319">
        <f t="shared" si="58"/>
        <v>8.1229506172839496</v>
      </c>
      <c r="BE319">
        <f t="shared" si="59"/>
        <v>11.826934869259256</v>
      </c>
    </row>
    <row r="320" spans="6:57" x14ac:dyDescent="0.25">
      <c r="F320" s="9"/>
      <c r="G320" s="21">
        <v>4.8980700000000002E-2</v>
      </c>
      <c r="H320" s="21">
        <v>8.2133299999999991</v>
      </c>
      <c r="I320" s="21">
        <v>-1.48529E-2</v>
      </c>
      <c r="J320" s="21">
        <v>310</v>
      </c>
      <c r="K320" s="21">
        <v>4.8989900000000003E-2</v>
      </c>
      <c r="L320">
        <f t="shared" si="48"/>
        <v>18.336913580246915</v>
      </c>
      <c r="M320">
        <f t="shared" si="49"/>
        <v>0.89815486300000014</v>
      </c>
      <c r="N320" s="9"/>
      <c r="O320" s="21">
        <v>1.4610300000000001</v>
      </c>
      <c r="P320" s="21">
        <v>11.649800000000001</v>
      </c>
      <c r="Q320" s="21">
        <v>-6.8512E-3</v>
      </c>
      <c r="R320" s="21">
        <v>310</v>
      </c>
      <c r="S320" s="21">
        <v>1.4605699999999999</v>
      </c>
      <c r="T320">
        <f t="shared" si="50"/>
        <v>8.4582716049382718</v>
      </c>
      <c r="U320">
        <f t="shared" si="51"/>
        <v>12.357788562962964</v>
      </c>
      <c r="X320" s="9"/>
      <c r="Y320" s="21">
        <v>4.8980700000000002E-2</v>
      </c>
      <c r="Z320" s="21">
        <v>16.747499999999999</v>
      </c>
      <c r="AA320" s="21">
        <v>-1.4776600000000001E-2</v>
      </c>
      <c r="AB320" s="21">
        <v>310</v>
      </c>
      <c r="AC320" s="21">
        <v>4.8855599999999999E-2</v>
      </c>
      <c r="AD320">
        <f t="shared" si="52"/>
        <v>18.242716049382715</v>
      </c>
      <c r="AE320">
        <f t="shared" si="53"/>
        <v>0.89354100199999997</v>
      </c>
      <c r="AF320" s="9"/>
      <c r="AG320" s="21">
        <v>1.4610300000000001</v>
      </c>
      <c r="AH320" s="21">
        <v>20.184100000000001</v>
      </c>
      <c r="AI320" s="21">
        <v>-6.4849900000000004E-3</v>
      </c>
      <c r="AJ320" s="21">
        <v>310</v>
      </c>
      <c r="AK320" s="21">
        <v>1.46088</v>
      </c>
      <c r="AL320">
        <f t="shared" si="54"/>
        <v>8.00616049382716</v>
      </c>
      <c r="AM320">
        <f t="shared" si="55"/>
        <v>11.697240666296295</v>
      </c>
      <c r="AP320" s="9"/>
      <c r="AQ320" s="21">
        <v>4.8980700000000002E-2</v>
      </c>
      <c r="AR320" s="21">
        <v>25.326699999999999</v>
      </c>
      <c r="AS320" s="21">
        <v>-1.47461E-2</v>
      </c>
      <c r="AT320" s="21">
        <v>310</v>
      </c>
      <c r="AU320" s="21">
        <v>4.8876999999999997E-2</v>
      </c>
      <c r="AV320">
        <f t="shared" si="56"/>
        <v>18.205061728395062</v>
      </c>
      <c r="AW320">
        <f t="shared" si="57"/>
        <v>0.89169666700000005</v>
      </c>
      <c r="AX320" s="9"/>
      <c r="AY320" s="21">
        <v>1.4610300000000001</v>
      </c>
      <c r="AZ320" s="21">
        <v>28.763200000000001</v>
      </c>
      <c r="BA320" s="21">
        <v>-6.3873300000000001E-3</v>
      </c>
      <c r="BB320" s="21">
        <v>310</v>
      </c>
      <c r="BC320" s="21">
        <v>1.46088</v>
      </c>
      <c r="BD320">
        <f t="shared" si="58"/>
        <v>7.8855925925925918</v>
      </c>
      <c r="BE320">
        <f t="shared" si="59"/>
        <v>11.521087345555555</v>
      </c>
    </row>
    <row r="321" spans="6:57" x14ac:dyDescent="0.25">
      <c r="F321" s="9"/>
      <c r="G321" s="21">
        <v>4.39453E-2</v>
      </c>
      <c r="H321" s="21">
        <v>8.2233999999999998</v>
      </c>
      <c r="I321" s="21">
        <v>-1.4855999999999999E-2</v>
      </c>
      <c r="J321" s="21">
        <v>311</v>
      </c>
      <c r="K321" s="21">
        <v>4.3933100000000003E-2</v>
      </c>
      <c r="L321">
        <f t="shared" si="48"/>
        <v>18.340740740740738</v>
      </c>
      <c r="M321">
        <f t="shared" si="49"/>
        <v>0.80598935407407402</v>
      </c>
      <c r="N321" s="9"/>
      <c r="O321" s="21">
        <v>1.4660599999999999</v>
      </c>
      <c r="P321" s="21">
        <v>11.6599</v>
      </c>
      <c r="Q321" s="21">
        <v>-6.6406299999999998E-3</v>
      </c>
      <c r="R321" s="21">
        <v>311</v>
      </c>
      <c r="S321" s="21">
        <v>1.4654499999999999</v>
      </c>
      <c r="T321">
        <f t="shared" si="50"/>
        <v>8.1983086419753075</v>
      </c>
      <c r="U321">
        <f t="shared" si="51"/>
        <v>12.019212367654319</v>
      </c>
      <c r="X321" s="9"/>
      <c r="Y321" s="21">
        <v>4.39453E-2</v>
      </c>
      <c r="Z321" s="21">
        <v>16.7576</v>
      </c>
      <c r="AA321" s="21">
        <v>-1.4776600000000001E-2</v>
      </c>
      <c r="AB321" s="21">
        <v>311</v>
      </c>
      <c r="AC321" s="21">
        <v>4.3801899999999998E-2</v>
      </c>
      <c r="AD321">
        <f t="shared" si="52"/>
        <v>18.242716049382715</v>
      </c>
      <c r="AE321">
        <f t="shared" si="53"/>
        <v>0.80168162960493816</v>
      </c>
      <c r="AF321" s="9"/>
      <c r="AG321" s="21">
        <v>1.4660599999999999</v>
      </c>
      <c r="AH321" s="21">
        <v>20.194099999999999</v>
      </c>
      <c r="AI321" s="21">
        <v>-6.2988300000000001E-3</v>
      </c>
      <c r="AJ321" s="21">
        <v>311</v>
      </c>
      <c r="AK321" s="21">
        <v>1.46576</v>
      </c>
      <c r="AL321">
        <f t="shared" si="54"/>
        <v>7.7763333333333327</v>
      </c>
      <c r="AM321">
        <f t="shared" si="55"/>
        <v>11.400571246666665</v>
      </c>
      <c r="AP321" s="9"/>
      <c r="AQ321" s="21">
        <v>4.39453E-2</v>
      </c>
      <c r="AR321" s="21">
        <v>25.3368</v>
      </c>
      <c r="AS321" s="21">
        <v>-1.47522E-2</v>
      </c>
      <c r="AT321" s="21">
        <v>311</v>
      </c>
      <c r="AU321" s="21">
        <v>4.3826299999999999E-2</v>
      </c>
      <c r="AV321">
        <f t="shared" si="56"/>
        <v>18.212592592592593</v>
      </c>
      <c r="AW321">
        <f t="shared" si="57"/>
        <v>0.80035784525925924</v>
      </c>
      <c r="AX321" s="9"/>
      <c r="AY321" s="21">
        <v>1.4660599999999999</v>
      </c>
      <c r="AZ321" s="21">
        <v>28.773299999999999</v>
      </c>
      <c r="BA321" s="21">
        <v>-6.1859100000000002E-3</v>
      </c>
      <c r="BB321" s="21">
        <v>311</v>
      </c>
      <c r="BC321" s="21">
        <v>1.4648399999999999</v>
      </c>
      <c r="BD321">
        <f t="shared" si="58"/>
        <v>7.6369259259259259</v>
      </c>
      <c r="BE321">
        <f t="shared" si="59"/>
        <v>11.196191622962962</v>
      </c>
    </row>
    <row r="322" spans="6:57" x14ac:dyDescent="0.25">
      <c r="F322" s="9"/>
      <c r="G322" s="21">
        <v>3.8909899999999997E-2</v>
      </c>
      <c r="H322" s="21">
        <v>8.2334700000000005</v>
      </c>
      <c r="I322" s="21">
        <v>-1.4865099999999999E-2</v>
      </c>
      <c r="J322" s="21">
        <v>312</v>
      </c>
      <c r="K322" s="21">
        <v>3.88306E-2</v>
      </c>
      <c r="L322">
        <f t="shared" si="48"/>
        <v>18.351975308641972</v>
      </c>
      <c r="M322">
        <f t="shared" si="49"/>
        <v>0.71407352406172819</v>
      </c>
      <c r="N322" s="9"/>
      <c r="O322" s="21">
        <v>1.4711000000000001</v>
      </c>
      <c r="P322" s="21">
        <v>11.67</v>
      </c>
      <c r="Q322" s="21">
        <v>-6.4178500000000001E-3</v>
      </c>
      <c r="R322" s="21">
        <v>312</v>
      </c>
      <c r="S322" s="21">
        <v>1.47034</v>
      </c>
      <c r="T322">
        <f t="shared" si="50"/>
        <v>7.9232716049382708</v>
      </c>
      <c r="U322">
        <f t="shared" si="51"/>
        <v>11.65592485802469</v>
      </c>
      <c r="X322" s="9"/>
      <c r="Y322" s="21">
        <v>3.8909899999999997E-2</v>
      </c>
      <c r="Z322" s="21">
        <v>16.767700000000001</v>
      </c>
      <c r="AA322" s="21">
        <v>-1.4770500000000001E-2</v>
      </c>
      <c r="AB322" s="21">
        <v>312</v>
      </c>
      <c r="AC322" s="21">
        <v>3.87512E-2</v>
      </c>
      <c r="AD322">
        <f t="shared" si="52"/>
        <v>18.235185185185184</v>
      </c>
      <c r="AE322">
        <f t="shared" si="53"/>
        <v>0.70952923203703699</v>
      </c>
      <c r="AF322" s="9"/>
      <c r="AG322" s="21">
        <v>1.4711000000000001</v>
      </c>
      <c r="AH322" s="21">
        <v>20.2042</v>
      </c>
      <c r="AI322" s="21">
        <v>-6.09131E-3</v>
      </c>
      <c r="AJ322" s="21">
        <v>312</v>
      </c>
      <c r="AK322" s="21">
        <v>1.4706399999999999</v>
      </c>
      <c r="AL322">
        <f t="shared" si="54"/>
        <v>7.5201358024691354</v>
      </c>
      <c r="AM322">
        <f t="shared" si="55"/>
        <v>11.062871779012346</v>
      </c>
      <c r="AP322" s="9"/>
      <c r="AQ322" s="21">
        <v>3.8909899999999997E-2</v>
      </c>
      <c r="AR322" s="21">
        <v>25.346900000000002</v>
      </c>
      <c r="AS322" s="21">
        <v>-1.47552E-2</v>
      </c>
      <c r="AT322" s="21">
        <v>312</v>
      </c>
      <c r="AU322" s="21">
        <v>3.8827500000000001E-2</v>
      </c>
      <c r="AV322">
        <f t="shared" si="56"/>
        <v>18.216296296296292</v>
      </c>
      <c r="AW322">
        <f t="shared" si="57"/>
        <v>0.70879426725925909</v>
      </c>
      <c r="AX322" s="9"/>
      <c r="AY322" s="21">
        <v>1.4711000000000001</v>
      </c>
      <c r="AZ322" s="21">
        <v>28.7834</v>
      </c>
      <c r="BA322" s="21">
        <v>-5.9845000000000002E-3</v>
      </c>
      <c r="BB322" s="21">
        <v>312</v>
      </c>
      <c r="BC322" s="21">
        <v>1.47034</v>
      </c>
      <c r="BD322">
        <f t="shared" si="58"/>
        <v>7.3882716049382715</v>
      </c>
      <c r="BE322">
        <f t="shared" si="59"/>
        <v>10.868886358024692</v>
      </c>
    </row>
    <row r="323" spans="6:57" x14ac:dyDescent="0.25">
      <c r="F323" s="9"/>
      <c r="G323" s="21">
        <v>3.3874500000000002E-2</v>
      </c>
      <c r="H323" s="21">
        <v>8.2435500000000008</v>
      </c>
      <c r="I323" s="21">
        <v>-1.48743E-2</v>
      </c>
      <c r="J323" s="21">
        <v>313</v>
      </c>
      <c r="K323" s="21">
        <v>3.3724999999999998E-2</v>
      </c>
      <c r="L323">
        <f t="shared" si="48"/>
        <v>18.363333333333333</v>
      </c>
      <c r="M323">
        <f t="shared" si="49"/>
        <v>0.62204873500000002</v>
      </c>
      <c r="N323" s="9"/>
      <c r="O323" s="21">
        <v>1.47614</v>
      </c>
      <c r="P323" s="21">
        <v>11.68</v>
      </c>
      <c r="Q323" s="21">
        <v>-6.1981199999999997E-3</v>
      </c>
      <c r="R323" s="21">
        <v>313</v>
      </c>
      <c r="S323" s="21">
        <v>1.47461</v>
      </c>
      <c r="T323">
        <f t="shared" si="50"/>
        <v>7.6519999999999992</v>
      </c>
      <c r="U323">
        <f t="shared" si="51"/>
        <v>11.29542328</v>
      </c>
      <c r="X323" s="9"/>
      <c r="Y323" s="21">
        <v>3.3874500000000002E-2</v>
      </c>
      <c r="Z323" s="21">
        <v>16.777799999999999</v>
      </c>
      <c r="AA323" s="21">
        <v>-1.4776600000000001E-2</v>
      </c>
      <c r="AB323" s="21">
        <v>313</v>
      </c>
      <c r="AC323" s="21">
        <v>3.3657800000000002E-2</v>
      </c>
      <c r="AD323">
        <f t="shared" si="52"/>
        <v>18.242716049382715</v>
      </c>
      <c r="AE323">
        <f t="shared" si="53"/>
        <v>0.61796288481481476</v>
      </c>
      <c r="AF323" s="9"/>
      <c r="AG323" s="21">
        <v>1.47614</v>
      </c>
      <c r="AH323" s="21">
        <v>20.214300000000001</v>
      </c>
      <c r="AI323" s="21">
        <v>-5.8654800000000002E-3</v>
      </c>
      <c r="AJ323" s="21">
        <v>313</v>
      </c>
      <c r="AK323" s="21">
        <v>1.47522</v>
      </c>
      <c r="AL323">
        <f t="shared" si="54"/>
        <v>7.2413333333333334</v>
      </c>
      <c r="AM323">
        <f t="shared" si="55"/>
        <v>10.689221786666668</v>
      </c>
      <c r="AP323" s="9"/>
      <c r="AQ323" s="21">
        <v>3.3874500000000002E-2</v>
      </c>
      <c r="AR323" s="21">
        <v>25.356999999999999</v>
      </c>
      <c r="AS323" s="21">
        <v>-1.47583E-2</v>
      </c>
      <c r="AT323" s="21">
        <v>313</v>
      </c>
      <c r="AU323" s="21">
        <v>3.37738E-2</v>
      </c>
      <c r="AV323">
        <f t="shared" si="56"/>
        <v>18.22012345679012</v>
      </c>
      <c r="AW323">
        <f t="shared" si="57"/>
        <v>0.61719757203703696</v>
      </c>
      <c r="AX323" s="9"/>
      <c r="AY323" s="21">
        <v>1.47614</v>
      </c>
      <c r="AZ323" s="21">
        <v>28.793500000000002</v>
      </c>
      <c r="BA323" s="21">
        <v>-5.7830800000000003E-3</v>
      </c>
      <c r="BB323" s="21">
        <v>313</v>
      </c>
      <c r="BC323" s="21">
        <v>1.47614</v>
      </c>
      <c r="BD323">
        <f t="shared" si="58"/>
        <v>7.1396049382716056</v>
      </c>
      <c r="BE323">
        <f t="shared" si="59"/>
        <v>10.539056433580248</v>
      </c>
    </row>
    <row r="324" spans="6:57" x14ac:dyDescent="0.25">
      <c r="F324" s="9"/>
      <c r="G324" s="21">
        <v>2.8839099999999999E-2</v>
      </c>
      <c r="H324" s="21">
        <v>8.2536199999999997</v>
      </c>
      <c r="I324" s="21">
        <v>-1.48773E-2</v>
      </c>
      <c r="J324" s="21">
        <v>314</v>
      </c>
      <c r="K324" s="21">
        <v>2.87292E-2</v>
      </c>
      <c r="L324">
        <f t="shared" si="48"/>
        <v>18.367037037037036</v>
      </c>
      <c r="M324">
        <f t="shared" si="49"/>
        <v>0.52968881781481481</v>
      </c>
      <c r="N324" s="9"/>
      <c r="O324" s="21">
        <v>1.4811700000000001</v>
      </c>
      <c r="P324" s="21">
        <v>11.690099999999999</v>
      </c>
      <c r="Q324" s="21">
        <v>-5.9692399999999998E-3</v>
      </c>
      <c r="R324" s="21">
        <v>314</v>
      </c>
      <c r="S324" s="21">
        <v>1.48071</v>
      </c>
      <c r="T324">
        <f t="shared" si="50"/>
        <v>7.3694320987654311</v>
      </c>
      <c r="U324">
        <f t="shared" si="51"/>
        <v>10.915381741728394</v>
      </c>
      <c r="X324" s="9"/>
      <c r="Y324" s="21">
        <v>2.8839099999999999E-2</v>
      </c>
      <c r="Z324" s="21">
        <v>16.787800000000001</v>
      </c>
      <c r="AA324" s="21">
        <v>-1.47797E-2</v>
      </c>
      <c r="AB324" s="21">
        <v>314</v>
      </c>
      <c r="AC324" s="21">
        <v>2.86194E-2</v>
      </c>
      <c r="AD324">
        <f t="shared" si="52"/>
        <v>18.246543209876542</v>
      </c>
      <c r="AE324">
        <f t="shared" si="53"/>
        <v>0.52621388428395055</v>
      </c>
      <c r="AF324" s="9"/>
      <c r="AG324" s="21">
        <v>1.4811700000000001</v>
      </c>
      <c r="AH324" s="21">
        <v>20.224399999999999</v>
      </c>
      <c r="AI324" s="21">
        <v>-5.6457499999999997E-3</v>
      </c>
      <c r="AJ324" s="21">
        <v>314</v>
      </c>
      <c r="AK324" s="21">
        <v>1.48102</v>
      </c>
      <c r="AL324">
        <f t="shared" si="54"/>
        <v>6.970061728395061</v>
      </c>
      <c r="AM324">
        <f t="shared" si="55"/>
        <v>10.323846330246914</v>
      </c>
      <c r="AP324" s="9"/>
      <c r="AQ324" s="21">
        <v>2.8839099999999999E-2</v>
      </c>
      <c r="AR324" s="21">
        <v>25.367000000000001</v>
      </c>
      <c r="AS324" s="21">
        <v>-1.47644E-2</v>
      </c>
      <c r="AT324" s="21">
        <v>314</v>
      </c>
      <c r="AU324" s="21">
        <v>2.8692599999999999E-2</v>
      </c>
      <c r="AV324">
        <f t="shared" si="56"/>
        <v>18.227654320987654</v>
      </c>
      <c r="AW324">
        <f t="shared" si="57"/>
        <v>0.52566914572839507</v>
      </c>
      <c r="AX324" s="9"/>
      <c r="AY324" s="21">
        <v>1.4811700000000001</v>
      </c>
      <c r="AZ324" s="21">
        <v>28.8035</v>
      </c>
      <c r="BA324" s="21">
        <v>-5.5602999999999998E-3</v>
      </c>
      <c r="BB324" s="21">
        <v>314</v>
      </c>
      <c r="BC324" s="21">
        <v>1.48102</v>
      </c>
      <c r="BD324">
        <f t="shared" si="58"/>
        <v>6.8645679012345671</v>
      </c>
      <c r="BE324">
        <f t="shared" si="59"/>
        <v>10.167592038271604</v>
      </c>
    </row>
    <row r="325" spans="6:57" x14ac:dyDescent="0.25">
      <c r="F325" s="9"/>
      <c r="G325" s="21">
        <v>2.3803700000000001E-2</v>
      </c>
      <c r="H325" s="21">
        <v>8.2636900000000004</v>
      </c>
      <c r="I325" s="21">
        <v>-1.48834E-2</v>
      </c>
      <c r="J325" s="21">
        <v>315</v>
      </c>
      <c r="K325" s="21">
        <v>2.36969E-2</v>
      </c>
      <c r="L325">
        <f t="shared" si="48"/>
        <v>18.374567901234567</v>
      </c>
      <c r="M325">
        <f t="shared" si="49"/>
        <v>0.43738270195061729</v>
      </c>
      <c r="N325" s="9"/>
      <c r="O325" s="21">
        <v>1.48621</v>
      </c>
      <c r="P325" s="21">
        <v>11.700200000000001</v>
      </c>
      <c r="Q325" s="21">
        <v>-5.7342499999999998E-3</v>
      </c>
      <c r="R325" s="21">
        <v>315</v>
      </c>
      <c r="S325" s="21">
        <v>1.4856</v>
      </c>
      <c r="T325">
        <f t="shared" si="50"/>
        <v>7.0793209876543202</v>
      </c>
      <c r="U325">
        <f t="shared" si="51"/>
        <v>10.521357645061727</v>
      </c>
      <c r="X325" s="9"/>
      <c r="Y325" s="21">
        <v>2.3803700000000001E-2</v>
      </c>
      <c r="Z325" s="21">
        <v>16.797899999999998</v>
      </c>
      <c r="AA325" s="21">
        <v>-1.47888E-2</v>
      </c>
      <c r="AB325" s="21">
        <v>315</v>
      </c>
      <c r="AC325" s="21">
        <v>2.35474E-2</v>
      </c>
      <c r="AD325">
        <f t="shared" si="52"/>
        <v>18.257777777777775</v>
      </c>
      <c r="AE325">
        <f t="shared" si="53"/>
        <v>0.43460266488888882</v>
      </c>
      <c r="AF325" s="9"/>
      <c r="AG325" s="21">
        <v>1.48621</v>
      </c>
      <c r="AH325" s="21">
        <v>20.234400000000001</v>
      </c>
      <c r="AI325" s="21">
        <v>-5.4138199999999997E-3</v>
      </c>
      <c r="AJ325" s="21">
        <v>315</v>
      </c>
      <c r="AK325" s="21">
        <v>1.4859</v>
      </c>
      <c r="AL325">
        <f t="shared" si="54"/>
        <v>6.6837283950617277</v>
      </c>
      <c r="AM325">
        <f t="shared" si="55"/>
        <v>9.93342397802469</v>
      </c>
      <c r="AP325" s="9"/>
      <c r="AQ325" s="21">
        <v>2.3803700000000001E-2</v>
      </c>
      <c r="AR325" s="21">
        <v>25.377099999999999</v>
      </c>
      <c r="AS325" s="21">
        <v>-1.4770500000000001E-2</v>
      </c>
      <c r="AT325" s="21">
        <v>315</v>
      </c>
      <c r="AU325" s="21">
        <v>2.36969E-2</v>
      </c>
      <c r="AV325">
        <f t="shared" si="56"/>
        <v>18.235185185185184</v>
      </c>
      <c r="AW325">
        <f t="shared" si="57"/>
        <v>0.4340648775925926</v>
      </c>
      <c r="AX325" s="9"/>
      <c r="AY325" s="21">
        <v>1.48621</v>
      </c>
      <c r="AZ325" s="21">
        <v>28.813600000000001</v>
      </c>
      <c r="BA325" s="21">
        <v>-5.3405800000000002E-3</v>
      </c>
      <c r="BB325" s="21">
        <v>315</v>
      </c>
      <c r="BC325" s="21">
        <v>1.4856</v>
      </c>
      <c r="BD325">
        <f t="shared" si="58"/>
        <v>6.5933086419753089</v>
      </c>
      <c r="BE325">
        <f t="shared" si="59"/>
        <v>9.7990412367901243</v>
      </c>
    </row>
    <row r="326" spans="6:57" x14ac:dyDescent="0.25">
      <c r="F326" s="9"/>
      <c r="G326" s="21">
        <v>1.8768300000000002E-2</v>
      </c>
      <c r="H326" s="21">
        <v>8.2737599999999993</v>
      </c>
      <c r="I326" s="21">
        <v>-1.4892600000000001E-2</v>
      </c>
      <c r="J326" s="21">
        <v>316</v>
      </c>
      <c r="K326" s="21">
        <v>1.8591300000000002E-2</v>
      </c>
      <c r="L326">
        <f t="shared" si="48"/>
        <v>18.385925925925928</v>
      </c>
      <c r="M326">
        <f t="shared" si="49"/>
        <v>0.34507257355555565</v>
      </c>
      <c r="N326" s="9"/>
      <c r="O326" s="21">
        <v>1.4912399999999999</v>
      </c>
      <c r="P326" s="21">
        <v>11.7102</v>
      </c>
      <c r="Q326" s="21">
        <v>-5.4717999999999998E-3</v>
      </c>
      <c r="R326" s="21">
        <v>316</v>
      </c>
      <c r="S326" s="21">
        <v>1.49078</v>
      </c>
      <c r="T326">
        <f t="shared" si="50"/>
        <v>6.7553086419753079</v>
      </c>
      <c r="U326">
        <f t="shared" si="51"/>
        <v>10.073786459259258</v>
      </c>
      <c r="X326" s="9"/>
      <c r="Y326" s="21">
        <v>1.8768300000000002E-2</v>
      </c>
      <c r="Z326" s="21">
        <v>16.808</v>
      </c>
      <c r="AA326" s="21">
        <v>-1.4801E-2</v>
      </c>
      <c r="AB326" s="21">
        <v>316</v>
      </c>
      <c r="AC326" s="21">
        <v>1.86096E-2</v>
      </c>
      <c r="AD326">
        <f t="shared" si="52"/>
        <v>18.27283950617284</v>
      </c>
      <c r="AE326">
        <f t="shared" si="53"/>
        <v>0.34295013370370375</v>
      </c>
      <c r="AF326" s="9"/>
      <c r="AG326" s="21">
        <v>1.4912399999999999</v>
      </c>
      <c r="AH326" s="21">
        <v>20.244499999999999</v>
      </c>
      <c r="AI326" s="21">
        <v>-5.1727300000000004E-3</v>
      </c>
      <c r="AJ326" s="21">
        <v>316</v>
      </c>
      <c r="AK326" s="21">
        <v>1.49078</v>
      </c>
      <c r="AL326">
        <f t="shared" si="54"/>
        <v>6.3860864197530862</v>
      </c>
      <c r="AM326">
        <f t="shared" si="55"/>
        <v>9.5231875125925924</v>
      </c>
      <c r="AP326" s="9"/>
      <c r="AQ326" s="21">
        <v>1.8768300000000002E-2</v>
      </c>
      <c r="AR326" s="21">
        <v>25.3872</v>
      </c>
      <c r="AS326" s="21">
        <v>-1.4776600000000001E-2</v>
      </c>
      <c r="AT326" s="21">
        <v>316</v>
      </c>
      <c r="AU326" s="21">
        <v>1.8591300000000002E-2</v>
      </c>
      <c r="AV326">
        <f t="shared" si="56"/>
        <v>18.242716049382715</v>
      </c>
      <c r="AW326">
        <f t="shared" si="57"/>
        <v>0.3423847676296296</v>
      </c>
      <c r="AX326" s="9"/>
      <c r="AY326" s="21">
        <v>1.4912399999999999</v>
      </c>
      <c r="AZ326" s="21">
        <v>28.823699999999999</v>
      </c>
      <c r="BA326" s="21">
        <v>-5.0933799999999998E-3</v>
      </c>
      <c r="BB326" s="21">
        <v>316</v>
      </c>
      <c r="BC326" s="21">
        <v>1.49078</v>
      </c>
      <c r="BD326">
        <f t="shared" si="58"/>
        <v>6.2881234567901227</v>
      </c>
      <c r="BE326">
        <f t="shared" si="59"/>
        <v>9.3771012237037024</v>
      </c>
    </row>
    <row r="327" spans="6:57" x14ac:dyDescent="0.25">
      <c r="F327" s="9"/>
      <c r="G327" s="21">
        <v>1.3732899999999999E-2</v>
      </c>
      <c r="H327" s="21">
        <v>8.28383</v>
      </c>
      <c r="I327" s="21">
        <v>-1.4898700000000001E-2</v>
      </c>
      <c r="J327" s="21">
        <v>317</v>
      </c>
      <c r="K327" s="21">
        <v>1.36902E-2</v>
      </c>
      <c r="L327">
        <f t="shared" si="48"/>
        <v>18.393456790123455</v>
      </c>
      <c r="M327">
        <f t="shared" si="49"/>
        <v>0.2525955027530864</v>
      </c>
      <c r="N327" s="9"/>
      <c r="O327" s="21">
        <v>1.4962800000000001</v>
      </c>
      <c r="P327" s="21">
        <v>11.7203</v>
      </c>
      <c r="Q327" s="21">
        <v>-5.2032500000000004E-3</v>
      </c>
      <c r="R327" s="21">
        <v>317</v>
      </c>
      <c r="S327" s="21">
        <v>1.4956700000000001</v>
      </c>
      <c r="T327">
        <f t="shared" si="50"/>
        <v>6.4237654320987652</v>
      </c>
      <c r="U327">
        <f t="shared" si="51"/>
        <v>9.6117517407407416</v>
      </c>
      <c r="X327" s="9"/>
      <c r="Y327" s="21">
        <v>1.3732899999999999E-2</v>
      </c>
      <c r="Z327" s="21">
        <v>16.818000000000001</v>
      </c>
      <c r="AA327" s="21">
        <v>-1.48071E-2</v>
      </c>
      <c r="AB327" s="21">
        <v>317</v>
      </c>
      <c r="AC327" s="21">
        <v>1.37085E-2</v>
      </c>
      <c r="AD327">
        <f t="shared" si="52"/>
        <v>18.28037037037037</v>
      </c>
      <c r="AE327">
        <f t="shared" si="53"/>
        <v>0.25104249825925923</v>
      </c>
      <c r="AF327" s="9"/>
      <c r="AG327" s="21">
        <v>1.4962800000000001</v>
      </c>
      <c r="AH327" s="21">
        <v>20.2546</v>
      </c>
      <c r="AI327" s="21">
        <v>-4.91516E-3</v>
      </c>
      <c r="AJ327" s="21">
        <v>317</v>
      </c>
      <c r="AK327" s="21">
        <v>1.4956700000000001</v>
      </c>
      <c r="AL327">
        <f t="shared" si="54"/>
        <v>6.0680987654320981</v>
      </c>
      <c r="AM327">
        <f t="shared" si="55"/>
        <v>9.0795748207407403</v>
      </c>
      <c r="AP327" s="9"/>
      <c r="AQ327" s="21">
        <v>1.3732899999999999E-2</v>
      </c>
      <c r="AR327" s="21">
        <v>25.397200000000002</v>
      </c>
      <c r="AS327" s="21">
        <v>-1.4776600000000001E-2</v>
      </c>
      <c r="AT327" s="21">
        <v>317</v>
      </c>
      <c r="AU327" s="21">
        <v>1.36078E-2</v>
      </c>
      <c r="AV327">
        <f t="shared" si="56"/>
        <v>18.242716049382715</v>
      </c>
      <c r="AW327">
        <f t="shared" si="57"/>
        <v>0.25052539523456785</v>
      </c>
      <c r="AX327" s="9"/>
      <c r="AY327" s="21">
        <v>1.4962800000000001</v>
      </c>
      <c r="AZ327" s="21">
        <v>28.8337</v>
      </c>
      <c r="BA327" s="21">
        <v>-4.8419200000000004E-3</v>
      </c>
      <c r="BB327" s="21">
        <v>317</v>
      </c>
      <c r="BC327" s="21">
        <v>1.4956700000000001</v>
      </c>
      <c r="BD327">
        <f t="shared" si="58"/>
        <v>5.9776790123456784</v>
      </c>
      <c r="BE327">
        <f t="shared" si="59"/>
        <v>8.9442815525925923</v>
      </c>
    </row>
    <row r="328" spans="6:57" x14ac:dyDescent="0.25">
      <c r="F328" s="9"/>
      <c r="G328" s="21">
        <v>8.6975100000000003E-3</v>
      </c>
      <c r="H328" s="21">
        <v>8.2939000000000007</v>
      </c>
      <c r="I328" s="21">
        <v>-1.49017E-2</v>
      </c>
      <c r="J328" s="21">
        <v>318</v>
      </c>
      <c r="K328" s="21">
        <v>8.4716800000000005E-3</v>
      </c>
      <c r="L328">
        <f t="shared" si="48"/>
        <v>18.397160493827158</v>
      </c>
      <c r="M328">
        <f t="shared" si="49"/>
        <v>0.16000948736666665</v>
      </c>
      <c r="N328" s="9"/>
      <c r="O328" s="21">
        <v>1.5013099999999999</v>
      </c>
      <c r="P328" s="21">
        <v>11.730399999999999</v>
      </c>
      <c r="Q328" s="21">
        <v>-4.9340800000000004E-3</v>
      </c>
      <c r="R328" s="21">
        <v>318</v>
      </c>
      <c r="S328" s="21">
        <v>1.4999400000000001</v>
      </c>
      <c r="T328">
        <f t="shared" si="50"/>
        <v>6.0914567901234564</v>
      </c>
      <c r="U328">
        <f t="shared" si="51"/>
        <v>9.145164993580245</v>
      </c>
      <c r="X328" s="9"/>
      <c r="Y328" s="21">
        <v>8.6975100000000003E-3</v>
      </c>
      <c r="Z328" s="21">
        <v>16.828099999999999</v>
      </c>
      <c r="AA328" s="21">
        <v>-1.48071E-2</v>
      </c>
      <c r="AB328" s="21">
        <v>318</v>
      </c>
      <c r="AC328" s="21">
        <v>8.4960899999999995E-3</v>
      </c>
      <c r="AD328">
        <f t="shared" si="52"/>
        <v>18.28037037037037</v>
      </c>
      <c r="AE328">
        <f t="shared" si="53"/>
        <v>0.15899370409999999</v>
      </c>
      <c r="AF328" s="9"/>
      <c r="AG328" s="21">
        <v>1.5013099999999999</v>
      </c>
      <c r="AH328" s="21">
        <v>20.264600000000002</v>
      </c>
      <c r="AI328" s="21">
        <v>-4.6469099999999998E-3</v>
      </c>
      <c r="AJ328" s="21">
        <v>318</v>
      </c>
      <c r="AK328" s="21">
        <v>1.50085</v>
      </c>
      <c r="AL328">
        <f t="shared" si="54"/>
        <v>5.7369259259259247</v>
      </c>
      <c r="AM328">
        <f t="shared" si="55"/>
        <v>8.612904261851849</v>
      </c>
      <c r="AP328" s="9"/>
      <c r="AQ328" s="21">
        <v>8.6975100000000003E-3</v>
      </c>
      <c r="AR328" s="21">
        <v>25.407299999999999</v>
      </c>
      <c r="AS328" s="21">
        <v>-1.47797E-2</v>
      </c>
      <c r="AT328" s="21">
        <v>318</v>
      </c>
      <c r="AU328" s="21">
        <v>8.5327100000000006E-3</v>
      </c>
      <c r="AV328">
        <f t="shared" si="56"/>
        <v>18.246543209876542</v>
      </c>
      <c r="AW328">
        <f t="shared" si="57"/>
        <v>0.15869949203333333</v>
      </c>
      <c r="AX328" s="9"/>
      <c r="AY328" s="21">
        <v>1.5013099999999999</v>
      </c>
      <c r="AZ328" s="21">
        <v>28.843800000000002</v>
      </c>
      <c r="BA328" s="21">
        <v>-4.5654299999999997E-3</v>
      </c>
      <c r="BB328" s="21">
        <v>318</v>
      </c>
      <c r="BC328" s="21">
        <v>1.50085</v>
      </c>
      <c r="BD328">
        <f t="shared" si="58"/>
        <v>5.636333333333333</v>
      </c>
      <c r="BE328">
        <f t="shared" si="59"/>
        <v>8.4618835966666666</v>
      </c>
    </row>
    <row r="329" spans="6:57" x14ac:dyDescent="0.25">
      <c r="F329" s="9"/>
      <c r="G329" s="21">
        <v>3.6621100000000001E-3</v>
      </c>
      <c r="H329" s="21">
        <v>8.3039699999999996</v>
      </c>
      <c r="I329" s="21">
        <v>-1.4907800000000001E-2</v>
      </c>
      <c r="J329" s="21">
        <v>319</v>
      </c>
      <c r="K329" s="21">
        <v>3.46985E-3</v>
      </c>
      <c r="L329">
        <f t="shared" si="48"/>
        <v>18.404691358024692</v>
      </c>
      <c r="M329">
        <f t="shared" si="49"/>
        <v>6.740000426913581E-2</v>
      </c>
      <c r="N329" s="9"/>
      <c r="O329" s="21">
        <v>1.5063500000000001</v>
      </c>
      <c r="P329" s="21">
        <v>11.740500000000001</v>
      </c>
      <c r="Q329" s="21">
        <v>-4.6447800000000003E-3</v>
      </c>
      <c r="R329" s="21">
        <v>319</v>
      </c>
      <c r="S329" s="21">
        <v>1.5057400000000001</v>
      </c>
      <c r="T329">
        <f t="shared" si="50"/>
        <v>5.7342962962962964</v>
      </c>
      <c r="U329">
        <f t="shared" si="51"/>
        <v>8.6378572259259272</v>
      </c>
      <c r="X329" s="9"/>
      <c r="Y329" s="21">
        <v>3.6621100000000001E-3</v>
      </c>
      <c r="Z329" s="21">
        <v>16.838200000000001</v>
      </c>
      <c r="AA329" s="21">
        <v>-1.4804100000000001E-2</v>
      </c>
      <c r="AB329" s="21">
        <v>319</v>
      </c>
      <c r="AC329" s="21">
        <v>3.5064699999999998E-3</v>
      </c>
      <c r="AD329">
        <f t="shared" si="52"/>
        <v>18.276666666666667</v>
      </c>
      <c r="AE329">
        <f t="shared" si="53"/>
        <v>6.6931163766666676E-2</v>
      </c>
      <c r="AF329" s="9"/>
      <c r="AG329" s="21">
        <v>1.5063500000000001</v>
      </c>
      <c r="AH329" s="21">
        <v>20.274699999999999</v>
      </c>
      <c r="AI329" s="21">
        <v>-4.3756100000000003E-3</v>
      </c>
      <c r="AJ329" s="21">
        <v>319</v>
      </c>
      <c r="AK329" s="21">
        <v>1.50604</v>
      </c>
      <c r="AL329">
        <f t="shared" si="54"/>
        <v>5.4019876543209877</v>
      </c>
      <c r="AM329">
        <f t="shared" si="55"/>
        <v>8.1372841030864205</v>
      </c>
      <c r="AP329" s="9"/>
      <c r="AQ329" s="21">
        <v>3.6621100000000001E-3</v>
      </c>
      <c r="AR329" s="21">
        <v>25.417400000000001</v>
      </c>
      <c r="AS329" s="21">
        <v>-1.4782699999999999E-2</v>
      </c>
      <c r="AT329" s="21">
        <v>319</v>
      </c>
      <c r="AU329" s="21">
        <v>3.4454300000000002E-3</v>
      </c>
      <c r="AV329">
        <f t="shared" si="56"/>
        <v>18.250246913580245</v>
      </c>
      <c r="AW329">
        <f t="shared" si="57"/>
        <v>6.6834411724691359E-2</v>
      </c>
      <c r="AX329" s="9"/>
      <c r="AY329" s="21">
        <v>1.5063500000000001</v>
      </c>
      <c r="AZ329" s="21">
        <v>28.853899999999999</v>
      </c>
      <c r="BA329" s="21">
        <v>-4.2831400000000004E-3</v>
      </c>
      <c r="BB329" s="21">
        <v>319</v>
      </c>
      <c r="BC329" s="21">
        <v>1.50604</v>
      </c>
      <c r="BD329">
        <f t="shared" si="58"/>
        <v>5.2878271604938272</v>
      </c>
      <c r="BE329">
        <f t="shared" si="59"/>
        <v>7.9653184432098767</v>
      </c>
    </row>
    <row r="330" spans="6:57" x14ac:dyDescent="0.25">
      <c r="F330" s="9"/>
      <c r="G330" s="21">
        <v>-1.3732900000000001E-3</v>
      </c>
      <c r="H330" s="21">
        <v>8.3140400000000003</v>
      </c>
      <c r="I330" s="21">
        <v>-1.4913900000000001E-2</v>
      </c>
      <c r="J330" s="21">
        <v>320</v>
      </c>
      <c r="K330" s="21">
        <v>-1.5350299999999999E-3</v>
      </c>
      <c r="L330">
        <f t="shared" si="48"/>
        <v>18.412222222222223</v>
      </c>
      <c r="M330">
        <f t="shared" si="49"/>
        <v>-2.5285320655555558E-2</v>
      </c>
      <c r="N330" s="9"/>
      <c r="O330" s="21">
        <v>1.5113799999999999</v>
      </c>
      <c r="P330" s="21">
        <v>11.750500000000001</v>
      </c>
      <c r="Q330" s="21">
        <v>-4.3405199999999996E-3</v>
      </c>
      <c r="R330" s="21">
        <v>320</v>
      </c>
      <c r="S330" s="21">
        <v>1.5109300000000001</v>
      </c>
      <c r="T330">
        <f t="shared" si="50"/>
        <v>5.3586666666666662</v>
      </c>
      <c r="U330">
        <f t="shared" si="51"/>
        <v>8.0989816266666654</v>
      </c>
      <c r="X330" s="9"/>
      <c r="Y330" s="21">
        <v>-1.3732900000000001E-3</v>
      </c>
      <c r="Z330" s="21">
        <v>16.848199999999999</v>
      </c>
      <c r="AA330" s="21">
        <v>-1.48071E-2</v>
      </c>
      <c r="AB330" s="21">
        <v>320</v>
      </c>
      <c r="AC330" s="21">
        <v>-1.60217E-3</v>
      </c>
      <c r="AD330">
        <f t="shared" si="52"/>
        <v>18.28037037037037</v>
      </c>
      <c r="AE330">
        <f t="shared" si="53"/>
        <v>-2.5104249825925927E-2</v>
      </c>
      <c r="AF330" s="9"/>
      <c r="AG330" s="21">
        <v>1.5113799999999999</v>
      </c>
      <c r="AH330" s="21">
        <v>20.284800000000001</v>
      </c>
      <c r="AI330" s="21">
        <v>-4.0914899999999997E-3</v>
      </c>
      <c r="AJ330" s="21">
        <v>320</v>
      </c>
      <c r="AK330" s="21">
        <v>1.51031</v>
      </c>
      <c r="AL330">
        <f t="shared" si="54"/>
        <v>5.0512222222222221</v>
      </c>
      <c r="AM330">
        <f t="shared" si="55"/>
        <v>7.6343162422222219</v>
      </c>
      <c r="AP330" s="9"/>
      <c r="AQ330" s="21">
        <v>-1.3732900000000001E-3</v>
      </c>
      <c r="AR330" s="21">
        <v>25.427499999999998</v>
      </c>
      <c r="AS330" s="21">
        <v>-1.47888E-2</v>
      </c>
      <c r="AT330" s="21">
        <v>320</v>
      </c>
      <c r="AU330" s="21">
        <v>-1.6937300000000001E-3</v>
      </c>
      <c r="AV330">
        <f t="shared" si="56"/>
        <v>18.257777777777775</v>
      </c>
      <c r="AW330">
        <f t="shared" si="57"/>
        <v>-2.5073223644444444E-2</v>
      </c>
      <c r="AX330" s="9"/>
      <c r="AY330" s="21">
        <v>1.5113799999999999</v>
      </c>
      <c r="AZ330" s="21">
        <v>28.863900000000001</v>
      </c>
      <c r="BA330" s="21">
        <v>-3.9962799999999996E-3</v>
      </c>
      <c r="BB330" s="21">
        <v>320</v>
      </c>
      <c r="BC330" s="21">
        <v>1.5112300000000001</v>
      </c>
      <c r="BD330">
        <f t="shared" si="58"/>
        <v>4.933679012345678</v>
      </c>
      <c r="BE330">
        <f t="shared" si="59"/>
        <v>7.4566637856790106</v>
      </c>
    </row>
    <row r="331" spans="6:57" x14ac:dyDescent="0.25">
      <c r="F331" s="9"/>
      <c r="G331" s="21">
        <v>-6.4086899999999999E-3</v>
      </c>
      <c r="H331" s="21">
        <v>8.3241099999999992</v>
      </c>
      <c r="I331" s="21">
        <v>-1.4913900000000001E-2</v>
      </c>
      <c r="J331" s="21">
        <v>321</v>
      </c>
      <c r="K331" s="21">
        <v>-6.7321799999999999E-3</v>
      </c>
      <c r="L331">
        <f t="shared" si="48"/>
        <v>18.412222222222223</v>
      </c>
      <c r="M331">
        <f t="shared" si="49"/>
        <v>-0.11799822443333334</v>
      </c>
      <c r="N331" s="9"/>
      <c r="O331" s="21">
        <v>1.5164200000000001</v>
      </c>
      <c r="P331" s="21">
        <v>11.7606</v>
      </c>
      <c r="Q331" s="21">
        <v>-4.0393099999999999E-3</v>
      </c>
      <c r="R331" s="21">
        <v>321</v>
      </c>
      <c r="S331" s="21">
        <v>1.5161100000000001</v>
      </c>
      <c r="T331">
        <f t="shared" si="50"/>
        <v>4.9868024691358022</v>
      </c>
      <c r="U331">
        <f t="shared" si="51"/>
        <v>7.5620870002469136</v>
      </c>
      <c r="X331" s="9"/>
      <c r="Y331" s="21">
        <v>-6.4086899999999999E-3</v>
      </c>
      <c r="Z331" s="21">
        <v>16.8583</v>
      </c>
      <c r="AA331" s="21">
        <v>-1.4810200000000001E-2</v>
      </c>
      <c r="AB331" s="21">
        <v>321</v>
      </c>
      <c r="AC331" s="21">
        <v>-6.70471E-3</v>
      </c>
      <c r="AD331">
        <f t="shared" si="52"/>
        <v>18.284197530864198</v>
      </c>
      <c r="AE331">
        <f t="shared" si="53"/>
        <v>-0.11717775387407407</v>
      </c>
      <c r="AF331" s="9"/>
      <c r="AG331" s="21">
        <v>1.5164200000000001</v>
      </c>
      <c r="AH331" s="21">
        <v>20.294799999999999</v>
      </c>
      <c r="AI331" s="21">
        <v>-3.7866200000000001E-3</v>
      </c>
      <c r="AJ331" s="21">
        <v>321</v>
      </c>
      <c r="AK331" s="21">
        <v>1.5158100000000001</v>
      </c>
      <c r="AL331">
        <f t="shared" si="54"/>
        <v>4.6748395061728392</v>
      </c>
      <c r="AM331">
        <f t="shared" si="55"/>
        <v>7.0890201239506174</v>
      </c>
      <c r="AP331" s="9"/>
      <c r="AQ331" s="21">
        <v>-6.4086899999999999E-3</v>
      </c>
      <c r="AR331" s="21">
        <v>25.4375</v>
      </c>
      <c r="AS331" s="21">
        <v>-1.47949E-2</v>
      </c>
      <c r="AT331" s="21">
        <v>321</v>
      </c>
      <c r="AU331" s="21">
        <v>-6.7504899999999996E-3</v>
      </c>
      <c r="AV331">
        <f t="shared" si="56"/>
        <v>18.265308641975306</v>
      </c>
      <c r="AW331">
        <f t="shared" si="57"/>
        <v>-0.11705670084074073</v>
      </c>
      <c r="AX331" s="9"/>
      <c r="AY331" s="21">
        <v>1.5164200000000001</v>
      </c>
      <c r="AZ331" s="21">
        <v>28.873999999999999</v>
      </c>
      <c r="BA331" s="21">
        <v>-3.6941500000000002E-3</v>
      </c>
      <c r="BB331" s="21">
        <v>321</v>
      </c>
      <c r="BC331" s="21">
        <v>1.5158100000000001</v>
      </c>
      <c r="BD331">
        <f t="shared" si="58"/>
        <v>4.5606790123456786</v>
      </c>
      <c r="BE331">
        <f t="shared" si="59"/>
        <v>6.9159048679012347</v>
      </c>
    </row>
    <row r="332" spans="6:57" x14ac:dyDescent="0.25">
      <c r="F332" s="9"/>
      <c r="G332" s="21">
        <v>-1.14441E-2</v>
      </c>
      <c r="H332" s="21">
        <v>8.3341799999999999</v>
      </c>
      <c r="I332" s="21">
        <v>-1.49109E-2</v>
      </c>
      <c r="J332" s="21">
        <v>322</v>
      </c>
      <c r="K332" s="21">
        <v>-1.1682100000000001E-2</v>
      </c>
      <c r="L332">
        <f t="shared" ref="L332:L350" si="60">-I332/$F$2*1000</f>
        <v>18.408518518518516</v>
      </c>
      <c r="M332">
        <f t="shared" ref="M332:M350" si="61">L332*G332</f>
        <v>-0.21066892677777777</v>
      </c>
      <c r="N332" s="9"/>
      <c r="O332" s="21">
        <v>1.52145</v>
      </c>
      <c r="P332" s="21">
        <v>11.7707</v>
      </c>
      <c r="Q332" s="21">
        <v>-3.7078900000000001E-3</v>
      </c>
      <c r="R332" s="21">
        <v>322</v>
      </c>
      <c r="S332" s="21">
        <v>1.5206900000000001</v>
      </c>
      <c r="T332">
        <f t="shared" ref="T332:T350" si="62">-Q332/$F$2*1000</f>
        <v>4.5776419753086417</v>
      </c>
      <c r="U332">
        <f t="shared" ref="U332:U350" si="63">T332*O332</f>
        <v>6.9646533833333324</v>
      </c>
      <c r="X332" s="9"/>
      <c r="Y332" s="21">
        <v>-1.14441E-2</v>
      </c>
      <c r="Z332" s="21">
        <v>16.868400000000001</v>
      </c>
      <c r="AA332" s="21">
        <v>-1.48132E-2</v>
      </c>
      <c r="AB332" s="21">
        <v>322</v>
      </c>
      <c r="AC332" s="21">
        <v>-1.17035E-2</v>
      </c>
      <c r="AD332">
        <f t="shared" ref="AD332:AD350" si="64">-AA332/$F$2*1000</f>
        <v>18.287901234567901</v>
      </c>
      <c r="AE332">
        <f t="shared" ref="AE332:AE350" si="65">AD332*Y332</f>
        <v>-0.20928857051851851</v>
      </c>
      <c r="AF332" s="9"/>
      <c r="AG332" s="21">
        <v>1.52145</v>
      </c>
      <c r="AH332" s="21">
        <v>20.3049</v>
      </c>
      <c r="AI332" s="21">
        <v>-3.46832E-3</v>
      </c>
      <c r="AJ332" s="21">
        <v>322</v>
      </c>
      <c r="AK332" s="21">
        <v>1.5206900000000001</v>
      </c>
      <c r="AL332">
        <f t="shared" ref="AL332:AL350" si="66">-AI332/$F$2*1000</f>
        <v>4.2818765432098758</v>
      </c>
      <c r="AM332">
        <f t="shared" ref="AM332:AM350" si="67">AL332*AG332</f>
        <v>6.5146610666666653</v>
      </c>
      <c r="AP332" s="9"/>
      <c r="AQ332" s="21">
        <v>-1.14441E-2</v>
      </c>
      <c r="AR332" s="21">
        <v>25.447600000000001</v>
      </c>
      <c r="AS332" s="21">
        <v>-1.4798E-2</v>
      </c>
      <c r="AT332" s="21">
        <v>322</v>
      </c>
      <c r="AU332" s="21">
        <v>-1.17188E-2</v>
      </c>
      <c r="AV332">
        <f t="shared" ref="AV332:AV350" si="68">-AS332/$F$2*1000</f>
        <v>18.269135802469137</v>
      </c>
      <c r="AW332">
        <f t="shared" ref="AW332:AW350" si="69">AV332*AQ332</f>
        <v>-0.20907381703703706</v>
      </c>
      <c r="AX332" s="9"/>
      <c r="AY332" s="21">
        <v>1.52145</v>
      </c>
      <c r="AZ332" s="21">
        <v>28.8841</v>
      </c>
      <c r="BA332" s="21">
        <v>-3.37646E-3</v>
      </c>
      <c r="BB332" s="21">
        <v>322</v>
      </c>
      <c r="BC332" s="21">
        <v>1.5206900000000001</v>
      </c>
      <c r="BD332">
        <f t="shared" ref="BD332:BD350" si="70">-BA332/$F$2*1000</f>
        <v>4.1684691358024688</v>
      </c>
      <c r="BE332">
        <f t="shared" ref="BE332:BE350" si="71">BD332*AY332</f>
        <v>6.3421173666666659</v>
      </c>
    </row>
    <row r="333" spans="6:57" x14ac:dyDescent="0.25">
      <c r="F333" s="9"/>
      <c r="G333" s="21">
        <v>-1.6479500000000001E-2</v>
      </c>
      <c r="H333" s="21">
        <v>8.3442600000000002</v>
      </c>
      <c r="I333" s="21">
        <v>-1.4913900000000001E-2</v>
      </c>
      <c r="J333" s="21">
        <v>323</v>
      </c>
      <c r="K333" s="21">
        <v>-1.67999E-2</v>
      </c>
      <c r="L333">
        <f t="shared" si="60"/>
        <v>18.412222222222223</v>
      </c>
      <c r="M333">
        <f t="shared" si="61"/>
        <v>-0.30342421611111114</v>
      </c>
      <c r="N333" s="9"/>
      <c r="O333" s="21">
        <v>1.5264899999999999</v>
      </c>
      <c r="P333" s="21">
        <v>11.7807</v>
      </c>
      <c r="Q333" s="21">
        <v>-3.3706700000000001E-3</v>
      </c>
      <c r="R333" s="21">
        <v>323</v>
      </c>
      <c r="S333" s="21">
        <v>1.5258799999999999</v>
      </c>
      <c r="T333">
        <f t="shared" si="62"/>
        <v>4.1613209876543209</v>
      </c>
      <c r="U333">
        <f t="shared" si="63"/>
        <v>6.352214874444444</v>
      </c>
      <c r="X333" s="9"/>
      <c r="Y333" s="21">
        <v>-1.6479500000000001E-2</v>
      </c>
      <c r="Z333" s="21">
        <v>16.878499999999999</v>
      </c>
      <c r="AA333" s="21">
        <v>-1.4816299999999999E-2</v>
      </c>
      <c r="AB333" s="21">
        <v>323</v>
      </c>
      <c r="AC333" s="21">
        <v>-1.6747999999999999E-2</v>
      </c>
      <c r="AD333">
        <f t="shared" si="64"/>
        <v>18.291728395061728</v>
      </c>
      <c r="AE333">
        <f t="shared" si="65"/>
        <v>-0.30143853808641979</v>
      </c>
      <c r="AF333" s="9"/>
      <c r="AG333" s="21">
        <v>1.5264899999999999</v>
      </c>
      <c r="AH333" s="21">
        <v>20.315000000000001</v>
      </c>
      <c r="AI333" s="21">
        <v>-3.1283600000000002E-3</v>
      </c>
      <c r="AJ333" s="21">
        <v>323</v>
      </c>
      <c r="AK333" s="21">
        <v>1.5255700000000001</v>
      </c>
      <c r="AL333">
        <f t="shared" si="66"/>
        <v>3.8621728395061732</v>
      </c>
      <c r="AM333">
        <f t="shared" si="67"/>
        <v>5.895568217777778</v>
      </c>
      <c r="AP333" s="9"/>
      <c r="AQ333" s="21">
        <v>-1.6479500000000001E-2</v>
      </c>
      <c r="AR333" s="21">
        <v>25.457699999999999</v>
      </c>
      <c r="AS333" s="21">
        <v>-1.4804100000000001E-2</v>
      </c>
      <c r="AT333" s="21">
        <v>323</v>
      </c>
      <c r="AU333" s="21">
        <v>-1.6772499999999999E-2</v>
      </c>
      <c r="AV333">
        <f t="shared" si="68"/>
        <v>18.276666666666667</v>
      </c>
      <c r="AW333">
        <f t="shared" si="69"/>
        <v>-0.30119032833333337</v>
      </c>
      <c r="AX333" s="9"/>
      <c r="AY333" s="21">
        <v>1.5264899999999999</v>
      </c>
      <c r="AZ333" s="21">
        <v>28.894200000000001</v>
      </c>
      <c r="BA333" s="21">
        <v>-3.0481000000000002E-3</v>
      </c>
      <c r="BB333" s="21">
        <v>323</v>
      </c>
      <c r="BC333" s="21">
        <v>1.5261800000000001</v>
      </c>
      <c r="BD333">
        <f t="shared" si="70"/>
        <v>3.7630864197530864</v>
      </c>
      <c r="BE333">
        <f t="shared" si="71"/>
        <v>5.7443137888888884</v>
      </c>
    </row>
    <row r="334" spans="6:57" x14ac:dyDescent="0.25">
      <c r="F334" s="9"/>
      <c r="G334" s="21">
        <v>-2.15149E-2</v>
      </c>
      <c r="H334" s="21">
        <v>8.3543299999999991</v>
      </c>
      <c r="I334" s="21">
        <v>-1.4913900000000001E-2</v>
      </c>
      <c r="J334" s="21">
        <v>324</v>
      </c>
      <c r="K334" s="21">
        <v>-2.1685800000000002E-2</v>
      </c>
      <c r="L334">
        <f t="shared" si="60"/>
        <v>18.412222222222223</v>
      </c>
      <c r="M334">
        <f t="shared" si="61"/>
        <v>-0.39613711988888889</v>
      </c>
      <c r="N334" s="9"/>
      <c r="O334" s="21">
        <v>1.53152</v>
      </c>
      <c r="P334" s="21">
        <v>11.790800000000001</v>
      </c>
      <c r="Q334" s="21">
        <v>-3.0127000000000001E-3</v>
      </c>
      <c r="R334" s="21">
        <v>324</v>
      </c>
      <c r="S334" s="21">
        <v>1.5310699999999999</v>
      </c>
      <c r="T334">
        <f t="shared" si="62"/>
        <v>3.7193827160493829</v>
      </c>
      <c r="U334">
        <f t="shared" si="63"/>
        <v>5.6963090172839506</v>
      </c>
      <c r="X334" s="9"/>
      <c r="Y334" s="21">
        <v>-2.15149E-2</v>
      </c>
      <c r="Z334" s="21">
        <v>16.888500000000001</v>
      </c>
      <c r="AA334" s="21">
        <v>-1.4822399999999999E-2</v>
      </c>
      <c r="AB334" s="21">
        <v>324</v>
      </c>
      <c r="AC334" s="21">
        <v>-2.18018E-2</v>
      </c>
      <c r="AD334">
        <f t="shared" si="64"/>
        <v>18.299259259259259</v>
      </c>
      <c r="AE334">
        <f t="shared" si="65"/>
        <v>-0.39370673303703702</v>
      </c>
      <c r="AF334" s="9"/>
      <c r="AG334" s="21">
        <v>1.53152</v>
      </c>
      <c r="AH334" s="21">
        <v>20.325099999999999</v>
      </c>
      <c r="AI334" s="21">
        <v>-2.7633699999999998E-3</v>
      </c>
      <c r="AJ334" s="21">
        <v>324</v>
      </c>
      <c r="AK334" s="21">
        <v>1.5310699999999999</v>
      </c>
      <c r="AL334">
        <f t="shared" si="66"/>
        <v>3.4115679012345672</v>
      </c>
      <c r="AM334">
        <f t="shared" si="67"/>
        <v>5.2248844720987639</v>
      </c>
      <c r="AP334" s="9"/>
      <c r="AQ334" s="21">
        <v>-2.15149E-2</v>
      </c>
      <c r="AR334" s="21">
        <v>25.467700000000001</v>
      </c>
      <c r="AS334" s="21">
        <v>-1.4798E-2</v>
      </c>
      <c r="AT334" s="21">
        <v>324</v>
      </c>
      <c r="AU334" s="21">
        <v>-2.1810900000000001E-2</v>
      </c>
      <c r="AV334">
        <f t="shared" si="68"/>
        <v>18.269135802469137</v>
      </c>
      <c r="AW334">
        <f t="shared" si="69"/>
        <v>-0.39305862987654322</v>
      </c>
      <c r="AX334" s="9"/>
      <c r="AY334" s="21">
        <v>1.53152</v>
      </c>
      <c r="AZ334" s="21">
        <v>28.904199999999999</v>
      </c>
      <c r="BA334" s="21">
        <v>-2.6919600000000002E-3</v>
      </c>
      <c r="BB334" s="21">
        <v>324</v>
      </c>
      <c r="BC334" s="21">
        <v>1.5310699999999999</v>
      </c>
      <c r="BD334">
        <f t="shared" si="70"/>
        <v>3.3234074074074074</v>
      </c>
      <c r="BE334">
        <f t="shared" si="71"/>
        <v>5.0898649125925921</v>
      </c>
    </row>
    <row r="335" spans="6:57" x14ac:dyDescent="0.25">
      <c r="F335" s="9"/>
      <c r="G335" s="21">
        <v>-2.6550299999999999E-2</v>
      </c>
      <c r="H335" s="21">
        <v>8.3643999999999998</v>
      </c>
      <c r="I335" s="21">
        <v>-1.4917E-2</v>
      </c>
      <c r="J335" s="21">
        <v>325</v>
      </c>
      <c r="K335" s="21">
        <v>-2.6849399999999999E-2</v>
      </c>
      <c r="L335">
        <f t="shared" si="60"/>
        <v>18.416049382716047</v>
      </c>
      <c r="M335">
        <f t="shared" si="61"/>
        <v>-0.48895163592592583</v>
      </c>
      <c r="N335" s="9"/>
      <c r="O335" s="21">
        <v>1.5365599999999999</v>
      </c>
      <c r="P335" s="21">
        <v>11.8009</v>
      </c>
      <c r="Q335" s="21">
        <v>-2.62451E-3</v>
      </c>
      <c r="R335" s="21">
        <v>325</v>
      </c>
      <c r="S335" s="21">
        <v>1.5362499999999999</v>
      </c>
      <c r="T335">
        <f t="shared" si="62"/>
        <v>3.2401358024691356</v>
      </c>
      <c r="U335">
        <f t="shared" si="63"/>
        <v>4.9786630686419748</v>
      </c>
      <c r="X335" s="9"/>
      <c r="Y335" s="21">
        <v>-2.6550299999999999E-2</v>
      </c>
      <c r="Z335" s="21">
        <v>16.898599999999998</v>
      </c>
      <c r="AA335" s="21">
        <v>-1.48285E-2</v>
      </c>
      <c r="AB335" s="21">
        <v>325</v>
      </c>
      <c r="AC335" s="21">
        <v>-2.6809699999999999E-2</v>
      </c>
      <c r="AD335">
        <f t="shared" si="64"/>
        <v>18.306790123456789</v>
      </c>
      <c r="AE335">
        <f t="shared" si="65"/>
        <v>-0.48605076981481476</v>
      </c>
      <c r="AF335" s="9"/>
      <c r="AG335" s="21">
        <v>1.5365599999999999</v>
      </c>
      <c r="AH335" s="21">
        <v>20.335100000000001</v>
      </c>
      <c r="AI335" s="21">
        <v>-2.3938000000000002E-3</v>
      </c>
      <c r="AJ335" s="21">
        <v>325</v>
      </c>
      <c r="AK335" s="21">
        <v>1.5359499999999999</v>
      </c>
      <c r="AL335">
        <f t="shared" si="66"/>
        <v>2.9553086419753085</v>
      </c>
      <c r="AM335">
        <f t="shared" si="67"/>
        <v>4.5410090469135795</v>
      </c>
      <c r="AP335" s="9"/>
      <c r="AQ335" s="21">
        <v>-2.6550299999999999E-2</v>
      </c>
      <c r="AR335" s="21">
        <v>25.477799999999998</v>
      </c>
      <c r="AS335" s="21">
        <v>-1.4801E-2</v>
      </c>
      <c r="AT335" s="21">
        <v>325</v>
      </c>
      <c r="AU335" s="21">
        <v>-2.6757800000000002E-2</v>
      </c>
      <c r="AV335">
        <f t="shared" si="68"/>
        <v>18.27283950617284</v>
      </c>
      <c r="AW335">
        <f t="shared" si="69"/>
        <v>-0.48514937074074072</v>
      </c>
      <c r="AX335" s="9"/>
      <c r="AY335" s="21">
        <v>1.5365599999999999</v>
      </c>
      <c r="AZ335" s="21">
        <v>28.914300000000001</v>
      </c>
      <c r="BA335" s="21">
        <v>-2.32635E-3</v>
      </c>
      <c r="BB335" s="21">
        <v>325</v>
      </c>
      <c r="BC335" s="21">
        <v>1.5356399999999999</v>
      </c>
      <c r="BD335">
        <f t="shared" si="70"/>
        <v>2.8720370370370372</v>
      </c>
      <c r="BE335">
        <f t="shared" si="71"/>
        <v>4.4130572296296293</v>
      </c>
    </row>
    <row r="336" spans="6:57" x14ac:dyDescent="0.25">
      <c r="F336" s="9"/>
      <c r="G336" s="21">
        <v>-3.1585700000000001E-2</v>
      </c>
      <c r="H336" s="21">
        <v>8.3744700000000005</v>
      </c>
      <c r="I336" s="21">
        <v>-1.4913900000000001E-2</v>
      </c>
      <c r="J336" s="21">
        <v>326</v>
      </c>
      <c r="K336" s="21">
        <v>-3.1903099999999997E-2</v>
      </c>
      <c r="L336">
        <f t="shared" si="60"/>
        <v>18.412222222222223</v>
      </c>
      <c r="M336">
        <f t="shared" si="61"/>
        <v>-0.58156292744444449</v>
      </c>
      <c r="N336" s="9"/>
      <c r="O336" s="21">
        <v>1.5416000000000001</v>
      </c>
      <c r="P336" s="21">
        <v>11.811</v>
      </c>
      <c r="Q336" s="21">
        <v>-2.2058099999999999E-3</v>
      </c>
      <c r="R336" s="21">
        <v>326</v>
      </c>
      <c r="S336" s="21">
        <v>1.5408299999999999</v>
      </c>
      <c r="T336">
        <f t="shared" si="62"/>
        <v>2.7232222222222218</v>
      </c>
      <c r="U336">
        <f t="shared" si="63"/>
        <v>4.1981193777777772</v>
      </c>
      <c r="X336" s="9"/>
      <c r="Y336" s="21">
        <v>-3.1585700000000001E-2</v>
      </c>
      <c r="Z336" s="21">
        <v>16.9087</v>
      </c>
      <c r="AA336" s="21">
        <v>-1.4831499999999999E-2</v>
      </c>
      <c r="AB336" s="21">
        <v>326</v>
      </c>
      <c r="AC336" s="21">
        <v>-3.1936600000000002E-2</v>
      </c>
      <c r="AD336">
        <f t="shared" si="64"/>
        <v>18.310493827160489</v>
      </c>
      <c r="AE336">
        <f t="shared" si="65"/>
        <v>-0.5783497648765431</v>
      </c>
      <c r="AF336" s="9"/>
      <c r="AG336" s="21">
        <v>1.5416000000000001</v>
      </c>
      <c r="AH336" s="21">
        <v>20.345199999999998</v>
      </c>
      <c r="AI336" s="21">
        <v>-2.0031699999999999E-3</v>
      </c>
      <c r="AJ336" s="21">
        <v>326</v>
      </c>
      <c r="AK336" s="21">
        <v>1.5408299999999999</v>
      </c>
      <c r="AL336">
        <f t="shared" si="66"/>
        <v>2.4730493827160491</v>
      </c>
      <c r="AM336">
        <f t="shared" si="67"/>
        <v>3.8124529283950617</v>
      </c>
      <c r="AP336" s="9"/>
      <c r="AQ336" s="21">
        <v>-3.1585700000000001E-2</v>
      </c>
      <c r="AR336" s="21">
        <v>25.4879</v>
      </c>
      <c r="AS336" s="21">
        <v>-1.4804100000000001E-2</v>
      </c>
      <c r="AT336" s="21">
        <v>326</v>
      </c>
      <c r="AU336" s="21">
        <v>-3.1927499999999998E-2</v>
      </c>
      <c r="AV336">
        <f t="shared" si="68"/>
        <v>18.276666666666667</v>
      </c>
      <c r="AW336">
        <f t="shared" si="69"/>
        <v>-0.57728131033333341</v>
      </c>
      <c r="AX336" s="9"/>
      <c r="AY336" s="21">
        <v>1.5416000000000001</v>
      </c>
      <c r="AZ336" s="21">
        <v>28.924399999999999</v>
      </c>
      <c r="BA336" s="21">
        <v>-1.9305399999999999E-3</v>
      </c>
      <c r="BB336" s="21">
        <v>326</v>
      </c>
      <c r="BC336" s="21">
        <v>1.5408299999999999</v>
      </c>
      <c r="BD336">
        <f t="shared" si="70"/>
        <v>2.3833827160493826</v>
      </c>
      <c r="BE336">
        <f t="shared" si="71"/>
        <v>3.6742227950617283</v>
      </c>
    </row>
    <row r="337" spans="6:57" x14ac:dyDescent="0.25">
      <c r="F337" s="9"/>
      <c r="G337" s="21">
        <v>-3.6621099999999997E-2</v>
      </c>
      <c r="H337" s="21">
        <v>8.3845399999999994</v>
      </c>
      <c r="I337" s="21">
        <v>-1.4917E-2</v>
      </c>
      <c r="J337" s="21">
        <v>327</v>
      </c>
      <c r="K337" s="21">
        <v>-3.6929299999999998E-2</v>
      </c>
      <c r="L337">
        <f t="shared" si="60"/>
        <v>18.416049382716047</v>
      </c>
      <c r="M337">
        <f t="shared" si="61"/>
        <v>-0.67441598604938258</v>
      </c>
      <c r="N337" s="9"/>
      <c r="O337" s="21">
        <v>1.5466299999999999</v>
      </c>
      <c r="P337" s="21">
        <v>11.821</v>
      </c>
      <c r="Q337" s="21">
        <v>-1.79199E-3</v>
      </c>
      <c r="R337" s="21">
        <v>327</v>
      </c>
      <c r="S337" s="21">
        <v>1.54633</v>
      </c>
      <c r="T337">
        <f t="shared" si="62"/>
        <v>2.212333333333333</v>
      </c>
      <c r="U337">
        <f t="shared" si="63"/>
        <v>3.4216611033333328</v>
      </c>
      <c r="X337" s="9"/>
      <c r="Y337" s="21">
        <v>-3.6621099999999997E-2</v>
      </c>
      <c r="Z337" s="21">
        <v>16.918700000000001</v>
      </c>
      <c r="AA337" s="21">
        <v>-1.48346E-2</v>
      </c>
      <c r="AB337" s="21">
        <v>327</v>
      </c>
      <c r="AC337" s="21">
        <v>-3.6886599999999999E-2</v>
      </c>
      <c r="AD337">
        <f t="shared" si="64"/>
        <v>18.31432098765432</v>
      </c>
      <c r="AE337">
        <f t="shared" si="65"/>
        <v>-0.67069058032098749</v>
      </c>
      <c r="AF337" s="9"/>
      <c r="AG337" s="21">
        <v>1.5466299999999999</v>
      </c>
      <c r="AH337" s="21">
        <v>20.3553</v>
      </c>
      <c r="AI337" s="21">
        <v>-1.5954599999999999E-3</v>
      </c>
      <c r="AJ337" s="21">
        <v>327</v>
      </c>
      <c r="AK337" s="21">
        <v>1.5466299999999999</v>
      </c>
      <c r="AL337">
        <f t="shared" si="66"/>
        <v>1.9697037037037035</v>
      </c>
      <c r="AM337">
        <f t="shared" si="67"/>
        <v>3.046402839259259</v>
      </c>
      <c r="AP337" s="9"/>
      <c r="AQ337" s="21">
        <v>-3.6621099999999997E-2</v>
      </c>
      <c r="AR337" s="21">
        <v>25.498000000000001</v>
      </c>
      <c r="AS337" s="21">
        <v>-1.48071E-2</v>
      </c>
      <c r="AT337" s="21">
        <v>327</v>
      </c>
      <c r="AU337" s="21">
        <v>-3.6944600000000001E-2</v>
      </c>
      <c r="AV337">
        <f t="shared" si="68"/>
        <v>18.28037037037037</v>
      </c>
      <c r="AW337">
        <f t="shared" si="69"/>
        <v>-0.6694472713703703</v>
      </c>
      <c r="AX337" s="9"/>
      <c r="AY337" s="21">
        <v>1.5466299999999999</v>
      </c>
      <c r="AZ337" s="21">
        <v>28.9344</v>
      </c>
      <c r="BA337" s="21">
        <v>-1.51184E-3</v>
      </c>
      <c r="BB337" s="21">
        <v>327</v>
      </c>
      <c r="BC337" s="21">
        <v>1.54633</v>
      </c>
      <c r="BD337">
        <f t="shared" si="70"/>
        <v>1.866469135802469</v>
      </c>
      <c r="BE337">
        <f t="shared" si="71"/>
        <v>2.8867371595061724</v>
      </c>
    </row>
    <row r="338" spans="6:57" x14ac:dyDescent="0.25">
      <c r="F338" s="9"/>
      <c r="G338" s="21">
        <v>-4.1656499999999999E-2</v>
      </c>
      <c r="H338" s="21">
        <v>8.3946100000000001</v>
      </c>
      <c r="I338" s="21">
        <v>-1.49231E-2</v>
      </c>
      <c r="J338" s="21">
        <v>328</v>
      </c>
      <c r="K338" s="21">
        <v>-4.19678E-2</v>
      </c>
      <c r="L338">
        <f t="shared" si="60"/>
        <v>18.423580246913577</v>
      </c>
      <c r="M338">
        <f t="shared" si="61"/>
        <v>-0.76746187055555537</v>
      </c>
      <c r="N338" s="9"/>
      <c r="O338" s="21">
        <v>1.5516700000000001</v>
      </c>
      <c r="P338" s="21">
        <v>11.831099999999999</v>
      </c>
      <c r="Q338" s="21">
        <v>-1.34918E-3</v>
      </c>
      <c r="R338" s="21">
        <v>328</v>
      </c>
      <c r="S338" s="21">
        <v>1.55121</v>
      </c>
      <c r="T338">
        <f t="shared" si="62"/>
        <v>1.6656543209876542</v>
      </c>
      <c r="U338">
        <f t="shared" si="63"/>
        <v>2.5845458402469137</v>
      </c>
      <c r="X338" s="9"/>
      <c r="Y338" s="21">
        <v>-4.1656499999999999E-2</v>
      </c>
      <c r="Z338" s="21">
        <v>16.928799999999999</v>
      </c>
      <c r="AA338" s="21">
        <v>-1.4843800000000001E-2</v>
      </c>
      <c r="AB338" s="21">
        <v>328</v>
      </c>
      <c r="AC338" s="21">
        <v>-4.1903700000000002E-2</v>
      </c>
      <c r="AD338">
        <f t="shared" si="64"/>
        <v>18.325679012345677</v>
      </c>
      <c r="AE338">
        <f t="shared" si="65"/>
        <v>-0.76338364777777767</v>
      </c>
      <c r="AF338" s="9"/>
      <c r="AG338" s="21">
        <v>1.5516700000000001</v>
      </c>
      <c r="AH338" s="21">
        <v>20.365300000000001</v>
      </c>
      <c r="AI338" s="21">
        <v>-1.1550899999999999E-3</v>
      </c>
      <c r="AJ338" s="21">
        <v>328</v>
      </c>
      <c r="AK338" s="21">
        <v>1.5508999999999999</v>
      </c>
      <c r="AL338">
        <f t="shared" si="66"/>
        <v>1.4260370370370368</v>
      </c>
      <c r="AM338">
        <f t="shared" si="67"/>
        <v>2.212738889259259</v>
      </c>
      <c r="AP338" s="9"/>
      <c r="AQ338" s="21">
        <v>-4.1656499999999999E-2</v>
      </c>
      <c r="AR338" s="21">
        <v>25.507999999999999</v>
      </c>
      <c r="AS338" s="21">
        <v>-1.4810200000000001E-2</v>
      </c>
      <c r="AT338" s="21">
        <v>328</v>
      </c>
      <c r="AU338" s="21">
        <v>-4.20197E-2</v>
      </c>
      <c r="AV338">
        <f t="shared" si="68"/>
        <v>18.284197530864198</v>
      </c>
      <c r="AW338">
        <f t="shared" si="69"/>
        <v>-0.76165567444444449</v>
      </c>
      <c r="AX338" s="9"/>
      <c r="AY338" s="21">
        <v>1.5516700000000001</v>
      </c>
      <c r="AZ338" s="21">
        <v>28.944500000000001</v>
      </c>
      <c r="BA338" s="21">
        <v>-1.0766599999999999E-3</v>
      </c>
      <c r="BB338" s="21">
        <v>328</v>
      </c>
      <c r="BC338" s="21">
        <v>1.5515099999999999</v>
      </c>
      <c r="BD338">
        <f t="shared" si="70"/>
        <v>1.3292098765432097</v>
      </c>
      <c r="BE338">
        <f t="shared" si="71"/>
        <v>2.0624950891358025</v>
      </c>
    </row>
    <row r="339" spans="6:57" x14ac:dyDescent="0.25">
      <c r="F339" s="9"/>
      <c r="G339" s="21">
        <v>-4.6691900000000001E-2</v>
      </c>
      <c r="H339" s="21">
        <v>8.4046800000000008</v>
      </c>
      <c r="I339" s="21">
        <v>-1.4926099999999999E-2</v>
      </c>
      <c r="J339" s="21">
        <v>329</v>
      </c>
      <c r="K339" s="21">
        <v>-4.6929899999999997E-2</v>
      </c>
      <c r="L339">
        <f t="shared" si="60"/>
        <v>18.427283950617284</v>
      </c>
      <c r="M339">
        <f t="shared" si="61"/>
        <v>-0.86040489949382715</v>
      </c>
      <c r="N339" s="9"/>
      <c r="O339" s="21">
        <v>1.5567</v>
      </c>
      <c r="P339" s="21">
        <v>11.841200000000001</v>
      </c>
      <c r="Q339" s="21">
        <v>-8.73718E-4</v>
      </c>
      <c r="R339" s="21">
        <v>329</v>
      </c>
      <c r="S339" s="21">
        <v>1.55609</v>
      </c>
      <c r="T339">
        <f t="shared" si="62"/>
        <v>1.0786641975308642</v>
      </c>
      <c r="U339">
        <f t="shared" si="63"/>
        <v>1.6791565562962962</v>
      </c>
      <c r="X339" s="9"/>
      <c r="Y339" s="21">
        <v>-4.6691900000000001E-2</v>
      </c>
      <c r="Z339" s="21">
        <v>16.9389</v>
      </c>
      <c r="AA339" s="21">
        <v>-1.4849899999999999E-2</v>
      </c>
      <c r="AB339" s="21">
        <v>329</v>
      </c>
      <c r="AC339" s="21">
        <v>-4.7070300000000002E-2</v>
      </c>
      <c r="AD339">
        <f t="shared" si="64"/>
        <v>18.333209876543208</v>
      </c>
      <c r="AE339">
        <f t="shared" si="65"/>
        <v>-0.85601240223456787</v>
      </c>
      <c r="AF339" s="9"/>
      <c r="AG339" s="21">
        <v>1.5567</v>
      </c>
      <c r="AH339" s="21">
        <v>20.375399999999999</v>
      </c>
      <c r="AI339" s="21">
        <v>-7.0251500000000002E-4</v>
      </c>
      <c r="AJ339" s="21">
        <v>329</v>
      </c>
      <c r="AK339" s="21">
        <v>1.55609</v>
      </c>
      <c r="AL339">
        <f t="shared" si="66"/>
        <v>0.86730246913580233</v>
      </c>
      <c r="AM339">
        <f t="shared" si="67"/>
        <v>1.3501297537037034</v>
      </c>
      <c r="AP339" s="9"/>
      <c r="AQ339" s="21">
        <v>-4.6691900000000001E-2</v>
      </c>
      <c r="AR339" s="21">
        <v>25.5181</v>
      </c>
      <c r="AS339" s="21">
        <v>-1.4810200000000001E-2</v>
      </c>
      <c r="AT339" s="21">
        <v>329</v>
      </c>
      <c r="AU339" s="21">
        <v>-4.7073400000000001E-2</v>
      </c>
      <c r="AV339">
        <f t="shared" si="68"/>
        <v>18.284197530864198</v>
      </c>
      <c r="AW339">
        <f t="shared" si="69"/>
        <v>-0.85372392269135811</v>
      </c>
      <c r="AX339" s="9"/>
      <c r="AY339" s="21">
        <v>1.5567</v>
      </c>
      <c r="AZ339" s="21">
        <v>28.954599999999999</v>
      </c>
      <c r="BA339" s="21">
        <v>-6.0455299999999997E-4</v>
      </c>
      <c r="BB339" s="21">
        <v>329</v>
      </c>
      <c r="BC339" s="21">
        <v>1.55609</v>
      </c>
      <c r="BD339">
        <f t="shared" si="70"/>
        <v>0.74636172839506165</v>
      </c>
      <c r="BE339">
        <f t="shared" si="71"/>
        <v>1.1618613025925923</v>
      </c>
    </row>
    <row r="340" spans="6:57" x14ac:dyDescent="0.25">
      <c r="F340" s="9"/>
      <c r="G340" s="21">
        <v>-5.1727299999999997E-2</v>
      </c>
      <c r="H340" s="21">
        <v>8.4147499999999997</v>
      </c>
      <c r="I340" s="21">
        <v>-1.49292E-2</v>
      </c>
      <c r="J340" s="21">
        <v>330</v>
      </c>
      <c r="K340" s="21">
        <v>-5.2215600000000001E-2</v>
      </c>
      <c r="L340">
        <f t="shared" si="60"/>
        <v>18.431111111111111</v>
      </c>
      <c r="M340">
        <f t="shared" si="61"/>
        <v>-0.9533916137777777</v>
      </c>
      <c r="N340" s="9"/>
      <c r="O340" s="21">
        <v>1.5617399999999999</v>
      </c>
      <c r="P340" s="21">
        <v>11.8512</v>
      </c>
      <c r="Q340" s="21">
        <v>-3.8128700000000001E-4</v>
      </c>
      <c r="R340" s="21">
        <v>330</v>
      </c>
      <c r="S340" s="21">
        <v>1.56097</v>
      </c>
      <c r="T340">
        <f t="shared" si="62"/>
        <v>0.47072469135802464</v>
      </c>
      <c r="U340">
        <f t="shared" si="63"/>
        <v>0.73514957948148141</v>
      </c>
      <c r="X340" s="9"/>
      <c r="Y340" s="21">
        <v>-5.1727299999999997E-2</v>
      </c>
      <c r="Z340" s="21">
        <v>16.949000000000002</v>
      </c>
      <c r="AA340" s="21">
        <v>-1.4859000000000001E-2</v>
      </c>
      <c r="AB340" s="21">
        <v>330</v>
      </c>
      <c r="AC340" s="21">
        <v>-5.2185099999999998E-2</v>
      </c>
      <c r="AD340">
        <f t="shared" si="64"/>
        <v>18.344444444444445</v>
      </c>
      <c r="AE340">
        <f t="shared" si="65"/>
        <v>-0.94890858111111109</v>
      </c>
      <c r="AF340" s="9"/>
      <c r="AG340" s="21">
        <v>1.5617399999999999</v>
      </c>
      <c r="AH340" s="21">
        <v>20.3855</v>
      </c>
      <c r="AI340" s="21">
        <v>-2.22382E-4</v>
      </c>
      <c r="AJ340" s="21">
        <v>330</v>
      </c>
      <c r="AK340" s="21">
        <v>1.56128</v>
      </c>
      <c r="AL340">
        <f t="shared" si="66"/>
        <v>0.27454567901234567</v>
      </c>
      <c r="AM340">
        <f t="shared" si="67"/>
        <v>0.42876896874074072</v>
      </c>
      <c r="AP340" s="9"/>
      <c r="AQ340" s="21">
        <v>-5.1727299999999997E-2</v>
      </c>
      <c r="AR340" s="21">
        <v>25.528199999999998</v>
      </c>
      <c r="AS340" s="21">
        <v>-1.4822399999999999E-2</v>
      </c>
      <c r="AT340" s="21">
        <v>330</v>
      </c>
      <c r="AU340" s="21">
        <v>-5.2246099999999997E-2</v>
      </c>
      <c r="AV340">
        <f t="shared" si="68"/>
        <v>18.299259259259259</v>
      </c>
      <c r="AW340">
        <f t="shared" si="69"/>
        <v>-0.9465712734814814</v>
      </c>
      <c r="AX340" s="9"/>
      <c r="AY340" s="21">
        <v>1.5617399999999999</v>
      </c>
      <c r="AZ340" s="21">
        <v>28.964700000000001</v>
      </c>
      <c r="BA340" s="21">
        <v>-1.25E-4</v>
      </c>
      <c r="BB340" s="21">
        <v>330</v>
      </c>
      <c r="BC340" s="21">
        <v>1.56158</v>
      </c>
      <c r="BD340">
        <f t="shared" si="70"/>
        <v>0.15432098765432098</v>
      </c>
      <c r="BE340">
        <f t="shared" si="71"/>
        <v>0.24100925925925923</v>
      </c>
    </row>
    <row r="341" spans="6:57" x14ac:dyDescent="0.25">
      <c r="F341" s="9"/>
      <c r="G341" s="21">
        <v>-5.6762699999999999E-2</v>
      </c>
      <c r="H341" s="21">
        <v>8.4248200000000004</v>
      </c>
      <c r="I341" s="21">
        <v>-1.49353E-2</v>
      </c>
      <c r="J341" s="21">
        <v>331</v>
      </c>
      <c r="K341" s="21">
        <v>-5.7220500000000001E-2</v>
      </c>
      <c r="L341">
        <f t="shared" si="60"/>
        <v>18.438641975308641</v>
      </c>
      <c r="M341">
        <f t="shared" si="61"/>
        <v>-1.0466271028518519</v>
      </c>
      <c r="N341" s="9"/>
      <c r="O341" s="21">
        <v>1.56677</v>
      </c>
      <c r="P341" s="21">
        <v>11.8613</v>
      </c>
      <c r="Q341" s="21">
        <v>1.35864E-4</v>
      </c>
      <c r="R341" s="21">
        <v>331</v>
      </c>
      <c r="S341" s="21">
        <v>1.56647</v>
      </c>
      <c r="T341">
        <f t="shared" si="62"/>
        <v>-0.16773333333333332</v>
      </c>
      <c r="U341">
        <f t="shared" si="63"/>
        <v>-0.26279955466666666</v>
      </c>
      <c r="X341" s="9"/>
      <c r="Y341" s="21">
        <v>-5.6762699999999999E-2</v>
      </c>
      <c r="Z341" s="21">
        <v>16.959</v>
      </c>
      <c r="AA341" s="21">
        <v>-1.48682E-2</v>
      </c>
      <c r="AB341" s="21">
        <v>331</v>
      </c>
      <c r="AC341" s="21">
        <v>-5.7373E-2</v>
      </c>
      <c r="AD341">
        <f t="shared" si="64"/>
        <v>18.355802469135799</v>
      </c>
      <c r="AE341">
        <f t="shared" si="65"/>
        <v>-1.0419249088148146</v>
      </c>
      <c r="AF341" s="9"/>
      <c r="AG341" s="21">
        <v>1.56677</v>
      </c>
      <c r="AH341" s="21">
        <v>20.395600000000002</v>
      </c>
      <c r="AI341" s="21">
        <v>3.0050699999999999E-4</v>
      </c>
      <c r="AJ341" s="21">
        <v>331</v>
      </c>
      <c r="AK341" s="21">
        <v>1.56586</v>
      </c>
      <c r="AL341">
        <f t="shared" si="66"/>
        <v>-0.37099629629629627</v>
      </c>
      <c r="AM341">
        <f t="shared" si="67"/>
        <v>-0.5812658671481481</v>
      </c>
      <c r="AP341" s="9"/>
      <c r="AQ341" s="21">
        <v>-5.6762699999999999E-2</v>
      </c>
      <c r="AR341" s="21">
        <v>25.5382</v>
      </c>
      <c r="AS341" s="21">
        <v>-1.4831499999999999E-2</v>
      </c>
      <c r="AT341" s="21">
        <v>331</v>
      </c>
      <c r="AU341" s="21">
        <v>-5.7342499999999998E-2</v>
      </c>
      <c r="AV341">
        <f t="shared" si="68"/>
        <v>18.310493827160489</v>
      </c>
      <c r="AW341">
        <f t="shared" si="69"/>
        <v>-1.0393530679629626</v>
      </c>
      <c r="AX341" s="9"/>
      <c r="AY341" s="21">
        <v>1.56677</v>
      </c>
      <c r="AZ341" s="21">
        <v>28.974699999999999</v>
      </c>
      <c r="BA341" s="21">
        <v>4.0396099999999999E-4</v>
      </c>
      <c r="BB341" s="21">
        <v>331</v>
      </c>
      <c r="BC341" s="21">
        <v>1.56677</v>
      </c>
      <c r="BD341">
        <f t="shared" si="70"/>
        <v>-0.49871728395061721</v>
      </c>
      <c r="BE341">
        <f t="shared" si="71"/>
        <v>-0.78137527897530856</v>
      </c>
    </row>
    <row r="342" spans="6:57" x14ac:dyDescent="0.25">
      <c r="F342" s="9"/>
      <c r="G342" s="21">
        <v>-6.1798100000000002E-2</v>
      </c>
      <c r="H342" s="21">
        <v>8.4348899999999993</v>
      </c>
      <c r="I342" s="21">
        <v>-1.4944499999999999E-2</v>
      </c>
      <c r="J342" s="21">
        <v>332</v>
      </c>
      <c r="K342" s="21">
        <v>-6.2286399999999999E-2</v>
      </c>
      <c r="L342">
        <f t="shared" si="60"/>
        <v>18.45</v>
      </c>
      <c r="M342">
        <f t="shared" si="61"/>
        <v>-1.1401749450000001</v>
      </c>
      <c r="N342" s="9"/>
      <c r="O342" s="21">
        <v>1.5718099999999999</v>
      </c>
      <c r="P342" s="21">
        <v>11.8714</v>
      </c>
      <c r="Q342" s="21">
        <v>6.9335899999999995E-4</v>
      </c>
      <c r="R342" s="21">
        <v>332</v>
      </c>
      <c r="S342" s="21">
        <v>1.57043</v>
      </c>
      <c r="T342">
        <f t="shared" si="62"/>
        <v>-0.85599876543209863</v>
      </c>
      <c r="U342">
        <f t="shared" si="63"/>
        <v>-1.345467419493827</v>
      </c>
      <c r="X342" s="9"/>
      <c r="Y342" s="21">
        <v>-6.1798100000000002E-2</v>
      </c>
      <c r="Z342" s="21">
        <v>16.969100000000001</v>
      </c>
      <c r="AA342" s="21">
        <v>-1.48743E-2</v>
      </c>
      <c r="AB342" s="21">
        <v>332</v>
      </c>
      <c r="AC342" s="21">
        <v>-6.2347399999999997E-2</v>
      </c>
      <c r="AD342">
        <f t="shared" si="64"/>
        <v>18.363333333333333</v>
      </c>
      <c r="AE342">
        <f t="shared" si="65"/>
        <v>-1.1348191096666667</v>
      </c>
      <c r="AF342" s="9"/>
      <c r="AG342" s="21">
        <v>1.5718099999999999</v>
      </c>
      <c r="AH342" s="21">
        <v>20.4056</v>
      </c>
      <c r="AI342" s="21">
        <v>8.2672099999999999E-4</v>
      </c>
      <c r="AJ342" s="21">
        <v>332</v>
      </c>
      <c r="AK342" s="21">
        <v>1.57074</v>
      </c>
      <c r="AL342">
        <f t="shared" si="66"/>
        <v>-1.0206432098765432</v>
      </c>
      <c r="AM342">
        <f t="shared" si="67"/>
        <v>-1.6042572037160494</v>
      </c>
      <c r="AP342" s="9"/>
      <c r="AQ342" s="21">
        <v>-6.1798100000000002E-2</v>
      </c>
      <c r="AR342" s="21">
        <v>25.548300000000001</v>
      </c>
      <c r="AS342" s="21">
        <v>-1.48346E-2</v>
      </c>
      <c r="AT342" s="21">
        <v>332</v>
      </c>
      <c r="AU342" s="21">
        <v>-6.2347399999999997E-2</v>
      </c>
      <c r="AV342">
        <f t="shared" si="68"/>
        <v>18.31432098765432</v>
      </c>
      <c r="AW342">
        <f t="shared" si="69"/>
        <v>-1.1317902398271604</v>
      </c>
      <c r="AX342" s="9"/>
      <c r="AY342" s="21">
        <v>1.5718099999999999</v>
      </c>
      <c r="AZ342" s="21">
        <v>28.9848</v>
      </c>
      <c r="BA342" s="21">
        <v>9.5611600000000002E-4</v>
      </c>
      <c r="BB342" s="21">
        <v>332</v>
      </c>
      <c r="BC342" s="21">
        <v>1.57135</v>
      </c>
      <c r="BD342">
        <f t="shared" si="70"/>
        <v>-1.18039012345679</v>
      </c>
      <c r="BE342">
        <f t="shared" si="71"/>
        <v>-1.855348999950617</v>
      </c>
    </row>
    <row r="343" spans="6:57" x14ac:dyDescent="0.25">
      <c r="F343" s="9"/>
      <c r="G343" s="21">
        <v>-6.6833500000000004E-2</v>
      </c>
      <c r="H343" s="21">
        <v>8.4449699999999996</v>
      </c>
      <c r="I343" s="21">
        <v>-1.4953599999999999E-2</v>
      </c>
      <c r="J343" s="21">
        <v>333</v>
      </c>
      <c r="K343" s="21">
        <v>-6.7352300000000004E-2</v>
      </c>
      <c r="L343">
        <f t="shared" si="60"/>
        <v>18.461234567901233</v>
      </c>
      <c r="M343">
        <f t="shared" si="61"/>
        <v>-1.2338289204938271</v>
      </c>
      <c r="N343" s="9"/>
      <c r="O343" s="21">
        <v>1.57684</v>
      </c>
      <c r="P343" s="21">
        <v>11.881500000000001</v>
      </c>
      <c r="Q343" s="21">
        <v>1.3034100000000001E-3</v>
      </c>
      <c r="R343" s="21">
        <v>333</v>
      </c>
      <c r="S343" s="21">
        <v>1.5759300000000001</v>
      </c>
      <c r="T343">
        <f t="shared" si="62"/>
        <v>-1.6091481481481482</v>
      </c>
      <c r="U343">
        <f t="shared" si="63"/>
        <v>-2.5373691659259259</v>
      </c>
      <c r="X343" s="9"/>
      <c r="Y343" s="21">
        <v>-6.6833500000000004E-2</v>
      </c>
      <c r="Z343" s="21">
        <v>16.979199999999999</v>
      </c>
      <c r="AA343" s="21">
        <v>-1.48773E-2</v>
      </c>
      <c r="AB343" s="21">
        <v>333</v>
      </c>
      <c r="AC343" s="21">
        <v>-6.7321800000000001E-2</v>
      </c>
      <c r="AD343">
        <f t="shared" si="64"/>
        <v>18.367037037037036</v>
      </c>
      <c r="AE343">
        <f t="shared" si="65"/>
        <v>-1.2275333698148148</v>
      </c>
      <c r="AF343" s="9"/>
      <c r="AG343" s="21">
        <v>1.57684</v>
      </c>
      <c r="AH343" s="21">
        <v>20.415700000000001</v>
      </c>
      <c r="AI343" s="21">
        <v>1.4276099999999999E-3</v>
      </c>
      <c r="AJ343" s="21">
        <v>333</v>
      </c>
      <c r="AK343" s="21">
        <v>1.57623</v>
      </c>
      <c r="AL343">
        <f t="shared" si="66"/>
        <v>-1.7624814814814813</v>
      </c>
      <c r="AM343">
        <f t="shared" si="67"/>
        <v>-2.7791512992592589</v>
      </c>
      <c r="AP343" s="9"/>
      <c r="AQ343" s="21">
        <v>-6.6833500000000004E-2</v>
      </c>
      <c r="AR343" s="21">
        <v>25.558399999999999</v>
      </c>
      <c r="AS343" s="21">
        <v>-1.48407E-2</v>
      </c>
      <c r="AT343" s="21">
        <v>333</v>
      </c>
      <c r="AU343" s="21">
        <v>-6.7352300000000004E-2</v>
      </c>
      <c r="AV343">
        <f t="shared" si="68"/>
        <v>18.32185185185185</v>
      </c>
      <c r="AW343">
        <f t="shared" si="69"/>
        <v>-1.2245134857407407</v>
      </c>
      <c r="AX343" s="9"/>
      <c r="AY343" s="21">
        <v>1.57684</v>
      </c>
      <c r="AZ343" s="21">
        <v>28.994900000000001</v>
      </c>
      <c r="BA343" s="21">
        <v>1.5692099999999999E-3</v>
      </c>
      <c r="BB343" s="21">
        <v>333</v>
      </c>
      <c r="BC343" s="21">
        <v>1.5765400000000001</v>
      </c>
      <c r="BD343">
        <f t="shared" si="70"/>
        <v>-1.9372962962962961</v>
      </c>
      <c r="BE343">
        <f t="shared" si="71"/>
        <v>-3.0548062918518517</v>
      </c>
    </row>
    <row r="344" spans="6:57" x14ac:dyDescent="0.25">
      <c r="F344" s="9"/>
      <c r="G344" s="21">
        <v>-7.1868899999999999E-2</v>
      </c>
      <c r="H344" s="21">
        <v>8.4550400000000003</v>
      </c>
      <c r="I344" s="21">
        <v>-1.4959699999999999E-2</v>
      </c>
      <c r="J344" s="21">
        <v>334</v>
      </c>
      <c r="K344" s="21">
        <v>-7.2326699999999994E-2</v>
      </c>
      <c r="L344">
        <f t="shared" si="60"/>
        <v>18.468765432098763</v>
      </c>
      <c r="M344">
        <f t="shared" si="61"/>
        <v>-1.3273298559629627</v>
      </c>
      <c r="N344" s="9"/>
      <c r="O344" s="21">
        <v>1.58188</v>
      </c>
      <c r="P344" s="21">
        <v>11.891500000000001</v>
      </c>
      <c r="Q344" s="21">
        <v>1.9186400000000001E-3</v>
      </c>
      <c r="R344" s="21">
        <v>334</v>
      </c>
      <c r="S344" s="21">
        <v>1.58081</v>
      </c>
      <c r="T344">
        <f t="shared" si="62"/>
        <v>-2.3686913580246913</v>
      </c>
      <c r="U344">
        <f t="shared" si="63"/>
        <v>-3.7469854854320985</v>
      </c>
      <c r="X344" s="9"/>
      <c r="Y344" s="21">
        <v>-7.1868899999999999E-2</v>
      </c>
      <c r="Z344" s="21">
        <v>16.9892</v>
      </c>
      <c r="AA344" s="21">
        <v>-1.48804E-2</v>
      </c>
      <c r="AB344" s="21">
        <v>334</v>
      </c>
      <c r="AC344" s="21">
        <v>-7.2326699999999994E-2</v>
      </c>
      <c r="AD344">
        <f t="shared" si="64"/>
        <v>18.370864197530864</v>
      </c>
      <c r="AE344">
        <f t="shared" si="65"/>
        <v>-1.3202938019259258</v>
      </c>
      <c r="AF344" s="9"/>
      <c r="AG344" s="21">
        <v>1.58188</v>
      </c>
      <c r="AH344" s="21">
        <v>20.425799999999999</v>
      </c>
      <c r="AI344" s="21">
        <v>2.03644E-3</v>
      </c>
      <c r="AJ344" s="21">
        <v>334</v>
      </c>
      <c r="AK344" s="21">
        <v>1.58142</v>
      </c>
      <c r="AL344">
        <f t="shared" si="66"/>
        <v>-2.5141234567901232</v>
      </c>
      <c r="AM344">
        <f t="shared" si="67"/>
        <v>-3.97704161382716</v>
      </c>
      <c r="AP344" s="9"/>
      <c r="AQ344" s="21">
        <v>-7.1868899999999999E-2</v>
      </c>
      <c r="AR344" s="21">
        <v>25.5685</v>
      </c>
      <c r="AS344" s="21">
        <v>-1.48407E-2</v>
      </c>
      <c r="AT344" s="21">
        <v>334</v>
      </c>
      <c r="AU344" s="21">
        <v>-7.2326699999999994E-2</v>
      </c>
      <c r="AV344">
        <f t="shared" si="68"/>
        <v>18.32185185185185</v>
      </c>
      <c r="AW344">
        <f t="shared" si="69"/>
        <v>-1.3167713385555555</v>
      </c>
      <c r="AX344" s="9"/>
      <c r="AY344" s="21">
        <v>1.58188</v>
      </c>
      <c r="AZ344" s="21">
        <v>29.004899999999999</v>
      </c>
      <c r="BA344" s="21">
        <v>2.19543E-3</v>
      </c>
      <c r="BB344" s="21">
        <v>334</v>
      </c>
      <c r="BC344" s="21">
        <v>1.5811200000000001</v>
      </c>
      <c r="BD344">
        <f t="shared" si="70"/>
        <v>-2.7104074074074069</v>
      </c>
      <c r="BE344">
        <f t="shared" si="71"/>
        <v>-4.2875392696296286</v>
      </c>
    </row>
    <row r="345" spans="6:57" x14ac:dyDescent="0.25">
      <c r="F345" s="9"/>
      <c r="G345" s="21">
        <v>-7.6904299999999995E-2</v>
      </c>
      <c r="H345" s="21">
        <v>8.4651099999999992</v>
      </c>
      <c r="I345" s="21">
        <v>-1.49658E-2</v>
      </c>
      <c r="J345" s="21">
        <v>335</v>
      </c>
      <c r="K345" s="21">
        <v>-7.7392600000000006E-2</v>
      </c>
      <c r="L345">
        <f t="shared" si="60"/>
        <v>18.476296296296297</v>
      </c>
      <c r="M345">
        <f t="shared" si="61"/>
        <v>-1.4209066332592593</v>
      </c>
      <c r="N345" s="9"/>
      <c r="O345" s="21">
        <v>1.58691</v>
      </c>
      <c r="P345" s="21">
        <v>11.9016</v>
      </c>
      <c r="Q345" s="21">
        <v>2.6022300000000001E-3</v>
      </c>
      <c r="R345" s="21">
        <v>335</v>
      </c>
      <c r="S345" s="21">
        <v>1.5860000000000001</v>
      </c>
      <c r="T345">
        <f t="shared" si="62"/>
        <v>-3.2126296296296295</v>
      </c>
      <c r="U345">
        <f t="shared" si="63"/>
        <v>-5.0981540855555556</v>
      </c>
      <c r="X345" s="9"/>
      <c r="Y345" s="21">
        <v>-7.6904299999999995E-2</v>
      </c>
      <c r="Z345" s="21">
        <v>16.999300000000002</v>
      </c>
      <c r="AA345" s="21">
        <v>-1.48834E-2</v>
      </c>
      <c r="AB345" s="21">
        <v>335</v>
      </c>
      <c r="AC345" s="21">
        <v>-7.7423099999999995E-2</v>
      </c>
      <c r="AD345">
        <f t="shared" si="64"/>
        <v>18.374567901234567</v>
      </c>
      <c r="AE345">
        <f t="shared" si="65"/>
        <v>-1.4130832822469135</v>
      </c>
      <c r="AF345" s="9"/>
      <c r="AG345" s="21">
        <v>1.58691</v>
      </c>
      <c r="AH345" s="21">
        <v>20.4358</v>
      </c>
      <c r="AI345" s="21">
        <v>2.7127100000000001E-3</v>
      </c>
      <c r="AJ345" s="21">
        <v>335</v>
      </c>
      <c r="AK345" s="21">
        <v>1.5866100000000001</v>
      </c>
      <c r="AL345">
        <f t="shared" si="66"/>
        <v>-3.3490246913580246</v>
      </c>
      <c r="AM345">
        <f t="shared" si="67"/>
        <v>-5.3146007729629634</v>
      </c>
      <c r="AP345" s="9"/>
      <c r="AQ345" s="21">
        <v>-7.6904299999999995E-2</v>
      </c>
      <c r="AR345" s="21">
        <v>25.578499999999998</v>
      </c>
      <c r="AS345" s="21">
        <v>-1.4843800000000001E-2</v>
      </c>
      <c r="AT345" s="21">
        <v>335</v>
      </c>
      <c r="AU345" s="21">
        <v>-7.7423099999999995E-2</v>
      </c>
      <c r="AV345">
        <f t="shared" si="68"/>
        <v>18.325679012345677</v>
      </c>
      <c r="AW345">
        <f t="shared" si="69"/>
        <v>-1.4093235164691356</v>
      </c>
      <c r="AX345" s="9"/>
      <c r="AY345" s="21">
        <v>1.58691</v>
      </c>
      <c r="AZ345" s="21">
        <v>29.015000000000001</v>
      </c>
      <c r="BA345" s="21">
        <v>2.9000900000000001E-3</v>
      </c>
      <c r="BB345" s="21">
        <v>335</v>
      </c>
      <c r="BC345" s="21">
        <v>1.5866100000000001</v>
      </c>
      <c r="BD345">
        <f t="shared" si="70"/>
        <v>-3.5803580246913578</v>
      </c>
      <c r="BE345">
        <f t="shared" si="71"/>
        <v>-5.6817059529629628</v>
      </c>
    </row>
    <row r="346" spans="6:57" x14ac:dyDescent="0.25">
      <c r="F346" s="9"/>
      <c r="G346" s="21">
        <v>-8.1939700000000004E-2</v>
      </c>
      <c r="H346" s="21">
        <v>8.4751799999999999</v>
      </c>
      <c r="I346" s="21">
        <v>-1.49658E-2</v>
      </c>
      <c r="J346" s="21">
        <v>336</v>
      </c>
      <c r="K346" s="21">
        <v>-8.2519499999999996E-2</v>
      </c>
      <c r="L346">
        <f t="shared" si="60"/>
        <v>18.476296296296297</v>
      </c>
      <c r="M346">
        <f t="shared" si="61"/>
        <v>-1.5139421756296298</v>
      </c>
      <c r="N346" s="9"/>
      <c r="O346" s="21">
        <v>1.59195</v>
      </c>
      <c r="P346" s="21">
        <v>11.9117</v>
      </c>
      <c r="Q346" s="21">
        <v>3.3367900000000001E-3</v>
      </c>
      <c r="R346" s="21">
        <v>336</v>
      </c>
      <c r="S346" s="21">
        <v>1.5918000000000001</v>
      </c>
      <c r="T346">
        <f t="shared" si="62"/>
        <v>-4.1194938271604942</v>
      </c>
      <c r="U346">
        <f t="shared" si="63"/>
        <v>-6.5580281981481487</v>
      </c>
      <c r="X346" s="9"/>
      <c r="Y346" s="21">
        <v>-8.1939700000000004E-2</v>
      </c>
      <c r="Z346" s="21">
        <v>17.009399999999999</v>
      </c>
      <c r="AA346" s="21">
        <v>-1.48895E-2</v>
      </c>
      <c r="AB346" s="21">
        <v>336</v>
      </c>
      <c r="AC346" s="21">
        <v>-8.2519499999999996E-2</v>
      </c>
      <c r="AD346">
        <f t="shared" si="64"/>
        <v>18.382098765432101</v>
      </c>
      <c r="AE346">
        <f t="shared" si="65"/>
        <v>-1.5062236582098767</v>
      </c>
      <c r="AF346" s="9"/>
      <c r="AG346" s="21">
        <v>1.59195</v>
      </c>
      <c r="AH346" s="21">
        <v>20.445900000000002</v>
      </c>
      <c r="AI346" s="21">
        <v>3.4396399999999999E-3</v>
      </c>
      <c r="AJ346" s="21">
        <v>336</v>
      </c>
      <c r="AK346" s="21">
        <v>1.5908800000000001</v>
      </c>
      <c r="AL346">
        <f t="shared" si="66"/>
        <v>-4.2464691358024682</v>
      </c>
      <c r="AM346">
        <f t="shared" si="67"/>
        <v>-6.7601665407407392</v>
      </c>
      <c r="AP346" s="9"/>
      <c r="AQ346" s="21">
        <v>-8.1939700000000004E-2</v>
      </c>
      <c r="AR346" s="21">
        <v>25.5886</v>
      </c>
      <c r="AS346" s="21">
        <v>-1.48529E-2</v>
      </c>
      <c r="AT346" s="21">
        <v>336</v>
      </c>
      <c r="AU346" s="21">
        <v>-8.2519499999999996E-2</v>
      </c>
      <c r="AV346">
        <f t="shared" si="68"/>
        <v>18.336913580246915</v>
      </c>
      <c r="AW346">
        <f t="shared" si="69"/>
        <v>-1.5025211976913582</v>
      </c>
      <c r="AX346" s="9"/>
      <c r="AY346" s="21">
        <v>1.59195</v>
      </c>
      <c r="AZ346" s="21">
        <v>29.025099999999998</v>
      </c>
      <c r="BA346" s="21">
        <v>3.6578399999999999E-3</v>
      </c>
      <c r="BB346" s="21">
        <v>336</v>
      </c>
      <c r="BC346" s="21">
        <v>1.5908800000000001</v>
      </c>
      <c r="BD346">
        <f t="shared" si="70"/>
        <v>-4.5158518518518518</v>
      </c>
      <c r="BE346">
        <f t="shared" si="71"/>
        <v>-7.1890103555555553</v>
      </c>
    </row>
    <row r="347" spans="6:57" x14ac:dyDescent="0.25">
      <c r="F347" s="9"/>
      <c r="G347" s="21">
        <v>-8.69751E-2</v>
      </c>
      <c r="H347" s="21">
        <v>8.4852500000000006</v>
      </c>
      <c r="I347" s="21">
        <v>-1.49689E-2</v>
      </c>
      <c r="J347" s="21">
        <v>337</v>
      </c>
      <c r="K347" s="21">
        <v>-8.7432899999999994E-2</v>
      </c>
      <c r="L347">
        <f t="shared" si="60"/>
        <v>18.480123456790125</v>
      </c>
      <c r="M347">
        <f t="shared" si="61"/>
        <v>-1.6073105856666667</v>
      </c>
      <c r="N347" s="9"/>
      <c r="O347" s="21">
        <v>1.5969800000000001</v>
      </c>
      <c r="P347" s="21">
        <v>11.9217</v>
      </c>
      <c r="Q347" s="21">
        <v>4.1171300000000001E-3</v>
      </c>
      <c r="R347" s="21">
        <v>337</v>
      </c>
      <c r="S347" s="21">
        <v>1.5963700000000001</v>
      </c>
      <c r="T347">
        <f t="shared" si="62"/>
        <v>-5.0828765432098768</v>
      </c>
      <c r="U347">
        <f t="shared" si="63"/>
        <v>-8.1172521819753101</v>
      </c>
      <c r="X347" s="9"/>
      <c r="Y347" s="21">
        <v>-8.69751E-2</v>
      </c>
      <c r="Z347" s="21">
        <v>17.019500000000001</v>
      </c>
      <c r="AA347" s="21">
        <v>-1.4892600000000001E-2</v>
      </c>
      <c r="AB347" s="21">
        <v>337</v>
      </c>
      <c r="AC347" s="21">
        <v>-8.7524400000000002E-2</v>
      </c>
      <c r="AD347">
        <f t="shared" si="64"/>
        <v>18.385925925925928</v>
      </c>
      <c r="AE347">
        <f t="shared" si="65"/>
        <v>-1.5991177460000001</v>
      </c>
      <c r="AF347" s="9"/>
      <c r="AG347" s="21">
        <v>1.5969800000000001</v>
      </c>
      <c r="AH347" s="21">
        <v>20.456</v>
      </c>
      <c r="AI347" s="21">
        <v>4.2416399999999996E-3</v>
      </c>
      <c r="AJ347" s="21">
        <v>337</v>
      </c>
      <c r="AK347" s="21">
        <v>1.5963700000000001</v>
      </c>
      <c r="AL347">
        <f t="shared" si="66"/>
        <v>-5.2365925925925918</v>
      </c>
      <c r="AM347">
        <f t="shared" si="67"/>
        <v>-8.3627336385185185</v>
      </c>
      <c r="AP347" s="9"/>
      <c r="AQ347" s="21">
        <v>-8.69751E-2</v>
      </c>
      <c r="AR347" s="21">
        <v>25.598700000000001</v>
      </c>
      <c r="AS347" s="21">
        <v>-1.4855999999999999E-2</v>
      </c>
      <c r="AT347" s="21">
        <v>337</v>
      </c>
      <c r="AU347" s="21">
        <v>-8.7524400000000002E-2</v>
      </c>
      <c r="AV347">
        <f t="shared" si="68"/>
        <v>18.340740740740738</v>
      </c>
      <c r="AW347">
        <f t="shared" si="69"/>
        <v>-1.5951877599999997</v>
      </c>
      <c r="AX347" s="9"/>
      <c r="AY347" s="21">
        <v>1.5969800000000001</v>
      </c>
      <c r="AZ347" s="21">
        <v>29.0352</v>
      </c>
      <c r="BA347" s="21">
        <v>4.4634999999999996E-3</v>
      </c>
      <c r="BB347" s="21">
        <v>337</v>
      </c>
      <c r="BC347" s="21">
        <v>1.5966800000000001</v>
      </c>
      <c r="BD347">
        <f t="shared" si="70"/>
        <v>-5.5104938271604933</v>
      </c>
      <c r="BE347">
        <f t="shared" si="71"/>
        <v>-8.8001484320987657</v>
      </c>
    </row>
    <row r="348" spans="6:57" x14ac:dyDescent="0.25">
      <c r="F348" s="9"/>
      <c r="G348" s="21">
        <v>-9.2010499999999995E-2</v>
      </c>
      <c r="H348" s="21">
        <v>8.4953199999999995</v>
      </c>
      <c r="I348" s="21">
        <v>-1.49719E-2</v>
      </c>
      <c r="J348" s="21">
        <v>338</v>
      </c>
      <c r="K348" s="21">
        <v>-9.2468300000000003E-2</v>
      </c>
      <c r="L348">
        <f t="shared" si="60"/>
        <v>18.483827160493824</v>
      </c>
      <c r="M348">
        <f t="shared" si="61"/>
        <v>-1.7007061789506168</v>
      </c>
      <c r="N348" s="9"/>
      <c r="O348" s="21">
        <v>1.60202</v>
      </c>
      <c r="P348" s="21">
        <v>11.931800000000001</v>
      </c>
      <c r="Q348" s="21">
        <v>4.9768099999999999E-3</v>
      </c>
      <c r="R348" s="21">
        <v>338</v>
      </c>
      <c r="S348" s="21">
        <v>1.6012599999999999</v>
      </c>
      <c r="T348">
        <f t="shared" si="62"/>
        <v>-6.1442098765432087</v>
      </c>
      <c r="U348">
        <f t="shared" si="63"/>
        <v>-9.8431471064197513</v>
      </c>
      <c r="X348" s="9"/>
      <c r="Y348" s="21">
        <v>-9.2010499999999995E-2</v>
      </c>
      <c r="Z348" s="21">
        <v>17.029499999999999</v>
      </c>
      <c r="AA348" s="21">
        <v>-1.4892600000000001E-2</v>
      </c>
      <c r="AB348" s="21">
        <v>338</v>
      </c>
      <c r="AC348" s="21">
        <v>-9.25903E-2</v>
      </c>
      <c r="AD348">
        <f t="shared" si="64"/>
        <v>18.385925925925928</v>
      </c>
      <c r="AE348">
        <f t="shared" si="65"/>
        <v>-1.6916982374074074</v>
      </c>
      <c r="AF348" s="9"/>
      <c r="AG348" s="21">
        <v>1.60202</v>
      </c>
      <c r="AH348" s="21">
        <v>20.466100000000001</v>
      </c>
      <c r="AI348" s="21">
        <v>5.1086400000000002E-3</v>
      </c>
      <c r="AJ348" s="21">
        <v>338</v>
      </c>
      <c r="AK348" s="21">
        <v>1.6012599999999999</v>
      </c>
      <c r="AL348">
        <f t="shared" si="66"/>
        <v>-6.3069629629629631</v>
      </c>
      <c r="AM348">
        <f t="shared" si="67"/>
        <v>-10.103880805925925</v>
      </c>
      <c r="AP348" s="9"/>
      <c r="AQ348" s="21">
        <v>-9.2010499999999995E-2</v>
      </c>
      <c r="AR348" s="21">
        <v>25.608699999999999</v>
      </c>
      <c r="AS348" s="21">
        <v>-1.4855999999999999E-2</v>
      </c>
      <c r="AT348" s="21">
        <v>338</v>
      </c>
      <c r="AU348" s="21">
        <v>-9.2620800000000003E-2</v>
      </c>
      <c r="AV348">
        <f t="shared" si="68"/>
        <v>18.340740740740738</v>
      </c>
      <c r="AW348">
        <f t="shared" si="69"/>
        <v>-1.6875407259259256</v>
      </c>
      <c r="AX348" s="9"/>
      <c r="AY348" s="21">
        <v>1.60202</v>
      </c>
      <c r="AZ348" s="21">
        <v>29.045200000000001</v>
      </c>
      <c r="BA348" s="21">
        <v>5.3527799999999997E-3</v>
      </c>
      <c r="BB348" s="21">
        <v>338</v>
      </c>
      <c r="BC348" s="21">
        <v>1.6018699999999999</v>
      </c>
      <c r="BD348">
        <f t="shared" si="70"/>
        <v>-6.6083703703703698</v>
      </c>
      <c r="BE348">
        <f t="shared" si="71"/>
        <v>-10.586741500740739</v>
      </c>
    </row>
    <row r="349" spans="6:57" x14ac:dyDescent="0.25">
      <c r="F349" s="9"/>
      <c r="G349" s="21">
        <v>-9.7045900000000004E-2</v>
      </c>
      <c r="H349" s="21">
        <v>8.5053900000000002</v>
      </c>
      <c r="I349" s="21">
        <v>-1.49719E-2</v>
      </c>
      <c r="J349" s="21">
        <v>339</v>
      </c>
      <c r="K349" s="21">
        <v>-9.7595199999999993E-2</v>
      </c>
      <c r="L349">
        <f t="shared" si="60"/>
        <v>18.483827160493824</v>
      </c>
      <c r="M349">
        <f t="shared" si="61"/>
        <v>-1.7937796422345678</v>
      </c>
      <c r="N349" s="9"/>
      <c r="O349" s="21">
        <v>1.6070599999999999</v>
      </c>
      <c r="P349" s="21">
        <v>11.9419</v>
      </c>
      <c r="Q349" s="21">
        <v>5.8807399999999998E-3</v>
      </c>
      <c r="R349" s="21">
        <v>339</v>
      </c>
      <c r="S349" s="21">
        <v>1.6064499999999999</v>
      </c>
      <c r="T349">
        <f t="shared" si="62"/>
        <v>-7.260172839506172</v>
      </c>
      <c r="U349">
        <f t="shared" si="63"/>
        <v>-11.667533363456789</v>
      </c>
      <c r="X349" s="9"/>
      <c r="Y349" s="21">
        <v>-9.7045900000000004E-2</v>
      </c>
      <c r="Z349" s="21">
        <v>17.0396</v>
      </c>
      <c r="AA349" s="21">
        <v>-1.4892600000000001E-2</v>
      </c>
      <c r="AB349" s="21">
        <v>339</v>
      </c>
      <c r="AC349" s="21">
        <v>-9.7595199999999993E-2</v>
      </c>
      <c r="AD349">
        <f t="shared" si="64"/>
        <v>18.385925925925928</v>
      </c>
      <c r="AE349">
        <f t="shared" si="65"/>
        <v>-1.7842787288148152</v>
      </c>
      <c r="AF349" s="9"/>
      <c r="AG349" s="21">
        <v>1.6070599999999999</v>
      </c>
      <c r="AH349" s="21">
        <v>20.476099999999999</v>
      </c>
      <c r="AI349" s="21">
        <v>6.0607899999999999E-3</v>
      </c>
      <c r="AJ349" s="21">
        <v>339</v>
      </c>
      <c r="AK349" s="21">
        <v>1.6058300000000001</v>
      </c>
      <c r="AL349">
        <f t="shared" si="66"/>
        <v>-7.4824567901234564</v>
      </c>
      <c r="AM349">
        <f t="shared" si="67"/>
        <v>-12.024757009135801</v>
      </c>
      <c r="AP349" s="9"/>
      <c r="AQ349" s="21">
        <v>-9.7045900000000004E-2</v>
      </c>
      <c r="AR349" s="21">
        <v>25.6188</v>
      </c>
      <c r="AS349" s="21">
        <v>-1.4859000000000001E-2</v>
      </c>
      <c r="AT349" s="21">
        <v>339</v>
      </c>
      <c r="AU349" s="21">
        <v>-9.7503699999999999E-2</v>
      </c>
      <c r="AV349">
        <f t="shared" si="68"/>
        <v>18.344444444444445</v>
      </c>
      <c r="AW349">
        <f t="shared" si="69"/>
        <v>-1.7802531211111112</v>
      </c>
      <c r="AX349" s="9"/>
      <c r="AY349" s="21">
        <v>1.6070599999999999</v>
      </c>
      <c r="AZ349" s="21">
        <v>29.055299999999999</v>
      </c>
      <c r="BA349" s="21">
        <v>6.3445999999999997E-3</v>
      </c>
      <c r="BB349" s="21">
        <v>339</v>
      </c>
      <c r="BC349" s="21">
        <v>1.6067499999999999</v>
      </c>
      <c r="BD349">
        <f t="shared" si="70"/>
        <v>-7.8328395061728395</v>
      </c>
      <c r="BE349">
        <f t="shared" si="71"/>
        <v>-12.587843056790122</v>
      </c>
    </row>
    <row r="350" spans="6:57" x14ac:dyDescent="0.25">
      <c r="F350" s="9"/>
      <c r="G350" s="21">
        <v>-0.10208100000000001</v>
      </c>
      <c r="H350" s="21">
        <v>8.5154599999999991</v>
      </c>
      <c r="I350" s="21">
        <v>-1.4978E-2</v>
      </c>
      <c r="J350" s="21">
        <v>340</v>
      </c>
      <c r="K350" s="21">
        <v>-0.1026</v>
      </c>
      <c r="L350">
        <f t="shared" si="60"/>
        <v>18.491358024691355</v>
      </c>
      <c r="M350">
        <f t="shared" si="61"/>
        <v>-1.8876163185185182</v>
      </c>
      <c r="N350" s="9"/>
      <c r="O350" s="21">
        <v>1.61209</v>
      </c>
      <c r="P350" s="21">
        <v>11.952</v>
      </c>
      <c r="Q350" s="21">
        <v>6.8969699999999997E-3</v>
      </c>
      <c r="R350" s="21">
        <v>340</v>
      </c>
      <c r="S350" s="21">
        <v>1.6110199999999999</v>
      </c>
      <c r="T350">
        <f t="shared" si="62"/>
        <v>-8.5147777777777769</v>
      </c>
      <c r="U350">
        <f t="shared" si="63"/>
        <v>-13.726588107777777</v>
      </c>
      <c r="X350" s="9"/>
      <c r="Y350" s="21">
        <v>-0.10208100000000001</v>
      </c>
      <c r="Z350" s="21">
        <v>17.049700000000001</v>
      </c>
      <c r="AA350" s="21">
        <v>-1.4898700000000001E-2</v>
      </c>
      <c r="AB350" s="21">
        <v>340</v>
      </c>
      <c r="AC350" s="21">
        <v>-0.10269200000000001</v>
      </c>
      <c r="AD350">
        <f t="shared" si="64"/>
        <v>18.393456790123455</v>
      </c>
      <c r="AE350">
        <f t="shared" si="65"/>
        <v>-1.8776224625925926</v>
      </c>
      <c r="AF350" s="9"/>
      <c r="AG350" s="21">
        <v>1.61209</v>
      </c>
      <c r="AH350" s="21">
        <v>20.4862</v>
      </c>
      <c r="AI350" s="21">
        <v>7.0648200000000003E-3</v>
      </c>
      <c r="AJ350" s="21">
        <v>340</v>
      </c>
      <c r="AK350" s="21">
        <v>1.6116299999999999</v>
      </c>
      <c r="AL350">
        <f t="shared" si="66"/>
        <v>-8.7220000000000013</v>
      </c>
      <c r="AM350">
        <f t="shared" si="67"/>
        <v>-14.060648980000002</v>
      </c>
      <c r="AP350" s="9"/>
      <c r="AQ350" s="21">
        <v>-0.10208100000000001</v>
      </c>
      <c r="AR350" s="21">
        <v>25.628900000000002</v>
      </c>
      <c r="AS350" s="21">
        <v>-1.48621E-2</v>
      </c>
      <c r="AT350" s="21">
        <v>340</v>
      </c>
      <c r="AU350" s="21">
        <v>-0.1026</v>
      </c>
      <c r="AV350">
        <f t="shared" si="68"/>
        <v>18.348271604938269</v>
      </c>
      <c r="AW350">
        <f t="shared" si="69"/>
        <v>-1.8730099137037035</v>
      </c>
      <c r="AX350" s="9"/>
      <c r="AY350" s="21">
        <v>1.61209</v>
      </c>
      <c r="AZ350" s="21">
        <v>29.0654</v>
      </c>
      <c r="BA350" s="21">
        <v>7.3486300000000001E-3</v>
      </c>
      <c r="BB350" s="21">
        <v>340</v>
      </c>
      <c r="BC350" s="21">
        <v>1.6119399999999999</v>
      </c>
      <c r="BD350">
        <f t="shared" si="70"/>
        <v>-9.0723827160493808</v>
      </c>
      <c r="BE350">
        <f t="shared" si="71"/>
        <v>-14.625497452716047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5"/>
  <sheetViews>
    <sheetView tabSelected="1" workbookViewId="0">
      <selection activeCell="A6" sqref="A6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20221206T090000</v>
      </c>
      <c r="B3">
        <f ca="1">INDEX(INDIRECT(A3&amp;"!A11"):INDIRECT(A3&amp;"!A21"),MATCH(E3,INDIRECT(A3&amp;"!D11"):INDIRECT(A3&amp;"!D21"),0))</f>
        <v>1.7243169527930831</v>
      </c>
      <c r="C3">
        <f ca="1">INDEX(INDIRECT(A3&amp;"!B11"):INDIRECT(A3&amp;"!B21"),MATCH(E3,INDIRECT(A3&amp;"!D11"):INDIRECT(A3&amp;"!D21"),0))</f>
        <v>18.028024691358024</v>
      </c>
      <c r="D3">
        <f ca="1">INDEX(INDIRECT(A3&amp;"!C11"):INDIRECT(A3&amp;"!C21"),MATCH(E3,INDIRECT(A3&amp;"!D11"):INDIRECT(A3&amp;"!D21"),0))</f>
        <v>0.7458126145505386</v>
      </c>
      <c r="E3">
        <f t="shared" ref="E3" ca="1" si="0">MAX(INDIRECT(A3&amp; "!D11"),INDIRECT(A3 &amp; "!D13"),INDIRECT(A3 &amp; "!D15"),INDIRECT(A3 &amp; "!D17"),INDIRECT(A3 &amp; "!D19"),INDIRECT(A3 &amp; "!D21"))</f>
        <v>23.184352266666664</v>
      </c>
      <c r="G3">
        <f ca="1">INDEX(INDIRECT(A3&amp;"!A12"):INDIRECT(A3&amp;"!A22"),MATCH(J3,INDIRECT(A3&amp;"!D12"):INDIRECT(A3&amp;"!D22"),0))</f>
        <v>1.724657106972513</v>
      </c>
      <c r="H3">
        <f ca="1">INDEX(INDIRECT(A3&amp;"!B12"):INDIRECT(A3&amp;"!B22"),MATCH(J3,INDIRECT(A3&amp;"!D12"):INDIRECT(A3&amp;"!D22"),0))</f>
        <v>18.036859743848822</v>
      </c>
      <c r="I3">
        <f ca="1">INDEX(INDIRECT(A3&amp;"!C12"):INDIRECT(A3&amp;"!C22"),MATCH(J3,INDIRECT(A3&amp;"!D12"):INDIRECT(A3&amp;"!D22"),0))</f>
        <v>0.72090468301840693</v>
      </c>
      <c r="J3">
        <f t="shared" ref="J3" ca="1" si="1">MAX(INDIRECT(A3&amp; "!D12"),INDIRECT(A3 &amp; "!D14"),INDIRECT(A3 &amp; "!D16"),INDIRECT(A3 &amp; "!D18"),INDIRECT(A3 &amp; "!D20"),,INDIRECT(A3 &amp; "!D22"))</f>
        <v>22.425469143209877</v>
      </c>
      <c r="L3">
        <f ca="1">INDEX(INDIRECT(A3&amp;"!E11"):INDIRECT(A3&amp;"!E21"),MATCH(E3,INDIRECT(A3&amp;"!D11"):INDIRECT(A3&amp;"!D21"),0))</f>
        <v>3.3274354686327499</v>
      </c>
    </row>
    <row r="4" spans="1:12" x14ac:dyDescent="0.25">
      <c r="A4" t="str" cm="1">
        <f t="array" aca="1" ref="A4" ca="1">IFERROR(INDEX(MID(sheetnames,FIND("]",sheetnames)+1,255),ROWS($A$2:A4)),"")</f>
        <v>20221207T090000</v>
      </c>
      <c r="B4">
        <f ca="1">INDEX(INDIRECT(A4&amp;"!A11"):INDIRECT(A4&amp;"!A21"),MATCH(E4,INDIRECT(A4&amp;"!D11"):INDIRECT(A4&amp;"!D21"),0))</f>
        <v>1.7207406513460297</v>
      </c>
      <c r="C4">
        <f ca="1">INDEX(INDIRECT(A4&amp;"!B11"):INDIRECT(A4&amp;"!B21"),MATCH(E4,INDIRECT(A4&amp;"!D11"):INDIRECT(A4&amp;"!D21"),0))</f>
        <v>19.050867598210502</v>
      </c>
      <c r="D4">
        <f ca="1">INDEX(INDIRECT(A4&amp;"!C11"):INDIRECT(A4&amp;"!C21"),MATCH(E4,INDIRECT(A4&amp;"!D11"):INDIRECT(A4&amp;"!D21"),0))</f>
        <v>0.72318116867434101</v>
      </c>
      <c r="E4">
        <f t="shared" ref="E4:E5" ca="1" si="2">MAX(INDIRECT(A4&amp; "!D11"),INDIRECT(A4 &amp; "!D13"),INDIRECT(A4 &amp; "!D15"),INDIRECT(A4 &amp; "!D17"),INDIRECT(A4 &amp; "!D19"),INDIRECT(A4 &amp; "!D21"))</f>
        <v>23.707037476543213</v>
      </c>
      <c r="G4">
        <f ca="1">INDEX(INDIRECT(A4&amp;"!A12"):INDIRECT(A4&amp;"!A22"),MATCH(J4,INDIRECT(A4&amp;"!D12"):INDIRECT(A4&amp;"!D22"),0))</f>
        <v>1.7253918473838674</v>
      </c>
      <c r="H4">
        <f ca="1">INDEX(INDIRECT(A4&amp;"!B12"):INDIRECT(A4&amp;"!B22"),MATCH(J4,INDIRECT(A4&amp;"!D12"):INDIRECT(A4&amp;"!D22"),0))</f>
        <v>19.193506937549703</v>
      </c>
      <c r="I4">
        <f ca="1">INDEX(INDIRECT(A4&amp;"!C12"):INDIRECT(A4&amp;"!C22"),MATCH(J4,INDIRECT(A4&amp;"!D12"):INDIRECT(A4&amp;"!D22"),0))</f>
        <v>0.69380353927617</v>
      </c>
      <c r="J4">
        <f t="shared" ref="J4:J5" ca="1" si="3">MAX(INDIRECT(A4&amp; "!D12"),INDIRECT(A4 &amp; "!D14"),INDIRECT(A4 &amp; "!D16"),INDIRECT(A4 &amp; "!D18"),INDIRECT(A4 &amp; "!D20"),,INDIRECT(A4 &amp; "!D22"))</f>
        <v>22.976220296296301</v>
      </c>
      <c r="L4">
        <f ca="1">INDEX(INDIRECT(A4&amp;"!E11"):INDIRECT(A4&amp;"!E21"),MATCH(E4,INDIRECT(A4&amp;"!D11"):INDIRECT(A4&amp;"!D21"),0))</f>
        <v>4.2349945628657721</v>
      </c>
    </row>
    <row r="5" spans="1:12" x14ac:dyDescent="0.25">
      <c r="A5" t="str" cm="1">
        <f t="array" aca="1" ref="A5" ca="1">IFERROR(INDEX(MID(sheetnames,FIND("]",sheetnames)+1,255),ROWS($A$2:A5)),"")</f>
        <v>20221210T210000</v>
      </c>
      <c r="B5">
        <f ca="1">INDEX(INDIRECT(A5&amp;"!A11"):INDIRECT(A5&amp;"!A21"),MATCH(E5,INDIRECT(A5&amp;"!D11"):INDIRECT(A5&amp;"!D21"),0))</f>
        <v>1.5628191471972415</v>
      </c>
      <c r="C5">
        <f ca="1">INDEX(INDIRECT(A5&amp;"!B11"):INDIRECT(A5&amp;"!B21"),MATCH(E5,INDIRECT(A5&amp;"!D11"):INDIRECT(A5&amp;"!D21"),0))</f>
        <v>18.274063878092402</v>
      </c>
      <c r="D5">
        <f ca="1">INDEX(INDIRECT(A5&amp;"!C11"):INDIRECT(A5&amp;"!C21"),MATCH(E5,INDIRECT(A5&amp;"!D11"):INDIRECT(A5&amp;"!D21"),0))</f>
        <v>0.63141785125759897</v>
      </c>
      <c r="E5">
        <f t="shared" ca="1" si="2"/>
        <v>18.032698358024689</v>
      </c>
      <c r="G5">
        <f ca="1">INDEX(INDIRECT(A5&amp;"!A12"):INDIRECT(A5&amp;"!A22"),MATCH(J5,INDIRECT(A5&amp;"!D12"):INDIRECT(A5&amp;"!D22"),0))</f>
        <v>1.5650250603208735</v>
      </c>
      <c r="H5">
        <f ca="1">INDEX(INDIRECT(A5&amp;"!B12"):INDIRECT(A5&amp;"!B22"),MATCH(J5,INDIRECT(A5&amp;"!D12"):INDIRECT(A5&amp;"!D22"),0))</f>
        <v>18.289130781390035</v>
      </c>
      <c r="I5">
        <f ca="1">INDEX(INDIRECT(A5&amp;"!C12"):INDIRECT(A5&amp;"!C22"),MATCH(J5,INDIRECT(A5&amp;"!D12"):INDIRECT(A5&amp;"!D22"),0))</f>
        <v>0.60748870287246881</v>
      </c>
      <c r="J5">
        <f t="shared" ca="1" si="3"/>
        <v>17.388117555555556</v>
      </c>
      <c r="L5">
        <f ca="1">INDEX(INDIRECT(A5&amp;"!E11"):INDIRECT(A5&amp;"!E21"),MATCH(E5,INDIRECT(A5&amp;"!D11"):INDIRECT(A5&amp;"!D21"),0))</f>
        <v>6.0888416700168717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20221206T090000</vt:lpstr>
      <vt:lpstr>20221207T090000</vt:lpstr>
      <vt:lpstr>20221210T210000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2022-12-18T10:42:50Z</dcterms:modified>
</cp:coreProperties>
</file>