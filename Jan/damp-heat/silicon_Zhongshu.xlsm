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March\0307\Jan\damp-heat\"/>
    </mc:Choice>
  </mc:AlternateContent>
  <bookViews>
    <workbookView xWindow="-105" yWindow="-105" windowWidth="19440" windowHeight="15600" tabRatio="760" activeTab="7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Sheet2" sheetId="63" r:id="rId8"/>
  </sheets>
  <externalReferences>
    <externalReference r:id="rId9"/>
  </externalReferences>
  <definedNames>
    <definedName name="sheetnames">GET.WORKBOOK(1)&amp;T(NOW())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/>
  <c r="BD13" i="70"/>
  <c r="BE13" i="70" s="1"/>
  <c r="BD14" i="70"/>
  <c r="BE14" i="70"/>
  <c r="BD15" i="70"/>
  <c r="BE15" i="70"/>
  <c r="BD16" i="70"/>
  <c r="BE16" i="70"/>
  <c r="BD17" i="70"/>
  <c r="BE17" i="70" s="1"/>
  <c r="BD18" i="70"/>
  <c r="BE18" i="70"/>
  <c r="BD19" i="70"/>
  <c r="BE19" i="70"/>
  <c r="BD20" i="70"/>
  <c r="BE20" i="70"/>
  <c r="BD21" i="70"/>
  <c r="BE21" i="70" s="1"/>
  <c r="BD22" i="70"/>
  <c r="BE22" i="70"/>
  <c r="BD23" i="70"/>
  <c r="BE23" i="70"/>
  <c r="BD24" i="70"/>
  <c r="BE24" i="70"/>
  <c r="BD25" i="70"/>
  <c r="BE25" i="70" s="1"/>
  <c r="BD26" i="70"/>
  <c r="BE26" i="70"/>
  <c r="BD27" i="70"/>
  <c r="BE27" i="70"/>
  <c r="BD28" i="70"/>
  <c r="BE28" i="70"/>
  <c r="BD29" i="70"/>
  <c r="BE29" i="70" s="1"/>
  <c r="BD30" i="70"/>
  <c r="BE30" i="70"/>
  <c r="BD31" i="70"/>
  <c r="BE31" i="70"/>
  <c r="BD32" i="70"/>
  <c r="BE32" i="70"/>
  <c r="BD33" i="70"/>
  <c r="BE33" i="70" s="1"/>
  <c r="BD34" i="70"/>
  <c r="BE34" i="70"/>
  <c r="BD35" i="70"/>
  <c r="BE35" i="70"/>
  <c r="BD36" i="70"/>
  <c r="BE36" i="70"/>
  <c r="BD37" i="70"/>
  <c r="BE37" i="70" s="1"/>
  <c r="BD38" i="70"/>
  <c r="BE38" i="70"/>
  <c r="BD39" i="70"/>
  <c r="BE39" i="70"/>
  <c r="BD40" i="70"/>
  <c r="BE40" i="70"/>
  <c r="BD41" i="70"/>
  <c r="BE41" i="70" s="1"/>
  <c r="BD42" i="70"/>
  <c r="BE42" i="70"/>
  <c r="BD43" i="70"/>
  <c r="BE43" i="70"/>
  <c r="BD44" i="70"/>
  <c r="BE44" i="70"/>
  <c r="BD45" i="70"/>
  <c r="BE45" i="70" s="1"/>
  <c r="BD46" i="70"/>
  <c r="BE46" i="70"/>
  <c r="BD47" i="70"/>
  <c r="BE47" i="70"/>
  <c r="BD48" i="70"/>
  <c r="BE48" i="70"/>
  <c r="BD49" i="70"/>
  <c r="BE49" i="70" s="1"/>
  <c r="BD50" i="70"/>
  <c r="BE50" i="70"/>
  <c r="BD51" i="70"/>
  <c r="BE51" i="70"/>
  <c r="BD52" i="70"/>
  <c r="BE52" i="70"/>
  <c r="BD53" i="70"/>
  <c r="BE53" i="70" s="1"/>
  <c r="BD54" i="70"/>
  <c r="BE54" i="70"/>
  <c r="BD55" i="70"/>
  <c r="BE55" i="70"/>
  <c r="BD56" i="70"/>
  <c r="BE56" i="70"/>
  <c r="BD57" i="70"/>
  <c r="BE57" i="70" s="1"/>
  <c r="BD58" i="70"/>
  <c r="BE58" i="70"/>
  <c r="BD59" i="70"/>
  <c r="BE59" i="70"/>
  <c r="BD60" i="70"/>
  <c r="BE60" i="70"/>
  <c r="BD61" i="70"/>
  <c r="BE61" i="70" s="1"/>
  <c r="BD62" i="70"/>
  <c r="BE62" i="70"/>
  <c r="BD63" i="70"/>
  <c r="BE63" i="70"/>
  <c r="BD64" i="70"/>
  <c r="BE64" i="70" s="1"/>
  <c r="BD65" i="70"/>
  <c r="BE65" i="70" s="1"/>
  <c r="BD66" i="70"/>
  <c r="BE66" i="70"/>
  <c r="BD67" i="70"/>
  <c r="BE67" i="70"/>
  <c r="BD68" i="70"/>
  <c r="BE68" i="70" s="1"/>
  <c r="BD69" i="70"/>
  <c r="BE69" i="70" s="1"/>
  <c r="BD70" i="70"/>
  <c r="BE70" i="70"/>
  <c r="BD71" i="70"/>
  <c r="BE71" i="70"/>
  <c r="BD72" i="70"/>
  <c r="BE72" i="70" s="1"/>
  <c r="BD73" i="70"/>
  <c r="BE73" i="70" s="1"/>
  <c r="BD74" i="70"/>
  <c r="BE74" i="70"/>
  <c r="BD75" i="70"/>
  <c r="BE75" i="70"/>
  <c r="BD76" i="70"/>
  <c r="BE76" i="70" s="1"/>
  <c r="BD77" i="70"/>
  <c r="BE77" i="70" s="1"/>
  <c r="BD78" i="70"/>
  <c r="BE78" i="70"/>
  <c r="BD79" i="70"/>
  <c r="BE79" i="70"/>
  <c r="BD80" i="70"/>
  <c r="BE80" i="70" s="1"/>
  <c r="BD81" i="70"/>
  <c r="BE81" i="70" s="1"/>
  <c r="BD82" i="70"/>
  <c r="BE82" i="70"/>
  <c r="BD83" i="70"/>
  <c r="BE83" i="70"/>
  <c r="BD84" i="70"/>
  <c r="BE84" i="70" s="1"/>
  <c r="BD85" i="70"/>
  <c r="BE85" i="70" s="1"/>
  <c r="BD86" i="70"/>
  <c r="BE86" i="70"/>
  <c r="BD87" i="70"/>
  <c r="BE87" i="70"/>
  <c r="BD88" i="70"/>
  <c r="BE88" i="70" s="1"/>
  <c r="BD89" i="70"/>
  <c r="BE89" i="70" s="1"/>
  <c r="BD90" i="70"/>
  <c r="BE90" i="70"/>
  <c r="BD91" i="70"/>
  <c r="BE91" i="70"/>
  <c r="BD92" i="70"/>
  <c r="BE92" i="70" s="1"/>
  <c r="BD93" i="70"/>
  <c r="BE93" i="70" s="1"/>
  <c r="BD94" i="70"/>
  <c r="BE94" i="70"/>
  <c r="BD95" i="70"/>
  <c r="BE95" i="70"/>
  <c r="BD96" i="70"/>
  <c r="BE96" i="70" s="1"/>
  <c r="BD97" i="70"/>
  <c r="BE97" i="70" s="1"/>
  <c r="BD98" i="70"/>
  <c r="BE98" i="70"/>
  <c r="BD99" i="70"/>
  <c r="BE99" i="70"/>
  <c r="BD100" i="70"/>
  <c r="BE100" i="70" s="1"/>
  <c r="BD101" i="70"/>
  <c r="BE101" i="70" s="1"/>
  <c r="BD102" i="70"/>
  <c r="BE102" i="70"/>
  <c r="BD103" i="70"/>
  <c r="BE103" i="70"/>
  <c r="BD104" i="70"/>
  <c r="BE104" i="70" s="1"/>
  <c r="BD105" i="70"/>
  <c r="BE105" i="70" s="1"/>
  <c r="BD106" i="70"/>
  <c r="BE106" i="70"/>
  <c r="BD107" i="70"/>
  <c r="BE107" i="70"/>
  <c r="BD108" i="70"/>
  <c r="BE108" i="70" s="1"/>
  <c r="BD109" i="70"/>
  <c r="BE109" i="70" s="1"/>
  <c r="BD110" i="70"/>
  <c r="BE110" i="70"/>
  <c r="BD111" i="70"/>
  <c r="BE111" i="70"/>
  <c r="BD112" i="70"/>
  <c r="BE112" i="70" s="1"/>
  <c r="BD113" i="70"/>
  <c r="BE113" i="70" s="1"/>
  <c r="BD114" i="70"/>
  <c r="BE114" i="70"/>
  <c r="BD115" i="70"/>
  <c r="BE115" i="70"/>
  <c r="BD116" i="70"/>
  <c r="BE116" i="70" s="1"/>
  <c r="BD117" i="70"/>
  <c r="BE117" i="70" s="1"/>
  <c r="BD118" i="70"/>
  <c r="BE118" i="70"/>
  <c r="BD119" i="70"/>
  <c r="BE119" i="70"/>
  <c r="BD120" i="70"/>
  <c r="BE120" i="70" s="1"/>
  <c r="BD121" i="70"/>
  <c r="BE121" i="70" s="1"/>
  <c r="BD122" i="70"/>
  <c r="BE122" i="70"/>
  <c r="BD123" i="70"/>
  <c r="BE123" i="70"/>
  <c r="BD124" i="70"/>
  <c r="BE124" i="70" s="1"/>
  <c r="BD125" i="70"/>
  <c r="BE125" i="70" s="1"/>
  <c r="BD126" i="70"/>
  <c r="BE126" i="70"/>
  <c r="BD127" i="70"/>
  <c r="BE127" i="70"/>
  <c r="BD128" i="70"/>
  <c r="BE128" i="70" s="1"/>
  <c r="BD129" i="70"/>
  <c r="BE129" i="70" s="1"/>
  <c r="BD130" i="70"/>
  <c r="BE130" i="70"/>
  <c r="BD131" i="70"/>
  <c r="BE131" i="70"/>
  <c r="BD132" i="70"/>
  <c r="BE132" i="70" s="1"/>
  <c r="BD133" i="70"/>
  <c r="BE133" i="70" s="1"/>
  <c r="BD134" i="70"/>
  <c r="BE134" i="70"/>
  <c r="BD135" i="70"/>
  <c r="BE135" i="70"/>
  <c r="BD136" i="70"/>
  <c r="BE136" i="70" s="1"/>
  <c r="BD137" i="70"/>
  <c r="BE137" i="70" s="1"/>
  <c r="BD138" i="70"/>
  <c r="BE138" i="70"/>
  <c r="BD139" i="70"/>
  <c r="BE139" i="70"/>
  <c r="BD140" i="70"/>
  <c r="BE140" i="70" s="1"/>
  <c r="BD141" i="70"/>
  <c r="BE141" i="70" s="1"/>
  <c r="BD142" i="70"/>
  <c r="BE142" i="70"/>
  <c r="BD143" i="70"/>
  <c r="BE143" i="70"/>
  <c r="BD144" i="70"/>
  <c r="BE144" i="70" s="1"/>
  <c r="BD145" i="70"/>
  <c r="BE145" i="70" s="1"/>
  <c r="BD146" i="70"/>
  <c r="BE146" i="70"/>
  <c r="BD147" i="70"/>
  <c r="BE147" i="70"/>
  <c r="BD148" i="70"/>
  <c r="BE148" i="70" s="1"/>
  <c r="BD149" i="70"/>
  <c r="BE149" i="70" s="1"/>
  <c r="BD150" i="70"/>
  <c r="BE150" i="70"/>
  <c r="BD151" i="70"/>
  <c r="BE151" i="70"/>
  <c r="BD152" i="70"/>
  <c r="BE152" i="70" s="1"/>
  <c r="BD153" i="70"/>
  <c r="BE153" i="70" s="1"/>
  <c r="BD154" i="70"/>
  <c r="BE154" i="70"/>
  <c r="BD155" i="70"/>
  <c r="BE155" i="70"/>
  <c r="BD156" i="70"/>
  <c r="BE156" i="70" s="1"/>
  <c r="BD157" i="70"/>
  <c r="BE157" i="70" s="1"/>
  <c r="BD158" i="70"/>
  <c r="BE158" i="70"/>
  <c r="BD159" i="70"/>
  <c r="BE159" i="70"/>
  <c r="BD160" i="70"/>
  <c r="BE160" i="70" s="1"/>
  <c r="BD161" i="70"/>
  <c r="BE161" i="70" s="1"/>
  <c r="BD162" i="70"/>
  <c r="BE162" i="70"/>
  <c r="BD163" i="70"/>
  <c r="BE163" i="70"/>
  <c r="BD164" i="70"/>
  <c r="BE164" i="70" s="1"/>
  <c r="BD165" i="70"/>
  <c r="BE165" i="70" s="1"/>
  <c r="BD166" i="70"/>
  <c r="BE166" i="70"/>
  <c r="BD167" i="70"/>
  <c r="BE167" i="70"/>
  <c r="BD168" i="70"/>
  <c r="BE168" i="70" s="1"/>
  <c r="BD169" i="70"/>
  <c r="BE169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 s="1"/>
  <c r="AV99" i="70"/>
  <c r="AW99" i="70"/>
  <c r="AV100" i="70"/>
  <c r="AW100" i="70" s="1"/>
  <c r="AV101" i="70"/>
  <c r="AW101" i="70"/>
  <c r="AV102" i="70"/>
  <c r="AW102" i="70" s="1"/>
  <c r="AV103" i="70"/>
  <c r="AW103" i="70"/>
  <c r="AV104" i="70"/>
  <c r="AW104" i="70" s="1"/>
  <c r="AV105" i="70"/>
  <c r="AW105" i="70"/>
  <c r="AV106" i="70"/>
  <c r="AW106" i="70" s="1"/>
  <c r="AV107" i="70"/>
  <c r="AW107" i="70"/>
  <c r="AV108" i="70"/>
  <c r="AW108" i="70" s="1"/>
  <c r="AV109" i="70"/>
  <c r="AW109" i="70"/>
  <c r="AV110" i="70"/>
  <c r="AW110" i="70" s="1"/>
  <c r="AV111" i="70"/>
  <c r="AW111" i="70"/>
  <c r="AV112" i="70"/>
  <c r="AW112" i="70" s="1"/>
  <c r="AV113" i="70"/>
  <c r="AW113" i="70"/>
  <c r="AV114" i="70"/>
  <c r="AW114" i="70" s="1"/>
  <c r="AV115" i="70"/>
  <c r="AW115" i="70"/>
  <c r="AV116" i="70"/>
  <c r="AW116" i="70" s="1"/>
  <c r="AV117" i="70"/>
  <c r="AW117" i="70" s="1"/>
  <c r="AV118" i="70"/>
  <c r="AW118" i="70" s="1"/>
  <c r="AV119" i="70"/>
  <c r="AW119" i="70"/>
  <c r="AV120" i="70"/>
  <c r="AW120" i="70"/>
  <c r="AV121" i="70"/>
  <c r="AW121" i="70" s="1"/>
  <c r="AV122" i="70"/>
  <c r="AW122" i="70" s="1"/>
  <c r="AV123" i="70"/>
  <c r="AW123" i="70"/>
  <c r="AV124" i="70"/>
  <c r="AW124" i="70"/>
  <c r="AV125" i="70"/>
  <c r="AW125" i="70" s="1"/>
  <c r="AV126" i="70"/>
  <c r="AW126" i="70" s="1"/>
  <c r="AV127" i="70"/>
  <c r="AW127" i="70" s="1"/>
  <c r="AV128" i="70"/>
  <c r="AW128" i="70"/>
  <c r="AV129" i="70"/>
  <c r="AW129" i="70" s="1"/>
  <c r="AV130" i="70"/>
  <c r="AW130" i="70"/>
  <c r="AV131" i="70"/>
  <c r="AW131" i="70" s="1"/>
  <c r="AV132" i="70"/>
  <c r="AW132" i="70"/>
  <c r="AV133" i="70"/>
  <c r="AW133" i="70" s="1"/>
  <c r="AV134" i="70"/>
  <c r="AW134" i="70"/>
  <c r="AV135" i="70"/>
  <c r="AW135" i="70" s="1"/>
  <c r="AV136" i="70"/>
  <c r="AW136" i="70"/>
  <c r="AV137" i="70"/>
  <c r="AW137" i="70" s="1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 s="1"/>
  <c r="AL13" i="70"/>
  <c r="AM13" i="70"/>
  <c r="AL14" i="70"/>
  <c r="AM14" i="70"/>
  <c r="AL15" i="70"/>
  <c r="AM15" i="70" s="1"/>
  <c r="AL16" i="70"/>
  <c r="AM16" i="70" s="1"/>
  <c r="AL17" i="70"/>
  <c r="AM17" i="70"/>
  <c r="AL18" i="70"/>
  <c r="AM18" i="70"/>
  <c r="AL19" i="70"/>
  <c r="AM19" i="70" s="1"/>
  <c r="AL20" i="70"/>
  <c r="AM20" i="70" s="1"/>
  <c r="AL21" i="70"/>
  <c r="AM21" i="70"/>
  <c r="AL22" i="70"/>
  <c r="AM22" i="70"/>
  <c r="AL23" i="70"/>
  <c r="AM23" i="70" s="1"/>
  <c r="AL24" i="70"/>
  <c r="AM24" i="70" s="1"/>
  <c r="AL25" i="70"/>
  <c r="AM25" i="70"/>
  <c r="AL26" i="70"/>
  <c r="AM26" i="70"/>
  <c r="AL27" i="70"/>
  <c r="AM27" i="70" s="1"/>
  <c r="AL28" i="70"/>
  <c r="AM28" i="70" s="1"/>
  <c r="AL29" i="70"/>
  <c r="AM29" i="70"/>
  <c r="AL30" i="70"/>
  <c r="AM30" i="70"/>
  <c r="AL31" i="70"/>
  <c r="AM31" i="70" s="1"/>
  <c r="AL32" i="70"/>
  <c r="AM32" i="70" s="1"/>
  <c r="AL33" i="70"/>
  <c r="AM33" i="70"/>
  <c r="AL34" i="70"/>
  <c r="AM34" i="70"/>
  <c r="AL35" i="70"/>
  <c r="AM35" i="70" s="1"/>
  <c r="AL36" i="70"/>
  <c r="AM36" i="70" s="1"/>
  <c r="AL37" i="70"/>
  <c r="AM37" i="70"/>
  <c r="AL38" i="70"/>
  <c r="AM38" i="70"/>
  <c r="AL39" i="70"/>
  <c r="AM39" i="70" s="1"/>
  <c r="AL40" i="70"/>
  <c r="AM40" i="70" s="1"/>
  <c r="AL41" i="70"/>
  <c r="AM41" i="70"/>
  <c r="AL42" i="70"/>
  <c r="AM42" i="70"/>
  <c r="AL43" i="70"/>
  <c r="AM43" i="70" s="1"/>
  <c r="AL44" i="70"/>
  <c r="AM44" i="70" s="1"/>
  <c r="AL45" i="70"/>
  <c r="AM45" i="70"/>
  <c r="AL46" i="70"/>
  <c r="AM46" i="70"/>
  <c r="AL47" i="70"/>
  <c r="AM47" i="70" s="1"/>
  <c r="AL48" i="70"/>
  <c r="AM48" i="70" s="1"/>
  <c r="AL49" i="70"/>
  <c r="AM49" i="70"/>
  <c r="AL50" i="70"/>
  <c r="AM50" i="70"/>
  <c r="AL51" i="70"/>
  <c r="AM51" i="70" s="1"/>
  <c r="AL52" i="70"/>
  <c r="AM52" i="70" s="1"/>
  <c r="AL53" i="70"/>
  <c r="AM53" i="70"/>
  <c r="AL54" i="70"/>
  <c r="AM54" i="70"/>
  <c r="AL55" i="70"/>
  <c r="AM55" i="70" s="1"/>
  <c r="AL56" i="70"/>
  <c r="AM56" i="70" s="1"/>
  <c r="AL57" i="70"/>
  <c r="AM57" i="70"/>
  <c r="AL58" i="70"/>
  <c r="AM58" i="70"/>
  <c r="AL59" i="70"/>
  <c r="AM59" i="70" s="1"/>
  <c r="AL60" i="70"/>
  <c r="AM60" i="70" s="1"/>
  <c r="AL61" i="70"/>
  <c r="AM61" i="70"/>
  <c r="AL62" i="70"/>
  <c r="AM62" i="70"/>
  <c r="AL63" i="70"/>
  <c r="AM63" i="70" s="1"/>
  <c r="AL64" i="70"/>
  <c r="AM64" i="70" s="1"/>
  <c r="AL65" i="70"/>
  <c r="AM65" i="70"/>
  <c r="AL66" i="70"/>
  <c r="AM66" i="70"/>
  <c r="AL67" i="70"/>
  <c r="AM67" i="70" s="1"/>
  <c r="AL68" i="70"/>
  <c r="AM68" i="70" s="1"/>
  <c r="AL69" i="70"/>
  <c r="AM69" i="70"/>
  <c r="AL70" i="70"/>
  <c r="AM70" i="70"/>
  <c r="AL71" i="70"/>
  <c r="AM71" i="70" s="1"/>
  <c r="AL72" i="70"/>
  <c r="AM72" i="70" s="1"/>
  <c r="AL73" i="70"/>
  <c r="AM73" i="70"/>
  <c r="AL74" i="70"/>
  <c r="AM74" i="70"/>
  <c r="AL75" i="70"/>
  <c r="AM75" i="70" s="1"/>
  <c r="AL76" i="70"/>
  <c r="AM76" i="70" s="1"/>
  <c r="AL77" i="70"/>
  <c r="AM77" i="70"/>
  <c r="AL78" i="70"/>
  <c r="AM78" i="70"/>
  <c r="AL79" i="70"/>
  <c r="AM79" i="70" s="1"/>
  <c r="AL80" i="70"/>
  <c r="AM80" i="70" s="1"/>
  <c r="AL81" i="70"/>
  <c r="AM81" i="70"/>
  <c r="AL82" i="70"/>
  <c r="AM82" i="70"/>
  <c r="AL83" i="70"/>
  <c r="AM83" i="70" s="1"/>
  <c r="AL84" i="70"/>
  <c r="AM84" i="70" s="1"/>
  <c r="AL85" i="70"/>
  <c r="AM85" i="70"/>
  <c r="AL86" i="70"/>
  <c r="AM86" i="70"/>
  <c r="AL87" i="70"/>
  <c r="AM87" i="70" s="1"/>
  <c r="AL88" i="70"/>
  <c r="AM88" i="70" s="1"/>
  <c r="AL89" i="70"/>
  <c r="AM89" i="70"/>
  <c r="AL90" i="70"/>
  <c r="AM90" i="70"/>
  <c r="AL91" i="70"/>
  <c r="AM91" i="70" s="1"/>
  <c r="AL92" i="70"/>
  <c r="AM92" i="70" s="1"/>
  <c r="AL93" i="70"/>
  <c r="AM93" i="70"/>
  <c r="AL94" i="70"/>
  <c r="AM94" i="70"/>
  <c r="AL95" i="70"/>
  <c r="AM95" i="70" s="1"/>
  <c r="AL96" i="70"/>
  <c r="AM96" i="70" s="1"/>
  <c r="AL97" i="70"/>
  <c r="AM97" i="70"/>
  <c r="AL98" i="70"/>
  <c r="AM98" i="70"/>
  <c r="AL99" i="70"/>
  <c r="AM99" i="70" s="1"/>
  <c r="AL100" i="70"/>
  <c r="AM100" i="70" s="1"/>
  <c r="AL101" i="70"/>
  <c r="AM101" i="70"/>
  <c r="AL102" i="70"/>
  <c r="AM102" i="70"/>
  <c r="AL103" i="70"/>
  <c r="AM103" i="70" s="1"/>
  <c r="AL104" i="70"/>
  <c r="AM104" i="70" s="1"/>
  <c r="AL105" i="70"/>
  <c r="AM105" i="70"/>
  <c r="AL106" i="70"/>
  <c r="AM106" i="70"/>
  <c r="AL107" i="70"/>
  <c r="AM107" i="70" s="1"/>
  <c r="AL108" i="70"/>
  <c r="AM108" i="70" s="1"/>
  <c r="AL109" i="70"/>
  <c r="AM109" i="70"/>
  <c r="AL110" i="70"/>
  <c r="AM110" i="70"/>
  <c r="AL111" i="70"/>
  <c r="AM111" i="70" s="1"/>
  <c r="AL112" i="70"/>
  <c r="AM112" i="70" s="1"/>
  <c r="AL113" i="70"/>
  <c r="AM113" i="70"/>
  <c r="AL114" i="70"/>
  <c r="AM114" i="70"/>
  <c r="AL115" i="70"/>
  <c r="AM115" i="70" s="1"/>
  <c r="AL116" i="70"/>
  <c r="AM116" i="70" s="1"/>
  <c r="AL117" i="70"/>
  <c r="AM117" i="70"/>
  <c r="AL118" i="70"/>
  <c r="AM118" i="70"/>
  <c r="AL119" i="70"/>
  <c r="AM119" i="70" s="1"/>
  <c r="AL120" i="70"/>
  <c r="AM120" i="70" s="1"/>
  <c r="AL121" i="70"/>
  <c r="AM121" i="70"/>
  <c r="AL122" i="70"/>
  <c r="AM122" i="70"/>
  <c r="AL123" i="70"/>
  <c r="AM123" i="70" s="1"/>
  <c r="AL124" i="70"/>
  <c r="AM124" i="70" s="1"/>
  <c r="AL125" i="70"/>
  <c r="AM125" i="70"/>
  <c r="AL126" i="70"/>
  <c r="AM126" i="70"/>
  <c r="AL127" i="70"/>
  <c r="AM127" i="70" s="1"/>
  <c r="AL128" i="70"/>
  <c r="AM128" i="70" s="1"/>
  <c r="AL129" i="70"/>
  <c r="AM129" i="70"/>
  <c r="AL130" i="70"/>
  <c r="AM130" i="70"/>
  <c r="AL131" i="70"/>
  <c r="AM131" i="70" s="1"/>
  <c r="AL132" i="70"/>
  <c r="AM132" i="70" s="1"/>
  <c r="AL133" i="70"/>
  <c r="AM133" i="70"/>
  <c r="AL134" i="70"/>
  <c r="AM134" i="70"/>
  <c r="AL135" i="70"/>
  <c r="AM135" i="70" s="1"/>
  <c r="AL136" i="70"/>
  <c r="AM136" i="70" s="1"/>
  <c r="AL137" i="70"/>
  <c r="AM137" i="70"/>
  <c r="AL138" i="70"/>
  <c r="AM138" i="70"/>
  <c r="AL139" i="70"/>
  <c r="AM139" i="70" s="1"/>
  <c r="AL140" i="70"/>
  <c r="AM140" i="70" s="1"/>
  <c r="AL141" i="70"/>
  <c r="AM141" i="70"/>
  <c r="AL142" i="70"/>
  <c r="AM142" i="70"/>
  <c r="AL143" i="70"/>
  <c r="AM143" i="70" s="1"/>
  <c r="AL144" i="70"/>
  <c r="AM144" i="70" s="1"/>
  <c r="AL145" i="70"/>
  <c r="AM145" i="70"/>
  <c r="AL146" i="70"/>
  <c r="AM146" i="70"/>
  <c r="AL147" i="70"/>
  <c r="AM147" i="70" s="1"/>
  <c r="AL148" i="70"/>
  <c r="AM148" i="70" s="1"/>
  <c r="AL149" i="70"/>
  <c r="AM149" i="70"/>
  <c r="AL150" i="70"/>
  <c r="AM150" i="70"/>
  <c r="AL151" i="70"/>
  <c r="AM151" i="70" s="1"/>
  <c r="AL152" i="70"/>
  <c r="AM152" i="70" s="1"/>
  <c r="AL153" i="70"/>
  <c r="AM153" i="70"/>
  <c r="AL154" i="70"/>
  <c r="AM154" i="70"/>
  <c r="AL155" i="70"/>
  <c r="AM155" i="70" s="1"/>
  <c r="AL156" i="70"/>
  <c r="AM156" i="70" s="1"/>
  <c r="AL157" i="70"/>
  <c r="AM157" i="70"/>
  <c r="AL158" i="70"/>
  <c r="AM158" i="70"/>
  <c r="AL159" i="70"/>
  <c r="AM159" i="70" s="1"/>
  <c r="AL160" i="70"/>
  <c r="AM160" i="70" s="1"/>
  <c r="AL161" i="70"/>
  <c r="AM161" i="70"/>
  <c r="AL162" i="70"/>
  <c r="AM162" i="70"/>
  <c r="AL163" i="70"/>
  <c r="AM163" i="70" s="1"/>
  <c r="AL164" i="70"/>
  <c r="AM164" i="70" s="1"/>
  <c r="AL165" i="70"/>
  <c r="AM165" i="70"/>
  <c r="AL166" i="70"/>
  <c r="AM166" i="70"/>
  <c r="AL167" i="70"/>
  <c r="AM167" i="70" s="1"/>
  <c r="AL168" i="70"/>
  <c r="AM168" i="70" s="1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T7" i="70" l="1"/>
  <c r="FG11" i="70"/>
  <c r="FH11" i="70" s="1"/>
  <c r="FH9" i="70" s="1"/>
  <c r="EY11" i="70"/>
  <c r="EZ11" i="70" s="1"/>
  <c r="EZ9" i="70" s="1"/>
  <c r="EP11" i="70"/>
  <c r="EM3" i="70" s="1"/>
  <c r="EI11" i="70"/>
  <c r="EH11" i="70"/>
  <c r="DX11" i="70"/>
  <c r="DY11" i="70" s="1"/>
  <c r="DY9" i="70" s="1"/>
  <c r="DP11" i="70"/>
  <c r="DQ11" i="70" s="1"/>
  <c r="DQ9" i="70" s="1"/>
  <c r="DF11" i="70"/>
  <c r="DC4" i="70" s="1"/>
  <c r="DE4" i="70" s="1"/>
  <c r="CY11" i="70"/>
  <c r="CY9" i="70" s="1"/>
  <c r="CX11" i="70"/>
  <c r="CN11" i="70"/>
  <c r="CO11" i="70" s="1"/>
  <c r="CO9" i="70" s="1"/>
  <c r="CF11" i="70"/>
  <c r="CG11" i="70" s="1"/>
  <c r="CG9" i="70" s="1"/>
  <c r="BV11" i="70"/>
  <c r="BS4" i="70" s="1"/>
  <c r="BU4" i="70" s="1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I9" i="70"/>
  <c r="EI7" i="70" s="1"/>
  <c r="FG7" i="70"/>
  <c r="FF7" i="70" s="1"/>
  <c r="EY7" i="70"/>
  <c r="EX7" i="70" s="1"/>
  <c r="EP7" i="70"/>
  <c r="EO7" i="70" s="1"/>
  <c r="EH7" i="70"/>
  <c r="EG7" i="70" s="1"/>
  <c r="DX7" i="70"/>
  <c r="DW7" i="70"/>
  <c r="DP7" i="70"/>
  <c r="DO7" i="70" s="1"/>
  <c r="DF7" i="70"/>
  <c r="DE7" i="70"/>
  <c r="CX7" i="70"/>
  <c r="CW7" i="70" s="1"/>
  <c r="CN7" i="70"/>
  <c r="CM7" i="70" s="1"/>
  <c r="CF7" i="70"/>
  <c r="CE7" i="70" s="1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P6" i="70"/>
  <c r="EH6" i="70"/>
  <c r="EG6" i="70"/>
  <c r="DX6" i="70"/>
  <c r="DP6" i="70"/>
  <c r="DO6" i="70"/>
  <c r="DF6" i="70"/>
  <c r="CX6" i="70"/>
  <c r="CW6" i="70"/>
  <c r="CN6" i="70"/>
  <c r="CF6" i="70"/>
  <c r="CE6" i="70" s="1"/>
  <c r="BD6" i="70"/>
  <c r="AV6" i="70"/>
  <c r="AL6" i="70"/>
  <c r="AD6" i="70"/>
  <c r="AC6" i="70" s="1"/>
  <c r="T6" i="70"/>
  <c r="S6" i="70" s="1"/>
  <c r="L6" i="70"/>
  <c r="K6" i="70" s="1"/>
  <c r="FD4" i="70"/>
  <c r="FF4" i="70" s="1"/>
  <c r="EV4" i="70"/>
  <c r="EX4" i="70" s="1"/>
  <c r="EE4" i="70"/>
  <c r="EG4" i="70" s="1"/>
  <c r="DU4" i="70"/>
  <c r="DW4" i="70" s="1"/>
  <c r="DM4" i="70"/>
  <c r="DO4" i="70" s="1"/>
  <c r="CW4" i="70"/>
  <c r="CU4" i="70"/>
  <c r="CK4" i="70"/>
  <c r="CM4" i="70" s="1"/>
  <c r="CC4" i="70"/>
  <c r="CE4" i="70" s="1"/>
  <c r="BA4" i="70"/>
  <c r="BC4" i="70" s="1"/>
  <c r="AS4" i="70"/>
  <c r="AU4" i="70" s="1"/>
  <c r="AI4" i="70"/>
  <c r="AK4" i="70" s="1"/>
  <c r="FD3" i="70"/>
  <c r="EV3" i="70"/>
  <c r="EX3" i="70" s="1"/>
  <c r="EE3" i="70"/>
  <c r="EG3" i="70" s="1"/>
  <c r="DU3" i="70"/>
  <c r="DM3" i="70"/>
  <c r="DO3" i="70" s="1"/>
  <c r="CW3" i="70"/>
  <c r="CU3" i="70"/>
  <c r="CK3" i="70"/>
  <c r="CC3" i="70"/>
  <c r="CE3" i="70" s="1"/>
  <c r="BS3" i="70"/>
  <c r="BA3" i="70"/>
  <c r="AS3" i="70"/>
  <c r="AU3" i="70" s="1"/>
  <c r="I3" i="70"/>
  <c r="K3" i="70" s="1"/>
  <c r="A8" i="63" a="1"/>
  <c r="DQ7" i="70" l="1"/>
  <c r="DQ3" i="70"/>
  <c r="DQ5" i="70"/>
  <c r="CG7" i="70"/>
  <c r="CG3" i="70"/>
  <c r="CG5" i="70"/>
  <c r="CO7" i="70"/>
  <c r="CO3" i="70"/>
  <c r="CO5" i="70"/>
  <c r="DY7" i="70"/>
  <c r="DY5" i="70"/>
  <c r="DY3" i="70"/>
  <c r="EZ7" i="70"/>
  <c r="EZ3" i="70"/>
  <c r="EZ5" i="70"/>
  <c r="CY7" i="70"/>
  <c r="CY5" i="70"/>
  <c r="CY3" i="70"/>
  <c r="FH7" i="70"/>
  <c r="FH3" i="70"/>
  <c r="FH5" i="70"/>
  <c r="BV6" i="70"/>
  <c r="BW11" i="70"/>
  <c r="BW9" i="70" s="1"/>
  <c r="DG11" i="70"/>
  <c r="DG9" i="70" s="1"/>
  <c r="EQ11" i="70"/>
  <c r="EQ9" i="70" s="1"/>
  <c r="EY9" i="70"/>
  <c r="DC3" i="70"/>
  <c r="DE3" i="70" s="1"/>
  <c r="DC6" i="70" s="1"/>
  <c r="DP9" i="70"/>
  <c r="EI3" i="70"/>
  <c r="EM4" i="70"/>
  <c r="EO4" i="70" s="1"/>
  <c r="CF9" i="70"/>
  <c r="B19" i="70" s="1"/>
  <c r="EH9" i="70"/>
  <c r="BN6" i="70"/>
  <c r="BM6" i="70" s="1"/>
  <c r="BK4" i="70"/>
  <c r="BM4" i="70" s="1"/>
  <c r="EI5" i="70"/>
  <c r="BK3" i="70"/>
  <c r="BM3" i="70" s="1"/>
  <c r="CX9" i="70"/>
  <c r="B21" i="70" s="1"/>
  <c r="EX6" i="70"/>
  <c r="AI3" i="70"/>
  <c r="AK3" i="70" s="1"/>
  <c r="AI6" i="70" s="1"/>
  <c r="A14" i="70" s="1"/>
  <c r="Q3" i="70"/>
  <c r="S3" i="70" s="1"/>
  <c r="Q6" i="70" s="1"/>
  <c r="A12" i="70" s="1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I6" i="70"/>
  <c r="AS6" i="70"/>
  <c r="BC3" i="70"/>
  <c r="BA6" i="70" s="1"/>
  <c r="A16" i="70" s="1"/>
  <c r="BK6" i="70"/>
  <c r="A17" i="70" s="1"/>
  <c r="BU3" i="70"/>
  <c r="BS6" i="70" s="1"/>
  <c r="A18" i="70" s="1"/>
  <c r="CC6" i="70"/>
  <c r="A19" i="70" s="1"/>
  <c r="CM3" i="70"/>
  <c r="CK6" i="70" s="1"/>
  <c r="CU6" i="70"/>
  <c r="A21" i="70" s="1"/>
  <c r="DM6" i="70"/>
  <c r="DW3" i="70"/>
  <c r="DU6" i="70" s="1"/>
  <c r="EE6" i="70"/>
  <c r="EO3" i="70"/>
  <c r="EM6" i="70" s="1"/>
  <c r="EV6" i="70"/>
  <c r="FF3" i="70"/>
  <c r="FD6" i="70" s="1"/>
  <c r="G4" i="70"/>
  <c r="AQ4" i="70"/>
  <c r="AY4" i="70"/>
  <c r="L9" i="70"/>
  <c r="B11" i="70" s="1"/>
  <c r="T9" i="70"/>
  <c r="B12" i="70" s="1"/>
  <c r="AK6" i="70"/>
  <c r="AG2" i="70" s="1"/>
  <c r="BC6" i="70"/>
  <c r="AY2" i="70" s="1"/>
  <c r="BU6" i="70"/>
  <c r="BV9" i="70" s="1"/>
  <c r="B18" i="70" s="1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/>
  <c r="BD99" i="69"/>
  <c r="BE99" i="69"/>
  <c r="BD100" i="69"/>
  <c r="BE100" i="69"/>
  <c r="BD101" i="69"/>
  <c r="BE101" i="69" s="1"/>
  <c r="BD102" i="69"/>
  <c r="BE102" i="69"/>
  <c r="BD103" i="69"/>
  <c r="BE103" i="69"/>
  <c r="BD104" i="69"/>
  <c r="BE104" i="69"/>
  <c r="BD105" i="69"/>
  <c r="BE105" i="69" s="1"/>
  <c r="BD106" i="69"/>
  <c r="BE106" i="69"/>
  <c r="BD107" i="69"/>
  <c r="BE107" i="69"/>
  <c r="BD108" i="69"/>
  <c r="BE108" i="69"/>
  <c r="BD109" i="69"/>
  <c r="BE109" i="69" s="1"/>
  <c r="BD110" i="69"/>
  <c r="BE110" i="69"/>
  <c r="BD111" i="69"/>
  <c r="BE111" i="69"/>
  <c r="BD112" i="69"/>
  <c r="BE112" i="69"/>
  <c r="BD113" i="69"/>
  <c r="BE113" i="69" s="1"/>
  <c r="BD114" i="69"/>
  <c r="BE114" i="69"/>
  <c r="BD115" i="69"/>
  <c r="BE115" i="69"/>
  <c r="BD116" i="69"/>
  <c r="BE116" i="69"/>
  <c r="BD117" i="69"/>
  <c r="BE117" i="69" s="1"/>
  <c r="BD118" i="69"/>
  <c r="BE118" i="69"/>
  <c r="BD119" i="69"/>
  <c r="BE119" i="69"/>
  <c r="BD120" i="69"/>
  <c r="BE120" i="69"/>
  <c r="BD121" i="69"/>
  <c r="BE121" i="69" s="1"/>
  <c r="BD122" i="69"/>
  <c r="BE122" i="69"/>
  <c r="BD123" i="69"/>
  <c r="BE123" i="69"/>
  <c r="BD124" i="69"/>
  <c r="BE124" i="69"/>
  <c r="BD125" i="69"/>
  <c r="BE125" i="69" s="1"/>
  <c r="BD126" i="69"/>
  <c r="BE126" i="69"/>
  <c r="BD127" i="69"/>
  <c r="BE127" i="69"/>
  <c r="BD128" i="69"/>
  <c r="BE128" i="69"/>
  <c r="BD129" i="69"/>
  <c r="BE129" i="69" s="1"/>
  <c r="BD130" i="69"/>
  <c r="BE130" i="69"/>
  <c r="BD131" i="69"/>
  <c r="BE131" i="69"/>
  <c r="BD132" i="69"/>
  <c r="BE132" i="69" s="1"/>
  <c r="BD133" i="69"/>
  <c r="BE133" i="69"/>
  <c r="BD134" i="69"/>
  <c r="BE134" i="69" s="1"/>
  <c r="BD135" i="69"/>
  <c r="BE135" i="69"/>
  <c r="BD136" i="69"/>
  <c r="BE136" i="69" s="1"/>
  <c r="BD137" i="69"/>
  <c r="BE137" i="69"/>
  <c r="BD138" i="69"/>
  <c r="BE138" i="69" s="1"/>
  <c r="BD139" i="69"/>
  <c r="BE139" i="69"/>
  <c r="BD140" i="69"/>
  <c r="BE140" i="69" s="1"/>
  <c r="BD141" i="69"/>
  <c r="BE141" i="69"/>
  <c r="BD142" i="69"/>
  <c r="BE142" i="69" s="1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/>
  <c r="AV100" i="69"/>
  <c r="AW100" i="69"/>
  <c r="AV101" i="69"/>
  <c r="AW101" i="69" s="1"/>
  <c r="AV102" i="69"/>
  <c r="AW102" i="69" s="1"/>
  <c r="AV103" i="69"/>
  <c r="AW103" i="69"/>
  <c r="AV104" i="69"/>
  <c r="AW104" i="69"/>
  <c r="AV105" i="69"/>
  <c r="AW105" i="69" s="1"/>
  <c r="AV106" i="69"/>
  <c r="AW106" i="69" s="1"/>
  <c r="AV107" i="69"/>
  <c r="AW107" i="69"/>
  <c r="AV108" i="69"/>
  <c r="AW108" i="69"/>
  <c r="AV109" i="69"/>
  <c r="AW109" i="69" s="1"/>
  <c r="AV110" i="69"/>
  <c r="AW110" i="69" s="1"/>
  <c r="AV111" i="69"/>
  <c r="AW111" i="69"/>
  <c r="AV112" i="69"/>
  <c r="AW112" i="69"/>
  <c r="AV113" i="69"/>
  <c r="AW113" i="69" s="1"/>
  <c r="AV114" i="69"/>
  <c r="AW114" i="69" s="1"/>
  <c r="AV115" i="69"/>
  <c r="AS4" i="69" s="1"/>
  <c r="AU4" i="69" s="1"/>
  <c r="AW115" i="69"/>
  <c r="AV116" i="69"/>
  <c r="AW116" i="69"/>
  <c r="AV117" i="69"/>
  <c r="AW117" i="69" s="1"/>
  <c r="AV118" i="69"/>
  <c r="AW118" i="69" s="1"/>
  <c r="AV119" i="69"/>
  <c r="AW119" i="69" s="1"/>
  <c r="AV120" i="69"/>
  <c r="AW120" i="69" s="1"/>
  <c r="AV121" i="69"/>
  <c r="AW121" i="69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 s="1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 s="1"/>
  <c r="AD99" i="69"/>
  <c r="AE99" i="69"/>
  <c r="AD100" i="69"/>
  <c r="AE100" i="69" s="1"/>
  <c r="AD101" i="69"/>
  <c r="AE101" i="69"/>
  <c r="AD102" i="69"/>
  <c r="AE102" i="69" s="1"/>
  <c r="AD103" i="69"/>
  <c r="AE103" i="69"/>
  <c r="AD104" i="69"/>
  <c r="AE104" i="69" s="1"/>
  <c r="AD105" i="69"/>
  <c r="AE105" i="69"/>
  <c r="AD106" i="69"/>
  <c r="AE106" i="69" s="1"/>
  <c r="AD107" i="69"/>
  <c r="AE107" i="69"/>
  <c r="AD108" i="69"/>
  <c r="AE108" i="69" s="1"/>
  <c r="AD109" i="69"/>
  <c r="AE109" i="69"/>
  <c r="AD110" i="69"/>
  <c r="AE110" i="69" s="1"/>
  <c r="AD111" i="69"/>
  <c r="AE111" i="69"/>
  <c r="AD112" i="69"/>
  <c r="AE112" i="69" s="1"/>
  <c r="AD113" i="69"/>
  <c r="AE113" i="69"/>
  <c r="AD114" i="69"/>
  <c r="AE114" i="69" s="1"/>
  <c r="AD115" i="69"/>
  <c r="AE115" i="69"/>
  <c r="AD116" i="69"/>
  <c r="AE116" i="69" s="1"/>
  <c r="AD117" i="69"/>
  <c r="AE117" i="69"/>
  <c r="AD118" i="69"/>
  <c r="AE118" i="69" s="1"/>
  <c r="AD119" i="69"/>
  <c r="AE119" i="69"/>
  <c r="AD120" i="69"/>
  <c r="AE120" i="69" s="1"/>
  <c r="AD121" i="69"/>
  <c r="AE121" i="69"/>
  <c r="AD122" i="69"/>
  <c r="AE122" i="69" s="1"/>
  <c r="AD123" i="69"/>
  <c r="AE123" i="69"/>
  <c r="AD124" i="69"/>
  <c r="AE124" i="69" s="1"/>
  <c r="AD125" i="69"/>
  <c r="AE125" i="69"/>
  <c r="AD126" i="69"/>
  <c r="AE126" i="69" s="1"/>
  <c r="AD127" i="69"/>
  <c r="AE127" i="69"/>
  <c r="AD128" i="69"/>
  <c r="AE128" i="69" s="1"/>
  <c r="AD129" i="69"/>
  <c r="AE129" i="69"/>
  <c r="AD130" i="69"/>
  <c r="AE130" i="69" s="1"/>
  <c r="AD131" i="69"/>
  <c r="AE131" i="69"/>
  <c r="AD132" i="69"/>
  <c r="AE132" i="69" s="1"/>
  <c r="AD133" i="69"/>
  <c r="AE133" i="69"/>
  <c r="AD134" i="69"/>
  <c r="AE134" i="69" s="1"/>
  <c r="AD135" i="69"/>
  <c r="AE135" i="69"/>
  <c r="AD136" i="69"/>
  <c r="AE136" i="69" s="1"/>
  <c r="AD137" i="69"/>
  <c r="AE137" i="69"/>
  <c r="AD138" i="69"/>
  <c r="AE138" i="69" s="1"/>
  <c r="AD139" i="69"/>
  <c r="AE139" i="69"/>
  <c r="AD140" i="69"/>
  <c r="AE140" i="69" s="1"/>
  <c r="AD141" i="69"/>
  <c r="AE141" i="69"/>
  <c r="AD142" i="69"/>
  <c r="AE142" i="69" s="1"/>
  <c r="AD143" i="69"/>
  <c r="AE143" i="69"/>
  <c r="AD144" i="69"/>
  <c r="AE144" i="69" s="1"/>
  <c r="AD145" i="69"/>
  <c r="AE145" i="69"/>
  <c r="AD146" i="69"/>
  <c r="AE146" i="69" s="1"/>
  <c r="AD147" i="69"/>
  <c r="AE147" i="69"/>
  <c r="AD148" i="69"/>
  <c r="AE148" i="69" s="1"/>
  <c r="AD149" i="69"/>
  <c r="AE149" i="69"/>
  <c r="AD150" i="69"/>
  <c r="AE150" i="69" s="1"/>
  <c r="AD151" i="69"/>
  <c r="AE151" i="69"/>
  <c r="AD152" i="69"/>
  <c r="AE152" i="69" s="1"/>
  <c r="AD153" i="69"/>
  <c r="AE153" i="69"/>
  <c r="AD154" i="69"/>
  <c r="AE154" i="69" s="1"/>
  <c r="AD155" i="69"/>
  <c r="AE155" i="69"/>
  <c r="AD156" i="69"/>
  <c r="AE156" i="69" s="1"/>
  <c r="AD157" i="69"/>
  <c r="AE157" i="69"/>
  <c r="T12" i="69"/>
  <c r="U12" i="69" s="1"/>
  <c r="T13" i="69"/>
  <c r="U13" i="69"/>
  <c r="T14" i="69"/>
  <c r="U14" i="69" s="1"/>
  <c r="T15" i="69"/>
  <c r="U15" i="69"/>
  <c r="T16" i="69"/>
  <c r="U16" i="69" s="1"/>
  <c r="T17" i="69"/>
  <c r="U17" i="69"/>
  <c r="T18" i="69"/>
  <c r="U18" i="69" s="1"/>
  <c r="T19" i="69"/>
  <c r="U19" i="69"/>
  <c r="T20" i="69"/>
  <c r="U20" i="69" s="1"/>
  <c r="T21" i="69"/>
  <c r="U21" i="69"/>
  <c r="T22" i="69"/>
  <c r="U22" i="69" s="1"/>
  <c r="T23" i="69"/>
  <c r="U23" i="69"/>
  <c r="T24" i="69"/>
  <c r="U24" i="69" s="1"/>
  <c r="T25" i="69"/>
  <c r="U25" i="69"/>
  <c r="T26" i="69"/>
  <c r="U26" i="69" s="1"/>
  <c r="T27" i="69"/>
  <c r="U27" i="69"/>
  <c r="T28" i="69"/>
  <c r="U28" i="69" s="1"/>
  <c r="T29" i="69"/>
  <c r="U29" i="69"/>
  <c r="T30" i="69"/>
  <c r="U30" i="69" s="1"/>
  <c r="T31" i="69"/>
  <c r="U31" i="69"/>
  <c r="T32" i="69"/>
  <c r="U32" i="69" s="1"/>
  <c r="T33" i="69"/>
  <c r="U33" i="69"/>
  <c r="T34" i="69"/>
  <c r="U34" i="69" s="1"/>
  <c r="T35" i="69"/>
  <c r="U35" i="69"/>
  <c r="T36" i="69"/>
  <c r="U36" i="69" s="1"/>
  <c r="T37" i="69"/>
  <c r="U37" i="69"/>
  <c r="T38" i="69"/>
  <c r="U38" i="69" s="1"/>
  <c r="T39" i="69"/>
  <c r="U39" i="69"/>
  <c r="T40" i="69"/>
  <c r="U40" i="69" s="1"/>
  <c r="T41" i="69"/>
  <c r="U41" i="69"/>
  <c r="T42" i="69"/>
  <c r="U42" i="69" s="1"/>
  <c r="T43" i="69"/>
  <c r="U43" i="69"/>
  <c r="T44" i="69"/>
  <c r="U44" i="69" s="1"/>
  <c r="T45" i="69"/>
  <c r="U45" i="69"/>
  <c r="T46" i="69"/>
  <c r="U46" i="69" s="1"/>
  <c r="T47" i="69"/>
  <c r="U47" i="69"/>
  <c r="T48" i="69"/>
  <c r="U48" i="69" s="1"/>
  <c r="T49" i="69"/>
  <c r="U49" i="69"/>
  <c r="T50" i="69"/>
  <c r="U50" i="69" s="1"/>
  <c r="T51" i="69"/>
  <c r="U51" i="69"/>
  <c r="T52" i="69"/>
  <c r="U52" i="69" s="1"/>
  <c r="T53" i="69"/>
  <c r="U53" i="69"/>
  <c r="T54" i="69"/>
  <c r="U54" i="69" s="1"/>
  <c r="T55" i="69"/>
  <c r="U55" i="69"/>
  <c r="T56" i="69"/>
  <c r="U56" i="69" s="1"/>
  <c r="T57" i="69"/>
  <c r="U57" i="69"/>
  <c r="T58" i="69"/>
  <c r="U58" i="69" s="1"/>
  <c r="T59" i="69"/>
  <c r="U59" i="69"/>
  <c r="T60" i="69"/>
  <c r="U60" i="69" s="1"/>
  <c r="T61" i="69"/>
  <c r="U61" i="69"/>
  <c r="T62" i="69"/>
  <c r="U62" i="69" s="1"/>
  <c r="T63" i="69"/>
  <c r="U63" i="69"/>
  <c r="T64" i="69"/>
  <c r="U64" i="69" s="1"/>
  <c r="T65" i="69"/>
  <c r="U65" i="69"/>
  <c r="T66" i="69"/>
  <c r="U66" i="69" s="1"/>
  <c r="T67" i="69"/>
  <c r="U67" i="69"/>
  <c r="T68" i="69"/>
  <c r="U68" i="69" s="1"/>
  <c r="T69" i="69"/>
  <c r="U69" i="69"/>
  <c r="T70" i="69"/>
  <c r="U70" i="69" s="1"/>
  <c r="T71" i="69"/>
  <c r="U71" i="69"/>
  <c r="T72" i="69"/>
  <c r="U72" i="69" s="1"/>
  <c r="T73" i="69"/>
  <c r="U73" i="69"/>
  <c r="T74" i="69"/>
  <c r="U74" i="69" s="1"/>
  <c r="T75" i="69"/>
  <c r="U75" i="69"/>
  <c r="T76" i="69"/>
  <c r="U76" i="69" s="1"/>
  <c r="T77" i="69"/>
  <c r="U77" i="69"/>
  <c r="T78" i="69"/>
  <c r="U78" i="69" s="1"/>
  <c r="T79" i="69"/>
  <c r="U79" i="69"/>
  <c r="T80" i="69"/>
  <c r="U80" i="69" s="1"/>
  <c r="T81" i="69"/>
  <c r="U81" i="69"/>
  <c r="T82" i="69"/>
  <c r="U82" i="69" s="1"/>
  <c r="T83" i="69"/>
  <c r="U83" i="69"/>
  <c r="T84" i="69"/>
  <c r="U84" i="69" s="1"/>
  <c r="T85" i="69"/>
  <c r="U85" i="69"/>
  <c r="T86" i="69"/>
  <c r="U86" i="69" s="1"/>
  <c r="T87" i="69"/>
  <c r="U87" i="69"/>
  <c r="T88" i="69"/>
  <c r="U88" i="69" s="1"/>
  <c r="T89" i="69"/>
  <c r="U89" i="69"/>
  <c r="T90" i="69"/>
  <c r="U90" i="69" s="1"/>
  <c r="T91" i="69"/>
  <c r="U91" i="69"/>
  <c r="T92" i="69"/>
  <c r="U92" i="69" s="1"/>
  <c r="T93" i="69"/>
  <c r="U93" i="69"/>
  <c r="T94" i="69"/>
  <c r="U94" i="69" s="1"/>
  <c r="T95" i="69"/>
  <c r="U95" i="69"/>
  <c r="T96" i="69"/>
  <c r="U96" i="69" s="1"/>
  <c r="T97" i="69"/>
  <c r="U97" i="69"/>
  <c r="T98" i="69"/>
  <c r="U98" i="69" s="1"/>
  <c r="T99" i="69"/>
  <c r="U99" i="69"/>
  <c r="T100" i="69"/>
  <c r="U100" i="69" s="1"/>
  <c r="T101" i="69"/>
  <c r="U101" i="69"/>
  <c r="T102" i="69"/>
  <c r="U102" i="69" s="1"/>
  <c r="T103" i="69"/>
  <c r="U103" i="69"/>
  <c r="T104" i="69"/>
  <c r="U104" i="69" s="1"/>
  <c r="T105" i="69"/>
  <c r="U105" i="69"/>
  <c r="T106" i="69"/>
  <c r="U106" i="69" s="1"/>
  <c r="T107" i="69"/>
  <c r="U107" i="69"/>
  <c r="T108" i="69"/>
  <c r="U108" i="69" s="1"/>
  <c r="T109" i="69"/>
  <c r="U109" i="69"/>
  <c r="T110" i="69"/>
  <c r="U110" i="69" s="1"/>
  <c r="T111" i="69"/>
  <c r="U111" i="69"/>
  <c r="T112" i="69"/>
  <c r="U112" i="69" s="1"/>
  <c r="T113" i="69"/>
  <c r="U113" i="69"/>
  <c r="T114" i="69"/>
  <c r="U114" i="69" s="1"/>
  <c r="T115" i="69"/>
  <c r="U115" i="69"/>
  <c r="T116" i="69"/>
  <c r="U116" i="69" s="1"/>
  <c r="T117" i="69"/>
  <c r="U117" i="69"/>
  <c r="T118" i="69"/>
  <c r="U118" i="69" s="1"/>
  <c r="T119" i="69"/>
  <c r="U119" i="69"/>
  <c r="T120" i="69"/>
  <c r="U120" i="69" s="1"/>
  <c r="T121" i="69"/>
  <c r="U121" i="69"/>
  <c r="T122" i="69"/>
  <c r="U122" i="69" s="1"/>
  <c r="T123" i="69"/>
  <c r="U123" i="69"/>
  <c r="T124" i="69"/>
  <c r="U124" i="69" s="1"/>
  <c r="T125" i="69"/>
  <c r="U125" i="69"/>
  <c r="T126" i="69"/>
  <c r="U126" i="69" s="1"/>
  <c r="T127" i="69"/>
  <c r="U127" i="69"/>
  <c r="T128" i="69"/>
  <c r="U128" i="69" s="1"/>
  <c r="T129" i="69"/>
  <c r="U129" i="69"/>
  <c r="T130" i="69"/>
  <c r="U130" i="69" s="1"/>
  <c r="T131" i="69"/>
  <c r="U131" i="69"/>
  <c r="T132" i="69"/>
  <c r="U132" i="69" s="1"/>
  <c r="T133" i="69"/>
  <c r="U133" i="69"/>
  <c r="T134" i="69"/>
  <c r="U134" i="69" s="1"/>
  <c r="T135" i="69"/>
  <c r="U135" i="69"/>
  <c r="T136" i="69"/>
  <c r="U136" i="69" s="1"/>
  <c r="T137" i="69"/>
  <c r="U137" i="69"/>
  <c r="T138" i="69"/>
  <c r="U138" i="69" s="1"/>
  <c r="T139" i="69"/>
  <c r="U139" i="69"/>
  <c r="T140" i="69"/>
  <c r="U140" i="69" s="1"/>
  <c r="T141" i="69"/>
  <c r="U141" i="69"/>
  <c r="T142" i="69"/>
  <c r="U142" i="69" s="1"/>
  <c r="T143" i="69"/>
  <c r="U143" i="69"/>
  <c r="T144" i="69"/>
  <c r="U144" i="69" s="1"/>
  <c r="T145" i="69"/>
  <c r="U145" i="69"/>
  <c r="T146" i="69"/>
  <c r="U146" i="69" s="1"/>
  <c r="T147" i="69"/>
  <c r="U147" i="69"/>
  <c r="T148" i="69"/>
  <c r="U148" i="69" s="1"/>
  <c r="T149" i="69"/>
  <c r="U149" i="69"/>
  <c r="T150" i="69"/>
  <c r="U150" i="69" s="1"/>
  <c r="T151" i="69"/>
  <c r="U151" i="69"/>
  <c r="T152" i="69"/>
  <c r="U152" i="69" s="1"/>
  <c r="T153" i="69"/>
  <c r="U153" i="69"/>
  <c r="T154" i="69"/>
  <c r="U154" i="69" s="1"/>
  <c r="T155" i="69"/>
  <c r="U155" i="69"/>
  <c r="T156" i="69"/>
  <c r="U156" i="69" s="1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BV7" i="69"/>
  <c r="BN7" i="69"/>
  <c r="BM7" i="69" s="1"/>
  <c r="AV7" i="69"/>
  <c r="AL7" i="69"/>
  <c r="AK7" i="69" s="1"/>
  <c r="T7" i="69"/>
  <c r="L7" i="69"/>
  <c r="FG6" i="69"/>
  <c r="EY6" i="69"/>
  <c r="EX6" i="69" s="1"/>
  <c r="EP6" i="69"/>
  <c r="EH6" i="69"/>
  <c r="EG6" i="69" s="1"/>
  <c r="DX6" i="69"/>
  <c r="DP6" i="69"/>
  <c r="DO6" i="69" s="1"/>
  <c r="DF6" i="69"/>
  <c r="CX6" i="69"/>
  <c r="CW6" i="69"/>
  <c r="CN6" i="69"/>
  <c r="BN6" i="69"/>
  <c r="BM6" i="69" s="1"/>
  <c r="AV6" i="69"/>
  <c r="AL6" i="69"/>
  <c r="AD6" i="69"/>
  <c r="AC6" i="69" s="1"/>
  <c r="T6" i="69"/>
  <c r="L6" i="69"/>
  <c r="FH5" i="69"/>
  <c r="EI5" i="69"/>
  <c r="DY5" i="69"/>
  <c r="DQ5" i="69"/>
  <c r="DG5" i="69"/>
  <c r="CY5" i="69"/>
  <c r="CO5" i="69"/>
  <c r="BO5" i="69"/>
  <c r="FD4" i="69"/>
  <c r="FF4" i="69" s="1"/>
  <c r="EE4" i="69"/>
  <c r="EG4" i="69" s="1"/>
  <c r="DU4" i="69"/>
  <c r="DW4" i="69" s="1"/>
  <c r="DM4" i="69"/>
  <c r="DO4" i="69" s="1"/>
  <c r="DC4" i="69"/>
  <c r="DE4" i="69" s="1"/>
  <c r="CW4" i="69"/>
  <c r="CU4" i="69"/>
  <c r="CK4" i="69"/>
  <c r="CM4" i="69" s="1"/>
  <c r="CC4" i="69"/>
  <c r="CE4" i="69" s="1"/>
  <c r="BK4" i="69"/>
  <c r="BM4" i="69" s="1"/>
  <c r="FH3" i="69"/>
  <c r="FD3" i="69"/>
  <c r="FF3" i="69" s="1"/>
  <c r="EI3" i="69"/>
  <c r="EG3" i="69"/>
  <c r="EE3" i="69"/>
  <c r="DY3" i="69"/>
  <c r="DU3" i="69"/>
  <c r="DW3" i="69" s="1"/>
  <c r="DQ3" i="69"/>
  <c r="DM3" i="69"/>
  <c r="DG3" i="69"/>
  <c r="DC3" i="69"/>
  <c r="DE3" i="69" s="1"/>
  <c r="CY3" i="69"/>
  <c r="CU3" i="69"/>
  <c r="CO3" i="69"/>
  <c r="CK3" i="69"/>
  <c r="CM3" i="69" s="1"/>
  <c r="CC3" i="69"/>
  <c r="BO3" i="69"/>
  <c r="BM3" i="69"/>
  <c r="BK3" i="69"/>
  <c r="Q3" i="69"/>
  <c r="A7" i="63" a="1"/>
  <c r="AU6" i="69" l="1"/>
  <c r="AQ2" i="69" s="1"/>
  <c r="EH4" i="70"/>
  <c r="EH2" i="70" s="1"/>
  <c r="EE9" i="70" s="1"/>
  <c r="E25" i="70" s="1"/>
  <c r="AS3" i="69"/>
  <c r="AU3" i="69" s="1"/>
  <c r="CG3" i="69"/>
  <c r="EM3" i="69"/>
  <c r="EO3" i="69" s="1"/>
  <c r="AA4" i="69"/>
  <c r="AC4" i="69" s="1"/>
  <c r="CG5" i="69"/>
  <c r="EZ5" i="69"/>
  <c r="BD6" i="69"/>
  <c r="BD7" i="69"/>
  <c r="BC7" i="69" s="1"/>
  <c r="AG4" i="70"/>
  <c r="BK6" i="69"/>
  <c r="A17" i="69" s="1"/>
  <c r="DO3" i="69"/>
  <c r="DM6" i="69" s="1"/>
  <c r="EQ3" i="69"/>
  <c r="AI4" i="69"/>
  <c r="AK4" i="69" s="1"/>
  <c r="EM4" i="69"/>
  <c r="EO4" i="69" s="1"/>
  <c r="AE9" i="69"/>
  <c r="Y4" i="70"/>
  <c r="DP4" i="70"/>
  <c r="DP2" i="70" s="1"/>
  <c r="DM9" i="70" s="1"/>
  <c r="E23" i="70" s="1"/>
  <c r="CC6" i="69"/>
  <c r="A19" i="69" s="1"/>
  <c r="DG5" i="70"/>
  <c r="DG3" i="70"/>
  <c r="DF4" i="70" s="1"/>
  <c r="DG7" i="70"/>
  <c r="AI3" i="69"/>
  <c r="AK3" i="69" s="1"/>
  <c r="AI6" i="69" s="1"/>
  <c r="Q4" i="69"/>
  <c r="S4" i="69" s="1"/>
  <c r="BW5" i="69"/>
  <c r="EQ5" i="69"/>
  <c r="BW5" i="70"/>
  <c r="BW3" i="70"/>
  <c r="BW7" i="70"/>
  <c r="EV3" i="69"/>
  <c r="EV4" i="69"/>
  <c r="EX4" i="69" s="1"/>
  <c r="K6" i="69"/>
  <c r="L9" i="69" s="1"/>
  <c r="B11" i="69" s="1"/>
  <c r="BU7" i="69"/>
  <c r="O4" i="70"/>
  <c r="BE7" i="70"/>
  <c r="AU7" i="69"/>
  <c r="CU6" i="69"/>
  <c r="A21" i="69" s="1"/>
  <c r="BV6" i="69"/>
  <c r="K7" i="69"/>
  <c r="G2" i="69" s="1"/>
  <c r="CE7" i="69"/>
  <c r="AA6" i="70"/>
  <c r="BS3" i="69"/>
  <c r="BU3" i="69" s="1"/>
  <c r="CW3" i="69"/>
  <c r="EZ3" i="69"/>
  <c r="S7" i="69"/>
  <c r="CE3" i="69"/>
  <c r="BW3" i="69"/>
  <c r="EE6" i="69"/>
  <c r="BS4" i="69"/>
  <c r="BU4" i="69" s="1"/>
  <c r="CF6" i="69"/>
  <c r="CE6" i="69" s="1"/>
  <c r="AD7" i="69"/>
  <c r="AC7" i="69" s="1"/>
  <c r="Y2" i="69" s="1"/>
  <c r="EY4" i="70"/>
  <c r="EY2" i="70" s="1"/>
  <c r="EV9" i="70" s="1"/>
  <c r="EQ5" i="70"/>
  <c r="EQ3" i="70"/>
  <c r="EP4" i="70" s="1"/>
  <c r="EP2" i="70" s="1"/>
  <c r="EQ7" i="70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AD4" i="70" s="1"/>
  <c r="U5" i="70"/>
  <c r="M3" i="70"/>
  <c r="L4" i="70" s="1"/>
  <c r="FG4" i="70"/>
  <c r="FG2" i="70" s="1"/>
  <c r="A22" i="70"/>
  <c r="A20" i="70"/>
  <c r="CN4" i="70"/>
  <c r="DX4" i="70"/>
  <c r="DX2" i="70" s="1"/>
  <c r="BD9" i="70"/>
  <c r="B16" i="70" s="1"/>
  <c r="CF4" i="70"/>
  <c r="CF2" i="70" s="1"/>
  <c r="T4" i="70"/>
  <c r="BN4" i="70"/>
  <c r="A15" i="70"/>
  <c r="AV4" i="70"/>
  <c r="A13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U9" i="69"/>
  <c r="U5" i="69" s="1"/>
  <c r="I3" i="69"/>
  <c r="K3" i="69" s="1"/>
  <c r="I4" i="69"/>
  <c r="K4" i="69" s="1"/>
  <c r="M9" i="69"/>
  <c r="M5" i="69" s="1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BC3" i="69"/>
  <c r="AQ4" i="69"/>
  <c r="S6" i="69"/>
  <c r="AD9" i="69"/>
  <c r="B13" i="69" s="1"/>
  <c r="AK6" i="69"/>
  <c r="AG2" i="69" s="1"/>
  <c r="BC6" i="69"/>
  <c r="AY2" i="69" s="1"/>
  <c r="BN9" i="69"/>
  <c r="B17" i="69" s="1"/>
  <c r="BU6" i="69"/>
  <c r="BV9" i="69" s="1"/>
  <c r="B18" i="69" s="1"/>
  <c r="CM6" i="69"/>
  <c r="CN9" i="69" s="1"/>
  <c r="B20" i="69" s="1"/>
  <c r="CX9" i="69"/>
  <c r="B21" i="69" s="1"/>
  <c r="DE6" i="69"/>
  <c r="DF9" i="69" s="1"/>
  <c r="B22" i="69" s="1"/>
  <c r="DP9" i="69"/>
  <c r="DW6" i="69"/>
  <c r="DX9" i="69" s="1"/>
  <c r="EH9" i="69"/>
  <c r="EH4" i="69" s="1"/>
  <c r="EH2" i="69" s="1"/>
  <c r="EE9" i="69" s="1"/>
  <c r="E25" i="69" s="1"/>
  <c r="EO6" i="69"/>
  <c r="EP9" i="69" s="1"/>
  <c r="EY9" i="69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D137" i="68"/>
  <c r="AE137" i="68" s="1"/>
  <c r="T137" i="68"/>
  <c r="U137" i="68" s="1"/>
  <c r="L137" i="68"/>
  <c r="M137" i="68" s="1"/>
  <c r="BD136" i="68"/>
  <c r="BE136" i="68" s="1"/>
  <c r="AV136" i="68"/>
  <c r="AW136" i="68" s="1"/>
  <c r="AL136" i="68"/>
  <c r="AM136" i="68" s="1"/>
  <c r="AD136" i="68"/>
  <c r="AD7" i="68" s="1"/>
  <c r="AC7" i="68" s="1"/>
  <c r="T136" i="68"/>
  <c r="U136" i="68" s="1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D36" i="68"/>
  <c r="BE36" i="68" s="1"/>
  <c r="AW36" i="68"/>
  <c r="AV36" i="68"/>
  <c r="AM36" i="68"/>
  <c r="AL36" i="68"/>
  <c r="AE36" i="68"/>
  <c r="AD36" i="68"/>
  <c r="T36" i="68"/>
  <c r="U36" i="68" s="1"/>
  <c r="M36" i="68"/>
  <c r="L36" i="68"/>
  <c r="BE35" i="68"/>
  <c r="BD35" i="68"/>
  <c r="AW35" i="68"/>
  <c r="AV35" i="68"/>
  <c r="AL35" i="68"/>
  <c r="AM35" i="68" s="1"/>
  <c r="AE35" i="68"/>
  <c r="AD35" i="68"/>
  <c r="U35" i="68"/>
  <c r="T35" i="68"/>
  <c r="M35" i="68"/>
  <c r="L35" i="68"/>
  <c r="BD34" i="68"/>
  <c r="BE34" i="68" s="1"/>
  <c r="AW34" i="68"/>
  <c r="AV34" i="68"/>
  <c r="AM34" i="68"/>
  <c r="AL34" i="68"/>
  <c r="AE34" i="68"/>
  <c r="AD34" i="68"/>
  <c r="T34" i="68"/>
  <c r="U34" i="68" s="1"/>
  <c r="M34" i="68"/>
  <c r="L34" i="68"/>
  <c r="BE33" i="68"/>
  <c r="BD33" i="68"/>
  <c r="AW33" i="68"/>
  <c r="AV33" i="68"/>
  <c r="AL33" i="68"/>
  <c r="AM33" i="68" s="1"/>
  <c r="AE33" i="68"/>
  <c r="AD33" i="68"/>
  <c r="U33" i="68"/>
  <c r="T33" i="68"/>
  <c r="M33" i="68"/>
  <c r="L33" i="68"/>
  <c r="BD32" i="68"/>
  <c r="BE32" i="68" s="1"/>
  <c r="AW32" i="68"/>
  <c r="AV32" i="68"/>
  <c r="AM32" i="68"/>
  <c r="AL32" i="68"/>
  <c r="AE32" i="68"/>
  <c r="AD32" i="68"/>
  <c r="T32" i="68"/>
  <c r="U32" i="68" s="1"/>
  <c r="M32" i="68"/>
  <c r="L32" i="68"/>
  <c r="BE31" i="68"/>
  <c r="BD31" i="68"/>
  <c r="AW31" i="68"/>
  <c r="AV31" i="68"/>
  <c r="AL31" i="68"/>
  <c r="AM31" i="68" s="1"/>
  <c r="AE31" i="68"/>
  <c r="AD31" i="68"/>
  <c r="U31" i="68"/>
  <c r="T31" i="68"/>
  <c r="M31" i="68"/>
  <c r="L31" i="68"/>
  <c r="BD30" i="68"/>
  <c r="BE30" i="68" s="1"/>
  <c r="AW30" i="68"/>
  <c r="AV30" i="68"/>
  <c r="AM30" i="68"/>
  <c r="AL30" i="68"/>
  <c r="AE30" i="68"/>
  <c r="AD30" i="68"/>
  <c r="T30" i="68"/>
  <c r="U30" i="68" s="1"/>
  <c r="M30" i="68"/>
  <c r="L30" i="68"/>
  <c r="BE29" i="68"/>
  <c r="BD29" i="68"/>
  <c r="AW29" i="68"/>
  <c r="AV29" i="68"/>
  <c r="AL29" i="68"/>
  <c r="AM29" i="68" s="1"/>
  <c r="AE29" i="68"/>
  <c r="AD29" i="68"/>
  <c r="U29" i="68"/>
  <c r="T29" i="68"/>
  <c r="M29" i="68"/>
  <c r="L29" i="68"/>
  <c r="BD28" i="68"/>
  <c r="BE28" i="68" s="1"/>
  <c r="AW28" i="68"/>
  <c r="AV28" i="68"/>
  <c r="AM28" i="68"/>
  <c r="AL28" i="68"/>
  <c r="AE28" i="68"/>
  <c r="AD28" i="68"/>
  <c r="T28" i="68"/>
  <c r="U28" i="68" s="1"/>
  <c r="M28" i="68"/>
  <c r="L28" i="68"/>
  <c r="BE27" i="68"/>
  <c r="BD27" i="68"/>
  <c r="AW27" i="68"/>
  <c r="AV27" i="68"/>
  <c r="AL27" i="68"/>
  <c r="AM27" i="68" s="1"/>
  <c r="AE27" i="68"/>
  <c r="AD27" i="68"/>
  <c r="U27" i="68"/>
  <c r="T27" i="68"/>
  <c r="M27" i="68"/>
  <c r="L27" i="68"/>
  <c r="BD26" i="68"/>
  <c r="BE26" i="68" s="1"/>
  <c r="AW26" i="68"/>
  <c r="AV26" i="68"/>
  <c r="AM26" i="68"/>
  <c r="AL26" i="68"/>
  <c r="AE26" i="68"/>
  <c r="AD26" i="68"/>
  <c r="T26" i="68"/>
  <c r="U26" i="68" s="1"/>
  <c r="L26" i="68"/>
  <c r="M26" i="68" s="1"/>
  <c r="BD25" i="68"/>
  <c r="BE25" i="68" s="1"/>
  <c r="AV25" i="68"/>
  <c r="AW25" i="68" s="1"/>
  <c r="AL25" i="68"/>
  <c r="AM25" i="68" s="1"/>
  <c r="AD25" i="68"/>
  <c r="AE25" i="68" s="1"/>
  <c r="T25" i="68"/>
  <c r="U25" i="68" s="1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F7" i="68"/>
  <c r="CE7" i="68" s="1"/>
  <c r="BV7" i="68"/>
  <c r="BN7" i="68"/>
  <c r="BM7" i="68" s="1"/>
  <c r="BD7" i="68"/>
  <c r="AV7" i="68"/>
  <c r="AU7" i="68" s="1"/>
  <c r="AL7" i="68"/>
  <c r="T7" i="68"/>
  <c r="S7" i="68" s="1"/>
  <c r="L7" i="68"/>
  <c r="K7" i="68" s="1"/>
  <c r="FG6" i="68"/>
  <c r="FF6" i="68" s="1"/>
  <c r="EY6" i="68"/>
  <c r="EX6" i="68" s="1"/>
  <c r="EP6" i="68"/>
  <c r="EO6" i="68" s="1"/>
  <c r="EH6" i="68"/>
  <c r="EG6" i="68" s="1"/>
  <c r="DX6" i="68"/>
  <c r="DW6" i="68" s="1"/>
  <c r="DP6" i="68"/>
  <c r="DO6" i="68" s="1"/>
  <c r="DF6" i="68"/>
  <c r="DE6" i="68" s="1"/>
  <c r="CX6" i="68"/>
  <c r="CW6" i="68" s="1"/>
  <c r="CF6" i="68"/>
  <c r="CE6" i="68" s="1"/>
  <c r="BN6" i="68"/>
  <c r="BM6" i="68" s="1"/>
  <c r="BD6" i="68"/>
  <c r="AV6" i="68"/>
  <c r="AU6" i="68" s="1"/>
  <c r="AQ2" i="68" s="1"/>
  <c r="AL6" i="68"/>
  <c r="AD6" i="68"/>
  <c r="AC6" i="68" s="1"/>
  <c r="T6" i="68"/>
  <c r="L6" i="68"/>
  <c r="EZ5" i="68"/>
  <c r="EQ5" i="68"/>
  <c r="EI5" i="68"/>
  <c r="DY5" i="68"/>
  <c r="DQ5" i="68"/>
  <c r="DG5" i="68"/>
  <c r="CY5" i="68"/>
  <c r="CG5" i="68"/>
  <c r="BW5" i="68"/>
  <c r="BO5" i="68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C4" i="68"/>
  <c r="CE4" i="68" s="1"/>
  <c r="BK4" i="68"/>
  <c r="BM4" i="68" s="1"/>
  <c r="AS4" i="68"/>
  <c r="AU4" i="68" s="1"/>
  <c r="AA4" i="68"/>
  <c r="AC4" i="68" s="1"/>
  <c r="I4" i="68"/>
  <c r="K4" i="68" s="1"/>
  <c r="FD3" i="68"/>
  <c r="EZ3" i="68"/>
  <c r="EV3" i="68"/>
  <c r="EX3" i="68" s="1"/>
  <c r="EQ3" i="68"/>
  <c r="EM3" i="68"/>
  <c r="EI3" i="68"/>
  <c r="EE3" i="68"/>
  <c r="EG3" i="68" s="1"/>
  <c r="DY3" i="68"/>
  <c r="DU3" i="68"/>
  <c r="DQ3" i="68"/>
  <c r="DM3" i="68"/>
  <c r="DO3" i="68" s="1"/>
  <c r="DG3" i="68"/>
  <c r="DC3" i="68"/>
  <c r="CY3" i="68"/>
  <c r="CU3" i="68"/>
  <c r="CW3" i="68" s="1"/>
  <c r="CG3" i="68"/>
  <c r="CC3" i="68"/>
  <c r="BW3" i="68"/>
  <c r="BO3" i="68"/>
  <c r="BM3" i="68"/>
  <c r="BK3" i="68"/>
  <c r="AS3" i="68"/>
  <c r="AC3" i="68"/>
  <c r="AA3" i="68"/>
  <c r="I3" i="68"/>
  <c r="K3" i="68" s="1"/>
  <c r="A6" i="63" a="1"/>
  <c r="Y2" i="68" l="1"/>
  <c r="Q3" i="68"/>
  <c r="FH3" i="68"/>
  <c r="BC6" i="68"/>
  <c r="BU7" i="68"/>
  <c r="M9" i="68"/>
  <c r="AE136" i="68"/>
  <c r="G4" i="69"/>
  <c r="BS3" i="68"/>
  <c r="BU3" i="68" s="1"/>
  <c r="BS6" i="68" s="1"/>
  <c r="BS4" i="68"/>
  <c r="BU4" i="68" s="1"/>
  <c r="CO5" i="68"/>
  <c r="FH5" i="68"/>
  <c r="U9" i="68"/>
  <c r="Q4" i="68"/>
  <c r="S4" i="68" s="1"/>
  <c r="K6" i="68"/>
  <c r="CM7" i="68"/>
  <c r="CN9" i="68" s="1"/>
  <c r="B20" i="68" s="1"/>
  <c r="AE9" i="68"/>
  <c r="AE7" i="68" s="1"/>
  <c r="DP4" i="69"/>
  <c r="DP2" i="69" s="1"/>
  <c r="DM9" i="69" s="1"/>
  <c r="E23" i="69" s="1"/>
  <c r="AV9" i="69"/>
  <c r="B15" i="69" s="1"/>
  <c r="AI3" i="68"/>
  <c r="CK4" i="68"/>
  <c r="CM4" i="68" s="1"/>
  <c r="S6" i="68"/>
  <c r="BV6" i="68"/>
  <c r="BU6" i="68" s="1"/>
  <c r="AM9" i="68"/>
  <c r="AM7" i="68" s="1"/>
  <c r="AI4" i="68"/>
  <c r="AK4" i="68" s="1"/>
  <c r="AK7" i="68"/>
  <c r="AW9" i="68"/>
  <c r="AW3" i="68" s="1"/>
  <c r="AA6" i="69"/>
  <c r="A13" i="69" s="1"/>
  <c r="AE7" i="69"/>
  <c r="AE5" i="69"/>
  <c r="BA3" i="68"/>
  <c r="CK3" i="68"/>
  <c r="CM3" i="68" s="1"/>
  <c r="CK6" i="68" s="1"/>
  <c r="BE9" i="68"/>
  <c r="BE3" i="68" s="1"/>
  <c r="O2" i="69"/>
  <c r="FD4" i="68"/>
  <c r="FF4" i="68" s="1"/>
  <c r="CN6" i="68"/>
  <c r="CM6" i="68" s="1"/>
  <c r="CO3" i="68"/>
  <c r="BA4" i="68"/>
  <c r="BC4" i="68" s="1"/>
  <c r="AK6" i="68"/>
  <c r="AG2" i="68" s="1"/>
  <c r="BC7" i="68"/>
  <c r="BD9" i="68" s="1"/>
  <c r="B16" i="68" s="1"/>
  <c r="CF9" i="69"/>
  <c r="B19" i="69" s="1"/>
  <c r="BD4" i="70"/>
  <c r="C16" i="70" s="1"/>
  <c r="EX3" i="69"/>
  <c r="EV6" i="69" s="1"/>
  <c r="EY4" i="69" s="1"/>
  <c r="EY2" i="69" s="1"/>
  <c r="EV9" i="69" s="1"/>
  <c r="AL4" i="70"/>
  <c r="C14" i="70" s="1"/>
  <c r="C18" i="70"/>
  <c r="BV2" i="70"/>
  <c r="D18" i="70" s="1"/>
  <c r="C11" i="70"/>
  <c r="L2" i="70"/>
  <c r="C13" i="70"/>
  <c r="AD2" i="70"/>
  <c r="C15" i="70"/>
  <c r="AV2" i="70"/>
  <c r="C12" i="70"/>
  <c r="T2" i="70"/>
  <c r="D12" i="70" s="1"/>
  <c r="D19" i="70"/>
  <c r="CC9" i="70"/>
  <c r="E19" i="70" s="1"/>
  <c r="C21" i="70"/>
  <c r="CX2" i="70"/>
  <c r="C17" i="70"/>
  <c r="C19" i="70"/>
  <c r="BN2" i="70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DF4" i="69"/>
  <c r="BV4" i="69"/>
  <c r="AD4" i="69"/>
  <c r="U7" i="68"/>
  <c r="U5" i="68"/>
  <c r="U3" i="68"/>
  <c r="BE7" i="68"/>
  <c r="BE5" i="68"/>
  <c r="M7" i="68"/>
  <c r="M5" i="68"/>
  <c r="M3" i="68"/>
  <c r="AE5" i="68"/>
  <c r="AW7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DE3" i="68"/>
  <c r="DC6" i="68" s="1"/>
  <c r="DW3" i="68"/>
  <c r="DU6" i="68" s="1"/>
  <c r="EO3" i="68"/>
  <c r="EM6" i="68" s="1"/>
  <c r="FF3" i="68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Y9" i="68"/>
  <c r="EY4" i="68" s="1"/>
  <c r="EY2" i="68" s="1"/>
  <c r="EV9" i="68" s="1"/>
  <c r="T9" i="68"/>
  <c r="B12" i="68" s="1"/>
  <c r="AL9" i="68"/>
  <c r="B14" i="68" s="1"/>
  <c r="BV9" i="68"/>
  <c r="B18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/>
  <c r="BD100" i="67"/>
  <c r="BE100" i="67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 s="1"/>
  <c r="AL14" i="67"/>
  <c r="AM14" i="67" s="1"/>
  <c r="AL15" i="67"/>
  <c r="AM15" i="67"/>
  <c r="AL16" i="67"/>
  <c r="AM16" i="67"/>
  <c r="AL17" i="67"/>
  <c r="AM17" i="67" s="1"/>
  <c r="AL18" i="67"/>
  <c r="AM18" i="67" s="1"/>
  <c r="AL19" i="67"/>
  <c r="AM19" i="67"/>
  <c r="AL20" i="67"/>
  <c r="AM20" i="67"/>
  <c r="AL21" i="67"/>
  <c r="AM21" i="67" s="1"/>
  <c r="AL22" i="67"/>
  <c r="AM22" i="67" s="1"/>
  <c r="AL23" i="67"/>
  <c r="AM23" i="67"/>
  <c r="AL24" i="67"/>
  <c r="AM24" i="67"/>
  <c r="AL25" i="67"/>
  <c r="AM25" i="67" s="1"/>
  <c r="AL26" i="67"/>
  <c r="AM26" i="67" s="1"/>
  <c r="AL27" i="67"/>
  <c r="AM27" i="67"/>
  <c r="AL28" i="67"/>
  <c r="AM28" i="67"/>
  <c r="AL29" i="67"/>
  <c r="AM29" i="67" s="1"/>
  <c r="AL30" i="67"/>
  <c r="AM30" i="67" s="1"/>
  <c r="AL31" i="67"/>
  <c r="AM31" i="67"/>
  <c r="AL32" i="67"/>
  <c r="AM32" i="67"/>
  <c r="AL33" i="67"/>
  <c r="AM33" i="67" s="1"/>
  <c r="AL34" i="67"/>
  <c r="AM34" i="67" s="1"/>
  <c r="AL35" i="67"/>
  <c r="AM35" i="67"/>
  <c r="AL36" i="67"/>
  <c r="AM36" i="67"/>
  <c r="AL37" i="67"/>
  <c r="AM37" i="67" s="1"/>
  <c r="AL38" i="67"/>
  <c r="AM38" i="67" s="1"/>
  <c r="AL39" i="67"/>
  <c r="AM39" i="67"/>
  <c r="AL40" i="67"/>
  <c r="AM40" i="67"/>
  <c r="AL41" i="67"/>
  <c r="AM41" i="67" s="1"/>
  <c r="AL42" i="67"/>
  <c r="AM42" i="67" s="1"/>
  <c r="AL43" i="67"/>
  <c r="AM43" i="67"/>
  <c r="AL44" i="67"/>
  <c r="AM44" i="67"/>
  <c r="AL45" i="67"/>
  <c r="AM45" i="67" s="1"/>
  <c r="AL46" i="67"/>
  <c r="AM46" i="67" s="1"/>
  <c r="AL47" i="67"/>
  <c r="AM47" i="67"/>
  <c r="AL48" i="67"/>
  <c r="AM48" i="67"/>
  <c r="AL49" i="67"/>
  <c r="AM49" i="67" s="1"/>
  <c r="AL50" i="67"/>
  <c r="AM50" i="67" s="1"/>
  <c r="AL51" i="67"/>
  <c r="AM51" i="67"/>
  <c r="AL52" i="67"/>
  <c r="AM52" i="67"/>
  <c r="AL53" i="67"/>
  <c r="AM53" i="67" s="1"/>
  <c r="AL54" i="67"/>
  <c r="AM54" i="67" s="1"/>
  <c r="AL55" i="67"/>
  <c r="AM55" i="67"/>
  <c r="AL56" i="67"/>
  <c r="AM56" i="67"/>
  <c r="AL57" i="67"/>
  <c r="AM57" i="67" s="1"/>
  <c r="AL58" i="67"/>
  <c r="AM58" i="67" s="1"/>
  <c r="AL59" i="67"/>
  <c r="AM59" i="67"/>
  <c r="AL60" i="67"/>
  <c r="AM60" i="67"/>
  <c r="AL61" i="67"/>
  <c r="AM61" i="67" s="1"/>
  <c r="AL62" i="67"/>
  <c r="AM62" i="67" s="1"/>
  <c r="AL63" i="67"/>
  <c r="AM63" i="67"/>
  <c r="AL64" i="67"/>
  <c r="AM64" i="67"/>
  <c r="AL65" i="67"/>
  <c r="AM65" i="67" s="1"/>
  <c r="AL66" i="67"/>
  <c r="AM66" i="67" s="1"/>
  <c r="AL67" i="67"/>
  <c r="AM67" i="67"/>
  <c r="AL68" i="67"/>
  <c r="AM68" i="67"/>
  <c r="AL69" i="67"/>
  <c r="AM69" i="67" s="1"/>
  <c r="AL70" i="67"/>
  <c r="AM70" i="67" s="1"/>
  <c r="AL71" i="67"/>
  <c r="AM71" i="67"/>
  <c r="AL72" i="67"/>
  <c r="AM72" i="67"/>
  <c r="AL73" i="67"/>
  <c r="AM73" i="67" s="1"/>
  <c r="AL74" i="67"/>
  <c r="AM74" i="67" s="1"/>
  <c r="AL75" i="67"/>
  <c r="AM75" i="67"/>
  <c r="AL76" i="67"/>
  <c r="AM76" i="67"/>
  <c r="AL77" i="67"/>
  <c r="AM77" i="67" s="1"/>
  <c r="AL78" i="67"/>
  <c r="AM78" i="67" s="1"/>
  <c r="AL79" i="67"/>
  <c r="AM79" i="67"/>
  <c r="AL80" i="67"/>
  <c r="AM80" i="67"/>
  <c r="AL81" i="67"/>
  <c r="AM81" i="67" s="1"/>
  <c r="AL82" i="67"/>
  <c r="AM82" i="67" s="1"/>
  <c r="AL83" i="67"/>
  <c r="AM83" i="67"/>
  <c r="AL84" i="67"/>
  <c r="AM84" i="67"/>
  <c r="AL85" i="67"/>
  <c r="AM85" i="67" s="1"/>
  <c r="AL86" i="67"/>
  <c r="AM86" i="67" s="1"/>
  <c r="AL87" i="67"/>
  <c r="AM87" i="67"/>
  <c r="AL88" i="67"/>
  <c r="AM88" i="67"/>
  <c r="AL89" i="67"/>
  <c r="AM89" i="67" s="1"/>
  <c r="AL90" i="67"/>
  <c r="AM90" i="67" s="1"/>
  <c r="AL91" i="67"/>
  <c r="AM91" i="67"/>
  <c r="AL92" i="67"/>
  <c r="AM92" i="67"/>
  <c r="AL93" i="67"/>
  <c r="AM93" i="67" s="1"/>
  <c r="AL94" i="67"/>
  <c r="AM94" i="67" s="1"/>
  <c r="AL95" i="67"/>
  <c r="AM95" i="67"/>
  <c r="AL96" i="67"/>
  <c r="AM96" i="67"/>
  <c r="AL97" i="67"/>
  <c r="AM97" i="67" s="1"/>
  <c r="AL98" i="67"/>
  <c r="AM98" i="67" s="1"/>
  <c r="AL99" i="67"/>
  <c r="AM99" i="67"/>
  <c r="AL100" i="67"/>
  <c r="AM100" i="67"/>
  <c r="AL101" i="67"/>
  <c r="AM101" i="67" s="1"/>
  <c r="AL102" i="67"/>
  <c r="AM102" i="67" s="1"/>
  <c r="AL103" i="67"/>
  <c r="AM103" i="67"/>
  <c r="AL104" i="67"/>
  <c r="AM104" i="67"/>
  <c r="AL105" i="67"/>
  <c r="AM105" i="67" s="1"/>
  <c r="AL106" i="67"/>
  <c r="AM106" i="67" s="1"/>
  <c r="AL107" i="67"/>
  <c r="AM107" i="67"/>
  <c r="AL108" i="67"/>
  <c r="AM108" i="67"/>
  <c r="AL109" i="67"/>
  <c r="AM109" i="67" s="1"/>
  <c r="AL110" i="67"/>
  <c r="AM110" i="67" s="1"/>
  <c r="AL111" i="67"/>
  <c r="AM111" i="67"/>
  <c r="AL112" i="67"/>
  <c r="AM112" i="67"/>
  <c r="AL113" i="67"/>
  <c r="AM113" i="67" s="1"/>
  <c r="AL114" i="67"/>
  <c r="AM114" i="67" s="1"/>
  <c r="AL115" i="67"/>
  <c r="AM115" i="67" s="1"/>
  <c r="AL116" i="67"/>
  <c r="AM116" i="67"/>
  <c r="AL117" i="67"/>
  <c r="AM117" i="67" s="1"/>
  <c r="AL118" i="67"/>
  <c r="AM118" i="67" s="1"/>
  <c r="AL119" i="67"/>
  <c r="AM119" i="67" s="1"/>
  <c r="AL120" i="67"/>
  <c r="AM120" i="67"/>
  <c r="AL121" i="67"/>
  <c r="AM121" i="67" s="1"/>
  <c r="AL122" i="67"/>
  <c r="AM122" i="67" s="1"/>
  <c r="AL123" i="67"/>
  <c r="AM123" i="67" s="1"/>
  <c r="AL124" i="67"/>
  <c r="AM124" i="67"/>
  <c r="AL125" i="67"/>
  <c r="AM125" i="67" s="1"/>
  <c r="AL126" i="67"/>
  <c r="AM126" i="67" s="1"/>
  <c r="AL127" i="67"/>
  <c r="AM127" i="67" s="1"/>
  <c r="AL128" i="67"/>
  <c r="AM128" i="67"/>
  <c r="AL129" i="67"/>
  <c r="AM129" i="67" s="1"/>
  <c r="AL130" i="67"/>
  <c r="AM130" i="67" s="1"/>
  <c r="AL131" i="67"/>
  <c r="AM131" i="67" s="1"/>
  <c r="AL132" i="67"/>
  <c r="AM132" i="67"/>
  <c r="AL133" i="67"/>
  <c r="AM133" i="67" s="1"/>
  <c r="AL134" i="67"/>
  <c r="AM134" i="67" s="1"/>
  <c r="AL135" i="67"/>
  <c r="AM135" i="67" s="1"/>
  <c r="AL136" i="67"/>
  <c r="AM136" i="67"/>
  <c r="AL137" i="67"/>
  <c r="AM137" i="67" s="1"/>
  <c r="AL138" i="67"/>
  <c r="AM138" i="67" s="1"/>
  <c r="AL139" i="67"/>
  <c r="AM139" i="67" s="1"/>
  <c r="AL140" i="67"/>
  <c r="AM140" i="67"/>
  <c r="AL141" i="67"/>
  <c r="AM141" i="67" s="1"/>
  <c r="AL142" i="67"/>
  <c r="AM142" i="67" s="1"/>
  <c r="AL143" i="67"/>
  <c r="AM143" i="67" s="1"/>
  <c r="AL144" i="67"/>
  <c r="AM144" i="67"/>
  <c r="AL145" i="67"/>
  <c r="AM145" i="67" s="1"/>
  <c r="AL146" i="67"/>
  <c r="AM146" i="67" s="1"/>
  <c r="AL147" i="67"/>
  <c r="AM147" i="67" s="1"/>
  <c r="AL148" i="67"/>
  <c r="AM148" i="67"/>
  <c r="AL149" i="67"/>
  <c r="AM149" i="67" s="1"/>
  <c r="AL150" i="67"/>
  <c r="AM150" i="67" s="1"/>
  <c r="AL151" i="67"/>
  <c r="AM151" i="67" s="1"/>
  <c r="AL152" i="67"/>
  <c r="AM152" i="67"/>
  <c r="AL153" i="67"/>
  <c r="AM153" i="67" s="1"/>
  <c r="AL154" i="67"/>
  <c r="AM154" i="67" s="1"/>
  <c r="AL155" i="67"/>
  <c r="AM155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/>
  <c r="T99" i="67"/>
  <c r="U99" i="67" s="1"/>
  <c r="T100" i="67"/>
  <c r="U100" i="67"/>
  <c r="T101" i="67"/>
  <c r="U101" i="67" s="1"/>
  <c r="T102" i="67"/>
  <c r="U102" i="67"/>
  <c r="T103" i="67"/>
  <c r="U103" i="67" s="1"/>
  <c r="T104" i="67"/>
  <c r="U104" i="67"/>
  <c r="T105" i="67"/>
  <c r="U105" i="67" s="1"/>
  <c r="T106" i="67"/>
  <c r="U106" i="67"/>
  <c r="T107" i="67"/>
  <c r="U107" i="67" s="1"/>
  <c r="T108" i="67"/>
  <c r="U108" i="67"/>
  <c r="T109" i="67"/>
  <c r="U109" i="67" s="1"/>
  <c r="T110" i="67"/>
  <c r="U110" i="67"/>
  <c r="T111" i="67"/>
  <c r="U111" i="67" s="1"/>
  <c r="T112" i="67"/>
  <c r="U112" i="67"/>
  <c r="T113" i="67"/>
  <c r="U113" i="67" s="1"/>
  <c r="T114" i="67"/>
  <c r="U114" i="67"/>
  <c r="T115" i="67"/>
  <c r="U115" i="67" s="1"/>
  <c r="T116" i="67"/>
  <c r="U116" i="67"/>
  <c r="T117" i="67"/>
  <c r="U117" i="67" s="1"/>
  <c r="T118" i="67"/>
  <c r="U118" i="67"/>
  <c r="T119" i="67"/>
  <c r="U119" i="67" s="1"/>
  <c r="T120" i="67"/>
  <c r="U120" i="67"/>
  <c r="T121" i="67"/>
  <c r="U121" i="67" s="1"/>
  <c r="T122" i="67"/>
  <c r="U122" i="67"/>
  <c r="T123" i="67"/>
  <c r="U123" i="67" s="1"/>
  <c r="T124" i="67"/>
  <c r="U124" i="67"/>
  <c r="T125" i="67"/>
  <c r="U125" i="67" s="1"/>
  <c r="T126" i="67"/>
  <c r="U126" i="67"/>
  <c r="T127" i="67"/>
  <c r="U127" i="67" s="1"/>
  <c r="T128" i="67"/>
  <c r="U128" i="67"/>
  <c r="T129" i="67"/>
  <c r="U129" i="67" s="1"/>
  <c r="T130" i="67"/>
  <c r="U130" i="67"/>
  <c r="T131" i="67"/>
  <c r="U131" i="67" s="1"/>
  <c r="T132" i="67"/>
  <c r="U132" i="67"/>
  <c r="T133" i="67"/>
  <c r="U133" i="67" s="1"/>
  <c r="T134" i="67"/>
  <c r="U134" i="67"/>
  <c r="T135" i="67"/>
  <c r="U135" i="67" s="1"/>
  <c r="T136" i="67"/>
  <c r="U136" i="67"/>
  <c r="T137" i="67"/>
  <c r="U137" i="67" s="1"/>
  <c r="T138" i="67"/>
  <c r="U138" i="67"/>
  <c r="T139" i="67"/>
  <c r="U139" i="67" s="1"/>
  <c r="T140" i="67"/>
  <c r="U140" i="67"/>
  <c r="T141" i="67"/>
  <c r="U141" i="67" s="1"/>
  <c r="T142" i="67"/>
  <c r="U142" i="67"/>
  <c r="T143" i="67"/>
  <c r="U143" i="67" s="1"/>
  <c r="T144" i="67"/>
  <c r="U144" i="67"/>
  <c r="T145" i="67"/>
  <c r="U145" i="67" s="1"/>
  <c r="T146" i="67"/>
  <c r="U146" i="67"/>
  <c r="T147" i="67"/>
  <c r="U147" i="67" s="1"/>
  <c r="T148" i="67"/>
  <c r="U148" i="67"/>
  <c r="T149" i="67"/>
  <c r="U149" i="67" s="1"/>
  <c r="T150" i="67"/>
  <c r="U150" i="67"/>
  <c r="T151" i="67"/>
  <c r="U151" i="67"/>
  <c r="T152" i="67"/>
  <c r="U152" i="67" s="1"/>
  <c r="T153" i="67"/>
  <c r="U153" i="67" s="1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 s="1"/>
  <c r="L99" i="67"/>
  <c r="M99" i="67"/>
  <c r="L100" i="67"/>
  <c r="M100" i="67" s="1"/>
  <c r="L101" i="67"/>
  <c r="M101" i="67"/>
  <c r="L102" i="67"/>
  <c r="M102" i="67" s="1"/>
  <c r="L103" i="67"/>
  <c r="M103" i="67"/>
  <c r="L104" i="67"/>
  <c r="M104" i="67" s="1"/>
  <c r="L105" i="67"/>
  <c r="M105" i="67"/>
  <c r="L106" i="67"/>
  <c r="M106" i="67" s="1"/>
  <c r="L107" i="67"/>
  <c r="M107" i="67"/>
  <c r="L108" i="67"/>
  <c r="M108" i="67" s="1"/>
  <c r="L109" i="67"/>
  <c r="M109" i="67"/>
  <c r="L110" i="67"/>
  <c r="M110" i="67" s="1"/>
  <c r="L111" i="67"/>
  <c r="M111" i="67"/>
  <c r="L112" i="67"/>
  <c r="M112" i="67" s="1"/>
  <c r="L113" i="67"/>
  <c r="M113" i="67"/>
  <c r="L114" i="67"/>
  <c r="M114" i="67" s="1"/>
  <c r="L115" i="67"/>
  <c r="M115" i="67"/>
  <c r="L116" i="67"/>
  <c r="M116" i="67" s="1"/>
  <c r="L117" i="67"/>
  <c r="M117" i="67"/>
  <c r="L118" i="67"/>
  <c r="M118" i="67" s="1"/>
  <c r="L119" i="67"/>
  <c r="M119" i="67"/>
  <c r="L120" i="67"/>
  <c r="M120" i="67" s="1"/>
  <c r="L121" i="67"/>
  <c r="M121" i="67"/>
  <c r="L122" i="67"/>
  <c r="M122" i="67" s="1"/>
  <c r="L123" i="67"/>
  <c r="M123" i="67"/>
  <c r="L124" i="67"/>
  <c r="M124" i="67" s="1"/>
  <c r="L125" i="67"/>
  <c r="M125" i="67"/>
  <c r="L126" i="67"/>
  <c r="M126" i="67" s="1"/>
  <c r="L127" i="67"/>
  <c r="M127" i="67"/>
  <c r="L128" i="67"/>
  <c r="M128" i="67" s="1"/>
  <c r="L129" i="67"/>
  <c r="M129" i="67"/>
  <c r="L130" i="67"/>
  <c r="M130" i="67" s="1"/>
  <c r="L131" i="67"/>
  <c r="M131" i="67"/>
  <c r="L132" i="67"/>
  <c r="M132" i="67" s="1"/>
  <c r="L133" i="67"/>
  <c r="M133" i="67" s="1"/>
  <c r="L134" i="67"/>
  <c r="M134" i="67"/>
  <c r="L135" i="67"/>
  <c r="M135" i="67" s="1"/>
  <c r="L136" i="67"/>
  <c r="M136" i="67" s="1"/>
  <c r="L137" i="67"/>
  <c r="M137" i="67" s="1"/>
  <c r="L138" i="67"/>
  <c r="M138" i="67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N7" i="67"/>
  <c r="CM7" i="67" s="1"/>
  <c r="CF7" i="67"/>
  <c r="CE7" i="67" s="1"/>
  <c r="BV7" i="67"/>
  <c r="BU7" i="67" s="1"/>
  <c r="BN7" i="67"/>
  <c r="BM7" i="67" s="1"/>
  <c r="BD7" i="67"/>
  <c r="AV7" i="67"/>
  <c r="AL7" i="67"/>
  <c r="AK7" i="67" s="1"/>
  <c r="AD7" i="67"/>
  <c r="T7" i="67"/>
  <c r="L7" i="67"/>
  <c r="K7" i="67" s="1"/>
  <c r="FG6" i="67"/>
  <c r="EY6" i="67"/>
  <c r="EX6" i="67" s="1"/>
  <c r="EP6" i="67"/>
  <c r="EH6" i="67"/>
  <c r="EG6" i="67" s="1"/>
  <c r="DX6" i="67"/>
  <c r="DP6" i="67"/>
  <c r="DO6" i="67" s="1"/>
  <c r="DF6" i="67"/>
  <c r="CX6" i="67"/>
  <c r="CW6" i="67" s="1"/>
  <c r="CN6" i="67"/>
  <c r="CF6" i="67"/>
  <c r="CE6" i="67" s="1"/>
  <c r="BV6" i="67"/>
  <c r="BN6" i="67"/>
  <c r="BM6" i="67" s="1"/>
  <c r="BD6" i="67"/>
  <c r="AV6" i="67"/>
  <c r="AU6" i="67" s="1"/>
  <c r="AL6" i="67"/>
  <c r="AD6" i="67"/>
  <c r="L6" i="67"/>
  <c r="FH5" i="67"/>
  <c r="EZ5" i="67"/>
  <c r="EQ5" i="67"/>
  <c r="EI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E4" i="67"/>
  <c r="EG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K4" i="67"/>
  <c r="BM4" i="67" s="1"/>
  <c r="BA4" i="67"/>
  <c r="BC4" i="67" s="1"/>
  <c r="AI4" i="67"/>
  <c r="AK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U3" i="67"/>
  <c r="DW3" i="67" s="1"/>
  <c r="DQ3" i="67"/>
  <c r="DM3" i="67"/>
  <c r="DG3" i="67"/>
  <c r="DC3" i="67"/>
  <c r="DE3" i="67" s="1"/>
  <c r="CY3" i="67"/>
  <c r="CU3" i="67"/>
  <c r="CW3" i="67" s="1"/>
  <c r="CO3" i="67"/>
  <c r="CK3" i="67"/>
  <c r="CM3" i="67" s="1"/>
  <c r="CG3" i="67"/>
  <c r="CC3" i="67"/>
  <c r="BW3" i="67"/>
  <c r="BS3" i="67"/>
  <c r="BU3" i="67" s="1"/>
  <c r="BO3" i="67"/>
  <c r="BK3" i="67"/>
  <c r="BM3" i="67" s="1"/>
  <c r="AI3" i="67"/>
  <c r="I3" i="67"/>
  <c r="A5" i="63" a="1"/>
  <c r="DY3" i="67" l="1"/>
  <c r="EH4" i="68"/>
  <c r="EH2" i="68" s="1"/>
  <c r="EE9" i="68" s="1"/>
  <c r="E25" i="68" s="1"/>
  <c r="AE3" i="68"/>
  <c r="AM3" i="68"/>
  <c r="AL2" i="70"/>
  <c r="D14" i="70" s="1"/>
  <c r="DU4" i="67"/>
  <c r="DW4" i="67" s="1"/>
  <c r="S7" i="67"/>
  <c r="AM5" i="68"/>
  <c r="AV4" i="69"/>
  <c r="AC7" i="67"/>
  <c r="Y2" i="67" s="1"/>
  <c r="CW7" i="67"/>
  <c r="Q3" i="67"/>
  <c r="AA3" i="67"/>
  <c r="AC3" i="67" s="1"/>
  <c r="Q4" i="67"/>
  <c r="S4" i="67" s="1"/>
  <c r="K6" i="67"/>
  <c r="L9" i="67" s="1"/>
  <c r="B11" i="67" s="1"/>
  <c r="AY2" i="68"/>
  <c r="AA4" i="67"/>
  <c r="AC4" i="67" s="1"/>
  <c r="T6" i="67"/>
  <c r="S6" i="67" s="1"/>
  <c r="O2" i="67" s="1"/>
  <c r="AU7" i="67"/>
  <c r="AV9" i="67" s="1"/>
  <c r="B15" i="67" s="1"/>
  <c r="AS3" i="67"/>
  <c r="AC6" i="67"/>
  <c r="BC7" i="67"/>
  <c r="AM9" i="67"/>
  <c r="AM7" i="67" s="1"/>
  <c r="FD6" i="68"/>
  <c r="FG4" i="68" s="1"/>
  <c r="FG2" i="68" s="1"/>
  <c r="BD2" i="70"/>
  <c r="D16" i="70" s="1"/>
  <c r="BA3" i="67"/>
  <c r="AS4" i="67"/>
  <c r="AU4" i="67" s="1"/>
  <c r="DY5" i="67"/>
  <c r="D21" i="70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E9" i="67"/>
  <c r="U9" i="67"/>
  <c r="U5" i="67" s="1"/>
  <c r="M9" i="67"/>
  <c r="G2" i="67"/>
  <c r="K3" i="67"/>
  <c r="I6" i="67" s="1"/>
  <c r="A11" i="67" s="1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D9" i="67"/>
  <c r="B13" i="67" s="1"/>
  <c r="AK6" i="67"/>
  <c r="AG2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CG3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F7" i="65"/>
  <c r="BV7" i="65"/>
  <c r="BU7" i="65" s="1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 s="1"/>
  <c r="BV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M4" i="65"/>
  <c r="EO4" i="65" s="1"/>
  <c r="DU4" i="65"/>
  <c r="DW4" i="65" s="1"/>
  <c r="DM4" i="65"/>
  <c r="DO4" i="65" s="1"/>
  <c r="DC4" i="65"/>
  <c r="DE4" i="65" s="1"/>
  <c r="CU4" i="65"/>
  <c r="CW4" i="65" s="1"/>
  <c r="BS4" i="65"/>
  <c r="BU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A4" i="63" a="1"/>
  <c r="J8" i="63"/>
  <c r="E8" i="63"/>
  <c r="EV3" i="65" l="1"/>
  <c r="EX3" i="65" s="1"/>
  <c r="FD3" i="65"/>
  <c r="FF3" i="65" s="1"/>
  <c r="BK4" i="65"/>
  <c r="BM4" i="65" s="1"/>
  <c r="EE4" i="65"/>
  <c r="EG4" i="65" s="1"/>
  <c r="CC4" i="65"/>
  <c r="CE4" i="65" s="1"/>
  <c r="CE7" i="65"/>
  <c r="CA2" i="65" s="1"/>
  <c r="AQ4" i="67"/>
  <c r="CC3" i="65"/>
  <c r="CK4" i="65"/>
  <c r="CM4" i="65" s="1"/>
  <c r="EV4" i="65"/>
  <c r="EX4" i="65" s="1"/>
  <c r="EV6" i="65" s="1"/>
  <c r="EY4" i="65" s="1"/>
  <c r="EY2" i="65" s="1"/>
  <c r="EV9" i="65" s="1"/>
  <c r="BN6" i="65"/>
  <c r="CM7" i="65"/>
  <c r="EH4" i="67"/>
  <c r="EH2" i="67" s="1"/>
  <c r="EE9" i="67" s="1"/>
  <c r="E25" i="67" s="1"/>
  <c r="AM5" i="67"/>
  <c r="CK3" i="65"/>
  <c r="CM3" i="65" s="1"/>
  <c r="AA6" i="67"/>
  <c r="A13" i="67" s="1"/>
  <c r="AM3" i="67"/>
  <c r="C14" i="69"/>
  <c r="AL2" i="69"/>
  <c r="D14" i="69" s="1"/>
  <c r="C12" i="69"/>
  <c r="T2" i="69"/>
  <c r="D12" i="69" s="1"/>
  <c r="D13" i="69"/>
  <c r="D21" i="69"/>
  <c r="CU9" i="69"/>
  <c r="E21" i="69" s="1"/>
  <c r="C16" i="69"/>
  <c r="BD2" i="69"/>
  <c r="D16" i="69" s="1"/>
  <c r="D15" i="69"/>
  <c r="D11" i="69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V4" i="67" s="1"/>
  <c r="AE7" i="67"/>
  <c r="AE5" i="67"/>
  <c r="AE3" i="67"/>
  <c r="U7" i="67"/>
  <c r="U3" i="67"/>
  <c r="CI2" i="65"/>
  <c r="G4" i="67"/>
  <c r="M7" i="67"/>
  <c r="M5" i="67"/>
  <c r="M3" i="67"/>
  <c r="L4" i="67" s="1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I6" i="67"/>
  <c r="CX4" i="67"/>
  <c r="BN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DA4" i="65"/>
  <c r="DC6" i="65"/>
  <c r="A22" i="65" s="1"/>
  <c r="DU6" i="65"/>
  <c r="EM6" i="65"/>
  <c r="M7" i="65"/>
  <c r="AE5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G4" i="65"/>
  <c r="O4" i="65"/>
  <c r="Y4" i="65"/>
  <c r="AG4" i="65"/>
  <c r="AQ4" i="65"/>
  <c r="AY4" i="65"/>
  <c r="BI4" i="65"/>
  <c r="BQ4" i="65"/>
  <c r="CA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C8" i="63"/>
  <c r="L8" i="63"/>
  <c r="B8" i="63"/>
  <c r="D8" i="63"/>
  <c r="J7" i="63"/>
  <c r="H8" i="63"/>
  <c r="E7" i="63"/>
  <c r="J6" i="63"/>
  <c r="G8" i="63"/>
  <c r="I8" i="63"/>
  <c r="AW7" i="65" l="1"/>
  <c r="I9" i="69"/>
  <c r="E11" i="69" s="1"/>
  <c r="AA9" i="69"/>
  <c r="E13" i="69" s="1"/>
  <c r="CK6" i="65"/>
  <c r="A20" i="65" s="1"/>
  <c r="M5" i="65"/>
  <c r="AS9" i="69"/>
  <c r="E15" i="69" s="1"/>
  <c r="CI4" i="65"/>
  <c r="FD6" i="65"/>
  <c r="FG4" i="65" s="1"/>
  <c r="FG2" i="65" s="1"/>
  <c r="AE7" i="65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T4" i="65" s="1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CX4" i="65"/>
  <c r="BN4" i="65"/>
  <c r="BV9" i="65"/>
  <c r="B18" i="65" s="1"/>
  <c r="AV4" i="65"/>
  <c r="L4" i="65"/>
  <c r="CN4" i="65"/>
  <c r="BD4" i="65"/>
  <c r="B7" i="63"/>
  <c r="C7" i="63"/>
  <c r="G6" i="63"/>
  <c r="L7" i="63"/>
  <c r="I6" i="63"/>
  <c r="D7" i="63"/>
  <c r="G7" i="63"/>
  <c r="H6" i="63"/>
  <c r="I7" i="63"/>
  <c r="E6" i="63"/>
  <c r="H7" i="63"/>
  <c r="AD4" i="65" l="1"/>
  <c r="DF4" i="65"/>
  <c r="C12" i="67"/>
  <c r="T2" i="67"/>
  <c r="D12" i="67" s="1"/>
  <c r="D15" i="67"/>
  <c r="D21" i="67"/>
  <c r="CU9" i="67"/>
  <c r="E21" i="67" s="1"/>
  <c r="D11" i="67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B6" i="63"/>
  <c r="L6" i="63"/>
  <c r="J5" i="63"/>
  <c r="D6" i="63"/>
  <c r="C6" i="63"/>
  <c r="E5" i="63"/>
  <c r="I9" i="67" l="1"/>
  <c r="E11" i="67" s="1"/>
  <c r="AS9" i="67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5" i="63"/>
  <c r="C5" i="63"/>
  <c r="D5" i="63"/>
  <c r="I5" i="63"/>
  <c r="L5" i="63"/>
  <c r="G5" i="63"/>
  <c r="H5" i="63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 s="1"/>
  <c r="BD99" i="66"/>
  <c r="BE99" i="66"/>
  <c r="BD100" i="66"/>
  <c r="BE100" i="66" s="1"/>
  <c r="BD101" i="66"/>
  <c r="BE101" i="66"/>
  <c r="BD102" i="66"/>
  <c r="BE102" i="66" s="1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 s="1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/>
  <c r="AD99" i="66"/>
  <c r="AE99" i="66"/>
  <c r="AD100" i="66"/>
  <c r="AE100" i="66"/>
  <c r="AD101" i="66"/>
  <c r="AE101" i="66" s="1"/>
  <c r="AD102" i="66"/>
  <c r="AE102" i="66"/>
  <c r="AD103" i="66"/>
  <c r="AE103" i="66"/>
  <c r="AD104" i="66"/>
  <c r="AE104" i="66"/>
  <c r="AD105" i="66"/>
  <c r="AE105" i="66" s="1"/>
  <c r="AD106" i="66"/>
  <c r="AE106" i="66"/>
  <c r="AD107" i="66"/>
  <c r="AE107" i="66"/>
  <c r="AD108" i="66"/>
  <c r="AE108" i="66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M7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CX7" i="66"/>
  <c r="CN7" i="66"/>
  <c r="CM7" i="66" s="1"/>
  <c r="CF7" i="66"/>
  <c r="CE7" i="66" s="1"/>
  <c r="BV7" i="66"/>
  <c r="BN7" i="66"/>
  <c r="BM7" i="66" s="1"/>
  <c r="BD7" i="66"/>
  <c r="BC7" i="66" s="1"/>
  <c r="AV7" i="66"/>
  <c r="AU7" i="66" s="1"/>
  <c r="AL7" i="66"/>
  <c r="AD7" i="66"/>
  <c r="AC7" i="66" s="1"/>
  <c r="T7" i="66"/>
  <c r="S7" i="66" s="1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CN6" i="66"/>
  <c r="CM6" i="66" s="1"/>
  <c r="CF6" i="66"/>
  <c r="CE6" i="66" s="1"/>
  <c r="BN6" i="66"/>
  <c r="BM6" i="66" s="1"/>
  <c r="BD6" i="66"/>
  <c r="BC6" i="66" s="1"/>
  <c r="AV6" i="66"/>
  <c r="AU6" i="66" s="1"/>
  <c r="AL6" i="66"/>
  <c r="AD6" i="66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V3" i="66"/>
  <c r="EX3" i="66" s="1"/>
  <c r="EQ3" i="66"/>
  <c r="EM3" i="66"/>
  <c r="EI3" i="66"/>
  <c r="EE3" i="66"/>
  <c r="EG3" i="66" s="1"/>
  <c r="DY3" i="66"/>
  <c r="DU3" i="66"/>
  <c r="DQ3" i="66"/>
  <c r="DM3" i="66"/>
  <c r="DO3" i="66" s="1"/>
  <c r="DG3" i="66"/>
  <c r="CO3" i="66"/>
  <c r="CK3" i="66"/>
  <c r="CG3" i="66"/>
  <c r="CC3" i="66"/>
  <c r="CE3" i="66" s="1"/>
  <c r="BW3" i="66"/>
  <c r="BS3" i="66"/>
  <c r="BO3" i="66"/>
  <c r="BK3" i="66"/>
  <c r="BM3" i="66" s="1"/>
  <c r="BE3" i="66"/>
  <c r="BA3" i="66"/>
  <c r="AS3" i="66"/>
  <c r="AU3" i="66" s="1"/>
  <c r="AM3" i="66"/>
  <c r="AA3" i="66"/>
  <c r="U3" i="66"/>
  <c r="Q3" i="66"/>
  <c r="M3" i="66"/>
  <c r="I3" i="66"/>
  <c r="K3" i="66" s="1"/>
  <c r="AC6" i="66" l="1"/>
  <c r="AK6" i="66"/>
  <c r="CX6" i="66"/>
  <c r="CW6" i="66" s="1"/>
  <c r="BU7" i="66"/>
  <c r="AQ2" i="66"/>
  <c r="DF6" i="66"/>
  <c r="DE6" i="66" s="1"/>
  <c r="AY2" i="66"/>
  <c r="CU3" i="66"/>
  <c r="CW3" i="66" s="1"/>
  <c r="CW7" i="66"/>
  <c r="CY3" i="66"/>
  <c r="AI3" i="66"/>
  <c r="AK3" i="66" s="1"/>
  <c r="DC3" i="66"/>
  <c r="BV6" i="66"/>
  <c r="BU6" i="66" s="1"/>
  <c r="AK7" i="66"/>
  <c r="DE7" i="66"/>
  <c r="DF9" i="66" s="1"/>
  <c r="B22" i="66" s="1"/>
  <c r="AW3" i="66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EE6" i="66"/>
  <c r="I6" i="66"/>
  <c r="G2" i="66"/>
  <c r="A11" i="66"/>
  <c r="S3" i="66"/>
  <c r="Q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CN9" i="66"/>
  <c r="B20" i="66" s="1"/>
  <c r="DX9" i="66"/>
  <c r="EP9" i="66"/>
  <c r="FG9" i="66"/>
  <c r="AI6" i="66" l="1"/>
  <c r="AG4" i="66"/>
  <c r="DP4" i="66"/>
  <c r="DP2" i="66" s="1"/>
  <c r="DM9" i="66" s="1"/>
  <c r="E23" i="66" s="1"/>
  <c r="CU6" i="66"/>
  <c r="A21" i="66" s="1"/>
  <c r="BV9" i="66"/>
  <c r="B18" i="66" s="1"/>
  <c r="AG2" i="66"/>
  <c r="AY4" i="66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AD4" i="66"/>
  <c r="CF4" i="66"/>
  <c r="CF2" i="66" s="1"/>
  <c r="L4" i="66"/>
  <c r="BN4" i="66"/>
  <c r="CX4" i="66" l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J4" i="63"/>
  <c r="A3" i="63" a="1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I4" i="63"/>
  <c r="H4" i="63"/>
  <c r="E4" i="63"/>
  <c r="G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4" i="63"/>
  <c r="D4" i="63"/>
  <c r="B4" i="63"/>
  <c r="L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V4" i="64" l="1"/>
  <c r="AQ4" i="64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 l="1"/>
  <c r="C20" i="64"/>
  <c r="BD4" i="64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2" i="63"/>
  <c r="E3" i="63"/>
  <c r="L3" i="63"/>
  <c r="H2" i="63"/>
  <c r="I2" i="63"/>
  <c r="C3" i="63"/>
  <c r="G2" i="63"/>
  <c r="I3" i="63"/>
  <c r="C2" i="63"/>
  <c r="D2" i="63"/>
  <c r="D3" i="63"/>
  <c r="B3" i="63"/>
  <c r="B2" i="63"/>
  <c r="H3" i="63"/>
  <c r="L2" i="63"/>
  <c r="G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<sst xmlns="http://schemas.openxmlformats.org/spreadsheetml/2006/main" count="2872" uniqueCount="48">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</sst>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G11" sqref="G11:BE157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2648.6333333332327</v>
      </c>
      <c r="H2" s="2"/>
      <c r="I2" s="6" t="s">
        <v>12</v>
      </c>
      <c r="J2" s="2"/>
      <c r="K2" s="7" t="s">
        <v>13</v>
      </c>
      <c r="L2" s="3">
        <f>L4*I6*L9/100*100</f>
        <v>16.981434050000001</v>
      </c>
      <c r="M2" s="8" t="s">
        <v>14</v>
      </c>
      <c r="N2" s="9"/>
      <c r="O2" s="2">
        <f>ABS(S7-S6)/ABS(T7-T6)*1000</f>
        <v>2112.739672131494</v>
      </c>
      <c r="P2" s="2"/>
      <c r="Q2" s="6" t="s">
        <v>15</v>
      </c>
      <c r="R2" s="2"/>
      <c r="S2" s="7" t="s">
        <v>13</v>
      </c>
      <c r="T2" s="3">
        <f>T4*Q6*T9/100*100</f>
        <v>16.903845879999999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-3.1547562500000002</v>
      </c>
      <c r="L3" s="31" t="s">
        <v>16</v>
      </c>
      <c r="M3" s="11">
        <f>M9</f>
        <v>16.981434050000001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2.44445625</v>
      </c>
      <c r="T3" s="31" t="s">
        <v>16</v>
      </c>
      <c r="U3" s="11">
        <f>U9</f>
        <v>16.903845879999999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0.70622389115930861</v>
      </c>
      <c r="M4" s="8" t="s">
        <v>17</v>
      </c>
      <c r="N4" s="9"/>
      <c r="O4" s="2">
        <f>ABS(Q3-Q4)/ABS(S3-S4)*1000</f>
        <v>1.4504854691330844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-0.94337499999999996</v>
      </c>
      <c r="T4" s="30">
        <f>U3/(Q6*T9)</f>
        <v>0.70608705652023251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40">
        <f>(Q3-Q4)/(S3-S4)*(-S4)+Q4</f>
        <v>0.62332664827055662</v>
      </c>
      <c r="R6" s="40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40">
        <f>(AI3-AI4)/(AK3-AK4)*(-AK4)+AI4</f>
        <v>0.62224766786545183</v>
      </c>
      <c r="AJ6" s="40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40">
        <f>(BA3-BA4)/(BC3-BC4)*(-BC4)+BA4</f>
        <v>0.62165636849991079</v>
      </c>
      <c r="BB6" s="40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38.48075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38.414000000000001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0.45689998719514546</v>
      </c>
      <c r="J9" s="2"/>
      <c r="K9" s="2"/>
      <c r="L9" s="3">
        <f>(L6-L7)/(K6-K7)*(-K7)+L7</f>
        <v>38.465576665324257</v>
      </c>
      <c r="M9" s="16">
        <f>MAX(M11:M1056)</f>
        <v>16.981434050000001</v>
      </c>
      <c r="N9" s="9"/>
      <c r="O9" s="2"/>
      <c r="P9" s="2"/>
      <c r="Q9" s="2"/>
      <c r="R9" s="2"/>
      <c r="S9" s="2"/>
      <c r="T9" s="3">
        <f>(T6-T7)/(S6-S7)*(-S7)+T7</f>
        <v>38.407105634266195</v>
      </c>
      <c r="U9" s="16">
        <f>MAX(U11:U1056)</f>
        <v>16.903845879999999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0.70622389115930861</v>
      </c>
      <c r="D11" s="21">
        <f>IFERROR(L2,0)</f>
        <v>16.981434050000001</v>
      </c>
      <c r="E11" s="21">
        <f>IFERROR(I9,0)</f>
        <v>0.45689998719514546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38.407105634266195</v>
      </c>
      <c r="C12" s="20">
        <f>IFERROR(T4,0)</f>
        <v>0.70608705652023251</v>
      </c>
      <c r="D12" s="21">
        <f>IFERROR(T2,0)</f>
        <v>16.903845879999999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v>-3.1547562500000002</v>
      </c>
      <c r="M12">
        <v>-1.9871273309999999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v>38.509374999999999</v>
      </c>
      <c r="U12">
        <v>-3.4610031220000002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v>0.37269562499999997</v>
      </c>
      <c r="M13">
        <v>0.232877743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v>38.490312500000002</v>
      </c>
      <c r="U13">
        <v>-3.2654757729999999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v>3.6544812499999999</v>
      </c>
      <c r="M14">
        <v>2.265091333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v>38.490312500000002</v>
      </c>
      <c r="U14">
        <v>-3.0716616540000001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v>6.6928749999999999</v>
      </c>
      <c r="M15">
        <v>4.1146256140000004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v>38.490312500000002</v>
      </c>
      <c r="U15">
        <v>-2.8778475339999998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v>9.5386249999999997</v>
      </c>
      <c r="M16">
        <v>5.8160907460000004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v>38.509374999999999</v>
      </c>
      <c r="U16">
        <v>-2.6853626940000002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v>12.086874999999999</v>
      </c>
      <c r="M17">
        <v>7.3090058339999997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v>38.471249999999998</v>
      </c>
      <c r="U17">
        <v>-2.4889860029999999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v>14.488250000000001</v>
      </c>
      <c r="M18">
        <v>8.6881688780000008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v>38.490312500000002</v>
      </c>
      <c r="U18">
        <v>-2.2964051749999999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v>16.6893125</v>
      </c>
      <c r="M19">
        <v>9.9240493379999997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v>38.433062499999998</v>
      </c>
      <c r="U19">
        <v>-2.0994636889999998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v>18.674875</v>
      </c>
      <c r="M20"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v>38.452125000000002</v>
      </c>
      <c r="U20">
        <v>-1.906883176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v>20.513562499999999</v>
      </c>
      <c r="M21">
        <v>11.991490150000001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v>38.490312500000002</v>
      </c>
      <c r="U21">
        <v>-1.714962817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v>22.136687500000001</v>
      </c>
      <c r="M22">
        <v>12.82885237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v>38.471249999999998</v>
      </c>
      <c r="U22">
        <v>-1.520395341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v>23.645375000000001</v>
      </c>
      <c r="M23">
        <v>13.584102420000001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v>38.452125000000002</v>
      </c>
      <c r="U23">
        <v>-1.3260176850000001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v>24.988187499999999</v>
      </c>
      <c r="M24">
        <v>14.22972328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v>38.452125000000002</v>
      </c>
      <c r="U24">
        <v>-1.132395855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v>26.210812499999999</v>
      </c>
      <c r="M25">
        <v>14.79398542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v>38.471249999999998</v>
      </c>
      <c r="U25">
        <v>-0.93924094499999999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v>27.269375</v>
      </c>
      <c r="M26">
        <v>15.25413387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v>38.433062499999998</v>
      </c>
      <c r="U26">
        <v>-0.74478278799999997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v>28.2459375</v>
      </c>
      <c r="M27">
        <v>15.658191950000001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v>38.414000000000001</v>
      </c>
      <c r="U27">
        <v>-0.550983526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v>29.111875000000001</v>
      </c>
      <c r="M28">
        <v>15.991618730000001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v>38.452125000000002</v>
      </c>
      <c r="U28">
        <v>-0.35790699599999998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v>29.870999999999999</v>
      </c>
      <c r="M29">
        <v>16.25821775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v>38.433062499999998</v>
      </c>
      <c r="U29">
        <v>-0.164203722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v>30.557625000000002</v>
      </c>
      <c r="M30">
        <v>16.47807705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v>38.414000000000001</v>
      </c>
      <c r="U30">
        <v>2.9307539000000001E-2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v>31.148937499999999</v>
      </c>
      <c r="M31">
        <v>16.640073900000001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v>38.414000000000001</v>
      </c>
      <c r="U31">
        <v>0.22273743300000001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v>31.734437499999999</v>
      </c>
      <c r="M32">
        <v>16.793070960000001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v>38.414000000000001</v>
      </c>
      <c r="U32">
        <v>0.416165752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v>32.199874999999999</v>
      </c>
      <c r="M33">
        <v>16.87721028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v>38.433062499999998</v>
      </c>
      <c r="U33">
        <v>0.60989811199999999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v>32.638562499999999</v>
      </c>
      <c r="M34">
        <v>16.94280835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v>38.394937499999997</v>
      </c>
      <c r="U34">
        <v>0.80262697100000002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v>33.033374999999999</v>
      </c>
      <c r="M35">
        <v>16.981434050000001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v>38.414000000000001</v>
      </c>
      <c r="U35">
        <v>0.99645531899999995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v>33.321375000000003</v>
      </c>
      <c r="M36">
        <v>16.961679480000001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v>38.394937499999997</v>
      </c>
      <c r="U36">
        <v>1.189294708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v>33.643749999999997</v>
      </c>
      <c r="M37">
        <v>16.95638271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v>38.394937499999997</v>
      </c>
      <c r="U37">
        <v>1.3826285760000001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v>33.920312500000001</v>
      </c>
      <c r="M38">
        <v>16.924946970000001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v>38.394937499999997</v>
      </c>
      <c r="U38">
        <v>1.575962444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v>34.151062500000002</v>
      </c>
      <c r="M39">
        <v>16.868131850000001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v>38.375875000000001</v>
      </c>
      <c r="U39">
        <v>1.768417884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v>34.387562500000001</v>
      </c>
      <c r="M40">
        <v>16.811804209999998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v>38.394937499999997</v>
      </c>
      <c r="U40">
        <v>1.962630181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v>34.540187500000002</v>
      </c>
      <c r="M41">
        <v>16.71247696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v>38.375875000000001</v>
      </c>
      <c r="U41">
        <v>2.1548936460000001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v>34.744250000000001</v>
      </c>
      <c r="M42">
        <v>16.63627653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v>38.394937499999997</v>
      </c>
      <c r="U42">
        <v>2.3492979169999999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v>34.889249999999997</v>
      </c>
      <c r="M43">
        <v>16.530003310000001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v>38.375875000000001</v>
      </c>
      <c r="U43">
        <v>2.541369408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v>35.051375</v>
      </c>
      <c r="M44">
        <v>16.430332029999999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v>38.356749999999998</v>
      </c>
      <c r="U44">
        <v>2.7332444699999998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v>35.217312499999998</v>
      </c>
      <c r="M45">
        <v>16.330796070000002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v>38.337687500000001</v>
      </c>
      <c r="U45">
        <v>2.9249316959999998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v>35.314562500000001</v>
      </c>
      <c r="M46">
        <v>16.19804821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v>38.318624999999997</v>
      </c>
      <c r="U46">
        <v>3.116426948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v>35.446187500000001</v>
      </c>
      <c r="M47">
        <v>16.079950279999998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v>38.2995625</v>
      </c>
      <c r="U47">
        <v>3.3077302249999998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v>35.526249999999997</v>
      </c>
      <c r="M48">
        <v>15.93735996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v>38.2995625</v>
      </c>
      <c r="U48">
        <v>3.5005838420000002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v>35.655999999999999</v>
      </c>
      <c r="M49">
        <v>15.81603889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v>38.2995625</v>
      </c>
      <c r="U49">
        <v>3.6934374590000001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v>35.766624999999998</v>
      </c>
      <c r="M50">
        <v>15.68502419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v>38.280500000000004</v>
      </c>
      <c r="U50">
        <v>3.8843606159999999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v>35.846687500000002</v>
      </c>
      <c r="M51">
        <v>15.539610720000001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v>38.2614375</v>
      </c>
      <c r="U51">
        <v>4.0750726620000002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v>35.921125000000004</v>
      </c>
      <c r="M52">
        <v>15.391016670000001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v>38.280500000000004</v>
      </c>
      <c r="U52"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v>36.037437500000003</v>
      </c>
      <c r="M53">
        <v>15.259368200000001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v>38.242312499999997</v>
      </c>
      <c r="U53">
        <v>4.4581740639999996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v>36.127062500000001</v>
      </c>
      <c r="M54">
        <v>15.115418439999999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v>38.22325</v>
      </c>
      <c r="U54">
        <v>4.648444102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v>36.207187500000003</v>
      </c>
      <c r="M55">
        <v>14.96663923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v>38.22325</v>
      </c>
      <c r="U55">
        <v>4.8408981659999997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v>36.2376875</v>
      </c>
      <c r="M56">
        <v>14.796753750000001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v>38.242312499999997</v>
      </c>
      <c r="U56">
        <v>5.0358624369999996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v>36.310187499999998</v>
      </c>
      <c r="M57">
        <v>14.64353552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v>38.204187500000003</v>
      </c>
      <c r="U57">
        <v>5.2232383110000002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v>36.392187499999999</v>
      </c>
      <c r="M58">
        <v>14.493334239999999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v>38.204187500000003</v>
      </c>
      <c r="U58">
        <v>5.4155963949999997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v>36.466625000000001</v>
      </c>
      <c r="M59">
        <v>14.33936982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v>38.204187500000003</v>
      </c>
      <c r="U59">
        <v>5.607992683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v>36.483750000000001</v>
      </c>
      <c r="M60"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v>38.204187500000003</v>
      </c>
      <c r="U60">
        <v>5.8003507670000003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v>36.569625000000002</v>
      </c>
      <c r="M61">
        <v>14.01157868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v>38.185124999999999</v>
      </c>
      <c r="U61">
        <v>5.9897187079999998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v>36.619187500000002</v>
      </c>
      <c r="M62">
        <v>13.84619084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v>38.204187500000003</v>
      </c>
      <c r="U62">
        <v>6.1851051400000001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v>36.684062500000003</v>
      </c>
      <c r="M63">
        <v>13.68597999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v>38.166062500000002</v>
      </c>
      <c r="U63">
        <v>6.3710989790000001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v>36.722187499999997</v>
      </c>
      <c r="M64">
        <v>13.515307330000001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v>38.166062500000002</v>
      </c>
      <c r="U64">
        <v>6.5633032699999996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v>36.787062499999998</v>
      </c>
      <c r="M65">
        <v>13.353961200000001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v>38.089750000000002</v>
      </c>
      <c r="U65">
        <v>6.7419619300000004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v>36.819437499999999</v>
      </c>
      <c r="M66">
        <v>13.180290859999999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v>38.070687499999998</v>
      </c>
      <c r="U66">
        <v>6.9302737399999996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v>36.878562500000001</v>
      </c>
      <c r="M67">
        <v>13.015772330000001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v>38.032562499999997</v>
      </c>
      <c r="U67">
        <v>7.1148655649999997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v>36.975875000000002</v>
      </c>
      <c r="M68">
        <v>12.863906910000001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v>38.070687499999998</v>
      </c>
      <c r="U68">
        <v>7.3136836340000002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v>37.002562500000003</v>
      </c>
      <c r="M69">
        <v>12.686883590000001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v>38.051625000000001</v>
      </c>
      <c r="U69">
        <v>7.5016495589999996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v>37.075062500000001</v>
      </c>
      <c r="M70">
        <v>12.525068360000001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v>38.032562499999997</v>
      </c>
      <c r="U70">
        <v>7.689385454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v>37.157062500000002</v>
      </c>
      <c r="M71">
        <v>12.36564746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v>38.032562499999997</v>
      </c>
      <c r="U71">
        <v>7.880879406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v>37.21425</v>
      </c>
      <c r="M72">
        <v>12.19730537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v>38.013437500000002</v>
      </c>
      <c r="U72">
        <v>8.0683521089999992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v>37.271500000000003</v>
      </c>
      <c r="M73">
        <v>12.02837029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v>37.975312500000001</v>
      </c>
      <c r="U73">
        <v>8.2514657769999999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v>37.328749999999999</v>
      </c>
      <c r="M74">
        <v>11.858895929999999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v>37.994374999999998</v>
      </c>
      <c r="U74">
        <v>8.4469474439999992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v>37.385937499999997</v>
      </c>
      <c r="M75">
        <v>11.68882552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v>37.918062499999998</v>
      </c>
      <c r="U75">
        <v>8.6208990179999994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v>37.429812499999997</v>
      </c>
      <c r="M76">
        <v>11.514046629999999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v>37.899000000000001</v>
      </c>
      <c r="U76"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v>37.439374999999998</v>
      </c>
      <c r="M77">
        <v>11.328480969999999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v>37.899000000000001</v>
      </c>
      <c r="U77"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v>37.494687499999998</v>
      </c>
      <c r="M78">
        <v>11.15639429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v>37.841812500000003</v>
      </c>
      <c r="U78">
        <v>9.1752015419999999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v>37.525187500000001</v>
      </c>
      <c r="M79">
        <v>10.97653012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v>37.841812500000003</v>
      </c>
      <c r="U79">
        <v>9.3657729100000005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v>37.593812499999999</v>
      </c>
      <c r="M80">
        <v>10.807318840000001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v>37.7845625</v>
      </c>
      <c r="U80">
        <v>9.5418489219999998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v>37.605312499999997</v>
      </c>
      <c r="M81">
        <v>10.62124446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v>37.765500000000003</v>
      </c>
      <c r="U81">
        <v>9.7271843039999997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v>37.633875000000003</v>
      </c>
      <c r="M82">
        <v>10.439825089999999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v>37.727375000000002</v>
      </c>
      <c r="U82">
        <v>9.907359585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v>37.689187500000003</v>
      </c>
      <c r="M83">
        <v>10.265366309999999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v>37.670124999999999</v>
      </c>
      <c r="U83">
        <v>10.08199458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v>37.738812500000002</v>
      </c>
      <c r="M84">
        <v>10.0888677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v>37.670124999999999</v>
      </c>
      <c r="U84">
        <v>10.271701330000001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v>37.748312499999997</v>
      </c>
      <c r="M85">
        <v>9.9013446199999997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v>37.612937500000001</v>
      </c>
      <c r="U85">
        <v>10.44548887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v>37.803624999999997</v>
      </c>
      <c r="M86">
        <v>9.7254739780000001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v>37.555687499999998</v>
      </c>
      <c r="U86">
        <v>10.61868286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v>37.811250000000001</v>
      </c>
      <c r="M87"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v>37.517562499999997</v>
      </c>
      <c r="U87">
        <v>10.796841649999999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v>37.849437500000001</v>
      </c>
      <c r="M88">
        <v>9.3560781550000005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v>37.479374999999997</v>
      </c>
      <c r="U88"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v>37.864687500000002</v>
      </c>
      <c r="M89">
        <v>9.1691991309999992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v>37.4221875</v>
      </c>
      <c r="U89">
        <v>11.146273389999999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v>37.9104375</v>
      </c>
      <c r="M90">
        <v>8.9893987610000003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v>37.403125000000003</v>
      </c>
      <c r="U90">
        <v>11.32892032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v>37.916187499999999</v>
      </c>
      <c r="M91">
        <v>8.7998162919999992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v>37.364937500000003</v>
      </c>
      <c r="U91">
        <v>11.50548628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v>37.963875000000002</v>
      </c>
      <c r="M92">
        <v>8.6197357829999994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v>37.288687500000002</v>
      </c>
      <c r="U92">
        <v>11.66979306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v>37.988687499999997</v>
      </c>
      <c r="M93">
        <v>8.4340584550000006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v>37.250500000000002</v>
      </c>
      <c r="U93">
        <v>11.845398250000001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v>38.021062499999999</v>
      </c>
      <c r="M94">
        <v>8.2498101409999993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v>37.193312499999998</v>
      </c>
      <c r="U94">
        <v>12.014518539999999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v>38.045875000000002</v>
      </c>
      <c r="M95">
        <v>8.0636329769999993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v>37.155124999999998</v>
      </c>
      <c r="U95">
        <v>12.189258929999999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v>38.055437499999996</v>
      </c>
      <c r="M96">
        <v>7.8740125179999998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v>37.116999999999997</v>
      </c>
      <c r="U96">
        <v>12.36363558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v>38.030625000000001</v>
      </c>
      <c r="M97">
        <v>7.677394391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v>37.021625</v>
      </c>
      <c r="U97">
        <v>12.51830717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v>38.038249999999998</v>
      </c>
      <c r="M98">
        <v>7.4873730539999999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v>36.964437500000003</v>
      </c>
      <c r="U98">
        <v>12.68508602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v>38.095500000000001</v>
      </c>
      <c r="M99">
        <v>7.3068311870000002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v>36.964437500000003</v>
      </c>
      <c r="U99">
        <v>12.87123892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v>38.114562499999998</v>
      </c>
      <c r="M100">
        <v>7.1185806090000003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v>36.869062499999998</v>
      </c>
      <c r="U100">
        <v>13.02366451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v>38.068750000000001</v>
      </c>
      <c r="M101">
        <v>6.9183100749999999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v>36.773687500000001</v>
      </c>
      <c r="U101">
        <v>13.17512966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v>38.106937500000001</v>
      </c>
      <c r="M102">
        <v>6.7333815350000004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v>36.754624999999997</v>
      </c>
      <c r="U102">
        <v>13.35339632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v>38.116437500000004</v>
      </c>
      <c r="M103">
        <v>6.5431057780000002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v>36.678312499999997</v>
      </c>
      <c r="U103">
        <v>13.510346370000001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v>38.175562499999998</v>
      </c>
      <c r="M104">
        <v>6.361041277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v>36.5829375</v>
      </c>
      <c r="U104">
        <v>13.65944695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v>38.169874999999998</v>
      </c>
      <c r="M105">
        <v>6.1679082709999999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v>36.544812499999999</v>
      </c>
      <c r="U105">
        <v>13.82921486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v>38.186999999999998</v>
      </c>
      <c r="M106">
        <v>5.9783657850000003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v>36.468499999999999</v>
      </c>
      <c r="U106">
        <v>13.98395573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v>38.186999999999998</v>
      </c>
      <c r="M107">
        <v>5.7860942399999997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v>36.449437500000002</v>
      </c>
      <c r="U107">
        <v>14.16020552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v>38.200375000000001</v>
      </c>
      <c r="M108">
        <v>5.5957437319999999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v>36.354062499999998</v>
      </c>
      <c r="U108">
        <v>14.30619609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v>38.232812500000001</v>
      </c>
      <c r="M109">
        <v>5.4079930950000001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v>36.296875</v>
      </c>
      <c r="U109">
        <v>14.4664825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v>38.242312499999997</v>
      </c>
      <c r="M110">
        <v>5.216786817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v>36.239624999999997</v>
      </c>
      <c r="U110">
        <v>14.626131450000001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v>38.2614375</v>
      </c>
      <c r="M111">
        <v>5.0267111360000003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v>36.14425</v>
      </c>
      <c r="U111">
        <v>14.76962488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v>38.303375000000003</v>
      </c>
      <c r="M112">
        <v>4.8393633080000003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v>36.067937499999999</v>
      </c>
      <c r="U112">
        <v>14.920079429999999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v>38.324375000000003</v>
      </c>
      <c r="M113">
        <v>4.6490149580000004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v>35.972625000000001</v>
      </c>
      <c r="U113">
        <v>15.061774059999999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v>38.341500000000003</v>
      </c>
      <c r="M114">
        <v>4.4580428879999996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v>35.896312500000001</v>
      </c>
      <c r="U114">
        <v>15.210595769999999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v>38.351062499999998</v>
      </c>
      <c r="M115">
        <v>4.2660571389999999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v>35.82</v>
      </c>
      <c r="U115"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v>38.330062499999997</v>
      </c>
      <c r="M116">
        <v>4.0706909680000001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v>35.724625000000003</v>
      </c>
      <c r="U116">
        <v>15.4975924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v>38.373937499999997</v>
      </c>
      <c r="M117">
        <v>3.8821377610000001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v>35.648375000000001</v>
      </c>
      <c r="U117">
        <v>15.644039830000001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v>38.383499999999998</v>
      </c>
      <c r="M118">
        <v>3.6898212080000001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v>35.552999999999997</v>
      </c>
      <c r="U118">
        <v>15.78119453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v>38.351062499999998</v>
      </c>
      <c r="M119">
        <v>3.4935900379999998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v>35.419437500000001</v>
      </c>
      <c r="U119">
        <v>15.90028137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v>38.391125000000002</v>
      </c>
      <c r="M120">
        <v>3.303924861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v>35.343187499999999</v>
      </c>
      <c r="U120">
        <v>16.044004619999999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v>38.379687500000003</v>
      </c>
      <c r="M121">
        <v>3.1096834759999998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v>35.209625000000003</v>
      </c>
      <c r="U121">
        <v>16.160654520000001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v>38.381562500000001</v>
      </c>
      <c r="M122">
        <v>2.916568877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v>35.095187500000002</v>
      </c>
      <c r="U122">
        <v>16.284868899999999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v>38.400624999999998</v>
      </c>
      <c r="M123">
        <v>2.724654906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v>34.942625</v>
      </c>
      <c r="U123">
        <v>16.390012970000001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v>38.379687500000003</v>
      </c>
      <c r="M124">
        <v>2.5299122409999999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v>34.809125000000002</v>
      </c>
      <c r="U124">
        <v>16.502692880000001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v>38.400624999999998</v>
      </c>
      <c r="M125">
        <v>2.337929892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v>34.656500000000001</v>
      </c>
      <c r="U125">
        <v>16.60483022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v>38.4044375</v>
      </c>
      <c r="M126">
        <v>2.144780302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v>34.446687500000003</v>
      </c>
      <c r="U126">
        <v>16.677742670000001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v>38.419750000000001</v>
      </c>
      <c r="M127">
        <v>1.952176653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v>34.256</v>
      </c>
      <c r="U127">
        <v>16.75793243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v>38.423562500000003</v>
      </c>
      <c r="M128">
        <v>1.758892366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v>34.027124999999998</v>
      </c>
      <c r="U128">
        <v>16.81729404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v>38.429250000000003</v>
      </c>
      <c r="M129">
        <v>1.565646074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v>33.798187499999997</v>
      </c>
      <c r="U129">
        <v>16.87435348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v>38.421624999999999</v>
      </c>
      <c r="M130">
        <v>1.3718671739999999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v>33.473937499999998</v>
      </c>
      <c r="U130">
        <v>16.881007100000001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v>38.400624999999998</v>
      </c>
      <c r="M131">
        <v>1.177754849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v>33.187874999999998</v>
      </c>
      <c r="U131">
        <v>16.903845879999999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v>38.440687500000003</v>
      </c>
      <c r="M132">
        <v>0.98541933599999998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v>32.806375000000003</v>
      </c>
      <c r="U132">
        <v>16.874746330000001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v>38.4311875</v>
      </c>
      <c r="M133">
        <v>0.79165940400000001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v>32.444000000000003</v>
      </c>
      <c r="U133">
        <v>16.851705599999999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v>38.45975</v>
      </c>
      <c r="M134"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v>31.948062499999999</v>
      </c>
      <c r="U134">
        <v>16.75500164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v>38.429250000000003</v>
      </c>
      <c r="M135">
        <v>0.40460620200000003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v>31.471250000000001</v>
      </c>
      <c r="U135">
        <v>16.663397450000001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v>38.454062499999999</v>
      </c>
      <c r="M136">
        <v>0.211234318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v>30.897124999999999</v>
      </c>
      <c r="U136">
        <v>16.514976770000001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v>38.45975</v>
      </c>
      <c r="M137">
        <v>1.7605488999999998E-2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v>30.252437499999999</v>
      </c>
      <c r="U137">
        <v>16.322732909999999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v>38.48075</v>
      </c>
      <c r="M138">
        <v>-0.17615101999999999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v>29.569624999999998</v>
      </c>
      <c r="U138">
        <v>16.103203799999999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v>38.454062499999999</v>
      </c>
      <c r="M139">
        <v>-0.36966044100000001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v>28.718937499999999</v>
      </c>
      <c r="U139">
        <v>15.784559870000001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v>38.486499999999999</v>
      </c>
      <c r="M140">
        <v>-0.56376564699999998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v>27.824375</v>
      </c>
      <c r="U140">
        <v>15.432984360000001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v>38.442625</v>
      </c>
      <c r="M141">
        <v>-0.75669694200000004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v>26.821124999999999</v>
      </c>
      <c r="U141">
        <v>15.01156909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v>38.476937499999998</v>
      </c>
      <c r="M142">
        <v>-0.95111911299999996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v>25.676749999999998</v>
      </c>
      <c r="U142">
        <v>14.500379669999999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v>38.461687499999996</v>
      </c>
      <c r="M143">
        <v>-1.1444121270000001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v>24.440750000000001</v>
      </c>
      <c r="U143">
        <v>13.92543504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v>38.469312500000001</v>
      </c>
      <c r="M144">
        <v>-1.338347382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v>23.046500000000002</v>
      </c>
      <c r="U144">
        <v>13.247105149999999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v>38.48075</v>
      </c>
      <c r="M145">
        <v>-1.532511261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v>21.501562499999999</v>
      </c>
      <c r="U145">
        <v>12.46733699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v>38.463562500000002</v>
      </c>
      <c r="M146">
        <v>-1.725506185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v>19.796375000000001</v>
      </c>
      <c r="U146">
        <v>11.578286050000001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v>38.486499999999999</v>
      </c>
      <c r="M147">
        <v>-1.920330101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v>17.8909375</v>
      </c>
      <c r="U147">
        <v>10.55395349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v>38.471249999999998</v>
      </c>
      <c r="M148">
        <v>-2.1132873170000002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v>15.838625</v>
      </c>
      <c r="U148">
        <v>9.4230315579999999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v>38.463562500000002</v>
      </c>
      <c r="M149">
        <v>-2.3065444519999998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v>13.587937500000001</v>
      </c>
      <c r="U149">
        <v>8.1524363900000001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v>38.478875000000002</v>
      </c>
      <c r="M150">
        <v>-2.5012192240000002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v>11.138937500000001</v>
      </c>
      <c r="U150">
        <v>6.7391797159999998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v>38.497937499999999</v>
      </c>
      <c r="M151">
        <v>-2.6963108469999999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v>8.4571874999999999</v>
      </c>
      <c r="U151">
        <v>5.1592734059999996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v>38.488374999999998</v>
      </c>
      <c r="M152">
        <v>-2.889445474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v>5.5503875000000003</v>
      </c>
      <c r="U152">
        <v>3.413943444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v>38.499812499999997</v>
      </c>
      <c r="M153">
        <v>-3.0841660800000001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v>2.44445625</v>
      </c>
      <c r="U153">
        <v>1.515848876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v>38.501750000000001</v>
      </c>
      <c r="M154">
        <v>-3.2781930020000001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v>-0.94337499999999996</v>
      </c>
      <c r="U154">
        <v>-0.58975371099999996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v>38.499812499999997</v>
      </c>
      <c r="M155">
        <v>-3.4718899909999998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v>-4.5566562499999996</v>
      </c>
      <c r="U155">
        <v>-2.8715500889999999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v>38.518875000000001</v>
      </c>
      <c r="M156">
        <v>-3.6675669790000001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v>-8.4190625000000008</v>
      </c>
      <c r="U156">
        <v>-5.3479821379999999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v>38.520812499999998</v>
      </c>
      <c r="M157">
        <v>-3.8617114529999998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v>-12.540812499999999</v>
      </c>
      <c r="U157">
        <v>-8.0293680700000003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40">
        <f>(Q3-Q4)/(S3-S4)*(-S4)+Q4</f>
        <v>0.62261782523014964</v>
      </c>
      <c r="R6" s="40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40">
        <f>(AI3-AI4)/(AK3-AK4)*(-AK4)+AI4</f>
        <v>0.62035290450938152</v>
      </c>
      <c r="AJ6" s="40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40">
        <f>(BA3-BA4)/(BC3-BC4)*(-BC4)+BA4</f>
        <v>0.61891338810196683</v>
      </c>
      <c r="BB6" s="40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40">
        <f>(Q3-Q4)/(S3-S4)*(-S4)+Q4</f>
        <v>0.60072494932764375</v>
      </c>
      <c r="R6" s="40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40">
        <f>(AI3-AI4)/(AK3-AK4)*(-AK4)+AI4</f>
        <v>0.60083598279910189</v>
      </c>
      <c r="AJ6" s="40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40">
        <f>(BA3-BA4)/(BC3-BC4)*(-BC4)+BA4</f>
        <v>0.60089714549848849</v>
      </c>
      <c r="BB6" s="40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40">
        <f>(Q3-Q4)/(S3-S4)*(-S4)+Q4</f>
        <v>0.60744579353373807</v>
      </c>
      <c r="R6" s="40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40">
        <f>(AI3-AI4)/(AK3-AK4)*(-AK4)+AI4</f>
        <v>0.6072159257614137</v>
      </c>
      <c r="AJ6" s="40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40">
        <f>(BA3-BA4)/(BC3-BC4)*(-BC4)+BA4</f>
        <v>0.60682713233279595</v>
      </c>
      <c r="BB6" s="40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40">
        <f>(Q3-Q4)/(S3-S4)*(-S4)+Q4</f>
        <v>0.60625974457519105</v>
      </c>
      <c r="R6" s="40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40">
        <f>(AI3-AI4)/(AK3-AK4)*(-AK4)+AI4</f>
        <v>0.60150129998825819</v>
      </c>
      <c r="AJ6" s="40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40">
        <f>(BA3-BA4)/(BC3-BC4)*(-BC4)+BA4</f>
        <v>0.59782779640067207</v>
      </c>
      <c r="BB6" s="40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40">
        <f>(Q3-Q4)/(S3-S4)*(-S4)+Q4</f>
        <v>0.60592328651503258</v>
      </c>
      <c r="R6" s="40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40">
        <f>(AI3-AI4)/(AK3-AK4)*(-AK4)+AI4</f>
        <v>0.60431292919681923</v>
      </c>
      <c r="AJ6" s="40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40">
        <f>(BA3-BA4)/(BC3-BC4)*(-BC4)+BA4</f>
        <v>0.60419125516367944</v>
      </c>
      <c r="BB6" s="40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8" sqref="A8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0.70622389115930861</v>
      </c>
      <c r="E3">
        <f t="shared" ref="E3" ca="1" si="0">MAX(INDIRECT(A3&amp; "!D11"),INDIRECT(A3 &amp; "!D13"),INDIRECT(A3 &amp; "!D15"),INDIRECT(A3 &amp; "!D17"),INDIRECT(A3 &amp; "!D19"),INDIRECT(A3 &amp; "!D21"))</f>
        <v>16.981434050000001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38.407105634266195</v>
      </c>
      <c r="I3">
        <f ca="1">INDEX(INDIRECT(A3&amp;"!C12"):INDIRECT(A3&amp;"!C22"),MATCH(J3,INDIRECT(A3&amp;"!D12"):INDIRECT(A3&amp;"!D22"),0))</f>
        <v>0.70608705652023251</v>
      </c>
      <c r="J3">
        <f t="shared" ref="J3" ca="1" si="1">MAX(INDIRECT(A3&amp; "!D12"),INDIRECT(A3 &amp; "!D14"),INDIRECT(A3 &amp; "!D16"),INDIRECT(A3 &amp; "!D18"),INDIRECT(A3 &amp; "!D20"),,INDIRECT(A3 &amp; "!D22"))</f>
        <v>16.903845879999999</v>
      </c>
      <c r="L3">
        <f ca="1">INDEX(INDIRECT(A3&amp;"!E11"):INDIRECT(A3&amp;"!E21"),MATCH(E3,INDIRECT(A3&amp;"!D11"):INDIRECT(A3&amp;"!D21"),0))</f>
        <v>0.45689998719514546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2023-03-07T00:56:00Z</dcterms:modified>
</cp:coreProperties>
</file>