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Jan\damp-heat\"/>
    </mc:Choice>
  </mc:AlternateContent>
  <xr:revisionPtr revIDLastSave="0" documentId="13_ncr:1_{2621807F-7800-4E38-A62A-0770EA9DAABB}" xr6:coauthVersionLast="47" xr6:coauthVersionMax="47" xr10:uidLastSave="{00000000-0000-0000-0000-000000000000}"/>
  <bookViews>
    <workbookView xWindow="-108" yWindow="-108" windowWidth="30936" windowHeight="16896" tabRatio="760" activeTab="4" xr2:uid="{00000000-000D-0000-FFFF-FFFF00000000}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Sheet2" sheetId="63" r:id="rId6"/>
  </sheets>
  <externalReferences>
    <externalReference r:id="rId7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57" i="65" l="1"/>
  <c r="BE157" i="65" s="1"/>
  <c r="AW157" i="65"/>
  <c r="AV157" i="65"/>
  <c r="AL157" i="65"/>
  <c r="AM157" i="65" s="1"/>
  <c r="AD157" i="65"/>
  <c r="AE157" i="65" s="1"/>
  <c r="T157" i="65"/>
  <c r="U157" i="65" s="1"/>
  <c r="M157" i="65"/>
  <c r="L157" i="65"/>
  <c r="BD156" i="65"/>
  <c r="BE156" i="65" s="1"/>
  <c r="AW156" i="65"/>
  <c r="AV156" i="65"/>
  <c r="AL156" i="65"/>
  <c r="AM156" i="65" s="1"/>
  <c r="AD156" i="65"/>
  <c r="AE156" i="65" s="1"/>
  <c r="T156" i="65"/>
  <c r="U156" i="65" s="1"/>
  <c r="M156" i="65"/>
  <c r="L156" i="65"/>
  <c r="BD155" i="65"/>
  <c r="BE155" i="65" s="1"/>
  <c r="AW155" i="65"/>
  <c r="AV155" i="65"/>
  <c r="AL155" i="65"/>
  <c r="AM155" i="65" s="1"/>
  <c r="AD155" i="65"/>
  <c r="AE155" i="65" s="1"/>
  <c r="T155" i="65"/>
  <c r="U155" i="65" s="1"/>
  <c r="M155" i="65"/>
  <c r="L155" i="65"/>
  <c r="BD154" i="65"/>
  <c r="BE154" i="65" s="1"/>
  <c r="AW154" i="65"/>
  <c r="AV154" i="65"/>
  <c r="AL154" i="65"/>
  <c r="AM154" i="65" s="1"/>
  <c r="AD154" i="65"/>
  <c r="AE154" i="65" s="1"/>
  <c r="T154" i="65"/>
  <c r="U154" i="65" s="1"/>
  <c r="M154" i="65"/>
  <c r="L154" i="65"/>
  <c r="BD153" i="65"/>
  <c r="BE153" i="65" s="1"/>
  <c r="AW153" i="65"/>
  <c r="AV153" i="65"/>
  <c r="AL153" i="65"/>
  <c r="AM153" i="65" s="1"/>
  <c r="AD153" i="65"/>
  <c r="AE153" i="65" s="1"/>
  <c r="T153" i="65"/>
  <c r="U153" i="65" s="1"/>
  <c r="M153" i="65"/>
  <c r="L153" i="65"/>
  <c r="BD152" i="65"/>
  <c r="BE152" i="65" s="1"/>
  <c r="AW152" i="65"/>
  <c r="AV152" i="65"/>
  <c r="AL152" i="65"/>
  <c r="AM152" i="65" s="1"/>
  <c r="AD152" i="65"/>
  <c r="AE152" i="65" s="1"/>
  <c r="T152" i="65"/>
  <c r="U152" i="65" s="1"/>
  <c r="M152" i="65"/>
  <c r="L152" i="65"/>
  <c r="BD151" i="65"/>
  <c r="BE151" i="65" s="1"/>
  <c r="AW151" i="65"/>
  <c r="AV151" i="65"/>
  <c r="AL151" i="65"/>
  <c r="AM151" i="65" s="1"/>
  <c r="AD151" i="65"/>
  <c r="AE151" i="65" s="1"/>
  <c r="T151" i="65"/>
  <c r="U151" i="65" s="1"/>
  <c r="M151" i="65"/>
  <c r="L151" i="65"/>
  <c r="BD150" i="65"/>
  <c r="BE150" i="65" s="1"/>
  <c r="AW150" i="65"/>
  <c r="AV150" i="65"/>
  <c r="AL150" i="65"/>
  <c r="AM150" i="65" s="1"/>
  <c r="AD150" i="65"/>
  <c r="AE150" i="65" s="1"/>
  <c r="T150" i="65"/>
  <c r="U150" i="65" s="1"/>
  <c r="M150" i="65"/>
  <c r="L150" i="65"/>
  <c r="BD149" i="65"/>
  <c r="BE149" i="65" s="1"/>
  <c r="AW149" i="65"/>
  <c r="AV149" i="65"/>
  <c r="AL149" i="65"/>
  <c r="AM149" i="65" s="1"/>
  <c r="AD149" i="65"/>
  <c r="AE149" i="65" s="1"/>
  <c r="T149" i="65"/>
  <c r="U149" i="65" s="1"/>
  <c r="M149" i="65"/>
  <c r="L149" i="65"/>
  <c r="BD148" i="65"/>
  <c r="BE148" i="65" s="1"/>
  <c r="AW148" i="65"/>
  <c r="AV148" i="65"/>
  <c r="AL148" i="65"/>
  <c r="AM148" i="65" s="1"/>
  <c r="AD148" i="65"/>
  <c r="AE148" i="65" s="1"/>
  <c r="T148" i="65"/>
  <c r="U148" i="65" s="1"/>
  <c r="M148" i="65"/>
  <c r="L148" i="65"/>
  <c r="BD147" i="65"/>
  <c r="BE147" i="65" s="1"/>
  <c r="AW147" i="65"/>
  <c r="AV147" i="65"/>
  <c r="AL147" i="65"/>
  <c r="AM147" i="65" s="1"/>
  <c r="AD147" i="65"/>
  <c r="AE147" i="65" s="1"/>
  <c r="T147" i="65"/>
  <c r="U147" i="65" s="1"/>
  <c r="M147" i="65"/>
  <c r="L147" i="65"/>
  <c r="BD146" i="65"/>
  <c r="BE146" i="65" s="1"/>
  <c r="AW146" i="65"/>
  <c r="AV146" i="65"/>
  <c r="AL146" i="65"/>
  <c r="AM146" i="65" s="1"/>
  <c r="AD146" i="65"/>
  <c r="AE146" i="65" s="1"/>
  <c r="T146" i="65"/>
  <c r="U146" i="65" s="1"/>
  <c r="M146" i="65"/>
  <c r="L146" i="65"/>
  <c r="BD145" i="65"/>
  <c r="BE145" i="65" s="1"/>
  <c r="AW145" i="65"/>
  <c r="AV145" i="65"/>
  <c r="AL145" i="65"/>
  <c r="AM145" i="65" s="1"/>
  <c r="AD145" i="65"/>
  <c r="AE145" i="65" s="1"/>
  <c r="T145" i="65"/>
  <c r="U145" i="65" s="1"/>
  <c r="M145" i="65"/>
  <c r="L145" i="65"/>
  <c r="BD144" i="65"/>
  <c r="BE144" i="65" s="1"/>
  <c r="AW144" i="65"/>
  <c r="AV144" i="65"/>
  <c r="AL144" i="65"/>
  <c r="AM144" i="65" s="1"/>
  <c r="AD144" i="65"/>
  <c r="AE144" i="65" s="1"/>
  <c r="T144" i="65"/>
  <c r="U144" i="65" s="1"/>
  <c r="M144" i="65"/>
  <c r="L144" i="65"/>
  <c r="BD143" i="65"/>
  <c r="BE143" i="65" s="1"/>
  <c r="AW143" i="65"/>
  <c r="AV143" i="65"/>
  <c r="AL143" i="65"/>
  <c r="AM143" i="65" s="1"/>
  <c r="AD143" i="65"/>
  <c r="AE143" i="65" s="1"/>
  <c r="T143" i="65"/>
  <c r="U143" i="65" s="1"/>
  <c r="M143" i="65"/>
  <c r="L143" i="65"/>
  <c r="BD142" i="65"/>
  <c r="BE142" i="65" s="1"/>
  <c r="AW142" i="65"/>
  <c r="AV142" i="65"/>
  <c r="AL142" i="65"/>
  <c r="AM142" i="65" s="1"/>
  <c r="AD142" i="65"/>
  <c r="AE142" i="65" s="1"/>
  <c r="T142" i="65"/>
  <c r="U142" i="65" s="1"/>
  <c r="M142" i="65"/>
  <c r="L142" i="65"/>
  <c r="BD141" i="65"/>
  <c r="BE141" i="65" s="1"/>
  <c r="AW141" i="65"/>
  <c r="AV141" i="65"/>
  <c r="AL141" i="65"/>
  <c r="AM141" i="65" s="1"/>
  <c r="AD141" i="65"/>
  <c r="AE141" i="65" s="1"/>
  <c r="T141" i="65"/>
  <c r="U141" i="65" s="1"/>
  <c r="M141" i="65"/>
  <c r="L141" i="65"/>
  <c r="BD140" i="65"/>
  <c r="BE140" i="65" s="1"/>
  <c r="AW140" i="65"/>
  <c r="AV140" i="65"/>
  <c r="AL140" i="65"/>
  <c r="AM140" i="65" s="1"/>
  <c r="AD140" i="65"/>
  <c r="AE140" i="65" s="1"/>
  <c r="T140" i="65"/>
  <c r="U140" i="65" s="1"/>
  <c r="M140" i="65"/>
  <c r="L140" i="65"/>
  <c r="BD139" i="65"/>
  <c r="BE139" i="65" s="1"/>
  <c r="AW139" i="65"/>
  <c r="AV139" i="65"/>
  <c r="AL139" i="65"/>
  <c r="AM139" i="65" s="1"/>
  <c r="AD139" i="65"/>
  <c r="AE139" i="65" s="1"/>
  <c r="T139" i="65"/>
  <c r="U139" i="65" s="1"/>
  <c r="M139" i="65"/>
  <c r="L139" i="65"/>
  <c r="BD138" i="65"/>
  <c r="BE138" i="65" s="1"/>
  <c r="AW138" i="65"/>
  <c r="AV138" i="65"/>
  <c r="AL138" i="65"/>
  <c r="AM138" i="65" s="1"/>
  <c r="AD138" i="65"/>
  <c r="AE138" i="65" s="1"/>
  <c r="T138" i="65"/>
  <c r="U138" i="65" s="1"/>
  <c r="M138" i="65"/>
  <c r="L138" i="65"/>
  <c r="BD137" i="65"/>
  <c r="BE137" i="65" s="1"/>
  <c r="AW137" i="65"/>
  <c r="AV137" i="65"/>
  <c r="AL137" i="65"/>
  <c r="AM137" i="65" s="1"/>
  <c r="AD137" i="65"/>
  <c r="AE137" i="65" s="1"/>
  <c r="T137" i="65"/>
  <c r="U137" i="65" s="1"/>
  <c r="M137" i="65"/>
  <c r="L137" i="65"/>
  <c r="BD136" i="65"/>
  <c r="BE136" i="65" s="1"/>
  <c r="AW136" i="65"/>
  <c r="AV136" i="65"/>
  <c r="AL136" i="65"/>
  <c r="AM136" i="65" s="1"/>
  <c r="AD136" i="65"/>
  <c r="AE136" i="65" s="1"/>
  <c r="T136" i="65"/>
  <c r="U136" i="65" s="1"/>
  <c r="M136" i="65"/>
  <c r="L136" i="65"/>
  <c r="BD135" i="65"/>
  <c r="BE135" i="65" s="1"/>
  <c r="AW135" i="65"/>
  <c r="AV135" i="65"/>
  <c r="AL135" i="65"/>
  <c r="AM135" i="65" s="1"/>
  <c r="AD135" i="65"/>
  <c r="AE135" i="65" s="1"/>
  <c r="T135" i="65"/>
  <c r="U135" i="65" s="1"/>
  <c r="M135" i="65"/>
  <c r="L135" i="65"/>
  <c r="BD134" i="65"/>
  <c r="BE134" i="65" s="1"/>
  <c r="AW134" i="65"/>
  <c r="AV134" i="65"/>
  <c r="AL134" i="65"/>
  <c r="AM134" i="65" s="1"/>
  <c r="AD134" i="65"/>
  <c r="AE134" i="65" s="1"/>
  <c r="T134" i="65"/>
  <c r="U134" i="65" s="1"/>
  <c r="M134" i="65"/>
  <c r="L134" i="65"/>
  <c r="BD133" i="65"/>
  <c r="BE133" i="65" s="1"/>
  <c r="AW133" i="65"/>
  <c r="AV133" i="65"/>
  <c r="AL133" i="65"/>
  <c r="AM133" i="65" s="1"/>
  <c r="AD133" i="65"/>
  <c r="AE133" i="65" s="1"/>
  <c r="T133" i="65"/>
  <c r="U133" i="65" s="1"/>
  <c r="M133" i="65"/>
  <c r="L133" i="65"/>
  <c r="BE132" i="65"/>
  <c r="BD132" i="65"/>
  <c r="AW132" i="65"/>
  <c r="AV132" i="65"/>
  <c r="AL132" i="65"/>
  <c r="AM132" i="65" s="1"/>
  <c r="AD132" i="65"/>
  <c r="AE132" i="65" s="1"/>
  <c r="T132" i="65"/>
  <c r="U132" i="65" s="1"/>
  <c r="M132" i="65"/>
  <c r="L132" i="65"/>
  <c r="BD131" i="65"/>
  <c r="BE131" i="65" s="1"/>
  <c r="AW131" i="65"/>
  <c r="AV131" i="65"/>
  <c r="AL131" i="65"/>
  <c r="AM131" i="65" s="1"/>
  <c r="AD131" i="65"/>
  <c r="AE131" i="65" s="1"/>
  <c r="T131" i="65"/>
  <c r="U131" i="65" s="1"/>
  <c r="M131" i="65"/>
  <c r="L131" i="65"/>
  <c r="BE130" i="65"/>
  <c r="BD130" i="65"/>
  <c r="AW130" i="65"/>
  <c r="AV130" i="65"/>
  <c r="AL130" i="65"/>
  <c r="AM130" i="65" s="1"/>
  <c r="AD130" i="65"/>
  <c r="AE130" i="65" s="1"/>
  <c r="U130" i="65"/>
  <c r="T130" i="65"/>
  <c r="M130" i="65"/>
  <c r="L130" i="65"/>
  <c r="BD129" i="65"/>
  <c r="BE129" i="65" s="1"/>
  <c r="AW129" i="65"/>
  <c r="AV129" i="65"/>
  <c r="AL129" i="65"/>
  <c r="AM129" i="65" s="1"/>
  <c r="AD129" i="65"/>
  <c r="AE129" i="65" s="1"/>
  <c r="U129" i="65"/>
  <c r="T129" i="65"/>
  <c r="M129" i="65"/>
  <c r="L129" i="65"/>
  <c r="BD128" i="65"/>
  <c r="BE128" i="65" s="1"/>
  <c r="AW128" i="65"/>
  <c r="AV128" i="65"/>
  <c r="AL128" i="65"/>
  <c r="AM128" i="65" s="1"/>
  <c r="AD128" i="65"/>
  <c r="AE128" i="65" s="1"/>
  <c r="T128" i="65"/>
  <c r="U128" i="65" s="1"/>
  <c r="M128" i="65"/>
  <c r="L128" i="65"/>
  <c r="BE127" i="65"/>
  <c r="BD127" i="65"/>
  <c r="AW127" i="65"/>
  <c r="AV127" i="65"/>
  <c r="AL127" i="65"/>
  <c r="AM127" i="65" s="1"/>
  <c r="AD127" i="65"/>
  <c r="AE127" i="65" s="1"/>
  <c r="U127" i="65"/>
  <c r="T127" i="65"/>
  <c r="M127" i="65"/>
  <c r="L127" i="65"/>
  <c r="BE126" i="65"/>
  <c r="BD126" i="65"/>
  <c r="AW126" i="65"/>
  <c r="AV126" i="65"/>
  <c r="AL126" i="65"/>
  <c r="AM126" i="65" s="1"/>
  <c r="AD126" i="65"/>
  <c r="AE126" i="65" s="1"/>
  <c r="T126" i="65"/>
  <c r="U126" i="65" s="1"/>
  <c r="M126" i="65"/>
  <c r="L126" i="65"/>
  <c r="BD125" i="65"/>
  <c r="BE125" i="65" s="1"/>
  <c r="AW125" i="65"/>
  <c r="AV125" i="65"/>
  <c r="AL125" i="65"/>
  <c r="AM125" i="65" s="1"/>
  <c r="AD125" i="65"/>
  <c r="AE125" i="65" s="1"/>
  <c r="T125" i="65"/>
  <c r="U125" i="65" s="1"/>
  <c r="M125" i="65"/>
  <c r="L125" i="65"/>
  <c r="BE124" i="65"/>
  <c r="BD124" i="65"/>
  <c r="AW124" i="65"/>
  <c r="AV124" i="65"/>
  <c r="AL124" i="65"/>
  <c r="AM124" i="65" s="1"/>
  <c r="AD124" i="65"/>
  <c r="AE124" i="65" s="1"/>
  <c r="U124" i="65"/>
  <c r="T124" i="65"/>
  <c r="M124" i="65"/>
  <c r="L124" i="65"/>
  <c r="BD123" i="65"/>
  <c r="BE123" i="65" s="1"/>
  <c r="AW123" i="65"/>
  <c r="AV123" i="65"/>
  <c r="AL123" i="65"/>
  <c r="AM123" i="65" s="1"/>
  <c r="AD123" i="65"/>
  <c r="AE123" i="65" s="1"/>
  <c r="U123" i="65"/>
  <c r="T123" i="65"/>
  <c r="M123" i="65"/>
  <c r="L123" i="65"/>
  <c r="BD122" i="65"/>
  <c r="BE122" i="65" s="1"/>
  <c r="AW122" i="65"/>
  <c r="AV122" i="65"/>
  <c r="AL122" i="65"/>
  <c r="AM122" i="65" s="1"/>
  <c r="AD122" i="65"/>
  <c r="AE122" i="65" s="1"/>
  <c r="T122" i="65"/>
  <c r="U122" i="65" s="1"/>
  <c r="M122" i="65"/>
  <c r="L122" i="65"/>
  <c r="BD121" i="65"/>
  <c r="BE121" i="65" s="1"/>
  <c r="AW121" i="65"/>
  <c r="AV121" i="65"/>
  <c r="AL121" i="65"/>
  <c r="AM121" i="65" s="1"/>
  <c r="AD121" i="65"/>
  <c r="AE121" i="65" s="1"/>
  <c r="U121" i="65"/>
  <c r="T121" i="65"/>
  <c r="M121" i="65"/>
  <c r="L121" i="65"/>
  <c r="BE120" i="65"/>
  <c r="BD120" i="65"/>
  <c r="AW120" i="65"/>
  <c r="AV120" i="65"/>
  <c r="AL120" i="65"/>
  <c r="AM120" i="65" s="1"/>
  <c r="AD120" i="65"/>
  <c r="AE120" i="65" s="1"/>
  <c r="T120" i="65"/>
  <c r="U120" i="65" s="1"/>
  <c r="M120" i="65"/>
  <c r="L120" i="65"/>
  <c r="BD119" i="65"/>
  <c r="BE119" i="65" s="1"/>
  <c r="AW119" i="65"/>
  <c r="AV119" i="65"/>
  <c r="AL119" i="65"/>
  <c r="AM119" i="65" s="1"/>
  <c r="AD119" i="65"/>
  <c r="AE119" i="65" s="1"/>
  <c r="T119" i="65"/>
  <c r="U119" i="65" s="1"/>
  <c r="M119" i="65"/>
  <c r="L119" i="65"/>
  <c r="BE118" i="65"/>
  <c r="BD118" i="65"/>
  <c r="AV118" i="65"/>
  <c r="AW118" i="65" s="1"/>
  <c r="AL118" i="65"/>
  <c r="AM118" i="65" s="1"/>
  <c r="AD118" i="65"/>
  <c r="AE118" i="65" s="1"/>
  <c r="U118" i="65"/>
  <c r="T118" i="65"/>
  <c r="M118" i="65"/>
  <c r="L118" i="65"/>
  <c r="BD117" i="65"/>
  <c r="BE117" i="65" s="1"/>
  <c r="AW117" i="65"/>
  <c r="AV117" i="65"/>
  <c r="AL117" i="65"/>
  <c r="AM117" i="65" s="1"/>
  <c r="AD117" i="65"/>
  <c r="AE117" i="65" s="1"/>
  <c r="U117" i="65"/>
  <c r="T117" i="65"/>
  <c r="M117" i="65"/>
  <c r="L117" i="65"/>
  <c r="BD116" i="65"/>
  <c r="BE116" i="65" s="1"/>
  <c r="AV116" i="65"/>
  <c r="AW116" i="65" s="1"/>
  <c r="AL116" i="65"/>
  <c r="AM116" i="65" s="1"/>
  <c r="AD116" i="65"/>
  <c r="AE116" i="65" s="1"/>
  <c r="T116" i="65"/>
  <c r="U116" i="65" s="1"/>
  <c r="M116" i="65"/>
  <c r="L116" i="65"/>
  <c r="BD115" i="65"/>
  <c r="BE115" i="65" s="1"/>
  <c r="AV115" i="65"/>
  <c r="AW115" i="65" s="1"/>
  <c r="AL115" i="65"/>
  <c r="AM115" i="65" s="1"/>
  <c r="AD115" i="65"/>
  <c r="AE115" i="65" s="1"/>
  <c r="U115" i="65"/>
  <c r="T115" i="65"/>
  <c r="M115" i="65"/>
  <c r="L115" i="65"/>
  <c r="BE114" i="65"/>
  <c r="BD114" i="65"/>
  <c r="AW114" i="65"/>
  <c r="AV114" i="65"/>
  <c r="AL114" i="65"/>
  <c r="AM114" i="65" s="1"/>
  <c r="AD114" i="65"/>
  <c r="AE114" i="65" s="1"/>
  <c r="T114" i="65"/>
  <c r="U114" i="65" s="1"/>
  <c r="M114" i="65"/>
  <c r="L114" i="65"/>
  <c r="BD113" i="65"/>
  <c r="BE113" i="65" s="1"/>
  <c r="AW113" i="65"/>
  <c r="AV113" i="65"/>
  <c r="AL113" i="65"/>
  <c r="AM113" i="65" s="1"/>
  <c r="AD113" i="65"/>
  <c r="AE113" i="65" s="1"/>
  <c r="T113" i="65"/>
  <c r="U113" i="65" s="1"/>
  <c r="M113" i="65"/>
  <c r="L113" i="65"/>
  <c r="BE112" i="65"/>
  <c r="BD112" i="65"/>
  <c r="AV112" i="65"/>
  <c r="AW112" i="65" s="1"/>
  <c r="AL112" i="65"/>
  <c r="AM112" i="65" s="1"/>
  <c r="AD112" i="65"/>
  <c r="AE112" i="65" s="1"/>
  <c r="U112" i="65"/>
  <c r="T112" i="65"/>
  <c r="M112" i="65"/>
  <c r="L112" i="65"/>
  <c r="BD111" i="65"/>
  <c r="BE111" i="65" s="1"/>
  <c r="AW111" i="65"/>
  <c r="AV111" i="65"/>
  <c r="AL111" i="65"/>
  <c r="AM111" i="65" s="1"/>
  <c r="AD111" i="65"/>
  <c r="AE111" i="65" s="1"/>
  <c r="U111" i="65"/>
  <c r="T111" i="65"/>
  <c r="M111" i="65"/>
  <c r="L111" i="65"/>
  <c r="BD110" i="65"/>
  <c r="BE110" i="65" s="1"/>
  <c r="AV110" i="65"/>
  <c r="AW110" i="65" s="1"/>
  <c r="AL110" i="65"/>
  <c r="AM110" i="65" s="1"/>
  <c r="AD110" i="65"/>
  <c r="AE110" i="65" s="1"/>
  <c r="T110" i="65"/>
  <c r="U110" i="65" s="1"/>
  <c r="M110" i="65"/>
  <c r="L110" i="65"/>
  <c r="BE109" i="65"/>
  <c r="BD109" i="65"/>
  <c r="AV109" i="65"/>
  <c r="AW109" i="65" s="1"/>
  <c r="AL109" i="65"/>
  <c r="AM109" i="65" s="1"/>
  <c r="AD109" i="65"/>
  <c r="AE109" i="65" s="1"/>
  <c r="T109" i="65"/>
  <c r="U109" i="65" s="1"/>
  <c r="M109" i="65"/>
  <c r="L109" i="65"/>
  <c r="BE108" i="65"/>
  <c r="BD108" i="65"/>
  <c r="AW108" i="65"/>
  <c r="AV108" i="65"/>
  <c r="AL108" i="65"/>
  <c r="AM108" i="65" s="1"/>
  <c r="AD108" i="65"/>
  <c r="AE108" i="65" s="1"/>
  <c r="T108" i="65"/>
  <c r="U108" i="65" s="1"/>
  <c r="M108" i="65"/>
  <c r="L108" i="65"/>
  <c r="BD107" i="65"/>
  <c r="BE107" i="65" s="1"/>
  <c r="AW107" i="65"/>
  <c r="AV107" i="65"/>
  <c r="AL107" i="65"/>
  <c r="AM107" i="65" s="1"/>
  <c r="AD107" i="65"/>
  <c r="AE107" i="65" s="1"/>
  <c r="T107" i="65"/>
  <c r="U107" i="65" s="1"/>
  <c r="M107" i="65"/>
  <c r="L107" i="65"/>
  <c r="BD106" i="65"/>
  <c r="BE106" i="65" s="1"/>
  <c r="AV106" i="65"/>
  <c r="AW106" i="65" s="1"/>
  <c r="AL106" i="65"/>
  <c r="AM106" i="65" s="1"/>
  <c r="AD106" i="65"/>
  <c r="AE106" i="65" s="1"/>
  <c r="T106" i="65"/>
  <c r="U106" i="65" s="1"/>
  <c r="M106" i="65"/>
  <c r="L106" i="65"/>
  <c r="BE105" i="65"/>
  <c r="BD105" i="65"/>
  <c r="AV105" i="65"/>
  <c r="AW105" i="65" s="1"/>
  <c r="AL105" i="65"/>
  <c r="AM105" i="65" s="1"/>
  <c r="AD105" i="65"/>
  <c r="AE105" i="65" s="1"/>
  <c r="U105" i="65"/>
  <c r="T105" i="65"/>
  <c r="M105" i="65"/>
  <c r="L105" i="65"/>
  <c r="BD104" i="65"/>
  <c r="BE104" i="65" s="1"/>
  <c r="AV104" i="65"/>
  <c r="AW104" i="65" s="1"/>
  <c r="AL104" i="65"/>
  <c r="AM104" i="65" s="1"/>
  <c r="AD104" i="65"/>
  <c r="AE104" i="65" s="1"/>
  <c r="T104" i="65"/>
  <c r="U104" i="65" s="1"/>
  <c r="M104" i="65"/>
  <c r="L104" i="65"/>
  <c r="BE103" i="65"/>
  <c r="BD103" i="65"/>
  <c r="AV103" i="65"/>
  <c r="AW103" i="65" s="1"/>
  <c r="AL103" i="65"/>
  <c r="AM103" i="65" s="1"/>
  <c r="AD103" i="65"/>
  <c r="AE103" i="65" s="1"/>
  <c r="T103" i="65"/>
  <c r="U103" i="65" s="1"/>
  <c r="M103" i="65"/>
  <c r="L103" i="65"/>
  <c r="BE102" i="65"/>
  <c r="BD102" i="65"/>
  <c r="AV102" i="65"/>
  <c r="AW102" i="65" s="1"/>
  <c r="AL102" i="65"/>
  <c r="AM102" i="65" s="1"/>
  <c r="AD102" i="65"/>
  <c r="AE102" i="65" s="1"/>
  <c r="T102" i="65"/>
  <c r="U102" i="65" s="1"/>
  <c r="M102" i="65"/>
  <c r="L102" i="65"/>
  <c r="BD101" i="65"/>
  <c r="BE101" i="65" s="1"/>
  <c r="AW101" i="65"/>
  <c r="AV101" i="65"/>
  <c r="AL101" i="65"/>
  <c r="AM101" i="65" s="1"/>
  <c r="AD101" i="65"/>
  <c r="AE101" i="65" s="1"/>
  <c r="T101" i="65"/>
  <c r="U101" i="65" s="1"/>
  <c r="M101" i="65"/>
  <c r="L101" i="65"/>
  <c r="BD100" i="65"/>
  <c r="BE100" i="65" s="1"/>
  <c r="AV100" i="65"/>
  <c r="AW100" i="65" s="1"/>
  <c r="AL100" i="65"/>
  <c r="AM100" i="65" s="1"/>
  <c r="AD100" i="65"/>
  <c r="AE100" i="65" s="1"/>
  <c r="U100" i="65"/>
  <c r="T100" i="65"/>
  <c r="M100" i="65"/>
  <c r="L100" i="65"/>
  <c r="BD99" i="65"/>
  <c r="BE99" i="65" s="1"/>
  <c r="AV99" i="65"/>
  <c r="AW99" i="65" s="1"/>
  <c r="AL99" i="65"/>
  <c r="AM99" i="65" s="1"/>
  <c r="AD99" i="65"/>
  <c r="AE99" i="65" s="1"/>
  <c r="U99" i="65"/>
  <c r="T99" i="65"/>
  <c r="M99" i="65"/>
  <c r="L99" i="65"/>
  <c r="BD98" i="65"/>
  <c r="BE98" i="65" s="1"/>
  <c r="AV98" i="65"/>
  <c r="AW98" i="65" s="1"/>
  <c r="AL98" i="65"/>
  <c r="AM98" i="65" s="1"/>
  <c r="AD98" i="65"/>
  <c r="AE98" i="65" s="1"/>
  <c r="T98" i="65"/>
  <c r="U98" i="65" s="1"/>
  <c r="M98" i="65"/>
  <c r="L98" i="65"/>
  <c r="BE97" i="65"/>
  <c r="BD97" i="65"/>
  <c r="AV97" i="65"/>
  <c r="AW97" i="65" s="1"/>
  <c r="AL97" i="65"/>
  <c r="AM97" i="65" s="1"/>
  <c r="AD97" i="65"/>
  <c r="AE97" i="65" s="1"/>
  <c r="T97" i="65"/>
  <c r="U97" i="65" s="1"/>
  <c r="M97" i="65"/>
  <c r="L97" i="65"/>
  <c r="BE96" i="65"/>
  <c r="BD96" i="65"/>
  <c r="AV96" i="65"/>
  <c r="AW96" i="65" s="1"/>
  <c r="AL96" i="65"/>
  <c r="AM96" i="65" s="1"/>
  <c r="AD96" i="65"/>
  <c r="AE96" i="65" s="1"/>
  <c r="T96" i="65"/>
  <c r="U96" i="65" s="1"/>
  <c r="M96" i="65"/>
  <c r="L96" i="65"/>
  <c r="BD95" i="65"/>
  <c r="BE95" i="65" s="1"/>
  <c r="AW95" i="65"/>
  <c r="AV95" i="65"/>
  <c r="AL95" i="65"/>
  <c r="AM95" i="65" s="1"/>
  <c r="AD95" i="65"/>
  <c r="AE95" i="65" s="1"/>
  <c r="T95" i="65"/>
  <c r="U95" i="65" s="1"/>
  <c r="L95" i="65"/>
  <c r="M95" i="65" s="1"/>
  <c r="BD94" i="65"/>
  <c r="BE94" i="65" s="1"/>
  <c r="AV94" i="65"/>
  <c r="AW94" i="65" s="1"/>
  <c r="AL94" i="65"/>
  <c r="AM94" i="65" s="1"/>
  <c r="AD94" i="65"/>
  <c r="AE94" i="65" s="1"/>
  <c r="T94" i="65"/>
  <c r="U94" i="65" s="1"/>
  <c r="L94" i="65"/>
  <c r="M94" i="65" s="1"/>
  <c r="BD93" i="65"/>
  <c r="BE93" i="65" s="1"/>
  <c r="AV93" i="65"/>
  <c r="AW93" i="65" s="1"/>
  <c r="AL93" i="65"/>
  <c r="AM93" i="65" s="1"/>
  <c r="AD93" i="65"/>
  <c r="AE93" i="65" s="1"/>
  <c r="U93" i="65"/>
  <c r="T93" i="65"/>
  <c r="L93" i="65"/>
  <c r="M93" i="65" s="1"/>
  <c r="BD92" i="65"/>
  <c r="BE92" i="65" s="1"/>
  <c r="AV92" i="65"/>
  <c r="AW92" i="65" s="1"/>
  <c r="AL92" i="65"/>
  <c r="AM92" i="65" s="1"/>
  <c r="AD92" i="65"/>
  <c r="AE92" i="65" s="1"/>
  <c r="T92" i="65"/>
  <c r="U92" i="65" s="1"/>
  <c r="M92" i="65"/>
  <c r="L92" i="65"/>
  <c r="BD91" i="65"/>
  <c r="BE91" i="65" s="1"/>
  <c r="AV91" i="65"/>
  <c r="AW91" i="65" s="1"/>
  <c r="AL91" i="65"/>
  <c r="AM91" i="65" s="1"/>
  <c r="AD91" i="65"/>
  <c r="AE91" i="65" s="1"/>
  <c r="T91" i="65"/>
  <c r="U91" i="65" s="1"/>
  <c r="L91" i="65"/>
  <c r="M91" i="65" s="1"/>
  <c r="BE90" i="65"/>
  <c r="BD90" i="65"/>
  <c r="AW90" i="65"/>
  <c r="AV90" i="65"/>
  <c r="AL90" i="65"/>
  <c r="AM90" i="65" s="1"/>
  <c r="AD90" i="65"/>
  <c r="AE90" i="65" s="1"/>
  <c r="T90" i="65"/>
  <c r="U90" i="65" s="1"/>
  <c r="L90" i="65"/>
  <c r="M90" i="65" s="1"/>
  <c r="BD89" i="65"/>
  <c r="BE89" i="65" s="1"/>
  <c r="AW89" i="65"/>
  <c r="AV89" i="65"/>
  <c r="AL89" i="65"/>
  <c r="AM89" i="65" s="1"/>
  <c r="AD89" i="65"/>
  <c r="AE89" i="65" s="1"/>
  <c r="T89" i="65"/>
  <c r="U89" i="65" s="1"/>
  <c r="L89" i="65"/>
  <c r="M89" i="65" s="1"/>
  <c r="BD88" i="65"/>
  <c r="BE88" i="65" s="1"/>
  <c r="AV88" i="65"/>
  <c r="AW88" i="65" s="1"/>
  <c r="AL88" i="65"/>
  <c r="AM88" i="65" s="1"/>
  <c r="AD88" i="65"/>
  <c r="AE88" i="65" s="1"/>
  <c r="U88" i="65"/>
  <c r="T88" i="65"/>
  <c r="L88" i="65"/>
  <c r="M88" i="65" s="1"/>
  <c r="BD87" i="65"/>
  <c r="BE87" i="65" s="1"/>
  <c r="AV87" i="65"/>
  <c r="AW87" i="65" s="1"/>
  <c r="AL87" i="65"/>
  <c r="AM87" i="65" s="1"/>
  <c r="AD87" i="65"/>
  <c r="AE87" i="65" s="1"/>
  <c r="U87" i="65"/>
  <c r="T87" i="65"/>
  <c r="M87" i="65"/>
  <c r="L87" i="65"/>
  <c r="BD86" i="65"/>
  <c r="BE86" i="65" s="1"/>
  <c r="AV86" i="65"/>
  <c r="AW86" i="65" s="1"/>
  <c r="AL86" i="65"/>
  <c r="AM86" i="65" s="1"/>
  <c r="AD86" i="65"/>
  <c r="AE86" i="65" s="1"/>
  <c r="T86" i="65"/>
  <c r="U86" i="65" s="1"/>
  <c r="M86" i="65"/>
  <c r="L86" i="65"/>
  <c r="BD85" i="65"/>
  <c r="BE85" i="65" s="1"/>
  <c r="AV85" i="65"/>
  <c r="AW85" i="65" s="1"/>
  <c r="AL85" i="65"/>
  <c r="AM85" i="65" s="1"/>
  <c r="AD85" i="65"/>
  <c r="AE85" i="65" s="1"/>
  <c r="T85" i="65"/>
  <c r="U85" i="65" s="1"/>
  <c r="L85" i="65"/>
  <c r="M85" i="65" s="1"/>
  <c r="BE84" i="65"/>
  <c r="BD84" i="65"/>
  <c r="AW84" i="65"/>
  <c r="AV84" i="65"/>
  <c r="AL84" i="65"/>
  <c r="AM84" i="65" s="1"/>
  <c r="AD84" i="65"/>
  <c r="AE84" i="65" s="1"/>
  <c r="T84" i="65"/>
  <c r="U84" i="65" s="1"/>
  <c r="L84" i="65"/>
  <c r="M84" i="65" s="1"/>
  <c r="BD83" i="65"/>
  <c r="BE83" i="65" s="1"/>
  <c r="AW83" i="65"/>
  <c r="AV83" i="65"/>
  <c r="AL83" i="65"/>
  <c r="AM83" i="65" s="1"/>
  <c r="AD83" i="65"/>
  <c r="AE83" i="65" s="1"/>
  <c r="T83" i="65"/>
  <c r="U83" i="65" s="1"/>
  <c r="L83" i="65"/>
  <c r="M83" i="65" s="1"/>
  <c r="BD82" i="65"/>
  <c r="BE82" i="65" s="1"/>
  <c r="AV82" i="65"/>
  <c r="AW82" i="65" s="1"/>
  <c r="AL82" i="65"/>
  <c r="AM82" i="65" s="1"/>
  <c r="AD82" i="65"/>
  <c r="AE82" i="65" s="1"/>
  <c r="T82" i="65"/>
  <c r="U82" i="65" s="1"/>
  <c r="L82" i="65"/>
  <c r="M82" i="65" s="1"/>
  <c r="BD81" i="65"/>
  <c r="BE81" i="65" s="1"/>
  <c r="AV81" i="65"/>
  <c r="AW81" i="65" s="1"/>
  <c r="AL81" i="65"/>
  <c r="AM81" i="65" s="1"/>
  <c r="AD81" i="65"/>
  <c r="AE81" i="65" s="1"/>
  <c r="U81" i="65"/>
  <c r="T81" i="65"/>
  <c r="M81" i="65"/>
  <c r="L81" i="65"/>
  <c r="BD80" i="65"/>
  <c r="BE80" i="65" s="1"/>
  <c r="AV80" i="65"/>
  <c r="AW80" i="65" s="1"/>
  <c r="AL80" i="65"/>
  <c r="AM80" i="65" s="1"/>
  <c r="AD80" i="65"/>
  <c r="AE80" i="65" s="1"/>
  <c r="T80" i="65"/>
  <c r="U80" i="65" s="1"/>
  <c r="M80" i="65"/>
  <c r="L80" i="65"/>
  <c r="BE79" i="65"/>
  <c r="BD79" i="65"/>
  <c r="AV79" i="65"/>
  <c r="AW79" i="65" s="1"/>
  <c r="AL79" i="65"/>
  <c r="AM79" i="65" s="1"/>
  <c r="AD79" i="65"/>
  <c r="AE79" i="65" s="1"/>
  <c r="T79" i="65"/>
  <c r="U79" i="65" s="1"/>
  <c r="L79" i="65"/>
  <c r="M79" i="65" s="1"/>
  <c r="BE78" i="65"/>
  <c r="BD78" i="65"/>
  <c r="AW78" i="65"/>
  <c r="AV78" i="65"/>
  <c r="AL78" i="65"/>
  <c r="AM78" i="65" s="1"/>
  <c r="AD78" i="65"/>
  <c r="AE78" i="65" s="1"/>
  <c r="T78" i="65"/>
  <c r="U78" i="65" s="1"/>
  <c r="L78" i="65"/>
  <c r="M78" i="65" s="1"/>
  <c r="BD77" i="65"/>
  <c r="BE77" i="65" s="1"/>
  <c r="AW77" i="65"/>
  <c r="AV77" i="65"/>
  <c r="AL77" i="65"/>
  <c r="AM77" i="65" s="1"/>
  <c r="AD77" i="65"/>
  <c r="AE77" i="65" s="1"/>
  <c r="T77" i="65"/>
  <c r="U77" i="65" s="1"/>
  <c r="L77" i="65"/>
  <c r="M77" i="65" s="1"/>
  <c r="BD76" i="65"/>
  <c r="BE76" i="65" s="1"/>
  <c r="AV76" i="65"/>
  <c r="AW76" i="65" s="1"/>
  <c r="AL76" i="65"/>
  <c r="AM76" i="65" s="1"/>
  <c r="AD76" i="65"/>
  <c r="AE76" i="65" s="1"/>
  <c r="T76" i="65"/>
  <c r="U76" i="65" s="1"/>
  <c r="L76" i="65"/>
  <c r="M76" i="65" s="1"/>
  <c r="BD75" i="65"/>
  <c r="BE75" i="65" s="1"/>
  <c r="AV75" i="65"/>
  <c r="AW75" i="65" s="1"/>
  <c r="AL75" i="65"/>
  <c r="AM75" i="65" s="1"/>
  <c r="AD75" i="65"/>
  <c r="AE75" i="65" s="1"/>
  <c r="U75" i="65"/>
  <c r="T75" i="65"/>
  <c r="L75" i="65"/>
  <c r="M75" i="65" s="1"/>
  <c r="BD74" i="65"/>
  <c r="BE74" i="65" s="1"/>
  <c r="AV74" i="65"/>
  <c r="AW74" i="65" s="1"/>
  <c r="AL74" i="65"/>
  <c r="AM74" i="65" s="1"/>
  <c r="AD74" i="65"/>
  <c r="AE74" i="65" s="1"/>
  <c r="T74" i="65"/>
  <c r="U74" i="65" s="1"/>
  <c r="M74" i="65"/>
  <c r="L74" i="65"/>
  <c r="BD73" i="65"/>
  <c r="BE73" i="65" s="1"/>
  <c r="AV73" i="65"/>
  <c r="AW73" i="65" s="1"/>
  <c r="AL73" i="65"/>
  <c r="AM73" i="65" s="1"/>
  <c r="AD73" i="65"/>
  <c r="AE73" i="65" s="1"/>
  <c r="T73" i="65"/>
  <c r="U73" i="65" s="1"/>
  <c r="L73" i="65"/>
  <c r="M73" i="65" s="1"/>
  <c r="BE72" i="65"/>
  <c r="BD72" i="65"/>
  <c r="AW72" i="65"/>
  <c r="AV72" i="65"/>
  <c r="AL72" i="65"/>
  <c r="AM72" i="65" s="1"/>
  <c r="AD72" i="65"/>
  <c r="AE72" i="65" s="1"/>
  <c r="T72" i="65"/>
  <c r="U72" i="65" s="1"/>
  <c r="L72" i="65"/>
  <c r="M72" i="65" s="1"/>
  <c r="BE71" i="65"/>
  <c r="BD71" i="65"/>
  <c r="AW71" i="65"/>
  <c r="AV71" i="65"/>
  <c r="AL71" i="65"/>
  <c r="AM71" i="65" s="1"/>
  <c r="AD71" i="65"/>
  <c r="AE71" i="65" s="1"/>
  <c r="T71" i="65"/>
  <c r="U71" i="65" s="1"/>
  <c r="L71" i="65"/>
  <c r="M71" i="65" s="1"/>
  <c r="BE70" i="65"/>
  <c r="BD70" i="65"/>
  <c r="AW70" i="65"/>
  <c r="AV70" i="65"/>
  <c r="AL70" i="65"/>
  <c r="AM70" i="65" s="1"/>
  <c r="AD70" i="65"/>
  <c r="AE70" i="65" s="1"/>
  <c r="T70" i="65"/>
  <c r="U70" i="65" s="1"/>
  <c r="L70" i="65"/>
  <c r="M70" i="65" s="1"/>
  <c r="BE69" i="65"/>
  <c r="BD69" i="65"/>
  <c r="AW69" i="65"/>
  <c r="AV69" i="65"/>
  <c r="AL69" i="65"/>
  <c r="AM69" i="65" s="1"/>
  <c r="AD69" i="65"/>
  <c r="AE69" i="65" s="1"/>
  <c r="T69" i="65"/>
  <c r="U69" i="65" s="1"/>
  <c r="L69" i="65"/>
  <c r="M69" i="65" s="1"/>
  <c r="BD68" i="65"/>
  <c r="BE68" i="65" s="1"/>
  <c r="AW68" i="65"/>
  <c r="AV68" i="65"/>
  <c r="AL68" i="65"/>
  <c r="AM68" i="65" s="1"/>
  <c r="AD68" i="65"/>
  <c r="AE68" i="65" s="1"/>
  <c r="T68" i="65"/>
  <c r="U68" i="65" s="1"/>
  <c r="L68" i="65"/>
  <c r="M68" i="65" s="1"/>
  <c r="BE67" i="65"/>
  <c r="BD67" i="65"/>
  <c r="AW67" i="65"/>
  <c r="AV67" i="65"/>
  <c r="AL67" i="65"/>
  <c r="AM67" i="65" s="1"/>
  <c r="AD67" i="65"/>
  <c r="AE67" i="65" s="1"/>
  <c r="T67" i="65"/>
  <c r="U67" i="65" s="1"/>
  <c r="L67" i="65"/>
  <c r="M67" i="65" s="1"/>
  <c r="BE66" i="65"/>
  <c r="BD66" i="65"/>
  <c r="AW66" i="65"/>
  <c r="AV66" i="65"/>
  <c r="AL66" i="65"/>
  <c r="AM66" i="65" s="1"/>
  <c r="AD66" i="65"/>
  <c r="AE66" i="65" s="1"/>
  <c r="T66" i="65"/>
  <c r="U66" i="65" s="1"/>
  <c r="L66" i="65"/>
  <c r="M66" i="65" s="1"/>
  <c r="BD65" i="65"/>
  <c r="BE65" i="65" s="1"/>
  <c r="AW65" i="65"/>
  <c r="AV65" i="65"/>
  <c r="AL65" i="65"/>
  <c r="AM65" i="65" s="1"/>
  <c r="AD65" i="65"/>
  <c r="AE65" i="65" s="1"/>
  <c r="T65" i="65"/>
  <c r="U65" i="65" s="1"/>
  <c r="L65" i="65"/>
  <c r="M65" i="65" s="1"/>
  <c r="BE64" i="65"/>
  <c r="BD64" i="65"/>
  <c r="AW64" i="65"/>
  <c r="AV64" i="65"/>
  <c r="AL64" i="65"/>
  <c r="AM64" i="65" s="1"/>
  <c r="AD64" i="65"/>
  <c r="AE64" i="65" s="1"/>
  <c r="T64" i="65"/>
  <c r="U64" i="65" s="1"/>
  <c r="L64" i="65"/>
  <c r="M64" i="65" s="1"/>
  <c r="BE63" i="65"/>
  <c r="BD63" i="65"/>
  <c r="AW63" i="65"/>
  <c r="AV63" i="65"/>
  <c r="AL63" i="65"/>
  <c r="AM63" i="65" s="1"/>
  <c r="AD63" i="65"/>
  <c r="AE63" i="65" s="1"/>
  <c r="T63" i="65"/>
  <c r="U63" i="65" s="1"/>
  <c r="L63" i="65"/>
  <c r="M63" i="65" s="1"/>
  <c r="BD62" i="65"/>
  <c r="BE62" i="65" s="1"/>
  <c r="AW62" i="65"/>
  <c r="AV62" i="65"/>
  <c r="AL62" i="65"/>
  <c r="AM62" i="65" s="1"/>
  <c r="AD62" i="65"/>
  <c r="AE62" i="65" s="1"/>
  <c r="T62" i="65"/>
  <c r="U62" i="65" s="1"/>
  <c r="L62" i="65"/>
  <c r="M62" i="65" s="1"/>
  <c r="BE61" i="65"/>
  <c r="BD61" i="65"/>
  <c r="AW61" i="65"/>
  <c r="AV61" i="65"/>
  <c r="AL61" i="65"/>
  <c r="AM61" i="65" s="1"/>
  <c r="AD61" i="65"/>
  <c r="AE61" i="65" s="1"/>
  <c r="T61" i="65"/>
  <c r="U61" i="65" s="1"/>
  <c r="L61" i="65"/>
  <c r="M61" i="65" s="1"/>
  <c r="BE60" i="65"/>
  <c r="BD60" i="65"/>
  <c r="AW60" i="65"/>
  <c r="AV60" i="65"/>
  <c r="AL60" i="65"/>
  <c r="AM60" i="65" s="1"/>
  <c r="AD60" i="65"/>
  <c r="AE60" i="65" s="1"/>
  <c r="T60" i="65"/>
  <c r="U60" i="65" s="1"/>
  <c r="L60" i="65"/>
  <c r="M60" i="65" s="1"/>
  <c r="BD59" i="65"/>
  <c r="BE59" i="65" s="1"/>
  <c r="AW59" i="65"/>
  <c r="AV59" i="65"/>
  <c r="AL59" i="65"/>
  <c r="AM59" i="65" s="1"/>
  <c r="AD59" i="65"/>
  <c r="AE59" i="65" s="1"/>
  <c r="T59" i="65"/>
  <c r="U59" i="65" s="1"/>
  <c r="L59" i="65"/>
  <c r="M59" i="65" s="1"/>
  <c r="BE58" i="65"/>
  <c r="BD58" i="65"/>
  <c r="AW58" i="65"/>
  <c r="AV58" i="65"/>
  <c r="AL58" i="65"/>
  <c r="AM58" i="65" s="1"/>
  <c r="AD58" i="65"/>
  <c r="AE58" i="65" s="1"/>
  <c r="T58" i="65"/>
  <c r="U58" i="65" s="1"/>
  <c r="L58" i="65"/>
  <c r="M58" i="65" s="1"/>
  <c r="BE57" i="65"/>
  <c r="BD57" i="65"/>
  <c r="AW57" i="65"/>
  <c r="AV57" i="65"/>
  <c r="AL57" i="65"/>
  <c r="AM57" i="65" s="1"/>
  <c r="AD57" i="65"/>
  <c r="AE57" i="65" s="1"/>
  <c r="T57" i="65"/>
  <c r="U57" i="65" s="1"/>
  <c r="L57" i="65"/>
  <c r="M57" i="65" s="1"/>
  <c r="BD56" i="65"/>
  <c r="BE56" i="65" s="1"/>
  <c r="AW56" i="65"/>
  <c r="AV56" i="65"/>
  <c r="AL56" i="65"/>
  <c r="AM56" i="65" s="1"/>
  <c r="AD56" i="65"/>
  <c r="AE56" i="65" s="1"/>
  <c r="T56" i="65"/>
  <c r="U56" i="65" s="1"/>
  <c r="L56" i="65"/>
  <c r="M56" i="65" s="1"/>
  <c r="BE55" i="65"/>
  <c r="BD55" i="65"/>
  <c r="AW55" i="65"/>
  <c r="AV55" i="65"/>
  <c r="AL55" i="65"/>
  <c r="AM55" i="65" s="1"/>
  <c r="AD55" i="65"/>
  <c r="AE55" i="65" s="1"/>
  <c r="T55" i="65"/>
  <c r="U55" i="65" s="1"/>
  <c r="L55" i="65"/>
  <c r="M55" i="65" s="1"/>
  <c r="BE54" i="65"/>
  <c r="BD54" i="65"/>
  <c r="AW54" i="65"/>
  <c r="AV54" i="65"/>
  <c r="AL54" i="65"/>
  <c r="AM54" i="65" s="1"/>
  <c r="AD54" i="65"/>
  <c r="AE54" i="65" s="1"/>
  <c r="T54" i="65"/>
  <c r="U54" i="65" s="1"/>
  <c r="L54" i="65"/>
  <c r="M54" i="65" s="1"/>
  <c r="BD53" i="65"/>
  <c r="BE53" i="65" s="1"/>
  <c r="AW53" i="65"/>
  <c r="AV53" i="65"/>
  <c r="AL53" i="65"/>
  <c r="AM53" i="65" s="1"/>
  <c r="AD53" i="65"/>
  <c r="AE53" i="65" s="1"/>
  <c r="T53" i="65"/>
  <c r="U53" i="65" s="1"/>
  <c r="L53" i="65"/>
  <c r="M53" i="65" s="1"/>
  <c r="BE52" i="65"/>
  <c r="BD52" i="65"/>
  <c r="AW52" i="65"/>
  <c r="AV52" i="65"/>
  <c r="AL52" i="65"/>
  <c r="AM52" i="65" s="1"/>
  <c r="AD52" i="65"/>
  <c r="AE52" i="65" s="1"/>
  <c r="T52" i="65"/>
  <c r="U52" i="65" s="1"/>
  <c r="L52" i="65"/>
  <c r="M52" i="65" s="1"/>
  <c r="BE51" i="65"/>
  <c r="BD51" i="65"/>
  <c r="AW51" i="65"/>
  <c r="AV51" i="65"/>
  <c r="AL51" i="65"/>
  <c r="AM51" i="65" s="1"/>
  <c r="AD51" i="65"/>
  <c r="AE51" i="65" s="1"/>
  <c r="T51" i="65"/>
  <c r="U51" i="65" s="1"/>
  <c r="L51" i="65"/>
  <c r="M51" i="65" s="1"/>
  <c r="BD50" i="65"/>
  <c r="BE50" i="65" s="1"/>
  <c r="AW50" i="65"/>
  <c r="AV50" i="65"/>
  <c r="AL50" i="65"/>
  <c r="AM50" i="65" s="1"/>
  <c r="AD50" i="65"/>
  <c r="AE50" i="65" s="1"/>
  <c r="T50" i="65"/>
  <c r="U50" i="65" s="1"/>
  <c r="L50" i="65"/>
  <c r="M50" i="65" s="1"/>
  <c r="BE49" i="65"/>
  <c r="BD49" i="65"/>
  <c r="AW49" i="65"/>
  <c r="AV49" i="65"/>
  <c r="AL49" i="65"/>
  <c r="AM49" i="65" s="1"/>
  <c r="AD49" i="65"/>
  <c r="AE49" i="65" s="1"/>
  <c r="T49" i="65"/>
  <c r="U49" i="65" s="1"/>
  <c r="L49" i="65"/>
  <c r="M49" i="65" s="1"/>
  <c r="BE48" i="65"/>
  <c r="BD48" i="65"/>
  <c r="AW48" i="65"/>
  <c r="AV48" i="65"/>
  <c r="AL48" i="65"/>
  <c r="AM48" i="65" s="1"/>
  <c r="AD48" i="65"/>
  <c r="AE48" i="65" s="1"/>
  <c r="U48" i="65"/>
  <c r="T48" i="65"/>
  <c r="L48" i="65"/>
  <c r="M48" i="65" s="1"/>
  <c r="BE47" i="65"/>
  <c r="BD47" i="65"/>
  <c r="AV47" i="65"/>
  <c r="AW47" i="65" s="1"/>
  <c r="AL47" i="65"/>
  <c r="AM47" i="65" s="1"/>
  <c r="AD47" i="65"/>
  <c r="AE47" i="65" s="1"/>
  <c r="T47" i="65"/>
  <c r="U47" i="65" s="1"/>
  <c r="L47" i="65"/>
  <c r="M47" i="65" s="1"/>
  <c r="BE46" i="65"/>
  <c r="BD46" i="65"/>
  <c r="AV46" i="65"/>
  <c r="AW46" i="65" s="1"/>
  <c r="AL46" i="65"/>
  <c r="AM46" i="65" s="1"/>
  <c r="AD46" i="65"/>
  <c r="AE46" i="65" s="1"/>
  <c r="U46" i="65"/>
  <c r="T46" i="65"/>
  <c r="L46" i="65"/>
  <c r="M46" i="65" s="1"/>
  <c r="BD45" i="65"/>
  <c r="BE45" i="65" s="1"/>
  <c r="AV45" i="65"/>
  <c r="AW45" i="65" s="1"/>
  <c r="AL45" i="65"/>
  <c r="AM45" i="65" s="1"/>
  <c r="AD45" i="65"/>
  <c r="AE45" i="65" s="1"/>
  <c r="U45" i="65"/>
  <c r="T45" i="65"/>
  <c r="L45" i="65"/>
  <c r="M45" i="65" s="1"/>
  <c r="BE44" i="65"/>
  <c r="BD44" i="65"/>
  <c r="AW44" i="65"/>
  <c r="AV44" i="65"/>
  <c r="AL44" i="65"/>
  <c r="AM44" i="65" s="1"/>
  <c r="AD44" i="65"/>
  <c r="AE44" i="65" s="1"/>
  <c r="U44" i="65"/>
  <c r="T44" i="65"/>
  <c r="L44" i="65"/>
  <c r="M44" i="65" s="1"/>
  <c r="BE43" i="65"/>
  <c r="BD43" i="65"/>
  <c r="AV43" i="65"/>
  <c r="AW43" i="65" s="1"/>
  <c r="AL43" i="65"/>
  <c r="AM43" i="65" s="1"/>
  <c r="AD43" i="65"/>
  <c r="AE43" i="65" s="1"/>
  <c r="T43" i="65"/>
  <c r="U43" i="65" s="1"/>
  <c r="L43" i="65"/>
  <c r="M43" i="65" s="1"/>
  <c r="BE42" i="65"/>
  <c r="BD42" i="65"/>
  <c r="AV42" i="65"/>
  <c r="AW42" i="65" s="1"/>
  <c r="AL42" i="65"/>
  <c r="AM42" i="65" s="1"/>
  <c r="AD42" i="65"/>
  <c r="AE42" i="65" s="1"/>
  <c r="U42" i="65"/>
  <c r="T42" i="65"/>
  <c r="L42" i="65"/>
  <c r="M42" i="65" s="1"/>
  <c r="BD41" i="65"/>
  <c r="BE41" i="65" s="1"/>
  <c r="AV41" i="65"/>
  <c r="AW41" i="65" s="1"/>
  <c r="AL41" i="65"/>
  <c r="AM41" i="65" s="1"/>
  <c r="AD41" i="65"/>
  <c r="AE41" i="65" s="1"/>
  <c r="U41" i="65"/>
  <c r="T41" i="65"/>
  <c r="L41" i="65"/>
  <c r="M41" i="65" s="1"/>
  <c r="BE40" i="65"/>
  <c r="BD40" i="65"/>
  <c r="AW40" i="65"/>
  <c r="AV40" i="65"/>
  <c r="AL40" i="65"/>
  <c r="AM40" i="65" s="1"/>
  <c r="AD40" i="65"/>
  <c r="AE40" i="65" s="1"/>
  <c r="U40" i="65"/>
  <c r="T40" i="65"/>
  <c r="L40" i="65"/>
  <c r="M40" i="65" s="1"/>
  <c r="BE39" i="65"/>
  <c r="BD39" i="65"/>
  <c r="AV39" i="65"/>
  <c r="AW39" i="65" s="1"/>
  <c r="AL39" i="65"/>
  <c r="AM39" i="65" s="1"/>
  <c r="AD39" i="65"/>
  <c r="AE39" i="65" s="1"/>
  <c r="T39" i="65"/>
  <c r="U39" i="65" s="1"/>
  <c r="L39" i="65"/>
  <c r="M39" i="65" s="1"/>
  <c r="BE38" i="65"/>
  <c r="BD38" i="65"/>
  <c r="AV38" i="65"/>
  <c r="AW38" i="65" s="1"/>
  <c r="AL38" i="65"/>
  <c r="AM38" i="65" s="1"/>
  <c r="AD38" i="65"/>
  <c r="AE38" i="65" s="1"/>
  <c r="U38" i="65"/>
  <c r="T38" i="65"/>
  <c r="L38" i="65"/>
  <c r="M38" i="65" s="1"/>
  <c r="BD37" i="65"/>
  <c r="BE37" i="65" s="1"/>
  <c r="AV37" i="65"/>
  <c r="AW37" i="65" s="1"/>
  <c r="AL37" i="65"/>
  <c r="AM37" i="65" s="1"/>
  <c r="AD37" i="65"/>
  <c r="AE37" i="65" s="1"/>
  <c r="U37" i="65"/>
  <c r="T37" i="65"/>
  <c r="L37" i="65"/>
  <c r="M37" i="65" s="1"/>
  <c r="BE36" i="65"/>
  <c r="BD36" i="65"/>
  <c r="AW36" i="65"/>
  <c r="AV36" i="65"/>
  <c r="AL36" i="65"/>
  <c r="AM36" i="65" s="1"/>
  <c r="AD36" i="65"/>
  <c r="AE36" i="65" s="1"/>
  <c r="U36" i="65"/>
  <c r="T36" i="65"/>
  <c r="L36" i="65"/>
  <c r="M36" i="65" s="1"/>
  <c r="BE35" i="65"/>
  <c r="BD35" i="65"/>
  <c r="AV35" i="65"/>
  <c r="AW35" i="65" s="1"/>
  <c r="AL35" i="65"/>
  <c r="AM35" i="65" s="1"/>
  <c r="AD35" i="65"/>
  <c r="AE35" i="65" s="1"/>
  <c r="T35" i="65"/>
  <c r="U35" i="65" s="1"/>
  <c r="L35" i="65"/>
  <c r="M35" i="65" s="1"/>
  <c r="BE34" i="65"/>
  <c r="BD34" i="65"/>
  <c r="AV34" i="65"/>
  <c r="AW34" i="65" s="1"/>
  <c r="AL34" i="65"/>
  <c r="AM34" i="65" s="1"/>
  <c r="AD34" i="65"/>
  <c r="AE34" i="65" s="1"/>
  <c r="U34" i="65"/>
  <c r="T34" i="65"/>
  <c r="L34" i="65"/>
  <c r="M34" i="65" s="1"/>
  <c r="BD33" i="65"/>
  <c r="BE33" i="65" s="1"/>
  <c r="AV33" i="65"/>
  <c r="AW33" i="65" s="1"/>
  <c r="AL33" i="65"/>
  <c r="AM33" i="65" s="1"/>
  <c r="AD33" i="65"/>
  <c r="AE33" i="65" s="1"/>
  <c r="U33" i="65"/>
  <c r="T33" i="65"/>
  <c r="L33" i="65"/>
  <c r="M33" i="65" s="1"/>
  <c r="BE32" i="65"/>
  <c r="BD32" i="65"/>
  <c r="AW32" i="65"/>
  <c r="AV32" i="65"/>
  <c r="AL32" i="65"/>
  <c r="AM32" i="65" s="1"/>
  <c r="AD32" i="65"/>
  <c r="AE32" i="65" s="1"/>
  <c r="U32" i="65"/>
  <c r="T32" i="65"/>
  <c r="L32" i="65"/>
  <c r="M32" i="65" s="1"/>
  <c r="BE31" i="65"/>
  <c r="BD31" i="65"/>
  <c r="AV31" i="65"/>
  <c r="AW31" i="65" s="1"/>
  <c r="AL31" i="65"/>
  <c r="AM31" i="65" s="1"/>
  <c r="AD31" i="65"/>
  <c r="AE31" i="65" s="1"/>
  <c r="T31" i="65"/>
  <c r="U31" i="65" s="1"/>
  <c r="L31" i="65"/>
  <c r="M31" i="65" s="1"/>
  <c r="BE30" i="65"/>
  <c r="BD30" i="65"/>
  <c r="AV30" i="65"/>
  <c r="AW30" i="65" s="1"/>
  <c r="AL30" i="65"/>
  <c r="AM30" i="65" s="1"/>
  <c r="AD30" i="65"/>
  <c r="AE30" i="65" s="1"/>
  <c r="U30" i="65"/>
  <c r="T30" i="65"/>
  <c r="L30" i="65"/>
  <c r="M30" i="65" s="1"/>
  <c r="BD29" i="65"/>
  <c r="BE29" i="65" s="1"/>
  <c r="AV29" i="65"/>
  <c r="AW29" i="65" s="1"/>
  <c r="AL29" i="65"/>
  <c r="AM29" i="65" s="1"/>
  <c r="AD29" i="65"/>
  <c r="AE29" i="65" s="1"/>
  <c r="U29" i="65"/>
  <c r="T29" i="65"/>
  <c r="L29" i="65"/>
  <c r="M29" i="65" s="1"/>
  <c r="BE28" i="65"/>
  <c r="BD28" i="65"/>
  <c r="AW28" i="65"/>
  <c r="AV28" i="65"/>
  <c r="AL28" i="65"/>
  <c r="AM28" i="65" s="1"/>
  <c r="AD28" i="65"/>
  <c r="AE28" i="65" s="1"/>
  <c r="U28" i="65"/>
  <c r="T28" i="65"/>
  <c r="L28" i="65"/>
  <c r="M28" i="65" s="1"/>
  <c r="BE27" i="65"/>
  <c r="BD27" i="65"/>
  <c r="AW27" i="65"/>
  <c r="AV27" i="65"/>
  <c r="AL27" i="65"/>
  <c r="AM27" i="65" s="1"/>
  <c r="AD27" i="65"/>
  <c r="AE27" i="65" s="1"/>
  <c r="U27" i="65"/>
  <c r="T27" i="65"/>
  <c r="M27" i="65"/>
  <c r="L27" i="65"/>
  <c r="BD26" i="65"/>
  <c r="BE26" i="65" s="1"/>
  <c r="AW26" i="65"/>
  <c r="AV26" i="65"/>
  <c r="AL26" i="65"/>
  <c r="AM26" i="65" s="1"/>
  <c r="AD26" i="65"/>
  <c r="AE26" i="65" s="1"/>
  <c r="U26" i="65"/>
  <c r="T26" i="65"/>
  <c r="M26" i="65"/>
  <c r="L26" i="65"/>
  <c r="BE25" i="65"/>
  <c r="BD25" i="65"/>
  <c r="AV25" i="65"/>
  <c r="AW25" i="65" s="1"/>
  <c r="AL25" i="65"/>
  <c r="AM25" i="65" s="1"/>
  <c r="AD25" i="65"/>
  <c r="AE25" i="65" s="1"/>
  <c r="U25" i="65"/>
  <c r="T25" i="65"/>
  <c r="M25" i="65"/>
  <c r="L25" i="65"/>
  <c r="BE24" i="65"/>
  <c r="BD24" i="65"/>
  <c r="AW24" i="65"/>
  <c r="AV24" i="65"/>
  <c r="AL24" i="65"/>
  <c r="AM24" i="65" s="1"/>
  <c r="AD24" i="65"/>
  <c r="AE24" i="65" s="1"/>
  <c r="U24" i="65"/>
  <c r="T24" i="65"/>
  <c r="M24" i="65"/>
  <c r="L24" i="65"/>
  <c r="BE23" i="65"/>
  <c r="BD23" i="65"/>
  <c r="AW23" i="65"/>
  <c r="AV23" i="65"/>
  <c r="AL23" i="65"/>
  <c r="AM23" i="65" s="1"/>
  <c r="AD23" i="65"/>
  <c r="AE23" i="65" s="1"/>
  <c r="T23" i="65"/>
  <c r="U23" i="65" s="1"/>
  <c r="M23" i="65"/>
  <c r="L23" i="65"/>
  <c r="BE22" i="65"/>
  <c r="BD22" i="65"/>
  <c r="AW22" i="65"/>
  <c r="AV22" i="65"/>
  <c r="AL22" i="65"/>
  <c r="AM22" i="65" s="1"/>
  <c r="AD22" i="65"/>
  <c r="AE22" i="65" s="1"/>
  <c r="U22" i="65"/>
  <c r="T22" i="65"/>
  <c r="L22" i="65"/>
  <c r="M22" i="65" s="1"/>
  <c r="BE21" i="65"/>
  <c r="BD21" i="65"/>
  <c r="AW21" i="65"/>
  <c r="AV21" i="65"/>
  <c r="AL21" i="65"/>
  <c r="AM21" i="65" s="1"/>
  <c r="AD21" i="65"/>
  <c r="AE21" i="65" s="1"/>
  <c r="U21" i="65"/>
  <c r="T21" i="65"/>
  <c r="M21" i="65"/>
  <c r="L21" i="65"/>
  <c r="BD20" i="65"/>
  <c r="BE20" i="65" s="1"/>
  <c r="AW20" i="65"/>
  <c r="AV20" i="65"/>
  <c r="AL20" i="65"/>
  <c r="AM20" i="65" s="1"/>
  <c r="AD20" i="65"/>
  <c r="AE20" i="65" s="1"/>
  <c r="U20" i="65"/>
  <c r="T20" i="65"/>
  <c r="M20" i="65"/>
  <c r="L20" i="65"/>
  <c r="BE19" i="65"/>
  <c r="BD19" i="65"/>
  <c r="AV19" i="65"/>
  <c r="AW19" i="65" s="1"/>
  <c r="AM19" i="65"/>
  <c r="AL19" i="65"/>
  <c r="AD19" i="65"/>
  <c r="AE19" i="65" s="1"/>
  <c r="T19" i="65"/>
  <c r="U19" i="65" s="1"/>
  <c r="L19" i="65"/>
  <c r="M19" i="65" s="1"/>
  <c r="BD18" i="65"/>
  <c r="BE18" i="65" s="1"/>
  <c r="AW18" i="65"/>
  <c r="AV18" i="65"/>
  <c r="AM18" i="65"/>
  <c r="AL18" i="65"/>
  <c r="AD18" i="65"/>
  <c r="AE18" i="65" s="1"/>
  <c r="T18" i="65"/>
  <c r="U18" i="65" s="1"/>
  <c r="L18" i="65"/>
  <c r="M18" i="65" s="1"/>
  <c r="BD17" i="65"/>
  <c r="BE17" i="65" s="1"/>
  <c r="AW17" i="65"/>
  <c r="AV17" i="65"/>
  <c r="AM17" i="65"/>
  <c r="AL17" i="65"/>
  <c r="AD17" i="65"/>
  <c r="AE17" i="65" s="1"/>
  <c r="T17" i="65"/>
  <c r="U17" i="65" s="1"/>
  <c r="L17" i="65"/>
  <c r="M17" i="65" s="1"/>
  <c r="BD16" i="65"/>
  <c r="BE16" i="65" s="1"/>
  <c r="AW16" i="65"/>
  <c r="AV16" i="65"/>
  <c r="AM16" i="65"/>
  <c r="AL16" i="65"/>
  <c r="AD16" i="65"/>
  <c r="AE16" i="65" s="1"/>
  <c r="T16" i="65"/>
  <c r="U16" i="65" s="1"/>
  <c r="L16" i="65"/>
  <c r="M16" i="65" s="1"/>
  <c r="BD15" i="65"/>
  <c r="BE15" i="65" s="1"/>
  <c r="AW15" i="65"/>
  <c r="AV15" i="65"/>
  <c r="AM15" i="65"/>
  <c r="AL15" i="65"/>
  <c r="AD15" i="65"/>
  <c r="AE15" i="65" s="1"/>
  <c r="T15" i="65"/>
  <c r="U15" i="65" s="1"/>
  <c r="L15" i="65"/>
  <c r="M15" i="65" s="1"/>
  <c r="BD14" i="65"/>
  <c r="BE14" i="65" s="1"/>
  <c r="AW14" i="65"/>
  <c r="AV14" i="65"/>
  <c r="AM14" i="65"/>
  <c r="AL14" i="65"/>
  <c r="AD14" i="65"/>
  <c r="AE14" i="65" s="1"/>
  <c r="T14" i="65"/>
  <c r="U14" i="65" s="1"/>
  <c r="L14" i="65"/>
  <c r="M14" i="65" s="1"/>
  <c r="BD13" i="65"/>
  <c r="BE13" i="65" s="1"/>
  <c r="AW13" i="65"/>
  <c r="AV13" i="65"/>
  <c r="AM13" i="65"/>
  <c r="AL13" i="65"/>
  <c r="AD13" i="65"/>
  <c r="AE13" i="65" s="1"/>
  <c r="T13" i="65"/>
  <c r="U13" i="65" s="1"/>
  <c r="L13" i="65"/>
  <c r="M13" i="65" s="1"/>
  <c r="BD12" i="65"/>
  <c r="BE12" i="65" s="1"/>
  <c r="AW12" i="65"/>
  <c r="AV12" i="65"/>
  <c r="AM12" i="65"/>
  <c r="AL12" i="65"/>
  <c r="AD12" i="65"/>
  <c r="AE12" i="65" s="1"/>
  <c r="T12" i="65"/>
  <c r="U12" i="65" s="1"/>
  <c r="L12" i="65"/>
  <c r="M12" i="65" s="1"/>
  <c r="BD11" i="65"/>
  <c r="BE11" i="65" s="1"/>
  <c r="AW11" i="65"/>
  <c r="AV11" i="65"/>
  <c r="AM11" i="65"/>
  <c r="AL11" i="65"/>
  <c r="AD11" i="65"/>
  <c r="AE11" i="65" s="1"/>
  <c r="T11" i="65"/>
  <c r="U11" i="65" s="1"/>
  <c r="L11" i="65"/>
  <c r="M11" i="65" s="1"/>
  <c r="BD155" i="68" l="1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L141" i="68"/>
  <c r="AM141" i="68" s="1"/>
  <c r="AD141" i="68"/>
  <c r="AE141" i="68" s="1"/>
  <c r="T141" i="68"/>
  <c r="U141" i="68" s="1"/>
  <c r="M141" i="68"/>
  <c r="L141" i="68"/>
  <c r="BE140" i="68"/>
  <c r="BD140" i="68"/>
  <c r="AW140" i="68"/>
  <c r="AV140" i="68"/>
  <c r="AL140" i="68"/>
  <c r="AM140" i="68" s="1"/>
  <c r="AD140" i="68"/>
  <c r="AE140" i="68" s="1"/>
  <c r="T140" i="68"/>
  <c r="U140" i="68" s="1"/>
  <c r="M140" i="68"/>
  <c r="L140" i="68"/>
  <c r="BE139" i="68"/>
  <c r="BD139" i="68"/>
  <c r="AW139" i="68"/>
  <c r="AV139" i="68"/>
  <c r="AL139" i="68"/>
  <c r="AM139" i="68" s="1"/>
  <c r="AD139" i="68"/>
  <c r="AE139" i="68" s="1"/>
  <c r="T139" i="68"/>
  <c r="U139" i="68" s="1"/>
  <c r="M139" i="68"/>
  <c r="L139" i="68"/>
  <c r="BE138" i="68"/>
  <c r="BD138" i="68"/>
  <c r="AW138" i="68"/>
  <c r="AV138" i="68"/>
  <c r="AL138" i="68"/>
  <c r="AM138" i="68" s="1"/>
  <c r="AD138" i="68"/>
  <c r="AE138" i="68" s="1"/>
  <c r="T138" i="68"/>
  <c r="U138" i="68" s="1"/>
  <c r="M138" i="68"/>
  <c r="L138" i="68"/>
  <c r="BE137" i="68"/>
  <c r="BD137" i="68"/>
  <c r="AW137" i="68"/>
  <c r="AV137" i="68"/>
  <c r="AL137" i="68"/>
  <c r="AM137" i="68" s="1"/>
  <c r="AE137" i="68"/>
  <c r="AD137" i="68"/>
  <c r="T137" i="68"/>
  <c r="U137" i="68" s="1"/>
  <c r="L137" i="68"/>
  <c r="M137" i="68" s="1"/>
  <c r="BD136" i="68"/>
  <c r="BE136" i="68" s="1"/>
  <c r="AV136" i="68"/>
  <c r="AW136" i="68" s="1"/>
  <c r="AL136" i="68"/>
  <c r="AM136" i="68" s="1"/>
  <c r="AE136" i="68"/>
  <c r="AD136" i="68"/>
  <c r="T136" i="68"/>
  <c r="U136" i="68" s="1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D36" i="68"/>
  <c r="BE36" i="68" s="1"/>
  <c r="AV36" i="68"/>
  <c r="AW36" i="68" s="1"/>
  <c r="AL36" i="68"/>
  <c r="AM36" i="68" s="1"/>
  <c r="AE36" i="68"/>
  <c r="AD36" i="68"/>
  <c r="U36" i="68"/>
  <c r="T36" i="68"/>
  <c r="M36" i="68"/>
  <c r="L36" i="68"/>
  <c r="BD35" i="68"/>
  <c r="BE35" i="68" s="1"/>
  <c r="AV35" i="68"/>
  <c r="AW35" i="68" s="1"/>
  <c r="AL35" i="68"/>
  <c r="AM35" i="68" s="1"/>
  <c r="AE35" i="68"/>
  <c r="AD35" i="68"/>
  <c r="U35" i="68"/>
  <c r="T35" i="68"/>
  <c r="M35" i="68"/>
  <c r="L35" i="68"/>
  <c r="BD34" i="68"/>
  <c r="BE34" i="68" s="1"/>
  <c r="AV34" i="68"/>
  <c r="AW34" i="68" s="1"/>
  <c r="AL34" i="68"/>
  <c r="AM34" i="68" s="1"/>
  <c r="AE34" i="68"/>
  <c r="AD34" i="68"/>
  <c r="U34" i="68"/>
  <c r="T34" i="68"/>
  <c r="M34" i="68"/>
  <c r="L34" i="68"/>
  <c r="BD33" i="68"/>
  <c r="BE33" i="68" s="1"/>
  <c r="AV33" i="68"/>
  <c r="AW33" i="68" s="1"/>
  <c r="AL33" i="68"/>
  <c r="AM33" i="68" s="1"/>
  <c r="AE33" i="68"/>
  <c r="AD33" i="68"/>
  <c r="U33" i="68"/>
  <c r="T33" i="68"/>
  <c r="M33" i="68"/>
  <c r="L33" i="68"/>
  <c r="BD32" i="68"/>
  <c r="BE32" i="68" s="1"/>
  <c r="AV32" i="68"/>
  <c r="AW32" i="68" s="1"/>
  <c r="AL32" i="68"/>
  <c r="AM32" i="68" s="1"/>
  <c r="AE32" i="68"/>
  <c r="AD32" i="68"/>
  <c r="U32" i="68"/>
  <c r="T32" i="68"/>
  <c r="M32" i="68"/>
  <c r="L32" i="68"/>
  <c r="BD31" i="68"/>
  <c r="BE31" i="68" s="1"/>
  <c r="AV31" i="68"/>
  <c r="AW31" i="68" s="1"/>
  <c r="AL31" i="68"/>
  <c r="AM31" i="68" s="1"/>
  <c r="AE31" i="68"/>
  <c r="AD31" i="68"/>
  <c r="U31" i="68"/>
  <c r="T31" i="68"/>
  <c r="M31" i="68"/>
  <c r="L31" i="68"/>
  <c r="BD30" i="68"/>
  <c r="BE30" i="68" s="1"/>
  <c r="AV30" i="68"/>
  <c r="AW30" i="68" s="1"/>
  <c r="AL30" i="68"/>
  <c r="AM30" i="68" s="1"/>
  <c r="AE30" i="68"/>
  <c r="AD30" i="68"/>
  <c r="U30" i="68"/>
  <c r="T30" i="68"/>
  <c r="M30" i="68"/>
  <c r="L30" i="68"/>
  <c r="BD29" i="68"/>
  <c r="BE29" i="68" s="1"/>
  <c r="AV29" i="68"/>
  <c r="AW29" i="68" s="1"/>
  <c r="AL29" i="68"/>
  <c r="AL6" i="68" s="1"/>
  <c r="AK6" i="68" s="1"/>
  <c r="AE29" i="68"/>
  <c r="AD29" i="68"/>
  <c r="U29" i="68"/>
  <c r="T29" i="68"/>
  <c r="M29" i="68"/>
  <c r="L29" i="68"/>
  <c r="BD28" i="68"/>
  <c r="BE28" i="68" s="1"/>
  <c r="AV28" i="68"/>
  <c r="AW28" i="68" s="1"/>
  <c r="AL28" i="68"/>
  <c r="AM28" i="68" s="1"/>
  <c r="AE28" i="68"/>
  <c r="AD28" i="68"/>
  <c r="U28" i="68"/>
  <c r="T28" i="68"/>
  <c r="M28" i="68"/>
  <c r="L28" i="68"/>
  <c r="BD27" i="68"/>
  <c r="BE27" i="68" s="1"/>
  <c r="AV27" i="68"/>
  <c r="AW27" i="68" s="1"/>
  <c r="AL27" i="68"/>
  <c r="AM27" i="68" s="1"/>
  <c r="AE27" i="68"/>
  <c r="AD27" i="68"/>
  <c r="U27" i="68"/>
  <c r="T27" i="68"/>
  <c r="M27" i="68"/>
  <c r="L27" i="68"/>
  <c r="BD26" i="68"/>
  <c r="BE26" i="68" s="1"/>
  <c r="AV26" i="68"/>
  <c r="AW26" i="68" s="1"/>
  <c r="AL26" i="68"/>
  <c r="AM26" i="68" s="1"/>
  <c r="AE26" i="68"/>
  <c r="AD26" i="68"/>
  <c r="U26" i="68"/>
  <c r="T26" i="68"/>
  <c r="L26" i="68"/>
  <c r="M26" i="68" s="1"/>
  <c r="BE25" i="68"/>
  <c r="BD25" i="68"/>
  <c r="AW25" i="68"/>
  <c r="AV25" i="68"/>
  <c r="AL25" i="68"/>
  <c r="AM25" i="68" s="1"/>
  <c r="AD25" i="68"/>
  <c r="AC6" i="68" s="1"/>
  <c r="T25" i="68"/>
  <c r="U25" i="68" s="1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F7" i="68"/>
  <c r="CE7" i="68" s="1"/>
  <c r="BV7" i="68"/>
  <c r="BU7" i="68" s="1"/>
  <c r="BN7" i="68"/>
  <c r="BM7" i="68" s="1"/>
  <c r="BD7" i="68"/>
  <c r="AL7" i="68"/>
  <c r="AD7" i="68"/>
  <c r="AC7" i="68" s="1"/>
  <c r="Y2" i="68" s="1"/>
  <c r="T7" i="68"/>
  <c r="S7" i="68" s="1"/>
  <c r="FG6" i="68"/>
  <c r="FF6" i="68" s="1"/>
  <c r="EY6" i="68"/>
  <c r="EX6" i="68" s="1"/>
  <c r="EP6" i="68"/>
  <c r="EO6" i="68" s="1"/>
  <c r="EH6" i="68"/>
  <c r="EG6" i="68" s="1"/>
  <c r="DX6" i="68"/>
  <c r="DW6" i="68" s="1"/>
  <c r="DP6" i="68"/>
  <c r="DO6" i="68" s="1"/>
  <c r="DF6" i="68"/>
  <c r="DE6" i="68" s="1"/>
  <c r="CX6" i="68"/>
  <c r="CW6" i="68" s="1"/>
  <c r="CF6" i="68"/>
  <c r="CE6" i="68" s="1"/>
  <c r="BV6" i="68"/>
  <c r="BU6" i="68" s="1"/>
  <c r="BN6" i="68"/>
  <c r="BM6" i="68"/>
  <c r="BD6" i="68"/>
  <c r="AV6" i="68"/>
  <c r="AD6" i="68"/>
  <c r="T6" i="68"/>
  <c r="S6" i="68" s="1"/>
  <c r="L6" i="68"/>
  <c r="FH5" i="68"/>
  <c r="EZ5" i="68"/>
  <c r="EQ5" i="68"/>
  <c r="DQ5" i="68"/>
  <c r="DG5" i="68"/>
  <c r="CY5" i="68"/>
  <c r="CG5" i="68"/>
  <c r="BW5" i="68"/>
  <c r="BO5" i="68"/>
  <c r="FD4" i="68"/>
  <c r="FF4" i="68" s="1"/>
  <c r="EV4" i="68"/>
  <c r="EX4" i="68" s="1"/>
  <c r="EM4" i="68"/>
  <c r="EO4" i="68" s="1"/>
  <c r="DM4" i="68"/>
  <c r="DO4" i="68" s="1"/>
  <c r="DC4" i="68"/>
  <c r="DE4" i="68" s="1"/>
  <c r="CU4" i="68"/>
  <c r="CW4" i="68" s="1"/>
  <c r="CK4" i="68"/>
  <c r="CM4" i="68" s="1"/>
  <c r="CC4" i="68"/>
  <c r="CE4" i="68" s="1"/>
  <c r="BS4" i="68"/>
  <c r="BU4" i="68" s="1"/>
  <c r="BK4" i="68"/>
  <c r="BM4" i="68" s="1"/>
  <c r="AA4" i="68"/>
  <c r="AC4" i="68" s="1"/>
  <c r="FH3" i="68"/>
  <c r="FD3" i="68"/>
  <c r="EZ3" i="68"/>
  <c r="EV3" i="68"/>
  <c r="EX3" i="68" s="1"/>
  <c r="EQ3" i="68"/>
  <c r="EM3" i="68"/>
  <c r="DQ3" i="68"/>
  <c r="DM3" i="68"/>
  <c r="DO3" i="68" s="1"/>
  <c r="DG3" i="68"/>
  <c r="DC3" i="68"/>
  <c r="CY3" i="68"/>
  <c r="CU3" i="68"/>
  <c r="CW3" i="68" s="1"/>
  <c r="CG3" i="68"/>
  <c r="CC3" i="68"/>
  <c r="BW3" i="68"/>
  <c r="BS3" i="68"/>
  <c r="BO3" i="68"/>
  <c r="BM3" i="68"/>
  <c r="BK3" i="68"/>
  <c r="AA3" i="68"/>
  <c r="AC3" i="68" s="1"/>
  <c r="A6" i="63" a="1"/>
  <c r="CN6" i="68" l="1"/>
  <c r="CM6" i="68" s="1"/>
  <c r="U9" i="68"/>
  <c r="AI3" i="68"/>
  <c r="BA3" i="68"/>
  <c r="K6" i="68"/>
  <c r="AE9" i="68"/>
  <c r="AE25" i="68"/>
  <c r="I4" i="68"/>
  <c r="K4" i="68" s="1"/>
  <c r="CO5" i="68"/>
  <c r="AV7" i="68"/>
  <c r="AU7" i="68" s="1"/>
  <c r="BE9" i="68"/>
  <c r="BE3" i="68" s="1"/>
  <c r="AM29" i="68"/>
  <c r="BC7" i="68"/>
  <c r="AM9" i="68"/>
  <c r="AU6" i="68"/>
  <c r="DY3" i="68"/>
  <c r="Q3" i="68"/>
  <c r="BC6" i="68"/>
  <c r="AY2" i="68" s="1"/>
  <c r="EE4" i="68"/>
  <c r="EG4" i="68" s="1"/>
  <c r="DY5" i="68"/>
  <c r="AK7" i="68"/>
  <c r="AG2" i="68" s="1"/>
  <c r="AW9" i="68"/>
  <c r="AW7" i="68" s="1"/>
  <c r="DU3" i="68"/>
  <c r="DW3" i="68" s="1"/>
  <c r="DU6" i="68" s="1"/>
  <c r="Q4" i="68"/>
  <c r="S4" i="68" s="1"/>
  <c r="I3" i="68"/>
  <c r="K3" i="68" s="1"/>
  <c r="EE3" i="68"/>
  <c r="EG3" i="68" s="1"/>
  <c r="AI4" i="68"/>
  <c r="AK4" i="68" s="1"/>
  <c r="DU4" i="68"/>
  <c r="DW4" i="68" s="1"/>
  <c r="CK3" i="68"/>
  <c r="AS4" i="68"/>
  <c r="AU4" i="68" s="1"/>
  <c r="CO3" i="68"/>
  <c r="EI3" i="68"/>
  <c r="BA4" i="68"/>
  <c r="BC4" i="68" s="1"/>
  <c r="EI5" i="68"/>
  <c r="CM7" i="68"/>
  <c r="CN9" i="68" s="1"/>
  <c r="B20" i="68" s="1"/>
  <c r="AS3" i="68"/>
  <c r="L7" i="68"/>
  <c r="K7" i="68" s="1"/>
  <c r="G2" i="68" s="1"/>
  <c r="M9" i="68"/>
  <c r="M7" i="68" s="1"/>
  <c r="U7" i="68"/>
  <c r="U5" i="68"/>
  <c r="U3" i="68"/>
  <c r="AM7" i="68"/>
  <c r="AM5" i="68"/>
  <c r="AM3" i="68"/>
  <c r="M3" i="68"/>
  <c r="AE7" i="68"/>
  <c r="AE3" i="68"/>
  <c r="AE5" i="68"/>
  <c r="O2" i="68"/>
  <c r="A6" i="63"/>
  <c r="AA6" i="68"/>
  <c r="A13" i="68" s="1"/>
  <c r="AU3" i="68"/>
  <c r="BK6" i="68"/>
  <c r="A17" i="68" s="1"/>
  <c r="CE3" i="68"/>
  <c r="CC6" i="68" s="1"/>
  <c r="A19" i="68" s="1"/>
  <c r="CU6" i="68"/>
  <c r="A21" i="68" s="1"/>
  <c r="I6" i="68"/>
  <c r="DM6" i="68"/>
  <c r="EV6" i="68"/>
  <c r="A11" i="68"/>
  <c r="S3" i="68"/>
  <c r="Q6" i="68" s="1"/>
  <c r="AK3" i="68"/>
  <c r="BC3" i="68"/>
  <c r="BA6" i="68" s="1"/>
  <c r="BU3" i="68"/>
  <c r="BS6" i="68" s="1"/>
  <c r="CM3" i="68"/>
  <c r="CK6" i="68" s="1"/>
  <c r="DE3" i="68"/>
  <c r="DC6" i="68" s="1"/>
  <c r="EO3" i="68"/>
  <c r="EM6" i="68" s="1"/>
  <c r="FF3" i="68"/>
  <c r="FD6" i="68" s="1"/>
  <c r="G4" i="68"/>
  <c r="Y4" i="68"/>
  <c r="AQ4" i="68"/>
  <c r="L9" i="68"/>
  <c r="B11" i="68" s="1"/>
  <c r="AD9" i="68"/>
  <c r="B13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Y9" i="68"/>
  <c r="T9" i="68"/>
  <c r="B12" i="68" s="1"/>
  <c r="AL9" i="68"/>
  <c r="B14" i="68" s="1"/>
  <c r="BD9" i="68"/>
  <c r="B16" i="68" s="1"/>
  <c r="BV9" i="68"/>
  <c r="B18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 s="1"/>
  <c r="BD100" i="67"/>
  <c r="BE100" i="67"/>
  <c r="BD101" i="67"/>
  <c r="BE101" i="67" s="1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 s="1"/>
  <c r="AL14" i="67"/>
  <c r="AM14" i="67"/>
  <c r="AL15" i="67"/>
  <c r="AM15" i="67"/>
  <c r="AL16" i="67"/>
  <c r="AM16" i="67"/>
  <c r="AL17" i="67"/>
  <c r="AI3" i="67" s="1"/>
  <c r="AM17" i="67"/>
  <c r="AL18" i="67"/>
  <c r="AM18" i="67"/>
  <c r="AL19" i="67"/>
  <c r="AM19" i="67" s="1"/>
  <c r="AL20" i="67"/>
  <c r="AM20" i="67"/>
  <c r="AL21" i="67"/>
  <c r="AM21" i="67"/>
  <c r="AL22" i="67"/>
  <c r="AM22" i="67"/>
  <c r="AL23" i="67"/>
  <c r="AM23" i="67"/>
  <c r="AL24" i="67"/>
  <c r="AM24" i="67"/>
  <c r="AL25" i="67"/>
  <c r="AM25" i="67" s="1"/>
  <c r="AL26" i="67"/>
  <c r="AM26" i="67"/>
  <c r="AL27" i="67"/>
  <c r="AM27" i="67"/>
  <c r="AL28" i="67"/>
  <c r="AM28" i="67"/>
  <c r="AL29" i="67"/>
  <c r="AM29" i="67"/>
  <c r="AL30" i="67"/>
  <c r="AM30" i="67"/>
  <c r="AL31" i="67"/>
  <c r="AM31" i="67" s="1"/>
  <c r="AL32" i="67"/>
  <c r="AM32" i="67"/>
  <c r="AL33" i="67"/>
  <c r="AM33" i="67"/>
  <c r="AL34" i="67"/>
  <c r="AM34" i="67" s="1"/>
  <c r="AL35" i="67"/>
  <c r="AM35" i="67"/>
  <c r="AL36" i="67"/>
  <c r="AM36" i="67"/>
  <c r="AL37" i="67"/>
  <c r="AM37" i="67" s="1"/>
  <c r="AL38" i="67"/>
  <c r="AM38" i="67"/>
  <c r="AL39" i="67"/>
  <c r="AM39" i="67"/>
  <c r="AL40" i="67"/>
  <c r="AM40" i="67" s="1"/>
  <c r="AL41" i="67"/>
  <c r="AM41" i="67"/>
  <c r="AL42" i="67"/>
  <c r="AM42" i="67"/>
  <c r="AL43" i="67"/>
  <c r="AM43" i="67" s="1"/>
  <c r="AL44" i="67"/>
  <c r="AM44" i="67"/>
  <c r="AL45" i="67"/>
  <c r="AM45" i="67"/>
  <c r="AL46" i="67"/>
  <c r="AM46" i="67" s="1"/>
  <c r="AL47" i="67"/>
  <c r="AM47" i="67"/>
  <c r="AL48" i="67"/>
  <c r="AM48" i="67"/>
  <c r="AL49" i="67"/>
  <c r="AM49" i="67" s="1"/>
  <c r="AL50" i="67"/>
  <c r="AM50" i="67"/>
  <c r="AL51" i="67"/>
  <c r="AM51" i="67"/>
  <c r="AL52" i="67"/>
  <c r="AM52" i="67" s="1"/>
  <c r="AL53" i="67"/>
  <c r="AM53" i="67"/>
  <c r="AL54" i="67"/>
  <c r="AM54" i="67"/>
  <c r="AL55" i="67"/>
  <c r="AM55" i="67" s="1"/>
  <c r="AL56" i="67"/>
  <c r="AM56" i="67"/>
  <c r="AL57" i="67"/>
  <c r="AM57" i="67"/>
  <c r="AL58" i="67"/>
  <c r="AM58" i="67" s="1"/>
  <c r="AL59" i="67"/>
  <c r="AM59" i="67"/>
  <c r="AL60" i="67"/>
  <c r="AM60" i="67"/>
  <c r="AL61" i="67"/>
  <c r="AM61" i="67" s="1"/>
  <c r="AL62" i="67"/>
  <c r="AM62" i="67"/>
  <c r="AL63" i="67"/>
  <c r="AM63" i="67"/>
  <c r="AL64" i="67"/>
  <c r="AM64" i="67" s="1"/>
  <c r="AL65" i="67"/>
  <c r="AM65" i="67"/>
  <c r="AL66" i="67"/>
  <c r="AM66" i="67"/>
  <c r="AL67" i="67"/>
  <c r="AM67" i="67" s="1"/>
  <c r="AL68" i="67"/>
  <c r="AM68" i="67"/>
  <c r="AL69" i="67"/>
  <c r="AM69" i="67"/>
  <c r="AL70" i="67"/>
  <c r="AM70" i="67" s="1"/>
  <c r="AL71" i="67"/>
  <c r="AM71" i="67"/>
  <c r="AL72" i="67"/>
  <c r="AM72" i="67"/>
  <c r="AL73" i="67"/>
  <c r="AM73" i="67" s="1"/>
  <c r="AL74" i="67"/>
  <c r="AM74" i="67"/>
  <c r="AL75" i="67"/>
  <c r="AM75" i="67"/>
  <c r="AL76" i="67"/>
  <c r="AM76" i="67" s="1"/>
  <c r="AL77" i="67"/>
  <c r="AM77" i="67"/>
  <c r="AL78" i="67"/>
  <c r="AM78" i="67"/>
  <c r="AL79" i="67"/>
  <c r="AM79" i="67" s="1"/>
  <c r="AL80" i="67"/>
  <c r="AM80" i="67"/>
  <c r="AL81" i="67"/>
  <c r="AM81" i="67"/>
  <c r="AL82" i="67"/>
  <c r="AM82" i="67" s="1"/>
  <c r="AL83" i="67"/>
  <c r="AM83" i="67"/>
  <c r="AL84" i="67"/>
  <c r="AM84" i="67"/>
  <c r="AL85" i="67"/>
  <c r="AM85" i="67" s="1"/>
  <c r="AL86" i="67"/>
  <c r="AM86" i="67"/>
  <c r="AL87" i="67"/>
  <c r="AM87" i="67"/>
  <c r="AL88" i="67"/>
  <c r="AM88" i="67" s="1"/>
  <c r="AL89" i="67"/>
  <c r="AM89" i="67"/>
  <c r="AL90" i="67"/>
  <c r="AM90" i="67"/>
  <c r="AL91" i="67"/>
  <c r="AM91" i="67" s="1"/>
  <c r="AL92" i="67"/>
  <c r="AM92" i="67"/>
  <c r="AL93" i="67"/>
  <c r="AM93" i="67"/>
  <c r="AL94" i="67"/>
  <c r="AM94" i="67" s="1"/>
  <c r="AL95" i="67"/>
  <c r="AM95" i="67"/>
  <c r="AL96" i="67"/>
  <c r="AM96" i="67"/>
  <c r="AL97" i="67"/>
  <c r="AM97" i="67" s="1"/>
  <c r="AL98" i="67"/>
  <c r="AM98" i="67"/>
  <c r="AL99" i="67"/>
  <c r="AM99" i="67"/>
  <c r="AL100" i="67"/>
  <c r="AM100" i="67" s="1"/>
  <c r="AL101" i="67"/>
  <c r="AM101" i="67"/>
  <c r="AL102" i="67"/>
  <c r="AM102" i="67"/>
  <c r="AL103" i="67"/>
  <c r="AM103" i="67" s="1"/>
  <c r="AL104" i="67"/>
  <c r="AM104" i="67"/>
  <c r="AL105" i="67"/>
  <c r="AM105" i="67"/>
  <c r="AL106" i="67"/>
  <c r="AM106" i="67" s="1"/>
  <c r="AL107" i="67"/>
  <c r="AM107" i="67"/>
  <c r="AL108" i="67"/>
  <c r="AM108" i="67"/>
  <c r="AL109" i="67"/>
  <c r="AM109" i="67" s="1"/>
  <c r="AL110" i="67"/>
  <c r="AM110" i="67"/>
  <c r="AL111" i="67"/>
  <c r="AM111" i="67"/>
  <c r="AL112" i="67"/>
  <c r="AM112" i="67" s="1"/>
  <c r="AL113" i="67"/>
  <c r="AM113" i="67"/>
  <c r="AL114" i="67"/>
  <c r="AM114" i="67"/>
  <c r="AL115" i="67"/>
  <c r="AM115" i="67" s="1"/>
  <c r="AL116" i="67"/>
  <c r="AM116" i="67"/>
  <c r="AL117" i="67"/>
  <c r="AM117" i="67"/>
  <c r="AL118" i="67"/>
  <c r="AM118" i="67" s="1"/>
  <c r="AL119" i="67"/>
  <c r="AM119" i="67"/>
  <c r="AL120" i="67"/>
  <c r="AM120" i="67"/>
  <c r="AL121" i="67"/>
  <c r="AM121" i="67" s="1"/>
  <c r="AL122" i="67"/>
  <c r="AM122" i="67"/>
  <c r="AL123" i="67"/>
  <c r="AM123" i="67"/>
  <c r="AL124" i="67"/>
  <c r="AM124" i="67" s="1"/>
  <c r="AL125" i="67"/>
  <c r="AM125" i="67"/>
  <c r="AL126" i="67"/>
  <c r="AM126" i="67"/>
  <c r="AL127" i="67"/>
  <c r="AM127" i="67" s="1"/>
  <c r="AL128" i="67"/>
  <c r="AM128" i="67"/>
  <c r="AL129" i="67"/>
  <c r="AM129" i="67"/>
  <c r="AL130" i="67"/>
  <c r="AM130" i="67" s="1"/>
  <c r="AL131" i="67"/>
  <c r="AM131" i="67"/>
  <c r="AL132" i="67"/>
  <c r="AM132" i="67"/>
  <c r="AL133" i="67"/>
  <c r="AM133" i="67" s="1"/>
  <c r="AL134" i="67"/>
  <c r="AM134" i="67"/>
  <c r="AL135" i="67"/>
  <c r="AM135" i="67"/>
  <c r="AL136" i="67"/>
  <c r="AM136" i="67" s="1"/>
  <c r="AL137" i="67"/>
  <c r="AM137" i="67"/>
  <c r="AL138" i="67"/>
  <c r="AM138" i="67"/>
  <c r="AL139" i="67"/>
  <c r="AM139" i="67" s="1"/>
  <c r="AL140" i="67"/>
  <c r="AM140" i="67"/>
  <c r="AL141" i="67"/>
  <c r="AM141" i="67"/>
  <c r="AL142" i="67"/>
  <c r="AM142" i="67" s="1"/>
  <c r="AL143" i="67"/>
  <c r="AM143" i="67"/>
  <c r="AL144" i="67"/>
  <c r="AM144" i="67"/>
  <c r="AL145" i="67"/>
  <c r="AM145" i="67" s="1"/>
  <c r="AL146" i="67"/>
  <c r="AM146" i="67"/>
  <c r="AL147" i="67"/>
  <c r="AM147" i="67"/>
  <c r="AL148" i="67"/>
  <c r="AM148" i="67" s="1"/>
  <c r="AL149" i="67"/>
  <c r="AM149" i="67"/>
  <c r="AL150" i="67"/>
  <c r="AM150" i="67"/>
  <c r="AL151" i="67"/>
  <c r="AM151" i="67" s="1"/>
  <c r="AL152" i="67"/>
  <c r="AM152" i="67"/>
  <c r="AL153" i="67"/>
  <c r="AM153" i="67"/>
  <c r="AL154" i="67"/>
  <c r="AM154" i="67" s="1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 s="1"/>
  <c r="T100" i="67"/>
  <c r="U100" i="67" s="1"/>
  <c r="T101" i="67"/>
  <c r="U101" i="67"/>
  <c r="T102" i="67"/>
  <c r="U102" i="67" s="1"/>
  <c r="T103" i="67"/>
  <c r="U103" i="67"/>
  <c r="T104" i="67"/>
  <c r="U104" i="67"/>
  <c r="T105" i="67"/>
  <c r="U105" i="67" s="1"/>
  <c r="T106" i="67"/>
  <c r="U106" i="67" s="1"/>
  <c r="T107" i="67"/>
  <c r="U107" i="67"/>
  <c r="T108" i="67"/>
  <c r="U108" i="67" s="1"/>
  <c r="T109" i="67"/>
  <c r="U109" i="67"/>
  <c r="T110" i="67"/>
  <c r="U110" i="67"/>
  <c r="T111" i="67"/>
  <c r="U111" i="67" s="1"/>
  <c r="T112" i="67"/>
  <c r="U112" i="67" s="1"/>
  <c r="T113" i="67"/>
  <c r="U113" i="67"/>
  <c r="T114" i="67"/>
  <c r="U114" i="67" s="1"/>
  <c r="T115" i="67"/>
  <c r="U115" i="67"/>
  <c r="T116" i="67"/>
  <c r="U116" i="67"/>
  <c r="T117" i="67"/>
  <c r="U117" i="67" s="1"/>
  <c r="T118" i="67"/>
  <c r="U118" i="67" s="1"/>
  <c r="T119" i="67"/>
  <c r="U119" i="67"/>
  <c r="T120" i="67"/>
  <c r="U120" i="67" s="1"/>
  <c r="T121" i="67"/>
  <c r="U121" i="67"/>
  <c r="T122" i="67"/>
  <c r="U122" i="67"/>
  <c r="T123" i="67"/>
  <c r="U123" i="67" s="1"/>
  <c r="T124" i="67"/>
  <c r="U124" i="67" s="1"/>
  <c r="T125" i="67"/>
  <c r="U125" i="67"/>
  <c r="T126" i="67"/>
  <c r="U126" i="67" s="1"/>
  <c r="T127" i="67"/>
  <c r="U127" i="67"/>
  <c r="T128" i="67"/>
  <c r="U128" i="67"/>
  <c r="T129" i="67"/>
  <c r="U129" i="67" s="1"/>
  <c r="T130" i="67"/>
  <c r="U130" i="67" s="1"/>
  <c r="T131" i="67"/>
  <c r="U131" i="67"/>
  <c r="T132" i="67"/>
  <c r="U132" i="67" s="1"/>
  <c r="T133" i="67"/>
  <c r="U133" i="67"/>
  <c r="T134" i="67"/>
  <c r="U134" i="67"/>
  <c r="T135" i="67"/>
  <c r="U135" i="67" s="1"/>
  <c r="T136" i="67"/>
  <c r="U136" i="67" s="1"/>
  <c r="T137" i="67"/>
  <c r="U137" i="67"/>
  <c r="T138" i="67"/>
  <c r="U138" i="67" s="1"/>
  <c r="T139" i="67"/>
  <c r="U139" i="67"/>
  <c r="T140" i="67"/>
  <c r="U140" i="67"/>
  <c r="T141" i="67"/>
  <c r="U141" i="67" s="1"/>
  <c r="T142" i="67"/>
  <c r="U142" i="67" s="1"/>
  <c r="T143" i="67"/>
  <c r="U143" i="67"/>
  <c r="T144" i="67"/>
  <c r="U144" i="67" s="1"/>
  <c r="T145" i="67"/>
  <c r="U145" i="67"/>
  <c r="T146" i="67"/>
  <c r="U146" i="67" s="1"/>
  <c r="T147" i="67"/>
  <c r="U147" i="67" s="1"/>
  <c r="T148" i="67"/>
  <c r="U148" i="67" s="1"/>
  <c r="T149" i="67"/>
  <c r="U149" i="67" s="1"/>
  <c r="T150" i="67"/>
  <c r="U150" i="67"/>
  <c r="T151" i="67"/>
  <c r="U151" i="67" s="1"/>
  <c r="T152" i="67"/>
  <c r="U152" i="67" s="1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/>
  <c r="L99" i="67"/>
  <c r="M99" i="67"/>
  <c r="L100" i="67"/>
  <c r="M100" i="67" s="1"/>
  <c r="L101" i="67"/>
  <c r="M101" i="67" s="1"/>
  <c r="L102" i="67"/>
  <c r="M102" i="67"/>
  <c r="L103" i="67"/>
  <c r="M103" i="67" s="1"/>
  <c r="L104" i="67"/>
  <c r="M104" i="67"/>
  <c r="L105" i="67"/>
  <c r="M105" i="67"/>
  <c r="L106" i="67"/>
  <c r="M106" i="67" s="1"/>
  <c r="L107" i="67"/>
  <c r="M107" i="67" s="1"/>
  <c r="L108" i="67"/>
  <c r="M108" i="67"/>
  <c r="L109" i="67"/>
  <c r="M109" i="67" s="1"/>
  <c r="L110" i="67"/>
  <c r="M110" i="67"/>
  <c r="L111" i="67"/>
  <c r="M111" i="67"/>
  <c r="L112" i="67"/>
  <c r="M112" i="67" s="1"/>
  <c r="L113" i="67"/>
  <c r="M113" i="67" s="1"/>
  <c r="L114" i="67"/>
  <c r="M114" i="67"/>
  <c r="L115" i="67"/>
  <c r="M115" i="67" s="1"/>
  <c r="L116" i="67"/>
  <c r="M116" i="67"/>
  <c r="L117" i="67"/>
  <c r="M117" i="67"/>
  <c r="L118" i="67"/>
  <c r="M118" i="67" s="1"/>
  <c r="L119" i="67"/>
  <c r="M119" i="67" s="1"/>
  <c r="L120" i="67"/>
  <c r="M120" i="67"/>
  <c r="L121" i="67"/>
  <c r="M121" i="67" s="1"/>
  <c r="L122" i="67"/>
  <c r="M122" i="67"/>
  <c r="L123" i="67"/>
  <c r="M123" i="67"/>
  <c r="L124" i="67"/>
  <c r="M124" i="67" s="1"/>
  <c r="L125" i="67"/>
  <c r="M125" i="67" s="1"/>
  <c r="L126" i="67"/>
  <c r="M126" i="67"/>
  <c r="L127" i="67"/>
  <c r="M127" i="67" s="1"/>
  <c r="L128" i="67"/>
  <c r="M128" i="67"/>
  <c r="L129" i="67"/>
  <c r="M129" i="67"/>
  <c r="L130" i="67"/>
  <c r="M130" i="67" s="1"/>
  <c r="L131" i="67"/>
  <c r="M131" i="67" s="1"/>
  <c r="L132" i="67"/>
  <c r="M132" i="67" s="1"/>
  <c r="L133" i="67"/>
  <c r="M133" i="67"/>
  <c r="L134" i="67"/>
  <c r="M134" i="67" s="1"/>
  <c r="L135" i="67"/>
  <c r="M135" i="67" s="1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T7" i="67"/>
  <c r="L7" i="67"/>
  <c r="FG6" i="67"/>
  <c r="EY6" i="67"/>
  <c r="EX6" i="67" s="1"/>
  <c r="EP6" i="67"/>
  <c r="EH6" i="67"/>
  <c r="EG6" i="67"/>
  <c r="DX6" i="67"/>
  <c r="DP6" i="67"/>
  <c r="DO6" i="67" s="1"/>
  <c r="CX6" i="67"/>
  <c r="CW6" i="67"/>
  <c r="CN6" i="67"/>
  <c r="CF6" i="67"/>
  <c r="CE6" i="67" s="1"/>
  <c r="BV6" i="67"/>
  <c r="BN6" i="67"/>
  <c r="BM6" i="67"/>
  <c r="BD6" i="67"/>
  <c r="AV6" i="67"/>
  <c r="AL6" i="67"/>
  <c r="AD6" i="67"/>
  <c r="AC6" i="67" s="1"/>
  <c r="T6" i="67"/>
  <c r="L6" i="67"/>
  <c r="FH5" i="67"/>
  <c r="EZ5" i="67"/>
  <c r="EQ5" i="67"/>
  <c r="EI5" i="67"/>
  <c r="DY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CU4" i="67"/>
  <c r="CW4" i="67" s="1"/>
  <c r="CK4" i="67"/>
  <c r="CM4" i="67" s="1"/>
  <c r="CC4" i="67"/>
  <c r="CE4" i="67" s="1"/>
  <c r="BS4" i="67"/>
  <c r="BU4" i="67" s="1"/>
  <c r="BK4" i="67"/>
  <c r="BM4" i="67" s="1"/>
  <c r="FH3" i="67"/>
  <c r="FD3" i="67"/>
  <c r="FF3" i="67" s="1"/>
  <c r="EZ3" i="67"/>
  <c r="EV3" i="67"/>
  <c r="EQ3" i="67"/>
  <c r="EM3" i="67"/>
  <c r="EO3" i="67" s="1"/>
  <c r="EI3" i="67"/>
  <c r="EE3" i="67"/>
  <c r="EG3" i="67" s="1"/>
  <c r="DY3" i="67"/>
  <c r="DU3" i="67"/>
  <c r="DW3" i="67" s="1"/>
  <c r="DM3" i="67"/>
  <c r="CY3" i="67"/>
  <c r="CU3" i="67"/>
  <c r="CW3" i="67" s="1"/>
  <c r="CO3" i="67"/>
  <c r="CK3" i="67"/>
  <c r="CM3" i="67" s="1"/>
  <c r="CG3" i="67"/>
  <c r="CC3" i="67"/>
  <c r="BW3" i="67"/>
  <c r="BS3" i="67"/>
  <c r="BU3" i="67" s="1"/>
  <c r="BO3" i="67"/>
  <c r="BM3" i="67"/>
  <c r="BK3" i="67"/>
  <c r="A5" i="63" a="1"/>
  <c r="Q4" i="67" l="1"/>
  <c r="S4" i="67" s="1"/>
  <c r="DC4" i="67"/>
  <c r="DE4" i="67" s="1"/>
  <c r="AU6" i="67"/>
  <c r="EY4" i="68"/>
  <c r="EY2" i="68" s="1"/>
  <c r="EV9" i="68" s="1"/>
  <c r="O4" i="68"/>
  <c r="BE7" i="68"/>
  <c r="AA4" i="67"/>
  <c r="AC4" i="67" s="1"/>
  <c r="DM4" i="67"/>
  <c r="DO4" i="67" s="1"/>
  <c r="DG5" i="67"/>
  <c r="AW5" i="68"/>
  <c r="DQ3" i="67"/>
  <c r="DQ5" i="67"/>
  <c r="AM9" i="67"/>
  <c r="AM7" i="67" s="1"/>
  <c r="AW3" i="68"/>
  <c r="BE5" i="68"/>
  <c r="AI4" i="67"/>
  <c r="AK4" i="67" s="1"/>
  <c r="Q3" i="67"/>
  <c r="AS4" i="67"/>
  <c r="AU4" i="67" s="1"/>
  <c r="AA3" i="67"/>
  <c r="AC3" i="67" s="1"/>
  <c r="BA4" i="67"/>
  <c r="BC4" i="67" s="1"/>
  <c r="DE7" i="67"/>
  <c r="K7" i="67"/>
  <c r="G2" i="67" s="1"/>
  <c r="EE6" i="68"/>
  <c r="EH4" i="68" s="1"/>
  <c r="EH2" i="68" s="1"/>
  <c r="EE9" i="68" s="1"/>
  <c r="E25" i="68" s="1"/>
  <c r="I3" i="67"/>
  <c r="AS3" i="67"/>
  <c r="AU3" i="67" s="1"/>
  <c r="S7" i="67"/>
  <c r="AV9" i="68"/>
  <c r="B15" i="68" s="1"/>
  <c r="AQ2" i="68"/>
  <c r="I4" i="67"/>
  <c r="K4" i="67" s="1"/>
  <c r="BA3" i="67"/>
  <c r="AC7" i="67"/>
  <c r="DC3" i="67"/>
  <c r="DE3" i="67" s="1"/>
  <c r="K6" i="67"/>
  <c r="AK7" i="67"/>
  <c r="M5" i="68"/>
  <c r="DG3" i="67"/>
  <c r="DF6" i="67"/>
  <c r="AY4" i="68"/>
  <c r="AI6" i="68"/>
  <c r="AL4" i="68" s="1"/>
  <c r="AS6" i="68"/>
  <c r="A15" i="68" s="1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20" i="68"/>
  <c r="CN4" i="68"/>
  <c r="A16" i="68"/>
  <c r="BD4" i="68"/>
  <c r="A12" i="68"/>
  <c r="T4" i="68"/>
  <c r="CF4" i="68"/>
  <c r="CF2" i="68" s="1"/>
  <c r="BN4" i="68"/>
  <c r="L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K3" i="67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BS6" i="67"/>
  <c r="A18" i="67" s="1"/>
  <c r="CK6" i="67"/>
  <c r="A20" i="67" s="1"/>
  <c r="DU6" i="67"/>
  <c r="EM6" i="67"/>
  <c r="FD6" i="67"/>
  <c r="S3" i="67"/>
  <c r="Q6" i="67" s="1"/>
  <c r="AK3" i="67"/>
  <c r="AG4" i="67" s="1"/>
  <c r="BC3" i="67"/>
  <c r="BA6" i="67" s="1"/>
  <c r="Y4" i="67"/>
  <c r="L9" i="67"/>
  <c r="B11" i="67" s="1"/>
  <c r="S6" i="67"/>
  <c r="O2" i="67" s="1"/>
  <c r="AD9" i="67"/>
  <c r="B13" i="67" s="1"/>
  <c r="AK6" i="67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Q3" i="65" s="1"/>
  <c r="DF11" i="65"/>
  <c r="DG11" i="65" s="1"/>
  <c r="DG9" i="65" s="1"/>
  <c r="DG3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FG6" i="65"/>
  <c r="FF6" i="65" s="1"/>
  <c r="EY6" i="65"/>
  <c r="EX6" i="65" s="1"/>
  <c r="EP6" i="65"/>
  <c r="EH6" i="65"/>
  <c r="DX6" i="65"/>
  <c r="DW6" i="65" s="1"/>
  <c r="DP6" i="65"/>
  <c r="DO6" i="65" s="1"/>
  <c r="CX6" i="65"/>
  <c r="CN6" i="65"/>
  <c r="CM6" i="65" s="1"/>
  <c r="CF6" i="65"/>
  <c r="CE6" i="65" s="1"/>
  <c r="CA2" i="65" s="1"/>
  <c r="BV6" i="65"/>
  <c r="BN6" i="65"/>
  <c r="BD6" i="65"/>
  <c r="BC6" i="65" s="1"/>
  <c r="AV6" i="65"/>
  <c r="AU6" i="65" s="1"/>
  <c r="AL6" i="65"/>
  <c r="AD6" i="65"/>
  <c r="T6" i="65"/>
  <c r="S6" i="65" s="1"/>
  <c r="FD4" i="65"/>
  <c r="FF4" i="65" s="1"/>
  <c r="EV4" i="65"/>
  <c r="EX4" i="65" s="1"/>
  <c r="EM4" i="65"/>
  <c r="EO4" i="65" s="1"/>
  <c r="EE4" i="65"/>
  <c r="EG4" i="65" s="1"/>
  <c r="DU4" i="65"/>
  <c r="DW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FD3" i="65"/>
  <c r="FF3" i="65" s="1"/>
  <c r="EV3" i="65"/>
  <c r="EX3" i="65" s="1"/>
  <c r="EM3" i="65"/>
  <c r="EO3" i="65" s="1"/>
  <c r="EE3" i="65"/>
  <c r="EG3" i="65" s="1"/>
  <c r="DU3" i="65"/>
  <c r="DW3" i="65" s="1"/>
  <c r="DM3" i="65"/>
  <c r="DO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A4" i="63" a="1"/>
  <c r="AS6" i="67" l="1"/>
  <c r="A15" i="67" s="1"/>
  <c r="AQ4" i="67"/>
  <c r="DC4" i="65"/>
  <c r="DE4" i="65" s="1"/>
  <c r="AQ2" i="65"/>
  <c r="I3" i="65"/>
  <c r="K3" i="65" s="1"/>
  <c r="I4" i="65"/>
  <c r="K4" i="65" s="1"/>
  <c r="I6" i="65" s="1"/>
  <c r="A11" i="65" s="1"/>
  <c r="DM4" i="65"/>
  <c r="DO4" i="65" s="1"/>
  <c r="DC3" i="65"/>
  <c r="DE3" i="65" s="1"/>
  <c r="K7" i="65"/>
  <c r="L9" i="65" s="1"/>
  <c r="B11" i="65" s="1"/>
  <c r="DE7" i="65"/>
  <c r="O2" i="65"/>
  <c r="AA6" i="67"/>
  <c r="A13" i="67" s="1"/>
  <c r="AG2" i="67"/>
  <c r="DC6" i="67"/>
  <c r="A22" i="67" s="1"/>
  <c r="I6" i="67"/>
  <c r="A11" i="67" s="1"/>
  <c r="L6" i="65"/>
  <c r="K6" i="65" s="1"/>
  <c r="DF6" i="65"/>
  <c r="AV4" i="68"/>
  <c r="C15" i="68" s="1"/>
  <c r="AY2" i="65"/>
  <c r="C13" i="68"/>
  <c r="AD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AD4" i="67" s="1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AA6" i="65"/>
  <c r="A13" i="65" s="1"/>
  <c r="AS6" i="65"/>
  <c r="A15" i="65" s="1"/>
  <c r="BK6" i="65"/>
  <c r="A17" i="65" s="1"/>
  <c r="CU6" i="65"/>
  <c r="A21" i="65" s="1"/>
  <c r="CS4" i="65"/>
  <c r="EE6" i="65"/>
  <c r="EV6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J6" i="63"/>
  <c r="M7" i="65" l="1"/>
  <c r="G4" i="65"/>
  <c r="AE5" i="65"/>
  <c r="AV2" i="68"/>
  <c r="AW7" i="65"/>
  <c r="EY4" i="65"/>
  <c r="EY2" i="65" s="1"/>
  <c r="EV9" i="65" s="1"/>
  <c r="M5" i="65"/>
  <c r="DM6" i="65"/>
  <c r="DP4" i="65" s="1"/>
  <c r="DP2" i="65" s="1"/>
  <c r="DM9" i="65" s="1"/>
  <c r="E23" i="65" s="1"/>
  <c r="G2" i="65"/>
  <c r="AW5" i="65"/>
  <c r="AE7" i="65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T4" i="65" s="1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BN4" i="65"/>
  <c r="BV9" i="65"/>
  <c r="B18" i="65" s="1"/>
  <c r="AV4" i="65"/>
  <c r="L4" i="65"/>
  <c r="CN4" i="65"/>
  <c r="BD4" i="65"/>
  <c r="I6" i="63"/>
  <c r="G6" i="63"/>
  <c r="H6" i="63"/>
  <c r="E6" i="63"/>
  <c r="CX4" i="65" l="1"/>
  <c r="AD4" i="65"/>
  <c r="AD2" i="65" s="1"/>
  <c r="DF4" i="65"/>
  <c r="C12" i="67"/>
  <c r="T2" i="67"/>
  <c r="D12" i="67" s="1"/>
  <c r="D15" i="67"/>
  <c r="D21" i="67"/>
  <c r="CU9" i="67"/>
  <c r="E21" i="67" s="1"/>
  <c r="D11" i="67"/>
  <c r="C16" i="67"/>
  <c r="BD2" i="67"/>
  <c r="D16" i="67" s="1"/>
  <c r="D13" i="67"/>
  <c r="C14" i="67"/>
  <c r="AL2" i="67"/>
  <c r="D14" i="67" s="1"/>
  <c r="D17" i="67"/>
  <c r="BK9" i="67"/>
  <c r="E17" i="67" s="1"/>
  <c r="AL4" i="65"/>
  <c r="C14" i="65" s="1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C17" i="65"/>
  <c r="C19" i="65"/>
  <c r="BN2" i="65"/>
  <c r="C22" i="65"/>
  <c r="DF2" i="65"/>
  <c r="D22" i="65" s="1"/>
  <c r="D19" i="65"/>
  <c r="CC9" i="65"/>
  <c r="E19" i="65" s="1"/>
  <c r="E5" i="63"/>
  <c r="C6" i="63"/>
  <c r="B6" i="63"/>
  <c r="L6" i="63"/>
  <c r="J5" i="63"/>
  <c r="D6" i="63"/>
  <c r="AL2" i="65" l="1"/>
  <c r="D14" i="65" s="1"/>
  <c r="I9" i="67"/>
  <c r="E11" i="67" s="1"/>
  <c r="AS9" i="67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G5" i="63"/>
  <c r="B5" i="63"/>
  <c r="H5" i="63"/>
  <c r="L5" i="63"/>
  <c r="C5" i="63"/>
  <c r="I5" i="63"/>
  <c r="D5" i="63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/>
  <c r="BD99" i="66"/>
  <c r="BE99" i="66"/>
  <c r="BD100" i="66"/>
  <c r="BE100" i="66"/>
  <c r="BD101" i="66"/>
  <c r="BE101" i="66"/>
  <c r="BD102" i="66"/>
  <c r="BE102" i="66" s="1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 s="1"/>
  <c r="BD109" i="66"/>
  <c r="BE109" i="66"/>
  <c r="BD110" i="66"/>
  <c r="BE110" i="66" s="1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 s="1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/>
  <c r="AD100" i="66"/>
  <c r="AE100" i="66" s="1"/>
  <c r="AD101" i="66"/>
  <c r="AE101" i="66"/>
  <c r="AD102" i="66"/>
  <c r="AE102" i="66"/>
  <c r="AD103" i="66"/>
  <c r="AE103" i="66" s="1"/>
  <c r="AD104" i="66"/>
  <c r="AE104" i="66" s="1"/>
  <c r="AD105" i="66"/>
  <c r="AE105" i="66"/>
  <c r="AD106" i="66"/>
  <c r="AE106" i="66" s="1"/>
  <c r="AD107" i="66"/>
  <c r="AE107" i="66"/>
  <c r="AD108" i="66"/>
  <c r="AE108" i="66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N7" i="66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 s="1"/>
  <c r="CN6" i="66"/>
  <c r="CM6" i="66" s="1"/>
  <c r="CF6" i="66"/>
  <c r="CE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V3" i="66"/>
  <c r="EX3" i="66" s="1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C3" i="66"/>
  <c r="CE3" i="66" s="1"/>
  <c r="BW3" i="66"/>
  <c r="BS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BO5" i="66" l="1"/>
  <c r="BO3" i="66"/>
  <c r="BW5" i="66"/>
  <c r="BM7" i="66"/>
  <c r="BU7" i="66"/>
  <c r="BN6" i="66"/>
  <c r="BM6" i="66" s="1"/>
  <c r="BV6" i="66"/>
  <c r="BU6" i="66" s="1"/>
  <c r="AW3" i="66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CN9" i="66"/>
  <c r="B20" i="66" s="1"/>
  <c r="DF9" i="66"/>
  <c r="B22" i="66" s="1"/>
  <c r="DX9" i="66"/>
  <c r="EP9" i="66"/>
  <c r="FG9" i="66"/>
  <c r="O4" i="66" l="1"/>
  <c r="BV9" i="66"/>
  <c r="B18" i="66" s="1"/>
  <c r="AY4" i="66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I4" i="63"/>
  <c r="H4" i="63"/>
  <c r="E4" i="63"/>
  <c r="G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4" i="63"/>
  <c r="D4" i="63"/>
  <c r="C4" i="63"/>
  <c r="L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AL4" i="64" l="1"/>
  <c r="AL2" i="64" s="1"/>
  <c r="D14" i="64" s="1"/>
  <c r="C20" i="64"/>
  <c r="C22" i="64"/>
  <c r="BD4" i="64"/>
  <c r="BD2" i="64" s="1"/>
  <c r="D16" i="64" s="1"/>
  <c r="C16" i="64"/>
  <c r="AS9" i="64"/>
  <c r="E15" i="64" s="1"/>
  <c r="D15" i="64"/>
  <c r="T4" i="64"/>
  <c r="T2" i="64" s="1"/>
  <c r="D12" i="64" s="1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4" i="64" l="1"/>
  <c r="C12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3" i="63"/>
  <c r="G2" i="63"/>
  <c r="L2" i="63"/>
  <c r="B3" i="63"/>
  <c r="C2" i="63"/>
  <c r="D2" i="63"/>
  <c r="G3" i="63"/>
  <c r="H2" i="63"/>
  <c r="L3" i="63"/>
  <c r="I3" i="63"/>
  <c r="H3" i="63"/>
  <c r="I2" i="63"/>
  <c r="D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<sst xmlns="http://schemas.openxmlformats.org/spreadsheetml/2006/main" count="2056" uniqueCount="48">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</sst>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10" sqref="F10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6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6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6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6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6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6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2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2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-4.1502683074200002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-4.1491104090800004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-4.1456367140600001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0.625</v>
      </c>
      <c r="H11" s="21">
        <v>46.821199999999997</v>
      </c>
      <c r="I11" s="21">
        <v>8.7676999999999998E-3</v>
      </c>
      <c r="J11" s="21">
        <v>1</v>
      </c>
      <c r="K11" s="21">
        <v>0.62454200000000004</v>
      </c>
      <c r="L11">
        <f>-I11/$F$2*1000</f>
        <v>-8.7676999999999996</v>
      </c>
      <c r="M11">
        <f>L11*G11</f>
        <v>-5.4798124999999995</v>
      </c>
      <c r="N11" s="9"/>
      <c r="O11" s="21">
        <v>-9.49097E-2</v>
      </c>
      <c r="P11" s="21">
        <v>49.4617</v>
      </c>
      <c r="Q11" s="21">
        <v>-4.3728599999999999E-2</v>
      </c>
      <c r="R11" s="21">
        <v>1</v>
      </c>
      <c r="S11" s="21">
        <v>-9.6069299999999996E-2</v>
      </c>
      <c r="T11">
        <f>-Q11/$F$2*1000</f>
        <v>43.7286</v>
      </c>
      <c r="U11">
        <f>T11*O11</f>
        <v>-4.1502683074200002</v>
      </c>
      <c r="V11" s="22"/>
      <c r="W11" s="23"/>
      <c r="X11" s="9"/>
      <c r="Y11" s="21">
        <v>0.625</v>
      </c>
      <c r="Z11" s="21">
        <v>51.8523</v>
      </c>
      <c r="AA11" s="21">
        <v>8.8714599999999994E-3</v>
      </c>
      <c r="AB11" s="21">
        <v>1</v>
      </c>
      <c r="AC11" s="21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1">
        <v>-9.49097E-2</v>
      </c>
      <c r="AH11" s="21">
        <v>54.323900000000002</v>
      </c>
      <c r="AI11" s="21">
        <v>-4.3716400000000002E-2</v>
      </c>
      <c r="AJ11" s="21">
        <v>1</v>
      </c>
      <c r="AK11" s="21">
        <v>-9.6038799999999994E-2</v>
      </c>
      <c r="AL11">
        <f>-AI11/$F$2*1000</f>
        <v>43.7164</v>
      </c>
      <c r="AM11">
        <f>AL11*AG11</f>
        <v>-4.1491104090800004</v>
      </c>
      <c r="AP11" s="9"/>
      <c r="AQ11" s="21">
        <v>0.625</v>
      </c>
      <c r="AR11" s="21">
        <v>56.997399999999999</v>
      </c>
      <c r="AS11" s="21">
        <v>9.0057399999999999E-3</v>
      </c>
      <c r="AT11" s="21">
        <v>1</v>
      </c>
      <c r="AU11" s="21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1">
        <v>-9.49097E-2</v>
      </c>
      <c r="AZ11" s="21">
        <v>60.146000000000001</v>
      </c>
      <c r="BA11" s="21">
        <v>-4.3679799999999998E-2</v>
      </c>
      <c r="BB11" s="21">
        <v>1</v>
      </c>
      <c r="BC11" s="21">
        <v>-9.6069299999999996E-2</v>
      </c>
      <c r="BD11">
        <f>-BA11/$F$2*1000</f>
        <v>43.6798</v>
      </c>
      <c r="BE11">
        <f>BD11*AY11</f>
        <v>-4.1456367140600001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1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1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1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G11" sqref="G11:BE157"/>
    </sheetView>
  </sheetViews>
  <sheetFormatPr defaultRowHeight="14.4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2648.633333334129</v>
      </c>
      <c r="H2" s="2"/>
      <c r="I2" s="6" t="s">
        <v>12</v>
      </c>
      <c r="J2" s="2"/>
      <c r="K2" s="7" t="s">
        <v>13</v>
      </c>
      <c r="L2" s="3">
        <f>L4*I6*L9/100*100</f>
        <v>16.981434052874999</v>
      </c>
      <c r="M2" s="8" t="s">
        <v>14</v>
      </c>
      <c r="N2" s="9"/>
      <c r="O2" s="2">
        <f>ABS(S7-S6)/ABS(T7-T6)*1000</f>
        <v>2112.7396721307064</v>
      </c>
      <c r="P2" s="2"/>
      <c r="Q2" s="6" t="s">
        <v>15</v>
      </c>
      <c r="R2" s="2"/>
      <c r="S2" s="7" t="s">
        <v>13</v>
      </c>
      <c r="T2" s="3">
        <f>T4*Q6*T9/100*100</f>
        <v>16.903845876749998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16.907337407124995</v>
      </c>
      <c r="AE2" s="8" t="s">
        <v>14</v>
      </c>
      <c r="AF2" s="9"/>
      <c r="AG2" s="2">
        <f>ABS(AK7-AK6)/ABS(AL7-AL6)*1000</f>
        <v>705.76960698685821</v>
      </c>
      <c r="AH2" s="2"/>
      <c r="AI2" s="6" t="s">
        <v>15</v>
      </c>
      <c r="AJ2" s="2"/>
      <c r="AK2" s="7" t="s">
        <v>13</v>
      </c>
      <c r="AL2" s="3">
        <f>AL4*AI6*AL9/100*100</f>
        <v>16.855267764999997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16.893886960499998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16.845558509374996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-3.1547562499999997</v>
      </c>
      <c r="L3" s="26" t="s">
        <v>16</v>
      </c>
      <c r="M3" s="11">
        <f>M9</f>
        <v>16.981434052874999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2.4444562499999996</v>
      </c>
      <c r="T3" s="26" t="s">
        <v>16</v>
      </c>
      <c r="U3" s="11">
        <f>U9</f>
        <v>16.903845876749998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-0.99830624999999984</v>
      </c>
      <c r="AD3" s="26" t="s">
        <v>16</v>
      </c>
      <c r="AE3" s="11">
        <f>AE9</f>
        <v>16.907337407124995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1.6906749999999997</v>
      </c>
      <c r="AL3" s="26" t="s">
        <v>16</v>
      </c>
      <c r="AM3" s="11">
        <f>AM9</f>
        <v>16.855267764999997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-1.7763125000000002</v>
      </c>
      <c r="AV3" s="26" t="s">
        <v>16</v>
      </c>
      <c r="AW3" s="11">
        <f>AW9</f>
        <v>16.893886960499998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1.3328562499999999</v>
      </c>
      <c r="BD3" s="26" t="s">
        <v>16</v>
      </c>
      <c r="BE3" s="11">
        <f>BE9</f>
        <v>16.845558509374996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26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26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26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26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26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26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1.4534571077599727</v>
      </c>
      <c r="H4" s="2"/>
      <c r="I4" s="2">
        <f>INDEX(K11:K1000,1+MATCH(0,L11:L856,1))</f>
        <v>0.62457300000000004</v>
      </c>
      <c r="J4" s="2"/>
      <c r="K4" s="10">
        <f>INDEX(L11:L1056,MATCH(I4,K11:K1056,0))</f>
        <v>0.37269562499999997</v>
      </c>
      <c r="L4" s="25">
        <f>M3/(I6*L9)</f>
        <v>0.70622389127887397</v>
      </c>
      <c r="M4" s="8" t="s">
        <v>17</v>
      </c>
      <c r="N4" s="9"/>
      <c r="O4" s="2">
        <f>ABS(Q3-Q4)/ABS(S3-S4)*1000</f>
        <v>1.4504854691330846</v>
      </c>
      <c r="P4" s="2"/>
      <c r="Q4" s="2">
        <f>INDEX(S11:S856,1+MATCH(0,T11:T856,-1))</f>
        <v>0.624695</v>
      </c>
      <c r="R4" s="2"/>
      <c r="S4" s="10">
        <f>INDEX(T11:T856,MATCH(Q4,S11:S856,0))</f>
        <v>-0.94337499999999985</v>
      </c>
      <c r="T4" s="25">
        <f>U3/(Q6*T9)</f>
        <v>0.70608705638447755</v>
      </c>
      <c r="U4" s="8" t="s">
        <v>17</v>
      </c>
      <c r="X4" s="9"/>
      <c r="Y4" s="2">
        <f>ABS(AA3-AA4)/ABS(AC3-AC4)*1000</f>
        <v>1.4775943700849659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25">
        <f>AE3/(AA6*AD9)</f>
        <v>0.70625811810788719</v>
      </c>
      <c r="AE4" s="8" t="s">
        <v>17</v>
      </c>
      <c r="AF4" s="9"/>
      <c r="AG4" s="2">
        <f>ABS(AI3-AI4)/ABS(AK3-AK4)*1000</f>
        <v>1.4767284460063597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-1.7398812499999998</v>
      </c>
      <c r="AL4" s="25">
        <f>AM3/(AI6*AL9)</f>
        <v>0.7065394634213702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25">
        <f>AW3/(AS6*AV9)</f>
        <v>0.70694241768344379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25">
        <f>BE3/(BA6*BD9)</f>
        <v>0.70821218773740324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33.033374999999999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33.187874999999998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33.546437499999996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33.092499999999994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0.6251146971051873</v>
      </c>
      <c r="J6" s="25"/>
      <c r="K6" s="2">
        <f>INDEX(K11:K1056,MATCH(L6,L11:L1056,0))</f>
        <v>1.5432700000000001E-2</v>
      </c>
      <c r="L6" s="10">
        <f>INDEX(L11:L1056,MATCH(0,K11:K1056,-1))</f>
        <v>38.45975</v>
      </c>
      <c r="M6" s="8" t="s">
        <v>22</v>
      </c>
      <c r="N6" s="9"/>
      <c r="O6" s="2"/>
      <c r="P6" s="2"/>
      <c r="Q6" s="27">
        <f>(Q3-Q4)/(S3-S4)*(-S4)+Q4</f>
        <v>0.62332664827055662</v>
      </c>
      <c r="R6" s="27"/>
      <c r="S6" s="2">
        <f>INDEX(S11:S1056,MATCH(T6,T11:T1056,0))</f>
        <v>-5.4840100000000003E-2</v>
      </c>
      <c r="T6" s="10">
        <f>INDEX(T11:T1056,MATCH(0,S11:S1056,1))</f>
        <v>38.433062499999998</v>
      </c>
      <c r="U6" s="8" t="s">
        <v>22</v>
      </c>
      <c r="X6" s="9"/>
      <c r="Y6" s="2"/>
      <c r="Z6" s="2"/>
      <c r="AA6" s="25">
        <f>(AA3-AA4)/(AC3-AC4)*(-AC4)+AA4</f>
        <v>0.62303690830537928</v>
      </c>
      <c r="AB6" s="25"/>
      <c r="AC6" s="2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27">
        <f>(AI3-AI4)/(AK3-AK4)*(-AK4)+AI4</f>
        <v>0.62224766786545183</v>
      </c>
      <c r="AJ6" s="27"/>
      <c r="AK6" s="2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25">
        <f>(AS3-AS4)/(AU3-AU4)*(-AU4)+AS4</f>
        <v>0.62190729724348903</v>
      </c>
      <c r="AT6" s="25"/>
      <c r="AU6" s="2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27">
        <f>(BA3-BA4)/(BC3-BC4)*(-BC4)+BA4</f>
        <v>0.62165636849991079</v>
      </c>
      <c r="BB6" s="27"/>
      <c r="BC6" s="2">
        <f>INDEX(BC11:BC1056,MATCH(BD6,BD11:BD1056,0))</f>
        <v>-7.5042700000000004E-2</v>
      </c>
      <c r="BD6" s="10">
        <f>INDEX(BD11:BD1056,MATCH(0,BC11:BC1056,1))</f>
        <v>38.452124999999995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-4.0188599999999998E-2</v>
      </c>
      <c r="L7" s="10">
        <f>INDEX(L11:L856,1+MATCH(0,K11:K856,-1))</f>
        <v>38.480749999999993</v>
      </c>
      <c r="M7" s="12">
        <f>INDEX(K11:K1056,MATCH(M9,M11:M1056,0))</f>
        <v>0.51275599999999999</v>
      </c>
      <c r="N7" s="9"/>
      <c r="O7" s="2"/>
      <c r="P7" s="2"/>
      <c r="Q7" s="2"/>
      <c r="R7" s="2"/>
      <c r="S7" s="2">
        <f>INDEX(S11:S1056,MATCH(T7,T11:T1056,0))</f>
        <v>-1.4566000000000001E-2</v>
      </c>
      <c r="T7" s="10">
        <f>INDEX(T11:T1056,1+MATCH(0,S11:S1056,1))</f>
        <v>38.413999999999994</v>
      </c>
      <c r="U7" s="12">
        <f>INDEX(S11:S1056,MATCH(U9,U11:U1056,0))</f>
        <v>0.508911</v>
      </c>
      <c r="X7" s="9"/>
      <c r="Y7" s="2"/>
      <c r="Z7" s="2"/>
      <c r="AA7" s="2"/>
      <c r="AB7" s="2"/>
      <c r="AC7" s="2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2">
        <f>INDEX(AK11:AK1056,MATCH(AL7,AL11:AL1056,0))</f>
        <v>6.2560999999999997E-4</v>
      </c>
      <c r="AL7" s="10">
        <f>INDEX(AL11:AL1056,1+MATCH(0,AK11:AK1056,1))</f>
        <v>38.337687499999994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2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2">
        <f>INDEX(BC11:BC1056,MATCH(BD7,BD11:BD1056,0))</f>
        <v>-5.9966999999999999E-2</v>
      </c>
      <c r="BD7" s="10">
        <f>INDEX(BD11:BD1056,1+MATCH(0,BC11:BC1056,1))</f>
        <v>38.413999999999994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0.45690002318658929</v>
      </c>
      <c r="J9" s="2"/>
      <c r="K9" s="2"/>
      <c r="L9" s="3">
        <f>(L6-L7)/(K6-K7)*(-K7)+L7</f>
        <v>38.465576665324257</v>
      </c>
      <c r="M9" s="15">
        <f>MAX(M11:M1056)</f>
        <v>16.981434052874999</v>
      </c>
      <c r="N9" s="9"/>
      <c r="O9" s="2"/>
      <c r="P9" s="2"/>
      <c r="Q9" s="2"/>
      <c r="R9" s="2"/>
      <c r="S9" s="2"/>
      <c r="T9" s="3">
        <f>(T6-T7)/(S6-S7)*(-S7)+T7</f>
        <v>38.407105634266181</v>
      </c>
      <c r="U9" s="15">
        <f>MAX(U11:U1056)</f>
        <v>16.903845876749998</v>
      </c>
      <c r="X9" s="9"/>
      <c r="Y9" s="2"/>
      <c r="Z9" s="2"/>
      <c r="AA9" s="14">
        <f>(MAX(AD2,AL2)-MIN(AD2,AL2))/MAX(AD2,AL2)%</f>
        <v>0.30797068084212414</v>
      </c>
      <c r="AB9" s="2"/>
      <c r="AC9" s="2"/>
      <c r="AD9" s="3">
        <f>(AD6-AD7)/(AC6-AC7)*(-AC7)+AD7</f>
        <v>38.423594646265641</v>
      </c>
      <c r="AE9" s="15">
        <f>MAX(AE11:AE1056)</f>
        <v>16.907337407124995</v>
      </c>
      <c r="AF9" s="9"/>
      <c r="AG9" s="2"/>
      <c r="AH9" s="2"/>
      <c r="AI9" s="2"/>
      <c r="AJ9" s="2"/>
      <c r="AK9" s="2"/>
      <c r="AL9" s="3">
        <f>(AL6-AL7)/(AK6-AK7)*(-AK7)+AL7</f>
        <v>38.338573922415762</v>
      </c>
      <c r="AM9" s="15">
        <f>MAX(AM11:AM1056)</f>
        <v>16.855267764999997</v>
      </c>
      <c r="AP9" s="9"/>
      <c r="AQ9" s="2"/>
      <c r="AR9" s="2"/>
      <c r="AS9" s="14">
        <f>(MAX(AV2,BD2)-MIN(AV2,BD2))/MAX(AV2,BD2)%</f>
        <v>0.28607064341083766</v>
      </c>
      <c r="AT9" s="2"/>
      <c r="AU9" s="2"/>
      <c r="AV9" s="3">
        <f>(AV6-AV7)/(AU6-AU7)*(-AU7)+AV7</f>
        <v>38.425532124674859</v>
      </c>
      <c r="AW9" s="15">
        <f>MAX(AW11:AW1056)</f>
        <v>16.893886960499998</v>
      </c>
      <c r="AX9" s="9"/>
      <c r="AY9" s="2"/>
      <c r="AZ9" s="2"/>
      <c r="BA9" s="2"/>
      <c r="BB9" s="2"/>
      <c r="BC9" s="2"/>
      <c r="BD9" s="3">
        <f>(BD6-BD7)/(BC6-BC7)*(-BC7)+BD7</f>
        <v>38.262349206007009</v>
      </c>
      <c r="BE9" s="15">
        <f>MAX(BE11:BE1056)</f>
        <v>16.845558509374996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-0.19418643257124998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-0.19317267833812501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-0.19243060312124999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0.6251146971051873</v>
      </c>
      <c r="B11" s="18">
        <f>IFERROR(L9,0)</f>
        <v>38.465576665324257</v>
      </c>
      <c r="C11" s="19">
        <f>IFERROR(L4,0)</f>
        <v>0.70622389127887397</v>
      </c>
      <c r="D11" s="20">
        <f>IFERROR(L2,0)</f>
        <v>16.981434052874999</v>
      </c>
      <c r="E11" s="20">
        <f>IFERROR(I9,0)</f>
        <v>0.45690002318658929</v>
      </c>
      <c r="F11" s="9"/>
      <c r="G11" s="21">
        <v>0.63491799999999998</v>
      </c>
      <c r="H11" s="21">
        <v>103.229</v>
      </c>
      <c r="I11" s="21">
        <v>1.10779E-2</v>
      </c>
      <c r="J11" s="21">
        <v>1</v>
      </c>
      <c r="K11" s="21">
        <v>0.63479600000000003</v>
      </c>
      <c r="L11">
        <f>-I11/$F$2*1000</f>
        <v>-6.9236874999999989</v>
      </c>
      <c r="M11">
        <f>L11*G11</f>
        <v>-4.3959738201249996</v>
      </c>
      <c r="N11" s="9"/>
      <c r="O11" s="21">
        <v>-9.49097E-2</v>
      </c>
      <c r="P11" s="21">
        <v>155.73099999999999</v>
      </c>
      <c r="Q11" s="21">
        <v>-6.15845E-2</v>
      </c>
      <c r="R11" s="21">
        <v>1</v>
      </c>
      <c r="S11" s="21">
        <v>-9.5214800000000002E-2</v>
      </c>
      <c r="T11">
        <f>-Q11/$F$2*1000</f>
        <v>38.490312500000002</v>
      </c>
      <c r="U11">
        <f>T11*O11</f>
        <v>-3.6531040122812501</v>
      </c>
      <c r="V11" s="22"/>
      <c r="W11" s="23"/>
      <c r="X11" s="9"/>
      <c r="Y11" s="21">
        <v>0.63491799999999998</v>
      </c>
      <c r="Z11" s="21">
        <v>190.10300000000001</v>
      </c>
      <c r="AA11" s="21">
        <v>1.35345E-2</v>
      </c>
      <c r="AB11" s="21">
        <v>1</v>
      </c>
      <c r="AC11" s="21">
        <v>0.63458300000000001</v>
      </c>
      <c r="AD11">
        <f>-AA11/$F$2*1000</f>
        <v>-8.4590624999999999</v>
      </c>
      <c r="AE11">
        <f>AD11*Y11</f>
        <v>-5.3708110443749995</v>
      </c>
      <c r="AF11" s="9"/>
      <c r="AG11" s="21">
        <v>-9.49097E-2</v>
      </c>
      <c r="AH11" s="21">
        <v>246.87899999999999</v>
      </c>
      <c r="AI11" s="21">
        <v>-6.1553999999999998E-2</v>
      </c>
      <c r="AJ11" s="21">
        <v>1</v>
      </c>
      <c r="AK11" s="21">
        <v>-9.5214800000000002E-2</v>
      </c>
      <c r="AL11">
        <f>-AI11/$F$2*1000</f>
        <v>38.471249999999998</v>
      </c>
      <c r="AM11">
        <f>AL11*AG11</f>
        <v>-3.6512947961249997</v>
      </c>
      <c r="AP11" s="9"/>
      <c r="AQ11" s="21">
        <v>0.63491799999999998</v>
      </c>
      <c r="AR11" s="21">
        <v>296.01600000000002</v>
      </c>
      <c r="AS11" s="21">
        <v>1.4892600000000001E-2</v>
      </c>
      <c r="AT11" s="21">
        <v>1</v>
      </c>
      <c r="AU11" s="21">
        <v>0.63458300000000001</v>
      </c>
      <c r="AV11">
        <f>-AS11/$F$2*1000</f>
        <v>-9.307875000000001</v>
      </c>
      <c r="AW11">
        <f>AV11*AQ11</f>
        <v>-5.9097373792500001</v>
      </c>
      <c r="AX11" s="9"/>
      <c r="AY11" s="21">
        <v>-9.49097E-2</v>
      </c>
      <c r="AZ11" s="21">
        <v>333.18900000000002</v>
      </c>
      <c r="BA11" s="21">
        <v>-6.1553999999999998E-2</v>
      </c>
      <c r="BB11" s="21">
        <v>1</v>
      </c>
      <c r="BC11" s="21">
        <v>-9.5245399999999994E-2</v>
      </c>
      <c r="BD11">
        <f>-BA11/$F$2*1000</f>
        <v>38.471249999999998</v>
      </c>
      <c r="BE11">
        <f>BD11*AY11</f>
        <v>-3.6512947961249997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-2.15645</v>
      </c>
      <c r="CG11">
        <f>CF11*CA11</f>
        <v>-2.6198711050000001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2.03533125</v>
      </c>
      <c r="CO11">
        <f>CN11*CI11</f>
        <v>-0.19317267833812501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0.62332664827055662</v>
      </c>
      <c r="B12" s="18">
        <f>IFERROR(T9,0)</f>
        <v>38.407105634266181</v>
      </c>
      <c r="C12" s="19">
        <f>IFERROR(T4,0)</f>
        <v>0.70608705638447755</v>
      </c>
      <c r="D12" s="20">
        <f>IFERROR(T2,0)</f>
        <v>16.903845876749998</v>
      </c>
      <c r="E12" s="20"/>
      <c r="F12" s="9"/>
      <c r="G12" s="21">
        <v>0.62988299999999997</v>
      </c>
      <c r="H12" s="21">
        <v>103.33</v>
      </c>
      <c r="I12" s="21">
        <v>5.0476100000000001E-3</v>
      </c>
      <c r="J12" s="21">
        <v>2</v>
      </c>
      <c r="K12" s="21">
        <v>0.62970000000000004</v>
      </c>
      <c r="L12">
        <f t="shared" ref="L12:L75" si="0">-I12/$F$2*1000</f>
        <v>-3.1547562499999997</v>
      </c>
      <c r="M12">
        <f t="shared" ref="M12:M75" si="1">L12*G12</f>
        <v>-1.9871273310187498</v>
      </c>
      <c r="N12" s="9"/>
      <c r="O12" s="21">
        <v>-8.9874300000000004E-2</v>
      </c>
      <c r="P12" s="21">
        <v>155.83199999999999</v>
      </c>
      <c r="Q12" s="21">
        <v>-6.1615000000000003E-2</v>
      </c>
      <c r="R12" s="21">
        <v>2</v>
      </c>
      <c r="S12" s="21">
        <v>-9.0209999999999999E-2</v>
      </c>
      <c r="T12">
        <f t="shared" ref="T12:T75" si="2">-Q12/$F$2*1000</f>
        <v>38.509374999999999</v>
      </c>
      <c r="U12">
        <f t="shared" ref="U12:U75" si="3">T12*O12</f>
        <v>-3.4610031215624999</v>
      </c>
      <c r="V12" s="22"/>
      <c r="W12" s="23"/>
      <c r="X12" s="9"/>
      <c r="Y12" s="21">
        <v>0.62988299999999997</v>
      </c>
      <c r="Z12" s="21">
        <v>190.203</v>
      </c>
      <c r="AA12" s="21">
        <v>7.3364299999999997E-3</v>
      </c>
      <c r="AB12" s="21">
        <v>2</v>
      </c>
      <c r="AC12" s="21">
        <v>0.62960799999999995</v>
      </c>
      <c r="AD12">
        <f t="shared" ref="AD12:AD75" si="4">-AA12/$F$2*1000</f>
        <v>-4.58526875</v>
      </c>
      <c r="AE12">
        <f t="shared" ref="AE12:AE75" si="5">AD12*Y12</f>
        <v>-2.88818283605625</v>
      </c>
      <c r="AF12" s="9"/>
      <c r="AG12" s="21">
        <v>-8.9874300000000004E-2</v>
      </c>
      <c r="AH12" s="21">
        <v>246.97900000000001</v>
      </c>
      <c r="AI12" s="21">
        <v>-6.1553999999999998E-2</v>
      </c>
      <c r="AJ12" s="21">
        <v>2</v>
      </c>
      <c r="AK12" s="21">
        <v>-9.0271000000000004E-2</v>
      </c>
      <c r="AL12">
        <f t="shared" ref="AL12:AL75" si="6">-AI12/$F$2*1000</f>
        <v>38.471249999999998</v>
      </c>
      <c r="AM12">
        <f t="shared" ref="AM12:AM75" si="7">AL12*AG12</f>
        <v>-3.4575766638749998</v>
      </c>
      <c r="AP12" s="9"/>
      <c r="AQ12" s="21">
        <v>0.62988299999999997</v>
      </c>
      <c r="AR12" s="21">
        <v>296.11700000000002</v>
      </c>
      <c r="AS12" s="21">
        <v>8.6700400000000004E-3</v>
      </c>
      <c r="AT12" s="21">
        <v>2</v>
      </c>
      <c r="AU12" s="21">
        <v>0.62960799999999995</v>
      </c>
      <c r="AV12">
        <f t="shared" ref="AV12:AV75" si="8">-AS12/$F$2*1000</f>
        <v>-5.4187750000000001</v>
      </c>
      <c r="AW12">
        <f t="shared" ref="AW12:AW75" si="9">AV12*AQ12</f>
        <v>-3.4131942533249999</v>
      </c>
      <c r="AX12" s="9"/>
      <c r="AY12" s="21">
        <v>-8.9874300000000004E-2</v>
      </c>
      <c r="AZ12" s="21">
        <v>333.29</v>
      </c>
      <c r="BA12" s="21">
        <v>-6.1645499999999999E-2</v>
      </c>
      <c r="BB12" s="21">
        <v>2</v>
      </c>
      <c r="BC12" s="21">
        <v>-9.0271000000000004E-2</v>
      </c>
      <c r="BD12">
        <f t="shared" ref="BD12:BD75" si="10">-BA12/$F$2*1000</f>
        <v>38.528437499999995</v>
      </c>
      <c r="BE12">
        <f t="shared" ref="BE12:BE75" si="11">BD12*AY12</f>
        <v>-3.4627163504062497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0.62303690830537928</v>
      </c>
      <c r="B13" s="18">
        <f>IFERROR(AD9,0)</f>
        <v>38.423594646265641</v>
      </c>
      <c r="C13" s="19">
        <f>IFERROR(AD4,0)</f>
        <v>0.70625811810788719</v>
      </c>
      <c r="D13" s="20">
        <f>IFERROR(AD2,0)</f>
        <v>16.907337407124995</v>
      </c>
      <c r="E13" s="20">
        <f>IFERROR(AA9,0)</f>
        <v>0.30797068084212414</v>
      </c>
      <c r="F13" s="9"/>
      <c r="G13" s="21">
        <v>0.62484700000000004</v>
      </c>
      <c r="H13" s="21">
        <v>103.431</v>
      </c>
      <c r="I13" s="21">
        <v>-5.9631300000000001E-4</v>
      </c>
      <c r="J13" s="21">
        <v>3</v>
      </c>
      <c r="K13" s="21">
        <v>0.62457300000000004</v>
      </c>
      <c r="L13">
        <f t="shared" si="0"/>
        <v>0.37269562499999997</v>
      </c>
      <c r="M13">
        <f t="shared" si="1"/>
        <v>0.23287774319437499</v>
      </c>
      <c r="N13" s="9"/>
      <c r="O13" s="21">
        <v>-8.4838899999999995E-2</v>
      </c>
      <c r="P13" s="21">
        <v>155.93299999999999</v>
      </c>
      <c r="Q13" s="21">
        <v>-6.15845E-2</v>
      </c>
      <c r="R13" s="21">
        <v>3</v>
      </c>
      <c r="S13" s="21">
        <v>-8.5022E-2</v>
      </c>
      <c r="T13">
        <f t="shared" si="2"/>
        <v>38.490312500000002</v>
      </c>
      <c r="U13">
        <f t="shared" si="3"/>
        <v>-3.26547577315625</v>
      </c>
      <c r="V13" s="22"/>
      <c r="W13" s="23"/>
      <c r="X13" s="9"/>
      <c r="Y13" s="21">
        <v>0.62484700000000004</v>
      </c>
      <c r="Z13" s="21">
        <v>190.304</v>
      </c>
      <c r="AA13" s="21">
        <v>1.5972899999999999E-3</v>
      </c>
      <c r="AB13" s="21">
        <v>3</v>
      </c>
      <c r="AC13" s="21">
        <v>0.62451199999999996</v>
      </c>
      <c r="AD13">
        <f t="shared" si="4"/>
        <v>-0.99830624999999984</v>
      </c>
      <c r="AE13">
        <f t="shared" si="5"/>
        <v>-0.62378866539374989</v>
      </c>
      <c r="AF13" s="9"/>
      <c r="AG13" s="21">
        <v>-8.4838899999999995E-2</v>
      </c>
      <c r="AH13" s="21">
        <v>247.08</v>
      </c>
      <c r="AI13" s="21">
        <v>-6.1553999999999998E-2</v>
      </c>
      <c r="AJ13" s="21">
        <v>3</v>
      </c>
      <c r="AK13" s="21">
        <v>-8.5143999999999997E-2</v>
      </c>
      <c r="AL13">
        <f t="shared" si="6"/>
        <v>38.471249999999998</v>
      </c>
      <c r="AM13">
        <f t="shared" si="7"/>
        <v>-3.2638585316249995</v>
      </c>
      <c r="AP13" s="9"/>
      <c r="AQ13" s="21">
        <v>0.62484700000000004</v>
      </c>
      <c r="AR13" s="21">
        <v>296.21800000000002</v>
      </c>
      <c r="AS13" s="21">
        <v>2.8421000000000002E-3</v>
      </c>
      <c r="AT13" s="21">
        <v>3</v>
      </c>
      <c r="AU13" s="21">
        <v>0.62451199999999996</v>
      </c>
      <c r="AV13">
        <f t="shared" si="8"/>
        <v>-1.7763125000000002</v>
      </c>
      <c r="AW13">
        <f t="shared" si="9"/>
        <v>-1.1099235366875002</v>
      </c>
      <c r="AX13" s="9"/>
      <c r="AY13" s="21">
        <v>-8.4838899999999995E-2</v>
      </c>
      <c r="AZ13" s="21">
        <v>333.39</v>
      </c>
      <c r="BA13" s="21">
        <v>-6.1553999999999998E-2</v>
      </c>
      <c r="BB13" s="21">
        <v>3</v>
      </c>
      <c r="BC13" s="21">
        <v>-8.5143999999999997E-2</v>
      </c>
      <c r="BD13">
        <f t="shared" si="10"/>
        <v>38.471249999999998</v>
      </c>
      <c r="BE13">
        <f t="shared" si="11"/>
        <v>-3.2638585316249995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0.62224766786545183</v>
      </c>
      <c r="B14" s="18">
        <f>IFERROR(AL9,0)</f>
        <v>38.338573922415762</v>
      </c>
      <c r="C14" s="19">
        <f>IFERROR(AL4,0)</f>
        <v>0.7065394634213702</v>
      </c>
      <c r="D14" s="20">
        <f>IFERROR(AL2,0)</f>
        <v>16.855267764999997</v>
      </c>
      <c r="E14" s="20"/>
      <c r="F14" s="9"/>
      <c r="G14" s="21">
        <v>0.61981200000000003</v>
      </c>
      <c r="H14" s="21">
        <v>103.532</v>
      </c>
      <c r="I14" s="21">
        <v>-5.8471699999999996E-3</v>
      </c>
      <c r="J14" s="21">
        <v>4</v>
      </c>
      <c r="K14" s="21">
        <v>0.61944600000000005</v>
      </c>
      <c r="L14">
        <f t="shared" si="0"/>
        <v>3.6544812499999995</v>
      </c>
      <c r="M14">
        <f t="shared" si="1"/>
        <v>2.2650913325249999</v>
      </c>
      <c r="N14" s="9"/>
      <c r="O14" s="21">
        <v>-7.9803499999999999E-2</v>
      </c>
      <c r="P14" s="21">
        <v>156.03299999999999</v>
      </c>
      <c r="Q14" s="21">
        <v>-6.15845E-2</v>
      </c>
      <c r="R14" s="21">
        <v>4</v>
      </c>
      <c r="S14" s="21">
        <v>-8.0078099999999999E-2</v>
      </c>
      <c r="T14">
        <f t="shared" si="2"/>
        <v>38.490312500000002</v>
      </c>
      <c r="U14">
        <f t="shared" si="3"/>
        <v>-3.07166165359375</v>
      </c>
      <c r="V14" s="22"/>
      <c r="W14" s="23"/>
      <c r="X14" s="9"/>
      <c r="Y14" s="21">
        <v>0.61981200000000003</v>
      </c>
      <c r="Z14" s="21">
        <v>190.405</v>
      </c>
      <c r="AA14" s="21">
        <v>-3.8223300000000001E-3</v>
      </c>
      <c r="AB14" s="21">
        <v>4</v>
      </c>
      <c r="AC14" s="21">
        <v>0.61950700000000003</v>
      </c>
      <c r="AD14">
        <f t="shared" si="4"/>
        <v>2.3889562500000001</v>
      </c>
      <c r="AE14">
        <f t="shared" si="5"/>
        <v>1.4807037512250001</v>
      </c>
      <c r="AF14" s="9"/>
      <c r="AG14" s="21">
        <v>-7.9803499999999999E-2</v>
      </c>
      <c r="AH14" s="21">
        <v>247.18100000000001</v>
      </c>
      <c r="AI14" s="21">
        <v>-6.1523399999999999E-2</v>
      </c>
      <c r="AJ14" s="21">
        <v>4</v>
      </c>
      <c r="AK14" s="21">
        <v>-8.0078099999999999E-2</v>
      </c>
      <c r="AL14">
        <f t="shared" si="6"/>
        <v>38.452124999999995</v>
      </c>
      <c r="AM14">
        <f t="shared" si="7"/>
        <v>-3.0686141574374997</v>
      </c>
      <c r="AP14" s="9"/>
      <c r="AQ14" s="21">
        <v>0.61981200000000003</v>
      </c>
      <c r="AR14" s="21">
        <v>296.31900000000002</v>
      </c>
      <c r="AS14" s="21">
        <v>-2.6528900000000002E-3</v>
      </c>
      <c r="AT14" s="21">
        <v>4</v>
      </c>
      <c r="AU14" s="21">
        <v>0.61947600000000003</v>
      </c>
      <c r="AV14">
        <f t="shared" si="8"/>
        <v>1.65805625</v>
      </c>
      <c r="AW14">
        <f t="shared" si="9"/>
        <v>1.0276831604250001</v>
      </c>
      <c r="AX14" s="9"/>
      <c r="AY14" s="21">
        <v>-7.9803499999999999E-2</v>
      </c>
      <c r="AZ14" s="21">
        <v>333.49099999999999</v>
      </c>
      <c r="BA14" s="21">
        <v>-6.1553999999999998E-2</v>
      </c>
      <c r="BB14" s="21">
        <v>4</v>
      </c>
      <c r="BC14" s="21">
        <v>-8.0139199999999994E-2</v>
      </c>
      <c r="BD14">
        <f t="shared" si="10"/>
        <v>38.471249999999998</v>
      </c>
      <c r="BE14">
        <f t="shared" si="11"/>
        <v>-3.0701403993749996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0.62190729724348903</v>
      </c>
      <c r="B15" s="18">
        <f>IFERROR(AV9,0)</f>
        <v>38.425532124674859</v>
      </c>
      <c r="C15" s="19">
        <f>IFERROR(AV4,0)</f>
        <v>0.70694241768344379</v>
      </c>
      <c r="D15" s="20">
        <f>IFERROR(AV2,0)</f>
        <v>16.893886960499998</v>
      </c>
      <c r="E15" s="20">
        <f>IFERROR(AS9,0)</f>
        <v>0.28607064341083766</v>
      </c>
      <c r="F15" s="9"/>
      <c r="G15" s="21">
        <v>0.61477700000000002</v>
      </c>
      <c r="H15" s="21">
        <v>103.63200000000001</v>
      </c>
      <c r="I15" s="21">
        <v>-1.07086E-2</v>
      </c>
      <c r="J15" s="21">
        <v>5</v>
      </c>
      <c r="K15" s="21">
        <v>0.61425799999999997</v>
      </c>
      <c r="L15">
        <f t="shared" si="0"/>
        <v>6.6928749999999999</v>
      </c>
      <c r="M15">
        <f t="shared" si="1"/>
        <v>4.1146256138749999</v>
      </c>
      <c r="N15" s="9"/>
      <c r="O15" s="21">
        <v>-7.4768100000000004E-2</v>
      </c>
      <c r="P15" s="21">
        <v>156.13399999999999</v>
      </c>
      <c r="Q15" s="21">
        <v>-6.15845E-2</v>
      </c>
      <c r="R15" s="21">
        <v>5</v>
      </c>
      <c r="S15" s="21">
        <v>-7.5073200000000007E-2</v>
      </c>
      <c r="T15">
        <f t="shared" si="2"/>
        <v>38.490312500000002</v>
      </c>
      <c r="U15">
        <f t="shared" si="3"/>
        <v>-2.8778475340312504</v>
      </c>
      <c r="V15" s="22"/>
      <c r="W15" s="23"/>
      <c r="X15" s="9"/>
      <c r="Y15" s="21">
        <v>0.61477700000000002</v>
      </c>
      <c r="Z15" s="21">
        <v>190.506</v>
      </c>
      <c r="AA15" s="21">
        <v>-8.9172399999999999E-3</v>
      </c>
      <c r="AB15" s="21">
        <v>5</v>
      </c>
      <c r="AC15" s="21">
        <v>0.61422699999999997</v>
      </c>
      <c r="AD15">
        <f t="shared" si="4"/>
        <v>5.5732749999999998</v>
      </c>
      <c r="AE15">
        <f t="shared" si="5"/>
        <v>3.4263212846749997</v>
      </c>
      <c r="AF15" s="9"/>
      <c r="AG15" s="21">
        <v>-7.4768100000000004E-2</v>
      </c>
      <c r="AH15" s="21">
        <v>247.28100000000001</v>
      </c>
      <c r="AI15" s="21">
        <v>-6.1523399999999999E-2</v>
      </c>
      <c r="AJ15" s="21">
        <v>5</v>
      </c>
      <c r="AK15" s="21">
        <v>-7.5042700000000004E-2</v>
      </c>
      <c r="AL15">
        <f t="shared" si="6"/>
        <v>38.452124999999995</v>
      </c>
      <c r="AM15">
        <f t="shared" si="7"/>
        <v>-2.8749923272125</v>
      </c>
      <c r="AP15" s="9"/>
      <c r="AQ15" s="21">
        <v>0.61477700000000002</v>
      </c>
      <c r="AR15" s="21">
        <v>296.41899999999998</v>
      </c>
      <c r="AS15" s="21">
        <v>-7.8125E-3</v>
      </c>
      <c r="AT15" s="21">
        <v>5</v>
      </c>
      <c r="AU15" s="21">
        <v>0.61419699999999999</v>
      </c>
      <c r="AV15">
        <f t="shared" si="8"/>
        <v>4.8828125</v>
      </c>
      <c r="AW15">
        <f t="shared" si="9"/>
        <v>3.0018408203125002</v>
      </c>
      <c r="AX15" s="9"/>
      <c r="AY15" s="21">
        <v>-7.4768100000000004E-2</v>
      </c>
      <c r="AZ15" s="21">
        <v>333.59199999999998</v>
      </c>
      <c r="BA15" s="21">
        <v>-6.1523399999999999E-2</v>
      </c>
      <c r="BB15" s="21">
        <v>5</v>
      </c>
      <c r="BC15" s="21">
        <v>-7.5042700000000004E-2</v>
      </c>
      <c r="BD15">
        <f t="shared" si="10"/>
        <v>38.452124999999995</v>
      </c>
      <c r="BE15">
        <f t="shared" si="11"/>
        <v>-2.8749923272125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0.62165636849991079</v>
      </c>
      <c r="B16" s="18">
        <f>IFERROR(BD9,0)</f>
        <v>38.262349206007009</v>
      </c>
      <c r="C16" s="19">
        <f>IFERROR(BD4,0)</f>
        <v>0.70821218773740324</v>
      </c>
      <c r="D16" s="20">
        <f>IFERROR(BD2,0)</f>
        <v>16.845558509374996</v>
      </c>
      <c r="E16" s="20"/>
      <c r="F16" s="9"/>
      <c r="G16" s="21">
        <v>0.60974099999999998</v>
      </c>
      <c r="H16" s="21">
        <v>103.733</v>
      </c>
      <c r="I16" s="21">
        <v>-1.5261800000000001E-2</v>
      </c>
      <c r="J16" s="21">
        <v>6</v>
      </c>
      <c r="K16" s="21">
        <v>0.60913099999999998</v>
      </c>
      <c r="L16">
        <f t="shared" si="0"/>
        <v>9.5386249999999997</v>
      </c>
      <c r="M16">
        <f t="shared" si="1"/>
        <v>5.816090746125</v>
      </c>
      <c r="N16" s="9"/>
      <c r="O16" s="21">
        <v>-6.9732699999999995E-2</v>
      </c>
      <c r="P16" s="21">
        <v>156.23500000000001</v>
      </c>
      <c r="Q16" s="21">
        <v>-6.1615000000000003E-2</v>
      </c>
      <c r="R16" s="21">
        <v>6</v>
      </c>
      <c r="S16" s="21">
        <v>-7.0007299999999995E-2</v>
      </c>
      <c r="T16">
        <f t="shared" si="2"/>
        <v>38.509374999999999</v>
      </c>
      <c r="U16">
        <f t="shared" si="3"/>
        <v>-2.6853626940624995</v>
      </c>
      <c r="V16" s="22"/>
      <c r="W16" s="23"/>
      <c r="X16" s="9"/>
      <c r="Y16" s="21">
        <v>0.60974099999999998</v>
      </c>
      <c r="Z16" s="21">
        <v>190.60599999999999</v>
      </c>
      <c r="AA16" s="21">
        <v>-1.3543700000000001E-2</v>
      </c>
      <c r="AB16" s="21">
        <v>6</v>
      </c>
      <c r="AC16" s="21">
        <v>0.60913099999999998</v>
      </c>
      <c r="AD16">
        <f t="shared" si="4"/>
        <v>8.4648125000000007</v>
      </c>
      <c r="AE16">
        <f t="shared" si="5"/>
        <v>5.1613432385625</v>
      </c>
      <c r="AF16" s="9"/>
      <c r="AG16" s="21">
        <v>-6.9732699999999995E-2</v>
      </c>
      <c r="AH16" s="21">
        <v>247.38200000000001</v>
      </c>
      <c r="AI16" s="21">
        <v>-6.1492900000000003E-2</v>
      </c>
      <c r="AJ16" s="21">
        <v>6</v>
      </c>
      <c r="AK16" s="21">
        <v>-7.0098900000000006E-2</v>
      </c>
      <c r="AL16">
        <f t="shared" si="6"/>
        <v>38.433062499999998</v>
      </c>
      <c r="AM16">
        <f t="shared" si="7"/>
        <v>-2.6800412173937498</v>
      </c>
      <c r="AP16" s="9"/>
      <c r="AQ16" s="21">
        <v>0.60974099999999998</v>
      </c>
      <c r="AR16" s="21">
        <v>296.52</v>
      </c>
      <c r="AS16" s="21">
        <v>-1.25519E-2</v>
      </c>
      <c r="AT16" s="21">
        <v>6</v>
      </c>
      <c r="AU16" s="21">
        <v>0.60913099999999998</v>
      </c>
      <c r="AV16">
        <f t="shared" si="8"/>
        <v>7.8449374999999995</v>
      </c>
      <c r="AW16">
        <f t="shared" si="9"/>
        <v>4.7833800361874994</v>
      </c>
      <c r="AX16" s="9"/>
      <c r="AY16" s="21">
        <v>-6.9732699999999995E-2</v>
      </c>
      <c r="AZ16" s="21">
        <v>333.69200000000001</v>
      </c>
      <c r="BA16" s="21">
        <v>-6.1553999999999998E-2</v>
      </c>
      <c r="BB16" s="21">
        <v>6</v>
      </c>
      <c r="BC16" s="21">
        <v>-7.0037799999999997E-2</v>
      </c>
      <c r="BD16">
        <f t="shared" si="10"/>
        <v>38.471249999999998</v>
      </c>
      <c r="BE16">
        <f t="shared" si="11"/>
        <v>-2.6827041348749998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0.60470599999999997</v>
      </c>
      <c r="H17" s="21">
        <v>103.834</v>
      </c>
      <c r="I17" s="21">
        <v>-1.9338999999999999E-2</v>
      </c>
      <c r="J17" s="21">
        <v>7</v>
      </c>
      <c r="K17" s="21">
        <v>0.60406499999999996</v>
      </c>
      <c r="L17">
        <f t="shared" si="0"/>
        <v>12.086874999999999</v>
      </c>
      <c r="M17">
        <f t="shared" si="1"/>
        <v>7.3090058337499988</v>
      </c>
      <c r="N17" s="9"/>
      <c r="O17" s="21">
        <v>-6.4697299999999999E-2</v>
      </c>
      <c r="P17" s="21">
        <v>156.33600000000001</v>
      </c>
      <c r="Q17" s="21">
        <v>-6.1553999999999998E-2</v>
      </c>
      <c r="R17" s="21">
        <v>7</v>
      </c>
      <c r="S17" s="21">
        <v>-6.4910899999999994E-2</v>
      </c>
      <c r="T17">
        <f t="shared" si="2"/>
        <v>38.471249999999998</v>
      </c>
      <c r="U17">
        <f t="shared" si="3"/>
        <v>-2.4889860026249999</v>
      </c>
      <c r="V17" s="22"/>
      <c r="W17" s="23"/>
      <c r="X17" s="9"/>
      <c r="Y17" s="21">
        <v>0.60470599999999997</v>
      </c>
      <c r="Z17" s="21">
        <v>190.70699999999999</v>
      </c>
      <c r="AA17" s="21">
        <v>-1.78619E-2</v>
      </c>
      <c r="AB17" s="21">
        <v>7</v>
      </c>
      <c r="AC17" s="21">
        <v>0.60403399999999996</v>
      </c>
      <c r="AD17">
        <f t="shared" si="4"/>
        <v>11.1636875</v>
      </c>
      <c r="AE17">
        <f t="shared" si="5"/>
        <v>6.750748813375</v>
      </c>
      <c r="AF17" s="9"/>
      <c r="AG17" s="21">
        <v>-6.4697299999999999E-2</v>
      </c>
      <c r="AH17" s="21">
        <v>247.483</v>
      </c>
      <c r="AI17" s="21">
        <v>-6.1492900000000003E-2</v>
      </c>
      <c r="AJ17" s="21">
        <v>7</v>
      </c>
      <c r="AK17" s="21">
        <v>-6.4941399999999996E-2</v>
      </c>
      <c r="AL17">
        <f t="shared" si="6"/>
        <v>38.433062499999998</v>
      </c>
      <c r="AM17">
        <f t="shared" si="7"/>
        <v>-2.4865153744812498</v>
      </c>
      <c r="AP17" s="9"/>
      <c r="AQ17" s="21">
        <v>0.60470599999999997</v>
      </c>
      <c r="AR17" s="21">
        <v>296.62099999999998</v>
      </c>
      <c r="AS17" s="21">
        <v>-1.6900600000000002E-2</v>
      </c>
      <c r="AT17" s="21">
        <v>7</v>
      </c>
      <c r="AU17" s="21">
        <v>0.60403399999999996</v>
      </c>
      <c r="AV17">
        <f t="shared" si="8"/>
        <v>10.562875000000002</v>
      </c>
      <c r="AW17">
        <f t="shared" si="9"/>
        <v>6.3874338897500005</v>
      </c>
      <c r="AX17" s="9"/>
      <c r="AY17" s="21">
        <v>-6.4697299999999999E-2</v>
      </c>
      <c r="AZ17" s="21">
        <v>333.79300000000001</v>
      </c>
      <c r="BA17" s="21">
        <v>-6.1523399999999999E-2</v>
      </c>
      <c r="BB17" s="21">
        <v>7</v>
      </c>
      <c r="BC17" s="21">
        <v>-6.5002400000000002E-2</v>
      </c>
      <c r="BD17">
        <f t="shared" si="10"/>
        <v>38.452124999999995</v>
      </c>
      <c r="BE17">
        <f t="shared" si="11"/>
        <v>-2.4877486667624997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0.59967000000000004</v>
      </c>
      <c r="H18" s="21">
        <v>103.934</v>
      </c>
      <c r="I18" s="21">
        <v>-2.3181199999999999E-2</v>
      </c>
      <c r="J18" s="21">
        <v>8</v>
      </c>
      <c r="K18" s="21">
        <v>0.59893799999999997</v>
      </c>
      <c r="L18">
        <f t="shared" si="0"/>
        <v>14.488249999999999</v>
      </c>
      <c r="M18">
        <f t="shared" si="1"/>
        <v>8.6881688775000008</v>
      </c>
      <c r="N18" s="9"/>
      <c r="O18" s="21">
        <v>-5.9661899999999997E-2</v>
      </c>
      <c r="P18" s="21">
        <v>156.43600000000001</v>
      </c>
      <c r="Q18" s="21">
        <v>-6.15845E-2</v>
      </c>
      <c r="R18" s="21">
        <v>8</v>
      </c>
      <c r="S18" s="21">
        <v>-5.9997599999999998E-2</v>
      </c>
      <c r="T18">
        <f t="shared" si="2"/>
        <v>38.490312500000002</v>
      </c>
      <c r="U18">
        <f t="shared" si="3"/>
        <v>-2.2964051753437498</v>
      </c>
      <c r="V18" s="22"/>
      <c r="W18" s="23"/>
      <c r="X18" s="9"/>
      <c r="Y18" s="21">
        <v>0.59967000000000004</v>
      </c>
      <c r="Z18" s="21">
        <v>190.80799999999999</v>
      </c>
      <c r="AA18" s="21">
        <v>-2.1722399999999999E-2</v>
      </c>
      <c r="AB18" s="21">
        <v>8</v>
      </c>
      <c r="AC18" s="21">
        <v>0.59896899999999997</v>
      </c>
      <c r="AD18">
        <f t="shared" si="4"/>
        <v>13.576499999999998</v>
      </c>
      <c r="AE18">
        <f t="shared" si="5"/>
        <v>8.1414197549999994</v>
      </c>
      <c r="AF18" s="9"/>
      <c r="AG18" s="21">
        <v>-5.9661899999999997E-2</v>
      </c>
      <c r="AH18" s="21">
        <v>247.584</v>
      </c>
      <c r="AI18" s="21">
        <v>-6.1492900000000003E-2</v>
      </c>
      <c r="AJ18" s="21">
        <v>8</v>
      </c>
      <c r="AK18" s="21">
        <v>-5.9966999999999999E-2</v>
      </c>
      <c r="AL18">
        <f t="shared" si="6"/>
        <v>38.433062499999998</v>
      </c>
      <c r="AM18">
        <f t="shared" si="7"/>
        <v>-2.2929895315687499</v>
      </c>
      <c r="AP18" s="9"/>
      <c r="AQ18" s="21">
        <v>0.59967000000000004</v>
      </c>
      <c r="AR18" s="21">
        <v>296.721</v>
      </c>
      <c r="AS18" s="21">
        <v>-2.0864899999999999E-2</v>
      </c>
      <c r="AT18" s="21">
        <v>8</v>
      </c>
      <c r="AU18" s="21">
        <v>0.59899899999999995</v>
      </c>
      <c r="AV18">
        <f t="shared" si="8"/>
        <v>13.040562499999998</v>
      </c>
      <c r="AW18">
        <f t="shared" si="9"/>
        <v>7.8200341143749998</v>
      </c>
      <c r="AX18" s="9"/>
      <c r="AY18" s="21">
        <v>-5.9661899999999997E-2</v>
      </c>
      <c r="AZ18" s="21">
        <v>333.89400000000001</v>
      </c>
      <c r="BA18" s="21">
        <v>-6.14624E-2</v>
      </c>
      <c r="BB18" s="21">
        <v>8</v>
      </c>
      <c r="BC18" s="21">
        <v>-5.9966999999999999E-2</v>
      </c>
      <c r="BD18">
        <f t="shared" si="10"/>
        <v>38.413999999999994</v>
      </c>
      <c r="BE18">
        <f t="shared" si="11"/>
        <v>-2.2918522265999997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0.59463500000000002</v>
      </c>
      <c r="H19" s="21">
        <v>104.035</v>
      </c>
      <c r="I19" s="21">
        <v>-2.6702900000000002E-2</v>
      </c>
      <c r="J19" s="21">
        <v>9</v>
      </c>
      <c r="K19" s="21">
        <v>0.59384199999999998</v>
      </c>
      <c r="L19">
        <f t="shared" si="0"/>
        <v>16.6893125</v>
      </c>
      <c r="M19">
        <f t="shared" si="1"/>
        <v>9.9240493384375004</v>
      </c>
      <c r="N19" s="9"/>
      <c r="O19" s="21">
        <v>-5.4626500000000001E-2</v>
      </c>
      <c r="P19" s="21">
        <v>156.53700000000001</v>
      </c>
      <c r="Q19" s="21">
        <v>-6.1492900000000003E-2</v>
      </c>
      <c r="R19" s="21">
        <v>9</v>
      </c>
      <c r="S19" s="21">
        <v>-5.4840100000000003E-2</v>
      </c>
      <c r="T19">
        <f t="shared" si="2"/>
        <v>38.433062499999998</v>
      </c>
      <c r="U19">
        <f t="shared" si="3"/>
        <v>-2.0994636886562499</v>
      </c>
      <c r="V19" s="22"/>
      <c r="W19" s="23"/>
      <c r="X19" s="9"/>
      <c r="Y19" s="21">
        <v>0.59463500000000002</v>
      </c>
      <c r="Z19" s="21">
        <v>190.90799999999999</v>
      </c>
      <c r="AA19" s="21">
        <v>-2.5344800000000001E-2</v>
      </c>
      <c r="AB19" s="21">
        <v>9</v>
      </c>
      <c r="AC19" s="21">
        <v>0.59375</v>
      </c>
      <c r="AD19">
        <f t="shared" si="4"/>
        <v>15.8405</v>
      </c>
      <c r="AE19">
        <f t="shared" si="5"/>
        <v>9.4193157175</v>
      </c>
      <c r="AF19" s="9"/>
      <c r="AG19" s="21">
        <v>-5.4626500000000001E-2</v>
      </c>
      <c r="AH19" s="21">
        <v>247.684</v>
      </c>
      <c r="AI19" s="21">
        <v>-6.1492900000000003E-2</v>
      </c>
      <c r="AJ19" s="21">
        <v>9</v>
      </c>
      <c r="AK19" s="21">
        <v>-5.4931599999999997E-2</v>
      </c>
      <c r="AL19">
        <f t="shared" si="6"/>
        <v>38.433062499999998</v>
      </c>
      <c r="AM19">
        <f t="shared" si="7"/>
        <v>-2.0994636886562499</v>
      </c>
      <c r="AP19" s="9"/>
      <c r="AQ19" s="21">
        <v>0.59463500000000002</v>
      </c>
      <c r="AR19" s="21">
        <v>296.822</v>
      </c>
      <c r="AS19" s="21">
        <v>-2.4587999999999999E-2</v>
      </c>
      <c r="AT19" s="21">
        <v>9</v>
      </c>
      <c r="AU19" s="21">
        <v>0.59387199999999996</v>
      </c>
      <c r="AV19">
        <f t="shared" si="8"/>
        <v>15.3675</v>
      </c>
      <c r="AW19">
        <f t="shared" si="9"/>
        <v>9.1380533625000009</v>
      </c>
      <c r="AX19" s="9"/>
      <c r="AY19" s="21">
        <v>-5.4626500000000001E-2</v>
      </c>
      <c r="AZ19" s="21">
        <v>333.995</v>
      </c>
      <c r="BA19" s="21">
        <v>-6.1431899999999998E-2</v>
      </c>
      <c r="BB19" s="21">
        <v>9</v>
      </c>
      <c r="BC19" s="21">
        <v>-5.4992699999999999E-2</v>
      </c>
      <c r="BD19">
        <f t="shared" si="10"/>
        <v>38.394937499999997</v>
      </c>
      <c r="BE19">
        <f t="shared" si="11"/>
        <v>-2.0973810533437498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0.58960000000000001</v>
      </c>
      <c r="H20" s="21">
        <v>104.136</v>
      </c>
      <c r="I20" s="21">
        <v>-2.9879800000000001E-2</v>
      </c>
      <c r="J20" s="21">
        <v>10</v>
      </c>
      <c r="K20" s="21">
        <v>0.58880600000000005</v>
      </c>
      <c r="L20">
        <f t="shared" si="0"/>
        <v>18.674875</v>
      </c>
      <c r="M20">
        <f t="shared" si="1"/>
        <v>11.010706300000001</v>
      </c>
      <c r="N20" s="9"/>
      <c r="O20" s="21">
        <v>-4.9591099999999999E-2</v>
      </c>
      <c r="P20" s="21">
        <v>156.63800000000001</v>
      </c>
      <c r="Q20" s="21">
        <v>-6.1523399999999999E-2</v>
      </c>
      <c r="R20" s="21">
        <v>10</v>
      </c>
      <c r="S20" s="21">
        <v>-4.9896200000000002E-2</v>
      </c>
      <c r="T20">
        <f t="shared" si="2"/>
        <v>38.452124999999995</v>
      </c>
      <c r="U20">
        <f t="shared" si="3"/>
        <v>-1.9068831760874998</v>
      </c>
      <c r="V20" s="22"/>
      <c r="W20" s="23"/>
      <c r="X20" s="9"/>
      <c r="Y20" s="21">
        <v>0.58960000000000001</v>
      </c>
      <c r="Z20" s="21">
        <v>191.00899999999999</v>
      </c>
      <c r="AA20" s="21">
        <v>-2.8646899999999999E-2</v>
      </c>
      <c r="AB20" s="21">
        <v>10</v>
      </c>
      <c r="AC20" s="21">
        <v>0.58874499999999996</v>
      </c>
      <c r="AD20">
        <f t="shared" si="4"/>
        <v>17.9043125</v>
      </c>
      <c r="AE20">
        <f t="shared" si="5"/>
        <v>10.55638265</v>
      </c>
      <c r="AF20" s="9"/>
      <c r="AG20" s="21">
        <v>-4.9591099999999999E-2</v>
      </c>
      <c r="AH20" s="21">
        <v>247.785</v>
      </c>
      <c r="AI20" s="21">
        <v>-6.1492900000000003E-2</v>
      </c>
      <c r="AJ20" s="21">
        <v>10</v>
      </c>
      <c r="AK20" s="21">
        <v>-4.9865699999999999E-2</v>
      </c>
      <c r="AL20">
        <f t="shared" si="6"/>
        <v>38.433062499999998</v>
      </c>
      <c r="AM20">
        <f t="shared" si="7"/>
        <v>-1.9059378457437499</v>
      </c>
      <c r="AP20" s="9"/>
      <c r="AQ20" s="21">
        <v>0.58960000000000001</v>
      </c>
      <c r="AR20" s="21">
        <v>296.923</v>
      </c>
      <c r="AS20" s="21">
        <v>-2.79388E-2</v>
      </c>
      <c r="AT20" s="21">
        <v>10</v>
      </c>
      <c r="AU20" s="21">
        <v>0.58874499999999996</v>
      </c>
      <c r="AV20">
        <f t="shared" si="8"/>
        <v>17.461749999999999</v>
      </c>
      <c r="AW20">
        <f t="shared" si="9"/>
        <v>10.2954478</v>
      </c>
      <c r="AX20" s="9"/>
      <c r="AY20" s="21">
        <v>-4.9591099999999999E-2</v>
      </c>
      <c r="AZ20" s="21">
        <v>334.09500000000003</v>
      </c>
      <c r="BA20" s="21">
        <v>-6.1431899999999998E-2</v>
      </c>
      <c r="BB20" s="21">
        <v>10</v>
      </c>
      <c r="BC20" s="21">
        <v>-4.9865699999999999E-2</v>
      </c>
      <c r="BD20">
        <f t="shared" si="10"/>
        <v>38.394937499999997</v>
      </c>
      <c r="BE20">
        <f t="shared" si="11"/>
        <v>-1.9040471850562499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0.58456399999999997</v>
      </c>
      <c r="H21" s="21">
        <v>104.23699999999999</v>
      </c>
      <c r="I21" s="21">
        <v>-3.2821700000000002E-2</v>
      </c>
      <c r="J21" s="21">
        <v>11</v>
      </c>
      <c r="K21" s="21">
        <v>0.58364899999999997</v>
      </c>
      <c r="L21">
        <f t="shared" si="0"/>
        <v>20.513562499999999</v>
      </c>
      <c r="M21">
        <f t="shared" si="1"/>
        <v>11.99149014925</v>
      </c>
      <c r="N21" s="9"/>
      <c r="O21" s="21">
        <v>-4.4555699999999997E-2</v>
      </c>
      <c r="P21" s="21">
        <v>156.738</v>
      </c>
      <c r="Q21" s="21">
        <v>-6.15845E-2</v>
      </c>
      <c r="R21" s="21">
        <v>11</v>
      </c>
      <c r="S21" s="21">
        <v>-4.4857800000000003E-2</v>
      </c>
      <c r="T21">
        <f t="shared" si="2"/>
        <v>38.490312500000002</v>
      </c>
      <c r="U21">
        <f t="shared" si="3"/>
        <v>-1.7149628166562501</v>
      </c>
      <c r="V21" s="22"/>
      <c r="W21" s="23"/>
      <c r="X21" s="9"/>
      <c r="Y21" s="21">
        <v>0.58456399999999997</v>
      </c>
      <c r="Z21" s="21">
        <v>191.11</v>
      </c>
      <c r="AA21" s="21">
        <v>-3.1686400000000003E-2</v>
      </c>
      <c r="AB21" s="21">
        <v>11</v>
      </c>
      <c r="AC21" s="21">
        <v>0.583588</v>
      </c>
      <c r="AD21">
        <f t="shared" si="4"/>
        <v>19.804000000000002</v>
      </c>
      <c r="AE21">
        <f t="shared" si="5"/>
        <v>11.576705456000001</v>
      </c>
      <c r="AF21" s="9"/>
      <c r="AG21" s="21">
        <v>-4.4555699999999997E-2</v>
      </c>
      <c r="AH21" s="21">
        <v>247.886</v>
      </c>
      <c r="AI21" s="21">
        <v>-6.1492900000000003E-2</v>
      </c>
      <c r="AJ21" s="21">
        <v>11</v>
      </c>
      <c r="AK21" s="21">
        <v>-4.4830299999999997E-2</v>
      </c>
      <c r="AL21">
        <f t="shared" si="6"/>
        <v>38.433062499999998</v>
      </c>
      <c r="AM21">
        <f t="shared" si="7"/>
        <v>-1.7124120028312497</v>
      </c>
      <c r="AP21" s="9"/>
      <c r="AQ21" s="21">
        <v>0.58456399999999997</v>
      </c>
      <c r="AR21" s="21">
        <v>297.02300000000002</v>
      </c>
      <c r="AS21" s="21">
        <v>-3.1012000000000001E-2</v>
      </c>
      <c r="AT21" s="21">
        <v>11</v>
      </c>
      <c r="AU21" s="21">
        <v>0.58361799999999997</v>
      </c>
      <c r="AV21">
        <f t="shared" si="8"/>
        <v>19.3825</v>
      </c>
      <c r="AW21">
        <f t="shared" si="9"/>
        <v>11.33031173</v>
      </c>
      <c r="AX21" s="9"/>
      <c r="AY21" s="21">
        <v>-4.4555699999999997E-2</v>
      </c>
      <c r="AZ21" s="21">
        <v>334.19600000000003</v>
      </c>
      <c r="BA21" s="21">
        <v>-6.14624E-2</v>
      </c>
      <c r="BB21" s="21">
        <v>11</v>
      </c>
      <c r="BC21" s="21">
        <v>-4.4839499999999997E-2</v>
      </c>
      <c r="BD21">
        <f t="shared" si="10"/>
        <v>38.413999999999994</v>
      </c>
      <c r="BE21">
        <f t="shared" si="11"/>
        <v>-1.7115626597999996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0.57952899999999996</v>
      </c>
      <c r="H22" s="21">
        <v>104.337</v>
      </c>
      <c r="I22" s="21">
        <v>-3.5418699999999997E-2</v>
      </c>
      <c r="J22" s="21">
        <v>12</v>
      </c>
      <c r="K22" s="21">
        <v>0.57858299999999996</v>
      </c>
      <c r="L22">
        <f t="shared" si="0"/>
        <v>22.136687499999997</v>
      </c>
      <c r="M22">
        <f t="shared" si="1"/>
        <v>12.828852370187498</v>
      </c>
      <c r="N22" s="9"/>
      <c r="O22" s="21">
        <v>-3.9520300000000001E-2</v>
      </c>
      <c r="P22" s="21">
        <v>156.839</v>
      </c>
      <c r="Q22" s="21">
        <v>-6.1553999999999998E-2</v>
      </c>
      <c r="R22" s="21">
        <v>12</v>
      </c>
      <c r="S22" s="21">
        <v>-3.9758300000000003E-2</v>
      </c>
      <c r="T22">
        <f t="shared" si="2"/>
        <v>38.471249999999998</v>
      </c>
      <c r="U22">
        <f t="shared" si="3"/>
        <v>-1.520395341375</v>
      </c>
      <c r="V22" s="22"/>
      <c r="W22" s="23"/>
      <c r="X22" s="9"/>
      <c r="Y22" s="21">
        <v>0.57952899999999996</v>
      </c>
      <c r="Z22" s="21">
        <v>191.21100000000001</v>
      </c>
      <c r="AA22" s="21">
        <v>-3.4417700000000002E-2</v>
      </c>
      <c r="AB22" s="21">
        <v>12</v>
      </c>
      <c r="AC22" s="21">
        <v>0.57861300000000004</v>
      </c>
      <c r="AD22">
        <f t="shared" si="4"/>
        <v>21.511062500000001</v>
      </c>
      <c r="AE22">
        <f t="shared" si="5"/>
        <v>12.466284539562499</v>
      </c>
      <c r="AF22" s="9"/>
      <c r="AG22" s="21">
        <v>-3.9520300000000001E-2</v>
      </c>
      <c r="AH22" s="21">
        <v>247.98599999999999</v>
      </c>
      <c r="AI22" s="21">
        <v>-6.1431899999999998E-2</v>
      </c>
      <c r="AJ22" s="21">
        <v>12</v>
      </c>
      <c r="AK22" s="21">
        <v>-3.9779700000000001E-2</v>
      </c>
      <c r="AL22">
        <f t="shared" si="6"/>
        <v>38.394937499999997</v>
      </c>
      <c r="AM22">
        <f t="shared" si="7"/>
        <v>-1.5173794484812499</v>
      </c>
      <c r="AP22" s="9"/>
      <c r="AQ22" s="21">
        <v>0.57952899999999996</v>
      </c>
      <c r="AR22" s="21">
        <v>297.12400000000002</v>
      </c>
      <c r="AS22" s="21">
        <v>-3.3828700000000003E-2</v>
      </c>
      <c r="AT22" s="21">
        <v>12</v>
      </c>
      <c r="AU22" s="21">
        <v>0.57855199999999996</v>
      </c>
      <c r="AV22">
        <f t="shared" si="8"/>
        <v>21.142937499999999</v>
      </c>
      <c r="AW22">
        <f t="shared" si="9"/>
        <v>12.252945426437499</v>
      </c>
      <c r="AX22" s="9"/>
      <c r="AY22" s="21">
        <v>-3.9520300000000001E-2</v>
      </c>
      <c r="AZ22" s="21">
        <v>334.29700000000003</v>
      </c>
      <c r="BA22" s="21">
        <v>-6.1492900000000003E-2</v>
      </c>
      <c r="BB22" s="21">
        <v>12</v>
      </c>
      <c r="BC22" s="21">
        <v>-3.9773599999999999E-2</v>
      </c>
      <c r="BD22">
        <f t="shared" si="10"/>
        <v>38.433062499999998</v>
      </c>
      <c r="BE22">
        <f t="shared" si="11"/>
        <v>-1.51888615991875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0.57449300000000003</v>
      </c>
      <c r="H23" s="21">
        <v>104.438</v>
      </c>
      <c r="I23" s="21">
        <v>-3.7832600000000001E-2</v>
      </c>
      <c r="J23" s="21">
        <v>13</v>
      </c>
      <c r="K23" s="21">
        <v>0.57348600000000005</v>
      </c>
      <c r="L23">
        <f t="shared" si="0"/>
        <v>23.645375000000001</v>
      </c>
      <c r="M23">
        <f t="shared" si="1"/>
        <v>13.584102419875002</v>
      </c>
      <c r="N23" s="9"/>
      <c r="O23" s="21">
        <v>-3.4484899999999999E-2</v>
      </c>
      <c r="P23" s="21">
        <v>156.94</v>
      </c>
      <c r="Q23" s="21">
        <v>-6.1523399999999999E-2</v>
      </c>
      <c r="R23" s="21">
        <v>13</v>
      </c>
      <c r="S23" s="21">
        <v>-3.4683199999999997E-2</v>
      </c>
      <c r="T23">
        <f t="shared" si="2"/>
        <v>38.452124999999995</v>
      </c>
      <c r="U23">
        <f t="shared" si="3"/>
        <v>-1.3260176854124999</v>
      </c>
      <c r="V23" s="22"/>
      <c r="W23" s="23"/>
      <c r="X23" s="9"/>
      <c r="Y23" s="21">
        <v>0.57449300000000003</v>
      </c>
      <c r="Z23" s="21">
        <v>191.31100000000001</v>
      </c>
      <c r="AA23" s="21">
        <v>-3.6917100000000001E-2</v>
      </c>
      <c r="AB23" s="21">
        <v>13</v>
      </c>
      <c r="AC23" s="21">
        <v>0.57351700000000005</v>
      </c>
      <c r="AD23">
        <f t="shared" si="4"/>
        <v>23.0731875</v>
      </c>
      <c r="AE23">
        <f t="shared" si="5"/>
        <v>13.2553847064375</v>
      </c>
      <c r="AF23" s="9"/>
      <c r="AG23" s="21">
        <v>-3.4484899999999999E-2</v>
      </c>
      <c r="AH23" s="21">
        <v>248.08699999999999</v>
      </c>
      <c r="AI23" s="21">
        <v>-6.1431899999999998E-2</v>
      </c>
      <c r="AJ23" s="21">
        <v>13</v>
      </c>
      <c r="AK23" s="21">
        <v>-3.4674099999999999E-2</v>
      </c>
      <c r="AL23">
        <f t="shared" si="6"/>
        <v>38.394937499999997</v>
      </c>
      <c r="AM23">
        <f t="shared" si="7"/>
        <v>-1.3240455801937498</v>
      </c>
      <c r="AP23" s="9"/>
      <c r="AQ23" s="21">
        <v>0.57449300000000003</v>
      </c>
      <c r="AR23" s="21">
        <v>297.22500000000002</v>
      </c>
      <c r="AS23" s="21">
        <v>-3.6373900000000001E-2</v>
      </c>
      <c r="AT23" s="21">
        <v>13</v>
      </c>
      <c r="AU23" s="21">
        <v>0.57351700000000005</v>
      </c>
      <c r="AV23">
        <f t="shared" si="8"/>
        <v>22.733687499999998</v>
      </c>
      <c r="AW23">
        <f t="shared" si="9"/>
        <v>13.0603443329375</v>
      </c>
      <c r="AX23" s="9"/>
      <c r="AY23" s="21">
        <v>-3.4484899999999999E-2</v>
      </c>
      <c r="AZ23" s="21">
        <v>334.39699999999999</v>
      </c>
      <c r="BA23" s="21">
        <v>-6.1523399999999999E-2</v>
      </c>
      <c r="BB23" s="21">
        <v>13</v>
      </c>
      <c r="BC23" s="21">
        <v>-3.47137E-2</v>
      </c>
      <c r="BD23">
        <f t="shared" si="10"/>
        <v>38.452124999999995</v>
      </c>
      <c r="BE23">
        <f t="shared" si="11"/>
        <v>-1.3260176854124999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0.56945800000000002</v>
      </c>
      <c r="H24" s="21">
        <v>104.539</v>
      </c>
      <c r="I24" s="21">
        <v>-3.9981099999999999E-2</v>
      </c>
      <c r="J24" s="21">
        <v>14</v>
      </c>
      <c r="K24" s="21">
        <v>0.56845100000000004</v>
      </c>
      <c r="L24">
        <f t="shared" si="0"/>
        <v>24.988187499999999</v>
      </c>
      <c r="M24">
        <f t="shared" si="1"/>
        <v>14.229723277374999</v>
      </c>
      <c r="N24" s="9"/>
      <c r="O24" s="21">
        <v>-2.94495E-2</v>
      </c>
      <c r="P24" s="21">
        <v>157.04</v>
      </c>
      <c r="Q24" s="21">
        <v>-6.1523399999999999E-2</v>
      </c>
      <c r="R24" s="21">
        <v>14</v>
      </c>
      <c r="S24" s="21">
        <v>-2.9678300000000001E-2</v>
      </c>
      <c r="T24">
        <f t="shared" si="2"/>
        <v>38.452124999999995</v>
      </c>
      <c r="U24">
        <f t="shared" si="3"/>
        <v>-1.1323958551875</v>
      </c>
      <c r="V24" s="22"/>
      <c r="W24" s="23"/>
      <c r="X24" s="9"/>
      <c r="Y24" s="21">
        <v>0.56945800000000002</v>
      </c>
      <c r="Z24" s="21">
        <v>191.41200000000001</v>
      </c>
      <c r="AA24" s="21">
        <v>-3.9080799999999999E-2</v>
      </c>
      <c r="AB24" s="21">
        <v>14</v>
      </c>
      <c r="AC24" s="21">
        <v>0.56845100000000004</v>
      </c>
      <c r="AD24">
        <f t="shared" si="4"/>
        <v>24.4255</v>
      </c>
      <c r="AE24">
        <f t="shared" si="5"/>
        <v>13.909296379000001</v>
      </c>
      <c r="AF24" s="9"/>
      <c r="AG24" s="21">
        <v>-2.94495E-2</v>
      </c>
      <c r="AH24" s="21">
        <v>248.18799999999999</v>
      </c>
      <c r="AI24" s="21">
        <v>-6.1431899999999998E-2</v>
      </c>
      <c r="AJ24" s="21">
        <v>14</v>
      </c>
      <c r="AK24" s="21">
        <v>-2.96814E-2</v>
      </c>
      <c r="AL24">
        <f t="shared" si="6"/>
        <v>38.394937499999997</v>
      </c>
      <c r="AM24">
        <f t="shared" si="7"/>
        <v>-1.13071171190625</v>
      </c>
      <c r="AP24" s="9"/>
      <c r="AQ24" s="21">
        <v>0.56945800000000002</v>
      </c>
      <c r="AR24" s="21">
        <v>297.32600000000002</v>
      </c>
      <c r="AS24" s="21">
        <v>-3.8659699999999998E-2</v>
      </c>
      <c r="AT24" s="21">
        <v>14</v>
      </c>
      <c r="AU24" s="21">
        <v>0.56845100000000004</v>
      </c>
      <c r="AV24">
        <f t="shared" si="8"/>
        <v>24.162312499999999</v>
      </c>
      <c r="AW24">
        <f t="shared" si="9"/>
        <v>13.759422151624999</v>
      </c>
      <c r="AX24" s="9"/>
      <c r="AY24" s="21">
        <v>-2.94495E-2</v>
      </c>
      <c r="AZ24" s="21">
        <v>334.49799999999999</v>
      </c>
      <c r="BA24" s="21">
        <v>-6.1523399999999999E-2</v>
      </c>
      <c r="BB24" s="21">
        <v>14</v>
      </c>
      <c r="BC24" s="21">
        <v>-2.97089E-2</v>
      </c>
      <c r="BD24">
        <f t="shared" si="10"/>
        <v>38.452124999999995</v>
      </c>
      <c r="BE24">
        <f t="shared" si="11"/>
        <v>-1.1323958551875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0.56442300000000001</v>
      </c>
      <c r="H25" s="21">
        <v>104.639</v>
      </c>
      <c r="I25" s="21">
        <v>-4.1937299999999997E-2</v>
      </c>
      <c r="J25" s="21">
        <v>15</v>
      </c>
      <c r="K25" s="21">
        <v>0.56332400000000005</v>
      </c>
      <c r="L25">
        <f t="shared" si="0"/>
        <v>26.210812499999996</v>
      </c>
      <c r="M25">
        <f t="shared" si="1"/>
        <v>14.793985423687499</v>
      </c>
      <c r="N25" s="9"/>
      <c r="O25" s="21">
        <v>-2.4414100000000001E-2</v>
      </c>
      <c r="P25" s="21">
        <v>157.14099999999999</v>
      </c>
      <c r="Q25" s="21">
        <v>-6.1553999999999998E-2</v>
      </c>
      <c r="R25" s="21">
        <v>15</v>
      </c>
      <c r="S25" s="21">
        <v>-2.4627699999999999E-2</v>
      </c>
      <c r="T25">
        <f t="shared" si="2"/>
        <v>38.471249999999998</v>
      </c>
      <c r="U25">
        <f t="shared" si="3"/>
        <v>-0.93924094462499996</v>
      </c>
      <c r="V25" s="22"/>
      <c r="W25" s="23"/>
      <c r="X25" s="9"/>
      <c r="Y25" s="21">
        <v>0.56442300000000001</v>
      </c>
      <c r="Z25" s="21">
        <v>191.51300000000001</v>
      </c>
      <c r="AA25" s="21">
        <v>-4.11469E-2</v>
      </c>
      <c r="AB25" s="21">
        <v>15</v>
      </c>
      <c r="AC25" s="21">
        <v>0.56332400000000005</v>
      </c>
      <c r="AD25">
        <f t="shared" si="4"/>
        <v>25.7168125</v>
      </c>
      <c r="AE25">
        <f t="shared" si="5"/>
        <v>14.515160461687501</v>
      </c>
      <c r="AF25" s="9"/>
      <c r="AG25" s="21">
        <v>-2.4414100000000001E-2</v>
      </c>
      <c r="AH25" s="21">
        <v>248.28899999999999</v>
      </c>
      <c r="AI25" s="21">
        <v>-6.1431899999999998E-2</v>
      </c>
      <c r="AJ25" s="21">
        <v>15</v>
      </c>
      <c r="AK25" s="21">
        <v>-2.46246E-2</v>
      </c>
      <c r="AL25">
        <f t="shared" si="6"/>
        <v>38.394937499999997</v>
      </c>
      <c r="AM25">
        <f t="shared" si="7"/>
        <v>-0.93737784361874998</v>
      </c>
      <c r="AP25" s="9"/>
      <c r="AQ25" s="21">
        <v>0.56442300000000001</v>
      </c>
      <c r="AR25" s="21">
        <v>297.42599999999999</v>
      </c>
      <c r="AS25" s="21">
        <v>-4.0707399999999998E-2</v>
      </c>
      <c r="AT25" s="21">
        <v>15</v>
      </c>
      <c r="AU25" s="21">
        <v>0.56341600000000003</v>
      </c>
      <c r="AV25">
        <f t="shared" si="8"/>
        <v>25.442124999999997</v>
      </c>
      <c r="AW25">
        <f t="shared" si="9"/>
        <v>14.360120518874998</v>
      </c>
      <c r="AX25" s="9"/>
      <c r="AY25" s="21">
        <v>-2.4414100000000001E-2</v>
      </c>
      <c r="AZ25" s="21">
        <v>334.59899999999999</v>
      </c>
      <c r="BA25" s="21">
        <v>-6.1492900000000003E-2</v>
      </c>
      <c r="BB25" s="21">
        <v>15</v>
      </c>
      <c r="BC25" s="21">
        <v>-2.46521E-2</v>
      </c>
      <c r="BD25">
        <f t="shared" si="10"/>
        <v>38.433062499999998</v>
      </c>
      <c r="BE25">
        <f t="shared" si="11"/>
        <v>-0.93830863118124996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0.55938699999999997</v>
      </c>
      <c r="H26" s="21">
        <v>104.74</v>
      </c>
      <c r="I26" s="21">
        <v>-4.3631000000000003E-2</v>
      </c>
      <c r="J26" s="21">
        <v>16</v>
      </c>
      <c r="K26" s="21">
        <v>0.55828900000000004</v>
      </c>
      <c r="L26">
        <f t="shared" si="0"/>
        <v>27.269375000000004</v>
      </c>
      <c r="M26">
        <f t="shared" si="1"/>
        <v>15.254133873125001</v>
      </c>
      <c r="N26" s="9"/>
      <c r="O26" s="21">
        <v>-1.9378699999999999E-2</v>
      </c>
      <c r="P26" s="21">
        <v>157.24199999999999</v>
      </c>
      <c r="Q26" s="21">
        <v>-6.1492900000000003E-2</v>
      </c>
      <c r="R26" s="21">
        <v>16</v>
      </c>
      <c r="S26" s="21">
        <v>-1.9567899999999999E-2</v>
      </c>
      <c r="T26">
        <f t="shared" si="2"/>
        <v>38.433062499999998</v>
      </c>
      <c r="U26">
        <f t="shared" si="3"/>
        <v>-0.74478278826874988</v>
      </c>
      <c r="V26" s="22"/>
      <c r="W26" s="23"/>
      <c r="X26" s="9"/>
      <c r="Y26" s="21">
        <v>0.55938699999999997</v>
      </c>
      <c r="Z26" s="21">
        <v>191.613</v>
      </c>
      <c r="AA26" s="21">
        <v>-4.2941300000000002E-2</v>
      </c>
      <c r="AB26" s="21">
        <v>16</v>
      </c>
      <c r="AC26" s="21">
        <v>0.55822799999999995</v>
      </c>
      <c r="AD26">
        <f t="shared" si="4"/>
        <v>26.838312500000001</v>
      </c>
      <c r="AE26">
        <f t="shared" si="5"/>
        <v>15.013003114437499</v>
      </c>
      <c r="AF26" s="9"/>
      <c r="AG26" s="21">
        <v>-1.9378699999999999E-2</v>
      </c>
      <c r="AH26" s="21">
        <v>248.38900000000001</v>
      </c>
      <c r="AI26" s="21">
        <v>-6.1431899999999998E-2</v>
      </c>
      <c r="AJ26" s="21">
        <v>16</v>
      </c>
      <c r="AK26" s="21">
        <v>-1.96075E-2</v>
      </c>
      <c r="AL26">
        <f t="shared" si="6"/>
        <v>38.394937499999997</v>
      </c>
      <c r="AM26">
        <f t="shared" si="7"/>
        <v>-0.74404397533124988</v>
      </c>
      <c r="AP26" s="9"/>
      <c r="AQ26" s="21">
        <v>0.55938699999999997</v>
      </c>
      <c r="AR26" s="21">
        <v>297.52699999999999</v>
      </c>
      <c r="AS26" s="21">
        <v>-4.2547599999999998E-2</v>
      </c>
      <c r="AT26" s="21">
        <v>16</v>
      </c>
      <c r="AU26" s="21">
        <v>0.55828900000000004</v>
      </c>
      <c r="AV26">
        <f t="shared" si="8"/>
        <v>26.592249999999996</v>
      </c>
      <c r="AW26">
        <f t="shared" si="9"/>
        <v>14.875358950749996</v>
      </c>
      <c r="AX26" s="9"/>
      <c r="AY26" s="21">
        <v>-1.9378699999999999E-2</v>
      </c>
      <c r="AZ26" s="21">
        <v>334.7</v>
      </c>
      <c r="BA26" s="21">
        <v>-6.1523399999999999E-2</v>
      </c>
      <c r="BB26" s="21">
        <v>16</v>
      </c>
      <c r="BC26" s="21">
        <v>-1.95953E-2</v>
      </c>
      <c r="BD26">
        <f t="shared" si="10"/>
        <v>38.452124999999995</v>
      </c>
      <c r="BE26">
        <f t="shared" si="11"/>
        <v>-0.74515219473749983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0.55435199999999996</v>
      </c>
      <c r="H27" s="21">
        <v>104.84099999999999</v>
      </c>
      <c r="I27" s="21">
        <v>-4.5193499999999998E-2</v>
      </c>
      <c r="J27" s="21">
        <v>17</v>
      </c>
      <c r="K27" s="21">
        <v>0.55322300000000002</v>
      </c>
      <c r="L27">
        <f t="shared" si="0"/>
        <v>28.2459375</v>
      </c>
      <c r="M27">
        <f t="shared" si="1"/>
        <v>15.658191944999999</v>
      </c>
      <c r="N27" s="9"/>
      <c r="O27" s="21">
        <v>-1.43433E-2</v>
      </c>
      <c r="P27" s="21">
        <v>157.34299999999999</v>
      </c>
      <c r="Q27" s="21">
        <v>-6.14624E-2</v>
      </c>
      <c r="R27" s="21">
        <v>17</v>
      </c>
      <c r="S27" s="21">
        <v>-1.4566000000000001E-2</v>
      </c>
      <c r="T27">
        <f t="shared" si="2"/>
        <v>38.413999999999994</v>
      </c>
      <c r="U27">
        <f t="shared" si="3"/>
        <v>-0.55098352619999991</v>
      </c>
      <c r="X27" s="9"/>
      <c r="Y27" s="21">
        <v>0.55435199999999996</v>
      </c>
      <c r="Z27" s="21">
        <v>191.714</v>
      </c>
      <c r="AA27" s="21">
        <v>-4.45587E-2</v>
      </c>
      <c r="AB27" s="21">
        <v>17</v>
      </c>
      <c r="AC27" s="21">
        <v>0.55319200000000002</v>
      </c>
      <c r="AD27">
        <f t="shared" si="4"/>
        <v>27.849187499999996</v>
      </c>
      <c r="AE27">
        <f t="shared" si="5"/>
        <v>15.438252788999996</v>
      </c>
      <c r="AF27" s="9"/>
      <c r="AG27" s="21">
        <v>-1.43433E-2</v>
      </c>
      <c r="AH27" s="21">
        <v>248.49</v>
      </c>
      <c r="AI27" s="21">
        <v>-6.1370800000000003E-2</v>
      </c>
      <c r="AJ27" s="21">
        <v>17</v>
      </c>
      <c r="AK27" s="21">
        <v>-1.4559900000000001E-2</v>
      </c>
      <c r="AL27">
        <f t="shared" si="6"/>
        <v>38.356750000000005</v>
      </c>
      <c r="AM27">
        <f t="shared" si="7"/>
        <v>-0.55016237227500009</v>
      </c>
      <c r="AP27" s="9"/>
      <c r="AQ27" s="21">
        <v>0.55435199999999996</v>
      </c>
      <c r="AR27" s="21">
        <v>297.62799999999999</v>
      </c>
      <c r="AS27" s="21">
        <v>-4.4238300000000001E-2</v>
      </c>
      <c r="AT27" s="21">
        <v>17</v>
      </c>
      <c r="AU27" s="21">
        <v>0.55331399999999997</v>
      </c>
      <c r="AV27">
        <f t="shared" si="8"/>
        <v>27.648937499999999</v>
      </c>
      <c r="AW27">
        <f t="shared" si="9"/>
        <v>15.327243800999998</v>
      </c>
      <c r="AX27" s="9"/>
      <c r="AY27" s="21">
        <v>-1.43433E-2</v>
      </c>
      <c r="AZ27" s="21">
        <v>334.8</v>
      </c>
      <c r="BA27" s="21">
        <v>-6.1523399999999999E-2</v>
      </c>
      <c r="BB27" s="21">
        <v>17</v>
      </c>
      <c r="BC27" s="21">
        <v>-1.4572099999999999E-2</v>
      </c>
      <c r="BD27">
        <f t="shared" si="10"/>
        <v>38.452124999999995</v>
      </c>
      <c r="BE27">
        <f t="shared" si="11"/>
        <v>-0.55153036451249993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0.54931600000000003</v>
      </c>
      <c r="H28" s="21">
        <v>104.94199999999999</v>
      </c>
      <c r="I28" s="21">
        <v>-4.6579000000000002E-2</v>
      </c>
      <c r="J28" s="21">
        <v>18</v>
      </c>
      <c r="K28" s="21">
        <v>0.54818699999999998</v>
      </c>
      <c r="L28">
        <f t="shared" si="0"/>
        <v>29.111874999999998</v>
      </c>
      <c r="M28">
        <f t="shared" si="1"/>
        <v>15.991618727499999</v>
      </c>
      <c r="N28" s="9"/>
      <c r="O28" s="21">
        <v>-9.3078599999999994E-3</v>
      </c>
      <c r="P28" s="21">
        <v>157.44300000000001</v>
      </c>
      <c r="Q28" s="21">
        <v>-6.1523399999999999E-2</v>
      </c>
      <c r="R28" s="21">
        <v>18</v>
      </c>
      <c r="S28" s="21">
        <v>-9.4390900000000007E-3</v>
      </c>
      <c r="T28">
        <f t="shared" si="2"/>
        <v>38.452124999999995</v>
      </c>
      <c r="U28">
        <f t="shared" si="3"/>
        <v>-0.35790699620249994</v>
      </c>
      <c r="X28" s="9"/>
      <c r="Y28" s="21">
        <v>0.54931600000000003</v>
      </c>
      <c r="Z28" s="21">
        <v>191.815</v>
      </c>
      <c r="AA28" s="21">
        <v>-4.5980800000000002E-2</v>
      </c>
      <c r="AB28" s="21">
        <v>18</v>
      </c>
      <c r="AC28" s="21">
        <v>0.54821799999999998</v>
      </c>
      <c r="AD28">
        <f t="shared" si="4"/>
        <v>28.738</v>
      </c>
      <c r="AE28">
        <f t="shared" si="5"/>
        <v>15.786243208</v>
      </c>
      <c r="AF28" s="9"/>
      <c r="AG28" s="21">
        <v>-9.3078599999999994E-3</v>
      </c>
      <c r="AH28" s="21">
        <v>248.59100000000001</v>
      </c>
      <c r="AI28" s="21">
        <v>-6.1370800000000003E-2</v>
      </c>
      <c r="AJ28" s="21">
        <v>18</v>
      </c>
      <c r="AK28" s="21">
        <v>-9.4726600000000008E-3</v>
      </c>
      <c r="AL28">
        <f t="shared" si="6"/>
        <v>38.356750000000005</v>
      </c>
      <c r="AM28">
        <f t="shared" si="7"/>
        <v>-0.35701925905500004</v>
      </c>
      <c r="AP28" s="9"/>
      <c r="AQ28" s="21">
        <v>0.54931600000000003</v>
      </c>
      <c r="AR28" s="21">
        <v>297.72800000000001</v>
      </c>
      <c r="AS28" s="21">
        <v>-4.5727499999999997E-2</v>
      </c>
      <c r="AT28" s="21">
        <v>18</v>
      </c>
      <c r="AU28" s="21">
        <v>0.548126</v>
      </c>
      <c r="AV28">
        <f t="shared" si="8"/>
        <v>28.579687499999995</v>
      </c>
      <c r="AW28">
        <f t="shared" si="9"/>
        <v>15.699279618749998</v>
      </c>
      <c r="AX28" s="9"/>
      <c r="AY28" s="21">
        <v>-9.3078599999999994E-3</v>
      </c>
      <c r="AZ28" s="21">
        <v>334.90100000000001</v>
      </c>
      <c r="BA28" s="21">
        <v>-6.1553999999999998E-2</v>
      </c>
      <c r="BB28" s="21">
        <v>18</v>
      </c>
      <c r="BC28" s="21">
        <v>-9.4879200000000004E-3</v>
      </c>
      <c r="BD28">
        <f t="shared" si="10"/>
        <v>38.471249999999998</v>
      </c>
      <c r="BE28">
        <f t="shared" si="11"/>
        <v>-0.35808500902499996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0.54428100000000001</v>
      </c>
      <c r="H29" s="21">
        <v>105.042</v>
      </c>
      <c r="I29" s="21">
        <v>-4.7793599999999999E-2</v>
      </c>
      <c r="J29" s="21">
        <v>19</v>
      </c>
      <c r="K29" s="21">
        <v>0.54309099999999999</v>
      </c>
      <c r="L29">
        <f t="shared" si="0"/>
        <v>29.870999999999999</v>
      </c>
      <c r="M29">
        <f t="shared" si="1"/>
        <v>16.258217751</v>
      </c>
      <c r="N29" s="9"/>
      <c r="O29" s="21">
        <v>-4.2724599999999996E-3</v>
      </c>
      <c r="P29" s="21">
        <v>157.54400000000001</v>
      </c>
      <c r="Q29" s="21">
        <v>-6.1492900000000003E-2</v>
      </c>
      <c r="R29" s="21">
        <v>19</v>
      </c>
      <c r="S29" s="21">
        <v>-4.46167E-3</v>
      </c>
      <c r="T29">
        <f t="shared" si="2"/>
        <v>38.433062499999998</v>
      </c>
      <c r="U29">
        <f t="shared" si="3"/>
        <v>-0.16420372220874999</v>
      </c>
      <c r="X29" s="9"/>
      <c r="Y29" s="21">
        <v>0.54428100000000001</v>
      </c>
      <c r="Z29" s="21">
        <v>191.916</v>
      </c>
      <c r="AA29" s="21">
        <v>-4.7302200000000003E-2</v>
      </c>
      <c r="AB29" s="21">
        <v>19</v>
      </c>
      <c r="AC29" s="21">
        <v>0.54305999999999999</v>
      </c>
      <c r="AD29">
        <f t="shared" si="4"/>
        <v>29.563874999999999</v>
      </c>
      <c r="AE29">
        <f t="shared" si="5"/>
        <v>16.091055448875</v>
      </c>
      <c r="AF29" s="9"/>
      <c r="AG29" s="21">
        <v>-4.2724599999999996E-3</v>
      </c>
      <c r="AH29" s="21">
        <v>248.691</v>
      </c>
      <c r="AI29" s="21">
        <v>-6.1431899999999998E-2</v>
      </c>
      <c r="AJ29" s="21">
        <v>19</v>
      </c>
      <c r="AK29" s="21">
        <v>-4.4555699999999998E-3</v>
      </c>
      <c r="AL29">
        <f t="shared" si="6"/>
        <v>38.394937499999997</v>
      </c>
      <c r="AM29">
        <f t="shared" si="7"/>
        <v>-0.16404083467124997</v>
      </c>
      <c r="AP29" s="9"/>
      <c r="AQ29" s="21">
        <v>0.54428100000000001</v>
      </c>
      <c r="AR29" s="21">
        <v>297.82900000000001</v>
      </c>
      <c r="AS29" s="21">
        <v>-4.7058099999999999E-2</v>
      </c>
      <c r="AT29" s="21">
        <v>19</v>
      </c>
      <c r="AU29" s="21">
        <v>0.54312099999999996</v>
      </c>
      <c r="AV29">
        <f t="shared" si="8"/>
        <v>29.411312499999998</v>
      </c>
      <c r="AW29">
        <f t="shared" si="9"/>
        <v>16.0080185788125</v>
      </c>
      <c r="AX29" s="9"/>
      <c r="AY29" s="21">
        <v>-4.2724599999999996E-3</v>
      </c>
      <c r="AZ29" s="21">
        <v>335.00200000000001</v>
      </c>
      <c r="BA29" s="21">
        <v>-6.1523399999999999E-2</v>
      </c>
      <c r="BB29" s="21">
        <v>19</v>
      </c>
      <c r="BC29" s="21">
        <v>-4.4555699999999998E-3</v>
      </c>
      <c r="BD29">
        <f t="shared" si="10"/>
        <v>38.452124999999995</v>
      </c>
      <c r="BE29">
        <f t="shared" si="11"/>
        <v>-0.16428516597749995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0.539246</v>
      </c>
      <c r="H30" s="21">
        <v>105.143</v>
      </c>
      <c r="I30" s="21">
        <v>-4.8892199999999997E-2</v>
      </c>
      <c r="J30" s="21">
        <v>20</v>
      </c>
      <c r="K30" s="21">
        <v>0.53802499999999998</v>
      </c>
      <c r="L30">
        <f t="shared" si="0"/>
        <v>30.557624999999998</v>
      </c>
      <c r="M30">
        <f t="shared" si="1"/>
        <v>16.478077050749999</v>
      </c>
      <c r="N30" s="9"/>
      <c r="O30" s="21">
        <v>7.6293900000000002E-4</v>
      </c>
      <c r="P30" s="21">
        <v>157.64500000000001</v>
      </c>
      <c r="Q30" s="21">
        <v>-6.14624E-2</v>
      </c>
      <c r="R30" s="21">
        <v>20</v>
      </c>
      <c r="S30" s="21">
        <v>6.3171400000000002E-4</v>
      </c>
      <c r="T30">
        <f t="shared" si="2"/>
        <v>38.413999999999994</v>
      </c>
      <c r="U30">
        <f t="shared" si="3"/>
        <v>2.9307538745999995E-2</v>
      </c>
      <c r="X30" s="9"/>
      <c r="Y30" s="21">
        <v>0.539246</v>
      </c>
      <c r="Z30" s="21">
        <v>192.01599999999999</v>
      </c>
      <c r="AA30" s="21">
        <v>-4.8477199999999998E-2</v>
      </c>
      <c r="AB30" s="21">
        <v>20</v>
      </c>
      <c r="AC30" s="21">
        <v>0.53793299999999999</v>
      </c>
      <c r="AD30">
        <f t="shared" si="4"/>
        <v>30.298249999999999</v>
      </c>
      <c r="AE30">
        <f t="shared" si="5"/>
        <v>16.338210119500001</v>
      </c>
      <c r="AF30" s="9"/>
      <c r="AG30" s="21">
        <v>7.6293900000000002E-4</v>
      </c>
      <c r="AH30" s="21">
        <v>248.792</v>
      </c>
      <c r="AI30" s="21">
        <v>-6.13403E-2</v>
      </c>
      <c r="AJ30" s="21">
        <v>20</v>
      </c>
      <c r="AK30" s="21">
        <v>6.2560999999999997E-4</v>
      </c>
      <c r="AL30">
        <f t="shared" si="6"/>
        <v>38.337687499999994</v>
      </c>
      <c r="AM30">
        <f t="shared" si="7"/>
        <v>2.9249316963562498E-2</v>
      </c>
      <c r="AP30" s="9"/>
      <c r="AQ30" s="21">
        <v>0.539246</v>
      </c>
      <c r="AR30" s="21">
        <v>297.93</v>
      </c>
      <c r="AS30" s="21">
        <v>-4.8260499999999998E-2</v>
      </c>
      <c r="AT30" s="21">
        <v>20</v>
      </c>
      <c r="AU30" s="21">
        <v>0.53802499999999998</v>
      </c>
      <c r="AV30">
        <f t="shared" si="8"/>
        <v>30.162812499999998</v>
      </c>
      <c r="AW30">
        <f t="shared" si="9"/>
        <v>16.265175989374999</v>
      </c>
      <c r="AX30" s="9"/>
      <c r="AY30" s="21">
        <v>7.6293900000000002E-4</v>
      </c>
      <c r="AZ30" s="21">
        <v>335.10199999999998</v>
      </c>
      <c r="BA30" s="21">
        <v>-6.14624E-2</v>
      </c>
      <c r="BB30" s="21">
        <v>20</v>
      </c>
      <c r="BC30" s="21">
        <v>5.7067900000000004E-4</v>
      </c>
      <c r="BD30">
        <f t="shared" si="10"/>
        <v>38.413999999999994</v>
      </c>
      <c r="BE30">
        <f t="shared" si="11"/>
        <v>2.9307538745999995E-2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0.53420999999999996</v>
      </c>
      <c r="H31" s="21">
        <v>105.244</v>
      </c>
      <c r="I31" s="21">
        <v>-4.9838300000000002E-2</v>
      </c>
      <c r="J31" s="21">
        <v>21</v>
      </c>
      <c r="K31" s="21">
        <v>0.53289799999999998</v>
      </c>
      <c r="L31">
        <f t="shared" si="0"/>
        <v>31.148937500000002</v>
      </c>
      <c r="M31">
        <f t="shared" si="1"/>
        <v>16.640073901874999</v>
      </c>
      <c r="N31" s="9"/>
      <c r="O31" s="21">
        <v>5.7983399999999999E-3</v>
      </c>
      <c r="P31" s="21">
        <v>157.745</v>
      </c>
      <c r="Q31" s="21">
        <v>-6.14624E-2</v>
      </c>
      <c r="R31" s="21">
        <v>21</v>
      </c>
      <c r="S31" s="21">
        <v>5.6426999999999996E-3</v>
      </c>
      <c r="T31">
        <f t="shared" si="2"/>
        <v>38.413999999999994</v>
      </c>
      <c r="U31">
        <f t="shared" si="3"/>
        <v>0.22273743275999996</v>
      </c>
      <c r="X31" s="9"/>
      <c r="Y31" s="21">
        <v>0.53420999999999996</v>
      </c>
      <c r="Z31" s="21">
        <v>192.11699999999999</v>
      </c>
      <c r="AA31" s="21">
        <v>-4.9481200000000003E-2</v>
      </c>
      <c r="AB31" s="21">
        <v>21</v>
      </c>
      <c r="AC31" s="21">
        <v>0.53295899999999996</v>
      </c>
      <c r="AD31">
        <f t="shared" si="4"/>
        <v>30.925750000000001</v>
      </c>
      <c r="AE31">
        <f t="shared" si="5"/>
        <v>16.520844907499999</v>
      </c>
      <c r="AF31" s="9"/>
      <c r="AG31" s="21">
        <v>5.7983399999999999E-3</v>
      </c>
      <c r="AH31" s="21">
        <v>248.893</v>
      </c>
      <c r="AI31" s="21">
        <v>-6.13403E-2</v>
      </c>
      <c r="AJ31" s="21">
        <v>21</v>
      </c>
      <c r="AK31" s="21">
        <v>5.6793199999999999E-3</v>
      </c>
      <c r="AL31">
        <f t="shared" si="6"/>
        <v>38.337687499999994</v>
      </c>
      <c r="AM31">
        <f t="shared" si="7"/>
        <v>0.22229494693874996</v>
      </c>
      <c r="AP31" s="9"/>
      <c r="AQ31" s="21">
        <v>0.53420999999999996</v>
      </c>
      <c r="AR31" s="21">
        <v>298.03100000000001</v>
      </c>
      <c r="AS31" s="21">
        <v>-4.9322499999999998E-2</v>
      </c>
      <c r="AT31" s="21">
        <v>21</v>
      </c>
      <c r="AU31" s="21">
        <v>0.53298999999999996</v>
      </c>
      <c r="AV31">
        <f t="shared" si="8"/>
        <v>30.826562499999998</v>
      </c>
      <c r="AW31">
        <f t="shared" si="9"/>
        <v>16.467857953124998</v>
      </c>
      <c r="AX31" s="9"/>
      <c r="AY31" s="21">
        <v>5.7983399999999999E-3</v>
      </c>
      <c r="AZ31" s="21">
        <v>335.20299999999997</v>
      </c>
      <c r="BA31" s="21">
        <v>-6.1492900000000003E-2</v>
      </c>
      <c r="BB31" s="21">
        <v>21</v>
      </c>
      <c r="BC31" s="21">
        <v>5.6426999999999996E-3</v>
      </c>
      <c r="BD31">
        <f t="shared" si="10"/>
        <v>38.433062499999998</v>
      </c>
      <c r="BE31">
        <f t="shared" si="11"/>
        <v>0.22284796361624998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0.52917499999999995</v>
      </c>
      <c r="H32" s="21">
        <v>105.34399999999999</v>
      </c>
      <c r="I32" s="21">
        <v>-5.0775099999999997E-2</v>
      </c>
      <c r="J32" s="21">
        <v>22</v>
      </c>
      <c r="K32" s="21">
        <v>0.52789299999999995</v>
      </c>
      <c r="L32">
        <f t="shared" si="0"/>
        <v>31.734437499999999</v>
      </c>
      <c r="M32">
        <f t="shared" si="1"/>
        <v>16.793070964062498</v>
      </c>
      <c r="N32" s="9"/>
      <c r="O32" s="21">
        <v>1.08337E-2</v>
      </c>
      <c r="P32" s="21">
        <v>157.846</v>
      </c>
      <c r="Q32" s="21">
        <v>-6.14624E-2</v>
      </c>
      <c r="R32" s="21">
        <v>22</v>
      </c>
      <c r="S32" s="21">
        <v>1.0705599999999999E-2</v>
      </c>
      <c r="T32">
        <f t="shared" si="2"/>
        <v>38.413999999999994</v>
      </c>
      <c r="U32">
        <f t="shared" si="3"/>
        <v>0.41616575179999993</v>
      </c>
      <c r="X32" s="9"/>
      <c r="Y32" s="21">
        <v>0.52917499999999995</v>
      </c>
      <c r="Z32" s="21">
        <v>192.21799999999999</v>
      </c>
      <c r="AA32" s="21">
        <v>-5.0399800000000002E-2</v>
      </c>
      <c r="AB32" s="21">
        <v>22</v>
      </c>
      <c r="AC32" s="21">
        <v>0.52801500000000001</v>
      </c>
      <c r="AD32">
        <f t="shared" si="4"/>
        <v>31.499874999999996</v>
      </c>
      <c r="AE32">
        <f t="shared" si="5"/>
        <v>16.668946353124998</v>
      </c>
      <c r="AF32" s="9"/>
      <c r="AG32" s="21">
        <v>1.08337E-2</v>
      </c>
      <c r="AH32" s="21">
        <v>248.994</v>
      </c>
      <c r="AI32" s="21">
        <v>-6.1309799999999998E-2</v>
      </c>
      <c r="AJ32" s="21">
        <v>22</v>
      </c>
      <c r="AK32" s="21">
        <v>1.0720800000000001E-2</v>
      </c>
      <c r="AL32">
        <f t="shared" si="6"/>
        <v>38.318624999999997</v>
      </c>
      <c r="AM32">
        <f t="shared" si="7"/>
        <v>0.41513248766249999</v>
      </c>
      <c r="AP32" s="9"/>
      <c r="AQ32" s="21">
        <v>0.52917499999999995</v>
      </c>
      <c r="AR32" s="21">
        <v>298.13099999999997</v>
      </c>
      <c r="AS32" s="21">
        <v>-5.0219699999999999E-2</v>
      </c>
      <c r="AT32" s="21">
        <v>22</v>
      </c>
      <c r="AU32" s="21">
        <v>0.52792399999999995</v>
      </c>
      <c r="AV32">
        <f t="shared" si="8"/>
        <v>31.3873125</v>
      </c>
      <c r="AW32">
        <f t="shared" si="9"/>
        <v>16.609381092187498</v>
      </c>
      <c r="AX32" s="9"/>
      <c r="AY32" s="21">
        <v>1.08337E-2</v>
      </c>
      <c r="AZ32" s="21">
        <v>335.30399999999997</v>
      </c>
      <c r="BA32" s="21">
        <v>-6.1492900000000003E-2</v>
      </c>
      <c r="BB32" s="21">
        <v>22</v>
      </c>
      <c r="BC32" s="21">
        <v>1.07361E-2</v>
      </c>
      <c r="BD32">
        <f t="shared" si="10"/>
        <v>38.433062499999998</v>
      </c>
      <c r="BE32">
        <f t="shared" si="11"/>
        <v>0.41637226920624998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0.52413900000000002</v>
      </c>
      <c r="H33" s="21">
        <v>105.44499999999999</v>
      </c>
      <c r="I33" s="21">
        <v>-5.1519799999999998E-2</v>
      </c>
      <c r="J33" s="21">
        <v>23</v>
      </c>
      <c r="K33" s="21">
        <v>0.52291900000000002</v>
      </c>
      <c r="L33">
        <f t="shared" si="0"/>
        <v>32.199874999999999</v>
      </c>
      <c r="M33">
        <f t="shared" si="1"/>
        <v>16.877210282625001</v>
      </c>
      <c r="N33" s="9"/>
      <c r="O33" s="21">
        <v>1.5869100000000001E-2</v>
      </c>
      <c r="P33" s="21">
        <v>157.947</v>
      </c>
      <c r="Q33" s="21">
        <v>-6.1492900000000003E-2</v>
      </c>
      <c r="R33" s="21">
        <v>23</v>
      </c>
      <c r="S33" s="21">
        <v>1.57593E-2</v>
      </c>
      <c r="T33">
        <f t="shared" si="2"/>
        <v>38.433062499999998</v>
      </c>
      <c r="U33">
        <f t="shared" si="3"/>
        <v>0.60989811211875</v>
      </c>
      <c r="X33" s="9"/>
      <c r="Y33" s="21">
        <v>0.52413900000000002</v>
      </c>
      <c r="Z33" s="21">
        <v>192.31800000000001</v>
      </c>
      <c r="AA33" s="21">
        <v>-5.1193200000000001E-2</v>
      </c>
      <c r="AB33" s="21">
        <v>23</v>
      </c>
      <c r="AC33" s="21">
        <v>0.52288800000000002</v>
      </c>
      <c r="AD33">
        <f t="shared" si="4"/>
        <v>31.995749999999997</v>
      </c>
      <c r="AE33">
        <f t="shared" si="5"/>
        <v>16.770220409250001</v>
      </c>
      <c r="AF33" s="9"/>
      <c r="AG33" s="21">
        <v>1.5869100000000001E-2</v>
      </c>
      <c r="AH33" s="21">
        <v>249.09399999999999</v>
      </c>
      <c r="AI33" s="21">
        <v>-6.13403E-2</v>
      </c>
      <c r="AJ33" s="21">
        <v>23</v>
      </c>
      <c r="AK33" s="21">
        <v>1.5722699999999999E-2</v>
      </c>
      <c r="AL33">
        <f t="shared" si="6"/>
        <v>38.337687499999994</v>
      </c>
      <c r="AM33">
        <f t="shared" si="7"/>
        <v>0.60838459670624989</v>
      </c>
      <c r="AP33" s="9"/>
      <c r="AQ33" s="21">
        <v>0.52413900000000002</v>
      </c>
      <c r="AR33" s="21">
        <v>298.23200000000003</v>
      </c>
      <c r="AS33" s="21">
        <v>-5.1065100000000002E-2</v>
      </c>
      <c r="AT33" s="21">
        <v>23</v>
      </c>
      <c r="AU33" s="21">
        <v>0.52291900000000002</v>
      </c>
      <c r="AV33">
        <f t="shared" si="8"/>
        <v>31.915687499999997</v>
      </c>
      <c r="AW33">
        <f t="shared" si="9"/>
        <v>16.728256530562501</v>
      </c>
      <c r="AX33" s="9"/>
      <c r="AY33" s="21">
        <v>1.5869100000000001E-2</v>
      </c>
      <c r="AZ33" s="21">
        <v>335.40499999999997</v>
      </c>
      <c r="BA33" s="21">
        <v>-6.1492900000000003E-2</v>
      </c>
      <c r="BB33" s="21">
        <v>23</v>
      </c>
      <c r="BC33" s="21">
        <v>1.57501E-2</v>
      </c>
      <c r="BD33">
        <f t="shared" si="10"/>
        <v>38.433062499999998</v>
      </c>
      <c r="BE33">
        <f t="shared" si="11"/>
        <v>0.60989811211875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0.51910400000000001</v>
      </c>
      <c r="H34" s="21">
        <v>105.54600000000001</v>
      </c>
      <c r="I34" s="21">
        <v>-5.2221700000000003E-2</v>
      </c>
      <c r="J34" s="21">
        <v>24</v>
      </c>
      <c r="K34" s="21">
        <v>0.517822</v>
      </c>
      <c r="L34">
        <f t="shared" si="0"/>
        <v>32.638562500000006</v>
      </c>
      <c r="M34">
        <f t="shared" si="1"/>
        <v>16.942808348000003</v>
      </c>
      <c r="N34" s="9"/>
      <c r="O34" s="21">
        <v>2.0904499999999999E-2</v>
      </c>
      <c r="P34" s="21">
        <v>158.048</v>
      </c>
      <c r="Q34" s="21">
        <v>-6.1431899999999998E-2</v>
      </c>
      <c r="R34" s="21">
        <v>24</v>
      </c>
      <c r="S34" s="21">
        <v>2.0785499999999998E-2</v>
      </c>
      <c r="T34">
        <f t="shared" si="2"/>
        <v>38.394937499999997</v>
      </c>
      <c r="U34">
        <f t="shared" si="3"/>
        <v>0.80262697096874991</v>
      </c>
      <c r="X34" s="9"/>
      <c r="Y34" s="21">
        <v>0.51910400000000001</v>
      </c>
      <c r="Z34" s="21">
        <v>192.41900000000001</v>
      </c>
      <c r="AA34" s="21">
        <v>-5.1907300000000003E-2</v>
      </c>
      <c r="AB34" s="21">
        <v>24</v>
      </c>
      <c r="AC34" s="21">
        <v>0.517822</v>
      </c>
      <c r="AD34">
        <f t="shared" si="4"/>
        <v>32.442062499999999</v>
      </c>
      <c r="AE34">
        <f t="shared" si="5"/>
        <v>16.840804412000001</v>
      </c>
      <c r="AF34" s="9"/>
      <c r="AG34" s="21">
        <v>2.0904499999999999E-2</v>
      </c>
      <c r="AH34" s="21">
        <v>249.19499999999999</v>
      </c>
      <c r="AI34" s="21">
        <v>-6.1309799999999998E-2</v>
      </c>
      <c r="AJ34" s="21">
        <v>24</v>
      </c>
      <c r="AK34" s="21">
        <v>2.07672E-2</v>
      </c>
      <c r="AL34">
        <f t="shared" si="6"/>
        <v>38.318624999999997</v>
      </c>
      <c r="AM34">
        <f t="shared" si="7"/>
        <v>0.80103169631249993</v>
      </c>
      <c r="AP34" s="9"/>
      <c r="AQ34" s="21">
        <v>0.51910400000000001</v>
      </c>
      <c r="AR34" s="21">
        <v>298.33300000000003</v>
      </c>
      <c r="AS34" s="21">
        <v>-5.1800499999999999E-2</v>
      </c>
      <c r="AT34" s="21">
        <v>24</v>
      </c>
      <c r="AU34" s="21">
        <v>0.517822</v>
      </c>
      <c r="AV34">
        <f t="shared" si="8"/>
        <v>32.375312499999993</v>
      </c>
      <c r="AW34">
        <f t="shared" si="9"/>
        <v>16.806154219999996</v>
      </c>
      <c r="AX34" s="9"/>
      <c r="AY34" s="21">
        <v>2.0904499999999999E-2</v>
      </c>
      <c r="AZ34" s="21">
        <v>335.505</v>
      </c>
      <c r="BA34" s="21">
        <v>-6.1431899999999998E-2</v>
      </c>
      <c r="BB34" s="21">
        <v>24</v>
      </c>
      <c r="BC34" s="21">
        <v>2.0800800000000001E-2</v>
      </c>
      <c r="BD34">
        <f t="shared" si="10"/>
        <v>38.394937499999997</v>
      </c>
      <c r="BE34">
        <f t="shared" si="11"/>
        <v>0.80262697096874991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0.514069</v>
      </c>
      <c r="H35" s="21">
        <v>105.646</v>
      </c>
      <c r="I35" s="21">
        <v>-5.2853400000000002E-2</v>
      </c>
      <c r="J35" s="21">
        <v>25</v>
      </c>
      <c r="K35" s="21">
        <v>0.51275599999999999</v>
      </c>
      <c r="L35">
        <f t="shared" si="0"/>
        <v>33.033374999999999</v>
      </c>
      <c r="M35">
        <f t="shared" si="1"/>
        <v>16.981434052874999</v>
      </c>
      <c r="N35" s="9"/>
      <c r="O35" s="21">
        <v>2.5939899999999998E-2</v>
      </c>
      <c r="P35" s="21">
        <v>158.148</v>
      </c>
      <c r="Q35" s="21">
        <v>-6.14624E-2</v>
      </c>
      <c r="R35" s="21">
        <v>25</v>
      </c>
      <c r="S35" s="21">
        <v>2.5900300000000001E-2</v>
      </c>
      <c r="T35">
        <f t="shared" si="2"/>
        <v>38.413999999999994</v>
      </c>
      <c r="U35">
        <f t="shared" si="3"/>
        <v>0.99645531859999981</v>
      </c>
      <c r="X35" s="9"/>
      <c r="Y35" s="21">
        <v>0.514069</v>
      </c>
      <c r="Z35" s="21">
        <v>192.52</v>
      </c>
      <c r="AA35" s="21">
        <v>-5.2542100000000001E-2</v>
      </c>
      <c r="AB35" s="21">
        <v>25</v>
      </c>
      <c r="AC35" s="21">
        <v>0.51275599999999999</v>
      </c>
      <c r="AD35">
        <f t="shared" si="4"/>
        <v>32.838812500000003</v>
      </c>
      <c r="AE35">
        <f t="shared" si="5"/>
        <v>16.881415503062502</v>
      </c>
      <c r="AF35" s="9"/>
      <c r="AG35" s="21">
        <v>2.5939899999999998E-2</v>
      </c>
      <c r="AH35" s="21">
        <v>249.29599999999999</v>
      </c>
      <c r="AI35" s="21">
        <v>-6.1309799999999998E-2</v>
      </c>
      <c r="AJ35" s="21">
        <v>25</v>
      </c>
      <c r="AK35" s="21">
        <v>2.58911E-2</v>
      </c>
      <c r="AL35">
        <f t="shared" si="6"/>
        <v>38.318624999999997</v>
      </c>
      <c r="AM35">
        <f t="shared" si="7"/>
        <v>0.9939813006374999</v>
      </c>
      <c r="AP35" s="9"/>
      <c r="AQ35" s="21">
        <v>0.514069</v>
      </c>
      <c r="AR35" s="21">
        <v>298.43299999999999</v>
      </c>
      <c r="AS35" s="21">
        <v>-5.24933E-2</v>
      </c>
      <c r="AT35" s="21">
        <v>25</v>
      </c>
      <c r="AU35" s="21">
        <v>0.51275599999999999</v>
      </c>
      <c r="AV35">
        <f t="shared" si="8"/>
        <v>32.8083125</v>
      </c>
      <c r="AW35">
        <f t="shared" si="9"/>
        <v>16.8657363985625</v>
      </c>
      <c r="AX35" s="9"/>
      <c r="AY35" s="21">
        <v>2.5939899999999998E-2</v>
      </c>
      <c r="AZ35" s="21">
        <v>335.60599999999999</v>
      </c>
      <c r="BA35" s="21">
        <v>-6.1431899999999998E-2</v>
      </c>
      <c r="BB35" s="21">
        <v>25</v>
      </c>
      <c r="BC35" s="21">
        <v>2.5848400000000001E-2</v>
      </c>
      <c r="BD35">
        <f t="shared" si="10"/>
        <v>38.394937499999997</v>
      </c>
      <c r="BE35">
        <f t="shared" si="11"/>
        <v>0.9959608392562499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0.50903299999999996</v>
      </c>
      <c r="H36" s="21">
        <v>105.747</v>
      </c>
      <c r="I36" s="21">
        <v>-5.3314199999999999E-2</v>
      </c>
      <c r="J36" s="21">
        <v>26</v>
      </c>
      <c r="K36" s="21">
        <v>0.50781299999999996</v>
      </c>
      <c r="L36">
        <f t="shared" si="0"/>
        <v>33.321375000000003</v>
      </c>
      <c r="M36">
        <f t="shared" si="1"/>
        <v>16.961679480375</v>
      </c>
      <c r="N36" s="9"/>
      <c r="O36" s="21">
        <v>3.0975300000000001E-2</v>
      </c>
      <c r="P36" s="21">
        <v>158.249</v>
      </c>
      <c r="Q36" s="21">
        <v>-6.1431899999999998E-2</v>
      </c>
      <c r="R36" s="21">
        <v>26</v>
      </c>
      <c r="S36" s="21">
        <v>3.0972300000000001E-2</v>
      </c>
      <c r="T36">
        <f t="shared" si="2"/>
        <v>38.394937499999997</v>
      </c>
      <c r="U36">
        <f t="shared" si="3"/>
        <v>1.1892947075437499</v>
      </c>
      <c r="X36" s="9"/>
      <c r="Y36" s="21">
        <v>0.50903299999999996</v>
      </c>
      <c r="Z36" s="21">
        <v>192.62</v>
      </c>
      <c r="AA36" s="21">
        <v>-5.31067E-2</v>
      </c>
      <c r="AB36" s="21">
        <v>26</v>
      </c>
      <c r="AC36" s="21">
        <v>0.50775099999999995</v>
      </c>
      <c r="AD36">
        <f t="shared" si="4"/>
        <v>33.1916875</v>
      </c>
      <c r="AE36">
        <f t="shared" si="5"/>
        <v>16.895664263187498</v>
      </c>
      <c r="AF36" s="9"/>
      <c r="AG36" s="21">
        <v>3.0975300000000001E-2</v>
      </c>
      <c r="AH36" s="21">
        <v>249.39599999999999</v>
      </c>
      <c r="AI36" s="21">
        <v>-6.13403E-2</v>
      </c>
      <c r="AJ36" s="21">
        <v>26</v>
      </c>
      <c r="AK36" s="21">
        <v>3.0898999999999999E-2</v>
      </c>
      <c r="AL36">
        <f t="shared" si="6"/>
        <v>38.337687499999994</v>
      </c>
      <c r="AM36">
        <f t="shared" si="7"/>
        <v>1.1875213716187498</v>
      </c>
      <c r="AP36" s="9"/>
      <c r="AQ36" s="21">
        <v>0.50903299999999996</v>
      </c>
      <c r="AR36" s="21">
        <v>298.53399999999999</v>
      </c>
      <c r="AS36" s="21">
        <v>-5.3051800000000003E-2</v>
      </c>
      <c r="AT36" s="21">
        <v>26</v>
      </c>
      <c r="AU36" s="21">
        <v>0.50772099999999998</v>
      </c>
      <c r="AV36">
        <f t="shared" si="8"/>
        <v>33.157375000000002</v>
      </c>
      <c r="AW36">
        <f t="shared" si="9"/>
        <v>16.878198068374999</v>
      </c>
      <c r="AX36" s="9"/>
      <c r="AY36" s="21">
        <v>3.0975300000000001E-2</v>
      </c>
      <c r="AZ36" s="21">
        <v>335.70699999999999</v>
      </c>
      <c r="BA36" s="21">
        <v>-6.1370800000000003E-2</v>
      </c>
      <c r="BB36" s="21">
        <v>26</v>
      </c>
      <c r="BC36" s="21">
        <v>3.0926499999999999E-2</v>
      </c>
      <c r="BD36">
        <f t="shared" si="10"/>
        <v>38.356750000000005</v>
      </c>
      <c r="BE36">
        <f t="shared" si="11"/>
        <v>1.1881118382750002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0.50399799999999995</v>
      </c>
      <c r="H37" s="21">
        <v>105.848</v>
      </c>
      <c r="I37" s="21">
        <v>-5.3830000000000003E-2</v>
      </c>
      <c r="J37" s="21">
        <v>27</v>
      </c>
      <c r="K37" s="21">
        <v>0.50271600000000005</v>
      </c>
      <c r="L37">
        <f t="shared" si="0"/>
        <v>33.643749999999997</v>
      </c>
      <c r="M37">
        <f t="shared" si="1"/>
        <v>16.956382712499998</v>
      </c>
      <c r="N37" s="9"/>
      <c r="O37" s="21">
        <v>3.60107E-2</v>
      </c>
      <c r="P37" s="21">
        <v>158.35</v>
      </c>
      <c r="Q37" s="21">
        <v>-6.1431899999999998E-2</v>
      </c>
      <c r="R37" s="21">
        <v>27</v>
      </c>
      <c r="S37" s="21">
        <v>3.5922200000000001E-2</v>
      </c>
      <c r="T37">
        <f t="shared" si="2"/>
        <v>38.394937499999997</v>
      </c>
      <c r="U37">
        <f t="shared" si="3"/>
        <v>1.38262857583125</v>
      </c>
      <c r="X37" s="9"/>
      <c r="Y37" s="21">
        <v>0.50399799999999995</v>
      </c>
      <c r="Z37" s="21">
        <v>192.721</v>
      </c>
      <c r="AA37" s="21">
        <v>-5.3674300000000001E-2</v>
      </c>
      <c r="AB37" s="21">
        <v>27</v>
      </c>
      <c r="AC37" s="21">
        <v>0.50268599999999997</v>
      </c>
      <c r="AD37">
        <f t="shared" si="4"/>
        <v>33.546437499999996</v>
      </c>
      <c r="AE37">
        <f t="shared" si="5"/>
        <v>16.907337407124995</v>
      </c>
      <c r="AF37" s="9"/>
      <c r="AG37" s="21">
        <v>3.60107E-2</v>
      </c>
      <c r="AH37" s="21">
        <v>249.49700000000001</v>
      </c>
      <c r="AI37" s="21">
        <v>-6.1279300000000002E-2</v>
      </c>
      <c r="AJ37" s="21">
        <v>27</v>
      </c>
      <c r="AK37" s="21">
        <v>3.5958900000000002E-2</v>
      </c>
      <c r="AL37">
        <f t="shared" si="6"/>
        <v>38.2995625</v>
      </c>
      <c r="AM37">
        <f t="shared" si="7"/>
        <v>1.3791940553187501</v>
      </c>
      <c r="AP37" s="9"/>
      <c r="AQ37" s="21">
        <v>0.50399799999999995</v>
      </c>
      <c r="AR37" s="21">
        <v>298.63499999999999</v>
      </c>
      <c r="AS37" s="21">
        <v>-5.3631600000000001E-2</v>
      </c>
      <c r="AT37" s="21">
        <v>27</v>
      </c>
      <c r="AU37" s="21">
        <v>0.50268599999999997</v>
      </c>
      <c r="AV37">
        <f t="shared" si="8"/>
        <v>33.519750000000002</v>
      </c>
      <c r="AW37">
        <f t="shared" si="9"/>
        <v>16.893886960499998</v>
      </c>
      <c r="AX37" s="9"/>
      <c r="AY37" s="21">
        <v>3.60107E-2</v>
      </c>
      <c r="AZ37" s="21">
        <v>335.80700000000002</v>
      </c>
      <c r="BA37" s="21">
        <v>-6.1370800000000003E-2</v>
      </c>
      <c r="BB37" s="21">
        <v>27</v>
      </c>
      <c r="BC37" s="21">
        <v>3.5964999999999997E-2</v>
      </c>
      <c r="BD37">
        <f t="shared" si="10"/>
        <v>38.356750000000005</v>
      </c>
      <c r="BE37">
        <f t="shared" si="11"/>
        <v>1.3812534172250002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0.49896200000000002</v>
      </c>
      <c r="H38" s="21">
        <v>105.949</v>
      </c>
      <c r="I38" s="21">
        <v>-5.4272500000000001E-2</v>
      </c>
      <c r="J38" s="21">
        <v>28</v>
      </c>
      <c r="K38" s="21">
        <v>0.49771100000000001</v>
      </c>
      <c r="L38">
        <f t="shared" si="0"/>
        <v>33.920312500000001</v>
      </c>
      <c r="M38">
        <f t="shared" si="1"/>
        <v>16.924946965625001</v>
      </c>
      <c r="N38" s="9"/>
      <c r="O38" s="21">
        <v>4.1046100000000002E-2</v>
      </c>
      <c r="P38" s="21">
        <v>158.44999999999999</v>
      </c>
      <c r="Q38" s="21">
        <v>-6.1431899999999998E-2</v>
      </c>
      <c r="R38" s="21">
        <v>28</v>
      </c>
      <c r="S38" s="21">
        <v>4.1009499999999997E-2</v>
      </c>
      <c r="T38">
        <f t="shared" si="2"/>
        <v>38.394937499999997</v>
      </c>
      <c r="U38">
        <f t="shared" si="3"/>
        <v>1.5759624441187501</v>
      </c>
      <c r="X38" s="9"/>
      <c r="Y38" s="21">
        <v>0.49896200000000002</v>
      </c>
      <c r="Z38" s="21">
        <v>192.822</v>
      </c>
      <c r="AA38" s="21">
        <v>-5.4113799999999997E-2</v>
      </c>
      <c r="AB38" s="21">
        <v>28</v>
      </c>
      <c r="AC38" s="21">
        <v>0.49764999999999998</v>
      </c>
      <c r="AD38">
        <f t="shared" si="4"/>
        <v>33.821124999999995</v>
      </c>
      <c r="AE38">
        <f t="shared" si="5"/>
        <v>16.875456172249997</v>
      </c>
      <c r="AF38" s="9"/>
      <c r="AG38" s="21">
        <v>4.1046100000000002E-2</v>
      </c>
      <c r="AH38" s="21">
        <v>249.59800000000001</v>
      </c>
      <c r="AI38" s="21">
        <v>-6.1309799999999998E-2</v>
      </c>
      <c r="AJ38" s="21">
        <v>28</v>
      </c>
      <c r="AK38" s="21">
        <v>4.1003400000000002E-2</v>
      </c>
      <c r="AL38">
        <f t="shared" si="6"/>
        <v>38.318624999999997</v>
      </c>
      <c r="AM38">
        <f t="shared" si="7"/>
        <v>1.5728301136125</v>
      </c>
      <c r="AP38" s="9"/>
      <c r="AQ38" s="21">
        <v>0.49896200000000002</v>
      </c>
      <c r="AR38" s="21">
        <v>298.73599999999999</v>
      </c>
      <c r="AS38" s="21">
        <v>-5.4071000000000001E-2</v>
      </c>
      <c r="AT38" s="21">
        <v>28</v>
      </c>
      <c r="AU38" s="21">
        <v>0.49768099999999998</v>
      </c>
      <c r="AV38">
        <f t="shared" si="8"/>
        <v>33.794375000000002</v>
      </c>
      <c r="AW38">
        <f t="shared" si="9"/>
        <v>16.862108938750001</v>
      </c>
      <c r="AX38" s="9"/>
      <c r="AY38" s="21">
        <v>4.1046100000000002E-2</v>
      </c>
      <c r="AZ38" s="21">
        <v>335.90800000000002</v>
      </c>
      <c r="BA38" s="21">
        <v>-6.13403E-2</v>
      </c>
      <c r="BB38" s="21">
        <v>28</v>
      </c>
      <c r="BC38" s="21">
        <v>4.1003400000000002E-2</v>
      </c>
      <c r="BD38">
        <f t="shared" si="10"/>
        <v>38.337687499999994</v>
      </c>
      <c r="BE38">
        <f t="shared" si="11"/>
        <v>1.5736125548937498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0.493927</v>
      </c>
      <c r="H39" s="21">
        <v>106.04900000000001</v>
      </c>
      <c r="I39" s="21">
        <v>-5.4641700000000001E-2</v>
      </c>
      <c r="J39" s="21">
        <v>29</v>
      </c>
      <c r="K39" s="21">
        <v>0.49261500000000003</v>
      </c>
      <c r="L39">
        <f t="shared" si="0"/>
        <v>34.151062499999995</v>
      </c>
      <c r="M39">
        <f t="shared" si="1"/>
        <v>16.868131847437496</v>
      </c>
      <c r="N39" s="9"/>
      <c r="O39" s="21">
        <v>4.6081499999999997E-2</v>
      </c>
      <c r="P39" s="21">
        <v>158.55099999999999</v>
      </c>
      <c r="Q39" s="21">
        <v>-6.1401400000000002E-2</v>
      </c>
      <c r="R39" s="21">
        <v>29</v>
      </c>
      <c r="S39" s="21">
        <v>4.6051000000000002E-2</v>
      </c>
      <c r="T39">
        <f t="shared" si="2"/>
        <v>38.375874999999994</v>
      </c>
      <c r="U39">
        <f t="shared" si="3"/>
        <v>1.7684178838124995</v>
      </c>
      <c r="X39" s="9"/>
      <c r="Y39" s="21">
        <v>0.493927</v>
      </c>
      <c r="Z39" s="21">
        <v>192.923</v>
      </c>
      <c r="AA39" s="21">
        <v>-5.4525799999999999E-2</v>
      </c>
      <c r="AB39" s="21">
        <v>29</v>
      </c>
      <c r="AC39" s="21">
        <v>0.492645</v>
      </c>
      <c r="AD39">
        <f t="shared" si="4"/>
        <v>34.078624999999995</v>
      </c>
      <c r="AE39">
        <f t="shared" si="5"/>
        <v>16.832353010374998</v>
      </c>
      <c r="AF39" s="9"/>
      <c r="AG39" s="21">
        <v>4.6081499999999997E-2</v>
      </c>
      <c r="AH39" s="21">
        <v>249.69800000000001</v>
      </c>
      <c r="AI39" s="21">
        <v>-6.1279300000000002E-2</v>
      </c>
      <c r="AJ39" s="21">
        <v>29</v>
      </c>
      <c r="AK39" s="21">
        <v>4.60449E-2</v>
      </c>
      <c r="AL39">
        <f t="shared" si="6"/>
        <v>38.2995625</v>
      </c>
      <c r="AM39">
        <f t="shared" si="7"/>
        <v>1.7649012893437499</v>
      </c>
      <c r="AP39" s="9"/>
      <c r="AQ39" s="21">
        <v>0.493927</v>
      </c>
      <c r="AR39" s="21">
        <v>298.83600000000001</v>
      </c>
      <c r="AS39" s="21">
        <v>-5.4446399999999999E-2</v>
      </c>
      <c r="AT39" s="21">
        <v>29</v>
      </c>
      <c r="AU39" s="21">
        <v>0.492645</v>
      </c>
      <c r="AV39">
        <f t="shared" si="8"/>
        <v>34.028999999999996</v>
      </c>
      <c r="AW39">
        <f t="shared" si="9"/>
        <v>16.807841882999998</v>
      </c>
      <c r="AX39" s="9"/>
      <c r="AY39" s="21">
        <v>4.6081499999999997E-2</v>
      </c>
      <c r="AZ39" s="21">
        <v>336.00900000000001</v>
      </c>
      <c r="BA39" s="21">
        <v>-6.1370800000000003E-2</v>
      </c>
      <c r="BB39" s="21">
        <v>29</v>
      </c>
      <c r="BC39" s="21">
        <v>4.6011400000000001E-2</v>
      </c>
      <c r="BD39">
        <f t="shared" si="10"/>
        <v>38.356750000000005</v>
      </c>
      <c r="BE39">
        <f t="shared" si="11"/>
        <v>1.7675365751250001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0.48889199999999999</v>
      </c>
      <c r="H40" s="21">
        <v>106.15</v>
      </c>
      <c r="I40" s="21">
        <v>-5.5020100000000002E-2</v>
      </c>
      <c r="J40" s="21">
        <v>30</v>
      </c>
      <c r="K40" s="21">
        <v>0.48760999999999999</v>
      </c>
      <c r="L40">
        <f t="shared" si="0"/>
        <v>34.387562499999994</v>
      </c>
      <c r="M40">
        <f t="shared" si="1"/>
        <v>16.811804205749997</v>
      </c>
      <c r="N40" s="9"/>
      <c r="O40" s="21">
        <v>5.11169E-2</v>
      </c>
      <c r="P40" s="21">
        <v>158.65199999999999</v>
      </c>
      <c r="Q40" s="21">
        <v>-6.1431899999999998E-2</v>
      </c>
      <c r="R40" s="21">
        <v>30</v>
      </c>
      <c r="S40" s="21">
        <v>5.0811799999999997E-2</v>
      </c>
      <c r="T40">
        <f t="shared" si="2"/>
        <v>38.394937499999997</v>
      </c>
      <c r="U40">
        <f t="shared" si="3"/>
        <v>1.9626301806937498</v>
      </c>
      <c r="X40" s="9"/>
      <c r="Y40" s="21">
        <v>0.48889199999999999</v>
      </c>
      <c r="Z40" s="21">
        <v>193.023</v>
      </c>
      <c r="AA40" s="21">
        <v>-5.4870599999999999E-2</v>
      </c>
      <c r="AB40" s="21">
        <v>30</v>
      </c>
      <c r="AC40" s="21">
        <v>0.48754900000000001</v>
      </c>
      <c r="AD40">
        <f t="shared" si="4"/>
        <v>34.294124999999994</v>
      </c>
      <c r="AE40">
        <f t="shared" si="5"/>
        <v>16.766123359499996</v>
      </c>
      <c r="AF40" s="9"/>
      <c r="AG40" s="21">
        <v>5.11169E-2</v>
      </c>
      <c r="AH40" s="21">
        <v>249.79900000000001</v>
      </c>
      <c r="AI40" s="21">
        <v>-6.1248799999999999E-2</v>
      </c>
      <c r="AJ40" s="21">
        <v>30</v>
      </c>
      <c r="AK40" s="21">
        <v>5.0781300000000001E-2</v>
      </c>
      <c r="AL40">
        <f t="shared" si="6"/>
        <v>38.280499999999996</v>
      </c>
      <c r="AM40">
        <f t="shared" si="7"/>
        <v>1.9567804904499999</v>
      </c>
      <c r="AP40" s="9"/>
      <c r="AQ40" s="21">
        <v>0.48889199999999999</v>
      </c>
      <c r="AR40" s="21">
        <v>298.93700000000001</v>
      </c>
      <c r="AS40" s="21">
        <v>-5.4830900000000002E-2</v>
      </c>
      <c r="AT40" s="21">
        <v>30</v>
      </c>
      <c r="AU40" s="21">
        <v>0.48760999999999999</v>
      </c>
      <c r="AV40">
        <f t="shared" si="8"/>
        <v>34.269312499999998</v>
      </c>
      <c r="AW40">
        <f t="shared" si="9"/>
        <v>16.753992726749999</v>
      </c>
      <c r="AX40" s="9"/>
      <c r="AY40" s="21">
        <v>5.11169E-2</v>
      </c>
      <c r="AZ40" s="21">
        <v>336.10899999999998</v>
      </c>
      <c r="BA40" s="21">
        <v>-6.1370800000000003E-2</v>
      </c>
      <c r="BB40" s="21">
        <v>30</v>
      </c>
      <c r="BC40" s="21">
        <v>5.0750700000000003E-2</v>
      </c>
      <c r="BD40">
        <f t="shared" si="10"/>
        <v>38.356750000000005</v>
      </c>
      <c r="BE40">
        <f t="shared" si="11"/>
        <v>1.9606781540750002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0.48385600000000001</v>
      </c>
      <c r="H41" s="21">
        <v>106.251</v>
      </c>
      <c r="I41" s="21">
        <v>-5.5264300000000002E-2</v>
      </c>
      <c r="J41" s="21">
        <v>31</v>
      </c>
      <c r="K41" s="21">
        <v>0.482574</v>
      </c>
      <c r="L41">
        <f t="shared" si="0"/>
        <v>34.540187500000002</v>
      </c>
      <c r="M41">
        <f t="shared" si="1"/>
        <v>16.712476963</v>
      </c>
      <c r="N41" s="9"/>
      <c r="O41" s="21">
        <v>5.6152300000000002E-2</v>
      </c>
      <c r="P41" s="21">
        <v>158.75299999999999</v>
      </c>
      <c r="Q41" s="21">
        <v>-6.1401400000000002E-2</v>
      </c>
      <c r="R41" s="21">
        <v>31</v>
      </c>
      <c r="S41" s="21">
        <v>5.5816699999999997E-2</v>
      </c>
      <c r="T41">
        <f t="shared" si="2"/>
        <v>38.375874999999994</v>
      </c>
      <c r="U41">
        <f t="shared" si="3"/>
        <v>2.1548936457624999</v>
      </c>
      <c r="X41" s="9"/>
      <c r="Y41" s="21">
        <v>0.48385600000000001</v>
      </c>
      <c r="Z41" s="21">
        <v>193.124</v>
      </c>
      <c r="AA41" s="21">
        <v>-5.5175799999999997E-2</v>
      </c>
      <c r="AB41" s="21">
        <v>31</v>
      </c>
      <c r="AC41" s="21">
        <v>0.48254399999999997</v>
      </c>
      <c r="AD41">
        <f t="shared" si="4"/>
        <v>34.484874999999995</v>
      </c>
      <c r="AE41">
        <f t="shared" si="5"/>
        <v>16.685713677999999</v>
      </c>
      <c r="AF41" s="9"/>
      <c r="AG41" s="21">
        <v>5.6152300000000002E-2</v>
      </c>
      <c r="AH41" s="21">
        <v>249.9</v>
      </c>
      <c r="AI41" s="21">
        <v>-6.1279300000000002E-2</v>
      </c>
      <c r="AJ41" s="21">
        <v>31</v>
      </c>
      <c r="AK41" s="21">
        <v>5.57251E-2</v>
      </c>
      <c r="AL41">
        <f t="shared" si="6"/>
        <v>38.2995625</v>
      </c>
      <c r="AM41">
        <f t="shared" si="7"/>
        <v>2.1506085233687502</v>
      </c>
      <c r="AP41" s="9"/>
      <c r="AQ41" s="21">
        <v>0.48385600000000001</v>
      </c>
      <c r="AR41" s="21">
        <v>299.03800000000001</v>
      </c>
      <c r="AS41" s="21">
        <v>-5.5172699999999998E-2</v>
      </c>
      <c r="AT41" s="21">
        <v>31</v>
      </c>
      <c r="AU41" s="21">
        <v>0.482574</v>
      </c>
      <c r="AV41">
        <f t="shared" si="8"/>
        <v>34.482937499999998</v>
      </c>
      <c r="AW41">
        <f t="shared" si="9"/>
        <v>16.684776206999999</v>
      </c>
      <c r="AX41" s="9"/>
      <c r="AY41" s="21">
        <v>5.6152300000000002E-2</v>
      </c>
      <c r="AZ41" s="21">
        <v>336.21</v>
      </c>
      <c r="BA41" s="21">
        <v>-6.1401400000000002E-2</v>
      </c>
      <c r="BB41" s="21">
        <v>31</v>
      </c>
      <c r="BC41" s="21">
        <v>5.5816699999999997E-2</v>
      </c>
      <c r="BD41">
        <f t="shared" si="10"/>
        <v>38.375874999999994</v>
      </c>
      <c r="BE41">
        <f t="shared" si="11"/>
        <v>2.1548936457624999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0.478821</v>
      </c>
      <c r="H42" s="21">
        <v>106.351</v>
      </c>
      <c r="I42" s="21">
        <v>-5.5590800000000003E-2</v>
      </c>
      <c r="J42" s="21">
        <v>32</v>
      </c>
      <c r="K42" s="21">
        <v>0.47753899999999999</v>
      </c>
      <c r="L42">
        <f t="shared" si="0"/>
        <v>34.744249999999994</v>
      </c>
      <c r="M42">
        <f t="shared" si="1"/>
        <v>16.636276529249997</v>
      </c>
      <c r="N42" s="9"/>
      <c r="O42" s="21">
        <v>6.1187699999999998E-2</v>
      </c>
      <c r="P42" s="21">
        <v>158.85300000000001</v>
      </c>
      <c r="Q42" s="21">
        <v>-6.1431899999999998E-2</v>
      </c>
      <c r="R42" s="21">
        <v>32</v>
      </c>
      <c r="S42" s="21">
        <v>6.0821500000000001E-2</v>
      </c>
      <c r="T42">
        <f t="shared" si="2"/>
        <v>38.394937499999997</v>
      </c>
      <c r="U42">
        <f t="shared" si="3"/>
        <v>2.3492979172687498</v>
      </c>
      <c r="X42" s="9"/>
      <c r="Y42" s="21">
        <v>0.478821</v>
      </c>
      <c r="Z42" s="21">
        <v>193.22499999999999</v>
      </c>
      <c r="AA42" s="21">
        <v>-5.5502299999999997E-2</v>
      </c>
      <c r="AB42" s="21">
        <v>32</v>
      </c>
      <c r="AC42" s="21">
        <v>0.47753899999999999</v>
      </c>
      <c r="AD42">
        <f t="shared" si="4"/>
        <v>34.688937499999994</v>
      </c>
      <c r="AE42">
        <f t="shared" si="5"/>
        <v>16.609791742687499</v>
      </c>
      <c r="AF42" s="9"/>
      <c r="AG42" s="21">
        <v>6.1187699999999998E-2</v>
      </c>
      <c r="AH42" s="21">
        <v>250.001</v>
      </c>
      <c r="AI42" s="21">
        <v>-6.1248799999999999E-2</v>
      </c>
      <c r="AJ42" s="21">
        <v>32</v>
      </c>
      <c r="AK42" s="21">
        <v>6.0852099999999999E-2</v>
      </c>
      <c r="AL42">
        <f t="shared" si="6"/>
        <v>38.280499999999996</v>
      </c>
      <c r="AM42">
        <f t="shared" si="7"/>
        <v>2.3422957498499999</v>
      </c>
      <c r="AP42" s="9"/>
      <c r="AQ42" s="21">
        <v>0.478821</v>
      </c>
      <c r="AR42" s="21">
        <v>299.13799999999998</v>
      </c>
      <c r="AS42" s="21">
        <v>-5.5459599999999998E-2</v>
      </c>
      <c r="AT42" s="21">
        <v>32</v>
      </c>
      <c r="AU42" s="21">
        <v>0.47750900000000002</v>
      </c>
      <c r="AV42">
        <f t="shared" si="8"/>
        <v>34.66225</v>
      </c>
      <c r="AW42">
        <f t="shared" si="9"/>
        <v>16.597013207250001</v>
      </c>
      <c r="AX42" s="9"/>
      <c r="AY42" s="21">
        <v>6.1187699999999998E-2</v>
      </c>
      <c r="AZ42" s="21">
        <v>336.31099999999998</v>
      </c>
      <c r="BA42" s="21">
        <v>-6.1401400000000002E-2</v>
      </c>
      <c r="BB42" s="21">
        <v>32</v>
      </c>
      <c r="BC42" s="21">
        <v>6.0821500000000001E-2</v>
      </c>
      <c r="BD42">
        <f t="shared" si="10"/>
        <v>38.375874999999994</v>
      </c>
      <c r="BE42">
        <f t="shared" si="11"/>
        <v>2.3481315267374994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0.47378500000000001</v>
      </c>
      <c r="H43" s="21">
        <v>106.452</v>
      </c>
      <c r="I43" s="21">
        <v>-5.5822799999999999E-2</v>
      </c>
      <c r="J43" s="21">
        <v>33</v>
      </c>
      <c r="K43" s="21">
        <v>0.47247299999999998</v>
      </c>
      <c r="L43">
        <f t="shared" si="0"/>
        <v>34.889249999999997</v>
      </c>
      <c r="M43">
        <f t="shared" si="1"/>
        <v>16.530003311249999</v>
      </c>
      <c r="N43" s="9"/>
      <c r="O43" s="21">
        <v>6.6223099999999993E-2</v>
      </c>
      <c r="P43" s="21">
        <v>158.95400000000001</v>
      </c>
      <c r="Q43" s="21">
        <v>-6.1401400000000002E-2</v>
      </c>
      <c r="R43" s="21">
        <v>33</v>
      </c>
      <c r="S43" s="21">
        <v>6.5948499999999993E-2</v>
      </c>
      <c r="T43">
        <f t="shared" si="2"/>
        <v>38.375874999999994</v>
      </c>
      <c r="U43">
        <f t="shared" si="3"/>
        <v>2.5413694077124993</v>
      </c>
      <c r="X43" s="9"/>
      <c r="Y43" s="21">
        <v>0.47378500000000001</v>
      </c>
      <c r="Z43" s="21">
        <v>193.32499999999999</v>
      </c>
      <c r="AA43" s="21">
        <v>-5.5786099999999998E-2</v>
      </c>
      <c r="AB43" s="21">
        <v>33</v>
      </c>
      <c r="AC43" s="21">
        <v>0.472443</v>
      </c>
      <c r="AD43">
        <f t="shared" si="4"/>
        <v>34.866312499999999</v>
      </c>
      <c r="AE43">
        <f t="shared" si="5"/>
        <v>16.519135867812501</v>
      </c>
      <c r="AF43" s="9"/>
      <c r="AG43" s="21">
        <v>6.6223099999999993E-2</v>
      </c>
      <c r="AH43" s="21">
        <v>250.101</v>
      </c>
      <c r="AI43" s="21">
        <v>-6.1309799999999998E-2</v>
      </c>
      <c r="AJ43" s="21">
        <v>33</v>
      </c>
      <c r="AK43" s="21">
        <v>6.5856899999999996E-2</v>
      </c>
      <c r="AL43">
        <f t="shared" si="6"/>
        <v>38.318624999999997</v>
      </c>
      <c r="AM43">
        <f t="shared" si="7"/>
        <v>2.5375781352374998</v>
      </c>
      <c r="AP43" s="9"/>
      <c r="AQ43" s="21">
        <v>0.47378500000000001</v>
      </c>
      <c r="AR43" s="21">
        <v>299.23899999999998</v>
      </c>
      <c r="AS43" s="21">
        <v>-5.5740400000000002E-2</v>
      </c>
      <c r="AT43" s="21">
        <v>33</v>
      </c>
      <c r="AU43" s="21">
        <v>0.47247299999999998</v>
      </c>
      <c r="AV43">
        <f t="shared" si="8"/>
        <v>34.83775</v>
      </c>
      <c r="AW43">
        <f t="shared" si="9"/>
        <v>16.50560338375</v>
      </c>
      <c r="AX43" s="9"/>
      <c r="AY43" s="21">
        <v>6.6223099999999993E-2</v>
      </c>
      <c r="AZ43" s="21">
        <v>336.41199999999998</v>
      </c>
      <c r="BA43" s="21">
        <v>-6.1370800000000003E-2</v>
      </c>
      <c r="BB43" s="21">
        <v>33</v>
      </c>
      <c r="BC43" s="21">
        <v>6.5887500000000002E-2</v>
      </c>
      <c r="BD43">
        <f t="shared" si="10"/>
        <v>38.356750000000005</v>
      </c>
      <c r="BE43">
        <f t="shared" si="11"/>
        <v>2.5401028909250001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0.46875</v>
      </c>
      <c r="H44" s="21">
        <v>106.553</v>
      </c>
      <c r="I44" s="21">
        <v>-5.6082199999999999E-2</v>
      </c>
      <c r="J44" s="21">
        <v>34</v>
      </c>
      <c r="K44" s="21">
        <v>0.46746799999999999</v>
      </c>
      <c r="L44">
        <f t="shared" si="0"/>
        <v>35.051374999999993</v>
      </c>
      <c r="M44">
        <f t="shared" si="1"/>
        <v>16.430332031249996</v>
      </c>
      <c r="N44" s="9"/>
      <c r="O44" s="21">
        <v>7.1258500000000002E-2</v>
      </c>
      <c r="P44" s="21">
        <v>159.05500000000001</v>
      </c>
      <c r="Q44" s="21">
        <v>-6.1370800000000003E-2</v>
      </c>
      <c r="R44" s="21">
        <v>34</v>
      </c>
      <c r="S44" s="21">
        <v>7.0892300000000005E-2</v>
      </c>
      <c r="T44">
        <f t="shared" si="2"/>
        <v>38.356750000000005</v>
      </c>
      <c r="U44">
        <f t="shared" si="3"/>
        <v>2.7332444698750002</v>
      </c>
      <c r="X44" s="9"/>
      <c r="Y44" s="21">
        <v>0.46875</v>
      </c>
      <c r="Z44" s="21">
        <v>193.42599999999999</v>
      </c>
      <c r="AA44" s="21">
        <v>-5.60089E-2</v>
      </c>
      <c r="AB44" s="21">
        <v>34</v>
      </c>
      <c r="AC44" s="21">
        <v>0.46740700000000002</v>
      </c>
      <c r="AD44">
        <f t="shared" si="4"/>
        <v>35.005562499999996</v>
      </c>
      <c r="AE44">
        <f t="shared" si="5"/>
        <v>16.408857421874998</v>
      </c>
      <c r="AF44" s="9"/>
      <c r="AG44" s="21">
        <v>7.1258500000000002E-2</v>
      </c>
      <c r="AH44" s="21">
        <v>250.202</v>
      </c>
      <c r="AI44" s="21">
        <v>-6.1279300000000002E-2</v>
      </c>
      <c r="AJ44" s="21">
        <v>34</v>
      </c>
      <c r="AK44" s="21">
        <v>7.0892300000000005E-2</v>
      </c>
      <c r="AL44">
        <f t="shared" si="6"/>
        <v>38.2995625</v>
      </c>
      <c r="AM44">
        <f t="shared" si="7"/>
        <v>2.7291693744062502</v>
      </c>
      <c r="AP44" s="9"/>
      <c r="AQ44" s="21">
        <v>0.46875</v>
      </c>
      <c r="AR44" s="21">
        <v>299.33999999999997</v>
      </c>
      <c r="AS44" s="21">
        <v>-5.5944800000000003E-2</v>
      </c>
      <c r="AT44" s="21">
        <v>34</v>
      </c>
      <c r="AU44" s="21">
        <v>0.46743800000000002</v>
      </c>
      <c r="AV44">
        <f t="shared" si="8"/>
        <v>34.965499999999999</v>
      </c>
      <c r="AW44">
        <f t="shared" si="9"/>
        <v>16.390078124999999</v>
      </c>
      <c r="AX44" s="9"/>
      <c r="AY44" s="21">
        <v>7.1258500000000002E-2</v>
      </c>
      <c r="AZ44" s="21">
        <v>336.512</v>
      </c>
      <c r="BA44" s="21">
        <v>-6.1309799999999998E-2</v>
      </c>
      <c r="BB44" s="21">
        <v>34</v>
      </c>
      <c r="BC44" s="21">
        <v>7.0922899999999997E-2</v>
      </c>
      <c r="BD44">
        <f t="shared" si="10"/>
        <v>38.318624999999997</v>
      </c>
      <c r="BE44">
        <f t="shared" si="11"/>
        <v>2.7305277395625001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0.46371499999999999</v>
      </c>
      <c r="H45" s="21">
        <v>106.654</v>
      </c>
      <c r="I45" s="21">
        <v>-5.6347700000000001E-2</v>
      </c>
      <c r="J45" s="21">
        <v>35</v>
      </c>
      <c r="K45" s="21">
        <v>0.46240199999999998</v>
      </c>
      <c r="L45">
        <f t="shared" si="0"/>
        <v>35.217312499999998</v>
      </c>
      <c r="M45">
        <f t="shared" si="1"/>
        <v>16.330796065937498</v>
      </c>
      <c r="N45" s="9"/>
      <c r="O45" s="21">
        <v>7.6293899999999998E-2</v>
      </c>
      <c r="P45" s="21">
        <v>159.155</v>
      </c>
      <c r="Q45" s="21">
        <v>-6.13403E-2</v>
      </c>
      <c r="R45" s="21">
        <v>35</v>
      </c>
      <c r="S45" s="21">
        <v>7.5988799999999995E-2</v>
      </c>
      <c r="T45">
        <f t="shared" si="2"/>
        <v>38.337687499999994</v>
      </c>
      <c r="U45">
        <f t="shared" si="3"/>
        <v>2.9249316963562495</v>
      </c>
      <c r="X45" s="9"/>
      <c r="Y45" s="21">
        <v>0.46371499999999999</v>
      </c>
      <c r="Z45" s="21">
        <v>193.52699999999999</v>
      </c>
      <c r="AA45" s="21">
        <v>-5.6185899999999997E-2</v>
      </c>
      <c r="AB45" s="21">
        <v>35</v>
      </c>
      <c r="AC45" s="21">
        <v>0.46237200000000001</v>
      </c>
      <c r="AD45">
        <f t="shared" si="4"/>
        <v>35.116187499999995</v>
      </c>
      <c r="AE45">
        <f t="shared" si="5"/>
        <v>16.283902886562498</v>
      </c>
      <c r="AF45" s="9"/>
      <c r="AG45" s="21">
        <v>7.6293899999999998E-2</v>
      </c>
      <c r="AH45" s="21">
        <v>250.303</v>
      </c>
      <c r="AI45" s="21">
        <v>-6.1279300000000002E-2</v>
      </c>
      <c r="AJ45" s="21">
        <v>35</v>
      </c>
      <c r="AK45" s="21">
        <v>7.5927700000000001E-2</v>
      </c>
      <c r="AL45">
        <f t="shared" si="6"/>
        <v>38.2995625</v>
      </c>
      <c r="AM45">
        <f t="shared" si="7"/>
        <v>2.9220229914187499</v>
      </c>
      <c r="AP45" s="9"/>
      <c r="AQ45" s="21">
        <v>0.46371499999999999</v>
      </c>
      <c r="AR45" s="21">
        <v>299.44</v>
      </c>
      <c r="AS45" s="21">
        <v>-5.6225600000000001E-2</v>
      </c>
      <c r="AT45" s="21">
        <v>35</v>
      </c>
      <c r="AU45" s="21">
        <v>0.46240199999999998</v>
      </c>
      <c r="AV45">
        <f t="shared" si="8"/>
        <v>35.140999999999998</v>
      </c>
      <c r="AW45">
        <f t="shared" si="9"/>
        <v>16.295408814999998</v>
      </c>
      <c r="AX45" s="9"/>
      <c r="AY45" s="21">
        <v>7.6293899999999998E-2</v>
      </c>
      <c r="AZ45" s="21">
        <v>336.613</v>
      </c>
      <c r="BA45" s="21">
        <v>-6.13403E-2</v>
      </c>
      <c r="BB45" s="21">
        <v>35</v>
      </c>
      <c r="BC45" s="21">
        <v>7.5927700000000001E-2</v>
      </c>
      <c r="BD45">
        <f t="shared" si="10"/>
        <v>38.337687499999994</v>
      </c>
      <c r="BE45">
        <f t="shared" si="11"/>
        <v>2.9249316963562495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0.458679</v>
      </c>
      <c r="H46" s="21">
        <v>106.754</v>
      </c>
      <c r="I46" s="21">
        <v>-5.6503299999999999E-2</v>
      </c>
      <c r="J46" s="21">
        <v>36</v>
      </c>
      <c r="K46" s="21">
        <v>0.457428</v>
      </c>
      <c r="L46">
        <f t="shared" si="0"/>
        <v>35.314562500000001</v>
      </c>
      <c r="M46">
        <f t="shared" si="1"/>
        <v>16.198048212937501</v>
      </c>
      <c r="N46" s="9"/>
      <c r="O46" s="21">
        <v>8.1329299999999993E-2</v>
      </c>
      <c r="P46" s="21">
        <v>159.256</v>
      </c>
      <c r="Q46" s="21">
        <v>-6.1309799999999998E-2</v>
      </c>
      <c r="R46" s="21">
        <v>36</v>
      </c>
      <c r="S46" s="21">
        <v>8.0993700000000002E-2</v>
      </c>
      <c r="T46">
        <f t="shared" si="2"/>
        <v>38.318624999999997</v>
      </c>
      <c r="U46">
        <f t="shared" si="3"/>
        <v>3.1164269482124993</v>
      </c>
      <c r="X46" s="9"/>
      <c r="Y46" s="21">
        <v>0.458679</v>
      </c>
      <c r="Z46" s="21">
        <v>193.62799999999999</v>
      </c>
      <c r="AA46" s="21">
        <v>-5.6396500000000002E-2</v>
      </c>
      <c r="AB46" s="21">
        <v>36</v>
      </c>
      <c r="AC46" s="21">
        <v>0.45733600000000002</v>
      </c>
      <c r="AD46">
        <f t="shared" si="4"/>
        <v>35.247812499999995</v>
      </c>
      <c r="AE46">
        <f t="shared" si="5"/>
        <v>16.167431389687497</v>
      </c>
      <c r="AF46" s="9"/>
      <c r="AG46" s="21">
        <v>8.1329299999999993E-2</v>
      </c>
      <c r="AH46" s="21">
        <v>250.40299999999999</v>
      </c>
      <c r="AI46" s="21">
        <v>-6.1279300000000002E-2</v>
      </c>
      <c r="AJ46" s="21">
        <v>36</v>
      </c>
      <c r="AK46" s="21">
        <v>8.0963099999999996E-2</v>
      </c>
      <c r="AL46">
        <f t="shared" si="6"/>
        <v>38.2995625</v>
      </c>
      <c r="AM46">
        <f t="shared" si="7"/>
        <v>3.1148766084312496</v>
      </c>
      <c r="AP46" s="9"/>
      <c r="AQ46" s="21">
        <v>0.458679</v>
      </c>
      <c r="AR46" s="21">
        <v>299.541</v>
      </c>
      <c r="AS46" s="21">
        <v>-5.6350699999999997E-2</v>
      </c>
      <c r="AT46" s="21">
        <v>36</v>
      </c>
      <c r="AU46" s="21">
        <v>0.45730599999999999</v>
      </c>
      <c r="AV46">
        <f t="shared" si="8"/>
        <v>35.219187499999997</v>
      </c>
      <c r="AW46">
        <f t="shared" si="9"/>
        <v>16.154301703312498</v>
      </c>
      <c r="AX46" s="9"/>
      <c r="AY46" s="21">
        <v>8.1329299999999993E-2</v>
      </c>
      <c r="AZ46" s="21">
        <v>336.714</v>
      </c>
      <c r="BA46" s="21">
        <v>-6.1279300000000002E-2</v>
      </c>
      <c r="BB46" s="21">
        <v>36</v>
      </c>
      <c r="BC46" s="21">
        <v>8.0993700000000002E-2</v>
      </c>
      <c r="BD46">
        <f t="shared" si="10"/>
        <v>38.2995625</v>
      </c>
      <c r="BE46">
        <f t="shared" si="11"/>
        <v>3.1148766084312496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0.45364399999999999</v>
      </c>
      <c r="H47" s="21">
        <v>106.855</v>
      </c>
      <c r="I47" s="21">
        <v>-5.6713899999999998E-2</v>
      </c>
      <c r="J47" s="21">
        <v>37</v>
      </c>
      <c r="K47" s="21">
        <v>0.45230100000000001</v>
      </c>
      <c r="L47">
        <f t="shared" si="0"/>
        <v>35.446187499999994</v>
      </c>
      <c r="M47">
        <f t="shared" si="1"/>
        <v>16.079950282249996</v>
      </c>
      <c r="N47" s="9"/>
      <c r="O47" s="21">
        <v>8.6364700000000003E-2</v>
      </c>
      <c r="P47" s="21">
        <v>159.357</v>
      </c>
      <c r="Q47" s="21">
        <v>-6.1279300000000002E-2</v>
      </c>
      <c r="R47" s="21">
        <v>37</v>
      </c>
      <c r="S47" s="21">
        <v>8.5998500000000005E-2</v>
      </c>
      <c r="T47">
        <f t="shared" si="2"/>
        <v>38.2995625</v>
      </c>
      <c r="U47">
        <f t="shared" si="3"/>
        <v>3.3077302254437502</v>
      </c>
      <c r="X47" s="9"/>
      <c r="Y47" s="21">
        <v>0.45364399999999999</v>
      </c>
      <c r="Z47" s="21">
        <v>193.72800000000001</v>
      </c>
      <c r="AA47" s="21">
        <v>-5.65277E-2</v>
      </c>
      <c r="AB47" s="21">
        <v>37</v>
      </c>
      <c r="AC47" s="21">
        <v>0.45236199999999999</v>
      </c>
      <c r="AD47">
        <f t="shared" si="4"/>
        <v>35.329812499999996</v>
      </c>
      <c r="AE47">
        <f t="shared" si="5"/>
        <v>16.027157461749997</v>
      </c>
      <c r="AF47" s="9"/>
      <c r="AG47" s="21">
        <v>8.6364700000000003E-2</v>
      </c>
      <c r="AH47" s="21">
        <v>250.50399999999999</v>
      </c>
      <c r="AI47" s="21">
        <v>-6.1248799999999999E-2</v>
      </c>
      <c r="AJ47" s="21">
        <v>37</v>
      </c>
      <c r="AK47" s="21">
        <v>8.6029099999999997E-2</v>
      </c>
      <c r="AL47">
        <f t="shared" si="6"/>
        <v>38.280499999999996</v>
      </c>
      <c r="AM47">
        <f t="shared" si="7"/>
        <v>3.3060838983499998</v>
      </c>
      <c r="AP47" s="9"/>
      <c r="AQ47" s="21">
        <v>0.45364399999999999</v>
      </c>
      <c r="AR47" s="21">
        <v>299.642</v>
      </c>
      <c r="AS47" s="21">
        <v>-5.6610099999999997E-2</v>
      </c>
      <c r="AT47" s="21">
        <v>37</v>
      </c>
      <c r="AU47" s="21">
        <v>0.45230100000000001</v>
      </c>
      <c r="AV47">
        <f t="shared" si="8"/>
        <v>35.3813125</v>
      </c>
      <c r="AW47">
        <f t="shared" si="9"/>
        <v>16.050520127750001</v>
      </c>
      <c r="AX47" s="9"/>
      <c r="AY47" s="21">
        <v>8.6364700000000003E-2</v>
      </c>
      <c r="AZ47" s="21">
        <v>336.81400000000002</v>
      </c>
      <c r="BA47" s="21">
        <v>-6.1279300000000002E-2</v>
      </c>
      <c r="BB47" s="21">
        <v>37</v>
      </c>
      <c r="BC47" s="21">
        <v>8.6029099999999997E-2</v>
      </c>
      <c r="BD47">
        <f t="shared" si="10"/>
        <v>38.2995625</v>
      </c>
      <c r="BE47">
        <f t="shared" si="11"/>
        <v>3.3077302254437502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0.44860800000000001</v>
      </c>
      <c r="H48" s="21">
        <v>106.956</v>
      </c>
      <c r="I48" s="21">
        <v>-5.6841999999999997E-2</v>
      </c>
      <c r="J48" s="21">
        <v>38</v>
      </c>
      <c r="K48" s="21">
        <v>0.44732699999999997</v>
      </c>
      <c r="L48">
        <f t="shared" si="0"/>
        <v>35.526249999999997</v>
      </c>
      <c r="M48">
        <f t="shared" si="1"/>
        <v>15.937359959999998</v>
      </c>
      <c r="N48" s="9"/>
      <c r="O48" s="21">
        <v>9.1400099999999998E-2</v>
      </c>
      <c r="P48" s="21">
        <v>159.45699999999999</v>
      </c>
      <c r="Q48" s="21">
        <v>-6.1279300000000002E-2</v>
      </c>
      <c r="R48" s="21">
        <v>38</v>
      </c>
      <c r="S48" s="21">
        <v>9.1125499999999998E-2</v>
      </c>
      <c r="T48">
        <f t="shared" si="2"/>
        <v>38.2995625</v>
      </c>
      <c r="U48">
        <f t="shared" si="3"/>
        <v>3.5005838424562499</v>
      </c>
      <c r="X48" s="9"/>
      <c r="Y48" s="21">
        <v>0.44860800000000001</v>
      </c>
      <c r="Z48" s="21">
        <v>193.82900000000001</v>
      </c>
      <c r="AA48" s="21">
        <v>-5.67444E-2</v>
      </c>
      <c r="AB48" s="21">
        <v>38</v>
      </c>
      <c r="AC48" s="21">
        <v>0.447266</v>
      </c>
      <c r="AD48">
        <f t="shared" si="4"/>
        <v>35.465249999999997</v>
      </c>
      <c r="AE48">
        <f t="shared" si="5"/>
        <v>15.909994871999999</v>
      </c>
      <c r="AF48" s="9"/>
      <c r="AG48" s="21">
        <v>9.1400099999999998E-2</v>
      </c>
      <c r="AH48" s="21">
        <v>250.60499999999999</v>
      </c>
      <c r="AI48" s="21">
        <v>-6.1187699999999998E-2</v>
      </c>
      <c r="AJ48" s="21">
        <v>38</v>
      </c>
      <c r="AK48" s="21">
        <v>9.1094999999999995E-2</v>
      </c>
      <c r="AL48">
        <f t="shared" si="6"/>
        <v>38.24231249999999</v>
      </c>
      <c r="AM48">
        <f t="shared" si="7"/>
        <v>3.495351186731249</v>
      </c>
      <c r="AP48" s="9"/>
      <c r="AQ48" s="21">
        <v>0.44860800000000001</v>
      </c>
      <c r="AR48" s="21">
        <v>299.74299999999999</v>
      </c>
      <c r="AS48" s="21">
        <v>-5.6765700000000002E-2</v>
      </c>
      <c r="AT48" s="21">
        <v>38</v>
      </c>
      <c r="AU48" s="21">
        <v>0.44729600000000003</v>
      </c>
      <c r="AV48">
        <f t="shared" si="8"/>
        <v>35.478562499999995</v>
      </c>
      <c r="AW48">
        <f t="shared" si="9"/>
        <v>15.915966965999997</v>
      </c>
      <c r="AX48" s="9"/>
      <c r="AY48" s="21">
        <v>9.1400099999999998E-2</v>
      </c>
      <c r="AZ48" s="21">
        <v>336.91500000000002</v>
      </c>
      <c r="BA48" s="21">
        <v>-6.1248799999999999E-2</v>
      </c>
      <c r="BB48" s="21">
        <v>38</v>
      </c>
      <c r="BC48" s="21">
        <v>9.1064500000000007E-2</v>
      </c>
      <c r="BD48">
        <f t="shared" si="10"/>
        <v>38.280499999999996</v>
      </c>
      <c r="BE48">
        <f t="shared" si="11"/>
        <v>3.4988415280499998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0.443573</v>
      </c>
      <c r="H49" s="21">
        <v>107.056</v>
      </c>
      <c r="I49" s="21">
        <v>-5.7049599999999999E-2</v>
      </c>
      <c r="J49" s="21">
        <v>39</v>
      </c>
      <c r="K49" s="21">
        <v>0.44219999999999998</v>
      </c>
      <c r="L49">
        <f t="shared" si="0"/>
        <v>35.655999999999999</v>
      </c>
      <c r="M49">
        <f t="shared" si="1"/>
        <v>15.816038888</v>
      </c>
      <c r="N49" s="9"/>
      <c r="O49" s="21">
        <v>9.6435499999999993E-2</v>
      </c>
      <c r="P49" s="21">
        <v>159.55799999999999</v>
      </c>
      <c r="Q49" s="21">
        <v>-6.1279300000000002E-2</v>
      </c>
      <c r="R49" s="21">
        <v>39</v>
      </c>
      <c r="S49" s="21">
        <v>9.6038799999999994E-2</v>
      </c>
      <c r="T49">
        <f t="shared" si="2"/>
        <v>38.2995625</v>
      </c>
      <c r="U49">
        <f t="shared" si="3"/>
        <v>3.6934374594687496</v>
      </c>
      <c r="X49" s="9"/>
      <c r="Y49" s="21">
        <v>0.443573</v>
      </c>
      <c r="Z49" s="21">
        <v>193.93</v>
      </c>
      <c r="AA49" s="21">
        <v>-5.6899999999999999E-2</v>
      </c>
      <c r="AB49" s="21">
        <v>39</v>
      </c>
      <c r="AC49" s="21">
        <v>0.44229099999999999</v>
      </c>
      <c r="AD49">
        <f t="shared" si="4"/>
        <v>35.5625</v>
      </c>
      <c r="AE49">
        <f t="shared" si="5"/>
        <v>15.7745648125</v>
      </c>
      <c r="AF49" s="9"/>
      <c r="AG49" s="21">
        <v>9.6435499999999993E-2</v>
      </c>
      <c r="AH49" s="21">
        <v>250.70599999999999</v>
      </c>
      <c r="AI49" s="21">
        <v>-6.1157200000000002E-2</v>
      </c>
      <c r="AJ49" s="21">
        <v>39</v>
      </c>
      <c r="AK49" s="21">
        <v>9.6099900000000002E-2</v>
      </c>
      <c r="AL49">
        <f t="shared" si="6"/>
        <v>38.22325</v>
      </c>
      <c r="AM49">
        <f t="shared" si="7"/>
        <v>3.6860782253749997</v>
      </c>
      <c r="AP49" s="9"/>
      <c r="AQ49" s="21">
        <v>0.443573</v>
      </c>
      <c r="AR49" s="21">
        <v>299.84300000000002</v>
      </c>
      <c r="AS49" s="21">
        <v>-5.7009900000000002E-2</v>
      </c>
      <c r="AT49" s="21">
        <v>39</v>
      </c>
      <c r="AU49" s="21">
        <v>0.44232199999999999</v>
      </c>
      <c r="AV49">
        <f t="shared" si="8"/>
        <v>35.631187500000003</v>
      </c>
      <c r="AW49">
        <f t="shared" si="9"/>
        <v>15.805032732937502</v>
      </c>
      <c r="AX49" s="9"/>
      <c r="AY49" s="21">
        <v>9.6435499999999993E-2</v>
      </c>
      <c r="AZ49" s="21">
        <v>337.01600000000002</v>
      </c>
      <c r="BA49" s="21">
        <v>-6.1248799999999999E-2</v>
      </c>
      <c r="BB49" s="21">
        <v>39</v>
      </c>
      <c r="BC49" s="21">
        <v>9.6099900000000002E-2</v>
      </c>
      <c r="BD49">
        <f t="shared" si="10"/>
        <v>38.280499999999996</v>
      </c>
      <c r="BE49">
        <f t="shared" si="11"/>
        <v>3.6915991577499994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0.43853799999999998</v>
      </c>
      <c r="H50" s="21">
        <v>107.157</v>
      </c>
      <c r="I50" s="21">
        <v>-5.7226600000000002E-2</v>
      </c>
      <c r="J50" s="21">
        <v>40</v>
      </c>
      <c r="K50" s="21">
        <v>0.43722499999999997</v>
      </c>
      <c r="L50">
        <f t="shared" si="0"/>
        <v>35.766624999999998</v>
      </c>
      <c r="M50">
        <f t="shared" si="1"/>
        <v>15.685024194249998</v>
      </c>
      <c r="N50" s="9"/>
      <c r="O50" s="21">
        <v>0.10147100000000001</v>
      </c>
      <c r="P50" s="21">
        <v>159.65899999999999</v>
      </c>
      <c r="Q50" s="21">
        <v>-6.1248799999999999E-2</v>
      </c>
      <c r="R50" s="21">
        <v>40</v>
      </c>
      <c r="S50" s="21">
        <v>0.10116600000000001</v>
      </c>
      <c r="T50">
        <f t="shared" si="2"/>
        <v>38.280499999999996</v>
      </c>
      <c r="U50">
        <f t="shared" si="3"/>
        <v>3.8843606154999999</v>
      </c>
      <c r="X50" s="9"/>
      <c r="Y50" s="21">
        <v>0.43853799999999998</v>
      </c>
      <c r="Z50" s="21">
        <v>194.03</v>
      </c>
      <c r="AA50" s="21">
        <v>-5.7107499999999999E-2</v>
      </c>
      <c r="AB50" s="21">
        <v>40</v>
      </c>
      <c r="AC50" s="21">
        <v>0.437195</v>
      </c>
      <c r="AD50">
        <f t="shared" si="4"/>
        <v>35.692187500000003</v>
      </c>
      <c r="AE50">
        <f t="shared" si="5"/>
        <v>15.652380521875001</v>
      </c>
      <c r="AF50" s="9"/>
      <c r="AG50" s="21">
        <v>0.10147100000000001</v>
      </c>
      <c r="AH50" s="21">
        <v>250.80600000000001</v>
      </c>
      <c r="AI50" s="21">
        <v>-6.1187699999999998E-2</v>
      </c>
      <c r="AJ50" s="21">
        <v>40</v>
      </c>
      <c r="AK50" s="21">
        <v>0.101135</v>
      </c>
      <c r="AL50">
        <f t="shared" si="6"/>
        <v>38.24231249999999</v>
      </c>
      <c r="AM50">
        <f t="shared" si="7"/>
        <v>3.880485691687499</v>
      </c>
      <c r="AP50" s="9"/>
      <c r="AQ50" s="21">
        <v>0.43853799999999998</v>
      </c>
      <c r="AR50" s="21">
        <v>299.94400000000002</v>
      </c>
      <c r="AS50" s="21">
        <v>-5.7128900000000003E-2</v>
      </c>
      <c r="AT50" s="21">
        <v>40</v>
      </c>
      <c r="AU50" s="21">
        <v>0.437195</v>
      </c>
      <c r="AV50">
        <f t="shared" si="8"/>
        <v>35.705562500000006</v>
      </c>
      <c r="AW50">
        <f t="shared" si="9"/>
        <v>15.658245967625001</v>
      </c>
      <c r="AX50" s="9"/>
      <c r="AY50" s="21">
        <v>0.10147100000000001</v>
      </c>
      <c r="AZ50" s="21">
        <v>337.11700000000002</v>
      </c>
      <c r="BA50" s="21">
        <v>-6.1218300000000003E-2</v>
      </c>
      <c r="BB50" s="21">
        <v>40</v>
      </c>
      <c r="BC50" s="21">
        <v>0.10104399999999999</v>
      </c>
      <c r="BD50">
        <f t="shared" si="10"/>
        <v>38.2614375</v>
      </c>
      <c r="BE50">
        <f t="shared" si="11"/>
        <v>3.8824263245625001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0.433502</v>
      </c>
      <c r="H51" s="21">
        <v>107.258</v>
      </c>
      <c r="I51" s="21">
        <v>-5.7354700000000002E-2</v>
      </c>
      <c r="J51" s="21">
        <v>41</v>
      </c>
      <c r="K51" s="21">
        <v>0.43219000000000002</v>
      </c>
      <c r="L51">
        <f t="shared" si="0"/>
        <v>35.846687500000002</v>
      </c>
      <c r="M51">
        <f t="shared" si="1"/>
        <v>15.539610724625001</v>
      </c>
      <c r="N51" s="9"/>
      <c r="O51" s="21">
        <v>0.106506</v>
      </c>
      <c r="P51" s="21">
        <v>159.76</v>
      </c>
      <c r="Q51" s="21">
        <v>-6.1218300000000003E-2</v>
      </c>
      <c r="R51" s="21">
        <v>41</v>
      </c>
      <c r="S51" s="21">
        <v>0.10611</v>
      </c>
      <c r="T51">
        <f t="shared" si="2"/>
        <v>38.2614375</v>
      </c>
      <c r="U51">
        <f t="shared" si="3"/>
        <v>4.0750726623749998</v>
      </c>
      <c r="X51" s="9"/>
      <c r="Y51" s="21">
        <v>0.433502</v>
      </c>
      <c r="Z51" s="21">
        <v>194.131</v>
      </c>
      <c r="AA51" s="21">
        <v>-5.7226600000000002E-2</v>
      </c>
      <c r="AB51" s="21">
        <v>41</v>
      </c>
      <c r="AC51" s="21">
        <v>0.43228100000000003</v>
      </c>
      <c r="AD51">
        <f t="shared" si="4"/>
        <v>35.766624999999998</v>
      </c>
      <c r="AE51">
        <f t="shared" si="5"/>
        <v>15.50490347075</v>
      </c>
      <c r="AF51" s="9"/>
      <c r="AG51" s="21">
        <v>0.106506</v>
      </c>
      <c r="AH51" s="21">
        <v>250.90700000000001</v>
      </c>
      <c r="AI51" s="21">
        <v>-6.1187699999999998E-2</v>
      </c>
      <c r="AJ51" s="21">
        <v>41</v>
      </c>
      <c r="AK51" s="21">
        <v>0.10607900000000001</v>
      </c>
      <c r="AL51">
        <f t="shared" si="6"/>
        <v>38.24231249999999</v>
      </c>
      <c r="AM51">
        <f t="shared" si="7"/>
        <v>4.0730357351249991</v>
      </c>
      <c r="AP51" s="9"/>
      <c r="AQ51" s="21">
        <v>0.433502</v>
      </c>
      <c r="AR51" s="21">
        <v>300.04500000000002</v>
      </c>
      <c r="AS51" s="21">
        <v>-5.7247899999999997E-2</v>
      </c>
      <c r="AT51" s="21">
        <v>41</v>
      </c>
      <c r="AU51" s="21">
        <v>0.43219000000000002</v>
      </c>
      <c r="AV51">
        <f t="shared" si="8"/>
        <v>35.779937499999996</v>
      </c>
      <c r="AW51">
        <f t="shared" si="9"/>
        <v>15.510674466124998</v>
      </c>
      <c r="AX51" s="9"/>
      <c r="AY51" s="21">
        <v>0.106506</v>
      </c>
      <c r="AZ51" s="21">
        <v>337.21699999999998</v>
      </c>
      <c r="BA51" s="21">
        <v>-6.1279300000000002E-2</v>
      </c>
      <c r="BB51" s="21">
        <v>41</v>
      </c>
      <c r="BC51" s="21">
        <v>0.106171</v>
      </c>
      <c r="BD51">
        <f t="shared" si="10"/>
        <v>38.2995625</v>
      </c>
      <c r="BE51">
        <f t="shared" si="11"/>
        <v>4.0791332036250001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0.42846699999999999</v>
      </c>
      <c r="H52" s="21">
        <v>107.35899999999999</v>
      </c>
      <c r="I52" s="21">
        <v>-5.7473799999999999E-2</v>
      </c>
      <c r="J52" s="21">
        <v>42</v>
      </c>
      <c r="K52" s="21">
        <v>0.42715500000000001</v>
      </c>
      <c r="L52">
        <f t="shared" si="0"/>
        <v>35.921124999999996</v>
      </c>
      <c r="M52">
        <f t="shared" si="1"/>
        <v>15.391016665374998</v>
      </c>
      <c r="N52" s="9"/>
      <c r="O52" s="21">
        <v>0.111542</v>
      </c>
      <c r="P52" s="21">
        <v>159.86000000000001</v>
      </c>
      <c r="Q52" s="21">
        <v>-6.1248799999999999E-2</v>
      </c>
      <c r="R52" s="21">
        <v>42</v>
      </c>
      <c r="S52" s="21">
        <v>0.111176</v>
      </c>
      <c r="T52">
        <f t="shared" si="2"/>
        <v>38.280499999999996</v>
      </c>
      <c r="U52">
        <f t="shared" si="3"/>
        <v>4.2698835309999996</v>
      </c>
      <c r="X52" s="9"/>
      <c r="Y52" s="21">
        <v>0.42846699999999999</v>
      </c>
      <c r="Z52" s="21">
        <v>194.232</v>
      </c>
      <c r="AA52" s="21">
        <v>-5.7351699999999999E-2</v>
      </c>
      <c r="AB52" s="21">
        <v>42</v>
      </c>
      <c r="AC52" s="21">
        <v>0.42706300000000003</v>
      </c>
      <c r="AD52">
        <f t="shared" si="4"/>
        <v>35.844812499999996</v>
      </c>
      <c r="AE52">
        <f t="shared" si="5"/>
        <v>15.358319277437499</v>
      </c>
      <c r="AF52" s="9"/>
      <c r="AG52" s="21">
        <v>0.111542</v>
      </c>
      <c r="AH52" s="21">
        <v>251.00800000000001</v>
      </c>
      <c r="AI52" s="21">
        <v>-6.1187699999999998E-2</v>
      </c>
      <c r="AJ52" s="21">
        <v>42</v>
      </c>
      <c r="AK52" s="21">
        <v>0.111206</v>
      </c>
      <c r="AL52">
        <f t="shared" si="6"/>
        <v>38.24231249999999</v>
      </c>
      <c r="AM52">
        <f t="shared" si="7"/>
        <v>4.2656240208749994</v>
      </c>
      <c r="AP52" s="9"/>
      <c r="AQ52" s="21">
        <v>0.42846699999999999</v>
      </c>
      <c r="AR52" s="21">
        <v>300.14499999999998</v>
      </c>
      <c r="AS52" s="21">
        <v>-5.7415800000000003E-2</v>
      </c>
      <c r="AT52" s="21">
        <v>42</v>
      </c>
      <c r="AU52" s="21">
        <v>0.42715500000000001</v>
      </c>
      <c r="AV52">
        <f t="shared" si="8"/>
        <v>35.884874999999994</v>
      </c>
      <c r="AW52">
        <f t="shared" si="9"/>
        <v>15.375484736624998</v>
      </c>
      <c r="AX52" s="9"/>
      <c r="AY52" s="21">
        <v>0.111542</v>
      </c>
      <c r="AZ52" s="21">
        <v>337.31799999999998</v>
      </c>
      <c r="BA52" s="21">
        <v>-6.1309799999999998E-2</v>
      </c>
      <c r="BB52" s="21">
        <v>42</v>
      </c>
      <c r="BC52" s="21">
        <v>0.111267</v>
      </c>
      <c r="BD52">
        <f t="shared" si="10"/>
        <v>38.318624999999997</v>
      </c>
      <c r="BE52">
        <f t="shared" si="11"/>
        <v>4.2741360697499999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0.423431</v>
      </c>
      <c r="H53" s="21">
        <v>107.459</v>
      </c>
      <c r="I53" s="21">
        <v>-5.76599E-2</v>
      </c>
      <c r="J53" s="21">
        <v>43</v>
      </c>
      <c r="K53" s="21">
        <v>0.42211900000000002</v>
      </c>
      <c r="L53">
        <f t="shared" si="0"/>
        <v>36.037437499999996</v>
      </c>
      <c r="M53">
        <f t="shared" si="1"/>
        <v>15.259368198062498</v>
      </c>
      <c r="N53" s="9"/>
      <c r="O53" s="21">
        <v>0.116577</v>
      </c>
      <c r="P53" s="21">
        <v>159.96100000000001</v>
      </c>
      <c r="Q53" s="21">
        <v>-6.1187699999999998E-2</v>
      </c>
      <c r="R53" s="21">
        <v>43</v>
      </c>
      <c r="S53" s="21">
        <v>0.116241</v>
      </c>
      <c r="T53">
        <f t="shared" si="2"/>
        <v>38.24231249999999</v>
      </c>
      <c r="U53">
        <f t="shared" si="3"/>
        <v>4.458174064312499</v>
      </c>
      <c r="X53" s="9"/>
      <c r="Y53" s="21">
        <v>0.423431</v>
      </c>
      <c r="Z53" s="21">
        <v>194.33199999999999</v>
      </c>
      <c r="AA53" s="21">
        <v>-5.7519500000000001E-2</v>
      </c>
      <c r="AB53" s="21">
        <v>43</v>
      </c>
      <c r="AC53" s="21">
        <v>0.42208899999999999</v>
      </c>
      <c r="AD53">
        <f t="shared" si="4"/>
        <v>35.949687500000003</v>
      </c>
      <c r="AE53">
        <f t="shared" si="5"/>
        <v>15.222212127812501</v>
      </c>
      <c r="AF53" s="9"/>
      <c r="AG53" s="21">
        <v>0.116577</v>
      </c>
      <c r="AH53" s="21">
        <v>251.108</v>
      </c>
      <c r="AI53" s="21">
        <v>-6.1157200000000002E-2</v>
      </c>
      <c r="AJ53" s="21">
        <v>43</v>
      </c>
      <c r="AK53" s="21">
        <v>0.11633300000000001</v>
      </c>
      <c r="AL53">
        <f t="shared" si="6"/>
        <v>38.22325</v>
      </c>
      <c r="AM53">
        <f t="shared" si="7"/>
        <v>4.4559518152499997</v>
      </c>
      <c r="AP53" s="9"/>
      <c r="AQ53" s="21">
        <v>0.423431</v>
      </c>
      <c r="AR53" s="21">
        <v>300.24599999999998</v>
      </c>
      <c r="AS53" s="21">
        <v>-5.7556200000000002E-2</v>
      </c>
      <c r="AT53" s="21">
        <v>43</v>
      </c>
      <c r="AU53" s="21">
        <v>0.42208899999999999</v>
      </c>
      <c r="AV53">
        <f t="shared" si="8"/>
        <v>35.972625000000001</v>
      </c>
      <c r="AW53">
        <f t="shared" si="9"/>
        <v>15.231924576375</v>
      </c>
      <c r="AX53" s="9"/>
      <c r="AY53" s="21">
        <v>0.116577</v>
      </c>
      <c r="AZ53" s="21">
        <v>337.41899999999998</v>
      </c>
      <c r="BA53" s="21">
        <v>-6.1248799999999999E-2</v>
      </c>
      <c r="BB53" s="21">
        <v>43</v>
      </c>
      <c r="BC53" s="21">
        <v>0.116241</v>
      </c>
      <c r="BD53">
        <f t="shared" si="10"/>
        <v>38.280499999999996</v>
      </c>
      <c r="BE53">
        <f t="shared" si="11"/>
        <v>4.4626258484999992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0.41839599999999999</v>
      </c>
      <c r="H54" s="21">
        <v>107.56</v>
      </c>
      <c r="I54" s="21">
        <v>-5.7803300000000002E-2</v>
      </c>
      <c r="J54" s="21">
        <v>44</v>
      </c>
      <c r="K54" s="21">
        <v>0.41705300000000001</v>
      </c>
      <c r="L54">
        <f t="shared" si="0"/>
        <v>36.127062500000001</v>
      </c>
      <c r="M54">
        <f t="shared" si="1"/>
        <v>15.11541844175</v>
      </c>
      <c r="N54" s="9"/>
      <c r="O54" s="21">
        <v>0.121613</v>
      </c>
      <c r="P54" s="21">
        <v>160.06200000000001</v>
      </c>
      <c r="Q54" s="21">
        <v>-6.1157200000000002E-2</v>
      </c>
      <c r="R54" s="21">
        <v>44</v>
      </c>
      <c r="S54" s="21">
        <v>0.121307</v>
      </c>
      <c r="T54">
        <f t="shared" si="2"/>
        <v>38.22325</v>
      </c>
      <c r="U54">
        <f t="shared" si="3"/>
        <v>4.64844410225</v>
      </c>
      <c r="X54" s="9"/>
      <c r="Y54" s="21">
        <v>0.41839599999999999</v>
      </c>
      <c r="Z54" s="21">
        <v>194.43299999999999</v>
      </c>
      <c r="AA54" s="21">
        <v>-5.76447E-2</v>
      </c>
      <c r="AB54" s="21">
        <v>44</v>
      </c>
      <c r="AC54" s="21">
        <v>0.41708400000000001</v>
      </c>
      <c r="AD54">
        <f t="shared" si="4"/>
        <v>36.027937499999993</v>
      </c>
      <c r="AE54">
        <f t="shared" si="5"/>
        <v>15.073944938249996</v>
      </c>
      <c r="AF54" s="9"/>
      <c r="AG54" s="21">
        <v>0.121613</v>
      </c>
      <c r="AH54" s="21">
        <v>251.209</v>
      </c>
      <c r="AI54" s="21">
        <v>-6.1218300000000003E-2</v>
      </c>
      <c r="AJ54" s="21">
        <v>44</v>
      </c>
      <c r="AK54" s="21">
        <v>0.121185</v>
      </c>
      <c r="AL54">
        <f t="shared" si="6"/>
        <v>38.2614375</v>
      </c>
      <c r="AM54">
        <f t="shared" si="7"/>
        <v>4.6530881986874997</v>
      </c>
      <c r="AP54" s="9"/>
      <c r="AQ54" s="21">
        <v>0.41839599999999999</v>
      </c>
      <c r="AR54" s="21">
        <v>300.34699999999998</v>
      </c>
      <c r="AS54" s="21">
        <v>-5.7656899999999997E-2</v>
      </c>
      <c r="AT54" s="21">
        <v>44</v>
      </c>
      <c r="AU54" s="21">
        <v>0.41705300000000001</v>
      </c>
      <c r="AV54">
        <f t="shared" si="8"/>
        <v>36.03556249999999</v>
      </c>
      <c r="AW54">
        <f t="shared" si="9"/>
        <v>15.077135207749995</v>
      </c>
      <c r="AX54" s="9"/>
      <c r="AY54" s="21">
        <v>0.121613</v>
      </c>
      <c r="AZ54" s="21">
        <v>337.51900000000001</v>
      </c>
      <c r="BA54" s="21">
        <v>-6.1218300000000003E-2</v>
      </c>
      <c r="BB54" s="21">
        <v>44</v>
      </c>
      <c r="BC54" s="21">
        <v>0.121277</v>
      </c>
      <c r="BD54">
        <f t="shared" si="10"/>
        <v>38.2614375</v>
      </c>
      <c r="BE54">
        <f t="shared" si="11"/>
        <v>4.6530881986874997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0.41336099999999998</v>
      </c>
      <c r="H55" s="21">
        <v>107.661</v>
      </c>
      <c r="I55" s="21">
        <v>-5.7931499999999997E-2</v>
      </c>
      <c r="J55" s="21">
        <v>45</v>
      </c>
      <c r="K55" s="21">
        <v>0.41198699999999999</v>
      </c>
      <c r="L55">
        <f t="shared" si="0"/>
        <v>36.207187499999996</v>
      </c>
      <c r="M55">
        <f t="shared" si="1"/>
        <v>14.966639232187498</v>
      </c>
      <c r="N55" s="9"/>
      <c r="O55" s="21">
        <v>0.12664800000000001</v>
      </c>
      <c r="P55" s="21">
        <v>160.16200000000001</v>
      </c>
      <c r="Q55" s="21">
        <v>-6.1157200000000002E-2</v>
      </c>
      <c r="R55" s="21">
        <v>45</v>
      </c>
      <c r="S55" s="21">
        <v>0.12628200000000001</v>
      </c>
      <c r="T55">
        <f t="shared" si="2"/>
        <v>38.22325</v>
      </c>
      <c r="U55">
        <f t="shared" si="3"/>
        <v>4.8408981660000006</v>
      </c>
      <c r="X55" s="9"/>
      <c r="Y55" s="21">
        <v>0.41336099999999998</v>
      </c>
      <c r="Z55" s="21">
        <v>194.53399999999999</v>
      </c>
      <c r="AA55" s="21">
        <v>-5.7757599999999999E-2</v>
      </c>
      <c r="AB55" s="21">
        <v>45</v>
      </c>
      <c r="AC55" s="21">
        <v>0.41204800000000003</v>
      </c>
      <c r="AD55">
        <f t="shared" si="4"/>
        <v>36.098500000000001</v>
      </c>
      <c r="AE55">
        <f t="shared" si="5"/>
        <v>14.921712058499999</v>
      </c>
      <c r="AF55" s="9"/>
      <c r="AG55" s="21">
        <v>0.12664800000000001</v>
      </c>
      <c r="AH55" s="21">
        <v>251.31</v>
      </c>
      <c r="AI55" s="21">
        <v>-6.1218300000000003E-2</v>
      </c>
      <c r="AJ55" s="21">
        <v>45</v>
      </c>
      <c r="AK55" s="21">
        <v>0.126251</v>
      </c>
      <c r="AL55">
        <f t="shared" si="6"/>
        <v>38.2614375</v>
      </c>
      <c r="AM55">
        <f t="shared" si="7"/>
        <v>4.8457345365000002</v>
      </c>
      <c r="AP55" s="9"/>
      <c r="AQ55" s="21">
        <v>0.41336099999999998</v>
      </c>
      <c r="AR55" s="21">
        <v>300.44799999999998</v>
      </c>
      <c r="AS55" s="21">
        <v>-5.7720899999999999E-2</v>
      </c>
      <c r="AT55" s="21">
        <v>45</v>
      </c>
      <c r="AU55" s="21">
        <v>0.412018</v>
      </c>
      <c r="AV55">
        <f t="shared" si="8"/>
        <v>36.075562499999997</v>
      </c>
      <c r="AW55">
        <f t="shared" si="9"/>
        <v>14.912230590562498</v>
      </c>
      <c r="AX55" s="9"/>
      <c r="AY55" s="21">
        <v>0.12664800000000001</v>
      </c>
      <c r="AZ55" s="21">
        <v>337.62</v>
      </c>
      <c r="BA55" s="21">
        <v>-6.1187699999999998E-2</v>
      </c>
      <c r="BB55" s="21">
        <v>45</v>
      </c>
      <c r="BC55" s="21">
        <v>0.12631200000000001</v>
      </c>
      <c r="BD55">
        <f t="shared" si="10"/>
        <v>38.24231249999999</v>
      </c>
      <c r="BE55">
        <f t="shared" si="11"/>
        <v>4.8433123934999989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0.40832499999999999</v>
      </c>
      <c r="H56" s="21">
        <v>107.761</v>
      </c>
      <c r="I56" s="21">
        <v>-5.7980299999999999E-2</v>
      </c>
      <c r="J56" s="21">
        <v>46</v>
      </c>
      <c r="K56" s="21">
        <v>0.40698200000000001</v>
      </c>
      <c r="L56">
        <f t="shared" si="0"/>
        <v>36.2376875</v>
      </c>
      <c r="M56">
        <f t="shared" si="1"/>
        <v>14.796753748437499</v>
      </c>
      <c r="N56" s="9"/>
      <c r="O56" s="21">
        <v>0.13168299999999999</v>
      </c>
      <c r="P56" s="21">
        <v>160.26300000000001</v>
      </c>
      <c r="Q56" s="21">
        <v>-6.1187699999999998E-2</v>
      </c>
      <c r="R56" s="21">
        <v>46</v>
      </c>
      <c r="S56" s="21">
        <v>0.13134799999999999</v>
      </c>
      <c r="T56">
        <f t="shared" si="2"/>
        <v>38.24231249999999</v>
      </c>
      <c r="U56">
        <f t="shared" si="3"/>
        <v>5.0358624369374985</v>
      </c>
      <c r="X56" s="9"/>
      <c r="Y56" s="21">
        <v>0.40832499999999999</v>
      </c>
      <c r="Z56" s="21">
        <v>194.63499999999999</v>
      </c>
      <c r="AA56" s="21">
        <v>-5.7836899999999997E-2</v>
      </c>
      <c r="AB56" s="21">
        <v>46</v>
      </c>
      <c r="AC56" s="21">
        <v>0.40692099999999998</v>
      </c>
      <c r="AD56">
        <f t="shared" si="4"/>
        <v>36.148062499999995</v>
      </c>
      <c r="AE56">
        <f t="shared" si="5"/>
        <v>14.760157620312498</v>
      </c>
      <c r="AF56" s="9"/>
      <c r="AG56" s="21">
        <v>0.13168299999999999</v>
      </c>
      <c r="AH56" s="21">
        <v>251.411</v>
      </c>
      <c r="AI56" s="21">
        <v>-6.1126699999999999E-2</v>
      </c>
      <c r="AJ56" s="21">
        <v>46</v>
      </c>
      <c r="AK56" s="21">
        <v>0.131409</v>
      </c>
      <c r="AL56">
        <f t="shared" si="6"/>
        <v>38.204187500000003</v>
      </c>
      <c r="AM56">
        <f t="shared" si="7"/>
        <v>5.0308420225625001</v>
      </c>
      <c r="AP56" s="9"/>
      <c r="AQ56" s="21">
        <v>0.40832499999999999</v>
      </c>
      <c r="AR56" s="21">
        <v>300.548</v>
      </c>
      <c r="AS56" s="21">
        <v>-5.7888799999999997E-2</v>
      </c>
      <c r="AT56" s="21">
        <v>46</v>
      </c>
      <c r="AU56" s="21">
        <v>0.40698200000000001</v>
      </c>
      <c r="AV56">
        <f t="shared" si="8"/>
        <v>36.180499999999995</v>
      </c>
      <c r="AW56">
        <f t="shared" si="9"/>
        <v>14.773402662499997</v>
      </c>
      <c r="AX56" s="9"/>
      <c r="AY56" s="21">
        <v>0.13168299999999999</v>
      </c>
      <c r="AZ56" s="21">
        <v>337.721</v>
      </c>
      <c r="BA56" s="21">
        <v>-6.1157200000000002E-2</v>
      </c>
      <c r="BB56" s="21">
        <v>46</v>
      </c>
      <c r="BC56" s="21">
        <v>0.13128699999999999</v>
      </c>
      <c r="BD56">
        <f t="shared" si="10"/>
        <v>38.22325</v>
      </c>
      <c r="BE56">
        <f t="shared" si="11"/>
        <v>5.0333522297500002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0.40328999999999998</v>
      </c>
      <c r="H57" s="21">
        <v>107.86199999999999</v>
      </c>
      <c r="I57" s="21">
        <v>-5.8096299999999997E-2</v>
      </c>
      <c r="J57" s="21">
        <v>47</v>
      </c>
      <c r="K57" s="21">
        <v>0.401947</v>
      </c>
      <c r="L57">
        <f t="shared" si="0"/>
        <v>36.310187499999991</v>
      </c>
      <c r="M57">
        <f t="shared" si="1"/>
        <v>14.643535516874996</v>
      </c>
      <c r="N57" s="9"/>
      <c r="O57" s="21">
        <v>0.13671900000000001</v>
      </c>
      <c r="P57" s="21">
        <v>160.364</v>
      </c>
      <c r="Q57" s="21">
        <v>-6.1126699999999999E-2</v>
      </c>
      <c r="R57" s="21">
        <v>47</v>
      </c>
      <c r="S57" s="21">
        <v>0.136383</v>
      </c>
      <c r="T57">
        <f t="shared" si="2"/>
        <v>38.204187500000003</v>
      </c>
      <c r="U57">
        <f t="shared" si="3"/>
        <v>5.2232383108125005</v>
      </c>
      <c r="X57" s="9"/>
      <c r="Y57" s="21">
        <v>0.40328999999999998</v>
      </c>
      <c r="Z57" s="21">
        <v>194.73500000000001</v>
      </c>
      <c r="AA57" s="21">
        <v>-5.8050499999999998E-2</v>
      </c>
      <c r="AB57" s="21">
        <v>47</v>
      </c>
      <c r="AC57" s="21">
        <v>0.40206900000000001</v>
      </c>
      <c r="AD57">
        <f t="shared" si="4"/>
        <v>36.281562499999993</v>
      </c>
      <c r="AE57">
        <f t="shared" si="5"/>
        <v>14.631991340624996</v>
      </c>
      <c r="AF57" s="9"/>
      <c r="AG57" s="21">
        <v>0.13671900000000001</v>
      </c>
      <c r="AH57" s="21">
        <v>251.511</v>
      </c>
      <c r="AI57" s="21">
        <v>-6.1126699999999999E-2</v>
      </c>
      <c r="AJ57" s="21">
        <v>47</v>
      </c>
      <c r="AK57" s="21">
        <v>0.13644400000000001</v>
      </c>
      <c r="AL57">
        <f t="shared" si="6"/>
        <v>38.204187500000003</v>
      </c>
      <c r="AM57">
        <f t="shared" si="7"/>
        <v>5.2232383108125005</v>
      </c>
      <c r="AP57" s="9"/>
      <c r="AQ57" s="21">
        <v>0.40328999999999998</v>
      </c>
      <c r="AR57" s="21">
        <v>300.649</v>
      </c>
      <c r="AS57" s="21">
        <v>-5.8016999999999999E-2</v>
      </c>
      <c r="AT57" s="21">
        <v>47</v>
      </c>
      <c r="AU57" s="21">
        <v>0.401947</v>
      </c>
      <c r="AV57">
        <f t="shared" si="8"/>
        <v>36.260624999999997</v>
      </c>
      <c r="AW57">
        <f t="shared" si="9"/>
        <v>14.623547456249998</v>
      </c>
      <c r="AX57" s="9"/>
      <c r="AY57" s="21">
        <v>0.13671900000000001</v>
      </c>
      <c r="AZ57" s="21">
        <v>337.82100000000003</v>
      </c>
      <c r="BA57" s="21">
        <v>-6.1096200000000003E-2</v>
      </c>
      <c r="BB57" s="21">
        <v>47</v>
      </c>
      <c r="BC57" s="21">
        <v>0.136353</v>
      </c>
      <c r="BD57">
        <f t="shared" si="10"/>
        <v>38.185124999999999</v>
      </c>
      <c r="BE57">
        <f t="shared" si="11"/>
        <v>5.2206321048750004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0.398254</v>
      </c>
      <c r="H58" s="21">
        <v>107.96299999999999</v>
      </c>
      <c r="I58" s="21">
        <v>-5.8227500000000001E-2</v>
      </c>
      <c r="J58" s="21">
        <v>48</v>
      </c>
      <c r="K58" s="21">
        <v>0.39691199999999999</v>
      </c>
      <c r="L58">
        <f t="shared" si="0"/>
        <v>36.392187499999999</v>
      </c>
      <c r="M58">
        <f t="shared" si="1"/>
        <v>14.493334240625</v>
      </c>
      <c r="N58" s="9"/>
      <c r="O58" s="21">
        <v>0.14175399999999999</v>
      </c>
      <c r="P58" s="21">
        <v>160.465</v>
      </c>
      <c r="Q58" s="21">
        <v>-6.1126699999999999E-2</v>
      </c>
      <c r="R58" s="21">
        <v>48</v>
      </c>
      <c r="S58" s="21">
        <v>0.14132700000000001</v>
      </c>
      <c r="T58">
        <f t="shared" si="2"/>
        <v>38.204187500000003</v>
      </c>
      <c r="U58">
        <f t="shared" si="3"/>
        <v>5.4155963948750001</v>
      </c>
      <c r="X58" s="9"/>
      <c r="Y58" s="21">
        <v>0.398254</v>
      </c>
      <c r="Z58" s="21">
        <v>194.83600000000001</v>
      </c>
      <c r="AA58" s="21">
        <v>-5.8111599999999999E-2</v>
      </c>
      <c r="AB58" s="21">
        <v>48</v>
      </c>
      <c r="AC58" s="21">
        <v>0.39688099999999998</v>
      </c>
      <c r="AD58">
        <f t="shared" si="4"/>
        <v>36.319749999999999</v>
      </c>
      <c r="AE58">
        <f t="shared" si="5"/>
        <v>14.464485716499999</v>
      </c>
      <c r="AF58" s="9"/>
      <c r="AG58" s="21">
        <v>0.14175399999999999</v>
      </c>
      <c r="AH58" s="21">
        <v>251.61199999999999</v>
      </c>
      <c r="AI58" s="21">
        <v>-6.1065700000000001E-2</v>
      </c>
      <c r="AJ58" s="21">
        <v>48</v>
      </c>
      <c r="AK58" s="21">
        <v>0.14151</v>
      </c>
      <c r="AL58">
        <f t="shared" si="6"/>
        <v>38.166062500000002</v>
      </c>
      <c r="AM58">
        <f t="shared" si="7"/>
        <v>5.4101920236250001</v>
      </c>
      <c r="AP58" s="9"/>
      <c r="AQ58" s="21">
        <v>0.398254</v>
      </c>
      <c r="AR58" s="21">
        <v>300.75</v>
      </c>
      <c r="AS58" s="21">
        <v>-5.8154299999999999E-2</v>
      </c>
      <c r="AT58" s="21">
        <v>48</v>
      </c>
      <c r="AU58" s="21">
        <v>0.39685100000000001</v>
      </c>
      <c r="AV58">
        <f t="shared" si="8"/>
        <v>36.346437499999993</v>
      </c>
      <c r="AW58">
        <f t="shared" si="9"/>
        <v>14.475114120124998</v>
      </c>
      <c r="AX58" s="9"/>
      <c r="AY58" s="21">
        <v>0.14175399999999999</v>
      </c>
      <c r="AZ58" s="21">
        <v>337.92200000000003</v>
      </c>
      <c r="BA58" s="21">
        <v>-6.1126699999999999E-2</v>
      </c>
      <c r="BB58" s="21">
        <v>48</v>
      </c>
      <c r="BC58" s="21">
        <v>0.14135700000000001</v>
      </c>
      <c r="BD58">
        <f t="shared" si="10"/>
        <v>38.204187500000003</v>
      </c>
      <c r="BE58">
        <f t="shared" si="11"/>
        <v>5.4155963948750001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0.39321899999999999</v>
      </c>
      <c r="H59" s="21">
        <v>108.063</v>
      </c>
      <c r="I59" s="21">
        <v>-5.8346599999999998E-2</v>
      </c>
      <c r="J59" s="21">
        <v>49</v>
      </c>
      <c r="K59" s="21">
        <v>0.39190700000000001</v>
      </c>
      <c r="L59">
        <f t="shared" si="0"/>
        <v>36.466624999999993</v>
      </c>
      <c r="M59">
        <f t="shared" si="1"/>
        <v>14.339369815874997</v>
      </c>
      <c r="N59" s="9"/>
      <c r="O59" s="21">
        <v>0.14679</v>
      </c>
      <c r="P59" s="21">
        <v>160.565</v>
      </c>
      <c r="Q59" s="21">
        <v>-6.1126699999999999E-2</v>
      </c>
      <c r="R59" s="21">
        <v>49</v>
      </c>
      <c r="S59" s="21">
        <v>0.146454</v>
      </c>
      <c r="T59">
        <f t="shared" si="2"/>
        <v>38.204187500000003</v>
      </c>
      <c r="U59">
        <f t="shared" si="3"/>
        <v>5.6079926831250004</v>
      </c>
      <c r="X59" s="9"/>
      <c r="Y59" s="21">
        <v>0.39321899999999999</v>
      </c>
      <c r="Z59" s="21">
        <v>194.93700000000001</v>
      </c>
      <c r="AA59" s="21">
        <v>-5.8218399999999997E-2</v>
      </c>
      <c r="AB59" s="21">
        <v>49</v>
      </c>
      <c r="AC59" s="21">
        <v>0.39193699999999998</v>
      </c>
      <c r="AD59">
        <f t="shared" si="4"/>
        <v>36.386499999999998</v>
      </c>
      <c r="AE59">
        <f t="shared" si="5"/>
        <v>14.307863143499999</v>
      </c>
      <c r="AF59" s="9"/>
      <c r="AG59" s="21">
        <v>0.14679</v>
      </c>
      <c r="AH59" s="21">
        <v>251.71299999999999</v>
      </c>
      <c r="AI59" s="21">
        <v>-6.1065700000000001E-2</v>
      </c>
      <c r="AJ59" s="21">
        <v>49</v>
      </c>
      <c r="AK59" s="21">
        <v>0.146484</v>
      </c>
      <c r="AL59">
        <f t="shared" si="6"/>
        <v>38.166062500000002</v>
      </c>
      <c r="AM59">
        <f t="shared" si="7"/>
        <v>5.6023963143750004</v>
      </c>
      <c r="AP59" s="9"/>
      <c r="AQ59" s="21">
        <v>0.39321899999999999</v>
      </c>
      <c r="AR59" s="21">
        <v>300.85000000000002</v>
      </c>
      <c r="AS59" s="21">
        <v>-5.8218399999999997E-2</v>
      </c>
      <c r="AT59" s="21">
        <v>49</v>
      </c>
      <c r="AU59" s="21">
        <v>0.391876</v>
      </c>
      <c r="AV59">
        <f t="shared" si="8"/>
        <v>36.386499999999998</v>
      </c>
      <c r="AW59">
        <f t="shared" si="9"/>
        <v>14.307863143499999</v>
      </c>
      <c r="AX59" s="9"/>
      <c r="AY59" s="21">
        <v>0.14679</v>
      </c>
      <c r="AZ59" s="21">
        <v>338.02300000000002</v>
      </c>
      <c r="BA59" s="21">
        <v>-6.1096200000000003E-2</v>
      </c>
      <c r="BB59" s="21">
        <v>49</v>
      </c>
      <c r="BC59" s="21">
        <v>0.14636199999999999</v>
      </c>
      <c r="BD59">
        <f t="shared" si="10"/>
        <v>38.185124999999999</v>
      </c>
      <c r="BE59">
        <f t="shared" si="11"/>
        <v>5.6051944987500004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0.38818399999999997</v>
      </c>
      <c r="H60" s="21">
        <v>108.164</v>
      </c>
      <c r="I60" s="21">
        <v>-5.8374000000000002E-2</v>
      </c>
      <c r="J60" s="21">
        <v>50</v>
      </c>
      <c r="K60" s="21">
        <v>0.38684099999999999</v>
      </c>
      <c r="L60">
        <f t="shared" si="0"/>
        <v>36.483750000000001</v>
      </c>
      <c r="M60">
        <f t="shared" si="1"/>
        <v>14.16240801</v>
      </c>
      <c r="N60" s="9"/>
      <c r="O60" s="21">
        <v>0.15182499999999999</v>
      </c>
      <c r="P60" s="21">
        <v>160.666</v>
      </c>
      <c r="Q60" s="21">
        <v>-6.1126699999999999E-2</v>
      </c>
      <c r="R60" s="21">
        <v>50</v>
      </c>
      <c r="S60" s="21">
        <v>0.151398</v>
      </c>
      <c r="T60">
        <f t="shared" si="2"/>
        <v>38.204187500000003</v>
      </c>
      <c r="U60">
        <f t="shared" si="3"/>
        <v>5.8003507671875001</v>
      </c>
      <c r="X60" s="9"/>
      <c r="Y60" s="21">
        <v>0.38818399999999997</v>
      </c>
      <c r="Z60" s="21">
        <v>195.03700000000001</v>
      </c>
      <c r="AA60" s="21">
        <v>-5.8413699999999999E-2</v>
      </c>
      <c r="AB60" s="21">
        <v>50</v>
      </c>
      <c r="AC60" s="21">
        <v>0.38680999999999999</v>
      </c>
      <c r="AD60">
        <f t="shared" si="4"/>
        <v>36.508562499999996</v>
      </c>
      <c r="AE60">
        <f t="shared" si="5"/>
        <v>14.172039825499997</v>
      </c>
      <c r="AF60" s="9"/>
      <c r="AG60" s="21">
        <v>0.15182499999999999</v>
      </c>
      <c r="AH60" s="21">
        <v>251.81299999999999</v>
      </c>
      <c r="AI60" s="21">
        <v>-6.1035199999999998E-2</v>
      </c>
      <c r="AJ60" s="21">
        <v>50</v>
      </c>
      <c r="AK60" s="21">
        <v>0.15142800000000001</v>
      </c>
      <c r="AL60">
        <f t="shared" si="6"/>
        <v>38.146999999999991</v>
      </c>
      <c r="AM60">
        <f t="shared" si="7"/>
        <v>5.7916682749999984</v>
      </c>
      <c r="AP60" s="9"/>
      <c r="AQ60" s="21">
        <v>0.38818399999999997</v>
      </c>
      <c r="AR60" s="21">
        <v>300.95100000000002</v>
      </c>
      <c r="AS60" s="21">
        <v>-5.8380099999999997E-2</v>
      </c>
      <c r="AT60" s="21">
        <v>50</v>
      </c>
      <c r="AU60" s="21">
        <v>0.38684099999999999</v>
      </c>
      <c r="AV60">
        <f t="shared" si="8"/>
        <v>36.487562499999996</v>
      </c>
      <c r="AW60">
        <f t="shared" si="9"/>
        <v>14.163887961499997</v>
      </c>
      <c r="AX60" s="9"/>
      <c r="AY60" s="21">
        <v>0.15182499999999999</v>
      </c>
      <c r="AZ60" s="21">
        <v>338.12400000000002</v>
      </c>
      <c r="BA60" s="21">
        <v>-6.1065700000000001E-2</v>
      </c>
      <c r="BB60" s="21">
        <v>50</v>
      </c>
      <c r="BC60" s="21">
        <v>0.15145900000000001</v>
      </c>
      <c r="BD60">
        <f t="shared" si="10"/>
        <v>38.166062500000002</v>
      </c>
      <c r="BE60">
        <f t="shared" si="11"/>
        <v>5.7945624390625001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0.38314799999999999</v>
      </c>
      <c r="H61" s="21">
        <v>108.265</v>
      </c>
      <c r="I61" s="21">
        <v>-5.8511399999999998E-2</v>
      </c>
      <c r="J61" s="21">
        <v>51</v>
      </c>
      <c r="K61" s="21">
        <v>0.38183600000000001</v>
      </c>
      <c r="L61">
        <f t="shared" si="0"/>
        <v>36.569624999999995</v>
      </c>
      <c r="M61">
        <f t="shared" si="1"/>
        <v>14.011578679499998</v>
      </c>
      <c r="N61" s="9"/>
      <c r="O61" s="21">
        <v>0.15686</v>
      </c>
      <c r="P61" s="21">
        <v>160.767</v>
      </c>
      <c r="Q61" s="21">
        <v>-6.1096200000000003E-2</v>
      </c>
      <c r="R61" s="21">
        <v>51</v>
      </c>
      <c r="S61" s="21">
        <v>0.15643299999999999</v>
      </c>
      <c r="T61">
        <f t="shared" si="2"/>
        <v>38.185124999999999</v>
      </c>
      <c r="U61">
        <f t="shared" si="3"/>
        <v>5.9897187074999998</v>
      </c>
      <c r="X61" s="9"/>
      <c r="Y61" s="21">
        <v>0.38314799999999999</v>
      </c>
      <c r="Z61" s="21">
        <v>195.13800000000001</v>
      </c>
      <c r="AA61" s="21">
        <v>-5.8474699999999998E-2</v>
      </c>
      <c r="AB61" s="21">
        <v>51</v>
      </c>
      <c r="AC61" s="21">
        <v>0.38189699999999999</v>
      </c>
      <c r="AD61">
        <f t="shared" si="4"/>
        <v>36.546687499999997</v>
      </c>
      <c r="AE61">
        <f t="shared" si="5"/>
        <v>14.002790222249999</v>
      </c>
      <c r="AF61" s="9"/>
      <c r="AG61" s="21">
        <v>0.15686</v>
      </c>
      <c r="AH61" s="21">
        <v>251.91399999999999</v>
      </c>
      <c r="AI61" s="21">
        <v>-6.0974100000000003E-2</v>
      </c>
      <c r="AJ61" s="21">
        <v>51</v>
      </c>
      <c r="AK61" s="21">
        <v>0.15646399999999999</v>
      </c>
      <c r="AL61">
        <f t="shared" si="6"/>
        <v>38.108812499999999</v>
      </c>
      <c r="AM61">
        <f t="shared" si="7"/>
        <v>5.9777483287499997</v>
      </c>
      <c r="AP61" s="9"/>
      <c r="AQ61" s="21">
        <v>0.38314799999999999</v>
      </c>
      <c r="AR61" s="21">
        <v>301.05200000000002</v>
      </c>
      <c r="AS61" s="21">
        <v>-5.8429000000000002E-2</v>
      </c>
      <c r="AT61" s="21">
        <v>51</v>
      </c>
      <c r="AU61" s="21">
        <v>0.38186599999999998</v>
      </c>
      <c r="AV61">
        <f t="shared" si="8"/>
        <v>36.518124999999998</v>
      </c>
      <c r="AW61">
        <f t="shared" si="9"/>
        <v>13.991846557499999</v>
      </c>
      <c r="AX61" s="9"/>
      <c r="AY61" s="21">
        <v>0.15686</v>
      </c>
      <c r="AZ61" s="21">
        <v>338.22399999999999</v>
      </c>
      <c r="BA61" s="21">
        <v>-6.1004599999999999E-2</v>
      </c>
      <c r="BB61" s="21">
        <v>51</v>
      </c>
      <c r="BC61" s="21">
        <v>0.15649399999999999</v>
      </c>
      <c r="BD61">
        <f t="shared" si="10"/>
        <v>38.127874999999996</v>
      </c>
      <c r="BE61">
        <f t="shared" si="11"/>
        <v>5.9807384724999997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0.37811299999999998</v>
      </c>
      <c r="H62" s="21">
        <v>108.366</v>
      </c>
      <c r="I62" s="21">
        <v>-5.8590700000000003E-2</v>
      </c>
      <c r="J62" s="21">
        <v>52</v>
      </c>
      <c r="K62" s="21">
        <v>0.37683100000000003</v>
      </c>
      <c r="L62">
        <f t="shared" si="0"/>
        <v>36.619187499999995</v>
      </c>
      <c r="M62">
        <f t="shared" si="1"/>
        <v>13.846190843187497</v>
      </c>
      <c r="N62" s="9"/>
      <c r="O62" s="21">
        <v>0.16189600000000001</v>
      </c>
      <c r="P62" s="21">
        <v>160.86699999999999</v>
      </c>
      <c r="Q62" s="21">
        <v>-6.1126699999999999E-2</v>
      </c>
      <c r="R62" s="21">
        <v>52</v>
      </c>
      <c r="S62" s="21">
        <v>0.161469</v>
      </c>
      <c r="T62">
        <f t="shared" si="2"/>
        <v>38.204187500000003</v>
      </c>
      <c r="U62">
        <f t="shared" si="3"/>
        <v>6.185105139500001</v>
      </c>
      <c r="X62" s="9"/>
      <c r="Y62" s="21">
        <v>0.37811299999999998</v>
      </c>
      <c r="Z62" s="21">
        <v>195.239</v>
      </c>
      <c r="AA62" s="21">
        <v>-5.8538800000000002E-2</v>
      </c>
      <c r="AB62" s="21">
        <v>52</v>
      </c>
      <c r="AC62" s="21">
        <v>0.37674000000000002</v>
      </c>
      <c r="AD62">
        <f t="shared" si="4"/>
        <v>36.586750000000002</v>
      </c>
      <c r="AE62">
        <f t="shared" si="5"/>
        <v>13.83392580275</v>
      </c>
      <c r="AF62" s="9"/>
      <c r="AG62" s="21">
        <v>0.16189600000000001</v>
      </c>
      <c r="AH62" s="21">
        <v>252.01499999999999</v>
      </c>
      <c r="AI62" s="21">
        <v>-6.1004599999999999E-2</v>
      </c>
      <c r="AJ62" s="21">
        <v>52</v>
      </c>
      <c r="AK62" s="21">
        <v>0.16153000000000001</v>
      </c>
      <c r="AL62">
        <f t="shared" si="6"/>
        <v>38.127874999999996</v>
      </c>
      <c r="AM62">
        <f t="shared" si="7"/>
        <v>6.1727504509999997</v>
      </c>
      <c r="AP62" s="9"/>
      <c r="AQ62" s="21">
        <v>0.37811299999999998</v>
      </c>
      <c r="AR62" s="21">
        <v>301.15300000000002</v>
      </c>
      <c r="AS62" s="21">
        <v>-5.8557100000000001E-2</v>
      </c>
      <c r="AT62" s="21">
        <v>52</v>
      </c>
      <c r="AU62" s="21">
        <v>0.37674000000000002</v>
      </c>
      <c r="AV62">
        <f t="shared" si="8"/>
        <v>36.598187499999995</v>
      </c>
      <c r="AW62">
        <f t="shared" si="9"/>
        <v>13.838250470187496</v>
      </c>
      <c r="AX62" s="9"/>
      <c r="AY62" s="21">
        <v>0.16189600000000001</v>
      </c>
      <c r="AZ62" s="21">
        <v>338.32499999999999</v>
      </c>
      <c r="BA62" s="21">
        <v>-6.1004599999999999E-2</v>
      </c>
      <c r="BB62" s="21">
        <v>52</v>
      </c>
      <c r="BC62" s="21">
        <v>0.161499</v>
      </c>
      <c r="BD62">
        <f t="shared" si="10"/>
        <v>38.127874999999996</v>
      </c>
      <c r="BE62">
        <f t="shared" si="11"/>
        <v>6.1727504509999997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0.37307699999999999</v>
      </c>
      <c r="H63" s="21">
        <v>108.46599999999999</v>
      </c>
      <c r="I63" s="21">
        <v>-5.8694499999999997E-2</v>
      </c>
      <c r="J63" s="21">
        <v>53</v>
      </c>
      <c r="K63" s="21">
        <v>0.37170399999999998</v>
      </c>
      <c r="L63">
        <f t="shared" si="0"/>
        <v>36.684062499999996</v>
      </c>
      <c r="M63">
        <f t="shared" si="1"/>
        <v>13.685979985312498</v>
      </c>
      <c r="N63" s="9"/>
      <c r="O63" s="21">
        <v>0.166931</v>
      </c>
      <c r="P63" s="21">
        <v>160.96799999999999</v>
      </c>
      <c r="Q63" s="21">
        <v>-6.1065700000000001E-2</v>
      </c>
      <c r="R63" s="21">
        <v>53</v>
      </c>
      <c r="S63" s="21">
        <v>0.16656499999999999</v>
      </c>
      <c r="T63">
        <f t="shared" si="2"/>
        <v>38.166062500000002</v>
      </c>
      <c r="U63">
        <f t="shared" si="3"/>
        <v>6.3710989791874999</v>
      </c>
      <c r="X63" s="9"/>
      <c r="Y63" s="21">
        <v>0.37307699999999999</v>
      </c>
      <c r="Z63" s="21">
        <v>195.34</v>
      </c>
      <c r="AA63" s="21">
        <v>-5.8633400000000002E-2</v>
      </c>
      <c r="AB63" s="21">
        <v>53</v>
      </c>
      <c r="AC63" s="21">
        <v>0.37179600000000002</v>
      </c>
      <c r="AD63">
        <f t="shared" si="4"/>
        <v>36.645875000000004</v>
      </c>
      <c r="AE63">
        <f t="shared" si="5"/>
        <v>13.671733107375001</v>
      </c>
      <c r="AF63" s="9"/>
      <c r="AG63" s="21">
        <v>0.166931</v>
      </c>
      <c r="AH63" s="21">
        <v>252.11500000000001</v>
      </c>
      <c r="AI63" s="21">
        <v>-6.1004599999999999E-2</v>
      </c>
      <c r="AJ63" s="21">
        <v>53</v>
      </c>
      <c r="AK63" s="21">
        <v>0.16656499999999999</v>
      </c>
      <c r="AL63">
        <f t="shared" si="6"/>
        <v>38.127874999999996</v>
      </c>
      <c r="AM63">
        <f t="shared" si="7"/>
        <v>6.3647243016249995</v>
      </c>
      <c r="AP63" s="9"/>
      <c r="AQ63" s="21">
        <v>0.37307699999999999</v>
      </c>
      <c r="AR63" s="21">
        <v>301.25299999999999</v>
      </c>
      <c r="AS63" s="21">
        <v>-5.8624299999999997E-2</v>
      </c>
      <c r="AT63" s="21">
        <v>53</v>
      </c>
      <c r="AU63" s="21">
        <v>0.37170399999999998</v>
      </c>
      <c r="AV63">
        <f t="shared" si="8"/>
        <v>36.640187499999996</v>
      </c>
      <c r="AW63">
        <f t="shared" si="9"/>
        <v>13.669611231937498</v>
      </c>
      <c r="AX63" s="9"/>
      <c r="AY63" s="21">
        <v>0.166931</v>
      </c>
      <c r="AZ63" s="21">
        <v>338.42599999999999</v>
      </c>
      <c r="BA63" s="21">
        <v>-6.1004599999999999E-2</v>
      </c>
      <c r="BB63" s="21">
        <v>53</v>
      </c>
      <c r="BC63" s="21">
        <v>0.166626</v>
      </c>
      <c r="BD63">
        <f t="shared" si="10"/>
        <v>38.127874999999996</v>
      </c>
      <c r="BE63">
        <f t="shared" si="11"/>
        <v>6.3647243016249995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0.36804199999999998</v>
      </c>
      <c r="H64" s="21">
        <v>108.56699999999999</v>
      </c>
      <c r="I64" s="21">
        <v>-5.8755500000000002E-2</v>
      </c>
      <c r="J64" s="21">
        <v>54</v>
      </c>
      <c r="K64" s="21">
        <v>0.366699</v>
      </c>
      <c r="L64">
        <f t="shared" si="0"/>
        <v>36.722187499999997</v>
      </c>
      <c r="M64">
        <f t="shared" si="1"/>
        <v>13.515307331874999</v>
      </c>
      <c r="N64" s="9"/>
      <c r="O64" s="21">
        <v>0.17196700000000001</v>
      </c>
      <c r="P64" s="21">
        <v>161.06899999999999</v>
      </c>
      <c r="Q64" s="21">
        <v>-6.1065700000000001E-2</v>
      </c>
      <c r="R64" s="21">
        <v>54</v>
      </c>
      <c r="S64" s="21">
        <v>0.17157</v>
      </c>
      <c r="T64">
        <f t="shared" si="2"/>
        <v>38.166062500000002</v>
      </c>
      <c r="U64">
        <f t="shared" si="3"/>
        <v>6.5633032699375011</v>
      </c>
      <c r="X64" s="9"/>
      <c r="Y64" s="21">
        <v>0.36804199999999998</v>
      </c>
      <c r="Z64" s="21">
        <v>195.44</v>
      </c>
      <c r="AA64" s="21">
        <v>-5.8755500000000002E-2</v>
      </c>
      <c r="AB64" s="21">
        <v>54</v>
      </c>
      <c r="AC64" s="21">
        <v>0.366699</v>
      </c>
      <c r="AD64">
        <f t="shared" si="4"/>
        <v>36.722187499999997</v>
      </c>
      <c r="AE64">
        <f t="shared" si="5"/>
        <v>13.515307331874999</v>
      </c>
      <c r="AF64" s="9"/>
      <c r="AG64" s="21">
        <v>0.17196700000000001</v>
      </c>
      <c r="AH64" s="21">
        <v>252.21600000000001</v>
      </c>
      <c r="AI64" s="21">
        <v>-6.0974100000000003E-2</v>
      </c>
      <c r="AJ64" s="21">
        <v>54</v>
      </c>
      <c r="AK64" s="21">
        <v>0.17150899999999999</v>
      </c>
      <c r="AL64">
        <f t="shared" si="6"/>
        <v>38.108812499999999</v>
      </c>
      <c r="AM64">
        <f t="shared" si="7"/>
        <v>6.5534581591875005</v>
      </c>
      <c r="AP64" s="9"/>
      <c r="AQ64" s="21">
        <v>0.36804199999999998</v>
      </c>
      <c r="AR64" s="21">
        <v>301.35399999999998</v>
      </c>
      <c r="AS64" s="21">
        <v>-5.8724999999999999E-2</v>
      </c>
      <c r="AT64" s="21">
        <v>54</v>
      </c>
      <c r="AU64" s="21">
        <v>0.36666900000000002</v>
      </c>
      <c r="AV64">
        <f t="shared" si="8"/>
        <v>36.703124999999993</v>
      </c>
      <c r="AW64">
        <f t="shared" si="9"/>
        <v>13.508291531249997</v>
      </c>
      <c r="AX64" s="9"/>
      <c r="AY64" s="21">
        <v>0.17196700000000001</v>
      </c>
      <c r="AZ64" s="21">
        <v>338.52600000000001</v>
      </c>
      <c r="BA64" s="21">
        <v>-6.1004599999999999E-2</v>
      </c>
      <c r="BB64" s="21">
        <v>54</v>
      </c>
      <c r="BC64" s="21">
        <v>0.17157</v>
      </c>
      <c r="BD64">
        <f t="shared" si="10"/>
        <v>38.127874999999996</v>
      </c>
      <c r="BE64">
        <f t="shared" si="11"/>
        <v>6.5567362801249995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0.36300700000000002</v>
      </c>
      <c r="H65" s="21">
        <v>108.66800000000001</v>
      </c>
      <c r="I65" s="21">
        <v>-5.8859300000000003E-2</v>
      </c>
      <c r="J65" s="21">
        <v>55</v>
      </c>
      <c r="K65" s="21">
        <v>0.36169400000000002</v>
      </c>
      <c r="L65">
        <f t="shared" si="0"/>
        <v>36.787062500000005</v>
      </c>
      <c r="M65">
        <f t="shared" si="1"/>
        <v>13.353961196937503</v>
      </c>
      <c r="N65" s="9"/>
      <c r="O65" s="21">
        <v>0.17700199999999999</v>
      </c>
      <c r="P65" s="21">
        <v>161.16999999999999</v>
      </c>
      <c r="Q65" s="21">
        <v>-6.0943600000000001E-2</v>
      </c>
      <c r="R65" s="21">
        <v>55</v>
      </c>
      <c r="S65" s="21">
        <v>0.17666599999999999</v>
      </c>
      <c r="T65">
        <f t="shared" si="2"/>
        <v>38.089749999999995</v>
      </c>
      <c r="U65">
        <f t="shared" si="3"/>
        <v>6.7419619294999986</v>
      </c>
      <c r="X65" s="9"/>
      <c r="Y65" s="21">
        <v>0.36300700000000002</v>
      </c>
      <c r="Z65" s="21">
        <v>195.541</v>
      </c>
      <c r="AA65" s="21">
        <v>-5.8813499999999998E-2</v>
      </c>
      <c r="AB65" s="21">
        <v>55</v>
      </c>
      <c r="AC65" s="21">
        <v>0.36166399999999999</v>
      </c>
      <c r="AD65">
        <f t="shared" si="4"/>
        <v>36.758437499999999</v>
      </c>
      <c r="AE65">
        <f t="shared" si="5"/>
        <v>13.3435701215625</v>
      </c>
      <c r="AF65" s="9"/>
      <c r="AG65" s="21">
        <v>0.17700199999999999</v>
      </c>
      <c r="AH65" s="21">
        <v>252.31700000000001</v>
      </c>
      <c r="AI65" s="21">
        <v>-6.1035199999999998E-2</v>
      </c>
      <c r="AJ65" s="21">
        <v>55</v>
      </c>
      <c r="AK65" s="21">
        <v>0.17666599999999999</v>
      </c>
      <c r="AL65">
        <f t="shared" si="6"/>
        <v>38.146999999999991</v>
      </c>
      <c r="AM65">
        <f t="shared" si="7"/>
        <v>6.7520952939999983</v>
      </c>
      <c r="AP65" s="9"/>
      <c r="AQ65" s="21">
        <v>0.36300700000000002</v>
      </c>
      <c r="AR65" s="21">
        <v>301.45499999999998</v>
      </c>
      <c r="AS65" s="21">
        <v>-5.8846999999999997E-2</v>
      </c>
      <c r="AT65" s="21">
        <v>55</v>
      </c>
      <c r="AU65" s="21">
        <v>0.36169400000000002</v>
      </c>
      <c r="AV65">
        <f t="shared" si="8"/>
        <v>36.779374999999995</v>
      </c>
      <c r="AW65">
        <f t="shared" si="9"/>
        <v>13.351170580624999</v>
      </c>
      <c r="AX65" s="9"/>
      <c r="AY65" s="21">
        <v>0.17700199999999999</v>
      </c>
      <c r="AZ65" s="21">
        <v>338.62700000000001</v>
      </c>
      <c r="BA65" s="21">
        <v>-6.0974100000000003E-2</v>
      </c>
      <c r="BB65" s="21">
        <v>55</v>
      </c>
      <c r="BC65" s="21">
        <v>0.17660500000000001</v>
      </c>
      <c r="BD65">
        <f t="shared" si="10"/>
        <v>38.108812499999999</v>
      </c>
      <c r="BE65">
        <f t="shared" si="11"/>
        <v>6.7453360301249994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0.35797099999999998</v>
      </c>
      <c r="H66" s="21">
        <v>108.768</v>
      </c>
      <c r="I66" s="21">
        <v>-5.8911100000000001E-2</v>
      </c>
      <c r="J66" s="21">
        <v>56</v>
      </c>
      <c r="K66" s="21">
        <v>0.35659800000000003</v>
      </c>
      <c r="L66">
        <f t="shared" si="0"/>
        <v>36.819437499999999</v>
      </c>
      <c r="M66">
        <f t="shared" si="1"/>
        <v>13.1802908613125</v>
      </c>
      <c r="N66" s="9"/>
      <c r="O66" s="21">
        <v>0.182037</v>
      </c>
      <c r="P66" s="21">
        <v>161.27000000000001</v>
      </c>
      <c r="Q66" s="21">
        <v>-6.0913099999999998E-2</v>
      </c>
      <c r="R66" s="21">
        <v>56</v>
      </c>
      <c r="S66" s="21">
        <v>0.181641</v>
      </c>
      <c r="T66">
        <f t="shared" si="2"/>
        <v>38.070687499999998</v>
      </c>
      <c r="U66">
        <f t="shared" si="3"/>
        <v>6.9302737404374994</v>
      </c>
      <c r="X66" s="9"/>
      <c r="Y66" s="21">
        <v>0.35797099999999998</v>
      </c>
      <c r="Z66" s="21">
        <v>195.642</v>
      </c>
      <c r="AA66" s="21">
        <v>-5.8923299999999998E-2</v>
      </c>
      <c r="AB66" s="21">
        <v>56</v>
      </c>
      <c r="AC66" s="21">
        <v>0.356628</v>
      </c>
      <c r="AD66">
        <f t="shared" si="4"/>
        <v>36.827062499999997</v>
      </c>
      <c r="AE66">
        <f t="shared" si="5"/>
        <v>13.183020390187497</v>
      </c>
      <c r="AF66" s="9"/>
      <c r="AG66" s="21">
        <v>0.182037</v>
      </c>
      <c r="AH66" s="21">
        <v>252.41800000000001</v>
      </c>
      <c r="AI66" s="21">
        <v>-6.0913099999999998E-2</v>
      </c>
      <c r="AJ66" s="21">
        <v>56</v>
      </c>
      <c r="AK66" s="21">
        <v>0.181671</v>
      </c>
      <c r="AL66">
        <f t="shared" si="6"/>
        <v>38.070687499999998</v>
      </c>
      <c r="AM66">
        <f t="shared" si="7"/>
        <v>6.9302737404374994</v>
      </c>
      <c r="AP66" s="9"/>
      <c r="AQ66" s="21">
        <v>0.35797099999999998</v>
      </c>
      <c r="AR66" s="21">
        <v>301.55500000000001</v>
      </c>
      <c r="AS66" s="21">
        <v>-5.8904999999999999E-2</v>
      </c>
      <c r="AT66" s="21">
        <v>56</v>
      </c>
      <c r="AU66" s="21">
        <v>0.356628</v>
      </c>
      <c r="AV66">
        <f t="shared" si="8"/>
        <v>36.815624999999997</v>
      </c>
      <c r="AW66">
        <f t="shared" si="9"/>
        <v>13.178926096874997</v>
      </c>
      <c r="AX66" s="9"/>
      <c r="AY66" s="21">
        <v>0.182037</v>
      </c>
      <c r="AZ66" s="21">
        <v>338.72800000000001</v>
      </c>
      <c r="BA66" s="21">
        <v>-6.0974100000000003E-2</v>
      </c>
      <c r="BB66" s="21">
        <v>56</v>
      </c>
      <c r="BC66" s="21">
        <v>0.181671</v>
      </c>
      <c r="BD66">
        <f t="shared" si="10"/>
        <v>38.108812499999999</v>
      </c>
      <c r="BE66">
        <f t="shared" si="11"/>
        <v>6.9372139010625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0.35293600000000003</v>
      </c>
      <c r="H67" s="21">
        <v>108.869</v>
      </c>
      <c r="I67" s="21">
        <v>-5.9005700000000001E-2</v>
      </c>
      <c r="J67" s="21">
        <v>57</v>
      </c>
      <c r="K67" s="21">
        <v>0.35159299999999999</v>
      </c>
      <c r="L67">
        <f t="shared" si="0"/>
        <v>36.878562499999994</v>
      </c>
      <c r="M67">
        <f t="shared" si="1"/>
        <v>13.015772334499999</v>
      </c>
      <c r="N67" s="9"/>
      <c r="O67" s="21">
        <v>0.18707299999999999</v>
      </c>
      <c r="P67" s="21">
        <v>161.37100000000001</v>
      </c>
      <c r="Q67" s="21">
        <v>-6.0852099999999999E-2</v>
      </c>
      <c r="R67" s="21">
        <v>57</v>
      </c>
      <c r="S67" s="21">
        <v>0.186615</v>
      </c>
      <c r="T67">
        <f t="shared" si="2"/>
        <v>38.032562499999997</v>
      </c>
      <c r="U67">
        <f t="shared" si="3"/>
        <v>7.114865564562499</v>
      </c>
      <c r="X67" s="9"/>
      <c r="Y67" s="21">
        <v>0.35293600000000003</v>
      </c>
      <c r="Z67" s="21">
        <v>195.74199999999999</v>
      </c>
      <c r="AA67" s="21">
        <v>-5.8999599999999999E-2</v>
      </c>
      <c r="AB67" s="21">
        <v>57</v>
      </c>
      <c r="AC67" s="21">
        <v>0.35156300000000001</v>
      </c>
      <c r="AD67">
        <f t="shared" si="4"/>
        <v>36.874749999999999</v>
      </c>
      <c r="AE67">
        <f t="shared" si="5"/>
        <v>13.014426766000001</v>
      </c>
      <c r="AF67" s="9"/>
      <c r="AG67" s="21">
        <v>0.18707299999999999</v>
      </c>
      <c r="AH67" s="21">
        <v>252.518</v>
      </c>
      <c r="AI67" s="21">
        <v>-6.0943600000000001E-2</v>
      </c>
      <c r="AJ67" s="21">
        <v>57</v>
      </c>
      <c r="AK67" s="21">
        <v>0.18664600000000001</v>
      </c>
      <c r="AL67">
        <f t="shared" si="6"/>
        <v>38.089749999999995</v>
      </c>
      <c r="AM67">
        <f t="shared" si="7"/>
        <v>7.1255638017499985</v>
      </c>
      <c r="AP67" s="9"/>
      <c r="AQ67" s="21">
        <v>0.35293600000000003</v>
      </c>
      <c r="AR67" s="21">
        <v>301.65600000000001</v>
      </c>
      <c r="AS67" s="21">
        <v>-5.8990500000000001E-2</v>
      </c>
      <c r="AT67" s="21">
        <v>57</v>
      </c>
      <c r="AU67" s="21">
        <v>0.35156300000000001</v>
      </c>
      <c r="AV67">
        <f t="shared" si="8"/>
        <v>36.869062499999998</v>
      </c>
      <c r="AW67">
        <f t="shared" si="9"/>
        <v>13.012419442500001</v>
      </c>
      <c r="AX67" s="9"/>
      <c r="AY67" s="21">
        <v>0.18707299999999999</v>
      </c>
      <c r="AZ67" s="21">
        <v>338.82900000000001</v>
      </c>
      <c r="BA67" s="21">
        <v>-6.0882600000000002E-2</v>
      </c>
      <c r="BB67" s="21">
        <v>57</v>
      </c>
      <c r="BC67" s="21">
        <v>0.18673699999999999</v>
      </c>
      <c r="BD67">
        <f t="shared" si="10"/>
        <v>38.051625000000001</v>
      </c>
      <c r="BE67">
        <f t="shared" si="11"/>
        <v>7.1184316436249997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0.34789999999999999</v>
      </c>
      <c r="H68" s="21">
        <v>108.97</v>
      </c>
      <c r="I68" s="21">
        <v>-5.9161400000000003E-2</v>
      </c>
      <c r="J68" s="21">
        <v>58</v>
      </c>
      <c r="K68" s="21">
        <v>0.346497</v>
      </c>
      <c r="L68">
        <f t="shared" si="0"/>
        <v>36.975874999999995</v>
      </c>
      <c r="M68">
        <f t="shared" si="1"/>
        <v>12.863906912499997</v>
      </c>
      <c r="N68" s="9"/>
      <c r="O68" s="21">
        <v>0.192108</v>
      </c>
      <c r="P68" s="21">
        <v>161.47200000000001</v>
      </c>
      <c r="Q68" s="21">
        <v>-6.0913099999999998E-2</v>
      </c>
      <c r="R68" s="21">
        <v>58</v>
      </c>
      <c r="S68" s="21">
        <v>0.191742</v>
      </c>
      <c r="T68">
        <f t="shared" si="2"/>
        <v>38.070687499999998</v>
      </c>
      <c r="U68">
        <f t="shared" si="3"/>
        <v>7.3136836342499993</v>
      </c>
      <c r="X68" s="9"/>
      <c r="Y68" s="21">
        <v>0.34789999999999999</v>
      </c>
      <c r="Z68" s="21">
        <v>195.84299999999999</v>
      </c>
      <c r="AA68" s="21">
        <v>-5.9088099999999998E-2</v>
      </c>
      <c r="AB68" s="21">
        <v>58</v>
      </c>
      <c r="AC68" s="21">
        <v>0.34643600000000002</v>
      </c>
      <c r="AD68">
        <f t="shared" si="4"/>
        <v>36.930062499999998</v>
      </c>
      <c r="AE68">
        <f t="shared" si="5"/>
        <v>12.847968743749998</v>
      </c>
      <c r="AF68" s="9"/>
      <c r="AG68" s="21">
        <v>0.192108</v>
      </c>
      <c r="AH68" s="21">
        <v>252.619</v>
      </c>
      <c r="AI68" s="21">
        <v>-6.0913099999999998E-2</v>
      </c>
      <c r="AJ68" s="21">
        <v>58</v>
      </c>
      <c r="AK68" s="21">
        <v>0.191742</v>
      </c>
      <c r="AL68">
        <f t="shared" si="6"/>
        <v>38.070687499999998</v>
      </c>
      <c r="AM68">
        <f t="shared" si="7"/>
        <v>7.3136836342499993</v>
      </c>
      <c r="AP68" s="9"/>
      <c r="AQ68" s="21">
        <v>0.34789999999999999</v>
      </c>
      <c r="AR68" s="21">
        <v>301.75700000000001</v>
      </c>
      <c r="AS68" s="21">
        <v>-5.9109500000000002E-2</v>
      </c>
      <c r="AT68" s="21">
        <v>58</v>
      </c>
      <c r="AU68" s="21">
        <v>0.346466</v>
      </c>
      <c r="AV68">
        <f t="shared" si="8"/>
        <v>36.943437500000002</v>
      </c>
      <c r="AW68">
        <f t="shared" si="9"/>
        <v>12.85262190625</v>
      </c>
      <c r="AX68" s="9"/>
      <c r="AY68" s="21">
        <v>0.192108</v>
      </c>
      <c r="AZ68" s="21">
        <v>338.92899999999997</v>
      </c>
      <c r="BA68" s="21">
        <v>-6.0882600000000002E-2</v>
      </c>
      <c r="BB68" s="21">
        <v>58</v>
      </c>
      <c r="BC68" s="21">
        <v>0.191742</v>
      </c>
      <c r="BD68">
        <f t="shared" si="10"/>
        <v>38.051625000000001</v>
      </c>
      <c r="BE68">
        <f t="shared" si="11"/>
        <v>7.3100215755000004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0.34286499999999998</v>
      </c>
      <c r="H69" s="21">
        <v>109.071</v>
      </c>
      <c r="I69" s="21">
        <v>-5.9204100000000003E-2</v>
      </c>
      <c r="J69" s="21">
        <v>59</v>
      </c>
      <c r="K69" s="21">
        <v>0.34149200000000002</v>
      </c>
      <c r="L69">
        <f t="shared" si="0"/>
        <v>37.002562500000003</v>
      </c>
      <c r="M69">
        <f t="shared" si="1"/>
        <v>12.6868835915625</v>
      </c>
      <c r="N69" s="9"/>
      <c r="O69" s="21">
        <v>0.19714400000000001</v>
      </c>
      <c r="P69" s="21">
        <v>161.572</v>
      </c>
      <c r="Q69" s="21">
        <v>-6.0882600000000002E-2</v>
      </c>
      <c r="R69" s="21">
        <v>59</v>
      </c>
      <c r="S69" s="21">
        <v>0.19677700000000001</v>
      </c>
      <c r="T69">
        <f t="shared" si="2"/>
        <v>38.051625000000001</v>
      </c>
      <c r="U69">
        <f t="shared" si="3"/>
        <v>7.5016495590000005</v>
      </c>
      <c r="X69" s="9"/>
      <c r="Y69" s="21">
        <v>0.34286499999999998</v>
      </c>
      <c r="Z69" s="21">
        <v>195.94399999999999</v>
      </c>
      <c r="AA69" s="21">
        <v>-5.9194900000000002E-2</v>
      </c>
      <c r="AB69" s="21">
        <v>59</v>
      </c>
      <c r="AC69" s="21">
        <v>0.34146100000000001</v>
      </c>
      <c r="AD69">
        <f t="shared" si="4"/>
        <v>36.996812499999997</v>
      </c>
      <c r="AE69">
        <f t="shared" si="5"/>
        <v>12.684912117812498</v>
      </c>
      <c r="AF69" s="9"/>
      <c r="AG69" s="21">
        <v>0.19714400000000001</v>
      </c>
      <c r="AH69" s="21">
        <v>252.72</v>
      </c>
      <c r="AI69" s="21">
        <v>-6.0852099999999999E-2</v>
      </c>
      <c r="AJ69" s="21">
        <v>59</v>
      </c>
      <c r="AK69" s="21">
        <v>0.19680800000000001</v>
      </c>
      <c r="AL69">
        <f t="shared" si="6"/>
        <v>38.032562499999997</v>
      </c>
      <c r="AM69">
        <f t="shared" si="7"/>
        <v>7.4978915014999998</v>
      </c>
      <c r="AP69" s="9"/>
      <c r="AQ69" s="21">
        <v>0.34286499999999998</v>
      </c>
      <c r="AR69" s="21">
        <v>301.85700000000003</v>
      </c>
      <c r="AS69" s="21">
        <v>-5.9149199999999999E-2</v>
      </c>
      <c r="AT69" s="21">
        <v>59</v>
      </c>
      <c r="AU69" s="21">
        <v>0.34146100000000001</v>
      </c>
      <c r="AV69">
        <f t="shared" si="8"/>
        <v>36.968249999999998</v>
      </c>
      <c r="AW69">
        <f t="shared" si="9"/>
        <v>12.675119036249999</v>
      </c>
      <c r="AX69" s="9"/>
      <c r="AY69" s="21">
        <v>0.19714400000000001</v>
      </c>
      <c r="AZ69" s="21">
        <v>339.03</v>
      </c>
      <c r="BA69" s="21">
        <v>-6.0852099999999999E-2</v>
      </c>
      <c r="BB69" s="21">
        <v>59</v>
      </c>
      <c r="BC69" s="21">
        <v>0.19674700000000001</v>
      </c>
      <c r="BD69">
        <f t="shared" si="10"/>
        <v>38.032562499999997</v>
      </c>
      <c r="BE69">
        <f t="shared" si="11"/>
        <v>7.4978915014999998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0.33783000000000002</v>
      </c>
      <c r="H70" s="21">
        <v>109.17100000000001</v>
      </c>
      <c r="I70" s="21">
        <v>-5.9320100000000001E-2</v>
      </c>
      <c r="J70" s="21">
        <v>60</v>
      </c>
      <c r="K70" s="21">
        <v>0.336426</v>
      </c>
      <c r="L70">
        <f t="shared" si="0"/>
        <v>37.075062500000001</v>
      </c>
      <c r="M70">
        <f t="shared" si="1"/>
        <v>12.525068364375</v>
      </c>
      <c r="N70" s="9"/>
      <c r="O70" s="21">
        <v>0.202179</v>
      </c>
      <c r="P70" s="21">
        <v>161.673</v>
      </c>
      <c r="Q70" s="21">
        <v>-6.0852099999999999E-2</v>
      </c>
      <c r="R70" s="21">
        <v>60</v>
      </c>
      <c r="S70" s="21">
        <v>0.20181299999999999</v>
      </c>
      <c r="T70">
        <f t="shared" si="2"/>
        <v>38.032562499999997</v>
      </c>
      <c r="U70">
        <f t="shared" si="3"/>
        <v>7.6893854536874997</v>
      </c>
      <c r="X70" s="9"/>
      <c r="Y70" s="21">
        <v>0.33783000000000002</v>
      </c>
      <c r="Z70" s="21">
        <v>196.04499999999999</v>
      </c>
      <c r="AA70" s="21">
        <v>-5.92834E-2</v>
      </c>
      <c r="AB70" s="21">
        <v>60</v>
      </c>
      <c r="AC70" s="21">
        <v>0.33648699999999998</v>
      </c>
      <c r="AD70">
        <f t="shared" si="4"/>
        <v>37.052124999999997</v>
      </c>
      <c r="AE70">
        <f t="shared" si="5"/>
        <v>12.51731938875</v>
      </c>
      <c r="AF70" s="9"/>
      <c r="AG70" s="21">
        <v>0.202179</v>
      </c>
      <c r="AH70" s="21">
        <v>252.82</v>
      </c>
      <c r="AI70" s="21">
        <v>-6.0852099999999999E-2</v>
      </c>
      <c r="AJ70" s="21">
        <v>60</v>
      </c>
      <c r="AK70" s="21">
        <v>0.20181299999999999</v>
      </c>
      <c r="AL70">
        <f t="shared" si="6"/>
        <v>38.032562499999997</v>
      </c>
      <c r="AM70">
        <f t="shared" si="7"/>
        <v>7.6893854536874997</v>
      </c>
      <c r="AP70" s="9"/>
      <c r="AQ70" s="21">
        <v>0.33783000000000002</v>
      </c>
      <c r="AR70" s="21">
        <v>301.95800000000003</v>
      </c>
      <c r="AS70" s="21">
        <v>-5.9258999999999999E-2</v>
      </c>
      <c r="AT70" s="21">
        <v>60</v>
      </c>
      <c r="AU70" s="21">
        <v>0.33651700000000001</v>
      </c>
      <c r="AV70">
        <f t="shared" si="8"/>
        <v>37.036874999999995</v>
      </c>
      <c r="AW70">
        <f t="shared" si="9"/>
        <v>12.51216748125</v>
      </c>
      <c r="AX70" s="9"/>
      <c r="AY70" s="21">
        <v>0.202179</v>
      </c>
      <c r="AZ70" s="21">
        <v>339.13099999999997</v>
      </c>
      <c r="BA70" s="21">
        <v>-6.0821500000000001E-2</v>
      </c>
      <c r="BB70" s="21">
        <v>60</v>
      </c>
      <c r="BC70" s="21">
        <v>0.20181299999999999</v>
      </c>
      <c r="BD70">
        <f t="shared" si="10"/>
        <v>38.013437499999995</v>
      </c>
      <c r="BE70">
        <f t="shared" si="11"/>
        <v>7.6855187803124991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0.33279399999999998</v>
      </c>
      <c r="H71" s="21">
        <v>109.27200000000001</v>
      </c>
      <c r="I71" s="21">
        <v>-5.9451299999999999E-2</v>
      </c>
      <c r="J71" s="21">
        <v>61</v>
      </c>
      <c r="K71" s="21">
        <v>0.331451</v>
      </c>
      <c r="L71">
        <f t="shared" si="0"/>
        <v>37.157062499999995</v>
      </c>
      <c r="M71">
        <f t="shared" si="1"/>
        <v>12.365647457624998</v>
      </c>
      <c r="N71" s="9"/>
      <c r="O71" s="21">
        <v>0.20721400000000001</v>
      </c>
      <c r="P71" s="21">
        <v>161.774</v>
      </c>
      <c r="Q71" s="21">
        <v>-6.0852099999999999E-2</v>
      </c>
      <c r="R71" s="21">
        <v>61</v>
      </c>
      <c r="S71" s="21">
        <v>0.206787</v>
      </c>
      <c r="T71">
        <f t="shared" si="2"/>
        <v>38.032562499999997</v>
      </c>
      <c r="U71">
        <f t="shared" si="3"/>
        <v>7.8808794058749996</v>
      </c>
      <c r="X71" s="9"/>
      <c r="Y71" s="21">
        <v>0.33279399999999998</v>
      </c>
      <c r="Z71" s="21">
        <v>196.14500000000001</v>
      </c>
      <c r="AA71" s="21">
        <v>-5.9378100000000003E-2</v>
      </c>
      <c r="AB71" s="21">
        <v>61</v>
      </c>
      <c r="AC71" s="21">
        <v>0.33129900000000001</v>
      </c>
      <c r="AD71">
        <f t="shared" si="4"/>
        <v>37.111312499999997</v>
      </c>
      <c r="AE71">
        <f t="shared" si="5"/>
        <v>12.350422132124999</v>
      </c>
      <c r="AF71" s="9"/>
      <c r="AG71" s="21">
        <v>0.20721400000000001</v>
      </c>
      <c r="AH71" s="21">
        <v>252.92099999999999</v>
      </c>
      <c r="AI71" s="21">
        <v>-6.0760500000000002E-2</v>
      </c>
      <c r="AJ71" s="21">
        <v>61</v>
      </c>
      <c r="AK71" s="21">
        <v>0.20687900000000001</v>
      </c>
      <c r="AL71">
        <f t="shared" si="6"/>
        <v>37.975312499999994</v>
      </c>
      <c r="AM71">
        <f t="shared" si="7"/>
        <v>7.8690164043749995</v>
      </c>
      <c r="AP71" s="9"/>
      <c r="AQ71" s="21">
        <v>0.33279399999999998</v>
      </c>
      <c r="AR71" s="21">
        <v>302.05900000000003</v>
      </c>
      <c r="AS71" s="21">
        <v>-5.9320100000000001E-2</v>
      </c>
      <c r="AT71" s="21">
        <v>61</v>
      </c>
      <c r="AU71" s="21">
        <v>0.331451</v>
      </c>
      <c r="AV71">
        <f t="shared" si="8"/>
        <v>37.075062500000001</v>
      </c>
      <c r="AW71">
        <f t="shared" si="9"/>
        <v>12.338358349625</v>
      </c>
      <c r="AX71" s="9"/>
      <c r="AY71" s="21">
        <v>0.20721400000000001</v>
      </c>
      <c r="AZ71" s="21">
        <v>339.23099999999999</v>
      </c>
      <c r="BA71" s="21">
        <v>-6.0821500000000001E-2</v>
      </c>
      <c r="BB71" s="21">
        <v>61</v>
      </c>
      <c r="BC71" s="21">
        <v>0.206848</v>
      </c>
      <c r="BD71">
        <f t="shared" si="10"/>
        <v>38.013437499999995</v>
      </c>
      <c r="BE71">
        <f t="shared" si="11"/>
        <v>7.876916438124999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0.32775900000000002</v>
      </c>
      <c r="H72" s="21">
        <v>109.373</v>
      </c>
      <c r="I72" s="21">
        <v>-5.95428E-2</v>
      </c>
      <c r="J72" s="21">
        <v>62</v>
      </c>
      <c r="K72" s="21">
        <v>0.32644699999999999</v>
      </c>
      <c r="L72">
        <f t="shared" si="0"/>
        <v>37.21425</v>
      </c>
      <c r="M72">
        <f t="shared" si="1"/>
        <v>12.197305365750001</v>
      </c>
      <c r="N72" s="9"/>
      <c r="O72" s="21">
        <v>0.21224999999999999</v>
      </c>
      <c r="P72" s="21">
        <v>161.874</v>
      </c>
      <c r="Q72" s="21">
        <v>-6.0821500000000001E-2</v>
      </c>
      <c r="R72" s="21">
        <v>62</v>
      </c>
      <c r="S72" s="21">
        <v>0.21182300000000001</v>
      </c>
      <c r="T72">
        <f t="shared" si="2"/>
        <v>38.013437499999995</v>
      </c>
      <c r="U72">
        <f t="shared" si="3"/>
        <v>8.0683521093749988</v>
      </c>
      <c r="X72" s="9"/>
      <c r="Y72" s="21">
        <v>0.32775900000000002</v>
      </c>
      <c r="Z72" s="21">
        <v>196.24600000000001</v>
      </c>
      <c r="AA72" s="21">
        <v>-5.9469599999999997E-2</v>
      </c>
      <c r="AB72" s="21">
        <v>62</v>
      </c>
      <c r="AC72" s="21">
        <v>0.32641599999999998</v>
      </c>
      <c r="AD72">
        <f t="shared" si="4"/>
        <v>37.168499999999995</v>
      </c>
      <c r="AE72">
        <f t="shared" si="5"/>
        <v>12.1823103915</v>
      </c>
      <c r="AF72" s="9"/>
      <c r="AG72" s="21">
        <v>0.21224999999999999</v>
      </c>
      <c r="AH72" s="21">
        <v>253.02199999999999</v>
      </c>
      <c r="AI72" s="21">
        <v>-6.0790999999999998E-2</v>
      </c>
      <c r="AJ72" s="21">
        <v>62</v>
      </c>
      <c r="AK72" s="21">
        <v>0.21182300000000001</v>
      </c>
      <c r="AL72">
        <f t="shared" si="6"/>
        <v>37.994374999999998</v>
      </c>
      <c r="AM72">
        <f t="shared" si="7"/>
        <v>8.06430609375</v>
      </c>
      <c r="AP72" s="9"/>
      <c r="AQ72" s="21">
        <v>0.32775900000000002</v>
      </c>
      <c r="AR72" s="21">
        <v>302.16000000000003</v>
      </c>
      <c r="AS72" s="21">
        <v>-5.9387200000000001E-2</v>
      </c>
      <c r="AT72" s="21">
        <v>62</v>
      </c>
      <c r="AU72" s="21">
        <v>0.32644699999999999</v>
      </c>
      <c r="AV72">
        <f t="shared" si="8"/>
        <v>37.116999999999997</v>
      </c>
      <c r="AW72">
        <f t="shared" si="9"/>
        <v>12.165430803</v>
      </c>
      <c r="AX72" s="9"/>
      <c r="AY72" s="21">
        <v>0.21224999999999999</v>
      </c>
      <c r="AZ72" s="21">
        <v>339.33199999999999</v>
      </c>
      <c r="BA72" s="21">
        <v>-6.0760500000000002E-2</v>
      </c>
      <c r="BB72" s="21">
        <v>62</v>
      </c>
      <c r="BC72" s="21">
        <v>0.21185300000000001</v>
      </c>
      <c r="BD72">
        <f t="shared" si="10"/>
        <v>37.975312499999994</v>
      </c>
      <c r="BE72">
        <f t="shared" si="11"/>
        <v>8.0602600781249993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0.32272299999999998</v>
      </c>
      <c r="H73" s="21">
        <v>109.473</v>
      </c>
      <c r="I73" s="21">
        <v>-5.9634399999999997E-2</v>
      </c>
      <c r="J73" s="21">
        <v>63</v>
      </c>
      <c r="K73" s="21">
        <v>0.32135000000000002</v>
      </c>
      <c r="L73">
        <f t="shared" si="0"/>
        <v>37.271499999999996</v>
      </c>
      <c r="M73">
        <f t="shared" si="1"/>
        <v>12.028370294499998</v>
      </c>
      <c r="N73" s="9"/>
      <c r="O73" s="21">
        <v>0.21728500000000001</v>
      </c>
      <c r="P73" s="21">
        <v>161.97499999999999</v>
      </c>
      <c r="Q73" s="21">
        <v>-6.0760500000000002E-2</v>
      </c>
      <c r="R73" s="21">
        <v>63</v>
      </c>
      <c r="S73" s="21">
        <v>0.216919</v>
      </c>
      <c r="T73">
        <f t="shared" si="2"/>
        <v>37.975312499999994</v>
      </c>
      <c r="U73">
        <f t="shared" si="3"/>
        <v>8.2514657765624992</v>
      </c>
      <c r="X73" s="9"/>
      <c r="Y73" s="21">
        <v>0.32272299999999998</v>
      </c>
      <c r="Z73" s="21">
        <v>196.34700000000001</v>
      </c>
      <c r="AA73" s="21">
        <v>-5.9539799999999997E-2</v>
      </c>
      <c r="AB73" s="21">
        <v>63</v>
      </c>
      <c r="AC73" s="21">
        <v>0.32128899999999999</v>
      </c>
      <c r="AD73">
        <f t="shared" si="4"/>
        <v>37.212375000000002</v>
      </c>
      <c r="AE73">
        <f t="shared" si="5"/>
        <v>12.009289297124999</v>
      </c>
      <c r="AF73" s="9"/>
      <c r="AG73" s="21">
        <v>0.21728500000000001</v>
      </c>
      <c r="AH73" s="21">
        <v>253.12299999999999</v>
      </c>
      <c r="AI73" s="21">
        <v>-6.0729999999999999E-2</v>
      </c>
      <c r="AJ73" s="21">
        <v>63</v>
      </c>
      <c r="AK73" s="21">
        <v>0.216888</v>
      </c>
      <c r="AL73">
        <f t="shared" si="6"/>
        <v>37.956249999999997</v>
      </c>
      <c r="AM73">
        <f t="shared" si="7"/>
        <v>8.2473237812499995</v>
      </c>
      <c r="AP73" s="9"/>
      <c r="AQ73" s="21">
        <v>0.32272299999999998</v>
      </c>
      <c r="AR73" s="21">
        <v>302.26</v>
      </c>
      <c r="AS73" s="21">
        <v>-5.9509300000000001E-2</v>
      </c>
      <c r="AT73" s="21">
        <v>63</v>
      </c>
      <c r="AU73" s="21">
        <v>0.32125900000000002</v>
      </c>
      <c r="AV73">
        <f t="shared" si="8"/>
        <v>37.193312499999998</v>
      </c>
      <c r="AW73">
        <f t="shared" si="9"/>
        <v>12.003137389937498</v>
      </c>
      <c r="AX73" s="9"/>
      <c r="AY73" s="21">
        <v>0.21728500000000001</v>
      </c>
      <c r="AZ73" s="21">
        <v>339.43299999999999</v>
      </c>
      <c r="BA73" s="21">
        <v>-6.0729999999999999E-2</v>
      </c>
      <c r="BB73" s="21">
        <v>63</v>
      </c>
      <c r="BC73" s="21">
        <v>0.216888</v>
      </c>
      <c r="BD73">
        <f t="shared" si="10"/>
        <v>37.956249999999997</v>
      </c>
      <c r="BE73">
        <f t="shared" si="11"/>
        <v>8.2473237812499995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0.31768800000000003</v>
      </c>
      <c r="H74" s="21">
        <v>109.574</v>
      </c>
      <c r="I74" s="21">
        <v>-5.9726000000000001E-2</v>
      </c>
      <c r="J74" s="21">
        <v>64</v>
      </c>
      <c r="K74" s="21">
        <v>0.31634499999999999</v>
      </c>
      <c r="L74">
        <f t="shared" si="0"/>
        <v>37.328749999999999</v>
      </c>
      <c r="M74">
        <f t="shared" si="1"/>
        <v>11.858895930000001</v>
      </c>
      <c r="N74" s="9"/>
      <c r="O74" s="21">
        <v>0.22232099999999999</v>
      </c>
      <c r="P74" s="21">
        <v>162.07599999999999</v>
      </c>
      <c r="Q74" s="21">
        <v>-6.0790999999999998E-2</v>
      </c>
      <c r="R74" s="21">
        <v>64</v>
      </c>
      <c r="S74" s="21">
        <v>0.22195400000000001</v>
      </c>
      <c r="T74">
        <f t="shared" si="2"/>
        <v>37.994374999999998</v>
      </c>
      <c r="U74">
        <f t="shared" si="3"/>
        <v>8.4469474443749988</v>
      </c>
      <c r="X74" s="9"/>
      <c r="Y74" s="21">
        <v>0.31768800000000003</v>
      </c>
      <c r="Z74" s="21">
        <v>196.447</v>
      </c>
      <c r="AA74" s="21">
        <v>-5.9643599999999998E-2</v>
      </c>
      <c r="AB74" s="21">
        <v>64</v>
      </c>
      <c r="AC74" s="21">
        <v>0.31631500000000001</v>
      </c>
      <c r="AD74">
        <f t="shared" si="4"/>
        <v>37.277249999999995</v>
      </c>
      <c r="AE74">
        <f t="shared" si="5"/>
        <v>11.842534998</v>
      </c>
      <c r="AF74" s="9"/>
      <c r="AG74" s="21">
        <v>0.22232099999999999</v>
      </c>
      <c r="AH74" s="21">
        <v>253.22300000000001</v>
      </c>
      <c r="AI74" s="21">
        <v>-6.0699500000000003E-2</v>
      </c>
      <c r="AJ74" s="21">
        <v>64</v>
      </c>
      <c r="AK74" s="21">
        <v>0.221863</v>
      </c>
      <c r="AL74">
        <f t="shared" si="6"/>
        <v>37.9371875</v>
      </c>
      <c r="AM74">
        <f t="shared" si="7"/>
        <v>8.4342334621874997</v>
      </c>
      <c r="AP74" s="9"/>
      <c r="AQ74" s="21">
        <v>0.31768800000000003</v>
      </c>
      <c r="AR74" s="21">
        <v>302.36099999999999</v>
      </c>
      <c r="AS74" s="21">
        <v>-5.9606899999999997E-2</v>
      </c>
      <c r="AT74" s="21">
        <v>64</v>
      </c>
      <c r="AU74" s="21">
        <v>0.31628400000000001</v>
      </c>
      <c r="AV74">
        <f t="shared" si="8"/>
        <v>37.254312499999997</v>
      </c>
      <c r="AW74">
        <f t="shared" si="9"/>
        <v>11.835248029500001</v>
      </c>
      <c r="AX74" s="9"/>
      <c r="AY74" s="21">
        <v>0.22232099999999999</v>
      </c>
      <c r="AZ74" s="21">
        <v>339.53399999999999</v>
      </c>
      <c r="BA74" s="21">
        <v>-6.0668899999999998E-2</v>
      </c>
      <c r="BB74" s="21">
        <v>64</v>
      </c>
      <c r="BC74" s="21">
        <v>0.22195400000000001</v>
      </c>
      <c r="BD74">
        <f t="shared" si="10"/>
        <v>37.918062499999998</v>
      </c>
      <c r="BE74">
        <f t="shared" si="11"/>
        <v>8.4299815730624985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0.31265300000000001</v>
      </c>
      <c r="H75" s="21">
        <v>109.675</v>
      </c>
      <c r="I75" s="21">
        <v>-5.9817500000000003E-2</v>
      </c>
      <c r="J75" s="21">
        <v>65</v>
      </c>
      <c r="K75" s="21">
        <v>0.31127899999999997</v>
      </c>
      <c r="L75">
        <f t="shared" si="0"/>
        <v>37.385937500000004</v>
      </c>
      <c r="M75">
        <f t="shared" si="1"/>
        <v>11.688825517187501</v>
      </c>
      <c r="N75" s="9"/>
      <c r="O75" s="21">
        <v>0.227356</v>
      </c>
      <c r="P75" s="21">
        <v>162.17699999999999</v>
      </c>
      <c r="Q75" s="21">
        <v>-6.0668899999999998E-2</v>
      </c>
      <c r="R75" s="21">
        <v>65</v>
      </c>
      <c r="S75" s="21">
        <v>0.22699</v>
      </c>
      <c r="T75">
        <f t="shared" si="2"/>
        <v>37.918062499999998</v>
      </c>
      <c r="U75">
        <f t="shared" si="3"/>
        <v>8.6208990177500002</v>
      </c>
      <c r="X75" s="9"/>
      <c r="Y75" s="21">
        <v>0.31265300000000001</v>
      </c>
      <c r="Z75" s="21">
        <v>196.548</v>
      </c>
      <c r="AA75" s="21">
        <v>-5.96924E-2</v>
      </c>
      <c r="AB75" s="21">
        <v>65</v>
      </c>
      <c r="AC75" s="21">
        <v>0.31130999999999998</v>
      </c>
      <c r="AD75">
        <f t="shared" si="4"/>
        <v>37.307749999999999</v>
      </c>
      <c r="AE75">
        <f t="shared" si="5"/>
        <v>11.664379960750001</v>
      </c>
      <c r="AF75" s="9"/>
      <c r="AG75" s="21">
        <v>0.227356</v>
      </c>
      <c r="AH75" s="21">
        <v>253.32400000000001</v>
      </c>
      <c r="AI75" s="21">
        <v>-6.0638400000000002E-2</v>
      </c>
      <c r="AJ75" s="21">
        <v>65</v>
      </c>
      <c r="AK75" s="21">
        <v>0.22699</v>
      </c>
      <c r="AL75">
        <f t="shared" si="6"/>
        <v>37.899000000000001</v>
      </c>
      <c r="AM75">
        <f t="shared" si="7"/>
        <v>8.6165650439999997</v>
      </c>
      <c r="AP75" s="9"/>
      <c r="AQ75" s="21">
        <v>0.31265300000000001</v>
      </c>
      <c r="AR75" s="21">
        <v>302.46199999999999</v>
      </c>
      <c r="AS75" s="21">
        <v>-5.9698500000000002E-2</v>
      </c>
      <c r="AT75" s="21">
        <v>65</v>
      </c>
      <c r="AU75" s="21">
        <v>0.31127899999999997</v>
      </c>
      <c r="AV75">
        <f t="shared" si="8"/>
        <v>37.311562500000001</v>
      </c>
      <c r="AW75">
        <f t="shared" si="9"/>
        <v>11.665571950312501</v>
      </c>
      <c r="AX75" s="9"/>
      <c r="AY75" s="21">
        <v>0.227356</v>
      </c>
      <c r="AZ75" s="21">
        <v>339.63400000000001</v>
      </c>
      <c r="BA75" s="21">
        <v>-6.0607899999999999E-2</v>
      </c>
      <c r="BB75" s="21">
        <v>65</v>
      </c>
      <c r="BC75" s="21">
        <v>0.22692899999999999</v>
      </c>
      <c r="BD75">
        <f t="shared" si="10"/>
        <v>37.879937499999997</v>
      </c>
      <c r="BE75">
        <f t="shared" si="11"/>
        <v>8.6122310702499991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0.30761699999999997</v>
      </c>
      <c r="H76" s="21">
        <v>109.77500000000001</v>
      </c>
      <c r="I76" s="21">
        <v>-5.9887700000000002E-2</v>
      </c>
      <c r="J76" s="21">
        <v>66</v>
      </c>
      <c r="K76" s="21">
        <v>0.30627399999999999</v>
      </c>
      <c r="L76">
        <f t="shared" ref="L76:L139" si="12">-I76/$F$2*1000</f>
        <v>37.429812499999997</v>
      </c>
      <c r="M76">
        <f t="shared" ref="M76:M139" si="13">L76*G76</f>
        <v>11.514046631812498</v>
      </c>
      <c r="N76" s="9"/>
      <c r="O76" s="21">
        <v>0.23239099999999999</v>
      </c>
      <c r="P76" s="21">
        <v>162.27699999999999</v>
      </c>
      <c r="Q76" s="21">
        <v>-6.0638400000000002E-2</v>
      </c>
      <c r="R76" s="21">
        <v>66</v>
      </c>
      <c r="S76" s="21">
        <v>0.23205600000000001</v>
      </c>
      <c r="T76">
        <f t="shared" ref="T76:T139" si="14">-Q76/$F$2*1000</f>
        <v>37.899000000000001</v>
      </c>
      <c r="U76">
        <f t="shared" ref="U76:U139" si="15">T76*O76</f>
        <v>8.8073865090000005</v>
      </c>
      <c r="X76" s="9"/>
      <c r="Y76" s="21">
        <v>0.30761699999999997</v>
      </c>
      <c r="Z76" s="21">
        <v>196.649</v>
      </c>
      <c r="AA76" s="21">
        <v>-5.97443E-2</v>
      </c>
      <c r="AB76" s="21">
        <v>66</v>
      </c>
      <c r="AC76" s="21">
        <v>0.30621300000000001</v>
      </c>
      <c r="AD76">
        <f t="shared" ref="AD76:AD139" si="16">-AA76/$F$2*1000</f>
        <v>37.340187499999999</v>
      </c>
      <c r="AE76">
        <f t="shared" ref="AE76:AE139" si="17">AD76*Y76</f>
        <v>11.486476458187498</v>
      </c>
      <c r="AF76" s="9"/>
      <c r="AG76" s="21">
        <v>0.23239099999999999</v>
      </c>
      <c r="AH76" s="21">
        <v>253.42500000000001</v>
      </c>
      <c r="AI76" s="21">
        <v>-6.0638400000000002E-2</v>
      </c>
      <c r="AJ76" s="21">
        <v>66</v>
      </c>
      <c r="AK76" s="21">
        <v>0.23208599999999999</v>
      </c>
      <c r="AL76">
        <f t="shared" ref="AL76:AL139" si="18">-AI76/$F$2*1000</f>
        <v>37.899000000000001</v>
      </c>
      <c r="AM76">
        <f t="shared" ref="AM76:AM139" si="19">AL76*AG76</f>
        <v>8.8073865090000005</v>
      </c>
      <c r="AP76" s="9"/>
      <c r="AQ76" s="21">
        <v>0.30761699999999997</v>
      </c>
      <c r="AR76" s="21">
        <v>302.56200000000001</v>
      </c>
      <c r="AS76" s="21">
        <v>-5.9753399999999998E-2</v>
      </c>
      <c r="AT76" s="21">
        <v>66</v>
      </c>
      <c r="AU76" s="21">
        <v>0.30621300000000001</v>
      </c>
      <c r="AV76">
        <f t="shared" ref="AV76:AV139" si="20">-AS76/$F$2*1000</f>
        <v>37.345874999999992</v>
      </c>
      <c r="AW76">
        <f t="shared" ref="AW76:AW139" si="21">AV76*AQ76</f>
        <v>11.488226029874996</v>
      </c>
      <c r="AX76" s="9"/>
      <c r="AY76" s="21">
        <v>0.23239099999999999</v>
      </c>
      <c r="AZ76" s="21">
        <v>339.73500000000001</v>
      </c>
      <c r="BA76" s="21">
        <v>-6.0607899999999999E-2</v>
      </c>
      <c r="BB76" s="21">
        <v>66</v>
      </c>
      <c r="BC76" s="21">
        <v>0.23202500000000001</v>
      </c>
      <c r="BD76">
        <f t="shared" ref="BD76:BD139" si="22">-BA76/$F$2*1000</f>
        <v>37.879937499999997</v>
      </c>
      <c r="BE76">
        <f t="shared" ref="BE76:BE139" si="23">BD76*AY76</f>
        <v>8.8029565555624991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0.30258200000000002</v>
      </c>
      <c r="H77" s="21">
        <v>109.876</v>
      </c>
      <c r="I77" s="21">
        <v>-5.9902999999999998E-2</v>
      </c>
      <c r="J77" s="21">
        <v>67</v>
      </c>
      <c r="K77" s="21">
        <v>0.301178</v>
      </c>
      <c r="L77">
        <f t="shared" si="12"/>
        <v>37.439374999999998</v>
      </c>
      <c r="M77">
        <f t="shared" si="13"/>
        <v>11.32848096625</v>
      </c>
      <c r="N77" s="9"/>
      <c r="O77" s="21">
        <v>0.237427</v>
      </c>
      <c r="P77" s="21">
        <v>162.37799999999999</v>
      </c>
      <c r="Q77" s="21">
        <v>-6.0638400000000002E-2</v>
      </c>
      <c r="R77" s="21">
        <v>67</v>
      </c>
      <c r="S77" s="21">
        <v>0.23702999999999999</v>
      </c>
      <c r="T77">
        <f t="shared" si="14"/>
        <v>37.899000000000001</v>
      </c>
      <c r="U77">
        <f t="shared" si="15"/>
        <v>8.9982458730000001</v>
      </c>
      <c r="X77" s="9"/>
      <c r="Y77" s="21">
        <v>0.30258200000000002</v>
      </c>
      <c r="Z77" s="21">
        <v>196.749</v>
      </c>
      <c r="AA77" s="21">
        <v>-5.9793100000000002E-2</v>
      </c>
      <c r="AB77" s="21">
        <v>67</v>
      </c>
      <c r="AC77" s="21">
        <v>0.30120799999999998</v>
      </c>
      <c r="AD77">
        <f t="shared" si="16"/>
        <v>37.370687500000003</v>
      </c>
      <c r="AE77">
        <f t="shared" si="17"/>
        <v>11.307697365125001</v>
      </c>
      <c r="AF77" s="9"/>
      <c r="AG77" s="21">
        <v>0.237427</v>
      </c>
      <c r="AH77" s="21">
        <v>253.52500000000001</v>
      </c>
      <c r="AI77" s="21">
        <v>-6.0546900000000001E-2</v>
      </c>
      <c r="AJ77" s="21">
        <v>67</v>
      </c>
      <c r="AK77" s="21">
        <v>0.23702999999999999</v>
      </c>
      <c r="AL77">
        <f t="shared" si="18"/>
        <v>37.841812499999996</v>
      </c>
      <c r="AM77">
        <f t="shared" si="19"/>
        <v>8.9846680164374995</v>
      </c>
      <c r="AP77" s="9"/>
      <c r="AQ77" s="21">
        <v>0.30258200000000002</v>
      </c>
      <c r="AR77" s="21">
        <v>302.66300000000001</v>
      </c>
      <c r="AS77" s="21">
        <v>-5.9826699999999997E-2</v>
      </c>
      <c r="AT77" s="21">
        <v>67</v>
      </c>
      <c r="AU77" s="21">
        <v>0.30123899999999998</v>
      </c>
      <c r="AV77">
        <f t="shared" si="20"/>
        <v>37.391687499999989</v>
      </c>
      <c r="AW77">
        <f t="shared" si="21"/>
        <v>11.314051587124997</v>
      </c>
      <c r="AX77" s="9"/>
      <c r="AY77" s="21">
        <v>0.237427</v>
      </c>
      <c r="AZ77" s="21">
        <v>339.83600000000001</v>
      </c>
      <c r="BA77" s="21">
        <v>-6.0577400000000003E-2</v>
      </c>
      <c r="BB77" s="21">
        <v>67</v>
      </c>
      <c r="BC77" s="21">
        <v>0.237091</v>
      </c>
      <c r="BD77">
        <f t="shared" si="22"/>
        <v>37.860875</v>
      </c>
      <c r="BE77">
        <f t="shared" si="23"/>
        <v>8.9891939686250009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0.29754599999999998</v>
      </c>
      <c r="H78" s="21">
        <v>109.977</v>
      </c>
      <c r="I78" s="21">
        <v>-5.9991500000000003E-2</v>
      </c>
      <c r="J78" s="21">
        <v>68</v>
      </c>
      <c r="K78" s="21">
        <v>0.29617300000000002</v>
      </c>
      <c r="L78">
        <f t="shared" si="12"/>
        <v>37.494687499999998</v>
      </c>
      <c r="M78">
        <f t="shared" si="13"/>
        <v>11.156394286874999</v>
      </c>
      <c r="N78" s="9"/>
      <c r="O78" s="21">
        <v>0.24246200000000001</v>
      </c>
      <c r="P78" s="21">
        <v>162.47900000000001</v>
      </c>
      <c r="Q78" s="21">
        <v>-6.0546900000000001E-2</v>
      </c>
      <c r="R78" s="21">
        <v>68</v>
      </c>
      <c r="S78" s="21">
        <v>0.242065</v>
      </c>
      <c r="T78">
        <f t="shared" si="14"/>
        <v>37.841812499999996</v>
      </c>
      <c r="U78">
        <f t="shared" si="15"/>
        <v>9.1752015423749995</v>
      </c>
      <c r="X78" s="9"/>
      <c r="Y78" s="21">
        <v>0.29754599999999998</v>
      </c>
      <c r="Z78" s="21">
        <v>196.85</v>
      </c>
      <c r="AA78" s="21">
        <v>-5.9893799999999997E-2</v>
      </c>
      <c r="AB78" s="21">
        <v>68</v>
      </c>
      <c r="AC78" s="21">
        <v>0.29614299999999999</v>
      </c>
      <c r="AD78">
        <f t="shared" si="16"/>
        <v>37.433624999999999</v>
      </c>
      <c r="AE78">
        <f t="shared" si="17"/>
        <v>11.138225384249999</v>
      </c>
      <c r="AF78" s="9"/>
      <c r="AG78" s="21">
        <v>0.24246200000000001</v>
      </c>
      <c r="AH78" s="21">
        <v>253.626</v>
      </c>
      <c r="AI78" s="21">
        <v>-6.0424800000000001E-2</v>
      </c>
      <c r="AJ78" s="21">
        <v>68</v>
      </c>
      <c r="AK78" s="21">
        <v>0.24209600000000001</v>
      </c>
      <c r="AL78">
        <f t="shared" si="18"/>
        <v>37.765500000000003</v>
      </c>
      <c r="AM78">
        <f t="shared" si="19"/>
        <v>9.1566986610000018</v>
      </c>
      <c r="AP78" s="9"/>
      <c r="AQ78" s="21">
        <v>0.29754599999999998</v>
      </c>
      <c r="AR78" s="21">
        <v>302.76400000000001</v>
      </c>
      <c r="AS78" s="21">
        <v>-5.9863300000000001E-2</v>
      </c>
      <c r="AT78" s="21">
        <v>68</v>
      </c>
      <c r="AU78" s="21">
        <v>0.29614299999999999</v>
      </c>
      <c r="AV78">
        <f t="shared" si="20"/>
        <v>37.414562499999995</v>
      </c>
      <c r="AW78">
        <f t="shared" si="21"/>
        <v>11.132553413624997</v>
      </c>
      <c r="AX78" s="9"/>
      <c r="AY78" s="21">
        <v>0.24246200000000001</v>
      </c>
      <c r="AZ78" s="21">
        <v>339.93599999999998</v>
      </c>
      <c r="BA78" s="21">
        <v>-6.0516399999999998E-2</v>
      </c>
      <c r="BB78" s="21">
        <v>68</v>
      </c>
      <c r="BC78" s="21">
        <v>0.242035</v>
      </c>
      <c r="BD78">
        <f t="shared" si="22"/>
        <v>37.822749999999992</v>
      </c>
      <c r="BE78">
        <f t="shared" si="23"/>
        <v>9.170579610499999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0.29251100000000002</v>
      </c>
      <c r="H79" s="21">
        <v>110.078</v>
      </c>
      <c r="I79" s="21">
        <v>-6.0040299999999998E-2</v>
      </c>
      <c r="J79" s="21">
        <v>69</v>
      </c>
      <c r="K79" s="21">
        <v>0.29107699999999997</v>
      </c>
      <c r="L79">
        <f t="shared" si="12"/>
        <v>37.525187499999994</v>
      </c>
      <c r="M79">
        <f t="shared" si="13"/>
        <v>10.9765301208125</v>
      </c>
      <c r="N79" s="9"/>
      <c r="O79" s="21">
        <v>0.247498</v>
      </c>
      <c r="P79" s="21">
        <v>162.57900000000001</v>
      </c>
      <c r="Q79" s="21">
        <v>-6.0546900000000001E-2</v>
      </c>
      <c r="R79" s="21">
        <v>69</v>
      </c>
      <c r="S79" s="21">
        <v>0.24713099999999999</v>
      </c>
      <c r="T79">
        <f t="shared" si="14"/>
        <v>37.841812499999996</v>
      </c>
      <c r="U79">
        <f t="shared" si="15"/>
        <v>9.3657729101249991</v>
      </c>
      <c r="X79" s="9"/>
      <c r="Y79" s="21">
        <v>0.29251100000000002</v>
      </c>
      <c r="Z79" s="21">
        <v>196.95099999999999</v>
      </c>
      <c r="AA79" s="21">
        <v>-5.99762E-2</v>
      </c>
      <c r="AB79" s="21">
        <v>69</v>
      </c>
      <c r="AC79" s="21">
        <v>0.29113800000000001</v>
      </c>
      <c r="AD79">
        <f t="shared" si="16"/>
        <v>37.485125000000004</v>
      </c>
      <c r="AE79">
        <f t="shared" si="17"/>
        <v>10.964811398875002</v>
      </c>
      <c r="AF79" s="9"/>
      <c r="AG79" s="21">
        <v>0.247498</v>
      </c>
      <c r="AH79" s="21">
        <v>253.727</v>
      </c>
      <c r="AI79" s="21">
        <v>-6.0424800000000001E-2</v>
      </c>
      <c r="AJ79" s="21">
        <v>69</v>
      </c>
      <c r="AK79" s="21">
        <v>0.24716199999999999</v>
      </c>
      <c r="AL79">
        <f t="shared" si="18"/>
        <v>37.765500000000003</v>
      </c>
      <c r="AM79">
        <f t="shared" si="19"/>
        <v>9.3468857190000012</v>
      </c>
      <c r="AP79" s="9"/>
      <c r="AQ79" s="21">
        <v>0.29251100000000002</v>
      </c>
      <c r="AR79" s="21">
        <v>302.86500000000001</v>
      </c>
      <c r="AS79" s="21">
        <v>-5.9960899999999998E-2</v>
      </c>
      <c r="AT79" s="21">
        <v>69</v>
      </c>
      <c r="AU79" s="21">
        <v>0.29116799999999998</v>
      </c>
      <c r="AV79">
        <f t="shared" si="20"/>
        <v>37.475562499999995</v>
      </c>
      <c r="AW79">
        <f t="shared" si="21"/>
        <v>10.962014262437499</v>
      </c>
      <c r="AX79" s="9"/>
      <c r="AY79" s="21">
        <v>0.247498</v>
      </c>
      <c r="AZ79" s="21">
        <v>340.03699999999998</v>
      </c>
      <c r="BA79" s="21">
        <v>-6.0516399999999998E-2</v>
      </c>
      <c r="BB79" s="21">
        <v>69</v>
      </c>
      <c r="BC79" s="21">
        <v>0.24710099999999999</v>
      </c>
      <c r="BD79">
        <f t="shared" si="22"/>
        <v>37.822749999999992</v>
      </c>
      <c r="BE79">
        <f t="shared" si="23"/>
        <v>9.3610549794999987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0.28747600000000001</v>
      </c>
      <c r="H80" s="21">
        <v>110.178</v>
      </c>
      <c r="I80" s="21">
        <v>-6.0150099999999998E-2</v>
      </c>
      <c r="J80" s="21">
        <v>70</v>
      </c>
      <c r="K80" s="21">
        <v>0.286163</v>
      </c>
      <c r="L80">
        <f t="shared" si="12"/>
        <v>37.593812499999999</v>
      </c>
      <c r="M80">
        <f t="shared" si="13"/>
        <v>10.80731884225</v>
      </c>
      <c r="N80" s="9"/>
      <c r="O80" s="21">
        <v>0.25253300000000001</v>
      </c>
      <c r="P80" s="21">
        <v>162.68</v>
      </c>
      <c r="Q80" s="21">
        <v>-6.0455299999999997E-2</v>
      </c>
      <c r="R80" s="21">
        <v>70</v>
      </c>
      <c r="S80" s="21">
        <v>0.252106</v>
      </c>
      <c r="T80">
        <f t="shared" si="14"/>
        <v>37.784562499999993</v>
      </c>
      <c r="U80">
        <f t="shared" si="15"/>
        <v>9.5418489218124982</v>
      </c>
      <c r="X80" s="9"/>
      <c r="Y80" s="21">
        <v>0.28747600000000001</v>
      </c>
      <c r="Z80" s="21">
        <v>197.05199999999999</v>
      </c>
      <c r="AA80" s="21">
        <v>-6.0040299999999998E-2</v>
      </c>
      <c r="AB80" s="21">
        <v>70</v>
      </c>
      <c r="AC80" s="21">
        <v>0.28601100000000002</v>
      </c>
      <c r="AD80">
        <f t="shared" si="16"/>
        <v>37.525187499999994</v>
      </c>
      <c r="AE80">
        <f t="shared" si="17"/>
        <v>10.78759080175</v>
      </c>
      <c r="AF80" s="9"/>
      <c r="AG80" s="21">
        <v>0.25253300000000001</v>
      </c>
      <c r="AH80" s="21">
        <v>253.828</v>
      </c>
      <c r="AI80" s="21">
        <v>-6.0394299999999998E-2</v>
      </c>
      <c r="AJ80" s="21">
        <v>70</v>
      </c>
      <c r="AK80" s="21">
        <v>0.25213600000000003</v>
      </c>
      <c r="AL80">
        <f t="shared" si="18"/>
        <v>37.746437499999992</v>
      </c>
      <c r="AM80">
        <f t="shared" si="19"/>
        <v>9.5322211011874991</v>
      </c>
      <c r="AP80" s="9"/>
      <c r="AQ80" s="21">
        <v>0.28747600000000001</v>
      </c>
      <c r="AR80" s="21">
        <v>302.96499999999997</v>
      </c>
      <c r="AS80" s="21">
        <v>-6.0028100000000001E-2</v>
      </c>
      <c r="AT80" s="21">
        <v>70</v>
      </c>
      <c r="AU80" s="21">
        <v>0.28610200000000002</v>
      </c>
      <c r="AV80">
        <f t="shared" si="20"/>
        <v>37.517562499999997</v>
      </c>
      <c r="AW80">
        <f t="shared" si="21"/>
        <v>10.78539879725</v>
      </c>
      <c r="AX80" s="9"/>
      <c r="AY80" s="21">
        <v>0.25253300000000001</v>
      </c>
      <c r="AZ80" s="21">
        <v>340.13799999999998</v>
      </c>
      <c r="BA80" s="21">
        <v>-6.0424800000000001E-2</v>
      </c>
      <c r="BB80" s="21">
        <v>70</v>
      </c>
      <c r="BC80" s="21">
        <v>0.25207499999999999</v>
      </c>
      <c r="BD80">
        <f t="shared" si="22"/>
        <v>37.765500000000003</v>
      </c>
      <c r="BE80">
        <f t="shared" si="23"/>
        <v>9.5370350115000004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0.28244000000000002</v>
      </c>
      <c r="H81" s="21">
        <v>110.279</v>
      </c>
      <c r="I81" s="21">
        <v>-6.01685E-2</v>
      </c>
      <c r="J81" s="21">
        <v>71</v>
      </c>
      <c r="K81" s="21">
        <v>0.28103600000000001</v>
      </c>
      <c r="L81">
        <f t="shared" si="12"/>
        <v>37.605312499999997</v>
      </c>
      <c r="M81">
        <f t="shared" si="13"/>
        <v>10.6212444625</v>
      </c>
      <c r="N81" s="9"/>
      <c r="O81" s="21">
        <v>0.25756800000000002</v>
      </c>
      <c r="P81" s="21">
        <v>162.78100000000001</v>
      </c>
      <c r="Q81" s="21">
        <v>-6.0424800000000001E-2</v>
      </c>
      <c r="R81" s="21">
        <v>71</v>
      </c>
      <c r="S81" s="21">
        <v>0.25720199999999999</v>
      </c>
      <c r="T81">
        <f t="shared" si="14"/>
        <v>37.765500000000003</v>
      </c>
      <c r="U81">
        <f t="shared" si="15"/>
        <v>9.7271843040000014</v>
      </c>
      <c r="X81" s="9"/>
      <c r="Y81" s="21">
        <v>0.28244000000000002</v>
      </c>
      <c r="Z81" s="21">
        <v>197.15199999999999</v>
      </c>
      <c r="AA81" s="21">
        <v>-6.0107399999999998E-2</v>
      </c>
      <c r="AB81" s="21">
        <v>71</v>
      </c>
      <c r="AC81" s="21">
        <v>0.28106700000000001</v>
      </c>
      <c r="AD81">
        <f t="shared" si="16"/>
        <v>37.567124999999997</v>
      </c>
      <c r="AE81">
        <f t="shared" si="17"/>
        <v>10.610458785000001</v>
      </c>
      <c r="AF81" s="9"/>
      <c r="AG81" s="21">
        <v>0.25756800000000002</v>
      </c>
      <c r="AH81" s="21">
        <v>253.928</v>
      </c>
      <c r="AI81" s="21">
        <v>-6.0363800000000002E-2</v>
      </c>
      <c r="AJ81" s="21">
        <v>71</v>
      </c>
      <c r="AK81" s="21">
        <v>0.25717200000000001</v>
      </c>
      <c r="AL81">
        <f t="shared" si="18"/>
        <v>37.727375000000002</v>
      </c>
      <c r="AM81">
        <f t="shared" si="19"/>
        <v>9.7173645240000006</v>
      </c>
      <c r="AP81" s="9"/>
      <c r="AQ81" s="21">
        <v>0.28244000000000002</v>
      </c>
      <c r="AR81" s="21">
        <v>303.06599999999997</v>
      </c>
      <c r="AS81" s="21">
        <v>-6.00616E-2</v>
      </c>
      <c r="AT81" s="21">
        <v>71</v>
      </c>
      <c r="AU81" s="21">
        <v>0.28109699999999999</v>
      </c>
      <c r="AV81">
        <f t="shared" si="20"/>
        <v>37.538499999999992</v>
      </c>
      <c r="AW81">
        <f t="shared" si="21"/>
        <v>10.602373939999998</v>
      </c>
      <c r="AX81" s="9"/>
      <c r="AY81" s="21">
        <v>0.25756800000000002</v>
      </c>
      <c r="AZ81" s="21">
        <v>340.238</v>
      </c>
      <c r="BA81" s="21">
        <v>-6.0363800000000002E-2</v>
      </c>
      <c r="BB81" s="21">
        <v>71</v>
      </c>
      <c r="BC81" s="21">
        <v>0.25720199999999999</v>
      </c>
      <c r="BD81">
        <f t="shared" si="22"/>
        <v>37.727375000000002</v>
      </c>
      <c r="BE81">
        <f t="shared" si="23"/>
        <v>9.7173645240000006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0.27740500000000001</v>
      </c>
      <c r="H82" s="21">
        <v>110.38</v>
      </c>
      <c r="I82" s="21">
        <v>-6.0214200000000002E-2</v>
      </c>
      <c r="J82" s="21">
        <v>72</v>
      </c>
      <c r="K82" s="21">
        <v>0.27606199999999997</v>
      </c>
      <c r="L82">
        <f t="shared" si="12"/>
        <v>37.633874999999996</v>
      </c>
      <c r="M82">
        <f t="shared" si="13"/>
        <v>10.439825094374999</v>
      </c>
      <c r="N82" s="9"/>
      <c r="O82" s="21">
        <v>0.262604</v>
      </c>
      <c r="P82" s="21">
        <v>162.88200000000001</v>
      </c>
      <c r="Q82" s="21">
        <v>-6.0363800000000002E-2</v>
      </c>
      <c r="R82" s="21">
        <v>72</v>
      </c>
      <c r="S82" s="21">
        <v>0.26214599999999999</v>
      </c>
      <c r="T82">
        <f t="shared" si="14"/>
        <v>37.727375000000002</v>
      </c>
      <c r="U82">
        <f t="shared" si="15"/>
        <v>9.9073595845</v>
      </c>
      <c r="X82" s="9"/>
      <c r="Y82" s="21">
        <v>0.27740500000000001</v>
      </c>
      <c r="Z82" s="21">
        <v>197.25299999999999</v>
      </c>
      <c r="AA82" s="21">
        <v>-6.0171500000000003E-2</v>
      </c>
      <c r="AB82" s="21">
        <v>72</v>
      </c>
      <c r="AC82" s="21">
        <v>0.27603100000000003</v>
      </c>
      <c r="AD82">
        <f t="shared" si="16"/>
        <v>37.607187500000002</v>
      </c>
      <c r="AE82">
        <f t="shared" si="17"/>
        <v>10.432421848437501</v>
      </c>
      <c r="AF82" s="9"/>
      <c r="AG82" s="21">
        <v>0.262604</v>
      </c>
      <c r="AH82" s="21">
        <v>254.029</v>
      </c>
      <c r="AI82" s="21">
        <v>-6.0333299999999999E-2</v>
      </c>
      <c r="AJ82" s="21">
        <v>72</v>
      </c>
      <c r="AK82" s="21">
        <v>0.26214599999999999</v>
      </c>
      <c r="AL82">
        <f t="shared" si="18"/>
        <v>37.708312499999998</v>
      </c>
      <c r="AM82">
        <f t="shared" si="19"/>
        <v>9.9023536957499996</v>
      </c>
      <c r="AP82" s="9"/>
      <c r="AQ82" s="21">
        <v>0.27740500000000001</v>
      </c>
      <c r="AR82" s="21">
        <v>303.16699999999997</v>
      </c>
      <c r="AS82" s="21">
        <v>-6.0122700000000001E-2</v>
      </c>
      <c r="AT82" s="21">
        <v>72</v>
      </c>
      <c r="AU82" s="21">
        <v>0.27603100000000003</v>
      </c>
      <c r="AV82">
        <f t="shared" si="20"/>
        <v>37.576687499999998</v>
      </c>
      <c r="AW82">
        <f t="shared" si="21"/>
        <v>10.423960995937501</v>
      </c>
      <c r="AX82" s="9"/>
      <c r="AY82" s="21">
        <v>0.262604</v>
      </c>
      <c r="AZ82" s="21">
        <v>340.339</v>
      </c>
      <c r="BA82" s="21">
        <v>-6.0211199999999999E-2</v>
      </c>
      <c r="BB82" s="21">
        <v>72</v>
      </c>
      <c r="BC82" s="21">
        <v>0.26220700000000002</v>
      </c>
      <c r="BD82">
        <f t="shared" si="22"/>
        <v>37.631999999999998</v>
      </c>
      <c r="BE82">
        <f t="shared" si="23"/>
        <v>9.8823137279999997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0.27236900000000003</v>
      </c>
      <c r="H83" s="21">
        <v>110.48</v>
      </c>
      <c r="I83" s="21">
        <v>-6.0302700000000001E-2</v>
      </c>
      <c r="J83" s="21">
        <v>73</v>
      </c>
      <c r="K83" s="21">
        <v>0.27096599999999998</v>
      </c>
      <c r="L83">
        <f t="shared" si="12"/>
        <v>37.689187499999996</v>
      </c>
      <c r="M83">
        <f t="shared" si="13"/>
        <v>10.265366310187499</v>
      </c>
      <c r="N83" s="9"/>
      <c r="O83" s="21">
        <v>0.26763900000000002</v>
      </c>
      <c r="P83" s="21">
        <v>162.982</v>
      </c>
      <c r="Q83" s="21">
        <v>-6.0272199999999998E-2</v>
      </c>
      <c r="R83" s="21">
        <v>73</v>
      </c>
      <c r="S83" s="21">
        <v>0.26721200000000001</v>
      </c>
      <c r="T83">
        <f t="shared" si="14"/>
        <v>37.670124999999999</v>
      </c>
      <c r="U83">
        <f t="shared" si="15"/>
        <v>10.081994584875</v>
      </c>
      <c r="X83" s="9"/>
      <c r="Y83" s="21">
        <v>0.27236900000000003</v>
      </c>
      <c r="Z83" s="21">
        <v>197.35400000000001</v>
      </c>
      <c r="AA83" s="21">
        <v>-6.0211199999999999E-2</v>
      </c>
      <c r="AB83" s="21">
        <v>73</v>
      </c>
      <c r="AC83" s="21">
        <v>0.27093499999999998</v>
      </c>
      <c r="AD83">
        <f t="shared" si="16"/>
        <v>37.631999999999998</v>
      </c>
      <c r="AE83">
        <f t="shared" si="17"/>
        <v>10.249790208</v>
      </c>
      <c r="AF83" s="9"/>
      <c r="AG83" s="21">
        <v>0.26763900000000002</v>
      </c>
      <c r="AH83" s="21">
        <v>254.13</v>
      </c>
      <c r="AI83" s="21">
        <v>-6.0272199999999998E-2</v>
      </c>
      <c r="AJ83" s="21">
        <v>73</v>
      </c>
      <c r="AK83" s="21">
        <v>0.26724199999999998</v>
      </c>
      <c r="AL83">
        <f t="shared" si="18"/>
        <v>37.670124999999999</v>
      </c>
      <c r="AM83">
        <f t="shared" si="19"/>
        <v>10.081994584875</v>
      </c>
      <c r="AP83" s="9"/>
      <c r="AQ83" s="21">
        <v>0.27236900000000003</v>
      </c>
      <c r="AR83" s="21">
        <v>303.267</v>
      </c>
      <c r="AS83" s="21">
        <v>-6.0211199999999999E-2</v>
      </c>
      <c r="AT83" s="21">
        <v>73</v>
      </c>
      <c r="AU83" s="21">
        <v>0.27105699999999999</v>
      </c>
      <c r="AV83">
        <f t="shared" si="20"/>
        <v>37.631999999999998</v>
      </c>
      <c r="AW83">
        <f t="shared" si="21"/>
        <v>10.249790208</v>
      </c>
      <c r="AX83" s="9"/>
      <c r="AY83" s="21">
        <v>0.26763900000000002</v>
      </c>
      <c r="AZ83" s="21">
        <v>340.44</v>
      </c>
      <c r="BA83" s="21">
        <v>-6.0180699999999997E-2</v>
      </c>
      <c r="BB83" s="21">
        <v>73</v>
      </c>
      <c r="BC83" s="21">
        <v>0.26724199999999998</v>
      </c>
      <c r="BD83">
        <f t="shared" si="22"/>
        <v>37.612937500000001</v>
      </c>
      <c r="BE83">
        <f t="shared" si="23"/>
        <v>10.066688979562501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0.26733400000000002</v>
      </c>
      <c r="H84" s="21">
        <v>110.581</v>
      </c>
      <c r="I84" s="21">
        <v>-6.0382100000000001E-2</v>
      </c>
      <c r="J84" s="21">
        <v>74</v>
      </c>
      <c r="K84" s="21">
        <v>0.265961</v>
      </c>
      <c r="L84">
        <f t="shared" si="12"/>
        <v>37.738812499999995</v>
      </c>
      <c r="M84">
        <f t="shared" si="13"/>
        <v>10.088867700874999</v>
      </c>
      <c r="N84" s="9"/>
      <c r="O84" s="21">
        <v>0.272675</v>
      </c>
      <c r="P84" s="21">
        <v>163.083</v>
      </c>
      <c r="Q84" s="21">
        <v>-6.0272199999999998E-2</v>
      </c>
      <c r="R84" s="21">
        <v>74</v>
      </c>
      <c r="S84" s="21">
        <v>0.272339</v>
      </c>
      <c r="T84">
        <f t="shared" si="14"/>
        <v>37.670124999999999</v>
      </c>
      <c r="U84">
        <f t="shared" si="15"/>
        <v>10.271701334374999</v>
      </c>
      <c r="X84" s="9"/>
      <c r="Y84" s="21">
        <v>0.26733400000000002</v>
      </c>
      <c r="Z84" s="21">
        <v>197.45400000000001</v>
      </c>
      <c r="AA84" s="21">
        <v>-6.0287500000000001E-2</v>
      </c>
      <c r="AB84" s="21">
        <v>74</v>
      </c>
      <c r="AC84" s="21">
        <v>0.26602199999999998</v>
      </c>
      <c r="AD84">
        <f t="shared" si="16"/>
        <v>37.679687499999993</v>
      </c>
      <c r="AE84">
        <f t="shared" si="17"/>
        <v>10.073061578124999</v>
      </c>
      <c r="AF84" s="9"/>
      <c r="AG84" s="21">
        <v>0.272675</v>
      </c>
      <c r="AH84" s="21">
        <v>254.23</v>
      </c>
      <c r="AI84" s="21">
        <v>-6.0180699999999997E-2</v>
      </c>
      <c r="AJ84" s="21">
        <v>74</v>
      </c>
      <c r="AK84" s="21">
        <v>0.27230799999999999</v>
      </c>
      <c r="AL84">
        <f t="shared" si="18"/>
        <v>37.612937500000001</v>
      </c>
      <c r="AM84">
        <f t="shared" si="19"/>
        <v>10.256107732812501</v>
      </c>
      <c r="AP84" s="9"/>
      <c r="AQ84" s="21">
        <v>0.26733400000000002</v>
      </c>
      <c r="AR84" s="21">
        <v>303.36799999999999</v>
      </c>
      <c r="AS84" s="21">
        <v>-6.02631E-2</v>
      </c>
      <c r="AT84" s="21">
        <v>74</v>
      </c>
      <c r="AU84" s="21">
        <v>0.265961</v>
      </c>
      <c r="AV84">
        <f t="shared" si="20"/>
        <v>37.664437499999998</v>
      </c>
      <c r="AW84">
        <f t="shared" si="21"/>
        <v>10.068984734624999</v>
      </c>
      <c r="AX84" s="9"/>
      <c r="AY84" s="21">
        <v>0.272675</v>
      </c>
      <c r="AZ84" s="21">
        <v>340.541</v>
      </c>
      <c r="BA84" s="21">
        <v>-6.0150099999999998E-2</v>
      </c>
      <c r="BB84" s="21">
        <v>74</v>
      </c>
      <c r="BC84" s="21">
        <v>0.27227800000000002</v>
      </c>
      <c r="BD84">
        <f t="shared" si="22"/>
        <v>37.593812499999999</v>
      </c>
      <c r="BE84">
        <f t="shared" si="23"/>
        <v>10.2508928234375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0.262299</v>
      </c>
      <c r="H85" s="21">
        <v>110.682</v>
      </c>
      <c r="I85" s="21">
        <v>-6.0397300000000001E-2</v>
      </c>
      <c r="J85" s="21">
        <v>75</v>
      </c>
      <c r="K85" s="21">
        <v>0.26086399999999998</v>
      </c>
      <c r="L85">
        <f t="shared" si="12"/>
        <v>37.748312499999997</v>
      </c>
      <c r="M85">
        <f t="shared" si="13"/>
        <v>9.9013446204374986</v>
      </c>
      <c r="N85" s="9"/>
      <c r="O85" s="21">
        <v>0.27771000000000001</v>
      </c>
      <c r="P85" s="21">
        <v>163.184</v>
      </c>
      <c r="Q85" s="21">
        <v>-6.0180699999999997E-2</v>
      </c>
      <c r="R85" s="21">
        <v>75</v>
      </c>
      <c r="S85" s="21">
        <v>0.277283</v>
      </c>
      <c r="T85">
        <f t="shared" si="14"/>
        <v>37.612937500000001</v>
      </c>
      <c r="U85">
        <f t="shared" si="15"/>
        <v>10.445488873125001</v>
      </c>
      <c r="X85" s="9"/>
      <c r="Y85" s="21">
        <v>0.262299</v>
      </c>
      <c r="Z85" s="21">
        <v>197.55500000000001</v>
      </c>
      <c r="AA85" s="21">
        <v>-6.0363800000000002E-2</v>
      </c>
      <c r="AB85" s="21">
        <v>75</v>
      </c>
      <c r="AC85" s="21">
        <v>0.26092500000000002</v>
      </c>
      <c r="AD85">
        <f t="shared" si="16"/>
        <v>37.727375000000002</v>
      </c>
      <c r="AE85">
        <f t="shared" si="17"/>
        <v>9.8958527351250005</v>
      </c>
      <c r="AF85" s="9"/>
      <c r="AG85" s="21">
        <v>0.27771000000000001</v>
      </c>
      <c r="AH85" s="21">
        <v>254.33099999999999</v>
      </c>
      <c r="AI85" s="21">
        <v>-6.0119600000000002E-2</v>
      </c>
      <c r="AJ85" s="21">
        <v>75</v>
      </c>
      <c r="AK85" s="21">
        <v>0.27731299999999998</v>
      </c>
      <c r="AL85">
        <f t="shared" si="18"/>
        <v>37.574749999999995</v>
      </c>
      <c r="AM85">
        <f t="shared" si="19"/>
        <v>10.4348838225</v>
      </c>
      <c r="AP85" s="9"/>
      <c r="AQ85" s="21">
        <v>0.262299</v>
      </c>
      <c r="AR85" s="21">
        <v>303.46899999999999</v>
      </c>
      <c r="AS85" s="21">
        <v>-6.0314899999999998E-2</v>
      </c>
      <c r="AT85" s="21">
        <v>75</v>
      </c>
      <c r="AU85" s="21">
        <v>0.26092500000000002</v>
      </c>
      <c r="AV85">
        <f t="shared" si="20"/>
        <v>37.696812499999993</v>
      </c>
      <c r="AW85">
        <f t="shared" si="21"/>
        <v>9.8878362219374978</v>
      </c>
      <c r="AX85" s="9"/>
      <c r="AY85" s="21">
        <v>0.27771000000000001</v>
      </c>
      <c r="AZ85" s="21">
        <v>340.64100000000002</v>
      </c>
      <c r="BA85" s="21">
        <v>-6.0119600000000002E-2</v>
      </c>
      <c r="BB85" s="21">
        <v>75</v>
      </c>
      <c r="BC85" s="21">
        <v>0.27734399999999998</v>
      </c>
      <c r="BD85">
        <f t="shared" si="22"/>
        <v>37.574749999999995</v>
      </c>
      <c r="BE85">
        <f t="shared" si="23"/>
        <v>10.4348838225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0.25726300000000002</v>
      </c>
      <c r="H86" s="21">
        <v>110.783</v>
      </c>
      <c r="I86" s="21">
        <v>-6.0485799999999999E-2</v>
      </c>
      <c r="J86" s="21">
        <v>76</v>
      </c>
      <c r="K86" s="21">
        <v>0.25582899999999997</v>
      </c>
      <c r="L86">
        <f t="shared" si="12"/>
        <v>37.803625000000004</v>
      </c>
      <c r="M86">
        <f t="shared" si="13"/>
        <v>9.7254739783750015</v>
      </c>
      <c r="N86" s="9"/>
      <c r="O86" s="21">
        <v>0.28274500000000002</v>
      </c>
      <c r="P86" s="21">
        <v>163.28399999999999</v>
      </c>
      <c r="Q86" s="21">
        <v>-6.0089099999999999E-2</v>
      </c>
      <c r="R86" s="21">
        <v>76</v>
      </c>
      <c r="S86" s="21">
        <v>0.28231800000000001</v>
      </c>
      <c r="T86">
        <f t="shared" si="14"/>
        <v>37.555687499999998</v>
      </c>
      <c r="U86">
        <f t="shared" si="15"/>
        <v>10.6186828621875</v>
      </c>
      <c r="X86" s="9"/>
      <c r="Y86" s="21">
        <v>0.25726300000000002</v>
      </c>
      <c r="Z86" s="21">
        <v>197.65600000000001</v>
      </c>
      <c r="AA86" s="21">
        <v>-6.0406500000000002E-2</v>
      </c>
      <c r="AB86" s="21">
        <v>76</v>
      </c>
      <c r="AC86" s="21">
        <v>0.255859</v>
      </c>
      <c r="AD86">
        <f t="shared" si="16"/>
        <v>37.754062499999996</v>
      </c>
      <c r="AE86">
        <f t="shared" si="17"/>
        <v>9.7127233809375007</v>
      </c>
      <c r="AF86" s="9"/>
      <c r="AG86" s="21">
        <v>0.28274500000000002</v>
      </c>
      <c r="AH86" s="21">
        <v>254.43199999999999</v>
      </c>
      <c r="AI86" s="21">
        <v>-6.0028100000000001E-2</v>
      </c>
      <c r="AJ86" s="21">
        <v>76</v>
      </c>
      <c r="AK86" s="21">
        <v>0.28234900000000002</v>
      </c>
      <c r="AL86">
        <f t="shared" si="18"/>
        <v>37.517562499999997</v>
      </c>
      <c r="AM86">
        <f t="shared" si="19"/>
        <v>10.607903209062499</v>
      </c>
      <c r="AP86" s="9"/>
      <c r="AQ86" s="21">
        <v>0.25726300000000002</v>
      </c>
      <c r="AR86" s="21">
        <v>303.57</v>
      </c>
      <c r="AS86" s="21">
        <v>-6.0366799999999998E-2</v>
      </c>
      <c r="AT86" s="21">
        <v>76</v>
      </c>
      <c r="AU86" s="21">
        <v>0.255859</v>
      </c>
      <c r="AV86">
        <f t="shared" si="20"/>
        <v>37.72925</v>
      </c>
      <c r="AW86">
        <f t="shared" si="21"/>
        <v>9.70634004275</v>
      </c>
      <c r="AX86" s="9"/>
      <c r="AY86" s="21">
        <v>0.28274500000000002</v>
      </c>
      <c r="AZ86" s="21">
        <v>340.74200000000002</v>
      </c>
      <c r="BA86" s="21">
        <v>-6.0089099999999999E-2</v>
      </c>
      <c r="BB86" s="21">
        <v>76</v>
      </c>
      <c r="BC86" s="21">
        <v>0.28231800000000001</v>
      </c>
      <c r="BD86">
        <f t="shared" si="22"/>
        <v>37.555687499999998</v>
      </c>
      <c r="BE86">
        <f t="shared" si="23"/>
        <v>10.6186828621875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0.25222800000000001</v>
      </c>
      <c r="H87" s="21">
        <v>110.883</v>
      </c>
      <c r="I87" s="21">
        <v>-6.0498000000000003E-2</v>
      </c>
      <c r="J87" s="21">
        <v>77</v>
      </c>
      <c r="K87" s="21">
        <v>0.25088500000000002</v>
      </c>
      <c r="L87">
        <f t="shared" si="12"/>
        <v>37.811250000000001</v>
      </c>
      <c r="M87">
        <f t="shared" si="13"/>
        <v>9.5370559650000004</v>
      </c>
      <c r="N87" s="9"/>
      <c r="O87" s="21">
        <v>0.28778100000000001</v>
      </c>
      <c r="P87" s="21">
        <v>163.38499999999999</v>
      </c>
      <c r="Q87" s="21">
        <v>-6.0028100000000001E-2</v>
      </c>
      <c r="R87" s="21">
        <v>77</v>
      </c>
      <c r="S87" s="21">
        <v>0.28738399999999997</v>
      </c>
      <c r="T87">
        <f t="shared" si="14"/>
        <v>37.517562499999997</v>
      </c>
      <c r="U87">
        <f t="shared" si="15"/>
        <v>10.7968416538125</v>
      </c>
      <c r="X87" s="9"/>
      <c r="Y87" s="21">
        <v>0.25222800000000001</v>
      </c>
      <c r="Z87" s="21">
        <v>197.75700000000001</v>
      </c>
      <c r="AA87" s="21">
        <v>-6.0498000000000003E-2</v>
      </c>
      <c r="AB87" s="21">
        <v>77</v>
      </c>
      <c r="AC87" s="21">
        <v>0.25079299999999999</v>
      </c>
      <c r="AD87">
        <f t="shared" si="16"/>
        <v>37.811250000000001</v>
      </c>
      <c r="AE87">
        <f t="shared" si="17"/>
        <v>9.5370559650000004</v>
      </c>
      <c r="AF87" s="9"/>
      <c r="AG87" s="21">
        <v>0.28778100000000001</v>
      </c>
      <c r="AH87" s="21">
        <v>254.53200000000001</v>
      </c>
      <c r="AI87" s="21">
        <v>-5.9997599999999998E-2</v>
      </c>
      <c r="AJ87" s="21">
        <v>77</v>
      </c>
      <c r="AK87" s="21">
        <v>0.28741499999999998</v>
      </c>
      <c r="AL87">
        <f t="shared" si="18"/>
        <v>37.4985</v>
      </c>
      <c r="AM87">
        <f t="shared" si="19"/>
        <v>10.7913558285</v>
      </c>
      <c r="AP87" s="9"/>
      <c r="AQ87" s="21">
        <v>0.25222800000000001</v>
      </c>
      <c r="AR87" s="21">
        <v>303.67</v>
      </c>
      <c r="AS87" s="21">
        <v>-6.0434000000000002E-2</v>
      </c>
      <c r="AT87" s="21">
        <v>77</v>
      </c>
      <c r="AU87" s="21">
        <v>0.25088500000000002</v>
      </c>
      <c r="AV87">
        <f t="shared" si="20"/>
        <v>37.771250000000002</v>
      </c>
      <c r="AW87">
        <f t="shared" si="21"/>
        <v>9.5269668450000005</v>
      </c>
      <c r="AX87" s="9"/>
      <c r="AY87" s="21">
        <v>0.28778100000000001</v>
      </c>
      <c r="AZ87" s="21">
        <v>340.84300000000002</v>
      </c>
      <c r="BA87" s="21">
        <v>-6.0058599999999997E-2</v>
      </c>
      <c r="BB87" s="21">
        <v>77</v>
      </c>
      <c r="BC87" s="21">
        <v>0.28738399999999997</v>
      </c>
      <c r="BD87">
        <f t="shared" si="22"/>
        <v>37.536624999999994</v>
      </c>
      <c r="BE87">
        <f t="shared" si="23"/>
        <v>10.802327479124999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0.247192</v>
      </c>
      <c r="H88" s="21">
        <v>110.98399999999999</v>
      </c>
      <c r="I88" s="21">
        <v>-6.0559099999999998E-2</v>
      </c>
      <c r="J88" s="21">
        <v>78</v>
      </c>
      <c r="K88" s="21">
        <v>0.24585000000000001</v>
      </c>
      <c r="L88">
        <f t="shared" si="12"/>
        <v>37.849437500000001</v>
      </c>
      <c r="M88">
        <f t="shared" si="13"/>
        <v>9.3560781545000005</v>
      </c>
      <c r="N88" s="9"/>
      <c r="O88" s="21">
        <v>0.29281600000000002</v>
      </c>
      <c r="P88" s="21">
        <v>163.48599999999999</v>
      </c>
      <c r="Q88" s="21">
        <v>-5.9966999999999999E-2</v>
      </c>
      <c r="R88" s="21">
        <v>78</v>
      </c>
      <c r="S88" s="21">
        <v>0.29238900000000001</v>
      </c>
      <c r="T88">
        <f t="shared" si="14"/>
        <v>37.479374999999997</v>
      </c>
      <c r="U88">
        <f t="shared" si="15"/>
        <v>10.974560670000001</v>
      </c>
      <c r="X88" s="9"/>
      <c r="Y88" s="21">
        <v>0.247192</v>
      </c>
      <c r="Z88" s="21">
        <v>197.857</v>
      </c>
      <c r="AA88" s="21">
        <v>-6.0507199999999997E-2</v>
      </c>
      <c r="AB88" s="21">
        <v>78</v>
      </c>
      <c r="AC88" s="21">
        <v>0.24591099999999999</v>
      </c>
      <c r="AD88">
        <f t="shared" si="16"/>
        <v>37.816999999999993</v>
      </c>
      <c r="AE88">
        <f t="shared" si="17"/>
        <v>9.3480598639999979</v>
      </c>
      <c r="AF88" s="9"/>
      <c r="AG88" s="21">
        <v>0.29281600000000002</v>
      </c>
      <c r="AH88" s="21">
        <v>254.63300000000001</v>
      </c>
      <c r="AI88" s="21">
        <v>-5.9906000000000001E-2</v>
      </c>
      <c r="AJ88" s="21">
        <v>78</v>
      </c>
      <c r="AK88" s="21">
        <v>0.29238900000000001</v>
      </c>
      <c r="AL88">
        <f t="shared" si="18"/>
        <v>37.441249999999997</v>
      </c>
      <c r="AM88">
        <f t="shared" si="19"/>
        <v>10.96339706</v>
      </c>
      <c r="AP88" s="9"/>
      <c r="AQ88" s="21">
        <v>0.247192</v>
      </c>
      <c r="AR88" s="21">
        <v>303.77100000000002</v>
      </c>
      <c r="AS88" s="21">
        <v>-6.0449200000000002E-2</v>
      </c>
      <c r="AT88" s="21">
        <v>78</v>
      </c>
      <c r="AU88" s="21">
        <v>0.24591099999999999</v>
      </c>
      <c r="AV88">
        <f t="shared" si="20"/>
        <v>37.780750000000005</v>
      </c>
      <c r="AW88">
        <f t="shared" si="21"/>
        <v>9.3390991540000012</v>
      </c>
      <c r="AX88" s="9"/>
      <c r="AY88" s="21">
        <v>0.29281600000000002</v>
      </c>
      <c r="AZ88" s="21">
        <v>340.94299999999998</v>
      </c>
      <c r="BA88" s="21">
        <v>-5.9966999999999999E-2</v>
      </c>
      <c r="BB88" s="21">
        <v>78</v>
      </c>
      <c r="BC88" s="21">
        <v>0.29235800000000001</v>
      </c>
      <c r="BD88">
        <f t="shared" si="22"/>
        <v>37.479374999999997</v>
      </c>
      <c r="BE88">
        <f t="shared" si="23"/>
        <v>10.974560670000001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0.24215700000000001</v>
      </c>
      <c r="H89" s="21">
        <v>111.08499999999999</v>
      </c>
      <c r="I89" s="21">
        <v>-6.0583499999999998E-2</v>
      </c>
      <c r="J89" s="21">
        <v>79</v>
      </c>
      <c r="K89" s="21">
        <v>0.24072299999999999</v>
      </c>
      <c r="L89">
        <f t="shared" si="12"/>
        <v>37.864687499999995</v>
      </c>
      <c r="M89">
        <f t="shared" si="13"/>
        <v>9.1691991309374998</v>
      </c>
      <c r="N89" s="9"/>
      <c r="O89" s="21">
        <v>0.29785200000000001</v>
      </c>
      <c r="P89" s="21">
        <v>163.58699999999999</v>
      </c>
      <c r="Q89" s="21">
        <v>-5.9875499999999998E-2</v>
      </c>
      <c r="R89" s="21">
        <v>79</v>
      </c>
      <c r="S89" s="21">
        <v>0.29739399999999999</v>
      </c>
      <c r="T89">
        <f t="shared" si="14"/>
        <v>37.422187499999993</v>
      </c>
      <c r="U89">
        <f t="shared" si="15"/>
        <v>11.146273391249998</v>
      </c>
      <c r="X89" s="9"/>
      <c r="Y89" s="21">
        <v>0.24215700000000001</v>
      </c>
      <c r="Z89" s="21">
        <v>197.958</v>
      </c>
      <c r="AA89" s="21">
        <v>-6.0559099999999998E-2</v>
      </c>
      <c r="AB89" s="21">
        <v>79</v>
      </c>
      <c r="AC89" s="21">
        <v>0.24066199999999999</v>
      </c>
      <c r="AD89">
        <f t="shared" si="16"/>
        <v>37.849437500000001</v>
      </c>
      <c r="AE89">
        <f t="shared" si="17"/>
        <v>9.1655062366875004</v>
      </c>
      <c r="AF89" s="9"/>
      <c r="AG89" s="21">
        <v>0.29785200000000001</v>
      </c>
      <c r="AH89" s="21">
        <v>254.73400000000001</v>
      </c>
      <c r="AI89" s="21">
        <v>-5.9845000000000002E-2</v>
      </c>
      <c r="AJ89" s="21">
        <v>79</v>
      </c>
      <c r="AK89" s="21">
        <v>0.297485</v>
      </c>
      <c r="AL89">
        <f t="shared" si="18"/>
        <v>37.403125000000003</v>
      </c>
      <c r="AM89">
        <f t="shared" si="19"/>
        <v>11.140595587500002</v>
      </c>
      <c r="AP89" s="9"/>
      <c r="AQ89" s="21">
        <v>0.24215700000000001</v>
      </c>
      <c r="AR89" s="21">
        <v>303.87200000000001</v>
      </c>
      <c r="AS89" s="21">
        <v>-6.0540799999999999E-2</v>
      </c>
      <c r="AT89" s="21">
        <v>79</v>
      </c>
      <c r="AU89" s="21">
        <v>0.240784</v>
      </c>
      <c r="AV89">
        <f t="shared" si="20"/>
        <v>37.837999999999994</v>
      </c>
      <c r="AW89">
        <f t="shared" si="21"/>
        <v>9.1627365659999995</v>
      </c>
      <c r="AX89" s="9"/>
      <c r="AY89" s="21">
        <v>0.29785200000000001</v>
      </c>
      <c r="AZ89" s="21">
        <v>341.04399999999998</v>
      </c>
      <c r="BA89" s="21">
        <v>-5.9906000000000001E-2</v>
      </c>
      <c r="BB89" s="21">
        <v>79</v>
      </c>
      <c r="BC89" s="21">
        <v>0.29742400000000002</v>
      </c>
      <c r="BD89">
        <f t="shared" si="22"/>
        <v>37.441249999999997</v>
      </c>
      <c r="BE89">
        <f t="shared" si="23"/>
        <v>11.151951194999999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0.237122</v>
      </c>
      <c r="H90" s="21">
        <v>111.185</v>
      </c>
      <c r="I90" s="21">
        <v>-6.0656700000000001E-2</v>
      </c>
      <c r="J90" s="21">
        <v>80</v>
      </c>
      <c r="K90" s="21">
        <v>0.23568700000000001</v>
      </c>
      <c r="L90">
        <f t="shared" si="12"/>
        <v>37.9104375</v>
      </c>
      <c r="M90">
        <f t="shared" si="13"/>
        <v>8.9893987608749999</v>
      </c>
      <c r="N90" s="9"/>
      <c r="O90" s="21">
        <v>0.30288700000000002</v>
      </c>
      <c r="P90" s="21">
        <v>163.68700000000001</v>
      </c>
      <c r="Q90" s="21">
        <v>-5.9845000000000002E-2</v>
      </c>
      <c r="R90" s="21">
        <v>80</v>
      </c>
      <c r="S90" s="21">
        <v>0.30246000000000001</v>
      </c>
      <c r="T90">
        <f t="shared" si="14"/>
        <v>37.403125000000003</v>
      </c>
      <c r="U90">
        <f t="shared" si="15"/>
        <v>11.328920321875001</v>
      </c>
      <c r="X90" s="9"/>
      <c r="Y90" s="21">
        <v>0.237122</v>
      </c>
      <c r="Z90" s="21">
        <v>198.059</v>
      </c>
      <c r="AA90" s="21">
        <v>-6.0607899999999999E-2</v>
      </c>
      <c r="AB90" s="21">
        <v>80</v>
      </c>
      <c r="AC90" s="21">
        <v>0.23583999999999999</v>
      </c>
      <c r="AD90">
        <f t="shared" si="16"/>
        <v>37.879937499999997</v>
      </c>
      <c r="AE90">
        <f t="shared" si="17"/>
        <v>8.9821665398749992</v>
      </c>
      <c r="AF90" s="9"/>
      <c r="AG90" s="21">
        <v>0.30288700000000002</v>
      </c>
      <c r="AH90" s="21">
        <v>254.83500000000001</v>
      </c>
      <c r="AI90" s="21">
        <v>-5.9783900000000001E-2</v>
      </c>
      <c r="AJ90" s="21">
        <v>80</v>
      </c>
      <c r="AK90" s="21">
        <v>0.30246000000000001</v>
      </c>
      <c r="AL90">
        <f t="shared" si="18"/>
        <v>37.364937500000003</v>
      </c>
      <c r="AM90">
        <f t="shared" si="19"/>
        <v>11.317353824562502</v>
      </c>
      <c r="AP90" s="9"/>
      <c r="AQ90" s="21">
        <v>0.237122</v>
      </c>
      <c r="AR90" s="21">
        <v>303.97199999999998</v>
      </c>
      <c r="AS90" s="21">
        <v>-6.0534699999999997E-2</v>
      </c>
      <c r="AT90" s="21">
        <v>80</v>
      </c>
      <c r="AU90" s="21">
        <v>0.23580899999999999</v>
      </c>
      <c r="AV90">
        <f t="shared" si="20"/>
        <v>37.834187499999999</v>
      </c>
      <c r="AW90">
        <f t="shared" si="21"/>
        <v>8.9713182083749992</v>
      </c>
      <c r="AX90" s="9"/>
      <c r="AY90" s="21">
        <v>0.30288700000000002</v>
      </c>
      <c r="AZ90" s="21">
        <v>341.14499999999998</v>
      </c>
      <c r="BA90" s="21">
        <v>-5.9845000000000002E-2</v>
      </c>
      <c r="BB90" s="21">
        <v>80</v>
      </c>
      <c r="BC90" s="21">
        <v>0.30252099999999998</v>
      </c>
      <c r="BD90">
        <f t="shared" si="22"/>
        <v>37.403125000000003</v>
      </c>
      <c r="BE90">
        <f t="shared" si="23"/>
        <v>11.328920321875001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0.23208599999999999</v>
      </c>
      <c r="H91" s="21">
        <v>111.286</v>
      </c>
      <c r="I91" s="21">
        <v>-6.0665900000000002E-2</v>
      </c>
      <c r="J91" s="21">
        <v>81</v>
      </c>
      <c r="K91" s="21">
        <v>0.23080400000000001</v>
      </c>
      <c r="L91">
        <f t="shared" si="12"/>
        <v>37.916187499999999</v>
      </c>
      <c r="M91">
        <f t="shared" si="13"/>
        <v>8.7998162921249996</v>
      </c>
      <c r="N91" s="9"/>
      <c r="O91" s="21">
        <v>0.30792199999999997</v>
      </c>
      <c r="P91" s="21">
        <v>163.78800000000001</v>
      </c>
      <c r="Q91" s="21">
        <v>-5.9783900000000001E-2</v>
      </c>
      <c r="R91" s="21">
        <v>81</v>
      </c>
      <c r="S91" s="21">
        <v>0.30746499999999999</v>
      </c>
      <c r="T91">
        <f t="shared" si="14"/>
        <v>37.364937500000003</v>
      </c>
      <c r="U91">
        <f t="shared" si="15"/>
        <v>11.505486284874999</v>
      </c>
      <c r="X91" s="9"/>
      <c r="Y91" s="21">
        <v>0.23208599999999999</v>
      </c>
      <c r="Z91" s="21">
        <v>198.15899999999999</v>
      </c>
      <c r="AA91" s="21">
        <v>-6.0671999999999997E-2</v>
      </c>
      <c r="AB91" s="21">
        <v>81</v>
      </c>
      <c r="AC91" s="21">
        <v>0.23077400000000001</v>
      </c>
      <c r="AD91">
        <f t="shared" si="16"/>
        <v>37.919999999999995</v>
      </c>
      <c r="AE91">
        <f t="shared" si="17"/>
        <v>8.8007011199999976</v>
      </c>
      <c r="AF91" s="9"/>
      <c r="AG91" s="21">
        <v>0.30792199999999997</v>
      </c>
      <c r="AH91" s="21">
        <v>254.935</v>
      </c>
      <c r="AI91" s="21">
        <v>-5.96924E-2</v>
      </c>
      <c r="AJ91" s="21">
        <v>81</v>
      </c>
      <c r="AK91" s="21">
        <v>0.30743399999999999</v>
      </c>
      <c r="AL91">
        <f t="shared" si="18"/>
        <v>37.307749999999999</v>
      </c>
      <c r="AM91">
        <f t="shared" si="19"/>
        <v>11.487876995499999</v>
      </c>
      <c r="AP91" s="9"/>
      <c r="AQ91" s="21">
        <v>0.23208599999999999</v>
      </c>
      <c r="AR91" s="21">
        <v>304.07299999999998</v>
      </c>
      <c r="AS91" s="21">
        <v>-6.0595700000000002E-2</v>
      </c>
      <c r="AT91" s="21">
        <v>81</v>
      </c>
      <c r="AU91" s="21">
        <v>0.23077400000000001</v>
      </c>
      <c r="AV91">
        <f t="shared" si="20"/>
        <v>37.8723125</v>
      </c>
      <c r="AW91">
        <f t="shared" si="21"/>
        <v>8.7896335188750001</v>
      </c>
      <c r="AX91" s="9"/>
      <c r="AY91" s="21">
        <v>0.30792199999999997</v>
      </c>
      <c r="AZ91" s="21">
        <v>341.24599999999998</v>
      </c>
      <c r="BA91" s="21">
        <v>-5.9753399999999998E-2</v>
      </c>
      <c r="BB91" s="21">
        <v>81</v>
      </c>
      <c r="BC91" s="21">
        <v>0.30752600000000002</v>
      </c>
      <c r="BD91">
        <f t="shared" si="22"/>
        <v>37.345874999999992</v>
      </c>
      <c r="BE91">
        <f t="shared" si="23"/>
        <v>11.499616521749997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0.227051</v>
      </c>
      <c r="H92" s="21">
        <v>111.387</v>
      </c>
      <c r="I92" s="21">
        <v>-6.0742200000000003E-2</v>
      </c>
      <c r="J92" s="21">
        <v>82</v>
      </c>
      <c r="K92" s="21">
        <v>0.22567699999999999</v>
      </c>
      <c r="L92">
        <f t="shared" si="12"/>
        <v>37.963875000000002</v>
      </c>
      <c r="M92">
        <f t="shared" si="13"/>
        <v>8.6197357826249998</v>
      </c>
      <c r="N92" s="9"/>
      <c r="O92" s="21">
        <v>0.31295800000000001</v>
      </c>
      <c r="P92" s="21">
        <v>163.88900000000001</v>
      </c>
      <c r="Q92" s="21">
        <v>-5.9661899999999997E-2</v>
      </c>
      <c r="R92" s="21">
        <v>82</v>
      </c>
      <c r="S92" s="21">
        <v>0.31256099999999998</v>
      </c>
      <c r="T92">
        <f t="shared" si="14"/>
        <v>37.288687499999995</v>
      </c>
      <c r="U92">
        <f t="shared" si="15"/>
        <v>11.669793062624999</v>
      </c>
      <c r="X92" s="9"/>
      <c r="Y92" s="21">
        <v>0.227051</v>
      </c>
      <c r="Z92" s="21">
        <v>198.26</v>
      </c>
      <c r="AA92" s="21">
        <v>-6.0717800000000002E-2</v>
      </c>
      <c r="AB92" s="21">
        <v>82</v>
      </c>
      <c r="AC92" s="21">
        <v>0.225769</v>
      </c>
      <c r="AD92">
        <f t="shared" si="16"/>
        <v>37.948625</v>
      </c>
      <c r="AE92">
        <f t="shared" si="17"/>
        <v>8.6162732548750007</v>
      </c>
      <c r="AF92" s="9"/>
      <c r="AG92" s="21">
        <v>0.31295800000000001</v>
      </c>
      <c r="AH92" s="21">
        <v>255.036</v>
      </c>
      <c r="AI92" s="21">
        <v>-5.9661899999999997E-2</v>
      </c>
      <c r="AJ92" s="21">
        <v>82</v>
      </c>
      <c r="AK92" s="21">
        <v>0.31256099999999998</v>
      </c>
      <c r="AL92">
        <f t="shared" si="18"/>
        <v>37.288687499999995</v>
      </c>
      <c r="AM92">
        <f t="shared" si="19"/>
        <v>11.669793062624999</v>
      </c>
      <c r="AP92" s="9"/>
      <c r="AQ92" s="21">
        <v>0.227051</v>
      </c>
      <c r="AR92" s="21">
        <v>304.17399999999998</v>
      </c>
      <c r="AS92" s="21">
        <v>-6.0641500000000001E-2</v>
      </c>
      <c r="AT92" s="21">
        <v>82</v>
      </c>
      <c r="AU92" s="21">
        <v>0.22570799999999999</v>
      </c>
      <c r="AV92">
        <f t="shared" si="20"/>
        <v>37.900937499999998</v>
      </c>
      <c r="AW92">
        <f t="shared" si="21"/>
        <v>8.6054457603124987</v>
      </c>
      <c r="AX92" s="9"/>
      <c r="AY92" s="21">
        <v>0.31295800000000001</v>
      </c>
      <c r="AZ92" s="21">
        <v>341.346</v>
      </c>
      <c r="BA92" s="21">
        <v>-5.9631299999999998E-2</v>
      </c>
      <c r="BB92" s="21">
        <v>82</v>
      </c>
      <c r="BC92" s="21">
        <v>0.31259199999999998</v>
      </c>
      <c r="BD92">
        <f t="shared" si="22"/>
        <v>37.269562499999999</v>
      </c>
      <c r="BE92">
        <f t="shared" si="23"/>
        <v>11.663807740875001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0.22201499999999999</v>
      </c>
      <c r="H93" s="21">
        <v>111.488</v>
      </c>
      <c r="I93" s="21">
        <v>-6.07819E-2</v>
      </c>
      <c r="J93" s="21">
        <v>83</v>
      </c>
      <c r="K93" s="21">
        <v>0.22073400000000001</v>
      </c>
      <c r="L93">
        <f t="shared" si="12"/>
        <v>37.988687499999997</v>
      </c>
      <c r="M93">
        <f t="shared" si="13"/>
        <v>8.4340584553124991</v>
      </c>
      <c r="N93" s="9"/>
      <c r="O93" s="21">
        <v>0.31799300000000003</v>
      </c>
      <c r="P93" s="21">
        <v>163.989</v>
      </c>
      <c r="Q93" s="21">
        <v>-5.9600800000000002E-2</v>
      </c>
      <c r="R93" s="21">
        <v>83</v>
      </c>
      <c r="S93" s="21">
        <v>0.31759599999999999</v>
      </c>
      <c r="T93">
        <f t="shared" si="14"/>
        <v>37.250500000000002</v>
      </c>
      <c r="U93">
        <f t="shared" si="15"/>
        <v>11.845398246500002</v>
      </c>
      <c r="X93" s="9"/>
      <c r="Y93" s="21">
        <v>0.22201499999999999</v>
      </c>
      <c r="Z93" s="21">
        <v>198.36099999999999</v>
      </c>
      <c r="AA93" s="21">
        <v>-6.0720799999999998E-2</v>
      </c>
      <c r="AB93" s="21">
        <v>83</v>
      </c>
      <c r="AC93" s="21">
        <v>0.220612</v>
      </c>
      <c r="AD93">
        <f t="shared" si="16"/>
        <v>37.950499999999998</v>
      </c>
      <c r="AE93">
        <f t="shared" si="17"/>
        <v>8.4255802575000001</v>
      </c>
      <c r="AF93" s="9"/>
      <c r="AG93" s="21">
        <v>0.31799300000000003</v>
      </c>
      <c r="AH93" s="21">
        <v>255.137</v>
      </c>
      <c r="AI93" s="21">
        <v>-5.95703E-2</v>
      </c>
      <c r="AJ93" s="21">
        <v>83</v>
      </c>
      <c r="AK93" s="21">
        <v>0.31765700000000002</v>
      </c>
      <c r="AL93">
        <f t="shared" si="18"/>
        <v>37.231437499999998</v>
      </c>
      <c r="AM93">
        <f t="shared" si="19"/>
        <v>11.839336504937501</v>
      </c>
      <c r="AP93" s="9"/>
      <c r="AQ93" s="21">
        <v>0.22201499999999999</v>
      </c>
      <c r="AR93" s="21">
        <v>304.274</v>
      </c>
      <c r="AS93" s="21">
        <v>-6.0714700000000003E-2</v>
      </c>
      <c r="AT93" s="21">
        <v>83</v>
      </c>
      <c r="AU93" s="21">
        <v>0.22073400000000001</v>
      </c>
      <c r="AV93">
        <f t="shared" si="20"/>
        <v>37.946687500000003</v>
      </c>
      <c r="AW93">
        <f t="shared" si="21"/>
        <v>8.4247338253125008</v>
      </c>
      <c r="AX93" s="9"/>
      <c r="AY93" s="21">
        <v>0.31799300000000003</v>
      </c>
      <c r="AZ93" s="21">
        <v>341.447</v>
      </c>
      <c r="BA93" s="21">
        <v>-5.9539799999999997E-2</v>
      </c>
      <c r="BB93" s="21">
        <v>83</v>
      </c>
      <c r="BC93" s="21">
        <v>0.31762699999999999</v>
      </c>
      <c r="BD93">
        <f t="shared" si="22"/>
        <v>37.212375000000002</v>
      </c>
      <c r="BE93">
        <f t="shared" si="23"/>
        <v>11.833274763375002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0.21698000000000001</v>
      </c>
      <c r="H94" s="21">
        <v>111.58799999999999</v>
      </c>
      <c r="I94" s="21">
        <v>-6.0833699999999997E-2</v>
      </c>
      <c r="J94" s="21">
        <v>84</v>
      </c>
      <c r="K94" s="21">
        <v>0.215637</v>
      </c>
      <c r="L94">
        <f t="shared" si="12"/>
        <v>38.021062499999992</v>
      </c>
      <c r="M94">
        <f t="shared" si="13"/>
        <v>8.2498101412499985</v>
      </c>
      <c r="N94" s="9"/>
      <c r="O94" s="21">
        <v>0.32302900000000001</v>
      </c>
      <c r="P94" s="21">
        <v>164.09</v>
      </c>
      <c r="Q94" s="21">
        <v>-5.9509300000000001E-2</v>
      </c>
      <c r="R94" s="21">
        <v>84</v>
      </c>
      <c r="S94" s="21">
        <v>0.32263199999999997</v>
      </c>
      <c r="T94">
        <f t="shared" si="14"/>
        <v>37.193312499999998</v>
      </c>
      <c r="U94">
        <f t="shared" si="15"/>
        <v>12.014518543562499</v>
      </c>
      <c r="X94" s="9"/>
      <c r="Y94" s="21">
        <v>0.21698000000000001</v>
      </c>
      <c r="Z94" s="21">
        <v>198.46199999999999</v>
      </c>
      <c r="AA94" s="21">
        <v>-6.0760500000000002E-2</v>
      </c>
      <c r="AB94" s="21">
        <v>84</v>
      </c>
      <c r="AC94" s="21">
        <v>0.215637</v>
      </c>
      <c r="AD94">
        <f t="shared" si="16"/>
        <v>37.975312499999994</v>
      </c>
      <c r="AE94">
        <f t="shared" si="17"/>
        <v>8.2398833062499985</v>
      </c>
      <c r="AF94" s="9"/>
      <c r="AG94" s="21">
        <v>0.32302900000000001</v>
      </c>
      <c r="AH94" s="21">
        <v>255.23699999999999</v>
      </c>
      <c r="AI94" s="21">
        <v>-5.9509300000000001E-2</v>
      </c>
      <c r="AJ94" s="21">
        <v>84</v>
      </c>
      <c r="AK94" s="21">
        <v>0.322571</v>
      </c>
      <c r="AL94">
        <f t="shared" si="18"/>
        <v>37.193312499999998</v>
      </c>
      <c r="AM94">
        <f t="shared" si="19"/>
        <v>12.014518543562499</v>
      </c>
      <c r="AP94" s="9"/>
      <c r="AQ94" s="21">
        <v>0.21698000000000001</v>
      </c>
      <c r="AR94" s="21">
        <v>304.375</v>
      </c>
      <c r="AS94" s="21">
        <v>-6.0800199999999999E-2</v>
      </c>
      <c r="AT94" s="21">
        <v>84</v>
      </c>
      <c r="AU94" s="21">
        <v>0.215668</v>
      </c>
      <c r="AV94">
        <f t="shared" si="20"/>
        <v>38.000124999999997</v>
      </c>
      <c r="AW94">
        <f t="shared" si="21"/>
        <v>8.2452671224999996</v>
      </c>
      <c r="AX94" s="9"/>
      <c r="AY94" s="21">
        <v>0.32302900000000001</v>
      </c>
      <c r="AZ94" s="21">
        <v>341.548</v>
      </c>
      <c r="BA94" s="21">
        <v>-5.94482E-2</v>
      </c>
      <c r="BB94" s="21">
        <v>84</v>
      </c>
      <c r="BC94" s="21">
        <v>0.32260100000000003</v>
      </c>
      <c r="BD94">
        <f t="shared" si="22"/>
        <v>37.155124999999998</v>
      </c>
      <c r="BE94">
        <f t="shared" si="23"/>
        <v>12.002182873624999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0.21194499999999999</v>
      </c>
      <c r="H95" s="21">
        <v>111.68899999999999</v>
      </c>
      <c r="I95" s="21">
        <v>-6.0873400000000001E-2</v>
      </c>
      <c r="J95" s="21">
        <v>85</v>
      </c>
      <c r="K95" s="21">
        <v>0.210754</v>
      </c>
      <c r="L95">
        <f t="shared" si="12"/>
        <v>38.045875000000002</v>
      </c>
      <c r="M95">
        <f t="shared" si="13"/>
        <v>8.0636329768750006</v>
      </c>
      <c r="N95" s="9"/>
      <c r="O95" s="21">
        <v>0.32806400000000002</v>
      </c>
      <c r="P95" s="21">
        <v>164.191</v>
      </c>
      <c r="Q95" s="21">
        <v>-5.94482E-2</v>
      </c>
      <c r="R95" s="21">
        <v>85</v>
      </c>
      <c r="S95" s="21">
        <v>0.32760600000000001</v>
      </c>
      <c r="T95">
        <f t="shared" si="14"/>
        <v>37.155124999999998</v>
      </c>
      <c r="U95">
        <f t="shared" si="15"/>
        <v>12.189258928000001</v>
      </c>
      <c r="X95" s="9"/>
      <c r="Y95" s="21">
        <v>0.21194499999999999</v>
      </c>
      <c r="Z95" s="21">
        <v>198.56200000000001</v>
      </c>
      <c r="AA95" s="21">
        <v>-6.0858200000000001E-2</v>
      </c>
      <c r="AB95" s="21">
        <v>85</v>
      </c>
      <c r="AC95" s="21">
        <v>0.21060200000000001</v>
      </c>
      <c r="AD95">
        <f t="shared" si="16"/>
        <v>38.036375</v>
      </c>
      <c r="AE95">
        <f t="shared" si="17"/>
        <v>8.0616194993750003</v>
      </c>
      <c r="AF95" s="9"/>
      <c r="AG95" s="21">
        <v>0.32806400000000002</v>
      </c>
      <c r="AH95" s="21">
        <v>255.33799999999999</v>
      </c>
      <c r="AI95" s="21">
        <v>-5.9387200000000001E-2</v>
      </c>
      <c r="AJ95" s="21">
        <v>85</v>
      </c>
      <c r="AK95" s="21">
        <v>0.32766699999999999</v>
      </c>
      <c r="AL95">
        <f t="shared" si="18"/>
        <v>37.116999999999997</v>
      </c>
      <c r="AM95">
        <f t="shared" si="19"/>
        <v>12.176751488000001</v>
      </c>
      <c r="AP95" s="9"/>
      <c r="AQ95" s="21">
        <v>0.21194499999999999</v>
      </c>
      <c r="AR95" s="21">
        <v>304.476</v>
      </c>
      <c r="AS95" s="21">
        <v>-6.07971E-2</v>
      </c>
      <c r="AT95" s="21">
        <v>85</v>
      </c>
      <c r="AU95" s="21">
        <v>0.21063200000000001</v>
      </c>
      <c r="AV95">
        <f t="shared" si="20"/>
        <v>37.998187499999993</v>
      </c>
      <c r="AW95">
        <f t="shared" si="21"/>
        <v>8.0535258496874977</v>
      </c>
      <c r="AX95" s="9"/>
      <c r="AY95" s="21">
        <v>0.32806400000000002</v>
      </c>
      <c r="AZ95" s="21">
        <v>341.64800000000002</v>
      </c>
      <c r="BA95" s="21">
        <v>-5.9387200000000001E-2</v>
      </c>
      <c r="BB95" s="21">
        <v>85</v>
      </c>
      <c r="BC95" s="21">
        <v>0.32766699999999999</v>
      </c>
      <c r="BD95">
        <f t="shared" si="22"/>
        <v>37.116999999999997</v>
      </c>
      <c r="BE95">
        <f t="shared" si="23"/>
        <v>12.176751488000001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0.20690900000000001</v>
      </c>
      <c r="H96" s="21">
        <v>111.79</v>
      </c>
      <c r="I96" s="21">
        <v>-6.0888699999999997E-2</v>
      </c>
      <c r="J96" s="21">
        <v>86</v>
      </c>
      <c r="K96" s="21">
        <v>0.20550499999999999</v>
      </c>
      <c r="L96">
        <f t="shared" si="12"/>
        <v>38.055437499999996</v>
      </c>
      <c r="M96">
        <f t="shared" si="13"/>
        <v>7.8740125176874995</v>
      </c>
      <c r="N96" s="9"/>
      <c r="O96" s="21">
        <v>0.33309899999999998</v>
      </c>
      <c r="P96" s="21">
        <v>164.291</v>
      </c>
      <c r="Q96" s="21">
        <v>-5.9387200000000001E-2</v>
      </c>
      <c r="R96" s="21">
        <v>86</v>
      </c>
      <c r="S96" s="21">
        <v>0.33270300000000003</v>
      </c>
      <c r="T96">
        <f t="shared" si="14"/>
        <v>37.116999999999997</v>
      </c>
      <c r="U96">
        <f t="shared" si="15"/>
        <v>12.363635582999999</v>
      </c>
      <c r="X96" s="9"/>
      <c r="Y96" s="21">
        <v>0.20690900000000001</v>
      </c>
      <c r="Z96" s="21">
        <v>198.66300000000001</v>
      </c>
      <c r="AA96" s="21">
        <v>-6.0867299999999999E-2</v>
      </c>
      <c r="AB96" s="21">
        <v>86</v>
      </c>
      <c r="AC96" s="21">
        <v>0.20547499999999999</v>
      </c>
      <c r="AD96">
        <f t="shared" si="16"/>
        <v>38.042062499999993</v>
      </c>
      <c r="AE96">
        <f t="shared" si="17"/>
        <v>7.8712451098124987</v>
      </c>
      <c r="AF96" s="9"/>
      <c r="AG96" s="21">
        <v>0.33309899999999998</v>
      </c>
      <c r="AH96" s="21">
        <v>255.43899999999999</v>
      </c>
      <c r="AI96" s="21">
        <v>-5.9326200000000003E-2</v>
      </c>
      <c r="AJ96" s="21">
        <v>86</v>
      </c>
      <c r="AK96" s="21">
        <v>0.33267200000000002</v>
      </c>
      <c r="AL96">
        <f t="shared" si="18"/>
        <v>37.078874999999996</v>
      </c>
      <c r="AM96">
        <f t="shared" si="19"/>
        <v>12.350936183624999</v>
      </c>
      <c r="AP96" s="9"/>
      <c r="AQ96" s="21">
        <v>0.20690900000000001</v>
      </c>
      <c r="AR96" s="21">
        <v>304.577</v>
      </c>
      <c r="AS96" s="21">
        <v>-6.0790999999999998E-2</v>
      </c>
      <c r="AT96" s="21">
        <v>86</v>
      </c>
      <c r="AU96" s="21">
        <v>0.20547499999999999</v>
      </c>
      <c r="AV96">
        <f t="shared" si="20"/>
        <v>37.994374999999998</v>
      </c>
      <c r="AW96">
        <f t="shared" si="21"/>
        <v>7.8613781368749995</v>
      </c>
      <c r="AX96" s="9"/>
      <c r="AY96" s="21">
        <v>0.33309899999999998</v>
      </c>
      <c r="AZ96" s="21">
        <v>341.74900000000002</v>
      </c>
      <c r="BA96" s="21">
        <v>-5.9356699999999998E-2</v>
      </c>
      <c r="BB96" s="21">
        <v>86</v>
      </c>
      <c r="BC96" s="21">
        <v>0.33270300000000003</v>
      </c>
      <c r="BD96">
        <f t="shared" si="22"/>
        <v>37.0979375</v>
      </c>
      <c r="BE96">
        <f t="shared" si="23"/>
        <v>12.3572858833125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0.201874</v>
      </c>
      <c r="H97" s="21">
        <v>111.89</v>
      </c>
      <c r="I97" s="21">
        <v>-6.0849E-2</v>
      </c>
      <c r="J97" s="21">
        <v>87</v>
      </c>
      <c r="K97" s="21">
        <v>0.20053099999999999</v>
      </c>
      <c r="L97">
        <f t="shared" si="12"/>
        <v>38.030625000000001</v>
      </c>
      <c r="M97">
        <f t="shared" si="13"/>
        <v>7.67739439125</v>
      </c>
      <c r="N97" s="9"/>
      <c r="O97" s="21">
        <v>0.33813500000000002</v>
      </c>
      <c r="P97" s="21">
        <v>164.392</v>
      </c>
      <c r="Q97" s="21">
        <v>-5.9234599999999998E-2</v>
      </c>
      <c r="R97" s="21">
        <v>87</v>
      </c>
      <c r="S97" s="21">
        <v>0.337677</v>
      </c>
      <c r="T97">
        <f t="shared" si="14"/>
        <v>37.021624999999993</v>
      </c>
      <c r="U97">
        <f t="shared" si="15"/>
        <v>12.518307169374998</v>
      </c>
      <c r="X97" s="9"/>
      <c r="Y97" s="21">
        <v>0.201874</v>
      </c>
      <c r="Z97" s="21">
        <v>198.76400000000001</v>
      </c>
      <c r="AA97" s="21">
        <v>-6.0861199999999997E-2</v>
      </c>
      <c r="AB97" s="21">
        <v>87</v>
      </c>
      <c r="AC97" s="21">
        <v>0.20050000000000001</v>
      </c>
      <c r="AD97">
        <f t="shared" si="16"/>
        <v>38.038249999999998</v>
      </c>
      <c r="AE97">
        <f t="shared" si="17"/>
        <v>7.6789336804999992</v>
      </c>
      <c r="AF97" s="9"/>
      <c r="AG97" s="21">
        <v>0.33813500000000002</v>
      </c>
      <c r="AH97" s="21">
        <v>255.54</v>
      </c>
      <c r="AI97" s="21">
        <v>-5.92957E-2</v>
      </c>
      <c r="AJ97" s="21">
        <v>87</v>
      </c>
      <c r="AK97" s="21">
        <v>0.33770800000000001</v>
      </c>
      <c r="AL97">
        <f t="shared" si="18"/>
        <v>37.0598125</v>
      </c>
      <c r="AM97">
        <f t="shared" si="19"/>
        <v>12.531219699687501</v>
      </c>
      <c r="AP97" s="9"/>
      <c r="AQ97" s="21">
        <v>0.201874</v>
      </c>
      <c r="AR97" s="21">
        <v>304.67700000000002</v>
      </c>
      <c r="AS97" s="21">
        <v>-6.0858200000000001E-2</v>
      </c>
      <c r="AT97" s="21">
        <v>87</v>
      </c>
      <c r="AU97" s="21">
        <v>0.20050000000000001</v>
      </c>
      <c r="AV97">
        <f t="shared" si="20"/>
        <v>38.036375</v>
      </c>
      <c r="AW97">
        <f t="shared" si="21"/>
        <v>7.6785551667499998</v>
      </c>
      <c r="AX97" s="9"/>
      <c r="AY97" s="21">
        <v>0.33813500000000002</v>
      </c>
      <c r="AZ97" s="21">
        <v>341.85</v>
      </c>
      <c r="BA97" s="21">
        <v>-5.9204100000000003E-2</v>
      </c>
      <c r="BB97" s="21">
        <v>87</v>
      </c>
      <c r="BC97" s="21">
        <v>0.337677</v>
      </c>
      <c r="BD97">
        <f t="shared" si="22"/>
        <v>37.002562500000003</v>
      </c>
      <c r="BE97">
        <f t="shared" si="23"/>
        <v>12.511861470937502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0.19683800000000001</v>
      </c>
      <c r="H98" s="21">
        <v>111.991</v>
      </c>
      <c r="I98" s="21">
        <v>-6.0861199999999997E-2</v>
      </c>
      <c r="J98" s="21">
        <v>88</v>
      </c>
      <c r="K98" s="21">
        <v>0.195465</v>
      </c>
      <c r="L98">
        <f t="shared" si="12"/>
        <v>38.038249999999998</v>
      </c>
      <c r="M98">
        <f t="shared" si="13"/>
        <v>7.4873730534999998</v>
      </c>
      <c r="N98" s="9"/>
      <c r="O98" s="21">
        <v>0.34316999999999998</v>
      </c>
      <c r="P98" s="21">
        <v>164.49299999999999</v>
      </c>
      <c r="Q98" s="21">
        <v>-5.9143099999999997E-2</v>
      </c>
      <c r="R98" s="21">
        <v>88</v>
      </c>
      <c r="S98" s="21">
        <v>0.34277299999999999</v>
      </c>
      <c r="T98">
        <f t="shared" si="14"/>
        <v>36.964437499999995</v>
      </c>
      <c r="U98">
        <f t="shared" si="15"/>
        <v>12.685086016874997</v>
      </c>
      <c r="X98" s="9"/>
      <c r="Y98" s="21">
        <v>0.19683800000000001</v>
      </c>
      <c r="Z98" s="21">
        <v>198.864</v>
      </c>
      <c r="AA98" s="21">
        <v>-6.0873400000000001E-2</v>
      </c>
      <c r="AB98" s="21">
        <v>88</v>
      </c>
      <c r="AC98" s="21">
        <v>0.195465</v>
      </c>
      <c r="AD98">
        <f t="shared" si="16"/>
        <v>38.045875000000002</v>
      </c>
      <c r="AE98">
        <f t="shared" si="17"/>
        <v>7.4888739432500007</v>
      </c>
      <c r="AF98" s="9"/>
      <c r="AG98" s="21">
        <v>0.34316999999999998</v>
      </c>
      <c r="AH98" s="21">
        <v>255.64</v>
      </c>
      <c r="AI98" s="21">
        <v>-5.91736E-2</v>
      </c>
      <c r="AJ98" s="21">
        <v>88</v>
      </c>
      <c r="AK98" s="21">
        <v>0.34271200000000002</v>
      </c>
      <c r="AL98">
        <f t="shared" si="18"/>
        <v>36.983499999999992</v>
      </c>
      <c r="AM98">
        <f t="shared" si="19"/>
        <v>12.691627694999996</v>
      </c>
      <c r="AP98" s="9"/>
      <c r="AQ98" s="21">
        <v>0.19683800000000001</v>
      </c>
      <c r="AR98" s="21">
        <v>304.77800000000002</v>
      </c>
      <c r="AS98" s="21">
        <v>-6.0861199999999997E-2</v>
      </c>
      <c r="AT98" s="21">
        <v>88</v>
      </c>
      <c r="AU98" s="21">
        <v>0.195465</v>
      </c>
      <c r="AV98">
        <f t="shared" si="20"/>
        <v>38.038249999999998</v>
      </c>
      <c r="AW98">
        <f t="shared" si="21"/>
        <v>7.4873730534999998</v>
      </c>
      <c r="AX98" s="9"/>
      <c r="AY98" s="21">
        <v>0.34316999999999998</v>
      </c>
      <c r="AZ98" s="21">
        <v>341.95100000000002</v>
      </c>
      <c r="BA98" s="21">
        <v>-5.9143099999999997E-2</v>
      </c>
      <c r="BB98" s="21">
        <v>88</v>
      </c>
      <c r="BC98" s="21">
        <v>0.34277299999999999</v>
      </c>
      <c r="BD98">
        <f t="shared" si="22"/>
        <v>36.964437499999995</v>
      </c>
      <c r="BE98">
        <f t="shared" si="23"/>
        <v>12.685086016874997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0.191803</v>
      </c>
      <c r="H99" s="21">
        <v>112.092</v>
      </c>
      <c r="I99" s="21">
        <v>-6.0952800000000001E-2</v>
      </c>
      <c r="J99" s="21">
        <v>89</v>
      </c>
      <c r="K99" s="21">
        <v>0.19039900000000001</v>
      </c>
      <c r="L99">
        <f t="shared" si="12"/>
        <v>38.095499999999994</v>
      </c>
      <c r="M99">
        <f t="shared" si="13"/>
        <v>7.3068311864999993</v>
      </c>
      <c r="N99" s="9"/>
      <c r="O99" s="21">
        <v>0.34820600000000002</v>
      </c>
      <c r="P99" s="21">
        <v>164.59399999999999</v>
      </c>
      <c r="Q99" s="21">
        <v>-5.9143099999999997E-2</v>
      </c>
      <c r="R99" s="21">
        <v>89</v>
      </c>
      <c r="S99" s="21">
        <v>0.347748</v>
      </c>
      <c r="T99">
        <f t="shared" si="14"/>
        <v>36.964437499999995</v>
      </c>
      <c r="U99">
        <f t="shared" si="15"/>
        <v>12.871238924124999</v>
      </c>
      <c r="X99" s="9"/>
      <c r="Y99" s="21">
        <v>0.191803</v>
      </c>
      <c r="Z99" s="21">
        <v>198.965</v>
      </c>
      <c r="AA99" s="21">
        <v>-6.0885599999999998E-2</v>
      </c>
      <c r="AB99" s="21">
        <v>89</v>
      </c>
      <c r="AC99" s="21">
        <v>0.190521</v>
      </c>
      <c r="AD99">
        <f t="shared" si="16"/>
        <v>38.0535</v>
      </c>
      <c r="AE99">
        <f t="shared" si="17"/>
        <v>7.2987754604999999</v>
      </c>
      <c r="AF99" s="9"/>
      <c r="AG99" s="21">
        <v>0.34820600000000002</v>
      </c>
      <c r="AH99" s="21">
        <v>255.74100000000001</v>
      </c>
      <c r="AI99" s="21">
        <v>-5.9082000000000003E-2</v>
      </c>
      <c r="AJ99" s="21">
        <v>89</v>
      </c>
      <c r="AK99" s="21">
        <v>0.34780899999999998</v>
      </c>
      <c r="AL99">
        <f t="shared" si="18"/>
        <v>36.926250000000003</v>
      </c>
      <c r="AM99">
        <f t="shared" si="19"/>
        <v>12.857941807500001</v>
      </c>
      <c r="AP99" s="9"/>
      <c r="AQ99" s="21">
        <v>0.191803</v>
      </c>
      <c r="AR99" s="21">
        <v>304.87900000000002</v>
      </c>
      <c r="AS99" s="21">
        <v>-6.0888699999999997E-2</v>
      </c>
      <c r="AT99" s="21">
        <v>89</v>
      </c>
      <c r="AU99" s="21">
        <v>0.19042999999999999</v>
      </c>
      <c r="AV99">
        <f t="shared" si="20"/>
        <v>38.055437499999996</v>
      </c>
      <c r="AW99">
        <f t="shared" si="21"/>
        <v>7.2991470788124992</v>
      </c>
      <c r="AX99" s="9"/>
      <c r="AY99" s="21">
        <v>0.34820600000000002</v>
      </c>
      <c r="AZ99" s="21">
        <v>342.05099999999999</v>
      </c>
      <c r="BA99" s="21">
        <v>-5.8990500000000001E-2</v>
      </c>
      <c r="BB99" s="21">
        <v>89</v>
      </c>
      <c r="BC99" s="21">
        <v>0.34780899999999998</v>
      </c>
      <c r="BD99">
        <f t="shared" si="22"/>
        <v>36.869062499999998</v>
      </c>
      <c r="BE99">
        <f t="shared" si="23"/>
        <v>12.838028776874999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0.18676799999999999</v>
      </c>
      <c r="H100" s="21">
        <v>112.19199999999999</v>
      </c>
      <c r="I100" s="21">
        <v>-6.0983299999999997E-2</v>
      </c>
      <c r="J100" s="21">
        <v>90</v>
      </c>
      <c r="K100" s="21">
        <v>0.185364</v>
      </c>
      <c r="L100">
        <f t="shared" si="12"/>
        <v>38.114562499999998</v>
      </c>
      <c r="M100">
        <f t="shared" si="13"/>
        <v>7.1185806089999994</v>
      </c>
      <c r="N100" s="9"/>
      <c r="O100" s="21">
        <v>0.35324100000000003</v>
      </c>
      <c r="P100" s="21">
        <v>164.69399999999999</v>
      </c>
      <c r="Q100" s="21">
        <v>-5.8990500000000001E-2</v>
      </c>
      <c r="R100" s="21">
        <v>90</v>
      </c>
      <c r="S100" s="21">
        <v>0.35290500000000002</v>
      </c>
      <c r="T100">
        <f t="shared" si="14"/>
        <v>36.869062499999998</v>
      </c>
      <c r="U100">
        <f t="shared" si="15"/>
        <v>13.023664506562501</v>
      </c>
      <c r="X100" s="9"/>
      <c r="Y100" s="21">
        <v>0.18676799999999999</v>
      </c>
      <c r="Z100" s="21">
        <v>199.066</v>
      </c>
      <c r="AA100" s="21">
        <v>-6.0940599999999998E-2</v>
      </c>
      <c r="AB100" s="21">
        <v>90</v>
      </c>
      <c r="AC100" s="21">
        <v>0.18551599999999999</v>
      </c>
      <c r="AD100">
        <f t="shared" si="16"/>
        <v>38.087874999999997</v>
      </c>
      <c r="AE100">
        <f t="shared" si="17"/>
        <v>7.1135962379999986</v>
      </c>
      <c r="AF100" s="9"/>
      <c r="AG100" s="21">
        <v>0.35324100000000003</v>
      </c>
      <c r="AH100" s="21">
        <v>255.84200000000001</v>
      </c>
      <c r="AI100" s="21">
        <v>-5.8959999999999999E-2</v>
      </c>
      <c r="AJ100" s="21">
        <v>90</v>
      </c>
      <c r="AK100" s="21">
        <v>0.35278300000000001</v>
      </c>
      <c r="AL100">
        <f t="shared" si="18"/>
        <v>36.849999999999994</v>
      </c>
      <c r="AM100">
        <f t="shared" si="19"/>
        <v>13.01693085</v>
      </c>
      <c r="AP100" s="9"/>
      <c r="AQ100" s="21">
        <v>0.18676799999999999</v>
      </c>
      <c r="AR100" s="21">
        <v>304.97899999999998</v>
      </c>
      <c r="AS100" s="21">
        <v>-6.0977200000000002E-2</v>
      </c>
      <c r="AT100" s="21">
        <v>90</v>
      </c>
      <c r="AU100" s="21">
        <v>0.18542500000000001</v>
      </c>
      <c r="AV100">
        <f t="shared" si="20"/>
        <v>38.110749999999996</v>
      </c>
      <c r="AW100">
        <f t="shared" si="21"/>
        <v>7.1178685559999986</v>
      </c>
      <c r="AX100" s="9"/>
      <c r="AY100" s="21">
        <v>0.35324100000000003</v>
      </c>
      <c r="AZ100" s="21">
        <v>342.15199999999999</v>
      </c>
      <c r="BA100" s="21">
        <v>-5.8959999999999999E-2</v>
      </c>
      <c r="BB100" s="21">
        <v>90</v>
      </c>
      <c r="BC100" s="21">
        <v>0.35284399999999999</v>
      </c>
      <c r="BD100">
        <f t="shared" si="22"/>
        <v>36.849999999999994</v>
      </c>
      <c r="BE100">
        <f t="shared" si="23"/>
        <v>13.01693085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0.181732</v>
      </c>
      <c r="H101" s="21">
        <v>112.29300000000001</v>
      </c>
      <c r="I101" s="21">
        <v>-6.0909999999999999E-2</v>
      </c>
      <c r="J101" s="21">
        <v>91</v>
      </c>
      <c r="K101" s="21">
        <v>0.18035899999999999</v>
      </c>
      <c r="L101">
        <f t="shared" si="12"/>
        <v>38.068750000000001</v>
      </c>
      <c r="M101">
        <f t="shared" si="13"/>
        <v>6.9183100750000008</v>
      </c>
      <c r="N101" s="9"/>
      <c r="O101" s="21">
        <v>0.35827599999999998</v>
      </c>
      <c r="P101" s="21">
        <v>164.79499999999999</v>
      </c>
      <c r="Q101" s="21">
        <v>-5.8837899999999999E-2</v>
      </c>
      <c r="R101" s="21">
        <v>91</v>
      </c>
      <c r="S101" s="21">
        <v>0.35784899999999997</v>
      </c>
      <c r="T101">
        <f t="shared" si="14"/>
        <v>36.773687500000001</v>
      </c>
      <c r="U101">
        <f t="shared" si="15"/>
        <v>13.175129662749999</v>
      </c>
      <c r="X101" s="9"/>
      <c r="Y101" s="21">
        <v>0.181732</v>
      </c>
      <c r="Z101" s="21">
        <v>199.166</v>
      </c>
      <c r="AA101" s="21">
        <v>-6.1001600000000003E-2</v>
      </c>
      <c r="AB101" s="21">
        <v>91</v>
      </c>
      <c r="AC101" s="21">
        <v>0.18042</v>
      </c>
      <c r="AD101">
        <f t="shared" si="16"/>
        <v>38.125999999999998</v>
      </c>
      <c r="AE101">
        <f t="shared" si="17"/>
        <v>6.9287142319999999</v>
      </c>
      <c r="AF101" s="9"/>
      <c r="AG101" s="21">
        <v>0.35827599999999998</v>
      </c>
      <c r="AH101" s="21">
        <v>255.94200000000001</v>
      </c>
      <c r="AI101" s="21">
        <v>-5.8898899999999997E-2</v>
      </c>
      <c r="AJ101" s="21">
        <v>91</v>
      </c>
      <c r="AK101" s="21">
        <v>0.35787999999999998</v>
      </c>
      <c r="AL101">
        <f t="shared" si="18"/>
        <v>36.811812500000002</v>
      </c>
      <c r="AM101">
        <f t="shared" si="19"/>
        <v>13.188788935250001</v>
      </c>
      <c r="AP101" s="9"/>
      <c r="AQ101" s="21">
        <v>0.181732</v>
      </c>
      <c r="AR101" s="21">
        <v>305.08</v>
      </c>
      <c r="AS101" s="21">
        <v>-6.1010700000000001E-2</v>
      </c>
      <c r="AT101" s="21">
        <v>91</v>
      </c>
      <c r="AU101" s="21">
        <v>0.18038899999999999</v>
      </c>
      <c r="AV101">
        <f t="shared" si="20"/>
        <v>38.131687499999998</v>
      </c>
      <c r="AW101">
        <f t="shared" si="21"/>
        <v>6.9297478327499995</v>
      </c>
      <c r="AX101" s="9"/>
      <c r="AY101" s="21">
        <v>0.35827599999999998</v>
      </c>
      <c r="AZ101" s="21">
        <v>342.25299999999999</v>
      </c>
      <c r="BA101" s="21">
        <v>-5.8837899999999999E-2</v>
      </c>
      <c r="BB101" s="21">
        <v>91</v>
      </c>
      <c r="BC101" s="21">
        <v>0.35784899999999997</v>
      </c>
      <c r="BD101">
        <f t="shared" si="22"/>
        <v>36.773687500000001</v>
      </c>
      <c r="BE101">
        <f t="shared" si="23"/>
        <v>13.175129662749999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0.17669699999999999</v>
      </c>
      <c r="H102" s="21">
        <v>112.39400000000001</v>
      </c>
      <c r="I102" s="21">
        <v>-6.09711E-2</v>
      </c>
      <c r="J102" s="21">
        <v>92</v>
      </c>
      <c r="K102" s="21">
        <v>0.17535400000000001</v>
      </c>
      <c r="L102">
        <f t="shared" si="12"/>
        <v>38.106937500000001</v>
      </c>
      <c r="M102">
        <f t="shared" si="13"/>
        <v>6.7333815354375002</v>
      </c>
      <c r="N102" s="9"/>
      <c r="O102" s="21">
        <v>0.36331200000000002</v>
      </c>
      <c r="P102" s="21">
        <v>164.89599999999999</v>
      </c>
      <c r="Q102" s="21">
        <v>-5.8807400000000003E-2</v>
      </c>
      <c r="R102" s="21">
        <v>92</v>
      </c>
      <c r="S102" s="21">
        <v>0.36288500000000001</v>
      </c>
      <c r="T102">
        <f t="shared" si="14"/>
        <v>36.754624999999997</v>
      </c>
      <c r="U102">
        <f t="shared" si="15"/>
        <v>13.353396318</v>
      </c>
      <c r="X102" s="9"/>
      <c r="Y102" s="21">
        <v>0.17669699999999999</v>
      </c>
      <c r="Z102" s="21">
        <v>199.267</v>
      </c>
      <c r="AA102" s="21">
        <v>-6.1007699999999998E-2</v>
      </c>
      <c r="AB102" s="21">
        <v>92</v>
      </c>
      <c r="AC102" s="21">
        <v>0.17532300000000001</v>
      </c>
      <c r="AD102">
        <f t="shared" si="16"/>
        <v>38.1298125</v>
      </c>
      <c r="AE102">
        <f t="shared" si="17"/>
        <v>6.7374234793124996</v>
      </c>
      <c r="AF102" s="9"/>
      <c r="AG102" s="21">
        <v>0.36331200000000002</v>
      </c>
      <c r="AH102" s="21">
        <v>256.04300000000001</v>
      </c>
      <c r="AI102" s="21">
        <v>-5.8837899999999999E-2</v>
      </c>
      <c r="AJ102" s="21">
        <v>92</v>
      </c>
      <c r="AK102" s="21">
        <v>0.36288500000000001</v>
      </c>
      <c r="AL102">
        <f t="shared" si="18"/>
        <v>36.773687500000001</v>
      </c>
      <c r="AM102">
        <f t="shared" si="19"/>
        <v>13.360321953000001</v>
      </c>
      <c r="AP102" s="9"/>
      <c r="AQ102" s="21">
        <v>0.17669699999999999</v>
      </c>
      <c r="AR102" s="21">
        <v>305.18099999999998</v>
      </c>
      <c r="AS102" s="21">
        <v>-6.1029100000000003E-2</v>
      </c>
      <c r="AT102" s="21">
        <v>92</v>
      </c>
      <c r="AU102" s="21">
        <v>0.17535400000000001</v>
      </c>
      <c r="AV102">
        <f t="shared" si="20"/>
        <v>38.143187500000003</v>
      </c>
      <c r="AW102">
        <f t="shared" si="21"/>
        <v>6.7397868016875</v>
      </c>
      <c r="AX102" s="9"/>
      <c r="AY102" s="21">
        <v>0.36331200000000002</v>
      </c>
      <c r="AZ102" s="21">
        <v>342.35300000000001</v>
      </c>
      <c r="BA102" s="21">
        <v>-5.87769E-2</v>
      </c>
      <c r="BB102" s="21">
        <v>92</v>
      </c>
      <c r="BC102" s="21">
        <v>0.36288500000000001</v>
      </c>
      <c r="BD102">
        <f t="shared" si="22"/>
        <v>36.7355625</v>
      </c>
      <c r="BE102">
        <f t="shared" si="23"/>
        <v>13.346470683000002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0.17166100000000001</v>
      </c>
      <c r="H103" s="21">
        <v>112.495</v>
      </c>
      <c r="I103" s="21">
        <v>-6.09863E-2</v>
      </c>
      <c r="J103" s="21">
        <v>93</v>
      </c>
      <c r="K103" s="21">
        <v>0.170319</v>
      </c>
      <c r="L103">
        <f t="shared" si="12"/>
        <v>38.116437499999996</v>
      </c>
      <c r="M103">
        <f t="shared" si="13"/>
        <v>6.5431057776874999</v>
      </c>
      <c r="N103" s="9"/>
      <c r="O103" s="21">
        <v>0.36834699999999998</v>
      </c>
      <c r="P103" s="21">
        <v>164.99600000000001</v>
      </c>
      <c r="Q103" s="21">
        <v>-5.8685300000000003E-2</v>
      </c>
      <c r="R103" s="21">
        <v>93</v>
      </c>
      <c r="S103" s="21">
        <v>0.36788900000000002</v>
      </c>
      <c r="T103">
        <f t="shared" si="14"/>
        <v>36.678312499999997</v>
      </c>
      <c r="U103">
        <f t="shared" si="15"/>
        <v>13.510346374437498</v>
      </c>
      <c r="X103" s="9"/>
      <c r="Y103" s="21">
        <v>0.17166100000000001</v>
      </c>
      <c r="Z103" s="21">
        <v>199.36799999999999</v>
      </c>
      <c r="AA103" s="21">
        <v>-6.1029100000000003E-2</v>
      </c>
      <c r="AB103" s="21">
        <v>93</v>
      </c>
      <c r="AC103" s="21">
        <v>0.17019699999999999</v>
      </c>
      <c r="AD103">
        <f t="shared" si="16"/>
        <v>38.143187500000003</v>
      </c>
      <c r="AE103">
        <f t="shared" si="17"/>
        <v>6.5476977094375011</v>
      </c>
      <c r="AF103" s="9"/>
      <c r="AG103" s="21">
        <v>0.36834699999999998</v>
      </c>
      <c r="AH103" s="21">
        <v>256.14400000000001</v>
      </c>
      <c r="AI103" s="21">
        <v>-5.8715799999999999E-2</v>
      </c>
      <c r="AJ103" s="21">
        <v>93</v>
      </c>
      <c r="AK103" s="21">
        <v>0.367981</v>
      </c>
      <c r="AL103">
        <f t="shared" si="18"/>
        <v>36.697374999999994</v>
      </c>
      <c r="AM103">
        <f t="shared" si="19"/>
        <v>13.517367989124997</v>
      </c>
      <c r="AP103" s="9"/>
      <c r="AQ103" s="21">
        <v>0.17166100000000001</v>
      </c>
      <c r="AR103" s="21">
        <v>305.28199999999998</v>
      </c>
      <c r="AS103" s="21">
        <v>-6.10138E-2</v>
      </c>
      <c r="AT103" s="21">
        <v>93</v>
      </c>
      <c r="AU103" s="21">
        <v>0.17028799999999999</v>
      </c>
      <c r="AV103">
        <f t="shared" si="20"/>
        <v>38.133624999999995</v>
      </c>
      <c r="AW103">
        <f t="shared" si="21"/>
        <v>6.5460562011249994</v>
      </c>
      <c r="AX103" s="9"/>
      <c r="AY103" s="21">
        <v>0.36834699999999998</v>
      </c>
      <c r="AZ103" s="21">
        <v>342.45400000000001</v>
      </c>
      <c r="BA103" s="21">
        <v>-5.8685300000000003E-2</v>
      </c>
      <c r="BB103" s="21">
        <v>93</v>
      </c>
      <c r="BC103" s="21">
        <v>0.36795</v>
      </c>
      <c r="BD103">
        <f t="shared" si="22"/>
        <v>36.678312499999997</v>
      </c>
      <c r="BE103">
        <f t="shared" si="23"/>
        <v>13.510346374437498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0.166626</v>
      </c>
      <c r="H104" s="21">
        <v>112.595</v>
      </c>
      <c r="I104" s="21">
        <v>-6.10809E-2</v>
      </c>
      <c r="J104" s="21">
        <v>94</v>
      </c>
      <c r="K104" s="21">
        <v>0.16525300000000001</v>
      </c>
      <c r="L104">
        <f t="shared" si="12"/>
        <v>38.175562499999998</v>
      </c>
      <c r="M104">
        <f t="shared" si="13"/>
        <v>6.3610412771249996</v>
      </c>
      <c r="N104" s="9"/>
      <c r="O104" s="21">
        <v>0.37338300000000002</v>
      </c>
      <c r="P104" s="21">
        <v>165.09700000000001</v>
      </c>
      <c r="Q104" s="21">
        <v>-5.85327E-2</v>
      </c>
      <c r="R104" s="21">
        <v>94</v>
      </c>
      <c r="S104" s="21">
        <v>0.37304700000000002</v>
      </c>
      <c r="T104">
        <f t="shared" si="14"/>
        <v>36.582937499999993</v>
      </c>
      <c r="U104">
        <f t="shared" si="15"/>
        <v>13.659446952562497</v>
      </c>
      <c r="X104" s="9"/>
      <c r="Y104" s="21">
        <v>0.166626</v>
      </c>
      <c r="Z104" s="21">
        <v>199.46899999999999</v>
      </c>
      <c r="AA104" s="21">
        <v>-6.1047400000000002E-2</v>
      </c>
      <c r="AB104" s="21">
        <v>94</v>
      </c>
      <c r="AC104" s="21">
        <v>0.16525300000000001</v>
      </c>
      <c r="AD104">
        <f t="shared" si="16"/>
        <v>38.154624999999996</v>
      </c>
      <c r="AE104">
        <f t="shared" si="17"/>
        <v>6.357552545249999</v>
      </c>
      <c r="AF104" s="9"/>
      <c r="AG104" s="21">
        <v>0.37338300000000002</v>
      </c>
      <c r="AH104" s="21">
        <v>256.24400000000003</v>
      </c>
      <c r="AI104" s="21">
        <v>-5.8563200000000003E-2</v>
      </c>
      <c r="AJ104" s="21">
        <v>94</v>
      </c>
      <c r="AK104" s="21">
        <v>0.37295499999999998</v>
      </c>
      <c r="AL104">
        <f t="shared" si="18"/>
        <v>36.602000000000004</v>
      </c>
      <c r="AM104">
        <f t="shared" si="19"/>
        <v>13.666564566000002</v>
      </c>
      <c r="AP104" s="9"/>
      <c r="AQ104" s="21">
        <v>0.166626</v>
      </c>
      <c r="AR104" s="21">
        <v>305.38200000000001</v>
      </c>
      <c r="AS104" s="21">
        <v>-6.10565E-2</v>
      </c>
      <c r="AT104" s="21">
        <v>94</v>
      </c>
      <c r="AU104" s="21">
        <v>0.165405</v>
      </c>
      <c r="AV104">
        <f t="shared" si="20"/>
        <v>38.160312499999996</v>
      </c>
      <c r="AW104">
        <f t="shared" si="21"/>
        <v>6.3585002306249994</v>
      </c>
      <c r="AX104" s="9"/>
      <c r="AY104" s="21">
        <v>0.37338300000000002</v>
      </c>
      <c r="AZ104" s="21">
        <v>342.55500000000001</v>
      </c>
      <c r="BA104" s="21">
        <v>-5.8563200000000003E-2</v>
      </c>
      <c r="BB104" s="21">
        <v>94</v>
      </c>
      <c r="BC104" s="21">
        <v>0.37298599999999998</v>
      </c>
      <c r="BD104">
        <f t="shared" si="22"/>
        <v>36.602000000000004</v>
      </c>
      <c r="BE104">
        <f t="shared" si="23"/>
        <v>13.666564566000002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0.16159100000000001</v>
      </c>
      <c r="H105" s="21">
        <v>112.696</v>
      </c>
      <c r="I105" s="21">
        <v>-6.1071800000000002E-2</v>
      </c>
      <c r="J105" s="21">
        <v>95</v>
      </c>
      <c r="K105" s="21">
        <v>0.16009499999999999</v>
      </c>
      <c r="L105">
        <f t="shared" si="12"/>
        <v>38.169874999999998</v>
      </c>
      <c r="M105">
        <f t="shared" si="13"/>
        <v>6.1679082711250004</v>
      </c>
      <c r="N105" s="9"/>
      <c r="O105" s="21">
        <v>0.37841799999999998</v>
      </c>
      <c r="P105" s="21">
        <v>165.19800000000001</v>
      </c>
      <c r="Q105" s="21">
        <v>-5.8471700000000001E-2</v>
      </c>
      <c r="R105" s="21">
        <v>95</v>
      </c>
      <c r="S105" s="21">
        <v>0.378021</v>
      </c>
      <c r="T105">
        <f t="shared" si="14"/>
        <v>36.544812499999999</v>
      </c>
      <c r="U105">
        <f t="shared" si="15"/>
        <v>13.829214856624999</v>
      </c>
      <c r="X105" s="9"/>
      <c r="Y105" s="21">
        <v>0.16159100000000001</v>
      </c>
      <c r="Z105" s="21">
        <v>199.56899999999999</v>
      </c>
      <c r="AA105" s="21">
        <v>-6.1065700000000001E-2</v>
      </c>
      <c r="AB105" s="21">
        <v>95</v>
      </c>
      <c r="AC105" s="21">
        <v>0.160217</v>
      </c>
      <c r="AD105">
        <f t="shared" si="16"/>
        <v>38.166062500000002</v>
      </c>
      <c r="AE105">
        <f t="shared" si="17"/>
        <v>6.1672922054375006</v>
      </c>
      <c r="AF105" s="9"/>
      <c r="AG105" s="21">
        <v>0.37841799999999998</v>
      </c>
      <c r="AH105" s="21">
        <v>256.34500000000003</v>
      </c>
      <c r="AI105" s="21">
        <v>-5.8471700000000001E-2</v>
      </c>
      <c r="AJ105" s="21">
        <v>95</v>
      </c>
      <c r="AK105" s="21">
        <v>0.378021</v>
      </c>
      <c r="AL105">
        <f t="shared" si="18"/>
        <v>36.544812499999999</v>
      </c>
      <c r="AM105">
        <f t="shared" si="19"/>
        <v>13.829214856624999</v>
      </c>
      <c r="AP105" s="9"/>
      <c r="AQ105" s="21">
        <v>0.16159100000000001</v>
      </c>
      <c r="AR105" s="21">
        <v>305.483</v>
      </c>
      <c r="AS105" s="21">
        <v>-6.1068699999999997E-2</v>
      </c>
      <c r="AT105" s="21">
        <v>95</v>
      </c>
      <c r="AU105" s="21">
        <v>0.160217</v>
      </c>
      <c r="AV105">
        <f t="shared" si="20"/>
        <v>38.167937500000001</v>
      </c>
      <c r="AW105">
        <f t="shared" si="21"/>
        <v>6.1675951885625002</v>
      </c>
      <c r="AX105" s="9"/>
      <c r="AY105" s="21">
        <v>0.37841799999999998</v>
      </c>
      <c r="AZ105" s="21">
        <v>342.65499999999997</v>
      </c>
      <c r="BA105" s="21">
        <v>-5.8502199999999997E-2</v>
      </c>
      <c r="BB105" s="21">
        <v>95</v>
      </c>
      <c r="BC105" s="21">
        <v>0.37799100000000002</v>
      </c>
      <c r="BD105">
        <f t="shared" si="22"/>
        <v>36.563874999999996</v>
      </c>
      <c r="BE105">
        <f t="shared" si="23"/>
        <v>13.836428449749997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0.156555</v>
      </c>
      <c r="H106" s="21">
        <v>112.797</v>
      </c>
      <c r="I106" s="21">
        <v>-6.1099199999999999E-2</v>
      </c>
      <c r="J106" s="21">
        <v>96</v>
      </c>
      <c r="K106" s="21">
        <v>0.15524299999999999</v>
      </c>
      <c r="L106">
        <f t="shared" si="12"/>
        <v>38.186999999999998</v>
      </c>
      <c r="M106">
        <f t="shared" si="13"/>
        <v>5.9783657849999994</v>
      </c>
      <c r="N106" s="9"/>
      <c r="O106" s="21">
        <v>0.38345299999999999</v>
      </c>
      <c r="P106" s="21">
        <v>165.29900000000001</v>
      </c>
      <c r="Q106" s="21">
        <v>-5.8349600000000001E-2</v>
      </c>
      <c r="R106" s="21">
        <v>96</v>
      </c>
      <c r="S106" s="21">
        <v>0.382996</v>
      </c>
      <c r="T106">
        <f t="shared" si="14"/>
        <v>36.468499999999999</v>
      </c>
      <c r="U106">
        <f t="shared" si="15"/>
        <v>13.9839557305</v>
      </c>
      <c r="X106" s="9"/>
      <c r="Y106" s="21">
        <v>0.156555</v>
      </c>
      <c r="Z106" s="21">
        <v>199.67</v>
      </c>
      <c r="AA106" s="21">
        <v>-6.1077899999999997E-2</v>
      </c>
      <c r="AB106" s="21">
        <v>96</v>
      </c>
      <c r="AC106" s="21">
        <v>0.15512100000000001</v>
      </c>
      <c r="AD106">
        <f t="shared" si="16"/>
        <v>38.1736875</v>
      </c>
      <c r="AE106">
        <f t="shared" si="17"/>
        <v>5.9762816465624997</v>
      </c>
      <c r="AF106" s="9"/>
      <c r="AG106" s="21">
        <v>0.38345299999999999</v>
      </c>
      <c r="AH106" s="21">
        <v>256.44600000000003</v>
      </c>
      <c r="AI106" s="21">
        <v>-5.84106E-2</v>
      </c>
      <c r="AJ106" s="21">
        <v>96</v>
      </c>
      <c r="AK106" s="21">
        <v>0.38302599999999998</v>
      </c>
      <c r="AL106">
        <f t="shared" si="18"/>
        <v>36.506625</v>
      </c>
      <c r="AM106">
        <f t="shared" si="19"/>
        <v>13.998574876125</v>
      </c>
      <c r="AP106" s="9"/>
      <c r="AQ106" s="21">
        <v>0.156555</v>
      </c>
      <c r="AR106" s="21">
        <v>305.584</v>
      </c>
      <c r="AS106" s="21">
        <v>-6.1144999999999998E-2</v>
      </c>
      <c r="AT106" s="21">
        <v>96</v>
      </c>
      <c r="AU106" s="21">
        <v>0.15524299999999999</v>
      </c>
      <c r="AV106">
        <f t="shared" si="20"/>
        <v>38.215624999999996</v>
      </c>
      <c r="AW106">
        <f t="shared" si="21"/>
        <v>5.9828471718749991</v>
      </c>
      <c r="AX106" s="9"/>
      <c r="AY106" s="21">
        <v>0.38345299999999999</v>
      </c>
      <c r="AZ106" s="21">
        <v>342.75599999999997</v>
      </c>
      <c r="BA106" s="21">
        <v>-5.8349600000000001E-2</v>
      </c>
      <c r="BB106" s="21">
        <v>96</v>
      </c>
      <c r="BC106" s="21">
        <v>0.38305699999999998</v>
      </c>
      <c r="BD106">
        <f t="shared" si="22"/>
        <v>36.468499999999999</v>
      </c>
      <c r="BE106">
        <f t="shared" si="23"/>
        <v>13.9839557305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0.15151999999999999</v>
      </c>
      <c r="H107" s="21">
        <v>112.89700000000001</v>
      </c>
      <c r="I107" s="21">
        <v>-6.1099199999999999E-2</v>
      </c>
      <c r="J107" s="21">
        <v>97</v>
      </c>
      <c r="K107" s="21">
        <v>0.150146</v>
      </c>
      <c r="L107">
        <f t="shared" si="12"/>
        <v>38.186999999999998</v>
      </c>
      <c r="M107">
        <f t="shared" si="13"/>
        <v>5.7860942399999988</v>
      </c>
      <c r="N107" s="9"/>
      <c r="O107" s="21">
        <v>0.38848899999999997</v>
      </c>
      <c r="P107" s="21">
        <v>165.399</v>
      </c>
      <c r="Q107" s="21">
        <v>-5.8319099999999999E-2</v>
      </c>
      <c r="R107" s="21">
        <v>97</v>
      </c>
      <c r="S107" s="21">
        <v>0.38809199999999999</v>
      </c>
      <c r="T107">
        <f t="shared" si="14"/>
        <v>36.449437499999995</v>
      </c>
      <c r="U107">
        <f t="shared" si="15"/>
        <v>14.160205524937497</v>
      </c>
      <c r="X107" s="9"/>
      <c r="Y107" s="21">
        <v>0.15151999999999999</v>
      </c>
      <c r="Z107" s="21">
        <v>199.77099999999999</v>
      </c>
      <c r="AA107" s="21">
        <v>-6.1120599999999997E-2</v>
      </c>
      <c r="AB107" s="21">
        <v>97</v>
      </c>
      <c r="AC107" s="21">
        <v>0.150146</v>
      </c>
      <c r="AD107">
        <f t="shared" si="16"/>
        <v>38.200374999999994</v>
      </c>
      <c r="AE107">
        <f t="shared" si="17"/>
        <v>5.7881208199999987</v>
      </c>
      <c r="AF107" s="9"/>
      <c r="AG107" s="21">
        <v>0.38848899999999997</v>
      </c>
      <c r="AH107" s="21">
        <v>256.54700000000003</v>
      </c>
      <c r="AI107" s="21">
        <v>-5.8319099999999999E-2</v>
      </c>
      <c r="AJ107" s="21">
        <v>97</v>
      </c>
      <c r="AK107" s="21">
        <v>0.388123</v>
      </c>
      <c r="AL107">
        <f t="shared" si="18"/>
        <v>36.449437499999995</v>
      </c>
      <c r="AM107">
        <f t="shared" si="19"/>
        <v>14.160205524937497</v>
      </c>
      <c r="AP107" s="9"/>
      <c r="AQ107" s="21">
        <v>0.15151999999999999</v>
      </c>
      <c r="AR107" s="21">
        <v>305.68400000000003</v>
      </c>
      <c r="AS107" s="21">
        <v>-6.1196899999999999E-2</v>
      </c>
      <c r="AT107" s="21">
        <v>97</v>
      </c>
      <c r="AU107" s="21">
        <v>0.15023800000000001</v>
      </c>
      <c r="AV107">
        <f t="shared" si="20"/>
        <v>38.248062499999996</v>
      </c>
      <c r="AW107">
        <f t="shared" si="21"/>
        <v>5.7953464299999986</v>
      </c>
      <c r="AX107" s="9"/>
      <c r="AY107" s="21">
        <v>0.38848899999999997</v>
      </c>
      <c r="AZ107" s="21">
        <v>342.85700000000003</v>
      </c>
      <c r="BA107" s="21">
        <v>-5.82581E-2</v>
      </c>
      <c r="BB107" s="21">
        <v>97</v>
      </c>
      <c r="BC107" s="21">
        <v>0.38815300000000003</v>
      </c>
      <c r="BD107">
        <f t="shared" si="22"/>
        <v>36.411312500000001</v>
      </c>
      <c r="BE107">
        <f t="shared" si="23"/>
        <v>14.145394381812499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0.146484</v>
      </c>
      <c r="H108" s="21">
        <v>112.998</v>
      </c>
      <c r="I108" s="21">
        <v>-6.1120599999999997E-2</v>
      </c>
      <c r="J108" s="21">
        <v>98</v>
      </c>
      <c r="K108" s="21">
        <v>0.145172</v>
      </c>
      <c r="L108">
        <f t="shared" si="12"/>
        <v>38.200374999999994</v>
      </c>
      <c r="M108">
        <f t="shared" si="13"/>
        <v>5.5957437314999989</v>
      </c>
      <c r="N108" s="9"/>
      <c r="O108" s="21">
        <v>0.39352399999999998</v>
      </c>
      <c r="P108" s="21">
        <v>165.5</v>
      </c>
      <c r="Q108" s="21">
        <v>-5.8166500000000003E-2</v>
      </c>
      <c r="R108" s="21">
        <v>98</v>
      </c>
      <c r="S108" s="21">
        <v>0.39315800000000001</v>
      </c>
      <c r="T108">
        <f t="shared" si="14"/>
        <v>36.354062499999998</v>
      </c>
      <c r="U108">
        <f t="shared" si="15"/>
        <v>14.306196091249998</v>
      </c>
      <c r="X108" s="9"/>
      <c r="Y108" s="21">
        <v>0.146484</v>
      </c>
      <c r="Z108" s="21">
        <v>199.87100000000001</v>
      </c>
      <c r="AA108" s="21">
        <v>-6.1126699999999999E-2</v>
      </c>
      <c r="AB108" s="21">
        <v>98</v>
      </c>
      <c r="AC108" s="21">
        <v>0.145172</v>
      </c>
      <c r="AD108">
        <f t="shared" si="16"/>
        <v>38.204187500000003</v>
      </c>
      <c r="AE108">
        <f t="shared" si="17"/>
        <v>5.5963022017500004</v>
      </c>
      <c r="AF108" s="9"/>
      <c r="AG108" s="21">
        <v>0.39352399999999998</v>
      </c>
      <c r="AH108" s="21">
        <v>256.64699999999999</v>
      </c>
      <c r="AI108" s="21">
        <v>-5.8196999999999999E-2</v>
      </c>
      <c r="AJ108" s="21">
        <v>98</v>
      </c>
      <c r="AK108" s="21">
        <v>0.393127</v>
      </c>
      <c r="AL108">
        <f t="shared" si="18"/>
        <v>36.373125000000002</v>
      </c>
      <c r="AM108">
        <f t="shared" si="19"/>
        <v>14.313697642499999</v>
      </c>
      <c r="AP108" s="9"/>
      <c r="AQ108" s="21">
        <v>0.146484</v>
      </c>
      <c r="AR108" s="21">
        <v>305.78500000000003</v>
      </c>
      <c r="AS108" s="21">
        <v>-6.1190799999999997E-2</v>
      </c>
      <c r="AT108" s="21">
        <v>98</v>
      </c>
      <c r="AU108" s="21">
        <v>0.145172</v>
      </c>
      <c r="AV108">
        <f t="shared" si="20"/>
        <v>38.244249999999994</v>
      </c>
      <c r="AW108">
        <f t="shared" si="21"/>
        <v>5.602170716999999</v>
      </c>
      <c r="AX108" s="9"/>
      <c r="AY108" s="21">
        <v>0.39352399999999998</v>
      </c>
      <c r="AZ108" s="21">
        <v>342.95800000000003</v>
      </c>
      <c r="BA108" s="21">
        <v>-5.8136E-2</v>
      </c>
      <c r="BB108" s="21">
        <v>98</v>
      </c>
      <c r="BC108" s="21">
        <v>0.39315800000000001</v>
      </c>
      <c r="BD108">
        <f t="shared" si="22"/>
        <v>36.335000000000001</v>
      </c>
      <c r="BE108">
        <f t="shared" si="23"/>
        <v>14.29869454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0.14144899999999999</v>
      </c>
      <c r="H109" s="21">
        <v>113.099</v>
      </c>
      <c r="I109" s="21">
        <v>-6.1172499999999998E-2</v>
      </c>
      <c r="J109" s="21">
        <v>99</v>
      </c>
      <c r="K109" s="21">
        <v>0.14025899999999999</v>
      </c>
      <c r="L109">
        <f t="shared" si="12"/>
        <v>38.232812499999994</v>
      </c>
      <c r="M109">
        <f t="shared" si="13"/>
        <v>5.4079930953124986</v>
      </c>
      <c r="N109" s="9"/>
      <c r="O109" s="21">
        <v>0.39856000000000003</v>
      </c>
      <c r="P109" s="21">
        <v>165.601</v>
      </c>
      <c r="Q109" s="21">
        <v>-5.8075000000000002E-2</v>
      </c>
      <c r="R109" s="21">
        <v>99</v>
      </c>
      <c r="S109" s="21">
        <v>0.39813199999999999</v>
      </c>
      <c r="T109">
        <f t="shared" si="14"/>
        <v>36.296875</v>
      </c>
      <c r="U109">
        <f t="shared" si="15"/>
        <v>14.466482500000001</v>
      </c>
      <c r="X109" s="9"/>
      <c r="Y109" s="21">
        <v>0.14144899999999999</v>
      </c>
      <c r="Z109" s="21">
        <v>199.97200000000001</v>
      </c>
      <c r="AA109" s="21">
        <v>-6.1148099999999997E-2</v>
      </c>
      <c r="AB109" s="21">
        <v>99</v>
      </c>
      <c r="AC109" s="21">
        <v>0.140045</v>
      </c>
      <c r="AD109">
        <f t="shared" si="16"/>
        <v>38.2175625</v>
      </c>
      <c r="AE109">
        <f t="shared" si="17"/>
        <v>5.4058359980624999</v>
      </c>
      <c r="AF109" s="9"/>
      <c r="AG109" s="21">
        <v>0.39856000000000003</v>
      </c>
      <c r="AH109" s="21">
        <v>256.74799999999999</v>
      </c>
      <c r="AI109" s="21">
        <v>-5.8044400000000003E-2</v>
      </c>
      <c r="AJ109" s="21">
        <v>99</v>
      </c>
      <c r="AK109" s="21">
        <v>0.39816299999999999</v>
      </c>
      <c r="AL109">
        <f t="shared" si="18"/>
        <v>36.277749999999997</v>
      </c>
      <c r="AM109">
        <f t="shared" si="19"/>
        <v>14.458860039999999</v>
      </c>
      <c r="AP109" s="9"/>
      <c r="AQ109" s="21">
        <v>0.14144899999999999</v>
      </c>
      <c r="AR109" s="21">
        <v>305.88600000000002</v>
      </c>
      <c r="AS109" s="21">
        <v>-6.1187699999999998E-2</v>
      </c>
      <c r="AT109" s="21">
        <v>99</v>
      </c>
      <c r="AU109" s="21">
        <v>0.14007600000000001</v>
      </c>
      <c r="AV109">
        <f t="shared" si="20"/>
        <v>38.24231249999999</v>
      </c>
      <c r="AW109">
        <f t="shared" si="21"/>
        <v>5.4093368608124983</v>
      </c>
      <c r="AX109" s="9"/>
      <c r="AY109" s="21">
        <v>0.39856000000000003</v>
      </c>
      <c r="AZ109" s="21">
        <v>343.05799999999999</v>
      </c>
      <c r="BA109" s="21">
        <v>-5.8044400000000003E-2</v>
      </c>
      <c r="BB109" s="21">
        <v>99</v>
      </c>
      <c r="BC109" s="21">
        <v>0.39807100000000001</v>
      </c>
      <c r="BD109">
        <f t="shared" si="22"/>
        <v>36.277749999999997</v>
      </c>
      <c r="BE109">
        <f t="shared" si="23"/>
        <v>14.458860039999999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0.13641400000000001</v>
      </c>
      <c r="H110" s="21">
        <v>113.2</v>
      </c>
      <c r="I110" s="21">
        <v>-6.1187699999999998E-2</v>
      </c>
      <c r="J110" s="21">
        <v>100</v>
      </c>
      <c r="K110" s="21">
        <v>0.135101</v>
      </c>
      <c r="L110">
        <f t="shared" si="12"/>
        <v>38.24231249999999</v>
      </c>
      <c r="M110">
        <f t="shared" si="13"/>
        <v>5.2167868173749987</v>
      </c>
      <c r="N110" s="9"/>
      <c r="O110" s="21">
        <v>0.40359499999999998</v>
      </c>
      <c r="P110" s="21">
        <v>165.70099999999999</v>
      </c>
      <c r="Q110" s="21">
        <v>-5.7983399999999997E-2</v>
      </c>
      <c r="R110" s="21">
        <v>100</v>
      </c>
      <c r="S110" s="21">
        <v>0.403229</v>
      </c>
      <c r="T110">
        <f t="shared" si="14"/>
        <v>36.239624999999997</v>
      </c>
      <c r="U110">
        <f t="shared" si="15"/>
        <v>14.626131451874999</v>
      </c>
      <c r="X110" s="9"/>
      <c r="Y110" s="21">
        <v>0.13641400000000001</v>
      </c>
      <c r="Z110" s="21">
        <v>200.07300000000001</v>
      </c>
      <c r="AA110" s="21">
        <v>-6.1142000000000002E-2</v>
      </c>
      <c r="AB110" s="21">
        <v>100</v>
      </c>
      <c r="AC110" s="21">
        <v>0.13500999999999999</v>
      </c>
      <c r="AD110">
        <f t="shared" si="16"/>
        <v>38.213749999999997</v>
      </c>
      <c r="AE110">
        <f t="shared" si="17"/>
        <v>5.2128904924999997</v>
      </c>
      <c r="AF110" s="9"/>
      <c r="AG110" s="21">
        <v>0.40359499999999998</v>
      </c>
      <c r="AH110" s="21">
        <v>256.84899999999999</v>
      </c>
      <c r="AI110" s="21">
        <v>-5.7922399999999999E-2</v>
      </c>
      <c r="AJ110" s="21">
        <v>100</v>
      </c>
      <c r="AK110" s="21">
        <v>0.40328999999999998</v>
      </c>
      <c r="AL110">
        <f t="shared" si="18"/>
        <v>36.201499999999996</v>
      </c>
      <c r="AM110">
        <f t="shared" si="19"/>
        <v>14.610744392499997</v>
      </c>
      <c r="AP110" s="9"/>
      <c r="AQ110" s="21">
        <v>0.13641400000000001</v>
      </c>
      <c r="AR110" s="21">
        <v>305.98599999999999</v>
      </c>
      <c r="AS110" s="21">
        <v>-6.1166400000000003E-2</v>
      </c>
      <c r="AT110" s="21">
        <v>100</v>
      </c>
      <c r="AU110" s="21">
        <v>0.13497899999999999</v>
      </c>
      <c r="AV110">
        <f t="shared" si="20"/>
        <v>38.228999999999999</v>
      </c>
      <c r="AW110">
        <f t="shared" si="21"/>
        <v>5.2149708060000002</v>
      </c>
      <c r="AX110" s="9"/>
      <c r="AY110" s="21">
        <v>0.40359499999999998</v>
      </c>
      <c r="AZ110" s="21">
        <v>343.15899999999999</v>
      </c>
      <c r="BA110" s="21">
        <v>-5.78918E-2</v>
      </c>
      <c r="BB110" s="21">
        <v>100</v>
      </c>
      <c r="BC110" s="21">
        <v>0.403198</v>
      </c>
      <c r="BD110">
        <f t="shared" si="22"/>
        <v>36.182374999999993</v>
      </c>
      <c r="BE110">
        <f t="shared" si="23"/>
        <v>14.603025638124997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0.13137799999999999</v>
      </c>
      <c r="H111" s="21">
        <v>113.3</v>
      </c>
      <c r="I111" s="21">
        <v>-6.1218300000000003E-2</v>
      </c>
      <c r="J111" s="21">
        <v>101</v>
      </c>
      <c r="K111" s="21">
        <v>0.13000500000000001</v>
      </c>
      <c r="L111">
        <f t="shared" si="12"/>
        <v>38.2614375</v>
      </c>
      <c r="M111">
        <f t="shared" si="13"/>
        <v>5.0267111358749998</v>
      </c>
      <c r="N111" s="9"/>
      <c r="O111" s="21">
        <v>0.40862999999999999</v>
      </c>
      <c r="P111" s="21">
        <v>165.80199999999999</v>
      </c>
      <c r="Q111" s="21">
        <v>-5.7830800000000002E-2</v>
      </c>
      <c r="R111" s="21">
        <v>101</v>
      </c>
      <c r="S111" s="21">
        <v>0.40823399999999999</v>
      </c>
      <c r="T111">
        <f t="shared" si="14"/>
        <v>36.144249999999992</v>
      </c>
      <c r="U111">
        <f t="shared" si="15"/>
        <v>14.769624877499997</v>
      </c>
      <c r="X111" s="9"/>
      <c r="Y111" s="21">
        <v>0.13137799999999999</v>
      </c>
      <c r="Z111" s="21">
        <v>200.17400000000001</v>
      </c>
      <c r="AA111" s="21">
        <v>-6.1206099999999999E-2</v>
      </c>
      <c r="AB111" s="21">
        <v>101</v>
      </c>
      <c r="AC111" s="21">
        <v>0.13003500000000001</v>
      </c>
      <c r="AD111">
        <f t="shared" si="16"/>
        <v>38.253812499999995</v>
      </c>
      <c r="AE111">
        <f t="shared" si="17"/>
        <v>5.0257093786249989</v>
      </c>
      <c r="AF111" s="9"/>
      <c r="AG111" s="21">
        <v>0.40862999999999999</v>
      </c>
      <c r="AH111" s="21">
        <v>256.94900000000001</v>
      </c>
      <c r="AI111" s="21">
        <v>-5.7830800000000002E-2</v>
      </c>
      <c r="AJ111" s="21">
        <v>101</v>
      </c>
      <c r="AK111" s="21">
        <v>0.40829500000000002</v>
      </c>
      <c r="AL111">
        <f t="shared" si="18"/>
        <v>36.144249999999992</v>
      </c>
      <c r="AM111">
        <f t="shared" si="19"/>
        <v>14.769624877499997</v>
      </c>
      <c r="AP111" s="9"/>
      <c r="AQ111" s="21">
        <v>0.13137799999999999</v>
      </c>
      <c r="AR111" s="21">
        <v>306.08699999999999</v>
      </c>
      <c r="AS111" s="21">
        <v>-6.1236600000000002E-2</v>
      </c>
      <c r="AT111" s="21">
        <v>101</v>
      </c>
      <c r="AU111" s="21">
        <v>0.13006599999999999</v>
      </c>
      <c r="AV111">
        <f t="shared" si="20"/>
        <v>38.272874999999999</v>
      </c>
      <c r="AW111">
        <f t="shared" si="21"/>
        <v>5.0282137717499999</v>
      </c>
      <c r="AX111" s="9"/>
      <c r="AY111" s="21">
        <v>0.40862999999999999</v>
      </c>
      <c r="AZ111" s="21">
        <v>343.26</v>
      </c>
      <c r="BA111" s="21">
        <v>-5.7830800000000002E-2</v>
      </c>
      <c r="BB111" s="21">
        <v>101</v>
      </c>
      <c r="BC111" s="21">
        <v>0.40817300000000001</v>
      </c>
      <c r="BD111">
        <f t="shared" si="22"/>
        <v>36.144249999999992</v>
      </c>
      <c r="BE111">
        <f t="shared" si="23"/>
        <v>14.769624877499997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0.12634300000000001</v>
      </c>
      <c r="H112" s="21">
        <v>113.401</v>
      </c>
      <c r="I112" s="21">
        <v>-6.1285399999999997E-2</v>
      </c>
      <c r="J112" s="21">
        <v>102</v>
      </c>
      <c r="K112" s="21">
        <v>0.124878</v>
      </c>
      <c r="L112">
        <f t="shared" si="12"/>
        <v>38.303374999999996</v>
      </c>
      <c r="M112">
        <f t="shared" si="13"/>
        <v>4.8393633076249998</v>
      </c>
      <c r="N112" s="9"/>
      <c r="O112" s="21">
        <v>0.41366599999999998</v>
      </c>
      <c r="P112" s="21">
        <v>165.90299999999999</v>
      </c>
      <c r="Q112" s="21">
        <v>-5.7708700000000002E-2</v>
      </c>
      <c r="R112" s="21">
        <v>102</v>
      </c>
      <c r="S112" s="21">
        <v>0.41323900000000002</v>
      </c>
      <c r="T112">
        <f t="shared" si="14"/>
        <v>36.067937499999999</v>
      </c>
      <c r="U112">
        <f t="shared" si="15"/>
        <v>14.920079433874999</v>
      </c>
      <c r="X112" s="9"/>
      <c r="Y112" s="21">
        <v>0.12634300000000001</v>
      </c>
      <c r="Z112" s="21">
        <v>200.274</v>
      </c>
      <c r="AA112" s="21">
        <v>-6.1209100000000002E-2</v>
      </c>
      <c r="AB112" s="21">
        <v>102</v>
      </c>
      <c r="AC112" s="21">
        <v>0.125</v>
      </c>
      <c r="AD112">
        <f t="shared" si="16"/>
        <v>38.255687499999993</v>
      </c>
      <c r="AE112">
        <f t="shared" si="17"/>
        <v>4.8333383258125</v>
      </c>
      <c r="AF112" s="9"/>
      <c r="AG112" s="21">
        <v>0.41366599999999998</v>
      </c>
      <c r="AH112" s="21">
        <v>257.05</v>
      </c>
      <c r="AI112" s="21">
        <v>-5.77393E-2</v>
      </c>
      <c r="AJ112" s="21">
        <v>102</v>
      </c>
      <c r="AK112" s="21">
        <v>0.41320800000000002</v>
      </c>
      <c r="AL112">
        <f t="shared" si="18"/>
        <v>36.087062499999995</v>
      </c>
      <c r="AM112">
        <f t="shared" si="19"/>
        <v>14.927990796124996</v>
      </c>
      <c r="AP112" s="9"/>
      <c r="AQ112" s="21">
        <v>0.12634300000000001</v>
      </c>
      <c r="AR112" s="21">
        <v>306.18799999999999</v>
      </c>
      <c r="AS112" s="21">
        <v>-6.12457E-2</v>
      </c>
      <c r="AT112" s="21">
        <v>102</v>
      </c>
      <c r="AU112" s="21">
        <v>0.124969</v>
      </c>
      <c r="AV112">
        <f t="shared" si="20"/>
        <v>38.278562499999992</v>
      </c>
      <c r="AW112">
        <f t="shared" si="21"/>
        <v>4.8362284219374994</v>
      </c>
      <c r="AX112" s="9"/>
      <c r="AY112" s="21">
        <v>0.41366599999999998</v>
      </c>
      <c r="AZ112" s="21">
        <v>343.36</v>
      </c>
      <c r="BA112" s="21">
        <v>-5.7708700000000002E-2</v>
      </c>
      <c r="BB112" s="21">
        <v>102</v>
      </c>
      <c r="BC112" s="21">
        <v>0.41323900000000002</v>
      </c>
      <c r="BD112">
        <f t="shared" si="22"/>
        <v>36.067937499999999</v>
      </c>
      <c r="BE112">
        <f t="shared" si="23"/>
        <v>14.920079433874999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0.121307</v>
      </c>
      <c r="H113" s="21">
        <v>113.502</v>
      </c>
      <c r="I113" s="21">
        <v>-6.1318999999999999E-2</v>
      </c>
      <c r="J113" s="21">
        <v>103</v>
      </c>
      <c r="K113" s="21">
        <v>0.12002599999999999</v>
      </c>
      <c r="L113">
        <f t="shared" si="12"/>
        <v>38.324374999999996</v>
      </c>
      <c r="M113">
        <f t="shared" si="13"/>
        <v>4.6490149581249991</v>
      </c>
      <c r="N113" s="9"/>
      <c r="O113" s="21">
        <v>0.41870099999999999</v>
      </c>
      <c r="P113" s="21">
        <v>166.00299999999999</v>
      </c>
      <c r="Q113" s="21">
        <v>-5.7556200000000002E-2</v>
      </c>
      <c r="R113" s="21">
        <v>103</v>
      </c>
      <c r="S113" s="21">
        <v>0.41827399999999998</v>
      </c>
      <c r="T113">
        <f t="shared" si="14"/>
        <v>35.972625000000001</v>
      </c>
      <c r="U113">
        <f t="shared" si="15"/>
        <v>15.061774060125</v>
      </c>
      <c r="X113" s="9"/>
      <c r="Y113" s="21">
        <v>0.121307</v>
      </c>
      <c r="Z113" s="21">
        <v>200.375</v>
      </c>
      <c r="AA113" s="21">
        <v>-6.1236600000000002E-2</v>
      </c>
      <c r="AB113" s="21">
        <v>103</v>
      </c>
      <c r="AC113" s="21">
        <v>0.119995</v>
      </c>
      <c r="AD113">
        <f t="shared" si="16"/>
        <v>38.272874999999999</v>
      </c>
      <c r="AE113">
        <f t="shared" si="17"/>
        <v>4.6427676476249999</v>
      </c>
      <c r="AF113" s="9"/>
      <c r="AG113" s="21">
        <v>0.41870099999999999</v>
      </c>
      <c r="AH113" s="21">
        <v>257.15100000000001</v>
      </c>
      <c r="AI113" s="21">
        <v>-5.76172E-2</v>
      </c>
      <c r="AJ113" s="21">
        <v>103</v>
      </c>
      <c r="AK113" s="21">
        <v>0.41824299999999998</v>
      </c>
      <c r="AL113">
        <f t="shared" si="18"/>
        <v>36.010750000000002</v>
      </c>
      <c r="AM113">
        <f t="shared" si="19"/>
        <v>15.077737035750001</v>
      </c>
      <c r="AP113" s="9"/>
      <c r="AQ113" s="21">
        <v>0.121307</v>
      </c>
      <c r="AR113" s="21">
        <v>306.28899999999999</v>
      </c>
      <c r="AS113" s="21">
        <v>-6.1248799999999999E-2</v>
      </c>
      <c r="AT113" s="21">
        <v>103</v>
      </c>
      <c r="AU113" s="21">
        <v>0.119934</v>
      </c>
      <c r="AV113">
        <f t="shared" si="20"/>
        <v>38.280499999999996</v>
      </c>
      <c r="AW113">
        <f t="shared" si="21"/>
        <v>4.6436926134999998</v>
      </c>
      <c r="AX113" s="9"/>
      <c r="AY113" s="21">
        <v>0.41870099999999999</v>
      </c>
      <c r="AZ113" s="21">
        <v>343.46100000000001</v>
      </c>
      <c r="BA113" s="21">
        <v>-5.7586699999999998E-2</v>
      </c>
      <c r="BB113" s="21">
        <v>103</v>
      </c>
      <c r="BC113" s="21">
        <v>0.41827399999999998</v>
      </c>
      <c r="BD113">
        <f t="shared" si="22"/>
        <v>35.991687499999998</v>
      </c>
      <c r="BE113">
        <f t="shared" si="23"/>
        <v>15.069755547937499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0.116272</v>
      </c>
      <c r="H114" s="21">
        <v>113.602</v>
      </c>
      <c r="I114" s="21">
        <v>-6.1346400000000002E-2</v>
      </c>
      <c r="J114" s="21">
        <v>104</v>
      </c>
      <c r="K114" s="21">
        <v>0.115051</v>
      </c>
      <c r="L114">
        <f t="shared" si="12"/>
        <v>38.341500000000003</v>
      </c>
      <c r="M114">
        <f t="shared" si="13"/>
        <v>4.4580428880000005</v>
      </c>
      <c r="N114" s="9"/>
      <c r="O114" s="21">
        <v>0.42373699999999997</v>
      </c>
      <c r="P114" s="21">
        <v>166.10400000000001</v>
      </c>
      <c r="Q114" s="21">
        <v>-5.7434100000000002E-2</v>
      </c>
      <c r="R114" s="21">
        <v>104</v>
      </c>
      <c r="S114" s="21">
        <v>0.42324800000000001</v>
      </c>
      <c r="T114">
        <f t="shared" si="14"/>
        <v>35.896312500000001</v>
      </c>
      <c r="U114">
        <f t="shared" si="15"/>
        <v>15.2105957698125</v>
      </c>
      <c r="X114" s="9"/>
      <c r="Y114" s="21">
        <v>0.116272</v>
      </c>
      <c r="Z114" s="21">
        <v>200.476</v>
      </c>
      <c r="AA114" s="21">
        <v>-6.1263999999999999E-2</v>
      </c>
      <c r="AB114" s="21">
        <v>104</v>
      </c>
      <c r="AC114" s="21">
        <v>0.11496000000000001</v>
      </c>
      <c r="AD114">
        <f t="shared" si="16"/>
        <v>38.29</v>
      </c>
      <c r="AE114">
        <f t="shared" si="17"/>
        <v>4.4520548799999995</v>
      </c>
      <c r="AF114" s="9"/>
      <c r="AG114" s="21">
        <v>0.42373699999999997</v>
      </c>
      <c r="AH114" s="21">
        <v>257.25200000000001</v>
      </c>
      <c r="AI114" s="21">
        <v>-5.7525600000000003E-2</v>
      </c>
      <c r="AJ114" s="21">
        <v>104</v>
      </c>
      <c r="AK114" s="21">
        <v>0.42327900000000002</v>
      </c>
      <c r="AL114">
        <f t="shared" si="18"/>
        <v>35.953499999999998</v>
      </c>
      <c r="AM114">
        <f t="shared" si="19"/>
        <v>15.234828229499998</v>
      </c>
      <c r="AP114" s="9"/>
      <c r="AQ114" s="21">
        <v>0.116272</v>
      </c>
      <c r="AR114" s="21">
        <v>306.38900000000001</v>
      </c>
      <c r="AS114" s="21">
        <v>-6.12457E-2</v>
      </c>
      <c r="AT114" s="21">
        <v>104</v>
      </c>
      <c r="AU114" s="21">
        <v>0.114899</v>
      </c>
      <c r="AV114">
        <f t="shared" si="20"/>
        <v>38.278562499999992</v>
      </c>
      <c r="AW114">
        <f t="shared" si="21"/>
        <v>4.4507250189999992</v>
      </c>
      <c r="AX114" s="9"/>
      <c r="AY114" s="21">
        <v>0.42373699999999997</v>
      </c>
      <c r="AZ114" s="21">
        <v>343.56200000000001</v>
      </c>
      <c r="BA114" s="21">
        <v>-5.7464599999999998E-2</v>
      </c>
      <c r="BB114" s="21">
        <v>104</v>
      </c>
      <c r="BC114" s="21">
        <v>0.42330899999999999</v>
      </c>
      <c r="BD114">
        <f t="shared" si="22"/>
        <v>35.915374999999997</v>
      </c>
      <c r="BE114">
        <f t="shared" si="23"/>
        <v>15.218673256374998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0.111237</v>
      </c>
      <c r="H115" s="21">
        <v>113.703</v>
      </c>
      <c r="I115" s="21">
        <v>-6.1361699999999998E-2</v>
      </c>
      <c r="J115" s="21">
        <v>105</v>
      </c>
      <c r="K115" s="21">
        <v>0.10989400000000001</v>
      </c>
      <c r="L115">
        <f t="shared" si="12"/>
        <v>38.351062499999998</v>
      </c>
      <c r="M115">
        <f t="shared" si="13"/>
        <v>4.2660571393125002</v>
      </c>
      <c r="N115" s="9"/>
      <c r="O115" s="21">
        <v>0.42877199999999999</v>
      </c>
      <c r="P115" s="21">
        <v>166.20500000000001</v>
      </c>
      <c r="Q115" s="21">
        <v>-5.7312000000000002E-2</v>
      </c>
      <c r="R115" s="21">
        <v>105</v>
      </c>
      <c r="S115" s="21">
        <v>0.42834499999999998</v>
      </c>
      <c r="T115">
        <f t="shared" si="14"/>
        <v>35.82</v>
      </c>
      <c r="U115">
        <f t="shared" si="15"/>
        <v>15.35861304</v>
      </c>
      <c r="X115" s="9"/>
      <c r="Y115" s="21">
        <v>0.111237</v>
      </c>
      <c r="Z115" s="21">
        <v>200.57599999999999</v>
      </c>
      <c r="AA115" s="21">
        <v>-6.1248799999999999E-2</v>
      </c>
      <c r="AB115" s="21">
        <v>105</v>
      </c>
      <c r="AC115" s="21">
        <v>0.109802</v>
      </c>
      <c r="AD115">
        <f t="shared" si="16"/>
        <v>38.280499999999996</v>
      </c>
      <c r="AE115">
        <f t="shared" si="17"/>
        <v>4.2582079784999998</v>
      </c>
      <c r="AF115" s="9"/>
      <c r="AG115" s="21">
        <v>0.42877199999999999</v>
      </c>
      <c r="AH115" s="21">
        <v>257.35199999999998</v>
      </c>
      <c r="AI115" s="21">
        <v>-5.7373E-2</v>
      </c>
      <c r="AJ115" s="21">
        <v>105</v>
      </c>
      <c r="AK115" s="21">
        <v>0.42831399999999997</v>
      </c>
      <c r="AL115">
        <f t="shared" si="18"/>
        <v>35.858125000000001</v>
      </c>
      <c r="AM115">
        <f t="shared" si="19"/>
        <v>15.374959972499999</v>
      </c>
      <c r="AP115" s="9"/>
      <c r="AQ115" s="21">
        <v>0.111237</v>
      </c>
      <c r="AR115" s="21">
        <v>306.49</v>
      </c>
      <c r="AS115" s="21">
        <v>-6.1276200000000003E-2</v>
      </c>
      <c r="AT115" s="21">
        <v>105</v>
      </c>
      <c r="AU115" s="21">
        <v>0.109833</v>
      </c>
      <c r="AV115">
        <f t="shared" si="20"/>
        <v>38.297625000000004</v>
      </c>
      <c r="AW115">
        <f t="shared" si="21"/>
        <v>4.2601129121250008</v>
      </c>
      <c r="AX115" s="9"/>
      <c r="AY115" s="21">
        <v>0.42877199999999999</v>
      </c>
      <c r="AZ115" s="21">
        <v>343.66300000000001</v>
      </c>
      <c r="BA115" s="21">
        <v>-5.7342499999999998E-2</v>
      </c>
      <c r="BB115" s="21">
        <v>105</v>
      </c>
      <c r="BC115" s="21">
        <v>0.42834499999999998</v>
      </c>
      <c r="BD115">
        <f t="shared" si="22"/>
        <v>35.839062499999997</v>
      </c>
      <c r="BE115">
        <f t="shared" si="23"/>
        <v>15.366786506249998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0.106201</v>
      </c>
      <c r="H116" s="21">
        <v>113.804</v>
      </c>
      <c r="I116" s="21">
        <v>-6.1328100000000003E-2</v>
      </c>
      <c r="J116" s="21">
        <v>106</v>
      </c>
      <c r="K116" s="21">
        <v>0.104828</v>
      </c>
      <c r="L116">
        <f t="shared" si="12"/>
        <v>38.330062499999997</v>
      </c>
      <c r="M116">
        <f t="shared" si="13"/>
        <v>4.0706909675624994</v>
      </c>
      <c r="N116" s="9"/>
      <c r="O116" s="21">
        <v>0.433807</v>
      </c>
      <c r="P116" s="21">
        <v>166.30600000000001</v>
      </c>
      <c r="Q116" s="21">
        <v>-5.7159399999999999E-2</v>
      </c>
      <c r="R116" s="21">
        <v>106</v>
      </c>
      <c r="S116" s="21">
        <v>0.43341099999999999</v>
      </c>
      <c r="T116">
        <f t="shared" si="14"/>
        <v>35.724624999999996</v>
      </c>
      <c r="U116">
        <f t="shared" si="15"/>
        <v>15.497592397374998</v>
      </c>
      <c r="X116" s="9"/>
      <c r="Y116" s="21">
        <v>0.106201</v>
      </c>
      <c r="Z116" s="21">
        <v>200.67699999999999</v>
      </c>
      <c r="AA116" s="21">
        <v>-6.12732E-2</v>
      </c>
      <c r="AB116" s="21">
        <v>106</v>
      </c>
      <c r="AC116" s="21">
        <v>0.104797</v>
      </c>
      <c r="AD116">
        <f t="shared" si="16"/>
        <v>38.295749999999998</v>
      </c>
      <c r="AE116">
        <f t="shared" si="17"/>
        <v>4.0670469457499996</v>
      </c>
      <c r="AF116" s="9"/>
      <c r="AG116" s="21">
        <v>0.433807</v>
      </c>
      <c r="AH116" s="21">
        <v>257.45299999999997</v>
      </c>
      <c r="AI116" s="21">
        <v>-5.7220500000000001E-2</v>
      </c>
      <c r="AJ116" s="21">
        <v>106</v>
      </c>
      <c r="AK116" s="21">
        <v>0.43341099999999999</v>
      </c>
      <c r="AL116">
        <f t="shared" si="18"/>
        <v>35.762812499999995</v>
      </c>
      <c r="AM116">
        <f t="shared" si="19"/>
        <v>15.514158402187498</v>
      </c>
      <c r="AP116" s="9"/>
      <c r="AQ116" s="21">
        <v>0.106201</v>
      </c>
      <c r="AR116" s="21">
        <v>306.59100000000001</v>
      </c>
      <c r="AS116" s="21">
        <v>-6.13007E-2</v>
      </c>
      <c r="AT116" s="21">
        <v>106</v>
      </c>
      <c r="AU116" s="21">
        <v>0.104767</v>
      </c>
      <c r="AV116">
        <f t="shared" si="20"/>
        <v>38.312937499999997</v>
      </c>
      <c r="AW116">
        <f t="shared" si="21"/>
        <v>4.0688722754375002</v>
      </c>
      <c r="AX116" s="9"/>
      <c r="AY116" s="21">
        <v>0.433807</v>
      </c>
      <c r="AZ116" s="21">
        <v>343.76299999999998</v>
      </c>
      <c r="BA116" s="21">
        <v>-5.7159399999999999E-2</v>
      </c>
      <c r="BB116" s="21">
        <v>106</v>
      </c>
      <c r="BC116" s="21">
        <v>0.43337999999999999</v>
      </c>
      <c r="BD116">
        <f t="shared" si="22"/>
        <v>35.724624999999996</v>
      </c>
      <c r="BE116">
        <f t="shared" si="23"/>
        <v>15.497592397374998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0.10116600000000001</v>
      </c>
      <c r="H117" s="21">
        <v>113.905</v>
      </c>
      <c r="I117" s="21">
        <v>-6.1398300000000003E-2</v>
      </c>
      <c r="J117" s="21">
        <v>107</v>
      </c>
      <c r="K117" s="21">
        <v>9.9792500000000006E-2</v>
      </c>
      <c r="L117">
        <f t="shared" si="12"/>
        <v>38.373937499999997</v>
      </c>
      <c r="M117">
        <f t="shared" si="13"/>
        <v>3.8821377611250001</v>
      </c>
      <c r="N117" s="9"/>
      <c r="O117" s="21">
        <v>0.43884299999999998</v>
      </c>
      <c r="P117" s="21">
        <v>166.40600000000001</v>
      </c>
      <c r="Q117" s="21">
        <v>-5.7037400000000002E-2</v>
      </c>
      <c r="R117" s="21">
        <v>107</v>
      </c>
      <c r="S117" s="21">
        <v>0.438446</v>
      </c>
      <c r="T117">
        <f t="shared" si="14"/>
        <v>35.648374999999994</v>
      </c>
      <c r="U117">
        <f t="shared" si="15"/>
        <v>15.644039830124997</v>
      </c>
      <c r="X117" s="9"/>
      <c r="Y117" s="21">
        <v>0.10116600000000001</v>
      </c>
      <c r="Z117" s="21">
        <v>200.77799999999999</v>
      </c>
      <c r="AA117" s="21">
        <v>-6.1306800000000002E-2</v>
      </c>
      <c r="AB117" s="21">
        <v>107</v>
      </c>
      <c r="AC117" s="21">
        <v>9.9792500000000006E-2</v>
      </c>
      <c r="AD117">
        <f t="shared" si="16"/>
        <v>38.316749999999999</v>
      </c>
      <c r="AE117">
        <f t="shared" si="17"/>
        <v>3.8763523305000001</v>
      </c>
      <c r="AF117" s="9"/>
      <c r="AG117" s="21">
        <v>0.43884299999999998</v>
      </c>
      <c r="AH117" s="21">
        <v>257.55399999999997</v>
      </c>
      <c r="AI117" s="21">
        <v>-5.7067899999999998E-2</v>
      </c>
      <c r="AJ117" s="21">
        <v>107</v>
      </c>
      <c r="AK117" s="21">
        <v>0.43835400000000002</v>
      </c>
      <c r="AL117">
        <f t="shared" si="18"/>
        <v>35.667437499999998</v>
      </c>
      <c r="AM117">
        <f t="shared" si="19"/>
        <v>15.652405274812498</v>
      </c>
      <c r="AP117" s="9"/>
      <c r="AQ117" s="21">
        <v>0.10116600000000001</v>
      </c>
      <c r="AR117" s="21">
        <v>306.69099999999997</v>
      </c>
      <c r="AS117" s="21">
        <v>-6.1343399999999999E-2</v>
      </c>
      <c r="AT117" s="21">
        <v>107</v>
      </c>
      <c r="AU117" s="21">
        <v>9.9822999999999995E-2</v>
      </c>
      <c r="AV117">
        <f t="shared" si="20"/>
        <v>38.339624999999998</v>
      </c>
      <c r="AW117">
        <f t="shared" si="21"/>
        <v>3.8786665027500002</v>
      </c>
      <c r="AX117" s="9"/>
      <c r="AY117" s="21">
        <v>0.43884299999999998</v>
      </c>
      <c r="AZ117" s="21">
        <v>343.86399999999998</v>
      </c>
      <c r="BA117" s="21">
        <v>-5.6976300000000001E-2</v>
      </c>
      <c r="BB117" s="21">
        <v>107</v>
      </c>
      <c r="BC117" s="21">
        <v>0.43841599999999997</v>
      </c>
      <c r="BD117">
        <f t="shared" si="22"/>
        <v>35.610187500000002</v>
      </c>
      <c r="BE117">
        <f t="shared" si="23"/>
        <v>15.627281513062501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9.6130400000000005E-2</v>
      </c>
      <c r="H118" s="21">
        <v>114.005</v>
      </c>
      <c r="I118" s="21">
        <v>-6.1413599999999999E-2</v>
      </c>
      <c r="J118" s="21">
        <v>108</v>
      </c>
      <c r="K118" s="21">
        <v>9.47876E-2</v>
      </c>
      <c r="L118">
        <f t="shared" si="12"/>
        <v>38.383499999999991</v>
      </c>
      <c r="M118">
        <f t="shared" si="13"/>
        <v>3.6898212083999993</v>
      </c>
      <c r="N118" s="9"/>
      <c r="O118" s="21">
        <v>0.44387799999999999</v>
      </c>
      <c r="P118" s="21">
        <v>166.50700000000001</v>
      </c>
      <c r="Q118" s="21">
        <v>-5.6884799999999999E-2</v>
      </c>
      <c r="R118" s="21">
        <v>108</v>
      </c>
      <c r="S118" s="21">
        <v>0.44351200000000002</v>
      </c>
      <c r="T118">
        <f t="shared" si="14"/>
        <v>35.552999999999997</v>
      </c>
      <c r="U118">
        <f t="shared" si="15"/>
        <v>15.781194533999999</v>
      </c>
      <c r="X118" s="9"/>
      <c r="Y118" s="21">
        <v>9.6130400000000005E-2</v>
      </c>
      <c r="Z118" s="21">
        <v>200.87899999999999</v>
      </c>
      <c r="AA118" s="21">
        <v>-6.13678E-2</v>
      </c>
      <c r="AB118" s="21">
        <v>108</v>
      </c>
      <c r="AC118" s="21">
        <v>9.47876E-2</v>
      </c>
      <c r="AD118">
        <f t="shared" si="16"/>
        <v>38.354875</v>
      </c>
      <c r="AE118">
        <f t="shared" si="17"/>
        <v>3.6870694757</v>
      </c>
      <c r="AF118" s="9"/>
      <c r="AG118" s="21">
        <v>0.44387799999999999</v>
      </c>
      <c r="AH118" s="21">
        <v>257.654</v>
      </c>
      <c r="AI118" s="21">
        <v>-5.6945799999999998E-2</v>
      </c>
      <c r="AJ118" s="21">
        <v>108</v>
      </c>
      <c r="AK118" s="21">
        <v>0.44348100000000001</v>
      </c>
      <c r="AL118">
        <f t="shared" si="18"/>
        <v>35.591124999999991</v>
      </c>
      <c r="AM118">
        <f t="shared" si="19"/>
        <v>15.798117382749997</v>
      </c>
      <c r="AP118" s="9"/>
      <c r="AQ118" s="21">
        <v>9.6130400000000005E-2</v>
      </c>
      <c r="AR118" s="21">
        <v>306.79199999999997</v>
      </c>
      <c r="AS118" s="21">
        <v>-6.1337299999999997E-2</v>
      </c>
      <c r="AT118" s="21">
        <v>108</v>
      </c>
      <c r="AU118" s="21">
        <v>9.46655E-2</v>
      </c>
      <c r="AV118">
        <f t="shared" si="20"/>
        <v>38.335812499999996</v>
      </c>
      <c r="AW118">
        <f t="shared" si="21"/>
        <v>3.6852369899499999</v>
      </c>
      <c r="AX118" s="9"/>
      <c r="AY118" s="21">
        <v>0.44387799999999999</v>
      </c>
      <c r="AZ118" s="21">
        <v>343.96499999999997</v>
      </c>
      <c r="BA118" s="21">
        <v>-5.6854200000000001E-2</v>
      </c>
      <c r="BB118" s="21">
        <v>108</v>
      </c>
      <c r="BC118" s="21">
        <v>0.44351200000000002</v>
      </c>
      <c r="BD118">
        <f t="shared" si="22"/>
        <v>35.533875000000002</v>
      </c>
      <c r="BE118">
        <f t="shared" si="23"/>
        <v>15.772705367250001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9.1094999999999995E-2</v>
      </c>
      <c r="H119" s="21">
        <v>114.10599999999999</v>
      </c>
      <c r="I119" s="21">
        <v>-6.1361699999999998E-2</v>
      </c>
      <c r="J119" s="21">
        <v>109</v>
      </c>
      <c r="K119" s="21">
        <v>8.9660599999999993E-2</v>
      </c>
      <c r="L119">
        <f t="shared" si="12"/>
        <v>38.351062499999998</v>
      </c>
      <c r="M119">
        <f t="shared" si="13"/>
        <v>3.4935900384374996</v>
      </c>
      <c r="N119" s="9"/>
      <c r="O119" s="21">
        <v>0.44891399999999998</v>
      </c>
      <c r="P119" s="21">
        <v>166.608</v>
      </c>
      <c r="Q119" s="21">
        <v>-5.6671100000000002E-2</v>
      </c>
      <c r="R119" s="21">
        <v>109</v>
      </c>
      <c r="S119" s="21">
        <v>0.44854699999999997</v>
      </c>
      <c r="T119">
        <f t="shared" si="14"/>
        <v>35.419437500000001</v>
      </c>
      <c r="U119">
        <f t="shared" si="15"/>
        <v>15.900281365874999</v>
      </c>
      <c r="X119" s="9"/>
      <c r="Y119" s="21">
        <v>9.1094999999999995E-2</v>
      </c>
      <c r="Z119" s="21">
        <v>200.97900000000001</v>
      </c>
      <c r="AA119" s="21">
        <v>-6.1328100000000003E-2</v>
      </c>
      <c r="AB119" s="21">
        <v>109</v>
      </c>
      <c r="AC119" s="21">
        <v>8.9752200000000004E-2</v>
      </c>
      <c r="AD119">
        <f t="shared" si="16"/>
        <v>38.330062499999997</v>
      </c>
      <c r="AE119">
        <f t="shared" si="17"/>
        <v>3.4916770434374995</v>
      </c>
      <c r="AF119" s="9"/>
      <c r="AG119" s="21">
        <v>0.44891399999999998</v>
      </c>
      <c r="AH119" s="21">
        <v>257.755</v>
      </c>
      <c r="AI119" s="21">
        <v>-5.6762699999999999E-2</v>
      </c>
      <c r="AJ119" s="21">
        <v>109</v>
      </c>
      <c r="AK119" s="21">
        <v>0.44854699999999997</v>
      </c>
      <c r="AL119">
        <f t="shared" si="18"/>
        <v>35.476687499999997</v>
      </c>
      <c r="AM119">
        <f t="shared" si="19"/>
        <v>15.925981692374998</v>
      </c>
      <c r="AP119" s="9"/>
      <c r="AQ119" s="21">
        <v>9.1094999999999995E-2</v>
      </c>
      <c r="AR119" s="21">
        <v>306.89299999999997</v>
      </c>
      <c r="AS119" s="21">
        <v>-6.1383100000000003E-2</v>
      </c>
      <c r="AT119" s="21">
        <v>109</v>
      </c>
      <c r="AU119" s="21">
        <v>8.9782699999999993E-2</v>
      </c>
      <c r="AV119">
        <f t="shared" si="20"/>
        <v>38.364437500000001</v>
      </c>
      <c r="AW119">
        <f t="shared" si="21"/>
        <v>3.4948084340625001</v>
      </c>
      <c r="AX119" s="9"/>
      <c r="AY119" s="21">
        <v>0.44891399999999998</v>
      </c>
      <c r="AZ119" s="21">
        <v>344.065</v>
      </c>
      <c r="BA119" s="21">
        <v>-5.6671100000000002E-2</v>
      </c>
      <c r="BB119" s="21">
        <v>109</v>
      </c>
      <c r="BC119" s="21">
        <v>0.44842500000000002</v>
      </c>
      <c r="BD119">
        <f t="shared" si="22"/>
        <v>35.419437500000001</v>
      </c>
      <c r="BE119">
        <f t="shared" si="23"/>
        <v>15.900281365874999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8.60596E-2</v>
      </c>
      <c r="H120" s="21">
        <v>114.20699999999999</v>
      </c>
      <c r="I120" s="21">
        <v>-6.1425800000000003E-2</v>
      </c>
      <c r="J120" s="21">
        <v>110</v>
      </c>
      <c r="K120" s="21">
        <v>8.4686300000000006E-2</v>
      </c>
      <c r="L120">
        <f t="shared" si="12"/>
        <v>38.391124999999995</v>
      </c>
      <c r="M120">
        <f t="shared" si="13"/>
        <v>3.3039248610499996</v>
      </c>
      <c r="N120" s="9"/>
      <c r="O120" s="21">
        <v>0.45394899999999999</v>
      </c>
      <c r="P120" s="21">
        <v>166.708</v>
      </c>
      <c r="Q120" s="21">
        <v>-5.6549099999999998E-2</v>
      </c>
      <c r="R120" s="21">
        <v>110</v>
      </c>
      <c r="S120" s="21">
        <v>0.45349099999999998</v>
      </c>
      <c r="T120">
        <f t="shared" si="14"/>
        <v>35.343187499999999</v>
      </c>
      <c r="U120">
        <f t="shared" si="15"/>
        <v>16.044004622437498</v>
      </c>
      <c r="X120" s="9"/>
      <c r="Y120" s="21">
        <v>8.60596E-2</v>
      </c>
      <c r="Z120" s="21">
        <v>201.08</v>
      </c>
      <c r="AA120" s="21">
        <v>-6.1346400000000002E-2</v>
      </c>
      <c r="AB120" s="21">
        <v>110</v>
      </c>
      <c r="AC120" s="21">
        <v>8.4747299999999998E-2</v>
      </c>
      <c r="AD120">
        <f t="shared" si="16"/>
        <v>38.341500000000003</v>
      </c>
      <c r="AE120">
        <f t="shared" si="17"/>
        <v>3.2996541534000001</v>
      </c>
      <c r="AF120" s="9"/>
      <c r="AG120" s="21">
        <v>0.45394899999999999</v>
      </c>
      <c r="AH120" s="21">
        <v>257.85599999999999</v>
      </c>
      <c r="AI120" s="21">
        <v>-5.6518600000000002E-2</v>
      </c>
      <c r="AJ120" s="21">
        <v>110</v>
      </c>
      <c r="AK120" s="21">
        <v>0.45352199999999998</v>
      </c>
      <c r="AL120">
        <f t="shared" si="18"/>
        <v>35.324124999999995</v>
      </c>
      <c r="AM120">
        <f t="shared" si="19"/>
        <v>16.035351219624996</v>
      </c>
      <c r="AP120" s="9"/>
      <c r="AQ120" s="21">
        <v>8.60596E-2</v>
      </c>
      <c r="AR120" s="21">
        <v>306.99400000000003</v>
      </c>
      <c r="AS120" s="21">
        <v>-6.1383100000000003E-2</v>
      </c>
      <c r="AT120" s="21">
        <v>110</v>
      </c>
      <c r="AU120" s="21">
        <v>8.4747299999999998E-2</v>
      </c>
      <c r="AV120">
        <f t="shared" si="20"/>
        <v>38.364437500000001</v>
      </c>
      <c r="AW120">
        <f t="shared" si="21"/>
        <v>3.3016281454750001</v>
      </c>
      <c r="AX120" s="9"/>
      <c r="AY120" s="21">
        <v>0.45394899999999999</v>
      </c>
      <c r="AZ120" s="21">
        <v>344.166</v>
      </c>
      <c r="BA120" s="21">
        <v>-5.6518600000000002E-2</v>
      </c>
      <c r="BB120" s="21">
        <v>110</v>
      </c>
      <c r="BC120" s="21">
        <v>0.45352199999999998</v>
      </c>
      <c r="BD120">
        <f t="shared" si="22"/>
        <v>35.324124999999995</v>
      </c>
      <c r="BE120">
        <f t="shared" si="23"/>
        <v>16.035351219624996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8.1024200000000005E-2</v>
      </c>
      <c r="H121" s="21">
        <v>114.307</v>
      </c>
      <c r="I121" s="21">
        <v>-6.1407499999999997E-2</v>
      </c>
      <c r="J121" s="21">
        <v>111</v>
      </c>
      <c r="K121" s="21">
        <v>7.9681399999999999E-2</v>
      </c>
      <c r="L121">
        <f t="shared" si="12"/>
        <v>38.379687499999996</v>
      </c>
      <c r="M121">
        <f t="shared" si="13"/>
        <v>3.1096834759374996</v>
      </c>
      <c r="N121" s="9"/>
      <c r="O121" s="21">
        <v>0.458984</v>
      </c>
      <c r="P121" s="21">
        <v>166.809</v>
      </c>
      <c r="Q121" s="21">
        <v>-5.6335400000000001E-2</v>
      </c>
      <c r="R121" s="21">
        <v>111</v>
      </c>
      <c r="S121" s="21">
        <v>0.45861800000000003</v>
      </c>
      <c r="T121">
        <f t="shared" si="14"/>
        <v>35.209625000000003</v>
      </c>
      <c r="U121">
        <f t="shared" si="15"/>
        <v>16.160654521000001</v>
      </c>
      <c r="X121" s="9"/>
      <c r="Y121" s="21">
        <v>8.1024200000000005E-2</v>
      </c>
      <c r="Z121" s="21">
        <v>201.18100000000001</v>
      </c>
      <c r="AA121" s="21">
        <v>-6.1379999999999997E-2</v>
      </c>
      <c r="AB121" s="21">
        <v>111</v>
      </c>
      <c r="AC121" s="21">
        <v>7.9711900000000002E-2</v>
      </c>
      <c r="AD121">
        <f t="shared" si="16"/>
        <v>38.362499999999997</v>
      </c>
      <c r="AE121">
        <f t="shared" si="17"/>
        <v>3.1082908725</v>
      </c>
      <c r="AF121" s="9"/>
      <c r="AG121" s="21">
        <v>0.458984</v>
      </c>
      <c r="AH121" s="21">
        <v>257.95699999999999</v>
      </c>
      <c r="AI121" s="21">
        <v>-5.6274400000000002E-2</v>
      </c>
      <c r="AJ121" s="21">
        <v>111</v>
      </c>
      <c r="AK121" s="21">
        <v>0.45861800000000003</v>
      </c>
      <c r="AL121">
        <f t="shared" si="18"/>
        <v>35.171500000000002</v>
      </c>
      <c r="AM121">
        <f t="shared" si="19"/>
        <v>16.143155756000002</v>
      </c>
      <c r="AP121" s="9"/>
      <c r="AQ121" s="21">
        <v>8.1024200000000005E-2</v>
      </c>
      <c r="AR121" s="21">
        <v>307.09399999999999</v>
      </c>
      <c r="AS121" s="21">
        <v>-6.13678E-2</v>
      </c>
      <c r="AT121" s="21">
        <v>111</v>
      </c>
      <c r="AU121" s="21">
        <v>7.9711900000000002E-2</v>
      </c>
      <c r="AV121">
        <f t="shared" si="20"/>
        <v>38.354875</v>
      </c>
      <c r="AW121">
        <f t="shared" si="21"/>
        <v>3.107673062975</v>
      </c>
      <c r="AX121" s="9"/>
      <c r="AY121" s="21">
        <v>0.458984</v>
      </c>
      <c r="AZ121" s="21">
        <v>344.267</v>
      </c>
      <c r="BA121" s="21">
        <v>-5.6335400000000001E-2</v>
      </c>
      <c r="BB121" s="21">
        <v>111</v>
      </c>
      <c r="BC121" s="21">
        <v>0.45852700000000002</v>
      </c>
      <c r="BD121">
        <f t="shared" si="22"/>
        <v>35.209625000000003</v>
      </c>
      <c r="BE121">
        <f t="shared" si="23"/>
        <v>16.160654521000001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7.5988799999999995E-2</v>
      </c>
      <c r="H122" s="21">
        <v>114.408</v>
      </c>
      <c r="I122" s="21">
        <v>-6.14105E-2</v>
      </c>
      <c r="J122" s="21">
        <v>112</v>
      </c>
      <c r="K122" s="21">
        <v>7.4646000000000004E-2</v>
      </c>
      <c r="L122">
        <f t="shared" si="12"/>
        <v>38.381562500000001</v>
      </c>
      <c r="M122">
        <f t="shared" si="13"/>
        <v>2.9165688765</v>
      </c>
      <c r="N122" s="9"/>
      <c r="O122" s="21">
        <v>0.46401999999999999</v>
      </c>
      <c r="P122" s="21">
        <v>166.91</v>
      </c>
      <c r="Q122" s="21">
        <v>-5.6152300000000002E-2</v>
      </c>
      <c r="R122" s="21">
        <v>112</v>
      </c>
      <c r="S122" s="21">
        <v>0.46362300000000001</v>
      </c>
      <c r="T122">
        <f t="shared" si="14"/>
        <v>35.095187500000002</v>
      </c>
      <c r="U122">
        <f t="shared" si="15"/>
        <v>16.284868903749999</v>
      </c>
      <c r="X122" s="9"/>
      <c r="Y122" s="21">
        <v>7.5988799999999995E-2</v>
      </c>
      <c r="Z122" s="21">
        <v>201.28100000000001</v>
      </c>
      <c r="AA122" s="21">
        <v>-6.1349500000000001E-2</v>
      </c>
      <c r="AB122" s="21">
        <v>112</v>
      </c>
      <c r="AC122" s="21">
        <v>7.4676500000000007E-2</v>
      </c>
      <c r="AD122">
        <f t="shared" si="16"/>
        <v>38.3434375</v>
      </c>
      <c r="AE122">
        <f t="shared" si="17"/>
        <v>2.9136718034999998</v>
      </c>
      <c r="AF122" s="9"/>
      <c r="AG122" s="21">
        <v>0.46401999999999999</v>
      </c>
      <c r="AH122" s="21">
        <v>258.05700000000002</v>
      </c>
      <c r="AI122" s="21">
        <v>-5.6152300000000002E-2</v>
      </c>
      <c r="AJ122" s="21">
        <v>112</v>
      </c>
      <c r="AK122" s="21">
        <v>0.46356199999999997</v>
      </c>
      <c r="AL122">
        <f t="shared" si="18"/>
        <v>35.095187500000002</v>
      </c>
      <c r="AM122">
        <f t="shared" si="19"/>
        <v>16.284868903749999</v>
      </c>
      <c r="AP122" s="9"/>
      <c r="AQ122" s="21">
        <v>7.5988799999999995E-2</v>
      </c>
      <c r="AR122" s="21">
        <v>307.19499999999999</v>
      </c>
      <c r="AS122" s="21">
        <v>-6.1398300000000003E-2</v>
      </c>
      <c r="AT122" s="21">
        <v>112</v>
      </c>
      <c r="AU122" s="21">
        <v>7.4615500000000001E-2</v>
      </c>
      <c r="AV122">
        <f t="shared" si="20"/>
        <v>38.373937499999997</v>
      </c>
      <c r="AW122">
        <f t="shared" si="21"/>
        <v>2.9159894618999997</v>
      </c>
      <c r="AX122" s="9"/>
      <c r="AY122" s="21">
        <v>0.46401999999999999</v>
      </c>
      <c r="AZ122" s="21">
        <v>344.36799999999999</v>
      </c>
      <c r="BA122" s="21">
        <v>-5.6152300000000002E-2</v>
      </c>
      <c r="BB122" s="21">
        <v>112</v>
      </c>
      <c r="BC122" s="21">
        <v>0.46362300000000001</v>
      </c>
      <c r="BD122">
        <f t="shared" si="22"/>
        <v>35.095187500000002</v>
      </c>
      <c r="BE122">
        <f t="shared" si="23"/>
        <v>16.284868903749999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7.09534E-2</v>
      </c>
      <c r="H123" s="21">
        <v>114.509</v>
      </c>
      <c r="I123" s="21">
        <v>-6.1441000000000003E-2</v>
      </c>
      <c r="J123" s="21">
        <v>113</v>
      </c>
      <c r="K123" s="21">
        <v>6.9641099999999997E-2</v>
      </c>
      <c r="L123">
        <f t="shared" si="12"/>
        <v>38.400624999999998</v>
      </c>
      <c r="M123">
        <f t="shared" si="13"/>
        <v>2.724654905875</v>
      </c>
      <c r="N123" s="9"/>
      <c r="O123" s="21">
        <v>0.469055</v>
      </c>
      <c r="P123" s="21">
        <v>167.011</v>
      </c>
      <c r="Q123" s="21">
        <v>-5.5908199999999998E-2</v>
      </c>
      <c r="R123" s="21">
        <v>113</v>
      </c>
      <c r="S123" s="21">
        <v>0.46862799999999999</v>
      </c>
      <c r="T123">
        <f t="shared" si="14"/>
        <v>34.942625</v>
      </c>
      <c r="U123">
        <f t="shared" si="15"/>
        <v>16.390012969375</v>
      </c>
      <c r="X123" s="9"/>
      <c r="Y123" s="21">
        <v>7.09534E-2</v>
      </c>
      <c r="Z123" s="21">
        <v>201.38200000000001</v>
      </c>
      <c r="AA123" s="21">
        <v>-6.1370800000000003E-2</v>
      </c>
      <c r="AB123" s="21">
        <v>113</v>
      </c>
      <c r="AC123" s="21">
        <v>6.9641099999999997E-2</v>
      </c>
      <c r="AD123">
        <f t="shared" si="16"/>
        <v>38.356750000000005</v>
      </c>
      <c r="AE123">
        <f t="shared" si="17"/>
        <v>2.7215418254500006</v>
      </c>
      <c r="AF123" s="9"/>
      <c r="AG123" s="21">
        <v>0.469055</v>
      </c>
      <c r="AH123" s="21">
        <v>258.15800000000002</v>
      </c>
      <c r="AI123" s="21">
        <v>-5.58472E-2</v>
      </c>
      <c r="AJ123" s="21">
        <v>113</v>
      </c>
      <c r="AK123" s="21">
        <v>0.46862799999999999</v>
      </c>
      <c r="AL123">
        <f t="shared" si="18"/>
        <v>34.904499999999999</v>
      </c>
      <c r="AM123">
        <f t="shared" si="19"/>
        <v>16.372130247499999</v>
      </c>
      <c r="AP123" s="9"/>
      <c r="AQ123" s="21">
        <v>7.09534E-2</v>
      </c>
      <c r="AR123" s="21">
        <v>307.29599999999999</v>
      </c>
      <c r="AS123" s="21">
        <v>-6.1422699999999997E-2</v>
      </c>
      <c r="AT123" s="21">
        <v>113</v>
      </c>
      <c r="AU123" s="21">
        <v>6.9641099999999997E-2</v>
      </c>
      <c r="AV123">
        <f t="shared" si="20"/>
        <v>38.389187499999998</v>
      </c>
      <c r="AW123">
        <f t="shared" si="21"/>
        <v>2.7238433763624998</v>
      </c>
      <c r="AX123" s="9"/>
      <c r="AY123" s="21">
        <v>0.469055</v>
      </c>
      <c r="AZ123" s="21">
        <v>344.46800000000002</v>
      </c>
      <c r="BA123" s="21">
        <v>-5.5908199999999998E-2</v>
      </c>
      <c r="BB123" s="21">
        <v>113</v>
      </c>
      <c r="BC123" s="21">
        <v>0.46859699999999999</v>
      </c>
      <c r="BD123">
        <f t="shared" si="22"/>
        <v>34.942625</v>
      </c>
      <c r="BE123">
        <f t="shared" si="23"/>
        <v>16.390012969375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6.5918000000000004E-2</v>
      </c>
      <c r="H124" s="21">
        <v>114.60899999999999</v>
      </c>
      <c r="I124" s="21">
        <v>-6.1407499999999997E-2</v>
      </c>
      <c r="J124" s="21">
        <v>114</v>
      </c>
      <c r="K124" s="21">
        <v>6.4514199999999994E-2</v>
      </c>
      <c r="L124">
        <f t="shared" si="12"/>
        <v>38.379687499999996</v>
      </c>
      <c r="M124">
        <f t="shared" si="13"/>
        <v>2.5299122406249999</v>
      </c>
      <c r="N124" s="9"/>
      <c r="O124" s="21">
        <v>0.47409099999999998</v>
      </c>
      <c r="P124" s="21">
        <v>167.11099999999999</v>
      </c>
      <c r="Q124" s="21">
        <v>-5.5694599999999997E-2</v>
      </c>
      <c r="R124" s="21">
        <v>114</v>
      </c>
      <c r="S124" s="21">
        <v>0.47363300000000003</v>
      </c>
      <c r="T124">
        <f t="shared" si="14"/>
        <v>34.809124999999995</v>
      </c>
      <c r="U124">
        <f t="shared" si="15"/>
        <v>16.502692880374997</v>
      </c>
      <c r="X124" s="9"/>
      <c r="Y124" s="21">
        <v>6.5918000000000004E-2</v>
      </c>
      <c r="Z124" s="21">
        <v>201.483</v>
      </c>
      <c r="AA124" s="21">
        <v>-6.1373900000000002E-2</v>
      </c>
      <c r="AB124" s="21">
        <v>114</v>
      </c>
      <c r="AC124" s="21">
        <v>6.4575199999999999E-2</v>
      </c>
      <c r="AD124">
        <f t="shared" si="16"/>
        <v>38.358687500000002</v>
      </c>
      <c r="AE124">
        <f t="shared" si="17"/>
        <v>2.5285279626250001</v>
      </c>
      <c r="AF124" s="9"/>
      <c r="AG124" s="21">
        <v>0.47409099999999998</v>
      </c>
      <c r="AH124" s="21">
        <v>258.25900000000001</v>
      </c>
      <c r="AI124" s="21">
        <v>-5.5633500000000002E-2</v>
      </c>
      <c r="AJ124" s="21">
        <v>114</v>
      </c>
      <c r="AK124" s="21">
        <v>0.473694</v>
      </c>
      <c r="AL124">
        <f t="shared" si="18"/>
        <v>34.770937500000002</v>
      </c>
      <c r="AM124">
        <f t="shared" si="19"/>
        <v>16.4845885303125</v>
      </c>
      <c r="AP124" s="9"/>
      <c r="AQ124" s="21">
        <v>6.5918000000000004E-2</v>
      </c>
      <c r="AR124" s="21">
        <v>307.39600000000002</v>
      </c>
      <c r="AS124" s="21">
        <v>-6.1447099999999998E-2</v>
      </c>
      <c r="AT124" s="21">
        <v>114</v>
      </c>
      <c r="AU124" s="21">
        <v>6.4575199999999999E-2</v>
      </c>
      <c r="AV124">
        <f t="shared" si="20"/>
        <v>38.4044375</v>
      </c>
      <c r="AW124">
        <f t="shared" si="21"/>
        <v>2.5315437111250003</v>
      </c>
      <c r="AX124" s="9"/>
      <c r="AY124" s="21">
        <v>0.47409099999999998</v>
      </c>
      <c r="AZ124" s="21">
        <v>344.56900000000002</v>
      </c>
      <c r="BA124" s="21">
        <v>-5.5633500000000002E-2</v>
      </c>
      <c r="BB124" s="21">
        <v>114</v>
      </c>
      <c r="BC124" s="21">
        <v>0.473663</v>
      </c>
      <c r="BD124">
        <f t="shared" si="22"/>
        <v>34.770937500000002</v>
      </c>
      <c r="BE124">
        <f t="shared" si="23"/>
        <v>16.4845885303125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6.0882600000000002E-2</v>
      </c>
      <c r="H125" s="21">
        <v>114.71</v>
      </c>
      <c r="I125" s="21">
        <v>-6.1441000000000003E-2</v>
      </c>
      <c r="J125" s="21">
        <v>115</v>
      </c>
      <c r="K125" s="21">
        <v>5.9539799999999997E-2</v>
      </c>
      <c r="L125">
        <f t="shared" si="12"/>
        <v>38.400624999999998</v>
      </c>
      <c r="M125">
        <f t="shared" si="13"/>
        <v>2.337929891625</v>
      </c>
      <c r="N125" s="9"/>
      <c r="O125" s="21">
        <v>0.479126</v>
      </c>
      <c r="P125" s="21">
        <v>167.21199999999999</v>
      </c>
      <c r="Q125" s="21">
        <v>-5.5450399999999997E-2</v>
      </c>
      <c r="R125" s="21">
        <v>115</v>
      </c>
      <c r="S125" s="21">
        <v>0.47866799999999998</v>
      </c>
      <c r="T125">
        <f t="shared" si="14"/>
        <v>34.656499999999994</v>
      </c>
      <c r="U125">
        <f t="shared" si="15"/>
        <v>16.604830218999997</v>
      </c>
      <c r="X125" s="9"/>
      <c r="Y125" s="21">
        <v>6.0882600000000002E-2</v>
      </c>
      <c r="Z125" s="21">
        <v>201.583</v>
      </c>
      <c r="AA125" s="21">
        <v>-6.1379999999999997E-2</v>
      </c>
      <c r="AB125" s="21">
        <v>115</v>
      </c>
      <c r="AC125" s="21">
        <v>5.9539799999999997E-2</v>
      </c>
      <c r="AD125">
        <f t="shared" si="16"/>
        <v>38.362499999999997</v>
      </c>
      <c r="AE125">
        <f t="shared" si="17"/>
        <v>2.3356087424999998</v>
      </c>
      <c r="AF125" s="9"/>
      <c r="AG125" s="21">
        <v>0.479126</v>
      </c>
      <c r="AH125" s="21">
        <v>258.35899999999998</v>
      </c>
      <c r="AI125" s="21">
        <v>-5.5358900000000003E-2</v>
      </c>
      <c r="AJ125" s="21">
        <v>115</v>
      </c>
      <c r="AK125" s="21">
        <v>0.47863800000000001</v>
      </c>
      <c r="AL125">
        <f t="shared" si="18"/>
        <v>34.599312499999996</v>
      </c>
      <c r="AM125">
        <f t="shared" si="19"/>
        <v>16.577430200875</v>
      </c>
      <c r="AP125" s="9"/>
      <c r="AQ125" s="21">
        <v>6.0882600000000002E-2</v>
      </c>
      <c r="AR125" s="21">
        <v>307.49700000000001</v>
      </c>
      <c r="AS125" s="21">
        <v>-6.1425800000000003E-2</v>
      </c>
      <c r="AT125" s="21">
        <v>115</v>
      </c>
      <c r="AU125" s="21">
        <v>5.9478799999999998E-2</v>
      </c>
      <c r="AV125">
        <f t="shared" si="20"/>
        <v>38.391124999999995</v>
      </c>
      <c r="AW125">
        <f t="shared" si="21"/>
        <v>2.3373515069249997</v>
      </c>
      <c r="AX125" s="9"/>
      <c r="AY125" s="21">
        <v>0.479126</v>
      </c>
      <c r="AZ125" s="21">
        <v>344.67</v>
      </c>
      <c r="BA125" s="21">
        <v>-5.53284E-2</v>
      </c>
      <c r="BB125" s="21">
        <v>115</v>
      </c>
      <c r="BC125" s="21">
        <v>0.47869899999999999</v>
      </c>
      <c r="BD125">
        <f t="shared" si="22"/>
        <v>34.580249999999999</v>
      </c>
      <c r="BE125">
        <f t="shared" si="23"/>
        <v>16.568296861499999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5.58472E-2</v>
      </c>
      <c r="H126" s="21">
        <v>114.81100000000001</v>
      </c>
      <c r="I126" s="21">
        <v>-6.1447099999999998E-2</v>
      </c>
      <c r="J126" s="21">
        <v>116</v>
      </c>
      <c r="K126" s="21">
        <v>5.4504400000000001E-2</v>
      </c>
      <c r="L126">
        <f t="shared" si="12"/>
        <v>38.4044375</v>
      </c>
      <c r="M126">
        <f t="shared" si="13"/>
        <v>2.14478030195</v>
      </c>
      <c r="N126" s="9"/>
      <c r="O126" s="21">
        <v>0.48416100000000001</v>
      </c>
      <c r="P126" s="21">
        <v>167.31299999999999</v>
      </c>
      <c r="Q126" s="21">
        <v>-5.5114700000000003E-2</v>
      </c>
      <c r="R126" s="21">
        <v>116</v>
      </c>
      <c r="S126" s="21">
        <v>0.48364299999999999</v>
      </c>
      <c r="T126">
        <f t="shared" si="14"/>
        <v>34.446687499999996</v>
      </c>
      <c r="U126">
        <f t="shared" si="15"/>
        <v>16.677742666687497</v>
      </c>
      <c r="X126" s="9"/>
      <c r="Y126" s="21">
        <v>5.58472E-2</v>
      </c>
      <c r="Z126" s="21">
        <v>201.684</v>
      </c>
      <c r="AA126" s="21">
        <v>-6.14105E-2</v>
      </c>
      <c r="AB126" s="21">
        <v>116</v>
      </c>
      <c r="AC126" s="21">
        <v>5.4443400000000003E-2</v>
      </c>
      <c r="AD126">
        <f t="shared" si="16"/>
        <v>38.381562500000001</v>
      </c>
      <c r="AE126">
        <f t="shared" si="17"/>
        <v>2.14350279725</v>
      </c>
      <c r="AF126" s="9"/>
      <c r="AG126" s="21">
        <v>0.48416100000000001</v>
      </c>
      <c r="AH126" s="21">
        <v>258.45999999999998</v>
      </c>
      <c r="AI126" s="21">
        <v>-5.50842E-2</v>
      </c>
      <c r="AJ126" s="21">
        <v>116</v>
      </c>
      <c r="AK126" s="21">
        <v>0.483734</v>
      </c>
      <c r="AL126">
        <f t="shared" si="18"/>
        <v>34.427624999999999</v>
      </c>
      <c r="AM126">
        <f t="shared" si="19"/>
        <v>16.668513347624998</v>
      </c>
      <c r="AP126" s="9"/>
      <c r="AQ126" s="21">
        <v>5.58472E-2</v>
      </c>
      <c r="AR126" s="21">
        <v>307.59800000000001</v>
      </c>
      <c r="AS126" s="21">
        <v>-6.13953E-2</v>
      </c>
      <c r="AT126" s="21">
        <v>116</v>
      </c>
      <c r="AU126" s="21">
        <v>5.4504400000000001E-2</v>
      </c>
      <c r="AV126">
        <f t="shared" si="20"/>
        <v>38.372062499999998</v>
      </c>
      <c r="AW126">
        <f t="shared" si="21"/>
        <v>2.14297224885</v>
      </c>
      <c r="AX126" s="9"/>
      <c r="AY126" s="21">
        <v>0.48416100000000001</v>
      </c>
      <c r="AZ126" s="21">
        <v>344.77</v>
      </c>
      <c r="BA126" s="21">
        <v>-5.5023200000000001E-2</v>
      </c>
      <c r="BB126" s="21">
        <v>116</v>
      </c>
      <c r="BC126" s="21">
        <v>0.483734</v>
      </c>
      <c r="BD126">
        <f t="shared" si="22"/>
        <v>34.389499999999998</v>
      </c>
      <c r="BE126">
        <f t="shared" si="23"/>
        <v>16.650054709500001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5.0811799999999997E-2</v>
      </c>
      <c r="H127" s="21">
        <v>114.91200000000001</v>
      </c>
      <c r="I127" s="21">
        <v>-6.1471600000000001E-2</v>
      </c>
      <c r="J127" s="21">
        <v>117</v>
      </c>
      <c r="K127" s="21">
        <v>5.0668299999999999E-2</v>
      </c>
      <c r="L127">
        <f t="shared" si="12"/>
        <v>38.419749999999993</v>
      </c>
      <c r="M127">
        <f t="shared" si="13"/>
        <v>1.9521766530499995</v>
      </c>
      <c r="N127" s="9"/>
      <c r="O127" s="21">
        <v>0.48919699999999999</v>
      </c>
      <c r="P127" s="21">
        <v>167.41300000000001</v>
      </c>
      <c r="Q127" s="21">
        <v>-5.48096E-2</v>
      </c>
      <c r="R127" s="21">
        <v>117</v>
      </c>
      <c r="S127" s="21">
        <v>0.48880000000000001</v>
      </c>
      <c r="T127">
        <f t="shared" si="14"/>
        <v>34.255999999999993</v>
      </c>
      <c r="U127">
        <f t="shared" si="15"/>
        <v>16.757932431999997</v>
      </c>
      <c r="X127" s="9"/>
      <c r="Y127" s="21">
        <v>5.0811799999999997E-2</v>
      </c>
      <c r="Z127" s="21">
        <v>201.785</v>
      </c>
      <c r="AA127" s="21">
        <v>-6.1416600000000002E-2</v>
      </c>
      <c r="AB127" s="21">
        <v>117</v>
      </c>
      <c r="AC127" s="21">
        <v>5.0683600000000002E-2</v>
      </c>
      <c r="AD127">
        <f t="shared" si="16"/>
        <v>38.385374999999996</v>
      </c>
      <c r="AE127">
        <f t="shared" si="17"/>
        <v>1.9504299974249997</v>
      </c>
      <c r="AF127" s="9"/>
      <c r="AG127" s="21">
        <v>0.48919699999999999</v>
      </c>
      <c r="AH127" s="21">
        <v>258.56099999999998</v>
      </c>
      <c r="AI127" s="21">
        <v>-5.4718000000000003E-2</v>
      </c>
      <c r="AJ127" s="21">
        <v>117</v>
      </c>
      <c r="AK127" s="21">
        <v>0.48870799999999998</v>
      </c>
      <c r="AL127">
        <f t="shared" si="18"/>
        <v>34.198749999999997</v>
      </c>
      <c r="AM127">
        <f t="shared" si="19"/>
        <v>16.729925903749997</v>
      </c>
      <c r="AP127" s="9"/>
      <c r="AQ127" s="21">
        <v>5.0811799999999997E-2</v>
      </c>
      <c r="AR127" s="21">
        <v>307.69900000000001</v>
      </c>
      <c r="AS127" s="21">
        <v>-6.1349500000000001E-2</v>
      </c>
      <c r="AT127" s="21">
        <v>117</v>
      </c>
      <c r="AU127" s="21">
        <v>5.0714099999999998E-2</v>
      </c>
      <c r="AV127">
        <f t="shared" si="20"/>
        <v>38.3434375</v>
      </c>
      <c r="AW127">
        <f t="shared" si="21"/>
        <v>1.9482990775625</v>
      </c>
      <c r="AX127" s="9"/>
      <c r="AY127" s="21">
        <v>0.48919699999999999</v>
      </c>
      <c r="AZ127" s="21">
        <v>344.87099999999998</v>
      </c>
      <c r="BA127" s="21">
        <v>-5.4718000000000003E-2</v>
      </c>
      <c r="BB127" s="21">
        <v>117</v>
      </c>
      <c r="BC127" s="21">
        <v>0.48880000000000001</v>
      </c>
      <c r="BD127">
        <f t="shared" si="22"/>
        <v>34.198749999999997</v>
      </c>
      <c r="BE127">
        <f t="shared" si="23"/>
        <v>16.729925903749997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4.5776400000000002E-2</v>
      </c>
      <c r="H128" s="21">
        <v>115.012</v>
      </c>
      <c r="I128" s="21">
        <v>-6.1477700000000003E-2</v>
      </c>
      <c r="J128" s="21">
        <v>118</v>
      </c>
      <c r="K128" s="21">
        <v>4.5617699999999997E-2</v>
      </c>
      <c r="L128">
        <f t="shared" si="12"/>
        <v>38.423562500000003</v>
      </c>
      <c r="M128">
        <f t="shared" si="13"/>
        <v>1.7588923664250002</v>
      </c>
      <c r="N128" s="9"/>
      <c r="O128" s="21">
        <v>0.494232</v>
      </c>
      <c r="P128" s="21">
        <v>167.51400000000001</v>
      </c>
      <c r="Q128" s="21">
        <v>-5.4443400000000003E-2</v>
      </c>
      <c r="R128" s="21">
        <v>118</v>
      </c>
      <c r="S128" s="21">
        <v>0.49380499999999999</v>
      </c>
      <c r="T128">
        <f t="shared" si="14"/>
        <v>34.027124999999998</v>
      </c>
      <c r="U128">
        <f t="shared" si="15"/>
        <v>16.817294043</v>
      </c>
      <c r="X128" s="9"/>
      <c r="Y128" s="21">
        <v>4.5776400000000002E-2</v>
      </c>
      <c r="Z128" s="21">
        <v>201.886</v>
      </c>
      <c r="AA128" s="21">
        <v>-6.13953E-2</v>
      </c>
      <c r="AB128" s="21">
        <v>118</v>
      </c>
      <c r="AC128" s="21">
        <v>4.5611600000000002E-2</v>
      </c>
      <c r="AD128">
        <f t="shared" si="16"/>
        <v>38.372062499999998</v>
      </c>
      <c r="AE128">
        <f t="shared" si="17"/>
        <v>1.7565348818249999</v>
      </c>
      <c r="AF128" s="9"/>
      <c r="AG128" s="21">
        <v>0.494232</v>
      </c>
      <c r="AH128" s="21">
        <v>258.661</v>
      </c>
      <c r="AI128" s="21">
        <v>-5.4412799999999997E-2</v>
      </c>
      <c r="AJ128" s="21">
        <v>118</v>
      </c>
      <c r="AK128" s="21">
        <v>0.49383500000000002</v>
      </c>
      <c r="AL128">
        <f t="shared" si="18"/>
        <v>34.007999999999996</v>
      </c>
      <c r="AM128">
        <f t="shared" si="19"/>
        <v>16.807841856</v>
      </c>
      <c r="AP128" s="9"/>
      <c r="AQ128" s="21">
        <v>4.5776400000000002E-2</v>
      </c>
      <c r="AR128" s="21">
        <v>307.79899999999998</v>
      </c>
      <c r="AS128" s="21">
        <v>-6.1364700000000001E-2</v>
      </c>
      <c r="AT128" s="21">
        <v>118</v>
      </c>
      <c r="AU128" s="21">
        <v>4.5657299999999998E-2</v>
      </c>
      <c r="AV128">
        <f t="shared" si="20"/>
        <v>38.352937499999996</v>
      </c>
      <c r="AW128">
        <f t="shared" si="21"/>
        <v>1.7556594081749999</v>
      </c>
      <c r="AX128" s="9"/>
      <c r="AY128" s="21">
        <v>0.494232</v>
      </c>
      <c r="AZ128" s="21">
        <v>344.97199999999998</v>
      </c>
      <c r="BA128" s="21">
        <v>-5.4351799999999999E-2</v>
      </c>
      <c r="BB128" s="21">
        <v>118</v>
      </c>
      <c r="BC128" s="21">
        <v>0.49380499999999999</v>
      </c>
      <c r="BD128">
        <f t="shared" si="22"/>
        <v>33.969874999999995</v>
      </c>
      <c r="BE128">
        <f t="shared" si="23"/>
        <v>16.788999260999997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4.0740999999999999E-2</v>
      </c>
      <c r="H129" s="21">
        <v>115.113</v>
      </c>
      <c r="I129" s="21">
        <v>-6.1486800000000001E-2</v>
      </c>
      <c r="J129" s="21">
        <v>119</v>
      </c>
      <c r="K129" s="21">
        <v>4.0600600000000001E-2</v>
      </c>
      <c r="L129">
        <f t="shared" si="12"/>
        <v>38.429249999999996</v>
      </c>
      <c r="M129">
        <f t="shared" si="13"/>
        <v>1.5656460742499998</v>
      </c>
      <c r="N129" s="9"/>
      <c r="O129" s="21">
        <v>0.49926799999999999</v>
      </c>
      <c r="P129" s="21">
        <v>167.61500000000001</v>
      </c>
      <c r="Q129" s="21">
        <v>-5.4077100000000003E-2</v>
      </c>
      <c r="R129" s="21">
        <v>119</v>
      </c>
      <c r="S129" s="21">
        <v>0.49887100000000001</v>
      </c>
      <c r="T129">
        <f t="shared" si="14"/>
        <v>33.798187499999997</v>
      </c>
      <c r="U129">
        <f t="shared" si="15"/>
        <v>16.874353476749999</v>
      </c>
      <c r="X129" s="9"/>
      <c r="Y129" s="21">
        <v>4.0740999999999999E-2</v>
      </c>
      <c r="Z129" s="21">
        <v>201.98599999999999</v>
      </c>
      <c r="AA129" s="21">
        <v>-6.1438E-2</v>
      </c>
      <c r="AB129" s="21">
        <v>119</v>
      </c>
      <c r="AC129" s="21">
        <v>4.0600600000000001E-2</v>
      </c>
      <c r="AD129">
        <f t="shared" si="16"/>
        <v>38.398749999999993</v>
      </c>
      <c r="AE129">
        <f t="shared" si="17"/>
        <v>1.5644034737499997</v>
      </c>
      <c r="AF129" s="9"/>
      <c r="AG129" s="21">
        <v>0.49926799999999999</v>
      </c>
      <c r="AH129" s="21">
        <v>258.762</v>
      </c>
      <c r="AI129" s="21">
        <v>-5.3955099999999999E-2</v>
      </c>
      <c r="AJ129" s="21">
        <v>119</v>
      </c>
      <c r="AK129" s="21">
        <v>0.49877899999999997</v>
      </c>
      <c r="AL129">
        <f t="shared" si="18"/>
        <v>33.721937500000003</v>
      </c>
      <c r="AM129">
        <f t="shared" si="19"/>
        <v>16.836284291750001</v>
      </c>
      <c r="AP129" s="9"/>
      <c r="AQ129" s="21">
        <v>4.0740999999999999E-2</v>
      </c>
      <c r="AR129" s="21">
        <v>307.89999999999998</v>
      </c>
      <c r="AS129" s="21">
        <v>-6.1422699999999997E-2</v>
      </c>
      <c r="AT129" s="21">
        <v>119</v>
      </c>
      <c r="AU129" s="21">
        <v>4.0585299999999998E-2</v>
      </c>
      <c r="AV129">
        <f t="shared" si="20"/>
        <v>38.389187499999998</v>
      </c>
      <c r="AW129">
        <f t="shared" si="21"/>
        <v>1.5640138879374998</v>
      </c>
      <c r="AX129" s="9"/>
      <c r="AY129" s="21">
        <v>0.49926799999999999</v>
      </c>
      <c r="AZ129" s="21">
        <v>345.072</v>
      </c>
      <c r="BA129" s="21">
        <v>-5.3924600000000003E-2</v>
      </c>
      <c r="BB129" s="21">
        <v>119</v>
      </c>
      <c r="BC129" s="21">
        <v>0.49887100000000001</v>
      </c>
      <c r="BD129">
        <f t="shared" si="22"/>
        <v>33.702874999999999</v>
      </c>
      <c r="BE129">
        <f t="shared" si="23"/>
        <v>16.826766995499998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3.5705599999999997E-2</v>
      </c>
      <c r="H130" s="21">
        <v>115.214</v>
      </c>
      <c r="I130" s="21">
        <v>-6.1474599999999997E-2</v>
      </c>
      <c r="J130" s="21">
        <v>120</v>
      </c>
      <c r="K130" s="21">
        <v>3.55042E-2</v>
      </c>
      <c r="L130">
        <f t="shared" si="12"/>
        <v>38.421624999999992</v>
      </c>
      <c r="M130">
        <f t="shared" si="13"/>
        <v>1.3718671735999997</v>
      </c>
      <c r="N130" s="9"/>
      <c r="O130" s="21">
        <v>0.50430299999999995</v>
      </c>
      <c r="P130" s="21">
        <v>167.71600000000001</v>
      </c>
      <c r="Q130" s="21">
        <v>-5.3558300000000003E-2</v>
      </c>
      <c r="R130" s="21">
        <v>120</v>
      </c>
      <c r="S130" s="21">
        <v>0.50384499999999999</v>
      </c>
      <c r="T130">
        <f t="shared" si="14"/>
        <v>33.473937500000005</v>
      </c>
      <c r="U130">
        <f t="shared" si="15"/>
        <v>16.881007103062501</v>
      </c>
      <c r="X130" s="9"/>
      <c r="Y130" s="21">
        <v>3.5705599999999997E-2</v>
      </c>
      <c r="Z130" s="21">
        <v>202.08699999999999</v>
      </c>
      <c r="AA130" s="21">
        <v>-6.1428799999999999E-2</v>
      </c>
      <c r="AB130" s="21">
        <v>120</v>
      </c>
      <c r="AC130" s="21">
        <v>3.5522499999999999E-2</v>
      </c>
      <c r="AD130">
        <f t="shared" si="16"/>
        <v>38.392999999999994</v>
      </c>
      <c r="AE130">
        <f t="shared" si="17"/>
        <v>1.3708451007999995</v>
      </c>
      <c r="AF130" s="9"/>
      <c r="AG130" s="21">
        <v>0.50430299999999995</v>
      </c>
      <c r="AH130" s="21">
        <v>258.863</v>
      </c>
      <c r="AI130" s="21">
        <v>-5.3466800000000002E-2</v>
      </c>
      <c r="AJ130" s="21">
        <v>120</v>
      </c>
      <c r="AK130" s="21">
        <v>0.50384499999999999</v>
      </c>
      <c r="AL130">
        <f t="shared" si="18"/>
        <v>33.41675</v>
      </c>
      <c r="AM130">
        <f t="shared" si="19"/>
        <v>16.852167275249997</v>
      </c>
      <c r="AP130" s="9"/>
      <c r="AQ130" s="21">
        <v>3.5705599999999997E-2</v>
      </c>
      <c r="AR130" s="21">
        <v>308.00099999999998</v>
      </c>
      <c r="AS130" s="21">
        <v>-6.1398300000000003E-2</v>
      </c>
      <c r="AT130" s="21">
        <v>120</v>
      </c>
      <c r="AU130" s="21">
        <v>3.5494999999999999E-2</v>
      </c>
      <c r="AV130">
        <f t="shared" si="20"/>
        <v>38.373937499999997</v>
      </c>
      <c r="AW130">
        <f t="shared" si="21"/>
        <v>1.3701644627999998</v>
      </c>
      <c r="AX130" s="9"/>
      <c r="AY130" s="21">
        <v>0.50430299999999995</v>
      </c>
      <c r="AZ130" s="21">
        <v>345.173</v>
      </c>
      <c r="BA130" s="21">
        <v>-5.3436299999999999E-2</v>
      </c>
      <c r="BB130" s="21">
        <v>120</v>
      </c>
      <c r="BC130" s="21">
        <v>0.50387599999999999</v>
      </c>
      <c r="BD130">
        <f t="shared" si="22"/>
        <v>33.397687499999996</v>
      </c>
      <c r="BE130">
        <f t="shared" si="23"/>
        <v>16.842553999312496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3.0670200000000002E-2</v>
      </c>
      <c r="H131" s="21">
        <v>115.31399999999999</v>
      </c>
      <c r="I131" s="21">
        <v>-6.1441000000000003E-2</v>
      </c>
      <c r="J131" s="21">
        <v>121</v>
      </c>
      <c r="K131" s="21">
        <v>3.04718E-2</v>
      </c>
      <c r="L131">
        <f t="shared" si="12"/>
        <v>38.400624999999998</v>
      </c>
      <c r="M131">
        <f t="shared" si="13"/>
        <v>1.177754848875</v>
      </c>
      <c r="N131" s="9"/>
      <c r="O131" s="21">
        <v>0.50933799999999996</v>
      </c>
      <c r="P131" s="21">
        <v>167.816</v>
      </c>
      <c r="Q131" s="21">
        <v>-5.3100599999999998E-2</v>
      </c>
      <c r="R131" s="21">
        <v>121</v>
      </c>
      <c r="S131" s="21">
        <v>0.508911</v>
      </c>
      <c r="T131">
        <f t="shared" si="14"/>
        <v>33.187874999999998</v>
      </c>
      <c r="U131">
        <f t="shared" si="15"/>
        <v>16.903845876749998</v>
      </c>
      <c r="X131" s="9"/>
      <c r="Y131" s="21">
        <v>3.0670200000000002E-2</v>
      </c>
      <c r="Z131" s="21">
        <v>202.18799999999999</v>
      </c>
      <c r="AA131" s="21">
        <v>-6.1413599999999999E-2</v>
      </c>
      <c r="AB131" s="21">
        <v>121</v>
      </c>
      <c r="AC131" s="21">
        <v>3.0490099999999999E-2</v>
      </c>
      <c r="AD131">
        <f t="shared" si="16"/>
        <v>38.383499999999991</v>
      </c>
      <c r="AE131">
        <f t="shared" si="17"/>
        <v>1.1772296216999998</v>
      </c>
      <c r="AF131" s="9"/>
      <c r="AG131" s="21">
        <v>0.50933799999999996</v>
      </c>
      <c r="AH131" s="21">
        <v>258.964</v>
      </c>
      <c r="AI131" s="21">
        <v>-5.2948000000000002E-2</v>
      </c>
      <c r="AJ131" s="21">
        <v>121</v>
      </c>
      <c r="AK131" s="21">
        <v>0.508911</v>
      </c>
      <c r="AL131">
        <f t="shared" si="18"/>
        <v>33.092499999999994</v>
      </c>
      <c r="AM131">
        <f t="shared" si="19"/>
        <v>16.855267764999997</v>
      </c>
      <c r="AP131" s="9"/>
      <c r="AQ131" s="21">
        <v>3.0670200000000002E-2</v>
      </c>
      <c r="AR131" s="21">
        <v>308.101</v>
      </c>
      <c r="AS131" s="21">
        <v>-6.14105E-2</v>
      </c>
      <c r="AT131" s="21">
        <v>121</v>
      </c>
      <c r="AU131" s="21">
        <v>3.0438199999999999E-2</v>
      </c>
      <c r="AV131">
        <f t="shared" si="20"/>
        <v>38.381562500000001</v>
      </c>
      <c r="AW131">
        <f t="shared" si="21"/>
        <v>1.1771701981875</v>
      </c>
      <c r="AX131" s="9"/>
      <c r="AY131" s="21">
        <v>0.50933799999999996</v>
      </c>
      <c r="AZ131" s="21">
        <v>345.274</v>
      </c>
      <c r="BA131" s="21">
        <v>-5.2917499999999999E-2</v>
      </c>
      <c r="BB131" s="21">
        <v>121</v>
      </c>
      <c r="BC131" s="21">
        <v>0.508911</v>
      </c>
      <c r="BD131">
        <f t="shared" si="22"/>
        <v>33.073437499999997</v>
      </c>
      <c r="BE131">
        <f t="shared" si="23"/>
        <v>16.845558509374996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2.5634799999999999E-2</v>
      </c>
      <c r="H132" s="21">
        <v>115.41500000000001</v>
      </c>
      <c r="I132" s="21">
        <v>-6.15051E-2</v>
      </c>
      <c r="J132" s="21">
        <v>122</v>
      </c>
      <c r="K132" s="21">
        <v>2.54395E-2</v>
      </c>
      <c r="L132">
        <f t="shared" si="12"/>
        <v>38.440687500000003</v>
      </c>
      <c r="M132">
        <f t="shared" si="13"/>
        <v>0.98541933592500008</v>
      </c>
      <c r="N132" s="9"/>
      <c r="O132" s="21">
        <v>0.514374</v>
      </c>
      <c r="P132" s="21">
        <v>167.917</v>
      </c>
      <c r="Q132" s="21">
        <v>-5.2490200000000001E-2</v>
      </c>
      <c r="R132" s="21">
        <v>122</v>
      </c>
      <c r="S132" s="21">
        <v>0.51388500000000004</v>
      </c>
      <c r="T132">
        <f t="shared" si="14"/>
        <v>32.806374999999996</v>
      </c>
      <c r="U132">
        <f t="shared" si="15"/>
        <v>16.874746334249998</v>
      </c>
      <c r="X132" s="9"/>
      <c r="Y132" s="21">
        <v>2.5634799999999999E-2</v>
      </c>
      <c r="Z132" s="21">
        <v>202.28800000000001</v>
      </c>
      <c r="AA132" s="21">
        <v>-6.13953E-2</v>
      </c>
      <c r="AB132" s="21">
        <v>122</v>
      </c>
      <c r="AC132" s="21">
        <v>2.5476100000000002E-2</v>
      </c>
      <c r="AD132">
        <f t="shared" si="16"/>
        <v>38.372062499999998</v>
      </c>
      <c r="AE132">
        <f t="shared" si="17"/>
        <v>0.98366014777499988</v>
      </c>
      <c r="AF132" s="9"/>
      <c r="AG132" s="21">
        <v>0.514374</v>
      </c>
      <c r="AH132" s="21">
        <v>259.06400000000002</v>
      </c>
      <c r="AI132" s="21">
        <v>-5.2429200000000002E-2</v>
      </c>
      <c r="AJ132" s="21">
        <v>122</v>
      </c>
      <c r="AK132" s="21">
        <v>0.51388500000000004</v>
      </c>
      <c r="AL132">
        <f t="shared" si="18"/>
        <v>32.768250000000002</v>
      </c>
      <c r="AM132">
        <f t="shared" si="19"/>
        <v>16.8551358255</v>
      </c>
      <c r="AP132" s="9"/>
      <c r="AQ132" s="21">
        <v>2.5634799999999999E-2</v>
      </c>
      <c r="AR132" s="21">
        <v>308.202</v>
      </c>
      <c r="AS132" s="21">
        <v>-6.1422699999999997E-2</v>
      </c>
      <c r="AT132" s="21">
        <v>122</v>
      </c>
      <c r="AU132" s="21">
        <v>2.5366199999999998E-2</v>
      </c>
      <c r="AV132">
        <f t="shared" si="20"/>
        <v>38.389187499999998</v>
      </c>
      <c r="AW132">
        <f t="shared" si="21"/>
        <v>0.98409914372499996</v>
      </c>
      <c r="AX132" s="9"/>
      <c r="AY132" s="21">
        <v>0.514374</v>
      </c>
      <c r="AZ132" s="21">
        <v>345.375</v>
      </c>
      <c r="BA132" s="21">
        <v>-5.2337599999999998E-2</v>
      </c>
      <c r="BB132" s="21">
        <v>122</v>
      </c>
      <c r="BC132" s="21">
        <v>0.51391600000000004</v>
      </c>
      <c r="BD132">
        <f t="shared" si="22"/>
        <v>32.710999999999999</v>
      </c>
      <c r="BE132">
        <f t="shared" si="23"/>
        <v>16.825687914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2.05994E-2</v>
      </c>
      <c r="H133" s="21">
        <v>115.51600000000001</v>
      </c>
      <c r="I133" s="21">
        <v>-6.14899E-2</v>
      </c>
      <c r="J133" s="21">
        <v>123</v>
      </c>
      <c r="K133" s="21">
        <v>2.0364400000000001E-2</v>
      </c>
      <c r="L133">
        <f t="shared" si="12"/>
        <v>38.4311875</v>
      </c>
      <c r="M133">
        <f t="shared" si="13"/>
        <v>0.79165940378749999</v>
      </c>
      <c r="N133" s="9"/>
      <c r="O133" s="21">
        <v>0.51940900000000001</v>
      </c>
      <c r="P133" s="21">
        <v>168.018</v>
      </c>
      <c r="Q133" s="21">
        <v>-5.1910400000000002E-2</v>
      </c>
      <c r="R133" s="21">
        <v>123</v>
      </c>
      <c r="S133" s="21">
        <v>0.51898200000000005</v>
      </c>
      <c r="T133">
        <f t="shared" si="14"/>
        <v>32.444000000000003</v>
      </c>
      <c r="U133">
        <f t="shared" si="15"/>
        <v>16.851705596000002</v>
      </c>
      <c r="X133" s="9"/>
      <c r="Y133" s="21">
        <v>2.05994E-2</v>
      </c>
      <c r="Z133" s="21">
        <v>202.38900000000001</v>
      </c>
      <c r="AA133" s="21">
        <v>-6.1428799999999999E-2</v>
      </c>
      <c r="AB133" s="21">
        <v>123</v>
      </c>
      <c r="AC133" s="21">
        <v>2.034E-2</v>
      </c>
      <c r="AD133">
        <f t="shared" si="16"/>
        <v>38.392999999999994</v>
      </c>
      <c r="AE133">
        <f t="shared" si="17"/>
        <v>0.79087276419999986</v>
      </c>
      <c r="AF133" s="9"/>
      <c r="AG133" s="21">
        <v>0.51940900000000001</v>
      </c>
      <c r="AH133" s="21">
        <v>259.16500000000002</v>
      </c>
      <c r="AI133" s="21">
        <v>-5.17578E-2</v>
      </c>
      <c r="AJ133" s="21">
        <v>123</v>
      </c>
      <c r="AK133" s="21">
        <v>0.51895100000000005</v>
      </c>
      <c r="AL133">
        <f t="shared" si="18"/>
        <v>32.348624999999998</v>
      </c>
      <c r="AM133">
        <f t="shared" si="19"/>
        <v>16.802166962624998</v>
      </c>
      <c r="AP133" s="9"/>
      <c r="AQ133" s="21">
        <v>2.05994E-2</v>
      </c>
      <c r="AR133" s="21">
        <v>308.303</v>
      </c>
      <c r="AS133" s="21">
        <v>-6.1392200000000001E-2</v>
      </c>
      <c r="AT133" s="21">
        <v>123</v>
      </c>
      <c r="AU133" s="21">
        <v>2.0541400000000001E-2</v>
      </c>
      <c r="AV133">
        <f t="shared" si="20"/>
        <v>38.370124999999994</v>
      </c>
      <c r="AW133">
        <f t="shared" si="21"/>
        <v>0.79040155292499992</v>
      </c>
      <c r="AX133" s="9"/>
      <c r="AY133" s="21">
        <v>0.51940900000000001</v>
      </c>
      <c r="AZ133" s="21">
        <v>345.47500000000002</v>
      </c>
      <c r="BA133" s="21">
        <v>-5.1696800000000001E-2</v>
      </c>
      <c r="BB133" s="21">
        <v>123</v>
      </c>
      <c r="BC133" s="21">
        <v>0.51895100000000005</v>
      </c>
      <c r="BD133">
        <f t="shared" si="22"/>
        <v>32.310499999999998</v>
      </c>
      <c r="BE133">
        <f t="shared" si="23"/>
        <v>16.782364494499998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1.5564E-2</v>
      </c>
      <c r="H134" s="21">
        <v>115.617</v>
      </c>
      <c r="I134" s="21">
        <v>-6.1535600000000003E-2</v>
      </c>
      <c r="J134" s="21">
        <v>124</v>
      </c>
      <c r="K134" s="21">
        <v>1.5432700000000001E-2</v>
      </c>
      <c r="L134">
        <f t="shared" si="12"/>
        <v>38.45975</v>
      </c>
      <c r="M134">
        <f t="shared" si="13"/>
        <v>0.598587549</v>
      </c>
      <c r="N134" s="9"/>
      <c r="O134" s="21">
        <v>0.52444500000000005</v>
      </c>
      <c r="P134" s="21">
        <v>168.11799999999999</v>
      </c>
      <c r="Q134" s="21">
        <v>-5.11169E-2</v>
      </c>
      <c r="R134" s="21">
        <v>124</v>
      </c>
      <c r="S134" s="21">
        <v>0.52401699999999996</v>
      </c>
      <c r="T134">
        <f t="shared" si="14"/>
        <v>31.948062499999999</v>
      </c>
      <c r="U134">
        <f t="shared" si="15"/>
        <v>16.755001637812502</v>
      </c>
      <c r="X134" s="9"/>
      <c r="Y134" s="21">
        <v>1.5564E-2</v>
      </c>
      <c r="Z134" s="21">
        <v>202.49</v>
      </c>
      <c r="AA134" s="21">
        <v>-6.1422699999999997E-2</v>
      </c>
      <c r="AB134" s="21">
        <v>124</v>
      </c>
      <c r="AC134" s="21">
        <v>1.52771E-2</v>
      </c>
      <c r="AD134">
        <f t="shared" si="16"/>
        <v>38.389187499999998</v>
      </c>
      <c r="AE134">
        <f t="shared" si="17"/>
        <v>0.59748931424999996</v>
      </c>
      <c r="AF134" s="9"/>
      <c r="AG134" s="21">
        <v>0.52444500000000005</v>
      </c>
      <c r="AH134" s="21">
        <v>259.26600000000002</v>
      </c>
      <c r="AI134" s="21">
        <v>-5.0994900000000003E-2</v>
      </c>
      <c r="AJ134" s="21">
        <v>124</v>
      </c>
      <c r="AK134" s="21">
        <v>0.52398699999999998</v>
      </c>
      <c r="AL134">
        <f t="shared" si="18"/>
        <v>31.871812500000001</v>
      </c>
      <c r="AM134">
        <f t="shared" si="19"/>
        <v>16.715012706562501</v>
      </c>
      <c r="AP134" s="9"/>
      <c r="AQ134" s="21">
        <v>1.5564E-2</v>
      </c>
      <c r="AR134" s="21">
        <v>308.40300000000002</v>
      </c>
      <c r="AS134" s="21">
        <v>-6.1392200000000001E-2</v>
      </c>
      <c r="AT134" s="21">
        <v>124</v>
      </c>
      <c r="AU134" s="21">
        <v>1.53595E-2</v>
      </c>
      <c r="AV134">
        <f t="shared" si="20"/>
        <v>38.370124999999994</v>
      </c>
      <c r="AW134">
        <f t="shared" si="21"/>
        <v>0.59719262549999985</v>
      </c>
      <c r="AX134" s="9"/>
      <c r="AY134" s="21">
        <v>0.52444500000000005</v>
      </c>
      <c r="AZ134" s="21">
        <v>345.57600000000002</v>
      </c>
      <c r="BA134" s="21">
        <v>-5.0933800000000001E-2</v>
      </c>
      <c r="BB134" s="21">
        <v>124</v>
      </c>
      <c r="BC134" s="21">
        <v>0.52395599999999998</v>
      </c>
      <c r="BD134">
        <f t="shared" si="22"/>
        <v>31.833624999999998</v>
      </c>
      <c r="BE134">
        <f t="shared" si="23"/>
        <v>16.694985463125001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1.0528600000000001E-2</v>
      </c>
      <c r="H135" s="21">
        <v>115.717</v>
      </c>
      <c r="I135" s="21">
        <v>-6.1486800000000001E-2</v>
      </c>
      <c r="J135" s="21">
        <v>125</v>
      </c>
      <c r="K135" s="21">
        <v>1.0199E-2</v>
      </c>
      <c r="L135">
        <f t="shared" si="12"/>
        <v>38.429249999999996</v>
      </c>
      <c r="M135">
        <f t="shared" si="13"/>
        <v>0.40460620154999999</v>
      </c>
      <c r="N135" s="9"/>
      <c r="O135" s="21">
        <v>0.52947999999999995</v>
      </c>
      <c r="P135" s="21">
        <v>168.21899999999999</v>
      </c>
      <c r="Q135" s="21">
        <v>-5.0354000000000003E-2</v>
      </c>
      <c r="R135" s="21">
        <v>125</v>
      </c>
      <c r="S135" s="21">
        <v>0.52902199999999999</v>
      </c>
      <c r="T135">
        <f t="shared" si="14"/>
        <v>31.471249999999998</v>
      </c>
      <c r="U135">
        <f t="shared" si="15"/>
        <v>16.663397449999998</v>
      </c>
      <c r="X135" s="9"/>
      <c r="Y135" s="21">
        <v>1.0528600000000001E-2</v>
      </c>
      <c r="Z135" s="21">
        <v>202.59100000000001</v>
      </c>
      <c r="AA135" s="21">
        <v>-6.1438E-2</v>
      </c>
      <c r="AB135" s="21">
        <v>125</v>
      </c>
      <c r="AC135" s="21">
        <v>1.0318000000000001E-2</v>
      </c>
      <c r="AD135">
        <f t="shared" si="16"/>
        <v>38.398749999999993</v>
      </c>
      <c r="AE135">
        <f t="shared" si="17"/>
        <v>0.40428507924999996</v>
      </c>
      <c r="AF135" s="9"/>
      <c r="AG135" s="21">
        <v>0.52947999999999995</v>
      </c>
      <c r="AH135" s="21">
        <v>259.36599999999999</v>
      </c>
      <c r="AI135" s="21">
        <v>-5.02014E-2</v>
      </c>
      <c r="AJ135" s="21">
        <v>125</v>
      </c>
      <c r="AK135" s="21">
        <v>0.52902199999999999</v>
      </c>
      <c r="AL135">
        <f t="shared" si="18"/>
        <v>31.375874999999997</v>
      </c>
      <c r="AM135">
        <f t="shared" si="19"/>
        <v>16.612898294999997</v>
      </c>
      <c r="AP135" s="9"/>
      <c r="AQ135" s="21">
        <v>1.0528600000000001E-2</v>
      </c>
      <c r="AR135" s="21">
        <v>308.50400000000002</v>
      </c>
      <c r="AS135" s="21">
        <v>-6.1477700000000003E-2</v>
      </c>
      <c r="AT135" s="21">
        <v>125</v>
      </c>
      <c r="AU135" s="21">
        <v>1.03027E-2</v>
      </c>
      <c r="AV135">
        <f t="shared" si="20"/>
        <v>38.423562500000003</v>
      </c>
      <c r="AW135">
        <f t="shared" si="21"/>
        <v>0.40454632013750008</v>
      </c>
      <c r="AX135" s="9"/>
      <c r="AY135" s="21">
        <v>0.52947999999999995</v>
      </c>
      <c r="AZ135" s="21">
        <v>345.67700000000002</v>
      </c>
      <c r="BA135" s="21">
        <v>-5.00793E-2</v>
      </c>
      <c r="BB135" s="21">
        <v>125</v>
      </c>
      <c r="BC135" s="21">
        <v>0.52899200000000002</v>
      </c>
      <c r="BD135">
        <f t="shared" si="22"/>
        <v>31.299562499999997</v>
      </c>
      <c r="BE135">
        <f t="shared" si="23"/>
        <v>16.572492352499996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5.4931600000000004E-3</v>
      </c>
      <c r="H136" s="21">
        <v>115.818</v>
      </c>
      <c r="I136" s="21">
        <v>-6.1526499999999998E-2</v>
      </c>
      <c r="J136" s="21">
        <v>126</v>
      </c>
      <c r="K136" s="21">
        <v>5.2398699999999998E-3</v>
      </c>
      <c r="L136">
        <f t="shared" si="12"/>
        <v>38.454062499999999</v>
      </c>
      <c r="M136">
        <f t="shared" si="13"/>
        <v>0.2112343179625</v>
      </c>
      <c r="N136" s="9"/>
      <c r="O136" s="21">
        <v>0.53451499999999996</v>
      </c>
      <c r="P136" s="21">
        <v>168.32</v>
      </c>
      <c r="Q136" s="21">
        <v>-4.9435399999999997E-2</v>
      </c>
      <c r="R136" s="21">
        <v>126</v>
      </c>
      <c r="S136" s="21">
        <v>0.53408800000000001</v>
      </c>
      <c r="T136">
        <f t="shared" si="14"/>
        <v>30.897124999999999</v>
      </c>
      <c r="U136">
        <f t="shared" si="15"/>
        <v>16.514976769375</v>
      </c>
      <c r="X136" s="9"/>
      <c r="Y136" s="21">
        <v>5.4931600000000004E-3</v>
      </c>
      <c r="Z136" s="21">
        <v>202.691</v>
      </c>
      <c r="AA136" s="21">
        <v>-6.1474599999999997E-2</v>
      </c>
      <c r="AB136" s="21">
        <v>126</v>
      </c>
      <c r="AC136" s="21">
        <v>5.2887000000000003E-3</v>
      </c>
      <c r="AD136">
        <f t="shared" si="16"/>
        <v>38.421624999999992</v>
      </c>
      <c r="AE136">
        <f t="shared" si="17"/>
        <v>0.21105613358499997</v>
      </c>
      <c r="AF136" s="9"/>
      <c r="AG136" s="21">
        <v>0.53451499999999996</v>
      </c>
      <c r="AH136" s="21">
        <v>259.46699999999998</v>
      </c>
      <c r="AI136" s="21">
        <v>-4.9258400000000001E-2</v>
      </c>
      <c r="AJ136" s="21">
        <v>126</v>
      </c>
      <c r="AK136" s="21">
        <v>0.53402700000000003</v>
      </c>
      <c r="AL136">
        <f t="shared" si="18"/>
        <v>30.786499999999997</v>
      </c>
      <c r="AM136">
        <f t="shared" si="19"/>
        <v>16.455846047499996</v>
      </c>
      <c r="AP136" s="9"/>
      <c r="AQ136" s="21">
        <v>5.4931600000000004E-3</v>
      </c>
      <c r="AR136" s="21">
        <v>308.60500000000002</v>
      </c>
      <c r="AS136" s="21">
        <v>-6.1438E-2</v>
      </c>
      <c r="AT136" s="21">
        <v>126</v>
      </c>
      <c r="AU136" s="21">
        <v>5.2093499999999997E-3</v>
      </c>
      <c r="AV136">
        <f t="shared" si="20"/>
        <v>38.398749999999993</v>
      </c>
      <c r="AW136">
        <f t="shared" si="21"/>
        <v>0.21093047754999997</v>
      </c>
      <c r="AX136" s="9"/>
      <c r="AY136" s="21">
        <v>0.53451499999999996</v>
      </c>
      <c r="AZ136" s="21">
        <v>345.77699999999999</v>
      </c>
      <c r="BA136" s="21">
        <v>-4.9145500000000002E-2</v>
      </c>
      <c r="BB136" s="21">
        <v>126</v>
      </c>
      <c r="BC136" s="21">
        <v>0.53402700000000003</v>
      </c>
      <c r="BD136">
        <f t="shared" si="22"/>
        <v>30.715937499999999</v>
      </c>
      <c r="BE136">
        <f t="shared" si="23"/>
        <v>16.418129332812498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4.5776399999999999E-4</v>
      </c>
      <c r="H137" s="21">
        <v>115.919</v>
      </c>
      <c r="I137" s="21">
        <v>-6.1535600000000003E-2</v>
      </c>
      <c r="J137" s="21">
        <v>127</v>
      </c>
      <c r="K137" s="21">
        <v>2.34985E-4</v>
      </c>
      <c r="L137">
        <f t="shared" si="12"/>
        <v>38.45975</v>
      </c>
      <c r="M137">
        <f t="shared" si="13"/>
        <v>1.7605488999E-2</v>
      </c>
      <c r="N137" s="9"/>
      <c r="O137" s="21">
        <v>0.539551</v>
      </c>
      <c r="P137" s="21">
        <v>168.42</v>
      </c>
      <c r="Q137" s="21">
        <v>-4.84039E-2</v>
      </c>
      <c r="R137" s="21">
        <v>127</v>
      </c>
      <c r="S137" s="21">
        <v>0.53909300000000004</v>
      </c>
      <c r="T137">
        <f t="shared" si="14"/>
        <v>30.252437499999999</v>
      </c>
      <c r="U137">
        <f t="shared" si="15"/>
        <v>16.3227329055625</v>
      </c>
      <c r="X137" s="9"/>
      <c r="Y137" s="21">
        <v>4.5776399999999999E-4</v>
      </c>
      <c r="Z137" s="21">
        <v>202.792</v>
      </c>
      <c r="AA137" s="21">
        <v>-6.1477700000000003E-2</v>
      </c>
      <c r="AB137" s="21">
        <v>127</v>
      </c>
      <c r="AC137" s="21">
        <v>2.1667499999999999E-4</v>
      </c>
      <c r="AD137">
        <f t="shared" si="16"/>
        <v>38.423562500000003</v>
      </c>
      <c r="AE137">
        <f t="shared" si="17"/>
        <v>1.7588923664250002E-2</v>
      </c>
      <c r="AF137" s="9"/>
      <c r="AG137" s="21">
        <v>0.539551</v>
      </c>
      <c r="AH137" s="21">
        <v>259.56799999999998</v>
      </c>
      <c r="AI137" s="21">
        <v>-4.81445E-2</v>
      </c>
      <c r="AJ137" s="21">
        <v>127</v>
      </c>
      <c r="AK137" s="21">
        <v>0.53912400000000005</v>
      </c>
      <c r="AL137">
        <f t="shared" si="18"/>
        <v>30.090312499999996</v>
      </c>
      <c r="AM137">
        <f t="shared" si="19"/>
        <v>16.235258199687497</v>
      </c>
      <c r="AP137" s="9"/>
      <c r="AQ137" s="21">
        <v>4.5776399999999999E-4</v>
      </c>
      <c r="AR137" s="21">
        <v>308.70600000000002</v>
      </c>
      <c r="AS137" s="21">
        <v>-6.1480699999999999E-2</v>
      </c>
      <c r="AT137" s="21">
        <v>127</v>
      </c>
      <c r="AU137" s="21">
        <v>2.50244E-4</v>
      </c>
      <c r="AV137">
        <f t="shared" si="20"/>
        <v>38.425437500000001</v>
      </c>
      <c r="AW137">
        <f t="shared" si="21"/>
        <v>1.7589781971749999E-2</v>
      </c>
      <c r="AX137" s="9"/>
      <c r="AY137" s="21">
        <v>0.539551</v>
      </c>
      <c r="AZ137" s="21">
        <v>345.87799999999999</v>
      </c>
      <c r="BA137" s="21">
        <v>-4.8080400000000002E-2</v>
      </c>
      <c r="BB137" s="21">
        <v>127</v>
      </c>
      <c r="BC137" s="21">
        <v>0.53912400000000005</v>
      </c>
      <c r="BD137">
        <f t="shared" si="22"/>
        <v>30.050250000000002</v>
      </c>
      <c r="BE137">
        <f t="shared" si="23"/>
        <v>16.21364243775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-4.57764E-3</v>
      </c>
      <c r="H138" s="21">
        <v>116.01900000000001</v>
      </c>
      <c r="I138" s="21">
        <v>-6.1569199999999998E-2</v>
      </c>
      <c r="J138" s="21">
        <v>128</v>
      </c>
      <c r="K138" s="21">
        <v>-4.9377400000000004E-3</v>
      </c>
      <c r="L138">
        <f t="shared" si="12"/>
        <v>38.480749999999993</v>
      </c>
      <c r="M138">
        <f t="shared" si="13"/>
        <v>-0.17615102042999997</v>
      </c>
      <c r="N138" s="9"/>
      <c r="O138" s="21">
        <v>0.54458600000000001</v>
      </c>
      <c r="P138" s="21">
        <v>168.52099999999999</v>
      </c>
      <c r="Q138" s="21">
        <v>-4.7311400000000003E-2</v>
      </c>
      <c r="R138" s="21">
        <v>128</v>
      </c>
      <c r="S138" s="21">
        <v>0.54415899999999995</v>
      </c>
      <c r="T138">
        <f t="shared" si="14"/>
        <v>29.569625000000002</v>
      </c>
      <c r="U138">
        <f t="shared" si="15"/>
        <v>16.10320380025</v>
      </c>
      <c r="X138" s="9"/>
      <c r="Y138" s="21">
        <v>-4.57764E-3</v>
      </c>
      <c r="Z138" s="21">
        <v>202.893</v>
      </c>
      <c r="AA138" s="21">
        <v>-6.14899E-2</v>
      </c>
      <c r="AB138" s="21">
        <v>128</v>
      </c>
      <c r="AC138" s="21">
        <v>-4.86755E-3</v>
      </c>
      <c r="AD138">
        <f t="shared" si="16"/>
        <v>38.4311875</v>
      </c>
      <c r="AE138">
        <f t="shared" si="17"/>
        <v>-0.17592414114749999</v>
      </c>
      <c r="AF138" s="9"/>
      <c r="AG138" s="21">
        <v>0.54458600000000001</v>
      </c>
      <c r="AH138" s="21">
        <v>259.66899999999998</v>
      </c>
      <c r="AI138" s="21">
        <v>-4.70123E-2</v>
      </c>
      <c r="AJ138" s="21">
        <v>128</v>
      </c>
      <c r="AK138" s="21">
        <v>0.54418900000000003</v>
      </c>
      <c r="AL138">
        <f t="shared" si="18"/>
        <v>29.382687499999996</v>
      </c>
      <c r="AM138">
        <f t="shared" si="19"/>
        <v>16.001400254874998</v>
      </c>
      <c r="AP138" s="9"/>
      <c r="AQ138" s="21">
        <v>-4.57764E-3</v>
      </c>
      <c r="AR138" s="21">
        <v>308.80599999999998</v>
      </c>
      <c r="AS138" s="21">
        <v>-6.1483799999999998E-2</v>
      </c>
      <c r="AT138" s="21">
        <v>128</v>
      </c>
      <c r="AU138" s="21">
        <v>-4.8736600000000001E-3</v>
      </c>
      <c r="AV138">
        <f t="shared" si="20"/>
        <v>38.427374999999998</v>
      </c>
      <c r="AW138">
        <f t="shared" si="21"/>
        <v>-0.175906688895</v>
      </c>
      <c r="AX138" s="9"/>
      <c r="AY138" s="21">
        <v>0.54458600000000001</v>
      </c>
      <c r="AZ138" s="21">
        <v>345.97899999999998</v>
      </c>
      <c r="BA138" s="21">
        <v>-4.6859699999999997E-2</v>
      </c>
      <c r="BB138" s="21">
        <v>128</v>
      </c>
      <c r="BC138" s="21">
        <v>0.54415899999999995</v>
      </c>
      <c r="BD138">
        <f t="shared" si="22"/>
        <v>29.287312499999995</v>
      </c>
      <c r="BE138">
        <f t="shared" si="23"/>
        <v>15.949460365124997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-9.6130399999999998E-3</v>
      </c>
      <c r="H139" s="21">
        <v>116.12</v>
      </c>
      <c r="I139" s="21">
        <v>-6.1526499999999998E-2</v>
      </c>
      <c r="J139" s="21">
        <v>129</v>
      </c>
      <c r="K139" s="21">
        <v>-9.9273699999999996E-3</v>
      </c>
      <c r="L139">
        <f t="shared" si="12"/>
        <v>38.454062499999999</v>
      </c>
      <c r="M139">
        <f t="shared" si="13"/>
        <v>-0.369660440975</v>
      </c>
      <c r="N139" s="9"/>
      <c r="O139" s="21">
        <v>0.54962200000000005</v>
      </c>
      <c r="P139" s="21">
        <v>168.62200000000001</v>
      </c>
      <c r="Q139" s="21">
        <v>-4.5950299999999999E-2</v>
      </c>
      <c r="R139" s="21">
        <v>129</v>
      </c>
      <c r="S139" s="21">
        <v>0.54925500000000005</v>
      </c>
      <c r="T139">
        <f t="shared" si="14"/>
        <v>28.718937499999999</v>
      </c>
      <c r="U139">
        <f t="shared" si="15"/>
        <v>15.784559866625001</v>
      </c>
      <c r="X139" s="9"/>
      <c r="Y139" s="21">
        <v>-9.6130399999999998E-3</v>
      </c>
      <c r="Z139" s="21">
        <v>202.99299999999999</v>
      </c>
      <c r="AA139" s="21">
        <v>-6.1523399999999999E-2</v>
      </c>
      <c r="AB139" s="21">
        <v>129</v>
      </c>
      <c r="AC139" s="21">
        <v>-9.8846400000000001E-3</v>
      </c>
      <c r="AD139">
        <f t="shared" si="16"/>
        <v>38.452124999999995</v>
      </c>
      <c r="AE139">
        <f t="shared" si="17"/>
        <v>-0.36964181570999993</v>
      </c>
      <c r="AF139" s="9"/>
      <c r="AG139" s="21">
        <v>0.54962200000000005</v>
      </c>
      <c r="AH139" s="21">
        <v>259.76900000000001</v>
      </c>
      <c r="AI139" s="21">
        <v>-4.5657299999999998E-2</v>
      </c>
      <c r="AJ139" s="21">
        <v>129</v>
      </c>
      <c r="AK139" s="21">
        <v>0.54919399999999996</v>
      </c>
      <c r="AL139">
        <f t="shared" si="18"/>
        <v>28.535812499999999</v>
      </c>
      <c r="AM139">
        <f t="shared" si="19"/>
        <v>15.683910337875</v>
      </c>
      <c r="AP139" s="9"/>
      <c r="AQ139" s="21">
        <v>-9.6130399999999998E-3</v>
      </c>
      <c r="AR139" s="21">
        <v>308.90699999999998</v>
      </c>
      <c r="AS139" s="21">
        <v>-6.1486800000000001E-2</v>
      </c>
      <c r="AT139" s="21">
        <v>129</v>
      </c>
      <c r="AU139" s="21">
        <v>-9.9182100000000002E-3</v>
      </c>
      <c r="AV139">
        <f t="shared" si="20"/>
        <v>38.429249999999996</v>
      </c>
      <c r="AW139">
        <f t="shared" si="21"/>
        <v>-0.36942191741999997</v>
      </c>
      <c r="AX139" s="9"/>
      <c r="AY139" s="21">
        <v>0.54962200000000005</v>
      </c>
      <c r="AZ139" s="21">
        <v>346.08</v>
      </c>
      <c r="BA139" s="21">
        <v>-4.5492600000000001E-2</v>
      </c>
      <c r="BB139" s="21">
        <v>129</v>
      </c>
      <c r="BC139" s="21">
        <v>0.54922499999999996</v>
      </c>
      <c r="BD139">
        <f t="shared" si="22"/>
        <v>28.432874999999999</v>
      </c>
      <c r="BE139">
        <f t="shared" si="23"/>
        <v>15.627333623250001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-1.4648400000000001E-2</v>
      </c>
      <c r="H140" s="21">
        <v>116.221</v>
      </c>
      <c r="I140" s="21">
        <v>-6.1578399999999998E-2</v>
      </c>
      <c r="J140" s="21">
        <v>130</v>
      </c>
      <c r="K140" s="21">
        <v>-1.4919999999999999E-2</v>
      </c>
      <c r="L140">
        <f t="shared" ref="L140:L157" si="24">-I140/$F$2*1000</f>
        <v>38.486499999999999</v>
      </c>
      <c r="M140">
        <f t="shared" ref="M140:M157" si="25">L140*G140</f>
        <v>-0.56376564660000006</v>
      </c>
      <c r="N140" s="9"/>
      <c r="O140" s="21">
        <v>0.55465699999999996</v>
      </c>
      <c r="P140" s="21">
        <v>168.72300000000001</v>
      </c>
      <c r="Q140" s="21">
        <v>-4.4519000000000003E-2</v>
      </c>
      <c r="R140" s="21">
        <v>130</v>
      </c>
      <c r="S140" s="21">
        <v>0.55416900000000002</v>
      </c>
      <c r="T140">
        <f t="shared" ref="T140:T157" si="26">-Q140/$F$2*1000</f>
        <v>27.824375000000003</v>
      </c>
      <c r="U140">
        <f t="shared" ref="U140:U157" si="27">T140*O140</f>
        <v>15.432984364375001</v>
      </c>
      <c r="X140" s="9"/>
      <c r="Y140" s="21">
        <v>-1.4648400000000001E-2</v>
      </c>
      <c r="Z140" s="21">
        <v>203.09399999999999</v>
      </c>
      <c r="AA140" s="21">
        <v>-6.1465499999999999E-2</v>
      </c>
      <c r="AB140" s="21">
        <v>130</v>
      </c>
      <c r="AC140" s="21">
        <v>-1.49719E-2</v>
      </c>
      <c r="AD140">
        <f t="shared" ref="AD140:AD157" si="28">-AA140/$F$2*1000</f>
        <v>38.415937499999998</v>
      </c>
      <c r="AE140">
        <f t="shared" ref="AE140:AE157" si="29">AD140*Y140</f>
        <v>-0.56273201887500002</v>
      </c>
      <c r="AF140" s="9"/>
      <c r="AG140" s="21">
        <v>0.55465699999999996</v>
      </c>
      <c r="AH140" s="21">
        <v>259.87</v>
      </c>
      <c r="AI140" s="21">
        <v>-4.4207799999999998E-2</v>
      </c>
      <c r="AJ140" s="21">
        <v>130</v>
      </c>
      <c r="AK140" s="21">
        <v>0.55423</v>
      </c>
      <c r="AL140">
        <f t="shared" ref="AL140:AL157" si="30">-AI140/$F$2*1000</f>
        <v>27.629874999999998</v>
      </c>
      <c r="AM140">
        <f t="shared" ref="AM140:AM157" si="31">AL140*AG140</f>
        <v>15.325103577874998</v>
      </c>
      <c r="AP140" s="9"/>
      <c r="AQ140" s="21">
        <v>-1.4648400000000001E-2</v>
      </c>
      <c r="AR140" s="21">
        <v>309.00799999999998</v>
      </c>
      <c r="AS140" s="21">
        <v>-6.14624E-2</v>
      </c>
      <c r="AT140" s="21">
        <v>130</v>
      </c>
      <c r="AU140" s="21">
        <v>-1.4953599999999999E-2</v>
      </c>
      <c r="AV140">
        <f t="shared" ref="AV140:AV157" si="32">-AS140/$F$2*1000</f>
        <v>38.413999999999994</v>
      </c>
      <c r="AW140">
        <f t="shared" ref="AW140:AW157" si="33">AV140*AQ140</f>
        <v>-0.56270363759999997</v>
      </c>
      <c r="AX140" s="9"/>
      <c r="AY140" s="21">
        <v>0.55465699999999996</v>
      </c>
      <c r="AZ140" s="21">
        <v>346.18</v>
      </c>
      <c r="BA140" s="21">
        <v>-4.4012500000000003E-2</v>
      </c>
      <c r="BB140" s="21">
        <v>130</v>
      </c>
      <c r="BC140" s="21">
        <v>0.55423</v>
      </c>
      <c r="BD140">
        <f t="shared" ref="BD140:BD157" si="34">-BA140/$F$2*1000</f>
        <v>27.5078125</v>
      </c>
      <c r="BE140">
        <f t="shared" ref="BE140:BE157" si="35">BD140*AY140</f>
        <v>15.257400757812499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-1.9683800000000001E-2</v>
      </c>
      <c r="H141" s="21">
        <v>116.322</v>
      </c>
      <c r="I141" s="21">
        <v>-6.1508199999999999E-2</v>
      </c>
      <c r="J141" s="21">
        <v>131</v>
      </c>
      <c r="K141" s="21">
        <v>-2.0034799999999998E-2</v>
      </c>
      <c r="L141">
        <f t="shared" si="24"/>
        <v>38.442624999999992</v>
      </c>
      <c r="M141">
        <f t="shared" si="25"/>
        <v>-0.75669694197499993</v>
      </c>
      <c r="N141" s="9"/>
      <c r="O141" s="21">
        <v>0.55969199999999997</v>
      </c>
      <c r="P141" s="21">
        <v>168.82300000000001</v>
      </c>
      <c r="Q141" s="21">
        <v>-4.2913800000000002E-2</v>
      </c>
      <c r="R141" s="21">
        <v>131</v>
      </c>
      <c r="S141" s="21">
        <v>0.55929600000000002</v>
      </c>
      <c r="T141">
        <f t="shared" si="26"/>
        <v>26.821125000000002</v>
      </c>
      <c r="U141">
        <f t="shared" si="27"/>
        <v>15.0115690935</v>
      </c>
      <c r="X141" s="9"/>
      <c r="Y141" s="21">
        <v>-1.9683800000000001E-2</v>
      </c>
      <c r="Z141" s="21">
        <v>203.19499999999999</v>
      </c>
      <c r="AA141" s="21">
        <v>-6.1465499999999999E-2</v>
      </c>
      <c r="AB141" s="21">
        <v>131</v>
      </c>
      <c r="AC141" s="21">
        <v>-2.0010400000000001E-2</v>
      </c>
      <c r="AD141">
        <f t="shared" si="28"/>
        <v>38.415937499999998</v>
      </c>
      <c r="AE141">
        <f t="shared" si="29"/>
        <v>-0.75617163056250003</v>
      </c>
      <c r="AF141" s="9"/>
      <c r="AG141" s="21">
        <v>0.55969199999999997</v>
      </c>
      <c r="AH141" s="21">
        <v>259.971</v>
      </c>
      <c r="AI141" s="21">
        <v>-4.2529299999999999E-2</v>
      </c>
      <c r="AJ141" s="21">
        <v>131</v>
      </c>
      <c r="AK141" s="21">
        <v>0.55926500000000001</v>
      </c>
      <c r="AL141">
        <f t="shared" si="30"/>
        <v>26.580812499999997</v>
      </c>
      <c r="AM141">
        <f t="shared" si="31"/>
        <v>14.877068109749997</v>
      </c>
      <c r="AP141" s="9"/>
      <c r="AQ141" s="21">
        <v>-1.9683800000000001E-2</v>
      </c>
      <c r="AR141" s="21">
        <v>309.108</v>
      </c>
      <c r="AS141" s="21">
        <v>-6.15051E-2</v>
      </c>
      <c r="AT141" s="21">
        <v>131</v>
      </c>
      <c r="AU141" s="21">
        <v>-2.0046999999999999E-2</v>
      </c>
      <c r="AV141">
        <f t="shared" si="32"/>
        <v>38.440687500000003</v>
      </c>
      <c r="AW141">
        <f t="shared" si="33"/>
        <v>-0.75665880461250012</v>
      </c>
      <c r="AX141" s="9"/>
      <c r="AY141" s="21">
        <v>0.55969199999999997</v>
      </c>
      <c r="AZ141" s="21">
        <v>346.28100000000001</v>
      </c>
      <c r="BA141" s="21">
        <v>-4.22943E-2</v>
      </c>
      <c r="BB141" s="21">
        <v>131</v>
      </c>
      <c r="BC141" s="21">
        <v>0.55932599999999999</v>
      </c>
      <c r="BD141">
        <f t="shared" si="34"/>
        <v>26.433937499999999</v>
      </c>
      <c r="BE141">
        <f t="shared" si="35"/>
        <v>14.794863347249999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-2.47192E-2</v>
      </c>
      <c r="H142" s="21">
        <v>116.422</v>
      </c>
      <c r="I142" s="21">
        <v>-6.1563100000000003E-2</v>
      </c>
      <c r="J142" s="21">
        <v>132</v>
      </c>
      <c r="K142" s="21">
        <v>-2.5021399999999999E-2</v>
      </c>
      <c r="L142">
        <f t="shared" si="24"/>
        <v>38.476937500000005</v>
      </c>
      <c r="M142">
        <f t="shared" si="25"/>
        <v>-0.95111911345000011</v>
      </c>
      <c r="N142" s="9"/>
      <c r="O142" s="21">
        <v>0.56472800000000001</v>
      </c>
      <c r="P142" s="21">
        <v>168.92400000000001</v>
      </c>
      <c r="Q142" s="21">
        <v>-4.1082800000000003E-2</v>
      </c>
      <c r="R142" s="21">
        <v>132</v>
      </c>
      <c r="S142" s="21">
        <v>0.56430100000000005</v>
      </c>
      <c r="T142">
        <f t="shared" si="26"/>
        <v>25.676750000000002</v>
      </c>
      <c r="U142">
        <f t="shared" si="27"/>
        <v>14.500379674000001</v>
      </c>
      <c r="X142" s="9"/>
      <c r="Y142" s="21">
        <v>-2.47192E-2</v>
      </c>
      <c r="Z142" s="21">
        <v>203.29599999999999</v>
      </c>
      <c r="AA142" s="21">
        <v>-6.1496000000000002E-2</v>
      </c>
      <c r="AB142" s="21">
        <v>132</v>
      </c>
      <c r="AC142" s="21">
        <v>-2.5012199999999998E-2</v>
      </c>
      <c r="AD142">
        <f t="shared" si="28"/>
        <v>38.434999999999995</v>
      </c>
      <c r="AE142">
        <f t="shared" si="29"/>
        <v>-0.95008245199999986</v>
      </c>
      <c r="AF142" s="9"/>
      <c r="AG142" s="21">
        <v>0.56472800000000001</v>
      </c>
      <c r="AH142" s="21">
        <v>260.07100000000003</v>
      </c>
      <c r="AI142" s="21">
        <v>-4.0679899999999998E-2</v>
      </c>
      <c r="AJ142" s="21">
        <v>132</v>
      </c>
      <c r="AK142" s="21">
        <v>0.56427000000000005</v>
      </c>
      <c r="AL142">
        <f t="shared" si="30"/>
        <v>25.424937499999999</v>
      </c>
      <c r="AM142">
        <f t="shared" si="31"/>
        <v>14.3581741045</v>
      </c>
      <c r="AP142" s="9"/>
      <c r="AQ142" s="21">
        <v>-2.47192E-2</v>
      </c>
      <c r="AR142" s="21">
        <v>309.209</v>
      </c>
      <c r="AS142" s="21">
        <v>-6.1526499999999998E-2</v>
      </c>
      <c r="AT142" s="21">
        <v>132</v>
      </c>
      <c r="AU142" s="21">
        <v>-2.4960300000000001E-2</v>
      </c>
      <c r="AV142">
        <f t="shared" si="32"/>
        <v>38.454062499999999</v>
      </c>
      <c r="AW142">
        <f t="shared" si="33"/>
        <v>-0.95055366175</v>
      </c>
      <c r="AX142" s="9"/>
      <c r="AY142" s="21">
        <v>0.56472800000000001</v>
      </c>
      <c r="AZ142" s="21">
        <v>346.38200000000001</v>
      </c>
      <c r="BA142" s="21">
        <v>-4.0447999999999998E-2</v>
      </c>
      <c r="BB142" s="21">
        <v>132</v>
      </c>
      <c r="BC142" s="21">
        <v>0.56427000000000005</v>
      </c>
      <c r="BD142">
        <f t="shared" si="34"/>
        <v>25.279999999999998</v>
      </c>
      <c r="BE142">
        <f t="shared" si="35"/>
        <v>14.276323839999998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-2.9754599999999999E-2</v>
      </c>
      <c r="H143" s="21">
        <v>116.523</v>
      </c>
      <c r="I143" s="21">
        <v>-6.1538700000000002E-2</v>
      </c>
      <c r="J143" s="21">
        <v>133</v>
      </c>
      <c r="K143" s="21">
        <v>-3.0044600000000001E-2</v>
      </c>
      <c r="L143">
        <f t="shared" si="24"/>
        <v>38.461687500000004</v>
      </c>
      <c r="M143">
        <f t="shared" si="25"/>
        <v>-1.1444121268875</v>
      </c>
      <c r="N143" s="9"/>
      <c r="O143" s="21">
        <v>0.56976300000000002</v>
      </c>
      <c r="P143" s="21">
        <v>169.02500000000001</v>
      </c>
      <c r="Q143" s="21">
        <v>-3.91052E-2</v>
      </c>
      <c r="R143" s="21">
        <v>133</v>
      </c>
      <c r="S143" s="21">
        <v>0.56930499999999995</v>
      </c>
      <c r="T143">
        <f t="shared" si="26"/>
        <v>24.440749999999998</v>
      </c>
      <c r="U143">
        <f t="shared" si="27"/>
        <v>13.925435042249999</v>
      </c>
      <c r="X143" s="9"/>
      <c r="Y143" s="21">
        <v>-2.9754599999999999E-2</v>
      </c>
      <c r="Z143" s="21">
        <v>203.39599999999999</v>
      </c>
      <c r="AA143" s="21">
        <v>-6.1514300000000001E-2</v>
      </c>
      <c r="AB143" s="21">
        <v>133</v>
      </c>
      <c r="AC143" s="21">
        <v>-3.01575E-2</v>
      </c>
      <c r="AD143">
        <f t="shared" si="28"/>
        <v>38.446437500000002</v>
      </c>
      <c r="AE143">
        <f t="shared" si="29"/>
        <v>-1.1439583692374999</v>
      </c>
      <c r="AF143" s="9"/>
      <c r="AG143" s="21">
        <v>0.56976300000000002</v>
      </c>
      <c r="AH143" s="21">
        <v>260.17200000000003</v>
      </c>
      <c r="AI143" s="21">
        <v>-3.8650499999999997E-2</v>
      </c>
      <c r="AJ143" s="21">
        <v>133</v>
      </c>
      <c r="AK143" s="21">
        <v>0.56933599999999995</v>
      </c>
      <c r="AL143">
        <f t="shared" si="30"/>
        <v>24.156562499999996</v>
      </c>
      <c r="AM143">
        <f t="shared" si="31"/>
        <v>13.763515519687498</v>
      </c>
      <c r="AP143" s="9"/>
      <c r="AQ143" s="21">
        <v>-2.9754599999999999E-2</v>
      </c>
      <c r="AR143" s="21">
        <v>309.31</v>
      </c>
      <c r="AS143" s="21">
        <v>-6.1535600000000003E-2</v>
      </c>
      <c r="AT143" s="21">
        <v>133</v>
      </c>
      <c r="AU143" s="21">
        <v>-3.0087300000000001E-2</v>
      </c>
      <c r="AV143">
        <f t="shared" si="32"/>
        <v>38.45975</v>
      </c>
      <c r="AW143">
        <f t="shared" si="33"/>
        <v>-1.1443544773500001</v>
      </c>
      <c r="AX143" s="9"/>
      <c r="AY143" s="21">
        <v>0.56976300000000002</v>
      </c>
      <c r="AZ143" s="21">
        <v>346.48200000000003</v>
      </c>
      <c r="BA143" s="21">
        <v>-3.8342300000000003E-2</v>
      </c>
      <c r="BB143" s="21">
        <v>133</v>
      </c>
      <c r="BC143" s="21">
        <v>0.56933599999999995</v>
      </c>
      <c r="BD143">
        <f t="shared" si="34"/>
        <v>23.9639375</v>
      </c>
      <c r="BE143">
        <f t="shared" si="35"/>
        <v>13.653764921812501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-3.4790000000000001E-2</v>
      </c>
      <c r="H144" s="21">
        <v>116.624</v>
      </c>
      <c r="I144" s="21">
        <v>-6.1550899999999999E-2</v>
      </c>
      <c r="J144" s="21">
        <v>134</v>
      </c>
      <c r="K144" s="21">
        <v>-3.5131799999999998E-2</v>
      </c>
      <c r="L144">
        <f t="shared" si="24"/>
        <v>38.469312500000001</v>
      </c>
      <c r="M144">
        <f t="shared" si="25"/>
        <v>-1.338347381875</v>
      </c>
      <c r="N144" s="9"/>
      <c r="O144" s="21">
        <v>0.57479899999999995</v>
      </c>
      <c r="P144" s="21">
        <v>169.125</v>
      </c>
      <c r="Q144" s="21">
        <v>-3.6874400000000002E-2</v>
      </c>
      <c r="R144" s="21">
        <v>134</v>
      </c>
      <c r="S144" s="21">
        <v>0.57437099999999996</v>
      </c>
      <c r="T144">
        <f t="shared" si="26"/>
        <v>23.046500000000002</v>
      </c>
      <c r="U144">
        <f t="shared" si="27"/>
        <v>13.2471051535</v>
      </c>
      <c r="X144" s="9"/>
      <c r="Y144" s="21">
        <v>-3.4790000000000001E-2</v>
      </c>
      <c r="Z144" s="21">
        <v>203.49700000000001</v>
      </c>
      <c r="AA144" s="21">
        <v>-6.1535600000000003E-2</v>
      </c>
      <c r="AB144" s="21">
        <v>134</v>
      </c>
      <c r="AC144" s="21">
        <v>-3.5183699999999998E-2</v>
      </c>
      <c r="AD144">
        <f t="shared" si="28"/>
        <v>38.45975</v>
      </c>
      <c r="AE144">
        <f t="shared" si="29"/>
        <v>-1.3380147025</v>
      </c>
      <c r="AF144" s="9"/>
      <c r="AG144" s="21">
        <v>0.57479899999999995</v>
      </c>
      <c r="AH144" s="21">
        <v>260.27300000000002</v>
      </c>
      <c r="AI144" s="21">
        <v>-3.6331200000000001E-2</v>
      </c>
      <c r="AJ144" s="21">
        <v>134</v>
      </c>
      <c r="AK144" s="21">
        <v>0.57430999999999999</v>
      </c>
      <c r="AL144">
        <f t="shared" si="30"/>
        <v>22.706999999999997</v>
      </c>
      <c r="AM144">
        <f t="shared" si="31"/>
        <v>13.051960892999997</v>
      </c>
      <c r="AP144" s="9"/>
      <c r="AQ144" s="21">
        <v>-3.4790000000000001E-2</v>
      </c>
      <c r="AR144" s="21">
        <v>309.411</v>
      </c>
      <c r="AS144" s="21">
        <v>-6.1578399999999998E-2</v>
      </c>
      <c r="AT144" s="21">
        <v>134</v>
      </c>
      <c r="AU144" s="21">
        <v>-3.5092199999999997E-2</v>
      </c>
      <c r="AV144">
        <f t="shared" si="32"/>
        <v>38.486499999999999</v>
      </c>
      <c r="AW144">
        <f t="shared" si="33"/>
        <v>-1.338945335</v>
      </c>
      <c r="AX144" s="9"/>
      <c r="AY144" s="21">
        <v>0.57479899999999995</v>
      </c>
      <c r="AZ144" s="21">
        <v>346.58300000000003</v>
      </c>
      <c r="BA144" s="21">
        <v>-3.6071800000000001E-2</v>
      </c>
      <c r="BB144" s="21">
        <v>134</v>
      </c>
      <c r="BC144" s="21">
        <v>0.57437099999999996</v>
      </c>
      <c r="BD144">
        <f t="shared" si="34"/>
        <v>22.544874999999998</v>
      </c>
      <c r="BE144">
        <f t="shared" si="35"/>
        <v>12.958771605124998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-3.9825399999999997E-2</v>
      </c>
      <c r="H145" s="21">
        <v>116.724</v>
      </c>
      <c r="I145" s="21">
        <v>-6.1569199999999998E-2</v>
      </c>
      <c r="J145" s="21">
        <v>135</v>
      </c>
      <c r="K145" s="21">
        <v>-4.0188599999999998E-2</v>
      </c>
      <c r="L145">
        <f t="shared" si="24"/>
        <v>38.480749999999993</v>
      </c>
      <c r="M145">
        <f t="shared" si="25"/>
        <v>-1.5325112610499996</v>
      </c>
      <c r="N145" s="9"/>
      <c r="O145" s="21">
        <v>0.57983399999999996</v>
      </c>
      <c r="P145" s="21">
        <v>169.226</v>
      </c>
      <c r="Q145" s="21">
        <v>-3.4402500000000003E-2</v>
      </c>
      <c r="R145" s="21">
        <v>135</v>
      </c>
      <c r="S145" s="21">
        <v>0.579376</v>
      </c>
      <c r="T145">
        <f t="shared" si="26"/>
        <v>21.501562500000002</v>
      </c>
      <c r="U145">
        <f t="shared" si="27"/>
        <v>12.467336990625</v>
      </c>
      <c r="X145" s="9"/>
      <c r="Y145" s="21">
        <v>-3.9825399999999997E-2</v>
      </c>
      <c r="Z145" s="21">
        <v>203.59800000000001</v>
      </c>
      <c r="AA145" s="21">
        <v>-6.1529500000000001E-2</v>
      </c>
      <c r="AB145" s="21">
        <v>135</v>
      </c>
      <c r="AC145" s="21">
        <v>-4.0173300000000002E-2</v>
      </c>
      <c r="AD145">
        <f t="shared" si="28"/>
        <v>38.455937499999997</v>
      </c>
      <c r="AE145">
        <f t="shared" si="29"/>
        <v>-1.5315230933124997</v>
      </c>
      <c r="AF145" s="9"/>
      <c r="AG145" s="21">
        <v>0.57983399999999996</v>
      </c>
      <c r="AH145" s="21">
        <v>260.37400000000002</v>
      </c>
      <c r="AI145" s="21">
        <v>-3.3795199999999997E-2</v>
      </c>
      <c r="AJ145" s="21">
        <v>135</v>
      </c>
      <c r="AK145" s="21">
        <v>0.57943699999999998</v>
      </c>
      <c r="AL145">
        <f t="shared" si="30"/>
        <v>21.122</v>
      </c>
      <c r="AM145">
        <f t="shared" si="31"/>
        <v>12.247253747999999</v>
      </c>
      <c r="AP145" s="9"/>
      <c r="AQ145" s="21">
        <v>-3.9825399999999997E-2</v>
      </c>
      <c r="AR145" s="21">
        <v>309.51100000000002</v>
      </c>
      <c r="AS145" s="21">
        <v>-6.15601E-2</v>
      </c>
      <c r="AT145" s="21">
        <v>135</v>
      </c>
      <c r="AU145" s="21">
        <v>-4.0234399999999997E-2</v>
      </c>
      <c r="AV145">
        <f t="shared" si="32"/>
        <v>38.4750625</v>
      </c>
      <c r="AW145">
        <f t="shared" si="33"/>
        <v>-1.5322847540875</v>
      </c>
      <c r="AX145" s="9"/>
      <c r="AY145" s="21">
        <v>0.57983399999999996</v>
      </c>
      <c r="AZ145" s="21">
        <v>346.68400000000003</v>
      </c>
      <c r="BA145" s="21">
        <v>-3.3511399999999997E-2</v>
      </c>
      <c r="BB145" s="21">
        <v>135</v>
      </c>
      <c r="BC145" s="21">
        <v>0.57940700000000001</v>
      </c>
      <c r="BD145">
        <f t="shared" si="34"/>
        <v>20.944624999999998</v>
      </c>
      <c r="BE145">
        <f t="shared" si="35"/>
        <v>12.144405692249999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-4.4860799999999999E-2</v>
      </c>
      <c r="H146" s="21">
        <v>116.825</v>
      </c>
      <c r="I146" s="21">
        <v>-6.1541699999999998E-2</v>
      </c>
      <c r="J146" s="21">
        <v>136</v>
      </c>
      <c r="K146" s="21">
        <v>-4.52515E-2</v>
      </c>
      <c r="L146">
        <f t="shared" si="24"/>
        <v>38.463562500000002</v>
      </c>
      <c r="M146">
        <f t="shared" si="25"/>
        <v>-1.7255061846000002</v>
      </c>
      <c r="N146" s="9"/>
      <c r="O146" s="21">
        <v>0.58486899999999997</v>
      </c>
      <c r="P146" s="21">
        <v>169.327</v>
      </c>
      <c r="Q146" s="21">
        <v>-3.16742E-2</v>
      </c>
      <c r="R146" s="21">
        <v>136</v>
      </c>
      <c r="S146" s="21">
        <v>0.58447300000000002</v>
      </c>
      <c r="T146">
        <f t="shared" si="26"/>
        <v>19.796374999999998</v>
      </c>
      <c r="U146">
        <f t="shared" si="27"/>
        <v>11.578286049874999</v>
      </c>
      <c r="X146" s="9"/>
      <c r="Y146" s="21">
        <v>-4.4860799999999999E-2</v>
      </c>
      <c r="Z146" s="21">
        <v>203.69800000000001</v>
      </c>
      <c r="AA146" s="21">
        <v>-6.1523399999999999E-2</v>
      </c>
      <c r="AB146" s="21">
        <v>136</v>
      </c>
      <c r="AC146" s="21">
        <v>-4.5355199999999998E-2</v>
      </c>
      <c r="AD146">
        <f t="shared" si="28"/>
        <v>38.452124999999995</v>
      </c>
      <c r="AE146">
        <f t="shared" si="29"/>
        <v>-1.7249930891999998</v>
      </c>
      <c r="AF146" s="9"/>
      <c r="AG146" s="21">
        <v>0.58486899999999997</v>
      </c>
      <c r="AH146" s="21">
        <v>260.47399999999999</v>
      </c>
      <c r="AI146" s="21">
        <v>-3.10181E-2</v>
      </c>
      <c r="AJ146" s="21">
        <v>136</v>
      </c>
      <c r="AK146" s="21">
        <v>0.58450299999999999</v>
      </c>
      <c r="AL146">
        <f t="shared" si="30"/>
        <v>19.386312499999999</v>
      </c>
      <c r="AM146">
        <f t="shared" si="31"/>
        <v>11.338453205562498</v>
      </c>
      <c r="AP146" s="9"/>
      <c r="AQ146" s="21">
        <v>-4.4860799999999999E-2</v>
      </c>
      <c r="AR146" s="21">
        <v>309.61200000000002</v>
      </c>
      <c r="AS146" s="21">
        <v>-6.15997E-2</v>
      </c>
      <c r="AT146" s="21">
        <v>136</v>
      </c>
      <c r="AU146" s="21">
        <v>-4.5272800000000002E-2</v>
      </c>
      <c r="AV146">
        <f t="shared" si="32"/>
        <v>38.499812500000004</v>
      </c>
      <c r="AW146">
        <f t="shared" si="33"/>
        <v>-1.7271323886000001</v>
      </c>
      <c r="AX146" s="9"/>
      <c r="AY146" s="21">
        <v>0.58486899999999997</v>
      </c>
      <c r="AZ146" s="21">
        <v>346.78500000000003</v>
      </c>
      <c r="BA146" s="21">
        <v>-3.0661000000000001E-2</v>
      </c>
      <c r="BB146" s="21">
        <v>136</v>
      </c>
      <c r="BC146" s="21">
        <v>0.58447300000000002</v>
      </c>
      <c r="BD146">
        <f t="shared" si="34"/>
        <v>19.163125000000001</v>
      </c>
      <c r="BE146">
        <f t="shared" si="35"/>
        <v>11.207917755624999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-4.9896200000000002E-2</v>
      </c>
      <c r="H147" s="21">
        <v>116.926</v>
      </c>
      <c r="I147" s="21">
        <v>-6.1578399999999998E-2</v>
      </c>
      <c r="J147" s="21">
        <v>137</v>
      </c>
      <c r="K147" s="21">
        <v>-5.1299999999999998E-2</v>
      </c>
      <c r="L147">
        <f t="shared" si="24"/>
        <v>38.486499999999999</v>
      </c>
      <c r="M147">
        <f t="shared" si="25"/>
        <v>-1.9203301013</v>
      </c>
      <c r="N147" s="9"/>
      <c r="O147" s="21">
        <v>0.58990500000000001</v>
      </c>
      <c r="P147" s="21">
        <v>169.428</v>
      </c>
      <c r="Q147" s="21">
        <v>-2.8625500000000002E-2</v>
      </c>
      <c r="R147" s="21">
        <v>137</v>
      </c>
      <c r="S147" s="21">
        <v>0.58953900000000004</v>
      </c>
      <c r="T147">
        <f t="shared" si="26"/>
        <v>17.8909375</v>
      </c>
      <c r="U147">
        <f t="shared" si="27"/>
        <v>10.5539534859375</v>
      </c>
      <c r="X147" s="9"/>
      <c r="Y147" s="21">
        <v>-4.9896200000000002E-2</v>
      </c>
      <c r="Z147" s="21">
        <v>203.79900000000001</v>
      </c>
      <c r="AA147" s="21">
        <v>-6.1468500000000002E-2</v>
      </c>
      <c r="AB147" s="21">
        <v>137</v>
      </c>
      <c r="AC147" s="21">
        <v>-5.1178000000000001E-2</v>
      </c>
      <c r="AD147">
        <f t="shared" si="28"/>
        <v>38.417812500000004</v>
      </c>
      <c r="AE147">
        <f t="shared" si="29"/>
        <v>-1.9169028560625003</v>
      </c>
      <c r="AF147" s="9"/>
      <c r="AG147" s="21">
        <v>0.58990500000000001</v>
      </c>
      <c r="AH147" s="21">
        <v>260.57499999999999</v>
      </c>
      <c r="AI147" s="21">
        <v>-2.79236E-2</v>
      </c>
      <c r="AJ147" s="21">
        <v>137</v>
      </c>
      <c r="AK147" s="21">
        <v>0.58956900000000001</v>
      </c>
      <c r="AL147">
        <f t="shared" si="30"/>
        <v>17.452249999999999</v>
      </c>
      <c r="AM147">
        <f t="shared" si="31"/>
        <v>10.29516953625</v>
      </c>
      <c r="AP147" s="9"/>
      <c r="AQ147" s="21">
        <v>-4.9896200000000002E-2</v>
      </c>
      <c r="AR147" s="21">
        <v>309.71300000000002</v>
      </c>
      <c r="AS147" s="21">
        <v>-6.1553999999999998E-2</v>
      </c>
      <c r="AT147" s="21">
        <v>137</v>
      </c>
      <c r="AU147" s="21">
        <v>-5.1178000000000001E-2</v>
      </c>
      <c r="AV147">
        <f t="shared" si="32"/>
        <v>38.471249999999998</v>
      </c>
      <c r="AW147">
        <f t="shared" si="33"/>
        <v>-1.91956918425</v>
      </c>
      <c r="AX147" s="9"/>
      <c r="AY147" s="21">
        <v>0.58990500000000001</v>
      </c>
      <c r="AZ147" s="21">
        <v>346.88499999999999</v>
      </c>
      <c r="BA147" s="21">
        <v>-2.7551300000000001E-2</v>
      </c>
      <c r="BB147" s="21">
        <v>137</v>
      </c>
      <c r="BC147" s="21">
        <v>0.58953900000000004</v>
      </c>
      <c r="BD147">
        <f t="shared" si="34"/>
        <v>17.219562500000002</v>
      </c>
      <c r="BE147">
        <f t="shared" si="35"/>
        <v>10.157906016562501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-5.4931599999999997E-2</v>
      </c>
      <c r="H148" s="21">
        <v>117.026</v>
      </c>
      <c r="I148" s="21">
        <v>-6.1553999999999998E-2</v>
      </c>
      <c r="J148" s="21">
        <v>138</v>
      </c>
      <c r="K148" s="21">
        <v>-5.6152300000000002E-2</v>
      </c>
      <c r="L148">
        <f t="shared" si="24"/>
        <v>38.471249999999998</v>
      </c>
      <c r="M148">
        <f t="shared" si="25"/>
        <v>-2.1132873164999997</v>
      </c>
      <c r="N148" s="9"/>
      <c r="O148" s="21">
        <v>0.59494000000000002</v>
      </c>
      <c r="P148" s="21">
        <v>169.52799999999999</v>
      </c>
      <c r="Q148" s="21">
        <v>-2.5341800000000001E-2</v>
      </c>
      <c r="R148" s="21">
        <v>138</v>
      </c>
      <c r="S148" s="21">
        <v>0.59451299999999996</v>
      </c>
      <c r="T148">
        <f t="shared" si="26"/>
        <v>15.838624999999999</v>
      </c>
      <c r="U148">
        <f t="shared" si="27"/>
        <v>9.4230315574999999</v>
      </c>
      <c r="X148" s="9"/>
      <c r="Y148" s="21">
        <v>-5.4931599999999997E-2</v>
      </c>
      <c r="Z148" s="21">
        <v>203.9</v>
      </c>
      <c r="AA148" s="21">
        <v>-6.1511200000000002E-2</v>
      </c>
      <c r="AB148" s="21">
        <v>138</v>
      </c>
      <c r="AC148" s="21">
        <v>-5.6213399999999997E-2</v>
      </c>
      <c r="AD148">
        <f t="shared" si="28"/>
        <v>38.444499999999998</v>
      </c>
      <c r="AE148">
        <f t="shared" si="29"/>
        <v>-2.1118178961999998</v>
      </c>
      <c r="AF148" s="9"/>
      <c r="AG148" s="21">
        <v>0.59494000000000002</v>
      </c>
      <c r="AH148" s="21">
        <v>260.67599999999999</v>
      </c>
      <c r="AI148" s="21">
        <v>-2.4572799999999999E-2</v>
      </c>
      <c r="AJ148" s="21">
        <v>138</v>
      </c>
      <c r="AK148" s="21">
        <v>0.59457400000000005</v>
      </c>
      <c r="AL148">
        <f t="shared" si="30"/>
        <v>15.357999999999999</v>
      </c>
      <c r="AM148">
        <f t="shared" si="31"/>
        <v>9.1370885199999989</v>
      </c>
      <c r="AP148" s="9"/>
      <c r="AQ148" s="21">
        <v>-5.4931599999999997E-2</v>
      </c>
      <c r="AR148" s="21">
        <v>309.81299999999999</v>
      </c>
      <c r="AS148" s="21">
        <v>-6.1523399999999999E-2</v>
      </c>
      <c r="AT148" s="21">
        <v>138</v>
      </c>
      <c r="AU148" s="21">
        <v>-5.6274400000000002E-2</v>
      </c>
      <c r="AV148">
        <f t="shared" si="32"/>
        <v>38.452124999999995</v>
      </c>
      <c r="AW148">
        <f t="shared" si="33"/>
        <v>-2.1122367496499996</v>
      </c>
      <c r="AX148" s="9"/>
      <c r="AY148" s="21">
        <v>0.59494000000000002</v>
      </c>
      <c r="AZ148" s="21">
        <v>346.98599999999999</v>
      </c>
      <c r="BA148" s="21">
        <v>-2.4179099999999999E-2</v>
      </c>
      <c r="BB148" s="21">
        <v>138</v>
      </c>
      <c r="BC148" s="21">
        <v>0.59448199999999995</v>
      </c>
      <c r="BD148">
        <f t="shared" si="34"/>
        <v>15.111937499999998</v>
      </c>
      <c r="BE148">
        <f t="shared" si="35"/>
        <v>8.9906960962499998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-5.9966999999999999E-2</v>
      </c>
      <c r="H149" s="21">
        <v>117.127</v>
      </c>
      <c r="I149" s="21">
        <v>-6.1541699999999998E-2</v>
      </c>
      <c r="J149" s="21">
        <v>139</v>
      </c>
      <c r="K149" s="21">
        <v>-6.1279300000000002E-2</v>
      </c>
      <c r="L149">
        <f t="shared" si="24"/>
        <v>38.463562500000002</v>
      </c>
      <c r="M149">
        <f t="shared" si="25"/>
        <v>-2.3065444524375001</v>
      </c>
      <c r="N149" s="9"/>
      <c r="O149" s="21">
        <v>0.59997599999999995</v>
      </c>
      <c r="P149" s="21">
        <v>169.62899999999999</v>
      </c>
      <c r="Q149" s="21">
        <v>-2.1740700000000002E-2</v>
      </c>
      <c r="R149" s="21">
        <v>139</v>
      </c>
      <c r="S149" s="21">
        <v>0.59957899999999997</v>
      </c>
      <c r="T149">
        <f t="shared" si="26"/>
        <v>13.587937500000001</v>
      </c>
      <c r="U149">
        <f t="shared" si="27"/>
        <v>8.1524363895</v>
      </c>
      <c r="X149" s="9"/>
      <c r="Y149" s="21">
        <v>-5.9966999999999999E-2</v>
      </c>
      <c r="Z149" s="21">
        <v>204</v>
      </c>
      <c r="AA149" s="21">
        <v>-6.1514300000000001E-2</v>
      </c>
      <c r="AB149" s="21">
        <v>139</v>
      </c>
      <c r="AC149" s="21">
        <v>-6.1218300000000003E-2</v>
      </c>
      <c r="AD149">
        <f t="shared" si="28"/>
        <v>38.446437500000002</v>
      </c>
      <c r="AE149">
        <f t="shared" si="29"/>
        <v>-2.3055175175625</v>
      </c>
      <c r="AF149" s="9"/>
      <c r="AG149" s="21">
        <v>0.59997599999999995</v>
      </c>
      <c r="AH149" s="21">
        <v>260.77600000000001</v>
      </c>
      <c r="AI149" s="21">
        <v>-2.08588E-2</v>
      </c>
      <c r="AJ149" s="21">
        <v>139</v>
      </c>
      <c r="AK149" s="21">
        <v>0.59963999999999995</v>
      </c>
      <c r="AL149">
        <f t="shared" si="30"/>
        <v>13.03675</v>
      </c>
      <c r="AM149">
        <f t="shared" si="31"/>
        <v>7.8217371179999988</v>
      </c>
      <c r="AP149" s="9"/>
      <c r="AQ149" s="21">
        <v>-5.9966999999999999E-2</v>
      </c>
      <c r="AR149" s="21">
        <v>309.91399999999999</v>
      </c>
      <c r="AS149" s="21">
        <v>-6.1544799999999997E-2</v>
      </c>
      <c r="AT149" s="21">
        <v>139</v>
      </c>
      <c r="AU149" s="21">
        <v>-6.1218300000000003E-2</v>
      </c>
      <c r="AV149">
        <f t="shared" si="32"/>
        <v>38.465499999999992</v>
      </c>
      <c r="AW149">
        <f t="shared" si="33"/>
        <v>-2.3066606384999995</v>
      </c>
      <c r="AX149" s="9"/>
      <c r="AY149" s="21">
        <v>0.59997599999999995</v>
      </c>
      <c r="AZ149" s="21">
        <v>347.08699999999999</v>
      </c>
      <c r="BA149" s="21">
        <v>-2.0434600000000001E-2</v>
      </c>
      <c r="BB149" s="21">
        <v>139</v>
      </c>
      <c r="BC149" s="21">
        <v>0.59960899999999995</v>
      </c>
      <c r="BD149">
        <f t="shared" si="34"/>
        <v>12.771625</v>
      </c>
      <c r="BE149">
        <f t="shared" si="35"/>
        <v>7.6626684809999999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-6.5002400000000002E-2</v>
      </c>
      <c r="H150" s="21">
        <v>117.22799999999999</v>
      </c>
      <c r="I150" s="21">
        <v>-6.1566200000000001E-2</v>
      </c>
      <c r="J150" s="21">
        <v>140</v>
      </c>
      <c r="K150" s="21">
        <v>-6.6223099999999993E-2</v>
      </c>
      <c r="L150">
        <f t="shared" si="24"/>
        <v>38.478874999999995</v>
      </c>
      <c r="M150">
        <f t="shared" si="25"/>
        <v>-2.5012192242999998</v>
      </c>
      <c r="N150" s="9"/>
      <c r="O150" s="21">
        <v>0.60501099999999997</v>
      </c>
      <c r="P150" s="21">
        <v>169.73</v>
      </c>
      <c r="Q150" s="21">
        <v>-1.7822299999999999E-2</v>
      </c>
      <c r="R150" s="21">
        <v>140</v>
      </c>
      <c r="S150" s="21">
        <v>0.60467499999999996</v>
      </c>
      <c r="T150">
        <f t="shared" si="26"/>
        <v>11.138937499999999</v>
      </c>
      <c r="U150">
        <f t="shared" si="27"/>
        <v>6.7391797158124991</v>
      </c>
      <c r="X150" s="9"/>
      <c r="Y150" s="21">
        <v>-6.5002400000000002E-2</v>
      </c>
      <c r="Z150" s="21">
        <v>204.101</v>
      </c>
      <c r="AA150" s="21">
        <v>-6.1511200000000002E-2</v>
      </c>
      <c r="AB150" s="21">
        <v>140</v>
      </c>
      <c r="AC150" s="21">
        <v>-6.6223099999999993E-2</v>
      </c>
      <c r="AD150">
        <f t="shared" si="28"/>
        <v>38.444499999999998</v>
      </c>
      <c r="AE150">
        <f t="shared" si="29"/>
        <v>-2.4989847668</v>
      </c>
      <c r="AF150" s="9"/>
      <c r="AG150" s="21">
        <v>0.60501099999999997</v>
      </c>
      <c r="AH150" s="21">
        <v>260.87700000000001</v>
      </c>
      <c r="AI150" s="21">
        <v>-1.68518E-2</v>
      </c>
      <c r="AJ150" s="21">
        <v>140</v>
      </c>
      <c r="AK150" s="21">
        <v>0.60458400000000001</v>
      </c>
      <c r="AL150">
        <f t="shared" si="30"/>
        <v>10.532375</v>
      </c>
      <c r="AM150">
        <f t="shared" si="31"/>
        <v>6.3722027311249994</v>
      </c>
      <c r="AP150" s="9"/>
      <c r="AQ150" s="21">
        <v>-6.5002400000000002E-2</v>
      </c>
      <c r="AR150" s="21">
        <v>310.01499999999999</v>
      </c>
      <c r="AS150" s="21">
        <v>-6.1605800000000002E-2</v>
      </c>
      <c r="AT150" s="21">
        <v>140</v>
      </c>
      <c r="AU150" s="21">
        <v>-6.6314700000000004E-2</v>
      </c>
      <c r="AV150">
        <f t="shared" si="32"/>
        <v>38.503625</v>
      </c>
      <c r="AW150">
        <f t="shared" si="33"/>
        <v>-2.5028280337000002</v>
      </c>
      <c r="AX150" s="9"/>
      <c r="AY150" s="21">
        <v>0.60501099999999997</v>
      </c>
      <c r="AZ150" s="21">
        <v>347.18700000000001</v>
      </c>
      <c r="BA150" s="21">
        <v>-1.64429E-2</v>
      </c>
      <c r="BB150" s="21">
        <v>140</v>
      </c>
      <c r="BC150" s="21">
        <v>0.60464499999999999</v>
      </c>
      <c r="BD150">
        <f t="shared" si="34"/>
        <v>10.2768125</v>
      </c>
      <c r="BE150">
        <f t="shared" si="35"/>
        <v>6.2175846074374999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-7.0037799999999997E-2</v>
      </c>
      <c r="H151" s="21">
        <v>117.32899999999999</v>
      </c>
      <c r="I151" s="21">
        <v>-6.1596699999999997E-2</v>
      </c>
      <c r="J151" s="21">
        <v>141</v>
      </c>
      <c r="K151" s="21">
        <v>-7.13501E-2</v>
      </c>
      <c r="L151">
        <f t="shared" si="24"/>
        <v>38.497937499999999</v>
      </c>
      <c r="M151">
        <f t="shared" si="25"/>
        <v>-2.6963108470374997</v>
      </c>
      <c r="N151" s="9"/>
      <c r="O151" s="21">
        <v>0.61004599999999998</v>
      </c>
      <c r="P151" s="21">
        <v>169.83</v>
      </c>
      <c r="Q151" s="21">
        <v>-1.35315E-2</v>
      </c>
      <c r="R151" s="21">
        <v>141</v>
      </c>
      <c r="S151" s="21">
        <v>0.60965000000000003</v>
      </c>
      <c r="T151">
        <f t="shared" si="26"/>
        <v>8.4571874999999999</v>
      </c>
      <c r="U151">
        <f t="shared" si="27"/>
        <v>5.159273405625</v>
      </c>
      <c r="X151" s="9"/>
      <c r="Y151" s="21">
        <v>-7.0037799999999997E-2</v>
      </c>
      <c r="Z151" s="21">
        <v>204.202</v>
      </c>
      <c r="AA151" s="21">
        <v>-6.1593599999999998E-2</v>
      </c>
      <c r="AB151" s="21">
        <v>141</v>
      </c>
      <c r="AC151" s="21">
        <v>-7.1319599999999997E-2</v>
      </c>
      <c r="AD151">
        <f t="shared" si="28"/>
        <v>38.495999999999995</v>
      </c>
      <c r="AE151">
        <f t="shared" si="29"/>
        <v>-2.6961751487999996</v>
      </c>
      <c r="AF151" s="9"/>
      <c r="AG151" s="21">
        <v>0.61004599999999998</v>
      </c>
      <c r="AH151" s="21">
        <v>260.97800000000001</v>
      </c>
      <c r="AI151" s="21">
        <v>-1.25031E-2</v>
      </c>
      <c r="AJ151" s="21">
        <v>141</v>
      </c>
      <c r="AK151" s="21">
        <v>0.60968</v>
      </c>
      <c r="AL151">
        <f t="shared" si="30"/>
        <v>7.8144375000000004</v>
      </c>
      <c r="AM151">
        <f t="shared" si="31"/>
        <v>4.7671663391249997</v>
      </c>
      <c r="AP151" s="9"/>
      <c r="AQ151" s="21">
        <v>-7.0037799999999997E-2</v>
      </c>
      <c r="AR151" s="21">
        <v>310.11599999999999</v>
      </c>
      <c r="AS151" s="21">
        <v>-6.1575299999999999E-2</v>
      </c>
      <c r="AT151" s="21">
        <v>141</v>
      </c>
      <c r="AU151" s="21">
        <v>-7.1380600000000002E-2</v>
      </c>
      <c r="AV151">
        <f t="shared" si="32"/>
        <v>38.484562500000003</v>
      </c>
      <c r="AW151">
        <f t="shared" si="33"/>
        <v>-2.6953740914625</v>
      </c>
      <c r="AX151" s="9"/>
      <c r="AY151" s="21">
        <v>0.61004599999999998</v>
      </c>
      <c r="AZ151" s="21">
        <v>347.28800000000001</v>
      </c>
      <c r="BA151" s="21">
        <v>-1.20331E-2</v>
      </c>
      <c r="BB151" s="21">
        <v>141</v>
      </c>
      <c r="BC151" s="21">
        <v>0.60968</v>
      </c>
      <c r="BD151">
        <f t="shared" si="34"/>
        <v>7.5206874999999993</v>
      </c>
      <c r="BE151">
        <f t="shared" si="35"/>
        <v>4.5879653266249996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-7.5073200000000007E-2</v>
      </c>
      <c r="H152" s="21">
        <v>117.429</v>
      </c>
      <c r="I152" s="21">
        <v>-6.1581400000000001E-2</v>
      </c>
      <c r="J152" s="21">
        <v>142</v>
      </c>
      <c r="K152" s="21">
        <v>-7.6355000000000006E-2</v>
      </c>
      <c r="L152">
        <f t="shared" si="24"/>
        <v>38.488374999999998</v>
      </c>
      <c r="M152">
        <f t="shared" si="25"/>
        <v>-2.88944547405</v>
      </c>
      <c r="N152" s="9"/>
      <c r="O152" s="21">
        <v>0.61508200000000002</v>
      </c>
      <c r="P152" s="21">
        <v>169.93100000000001</v>
      </c>
      <c r="Q152" s="21">
        <v>-8.8806200000000005E-3</v>
      </c>
      <c r="R152" s="21">
        <v>142</v>
      </c>
      <c r="S152" s="21">
        <v>0.61468500000000004</v>
      </c>
      <c r="T152">
        <f t="shared" si="26"/>
        <v>5.5503875000000003</v>
      </c>
      <c r="U152">
        <f t="shared" si="27"/>
        <v>3.4139434442750001</v>
      </c>
      <c r="X152" s="9"/>
      <c r="Y152" s="21">
        <v>-7.5073200000000007E-2</v>
      </c>
      <c r="Z152" s="21">
        <v>204.303</v>
      </c>
      <c r="AA152" s="21">
        <v>-6.1566200000000001E-2</v>
      </c>
      <c r="AB152" s="21">
        <v>142</v>
      </c>
      <c r="AC152" s="21">
        <v>-7.6324500000000003E-2</v>
      </c>
      <c r="AD152">
        <f t="shared" si="28"/>
        <v>38.478874999999995</v>
      </c>
      <c r="AE152">
        <f t="shared" si="29"/>
        <v>-2.88873227865</v>
      </c>
      <c r="AF152" s="9"/>
      <c r="AG152" s="21">
        <v>0.61508200000000002</v>
      </c>
      <c r="AH152" s="21">
        <v>261.07799999999997</v>
      </c>
      <c r="AI152" s="21">
        <v>-7.7758799999999998E-3</v>
      </c>
      <c r="AJ152" s="21">
        <v>142</v>
      </c>
      <c r="AK152" s="21">
        <v>0.61474600000000001</v>
      </c>
      <c r="AL152">
        <f t="shared" si="30"/>
        <v>4.8599249999999996</v>
      </c>
      <c r="AM152">
        <f t="shared" si="31"/>
        <v>2.9892523888499998</v>
      </c>
      <c r="AP152" s="9"/>
      <c r="AQ152" s="21">
        <v>-7.5073200000000007E-2</v>
      </c>
      <c r="AR152" s="21">
        <v>310.21600000000001</v>
      </c>
      <c r="AS152" s="21">
        <v>-6.1566200000000001E-2</v>
      </c>
      <c r="AT152" s="21">
        <v>142</v>
      </c>
      <c r="AU152" s="21">
        <v>-7.6385499999999995E-2</v>
      </c>
      <c r="AV152">
        <f t="shared" si="32"/>
        <v>38.478874999999995</v>
      </c>
      <c r="AW152">
        <f t="shared" si="33"/>
        <v>-2.88873227865</v>
      </c>
      <c r="AX152" s="9"/>
      <c r="AY152" s="21">
        <v>0.61508200000000002</v>
      </c>
      <c r="AZ152" s="21">
        <v>347.38900000000001</v>
      </c>
      <c r="BA152" s="21">
        <v>-7.2692900000000003E-3</v>
      </c>
      <c r="BB152" s="21">
        <v>142</v>
      </c>
      <c r="BC152" s="21">
        <v>0.61471600000000004</v>
      </c>
      <c r="BD152">
        <f t="shared" si="34"/>
        <v>4.5433062500000005</v>
      </c>
      <c r="BE152">
        <f t="shared" si="35"/>
        <v>2.7945058948625006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-8.0108600000000002E-2</v>
      </c>
      <c r="H153" s="21">
        <v>117.53</v>
      </c>
      <c r="I153" s="21">
        <v>-6.15997E-2</v>
      </c>
      <c r="J153" s="21">
        <v>143</v>
      </c>
      <c r="K153" s="21">
        <v>-8.1329299999999993E-2</v>
      </c>
      <c r="L153">
        <f t="shared" si="24"/>
        <v>38.499812500000004</v>
      </c>
      <c r="M153">
        <f t="shared" si="25"/>
        <v>-3.0841660796375003</v>
      </c>
      <c r="N153" s="9"/>
      <c r="O153" s="21">
        <v>0.62011700000000003</v>
      </c>
      <c r="P153" s="21">
        <v>170.03200000000001</v>
      </c>
      <c r="Q153" s="21">
        <v>-3.9111299999999996E-3</v>
      </c>
      <c r="R153" s="21">
        <v>143</v>
      </c>
      <c r="S153" s="21">
        <v>0.61978100000000003</v>
      </c>
      <c r="T153">
        <f t="shared" si="26"/>
        <v>2.4444562499999996</v>
      </c>
      <c r="U153">
        <f t="shared" si="27"/>
        <v>1.5158488763812499</v>
      </c>
      <c r="X153" s="9"/>
      <c r="Y153" s="21">
        <v>-8.0108600000000002E-2</v>
      </c>
      <c r="Z153" s="21">
        <v>204.40299999999999</v>
      </c>
      <c r="AA153" s="21">
        <v>-6.1581400000000001E-2</v>
      </c>
      <c r="AB153" s="21">
        <v>143</v>
      </c>
      <c r="AC153" s="21">
        <v>-8.1329299999999993E-2</v>
      </c>
      <c r="AD153">
        <f t="shared" si="28"/>
        <v>38.488374999999998</v>
      </c>
      <c r="AE153">
        <f t="shared" si="29"/>
        <v>-3.0832498375249999</v>
      </c>
      <c r="AF153" s="9"/>
      <c r="AG153" s="21">
        <v>0.62011700000000003</v>
      </c>
      <c r="AH153" s="21">
        <v>261.17899999999997</v>
      </c>
      <c r="AI153" s="21">
        <v>-2.7050799999999999E-3</v>
      </c>
      <c r="AJ153" s="21">
        <v>143</v>
      </c>
      <c r="AK153" s="21">
        <v>0.61975100000000005</v>
      </c>
      <c r="AL153">
        <f t="shared" si="30"/>
        <v>1.6906749999999997</v>
      </c>
      <c r="AM153">
        <f t="shared" si="31"/>
        <v>1.0484163089749998</v>
      </c>
      <c r="AP153" s="9"/>
      <c r="AQ153" s="21">
        <v>-8.0108600000000002E-2</v>
      </c>
      <c r="AR153" s="21">
        <v>310.31700000000001</v>
      </c>
      <c r="AS153" s="21">
        <v>-6.1581400000000001E-2</v>
      </c>
      <c r="AT153" s="21">
        <v>143</v>
      </c>
      <c r="AU153" s="21">
        <v>-8.1451399999999993E-2</v>
      </c>
      <c r="AV153">
        <f t="shared" si="32"/>
        <v>38.488374999999998</v>
      </c>
      <c r="AW153">
        <f t="shared" si="33"/>
        <v>-3.0832498375249999</v>
      </c>
      <c r="AX153" s="9"/>
      <c r="AY153" s="21">
        <v>0.62011700000000003</v>
      </c>
      <c r="AZ153" s="21">
        <v>347.48899999999998</v>
      </c>
      <c r="BA153" s="21">
        <v>-2.1325699999999999E-3</v>
      </c>
      <c r="BB153" s="21">
        <v>143</v>
      </c>
      <c r="BC153" s="21">
        <v>0.61972000000000005</v>
      </c>
      <c r="BD153">
        <f t="shared" si="34"/>
        <v>1.3328562499999999</v>
      </c>
      <c r="BE153">
        <f t="shared" si="35"/>
        <v>0.82652681918124993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-8.5143999999999997E-2</v>
      </c>
      <c r="H154" s="21">
        <v>117.631</v>
      </c>
      <c r="I154" s="21">
        <v>-6.1602799999999999E-2</v>
      </c>
      <c r="J154" s="21">
        <v>144</v>
      </c>
      <c r="K154" s="21">
        <v>-8.64563E-2</v>
      </c>
      <c r="L154">
        <f t="shared" si="24"/>
        <v>38.501749999999994</v>
      </c>
      <c r="M154">
        <f t="shared" si="25"/>
        <v>-3.2781930019999992</v>
      </c>
      <c r="N154" s="9"/>
      <c r="O154" s="21">
        <v>0.62515299999999996</v>
      </c>
      <c r="P154" s="21">
        <v>170.13300000000001</v>
      </c>
      <c r="Q154" s="21">
        <v>1.5093999999999999E-3</v>
      </c>
      <c r="R154" s="21">
        <v>144</v>
      </c>
      <c r="S154" s="21">
        <v>0.624695</v>
      </c>
      <c r="T154">
        <f t="shared" si="26"/>
        <v>-0.94337499999999985</v>
      </c>
      <c r="U154">
        <f t="shared" si="27"/>
        <v>-0.58975371137499988</v>
      </c>
      <c r="X154" s="9"/>
      <c r="Y154" s="21">
        <v>-8.5143999999999997E-2</v>
      </c>
      <c r="Z154" s="21">
        <v>204.50399999999999</v>
      </c>
      <c r="AA154" s="21">
        <v>-6.1611899999999997E-2</v>
      </c>
      <c r="AB154" s="21">
        <v>144</v>
      </c>
      <c r="AC154" s="21">
        <v>-8.64563E-2</v>
      </c>
      <c r="AD154">
        <f t="shared" si="28"/>
        <v>38.507437500000002</v>
      </c>
      <c r="AE154">
        <f t="shared" si="29"/>
        <v>-3.2786772585000001</v>
      </c>
      <c r="AF154" s="9"/>
      <c r="AG154" s="21">
        <v>0.62515299999999996</v>
      </c>
      <c r="AH154" s="21">
        <v>261.27999999999997</v>
      </c>
      <c r="AI154" s="21">
        <v>2.7838099999999998E-3</v>
      </c>
      <c r="AJ154" s="21">
        <v>144</v>
      </c>
      <c r="AK154" s="21">
        <v>0.62481699999999996</v>
      </c>
      <c r="AL154">
        <f t="shared" si="30"/>
        <v>-1.7398812499999998</v>
      </c>
      <c r="AM154">
        <f t="shared" si="31"/>
        <v>-1.0876919830812499</v>
      </c>
      <c r="AP154" s="9"/>
      <c r="AQ154" s="21">
        <v>-8.5143999999999997E-2</v>
      </c>
      <c r="AR154" s="21">
        <v>310.41800000000001</v>
      </c>
      <c r="AS154" s="21">
        <v>-6.1575299999999999E-2</v>
      </c>
      <c r="AT154" s="21">
        <v>144</v>
      </c>
      <c r="AU154" s="21">
        <v>-8.6517300000000005E-2</v>
      </c>
      <c r="AV154">
        <f t="shared" si="32"/>
        <v>38.484562500000003</v>
      </c>
      <c r="AW154">
        <f t="shared" si="33"/>
        <v>-3.2767295894999999</v>
      </c>
      <c r="AX154" s="9"/>
      <c r="AY154" s="21">
        <v>0.62515299999999996</v>
      </c>
      <c r="AZ154" s="21">
        <v>347.59</v>
      </c>
      <c r="BA154" s="21">
        <v>3.4137E-3</v>
      </c>
      <c r="BB154" s="21">
        <v>144</v>
      </c>
      <c r="BC154" s="21">
        <v>0.62475599999999998</v>
      </c>
      <c r="BD154">
        <f t="shared" si="34"/>
        <v>-2.1335625</v>
      </c>
      <c r="BE154">
        <f t="shared" si="35"/>
        <v>-1.3338029975624999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-9.0179400000000007E-2</v>
      </c>
      <c r="H155" s="21">
        <v>117.73099999999999</v>
      </c>
      <c r="I155" s="21">
        <v>-6.15997E-2</v>
      </c>
      <c r="J155" s="21">
        <v>145</v>
      </c>
      <c r="K155" s="21">
        <v>-9.1461200000000006E-2</v>
      </c>
      <c r="L155">
        <f t="shared" si="24"/>
        <v>38.499812500000004</v>
      </c>
      <c r="M155">
        <f t="shared" si="25"/>
        <v>-3.4718899913625005</v>
      </c>
      <c r="N155" s="9"/>
      <c r="O155" s="21">
        <v>0.63018799999999997</v>
      </c>
      <c r="P155" s="21">
        <v>170.233</v>
      </c>
      <c r="Q155" s="21">
        <v>7.2906500000000001E-3</v>
      </c>
      <c r="R155" s="21">
        <v>145</v>
      </c>
      <c r="S155" s="21">
        <v>0.62985199999999997</v>
      </c>
      <c r="T155">
        <f t="shared" si="26"/>
        <v>-4.5566562499999996</v>
      </c>
      <c r="U155">
        <f t="shared" si="27"/>
        <v>-2.8715500888749999</v>
      </c>
      <c r="X155" s="9"/>
      <c r="Y155" s="21">
        <v>-9.0179400000000007E-2</v>
      </c>
      <c r="Z155" s="21">
        <v>204.60499999999999</v>
      </c>
      <c r="AA155" s="21">
        <v>-6.1563100000000003E-2</v>
      </c>
      <c r="AB155" s="21">
        <v>145</v>
      </c>
      <c r="AC155" s="21">
        <v>-9.1491699999999995E-2</v>
      </c>
      <c r="AD155">
        <f t="shared" si="28"/>
        <v>38.476937500000005</v>
      </c>
      <c r="AE155">
        <f t="shared" si="29"/>
        <v>-3.4698271375875009</v>
      </c>
      <c r="AF155" s="9"/>
      <c r="AG155" s="21">
        <v>0.63018799999999997</v>
      </c>
      <c r="AH155" s="21">
        <v>261.38099999999997</v>
      </c>
      <c r="AI155" s="21">
        <v>8.5967999999999999E-3</v>
      </c>
      <c r="AJ155" s="21">
        <v>145</v>
      </c>
      <c r="AK155" s="21">
        <v>0.62982199999999999</v>
      </c>
      <c r="AL155">
        <f t="shared" si="30"/>
        <v>-5.3729999999999993</v>
      </c>
      <c r="AM155">
        <f t="shared" si="31"/>
        <v>-3.3860001239999993</v>
      </c>
      <c r="AP155" s="9"/>
      <c r="AQ155" s="21">
        <v>-9.0179400000000007E-2</v>
      </c>
      <c r="AR155" s="21">
        <v>310.51799999999997</v>
      </c>
      <c r="AS155" s="21">
        <v>-6.1617999999999999E-2</v>
      </c>
      <c r="AT155" s="21">
        <v>145</v>
      </c>
      <c r="AU155" s="21">
        <v>-9.1522199999999998E-2</v>
      </c>
      <c r="AV155">
        <f t="shared" si="32"/>
        <v>38.511249999999997</v>
      </c>
      <c r="AW155">
        <f t="shared" si="33"/>
        <v>-3.4729214182499999</v>
      </c>
      <c r="AX155" s="9"/>
      <c r="AY155" s="21">
        <v>0.63018799999999997</v>
      </c>
      <c r="AZ155" s="21">
        <v>347.69099999999997</v>
      </c>
      <c r="BA155" s="21">
        <v>9.2956500000000008E-3</v>
      </c>
      <c r="BB155" s="21">
        <v>145</v>
      </c>
      <c r="BC155" s="21">
        <v>0.62985199999999997</v>
      </c>
      <c r="BD155">
        <f t="shared" si="34"/>
        <v>-5.8097812499999995</v>
      </c>
      <c r="BE155">
        <f t="shared" si="35"/>
        <v>-3.6612544263749993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-9.5214800000000002E-2</v>
      </c>
      <c r="H156" s="21">
        <v>117.83199999999999</v>
      </c>
      <c r="I156" s="21">
        <v>-6.1630200000000003E-2</v>
      </c>
      <c r="J156" s="21">
        <v>146</v>
      </c>
      <c r="K156" s="21">
        <v>-9.6496600000000002E-2</v>
      </c>
      <c r="L156">
        <f t="shared" si="24"/>
        <v>38.518875000000001</v>
      </c>
      <c r="M156">
        <f t="shared" si="25"/>
        <v>-3.6675669793500001</v>
      </c>
      <c r="N156" s="9"/>
      <c r="O156" s="21">
        <v>0.63522299999999998</v>
      </c>
      <c r="P156" s="21">
        <v>170.334</v>
      </c>
      <c r="Q156" s="21">
        <v>1.34705E-2</v>
      </c>
      <c r="R156" s="21">
        <v>146</v>
      </c>
      <c r="S156" s="21">
        <v>0.63488800000000001</v>
      </c>
      <c r="T156">
        <f t="shared" si="26"/>
        <v>-8.419062499999999</v>
      </c>
      <c r="U156">
        <f t="shared" si="27"/>
        <v>-5.3479821384374988</v>
      </c>
      <c r="X156" s="9"/>
      <c r="Y156" s="21">
        <v>-9.5214800000000002E-2</v>
      </c>
      <c r="Z156" s="21">
        <v>204.70500000000001</v>
      </c>
      <c r="AA156" s="21">
        <v>-6.1553999999999998E-2</v>
      </c>
      <c r="AB156" s="21">
        <v>146</v>
      </c>
      <c r="AC156" s="21">
        <v>-9.6496600000000002E-2</v>
      </c>
      <c r="AD156">
        <f t="shared" si="28"/>
        <v>38.471249999999998</v>
      </c>
      <c r="AE156">
        <f t="shared" si="29"/>
        <v>-3.6630323744999997</v>
      </c>
      <c r="AF156" s="9"/>
      <c r="AG156" s="21">
        <v>0.63522299999999998</v>
      </c>
      <c r="AH156" s="21">
        <v>261.48099999999999</v>
      </c>
      <c r="AI156" s="21">
        <v>1.48529E-2</v>
      </c>
      <c r="AJ156" s="21">
        <v>146</v>
      </c>
      <c r="AK156" s="21">
        <v>0.63488800000000001</v>
      </c>
      <c r="AL156">
        <f t="shared" si="30"/>
        <v>-9.2830624999999998</v>
      </c>
      <c r="AM156">
        <f t="shared" si="31"/>
        <v>-5.8968148104374993</v>
      </c>
      <c r="AP156" s="9"/>
      <c r="AQ156" s="21">
        <v>-9.5214800000000002E-2</v>
      </c>
      <c r="AR156" s="21">
        <v>310.61900000000003</v>
      </c>
      <c r="AS156" s="21">
        <v>-6.16547E-2</v>
      </c>
      <c r="AT156" s="21">
        <v>146</v>
      </c>
      <c r="AU156" s="21">
        <v>-9.6557599999999993E-2</v>
      </c>
      <c r="AV156">
        <f t="shared" si="32"/>
        <v>38.534187499999994</v>
      </c>
      <c r="AW156">
        <f t="shared" si="33"/>
        <v>-3.6690249559749994</v>
      </c>
      <c r="AX156" s="9"/>
      <c r="AY156" s="21">
        <v>0.63522299999999998</v>
      </c>
      <c r="AZ156" s="21">
        <v>347.79199999999997</v>
      </c>
      <c r="BA156" s="21">
        <v>1.56036E-2</v>
      </c>
      <c r="BB156" s="21">
        <v>146</v>
      </c>
      <c r="BC156" s="21">
        <v>0.63491799999999998</v>
      </c>
      <c r="BD156">
        <f t="shared" si="34"/>
        <v>-9.7522500000000001</v>
      </c>
      <c r="BE156">
        <f t="shared" si="35"/>
        <v>-6.1948535017499999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-0.10025000000000001</v>
      </c>
      <c r="H157" s="21">
        <v>117.93300000000001</v>
      </c>
      <c r="I157" s="21">
        <v>-6.1633300000000002E-2</v>
      </c>
      <c r="J157" s="21">
        <v>147</v>
      </c>
      <c r="K157" s="21">
        <v>-0.101532</v>
      </c>
      <c r="L157">
        <f t="shared" si="24"/>
        <v>38.520812499999998</v>
      </c>
      <c r="M157">
        <f t="shared" si="25"/>
        <v>-3.8617114531249999</v>
      </c>
      <c r="N157" s="9"/>
      <c r="O157" s="21">
        <v>0.64025900000000002</v>
      </c>
      <c r="P157" s="21">
        <v>170.435</v>
      </c>
      <c r="Q157" s="21">
        <v>2.0065300000000001E-2</v>
      </c>
      <c r="R157" s="21">
        <v>147</v>
      </c>
      <c r="S157" s="21">
        <v>0.63995400000000002</v>
      </c>
      <c r="T157">
        <f t="shared" si="26"/>
        <v>-12.540812499999999</v>
      </c>
      <c r="U157">
        <f t="shared" si="27"/>
        <v>-8.0293680704374992</v>
      </c>
      <c r="X157" s="9"/>
      <c r="Y157" s="21">
        <v>-0.10025000000000001</v>
      </c>
      <c r="Z157" s="21">
        <v>204.80600000000001</v>
      </c>
      <c r="AA157" s="21">
        <v>-6.1596699999999997E-2</v>
      </c>
      <c r="AB157" s="21">
        <v>147</v>
      </c>
      <c r="AC157" s="21">
        <v>-0.101532</v>
      </c>
      <c r="AD157">
        <f t="shared" si="28"/>
        <v>38.497937499999999</v>
      </c>
      <c r="AE157">
        <f t="shared" si="29"/>
        <v>-3.8594182343750001</v>
      </c>
      <c r="AF157" s="9"/>
      <c r="AG157" s="21">
        <v>0.64025900000000002</v>
      </c>
      <c r="AH157" s="21">
        <v>261.58199999999999</v>
      </c>
      <c r="AI157" s="21">
        <v>2.1545399999999999E-2</v>
      </c>
      <c r="AJ157" s="21">
        <v>147</v>
      </c>
      <c r="AK157" s="21">
        <v>0.639984</v>
      </c>
      <c r="AL157">
        <f t="shared" si="30"/>
        <v>-13.465874999999999</v>
      </c>
      <c r="AM157">
        <f t="shared" si="31"/>
        <v>-8.6216476616249995</v>
      </c>
      <c r="AP157" s="9"/>
      <c r="AQ157" s="21">
        <v>-0.10025000000000001</v>
      </c>
      <c r="AR157" s="21">
        <v>310.72000000000003</v>
      </c>
      <c r="AS157" s="21">
        <v>-6.16699E-2</v>
      </c>
      <c r="AT157" s="21">
        <v>147</v>
      </c>
      <c r="AU157" s="21">
        <v>-0.101593</v>
      </c>
      <c r="AV157">
        <f t="shared" si="32"/>
        <v>38.543687499999997</v>
      </c>
      <c r="AW157">
        <f t="shared" si="33"/>
        <v>-3.8640046718750001</v>
      </c>
      <c r="AX157" s="9"/>
      <c r="AY157" s="21">
        <v>0.64025900000000002</v>
      </c>
      <c r="AZ157" s="21">
        <v>347.892</v>
      </c>
      <c r="BA157" s="21">
        <v>2.2320599999999999E-2</v>
      </c>
      <c r="BB157" s="21">
        <v>147</v>
      </c>
      <c r="BC157" s="21">
        <v>0.63995400000000002</v>
      </c>
      <c r="BD157">
        <f t="shared" si="34"/>
        <v>-13.950374999999999</v>
      </c>
      <c r="BE157">
        <f t="shared" si="35"/>
        <v>-8.9318531471250004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1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1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N259" s="9"/>
      <c r="O259" s="21"/>
      <c r="P259" s="21"/>
      <c r="Q259" s="21"/>
      <c r="R259" s="21"/>
      <c r="S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1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N260" s="9"/>
      <c r="O260" s="21"/>
      <c r="P260" s="21"/>
      <c r="Q260" s="21"/>
      <c r="R260" s="21"/>
      <c r="S260" s="21"/>
      <c r="X260" s="9"/>
      <c r="Y260" s="21"/>
      <c r="Z260" s="21"/>
      <c r="AA260" s="21"/>
      <c r="AB260" s="21"/>
      <c r="AC260" s="21"/>
      <c r="AF260" s="9"/>
      <c r="AG260" s="21"/>
      <c r="AH260" s="21"/>
      <c r="AI260" s="21"/>
      <c r="AJ260" s="21"/>
      <c r="AK260" s="21"/>
      <c r="AP260" s="9"/>
      <c r="AQ260" s="21"/>
      <c r="AR260" s="21"/>
      <c r="AS260" s="21"/>
      <c r="AT260" s="21"/>
      <c r="AU260" s="21"/>
      <c r="AX260" s="9"/>
      <c r="AY260" s="21"/>
      <c r="AZ260" s="21"/>
      <c r="BA260" s="21"/>
      <c r="BB260" s="21"/>
      <c r="BC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N261" s="9"/>
      <c r="O261" s="21"/>
      <c r="P261" s="21"/>
      <c r="Q261" s="21"/>
      <c r="R261" s="21"/>
      <c r="S261" s="21"/>
      <c r="X261" s="9"/>
      <c r="Y261" s="21"/>
      <c r="Z261" s="21"/>
      <c r="AA261" s="21"/>
      <c r="AB261" s="21"/>
      <c r="AC261" s="21"/>
      <c r="AF261" s="9"/>
      <c r="AG261" s="21"/>
      <c r="AH261" s="21"/>
      <c r="AI261" s="21"/>
      <c r="AJ261" s="21"/>
      <c r="AK261" s="21"/>
      <c r="AP261" s="9"/>
      <c r="AQ261" s="21"/>
      <c r="AR261" s="21"/>
      <c r="AS261" s="21"/>
      <c r="AT261" s="21"/>
      <c r="AU261" s="21"/>
      <c r="AX261" s="9"/>
      <c r="AY261" s="21"/>
      <c r="AZ261" s="21"/>
      <c r="BA261" s="21"/>
      <c r="BB261" s="21"/>
      <c r="BC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N262" s="9"/>
      <c r="O262" s="21"/>
      <c r="P262" s="21"/>
      <c r="Q262" s="21"/>
      <c r="R262" s="21"/>
      <c r="S262" s="21"/>
      <c r="X262" s="9"/>
      <c r="Y262" s="21"/>
      <c r="Z262" s="21"/>
      <c r="AA262" s="21"/>
      <c r="AB262" s="21"/>
      <c r="AC262" s="21"/>
      <c r="AF262" s="9"/>
      <c r="AG262" s="21"/>
      <c r="AH262" s="21"/>
      <c r="AI262" s="21"/>
      <c r="AJ262" s="21"/>
      <c r="AK262" s="21"/>
      <c r="AP262" s="9"/>
      <c r="AQ262" s="21"/>
      <c r="AR262" s="21"/>
      <c r="AS262" s="21"/>
      <c r="AT262" s="21"/>
      <c r="AU262" s="21"/>
      <c r="AX262" s="9"/>
      <c r="AY262" s="21"/>
      <c r="AZ262" s="21"/>
      <c r="BA262" s="21"/>
      <c r="BB262" s="21"/>
      <c r="BC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N263" s="9"/>
      <c r="O263" s="21"/>
      <c r="P263" s="21"/>
      <c r="Q263" s="21"/>
      <c r="R263" s="21"/>
      <c r="S263" s="21"/>
      <c r="X263" s="9"/>
      <c r="Y263" s="21"/>
      <c r="Z263" s="21"/>
      <c r="AA263" s="21"/>
      <c r="AB263" s="21"/>
      <c r="AC263" s="21"/>
      <c r="AF263" s="9"/>
      <c r="AG263" s="21"/>
      <c r="AH263" s="21"/>
      <c r="AI263" s="21"/>
      <c r="AJ263" s="21"/>
      <c r="AK263" s="21"/>
      <c r="AP263" s="9"/>
      <c r="AQ263" s="21"/>
      <c r="AR263" s="21"/>
      <c r="AS263" s="21"/>
      <c r="AT263" s="21"/>
      <c r="AU263" s="21"/>
      <c r="AX263" s="9"/>
      <c r="AY263" s="21"/>
      <c r="AZ263" s="21"/>
      <c r="BA263" s="21"/>
      <c r="BB263" s="21"/>
      <c r="BC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N264" s="9"/>
      <c r="O264" s="21"/>
      <c r="P264" s="21"/>
      <c r="Q264" s="21"/>
      <c r="R264" s="21"/>
      <c r="S264" s="21"/>
      <c r="X264" s="9"/>
      <c r="Y264" s="21"/>
      <c r="Z264" s="21"/>
      <c r="AA264" s="21"/>
      <c r="AB264" s="21"/>
      <c r="AC264" s="21"/>
      <c r="AF264" s="9"/>
      <c r="AG264" s="21"/>
      <c r="AH264" s="21"/>
      <c r="AI264" s="21"/>
      <c r="AJ264" s="21"/>
      <c r="AK264" s="21"/>
      <c r="AP264" s="9"/>
      <c r="AQ264" s="21"/>
      <c r="AR264" s="21"/>
      <c r="AS264" s="21"/>
      <c r="AT264" s="21"/>
      <c r="AU264" s="21"/>
      <c r="AX264" s="9"/>
      <c r="AY264" s="21"/>
      <c r="AZ264" s="21"/>
      <c r="BA264" s="21"/>
      <c r="BB264" s="21"/>
      <c r="BC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N265" s="9"/>
      <c r="O265" s="21"/>
      <c r="P265" s="21"/>
      <c r="Q265" s="21"/>
      <c r="R265" s="21"/>
      <c r="S265" s="21"/>
      <c r="X265" s="9"/>
      <c r="Y265" s="21"/>
      <c r="Z265" s="21"/>
      <c r="AA265" s="21"/>
      <c r="AB265" s="21"/>
      <c r="AC265" s="21"/>
      <c r="AF265" s="9"/>
      <c r="AG265" s="21"/>
      <c r="AH265" s="21"/>
      <c r="AI265" s="21"/>
      <c r="AJ265" s="21"/>
      <c r="AK265" s="21"/>
      <c r="AP265" s="9"/>
      <c r="AQ265" s="21"/>
      <c r="AR265" s="21"/>
      <c r="AS265" s="21"/>
      <c r="AT265" s="21"/>
      <c r="AU265" s="21"/>
      <c r="AX265" s="9"/>
      <c r="AY265" s="21"/>
      <c r="AZ265" s="21"/>
      <c r="BA265" s="21"/>
      <c r="BB265" s="21"/>
      <c r="BC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N266" s="9"/>
      <c r="O266" s="21"/>
      <c r="P266" s="21"/>
      <c r="Q266" s="21"/>
      <c r="R266" s="21"/>
      <c r="S266" s="21"/>
      <c r="X266" s="9"/>
      <c r="Y266" s="21"/>
      <c r="Z266" s="21"/>
      <c r="AA266" s="21"/>
      <c r="AB266" s="21"/>
      <c r="AC266" s="21"/>
      <c r="AF266" s="9"/>
      <c r="AG266" s="21"/>
      <c r="AH266" s="21"/>
      <c r="AI266" s="21"/>
      <c r="AJ266" s="21"/>
      <c r="AK266" s="21"/>
      <c r="AP266" s="9"/>
      <c r="AQ266" s="21"/>
      <c r="AR266" s="21"/>
      <c r="AS266" s="21"/>
      <c r="AT266" s="21"/>
      <c r="AU266" s="21"/>
      <c r="AX266" s="9"/>
      <c r="AY266" s="21"/>
      <c r="AZ266" s="21"/>
      <c r="BA266" s="21"/>
      <c r="BB266" s="21"/>
      <c r="BC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N267" s="9"/>
      <c r="O267" s="21"/>
      <c r="P267" s="21"/>
      <c r="Q267" s="21"/>
      <c r="R267" s="21"/>
      <c r="S267" s="21"/>
      <c r="X267" s="9"/>
      <c r="Y267" s="21"/>
      <c r="Z267" s="21"/>
      <c r="AA267" s="21"/>
      <c r="AB267" s="21"/>
      <c r="AC267" s="21"/>
      <c r="AF267" s="9"/>
      <c r="AG267" s="21"/>
      <c r="AH267" s="21"/>
      <c r="AI267" s="21"/>
      <c r="AJ267" s="21"/>
      <c r="AK267" s="21"/>
      <c r="AP267" s="9"/>
      <c r="AQ267" s="21"/>
      <c r="AR267" s="21"/>
      <c r="AS267" s="21"/>
      <c r="AT267" s="21"/>
      <c r="AU267" s="21"/>
      <c r="AX267" s="9"/>
      <c r="AY267" s="21"/>
      <c r="AZ267" s="21"/>
      <c r="BA267" s="21"/>
      <c r="BB267" s="21"/>
      <c r="BC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N268" s="9"/>
      <c r="O268" s="21"/>
      <c r="P268" s="21"/>
      <c r="Q268" s="21"/>
      <c r="R268" s="21"/>
      <c r="S268" s="21"/>
      <c r="X268" s="9"/>
      <c r="Y268" s="21"/>
      <c r="Z268" s="21"/>
      <c r="AA268" s="21"/>
      <c r="AB268" s="21"/>
      <c r="AC268" s="21"/>
      <c r="AF268" s="9"/>
      <c r="AG268" s="21"/>
      <c r="AH268" s="21"/>
      <c r="AI268" s="21"/>
      <c r="AJ268" s="21"/>
      <c r="AK268" s="21"/>
      <c r="AP268" s="9"/>
      <c r="AQ268" s="21"/>
      <c r="AR268" s="21"/>
      <c r="AS268" s="21"/>
      <c r="AT268" s="21"/>
      <c r="AU268" s="21"/>
      <c r="AX268" s="9"/>
      <c r="AY268" s="21"/>
      <c r="AZ268" s="21"/>
      <c r="BA268" s="21"/>
      <c r="BB268" s="21"/>
      <c r="BC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N269" s="9"/>
      <c r="O269" s="21"/>
      <c r="P269" s="21"/>
      <c r="Q269" s="21"/>
      <c r="R269" s="21"/>
      <c r="S269" s="21"/>
      <c r="X269" s="9"/>
      <c r="Y269" s="21"/>
      <c r="Z269" s="21"/>
      <c r="AA269" s="21"/>
      <c r="AB269" s="21"/>
      <c r="AC269" s="21"/>
      <c r="AF269" s="9"/>
      <c r="AG269" s="21"/>
      <c r="AH269" s="21"/>
      <c r="AI269" s="21"/>
      <c r="AJ269" s="21"/>
      <c r="AK269" s="21"/>
      <c r="AP269" s="9"/>
      <c r="AQ269" s="21"/>
      <c r="AR269" s="21"/>
      <c r="AS269" s="21"/>
      <c r="AT269" s="21"/>
      <c r="AU269" s="21"/>
      <c r="AX269" s="9"/>
      <c r="AY269" s="21"/>
      <c r="AZ269" s="21"/>
      <c r="BA269" s="21"/>
      <c r="BB269" s="21"/>
      <c r="BC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273"/>
  <sheetViews>
    <sheetView workbookViewId="0">
      <selection activeCell="F3" sqref="F3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26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26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26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26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26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26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26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26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26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26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26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26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25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25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25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25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25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25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0.62454773908306427</v>
      </c>
      <c r="J6" s="25"/>
      <c r="K6" s="2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27">
        <f>(Q3-Q4)/(S3-S4)*(-S4)+Q4</f>
        <v>0.62261782523014964</v>
      </c>
      <c r="R6" s="27"/>
      <c r="S6" s="2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25">
        <f>(AA3-AA4)/(AC3-AC4)*(-AC4)+AA4</f>
        <v>0.62153522302287734</v>
      </c>
      <c r="AB6" s="25"/>
      <c r="AC6" s="2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27">
        <f>(AI3-AI4)/(AK3-AK4)*(-AK4)+AI4</f>
        <v>0.62035290450938152</v>
      </c>
      <c r="AJ6" s="27"/>
      <c r="AK6" s="2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25">
        <f>(AS3-AS4)/(AU3-AU4)*(-AU4)+AS4</f>
        <v>0.61976852155582918</v>
      </c>
      <c r="AT6" s="25"/>
      <c r="AU6" s="2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27">
        <f>(BA3-BA4)/(BC3-BC4)*(-BC4)+BA4</f>
        <v>0.61891338810196683</v>
      </c>
      <c r="BB6" s="27"/>
      <c r="BC6" s="2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2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2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2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2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2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38.789749999999998</v>
      </c>
      <c r="M9" s="15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16.784842824750001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5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16.712465827750002</v>
      </c>
      <c r="AP9" s="9"/>
      <c r="AQ9" s="2"/>
      <c r="AR9" s="2"/>
      <c r="AS9" s="14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5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5">
        <f>MAX(BE11:BE1056)</f>
        <v>16.6381658325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-0.19418643257124998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-0.19317267833812501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-0.19243060312124999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0.62454773908306427</v>
      </c>
      <c r="B11" s="18">
        <f>IFERROR(L9,0)</f>
        <v>38.789749999999998</v>
      </c>
      <c r="C11" s="19">
        <f>IFERROR(L4,0)</f>
        <v>0.69817728924499478</v>
      </c>
      <c r="D11" s="20">
        <f>IFERROR(L2,0)</f>
        <v>16.914078380374999</v>
      </c>
      <c r="E11" s="20">
        <f>IFERROR(I9,0)</f>
        <v>0</v>
      </c>
      <c r="F11" s="9"/>
      <c r="G11" s="21">
        <v>0.64498900000000003</v>
      </c>
      <c r="H11" s="21">
        <v>49.356200000000001</v>
      </c>
      <c r="I11" s="21">
        <v>2.2122200000000002E-2</v>
      </c>
      <c r="J11" s="21">
        <v>1</v>
      </c>
      <c r="K11" s="21">
        <v>0.64486699999999997</v>
      </c>
      <c r="L11">
        <f>-I11/$F$2*1000</f>
        <v>-13.826375000000001</v>
      </c>
      <c r="M11">
        <f>L11*G11</f>
        <v>-8.9178597848750005</v>
      </c>
      <c r="N11" s="9"/>
      <c r="O11" s="21">
        <v>-9.49097E-2</v>
      </c>
      <c r="P11" s="21">
        <v>96.555599999999998</v>
      </c>
      <c r="Q11" s="21">
        <v>-6.21033E-2</v>
      </c>
      <c r="R11" s="21">
        <v>1</v>
      </c>
      <c r="S11" s="21">
        <v>-9.5306399999999999E-2</v>
      </c>
      <c r="T11">
        <f>-Q11/$F$2*1000</f>
        <v>38.814562499999994</v>
      </c>
      <c r="U11">
        <f>T11*O11</f>
        <v>-3.6838784825062496</v>
      </c>
      <c r="V11" s="22"/>
      <c r="W11" s="23"/>
      <c r="X11" s="9"/>
      <c r="Y11" s="21">
        <v>0.64498900000000003</v>
      </c>
      <c r="Z11" s="21">
        <v>143.62700000000001</v>
      </c>
      <c r="AA11" s="21">
        <v>2.53876E-2</v>
      </c>
      <c r="AB11" s="21">
        <v>1</v>
      </c>
      <c r="AC11" s="21">
        <v>0.64450099999999999</v>
      </c>
      <c r="AD11">
        <f>-AA11/$F$2*1000</f>
        <v>-15.867249999999999</v>
      </c>
      <c r="AE11">
        <f>AD11*Y11</f>
        <v>-10.23420171025</v>
      </c>
      <c r="AF11" s="9"/>
      <c r="AG11" s="21">
        <v>-9.49097E-2</v>
      </c>
      <c r="AH11" s="21">
        <v>190.709</v>
      </c>
      <c r="AI11" s="21">
        <v>-6.2011700000000003E-2</v>
      </c>
      <c r="AJ11" s="21">
        <v>1</v>
      </c>
      <c r="AK11" s="21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1">
        <v>0.64498900000000003</v>
      </c>
      <c r="AR11" s="21">
        <v>237.846</v>
      </c>
      <c r="AS11" s="21">
        <v>2.7380399999999999E-2</v>
      </c>
      <c r="AT11" s="21">
        <v>1</v>
      </c>
      <c r="AU11" s="21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1">
        <v>-9.49097E-2</v>
      </c>
      <c r="AZ11" s="21">
        <v>284.96199999999999</v>
      </c>
      <c r="BA11" s="21">
        <v>-6.2042199999999999E-2</v>
      </c>
      <c r="BB11" s="21">
        <v>1</v>
      </c>
      <c r="BC11" s="21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-2.15645</v>
      </c>
      <c r="CG11">
        <f>CF11*CA11</f>
        <v>-2.6198711050000001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2.03533125</v>
      </c>
      <c r="CO11">
        <f>CN11*CI11</f>
        <v>-0.19317267833812501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0.62261782523014964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0.63995400000000002</v>
      </c>
      <c r="H12" s="21">
        <v>49.366300000000003</v>
      </c>
      <c r="I12" s="21">
        <v>1.60736E-2</v>
      </c>
      <c r="J12" s="21">
        <v>2</v>
      </c>
      <c r="K12" s="21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1">
        <v>-8.9874300000000004E-2</v>
      </c>
      <c r="P12" s="21">
        <v>96.565700000000007</v>
      </c>
      <c r="Q12" s="21">
        <v>-6.2072799999999997E-2</v>
      </c>
      <c r="R12" s="21">
        <v>2</v>
      </c>
      <c r="S12" s="21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2"/>
      <c r="W12" s="23"/>
      <c r="X12" s="9"/>
      <c r="Y12" s="21">
        <v>0.63995400000000002</v>
      </c>
      <c r="Z12" s="21">
        <v>143.637</v>
      </c>
      <c r="AA12" s="21">
        <v>1.93451E-2</v>
      </c>
      <c r="AB12" s="21">
        <v>2</v>
      </c>
      <c r="AC12" s="21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1">
        <v>-8.9874300000000004E-2</v>
      </c>
      <c r="AH12" s="21">
        <v>190.71899999999999</v>
      </c>
      <c r="AI12" s="21">
        <v>-6.19812E-2</v>
      </c>
      <c r="AJ12" s="21">
        <v>2</v>
      </c>
      <c r="AK12" s="21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1">
        <v>0.63995400000000002</v>
      </c>
      <c r="AR12" s="21">
        <v>237.85599999999999</v>
      </c>
      <c r="AS12" s="21">
        <v>2.1273799999999999E-2</v>
      </c>
      <c r="AT12" s="21">
        <v>2</v>
      </c>
      <c r="AU12" s="21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1">
        <v>-8.9874300000000004E-2</v>
      </c>
      <c r="AZ12" s="21">
        <v>284.97199999999998</v>
      </c>
      <c r="BA12" s="21">
        <v>-6.2042199999999999E-2</v>
      </c>
      <c r="BB12" s="21">
        <v>2</v>
      </c>
      <c r="BC12" s="21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0.62153522302287734</v>
      </c>
      <c r="B13" s="18">
        <f>IFERROR(AD9,0)</f>
        <v>38.726852898932023</v>
      </c>
      <c r="C13" s="19">
        <f>IFERROR(AD4,0)</f>
        <v>0.69627262687612423</v>
      </c>
      <c r="D13" s="20">
        <f>IFERROR(AD2,0)</f>
        <v>16.759353951874999</v>
      </c>
      <c r="E13" s="20">
        <f>IFERROR(AA9,0)</f>
        <v>0</v>
      </c>
      <c r="F13" s="9"/>
      <c r="G13" s="21">
        <v>0.63491799999999998</v>
      </c>
      <c r="H13" s="21">
        <v>49.376399999999997</v>
      </c>
      <c r="I13" s="21">
        <v>1.0318000000000001E-2</v>
      </c>
      <c r="J13" s="21">
        <v>3</v>
      </c>
      <c r="K13" s="21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1">
        <v>-8.4838899999999995E-2</v>
      </c>
      <c r="P13" s="21">
        <v>96.575699999999998</v>
      </c>
      <c r="Q13" s="21">
        <v>-6.2072799999999997E-2</v>
      </c>
      <c r="R13" s="21">
        <v>3</v>
      </c>
      <c r="S13" s="21">
        <v>-8.5266099999999997E-2</v>
      </c>
      <c r="T13">
        <f t="shared" si="2"/>
        <v>38.795499999999997</v>
      </c>
      <c r="U13">
        <f t="shared" si="3"/>
        <v>-3.2913675449499995</v>
      </c>
      <c r="V13" s="22"/>
      <c r="W13" s="23"/>
      <c r="X13" s="9"/>
      <c r="Y13" s="21">
        <v>0.63491799999999998</v>
      </c>
      <c r="Z13" s="21">
        <v>143.64699999999999</v>
      </c>
      <c r="AA13" s="21">
        <v>1.3510100000000001E-2</v>
      </c>
      <c r="AB13" s="21">
        <v>3</v>
      </c>
      <c r="AC13" s="21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1">
        <v>-8.4838899999999995E-2</v>
      </c>
      <c r="AH13" s="21">
        <v>190.73</v>
      </c>
      <c r="AI13" s="21">
        <v>-6.19812E-2</v>
      </c>
      <c r="AJ13" s="21">
        <v>3</v>
      </c>
      <c r="AK13" s="21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1">
        <v>0.63491799999999998</v>
      </c>
      <c r="AR13" s="21">
        <v>237.86600000000001</v>
      </c>
      <c r="AS13" s="21">
        <v>1.5448E-2</v>
      </c>
      <c r="AT13" s="21">
        <v>3</v>
      </c>
      <c r="AU13" s="21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1">
        <v>-8.4838899999999995E-2</v>
      </c>
      <c r="AZ13" s="21">
        <v>284.98200000000003</v>
      </c>
      <c r="BA13" s="21">
        <v>-6.2011700000000003E-2</v>
      </c>
      <c r="BB13" s="21">
        <v>3</v>
      </c>
      <c r="BC13" s="21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0.62035290450938152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0.62988299999999997</v>
      </c>
      <c r="H14" s="21">
        <v>49.386400000000002</v>
      </c>
      <c r="I14" s="21">
        <v>4.8764000000000004E-3</v>
      </c>
      <c r="J14" s="21">
        <v>4</v>
      </c>
      <c r="K14" s="21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1">
        <v>-7.9803499999999999E-2</v>
      </c>
      <c r="P14" s="21">
        <v>96.585800000000006</v>
      </c>
      <c r="Q14" s="21">
        <v>-6.2042199999999999E-2</v>
      </c>
      <c r="R14" s="21">
        <v>4</v>
      </c>
      <c r="S14" s="21">
        <v>-8.0108600000000002E-2</v>
      </c>
      <c r="T14">
        <f t="shared" si="2"/>
        <v>38.776374999999994</v>
      </c>
      <c r="U14">
        <f t="shared" si="3"/>
        <v>-3.0944904423124995</v>
      </c>
      <c r="V14" s="22"/>
      <c r="W14" s="23"/>
      <c r="X14" s="9"/>
      <c r="Y14" s="21">
        <v>0.62988299999999997</v>
      </c>
      <c r="Z14" s="21">
        <v>143.65700000000001</v>
      </c>
      <c r="AA14" s="21">
        <v>8.0352800000000005E-3</v>
      </c>
      <c r="AB14" s="21">
        <v>4</v>
      </c>
      <c r="AC14" s="21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1">
        <v>-7.9803499999999999E-2</v>
      </c>
      <c r="AH14" s="21">
        <v>190.74</v>
      </c>
      <c r="AI14" s="21">
        <v>-6.19812E-2</v>
      </c>
      <c r="AJ14" s="21">
        <v>4</v>
      </c>
      <c r="AK14" s="21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1">
        <v>0.62988299999999997</v>
      </c>
      <c r="AR14" s="21">
        <v>237.876</v>
      </c>
      <c r="AS14" s="21">
        <v>9.9090600000000008E-3</v>
      </c>
      <c r="AT14" s="21">
        <v>4</v>
      </c>
      <c r="AU14" s="21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1">
        <v>-7.9803499999999999E-2</v>
      </c>
      <c r="AZ14" s="21">
        <v>284.99200000000002</v>
      </c>
      <c r="BA14" s="21">
        <v>-6.2011700000000003E-2</v>
      </c>
      <c r="BB14" s="21">
        <v>4</v>
      </c>
      <c r="BC14" s="21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0.61976852155582918</v>
      </c>
      <c r="B15" s="18">
        <f>IFERROR(AV9,0)</f>
        <v>38.67917675339212</v>
      </c>
      <c r="C15" s="19">
        <f>IFERROR(AV4,0)</f>
        <v>0.69575662555111373</v>
      </c>
      <c r="D15" s="20">
        <f>IFERROR(AV2,0)</f>
        <v>16.678772583812496</v>
      </c>
      <c r="E15" s="20">
        <f>IFERROR(AS9,0)</f>
        <v>0.24346366681626164</v>
      </c>
      <c r="F15" s="9"/>
      <c r="G15" s="21">
        <v>0.62484700000000004</v>
      </c>
      <c r="H15" s="21">
        <v>49.396500000000003</v>
      </c>
      <c r="I15" s="21">
        <v>-2.4969499999999997E-4</v>
      </c>
      <c r="J15" s="21">
        <v>5</v>
      </c>
      <c r="K15" s="21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1">
        <v>-7.4768100000000004E-2</v>
      </c>
      <c r="P15" s="21">
        <v>96.5959</v>
      </c>
      <c r="Q15" s="21">
        <v>-6.2042199999999999E-2</v>
      </c>
      <c r="R15" s="21">
        <v>5</v>
      </c>
      <c r="S15" s="21">
        <v>-7.5164800000000004E-2</v>
      </c>
      <c r="T15">
        <f t="shared" si="2"/>
        <v>38.776374999999994</v>
      </c>
      <c r="U15">
        <f t="shared" si="3"/>
        <v>-2.8992358836374996</v>
      </c>
      <c r="V15" s="22"/>
      <c r="W15" s="23"/>
      <c r="X15" s="9"/>
      <c r="Y15" s="21">
        <v>0.62484700000000004</v>
      </c>
      <c r="Z15" s="21">
        <v>143.667</v>
      </c>
      <c r="AA15" s="21">
        <v>2.69104E-3</v>
      </c>
      <c r="AB15" s="21">
        <v>5</v>
      </c>
      <c r="AC15" s="21">
        <v>0.62439</v>
      </c>
      <c r="AD15">
        <f t="shared" si="4"/>
        <v>-1.6819</v>
      </c>
      <c r="AE15">
        <f t="shared" si="5"/>
        <v>-1.0509301692999999</v>
      </c>
      <c r="AF15" s="9"/>
      <c r="AG15" s="21">
        <v>-7.4768100000000004E-2</v>
      </c>
      <c r="AH15" s="21">
        <v>190.75</v>
      </c>
      <c r="AI15" s="21">
        <v>-6.19812E-2</v>
      </c>
      <c r="AJ15" s="21">
        <v>5</v>
      </c>
      <c r="AK15" s="21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1">
        <v>0.62484700000000004</v>
      </c>
      <c r="AR15" s="21">
        <v>237.886</v>
      </c>
      <c r="AS15" s="21">
        <v>4.5397900000000001E-3</v>
      </c>
      <c r="AT15" s="21">
        <v>5</v>
      </c>
      <c r="AU15" s="21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1">
        <v>-7.4768100000000004E-2</v>
      </c>
      <c r="AZ15" s="21">
        <v>285.00299999999999</v>
      </c>
      <c r="BA15" s="21">
        <v>-6.2011700000000003E-2</v>
      </c>
      <c r="BB15" s="21">
        <v>5</v>
      </c>
      <c r="BC15" s="21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0.61891338810196683</v>
      </c>
      <c r="B16" s="18">
        <f>IFERROR(BD9,0)</f>
        <v>38.681412853191233</v>
      </c>
      <c r="C16" s="19">
        <f>IFERROR(BD4,0)</f>
        <v>0.69498149800627318</v>
      </c>
      <c r="D16" s="20">
        <f>IFERROR(BD2,0)</f>
        <v>16.6381658325</v>
      </c>
      <c r="E16" s="20"/>
      <c r="F16" s="9"/>
      <c r="G16" s="21">
        <v>0.61981200000000003</v>
      </c>
      <c r="H16" s="21">
        <v>49.406599999999997</v>
      </c>
      <c r="I16" s="21">
        <v>-5.0872799999999996E-3</v>
      </c>
      <c r="J16" s="21">
        <v>6</v>
      </c>
      <c r="K16" s="21">
        <v>0.61911000000000005</v>
      </c>
      <c r="L16">
        <f t="shared" si="0"/>
        <v>3.1795499999999999</v>
      </c>
      <c r="M16">
        <f t="shared" si="1"/>
        <v>1.9707232446</v>
      </c>
      <c r="N16" s="9"/>
      <c r="O16" s="21">
        <v>-6.9732699999999995E-2</v>
      </c>
      <c r="P16" s="21">
        <v>96.605999999999995</v>
      </c>
      <c r="Q16" s="21">
        <v>-6.2011700000000003E-2</v>
      </c>
      <c r="R16" s="21">
        <v>6</v>
      </c>
      <c r="S16" s="21">
        <v>-7.0159899999999997E-2</v>
      </c>
      <c r="T16">
        <f t="shared" si="2"/>
        <v>38.757312500000005</v>
      </c>
      <c r="U16">
        <f t="shared" si="3"/>
        <v>-2.7026520453687501</v>
      </c>
      <c r="V16" s="22"/>
      <c r="W16" s="23"/>
      <c r="X16" s="9"/>
      <c r="Y16" s="21">
        <v>0.61981200000000003</v>
      </c>
      <c r="Z16" s="21">
        <v>143.67699999999999</v>
      </c>
      <c r="AA16" s="21">
        <v>-2.1993999999999998E-3</v>
      </c>
      <c r="AB16" s="21">
        <v>6</v>
      </c>
      <c r="AC16" s="21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1">
        <v>-6.9732699999999995E-2</v>
      </c>
      <c r="AH16" s="21">
        <v>190.76</v>
      </c>
      <c r="AI16" s="21">
        <v>-6.19812E-2</v>
      </c>
      <c r="AJ16" s="21">
        <v>6</v>
      </c>
      <c r="AK16" s="21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1">
        <v>0.61981200000000003</v>
      </c>
      <c r="AR16" s="21">
        <v>237.89599999999999</v>
      </c>
      <c r="AS16" s="21">
        <v>-4.4250499999999999E-4</v>
      </c>
      <c r="AT16" s="21">
        <v>6</v>
      </c>
      <c r="AU16" s="21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1">
        <v>-6.9732699999999995E-2</v>
      </c>
      <c r="AZ16" s="21">
        <v>285.01299999999998</v>
      </c>
      <c r="BA16" s="21">
        <v>-6.19812E-2</v>
      </c>
      <c r="BB16" s="21">
        <v>6</v>
      </c>
      <c r="BC16" s="21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0.61477700000000002</v>
      </c>
      <c r="H17" s="21">
        <v>49.416600000000003</v>
      </c>
      <c r="I17" s="21">
        <v>-9.6282999999999994E-3</v>
      </c>
      <c r="J17" s="21">
        <v>7</v>
      </c>
      <c r="K17" s="21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1">
        <v>-6.4697299999999999E-2</v>
      </c>
      <c r="P17" s="21">
        <v>96.616</v>
      </c>
      <c r="Q17" s="21">
        <v>-6.2011700000000003E-2</v>
      </c>
      <c r="R17" s="21">
        <v>7</v>
      </c>
      <c r="S17" s="21">
        <v>-6.5063499999999996E-2</v>
      </c>
      <c r="T17">
        <f t="shared" si="2"/>
        <v>38.757312500000005</v>
      </c>
      <c r="U17">
        <f t="shared" si="3"/>
        <v>-2.5074934740062504</v>
      </c>
      <c r="V17" s="22"/>
      <c r="W17" s="23"/>
      <c r="X17" s="9"/>
      <c r="Y17" s="21">
        <v>0.61477700000000002</v>
      </c>
      <c r="Z17" s="21">
        <v>143.68700000000001</v>
      </c>
      <c r="AA17" s="21">
        <v>-6.8634000000000004E-3</v>
      </c>
      <c r="AB17" s="21">
        <v>7</v>
      </c>
      <c r="AC17" s="21">
        <v>0.61410500000000001</v>
      </c>
      <c r="AD17">
        <f t="shared" si="4"/>
        <v>4.289625</v>
      </c>
      <c r="AE17">
        <f t="shared" si="5"/>
        <v>2.637162788625</v>
      </c>
      <c r="AF17" s="9"/>
      <c r="AG17" s="21">
        <v>-6.4697299999999999E-2</v>
      </c>
      <c r="AH17" s="21">
        <v>190.77</v>
      </c>
      <c r="AI17" s="21">
        <v>-6.19812E-2</v>
      </c>
      <c r="AJ17" s="21">
        <v>7</v>
      </c>
      <c r="AK17" s="21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1">
        <v>0.61477700000000002</v>
      </c>
      <c r="AR17" s="21">
        <v>237.90600000000001</v>
      </c>
      <c r="AS17" s="21">
        <v>-5.1422100000000004E-3</v>
      </c>
      <c r="AT17" s="21">
        <v>7</v>
      </c>
      <c r="AU17" s="21">
        <v>0.61410500000000001</v>
      </c>
      <c r="AV17">
        <f t="shared" si="8"/>
        <v>3.21388125</v>
      </c>
      <c r="AW17">
        <f t="shared" si="9"/>
        <v>1.97582027323125</v>
      </c>
      <c r="AX17" s="9"/>
      <c r="AY17" s="21">
        <v>-6.4697299999999999E-2</v>
      </c>
      <c r="AZ17" s="21">
        <v>285.02300000000002</v>
      </c>
      <c r="BA17" s="21">
        <v>-6.19812E-2</v>
      </c>
      <c r="BB17" s="21">
        <v>7</v>
      </c>
      <c r="BC17" s="21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0.60974099999999998</v>
      </c>
      <c r="H18" s="21">
        <v>49.426699999999997</v>
      </c>
      <c r="I18" s="21">
        <v>-1.38885E-2</v>
      </c>
      <c r="J18" s="21">
        <v>8</v>
      </c>
      <c r="K18" s="21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1">
        <v>-5.9661899999999997E-2</v>
      </c>
      <c r="P18" s="21">
        <v>96.626099999999994</v>
      </c>
      <c r="Q18" s="21">
        <v>-6.2011700000000003E-2</v>
      </c>
      <c r="R18" s="21">
        <v>8</v>
      </c>
      <c r="S18" s="21">
        <v>-6.0089099999999999E-2</v>
      </c>
      <c r="T18">
        <f t="shared" si="2"/>
        <v>38.757312500000005</v>
      </c>
      <c r="U18">
        <f t="shared" si="3"/>
        <v>-2.3123349026437503</v>
      </c>
      <c r="V18" s="22"/>
      <c r="W18" s="23"/>
      <c r="X18" s="9"/>
      <c r="Y18" s="21">
        <v>0.60974099999999998</v>
      </c>
      <c r="Z18" s="21">
        <v>143.697</v>
      </c>
      <c r="AA18" s="21">
        <v>-1.1196899999999999E-2</v>
      </c>
      <c r="AB18" s="21">
        <v>8</v>
      </c>
      <c r="AC18" s="21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1">
        <v>-5.9661899999999997E-2</v>
      </c>
      <c r="AH18" s="21">
        <v>190.78</v>
      </c>
      <c r="AI18" s="21">
        <v>-6.19812E-2</v>
      </c>
      <c r="AJ18" s="21">
        <v>8</v>
      </c>
      <c r="AK18" s="21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1">
        <v>0.60974099999999998</v>
      </c>
      <c r="AR18" s="21">
        <v>237.916</v>
      </c>
      <c r="AS18" s="21">
        <v>-9.5672599999999993E-3</v>
      </c>
      <c r="AT18" s="21">
        <v>8</v>
      </c>
      <c r="AU18" s="21">
        <v>0.60907</v>
      </c>
      <c r="AV18">
        <f t="shared" si="8"/>
        <v>5.9795374999999993</v>
      </c>
      <c r="AW18">
        <f t="shared" si="9"/>
        <v>3.6459691747874996</v>
      </c>
      <c r="AX18" s="9"/>
      <c r="AY18" s="21">
        <v>-5.9661899999999997E-2</v>
      </c>
      <c r="AZ18" s="21">
        <v>285.03300000000002</v>
      </c>
      <c r="BA18" s="21">
        <v>-6.19812E-2</v>
      </c>
      <c r="BB18" s="21">
        <v>8</v>
      </c>
      <c r="BC18" s="21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0.60470599999999997</v>
      </c>
      <c r="H19" s="21">
        <v>49.436799999999998</v>
      </c>
      <c r="I19" s="21">
        <v>-1.7852799999999999E-2</v>
      </c>
      <c r="J19" s="21">
        <v>9</v>
      </c>
      <c r="K19" s="21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1">
        <v>-5.4626500000000001E-2</v>
      </c>
      <c r="P19" s="21">
        <v>96.636200000000002</v>
      </c>
      <c r="Q19" s="21">
        <v>-6.2011700000000003E-2</v>
      </c>
      <c r="R19" s="21">
        <v>9</v>
      </c>
      <c r="S19" s="21">
        <v>-5.5053699999999997E-2</v>
      </c>
      <c r="T19">
        <f t="shared" si="2"/>
        <v>38.757312500000005</v>
      </c>
      <c r="U19">
        <f t="shared" si="3"/>
        <v>-2.1171763312812502</v>
      </c>
      <c r="V19" s="22"/>
      <c r="W19" s="23"/>
      <c r="X19" s="9"/>
      <c r="Y19" s="21">
        <v>0.60470599999999997</v>
      </c>
      <c r="Z19" s="21">
        <v>143.708</v>
      </c>
      <c r="AA19" s="21">
        <v>-1.5307599999999999E-2</v>
      </c>
      <c r="AB19" s="21">
        <v>9</v>
      </c>
      <c r="AC19" s="21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1">
        <v>-5.4626500000000001E-2</v>
      </c>
      <c r="AH19" s="21">
        <v>190.79</v>
      </c>
      <c r="AI19" s="21">
        <v>-6.19812E-2</v>
      </c>
      <c r="AJ19" s="21">
        <v>9</v>
      </c>
      <c r="AK19" s="21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1">
        <v>0.60470599999999997</v>
      </c>
      <c r="AR19" s="21">
        <v>237.92599999999999</v>
      </c>
      <c r="AS19" s="21">
        <v>-1.37238E-2</v>
      </c>
      <c r="AT19" s="21">
        <v>9</v>
      </c>
      <c r="AU19" s="21">
        <v>0.60394300000000001</v>
      </c>
      <c r="AV19">
        <f t="shared" si="8"/>
        <v>8.577375</v>
      </c>
      <c r="AW19">
        <f t="shared" si="9"/>
        <v>5.1867901267500001</v>
      </c>
      <c r="AX19" s="9"/>
      <c r="AY19" s="21">
        <v>-5.4626500000000001E-2</v>
      </c>
      <c r="AZ19" s="21">
        <v>285.04300000000001</v>
      </c>
      <c r="BA19" s="21">
        <v>-6.19812E-2</v>
      </c>
      <c r="BB19" s="21">
        <v>9</v>
      </c>
      <c r="BC19" s="21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0.59967000000000004</v>
      </c>
      <c r="H20" s="21">
        <v>49.446899999999999</v>
      </c>
      <c r="I20" s="21">
        <v>-2.1520999999999998E-2</v>
      </c>
      <c r="J20" s="21">
        <v>10</v>
      </c>
      <c r="K20" s="21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1">
        <v>-4.9591099999999999E-2</v>
      </c>
      <c r="P20" s="21">
        <v>96.646199999999993</v>
      </c>
      <c r="Q20" s="21">
        <v>-6.2011700000000003E-2</v>
      </c>
      <c r="R20" s="21">
        <v>10</v>
      </c>
      <c r="S20" s="21">
        <v>-5.0018300000000002E-2</v>
      </c>
      <c r="T20">
        <f t="shared" si="2"/>
        <v>38.757312500000005</v>
      </c>
      <c r="U20">
        <f t="shared" si="3"/>
        <v>-1.9220177599187502</v>
      </c>
      <c r="V20" s="22"/>
      <c r="W20" s="23"/>
      <c r="X20" s="9"/>
      <c r="Y20" s="21">
        <v>0.59967000000000004</v>
      </c>
      <c r="Z20" s="21">
        <v>143.71799999999999</v>
      </c>
      <c r="AA20" s="21">
        <v>-1.9067400000000002E-2</v>
      </c>
      <c r="AB20" s="21">
        <v>10</v>
      </c>
      <c r="AC20" s="21">
        <v>0.59878500000000001</v>
      </c>
      <c r="AD20">
        <f t="shared" si="4"/>
        <v>11.917125</v>
      </c>
      <c r="AE20">
        <f t="shared" si="5"/>
        <v>7.1463423487500011</v>
      </c>
      <c r="AF20" s="9"/>
      <c r="AG20" s="21">
        <v>-4.9591099999999999E-2</v>
      </c>
      <c r="AH20" s="21">
        <v>190.8</v>
      </c>
      <c r="AI20" s="21">
        <v>-6.1950699999999997E-2</v>
      </c>
      <c r="AJ20" s="21">
        <v>10</v>
      </c>
      <c r="AK20" s="21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1">
        <v>0.59967000000000004</v>
      </c>
      <c r="AR20" s="21">
        <v>237.93600000000001</v>
      </c>
      <c r="AS20" s="21">
        <v>-1.7584200000000001E-2</v>
      </c>
      <c r="AT20" s="21">
        <v>10</v>
      </c>
      <c r="AU20" s="21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1">
        <v>-4.9591099999999999E-2</v>
      </c>
      <c r="AZ20" s="21">
        <v>285.053</v>
      </c>
      <c r="BA20" s="21">
        <v>-6.1950699999999997E-2</v>
      </c>
      <c r="BB20" s="21">
        <v>10</v>
      </c>
      <c r="BC20" s="21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0.59463500000000002</v>
      </c>
      <c r="H21" s="21">
        <v>49.456899999999997</v>
      </c>
      <c r="I21" s="21">
        <v>-2.49664E-2</v>
      </c>
      <c r="J21" s="21">
        <v>11</v>
      </c>
      <c r="K21" s="21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1">
        <v>-4.4555699999999997E-2</v>
      </c>
      <c r="P21" s="21">
        <v>96.656300000000002</v>
      </c>
      <c r="Q21" s="21">
        <v>-6.2011700000000003E-2</v>
      </c>
      <c r="R21" s="21">
        <v>11</v>
      </c>
      <c r="S21" s="21">
        <v>-4.4915799999999999E-2</v>
      </c>
      <c r="T21">
        <f t="shared" si="2"/>
        <v>38.757312500000005</v>
      </c>
      <c r="U21">
        <f t="shared" si="3"/>
        <v>-1.7268591885562501</v>
      </c>
      <c r="V21" s="22"/>
      <c r="W21" s="23"/>
      <c r="X21" s="9"/>
      <c r="Y21" s="21">
        <v>0.59463500000000002</v>
      </c>
      <c r="Z21" s="21">
        <v>143.72800000000001</v>
      </c>
      <c r="AA21" s="21">
        <v>-2.26593E-2</v>
      </c>
      <c r="AB21" s="21">
        <v>11</v>
      </c>
      <c r="AC21" s="21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1">
        <v>-4.4555699999999997E-2</v>
      </c>
      <c r="AH21" s="21">
        <v>190.81</v>
      </c>
      <c r="AI21" s="21">
        <v>-6.1950699999999997E-2</v>
      </c>
      <c r="AJ21" s="21">
        <v>11</v>
      </c>
      <c r="AK21" s="21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1">
        <v>0.59463500000000002</v>
      </c>
      <c r="AR21" s="21">
        <v>237.947</v>
      </c>
      <c r="AS21" s="21">
        <v>-2.1246299999999999E-2</v>
      </c>
      <c r="AT21" s="21">
        <v>11</v>
      </c>
      <c r="AU21" s="21">
        <v>0.593719</v>
      </c>
      <c r="AV21">
        <f t="shared" si="8"/>
        <v>13.2789375</v>
      </c>
      <c r="AW21">
        <f t="shared" si="9"/>
        <v>7.8961210003125002</v>
      </c>
      <c r="AX21" s="9"/>
      <c r="AY21" s="21">
        <v>-4.4555699999999997E-2</v>
      </c>
      <c r="AZ21" s="21">
        <v>285.06299999999999</v>
      </c>
      <c r="BA21" s="21">
        <v>-6.1950699999999997E-2</v>
      </c>
      <c r="BB21" s="21">
        <v>11</v>
      </c>
      <c r="BC21" s="21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0.58960000000000001</v>
      </c>
      <c r="H22" s="21">
        <v>49.466999999999999</v>
      </c>
      <c r="I22" s="21">
        <v>-2.81006E-2</v>
      </c>
      <c r="J22" s="21">
        <v>12</v>
      </c>
      <c r="K22" s="21">
        <v>0.58862300000000001</v>
      </c>
      <c r="L22">
        <f t="shared" si="0"/>
        <v>17.562874999999998</v>
      </c>
      <c r="M22">
        <f t="shared" si="1"/>
        <v>10.3550711</v>
      </c>
      <c r="N22" s="9"/>
      <c r="O22" s="21">
        <v>-3.9520300000000001E-2</v>
      </c>
      <c r="P22" s="21">
        <v>96.666399999999996</v>
      </c>
      <c r="Q22" s="21">
        <v>-6.19812E-2</v>
      </c>
      <c r="R22" s="21">
        <v>12</v>
      </c>
      <c r="S22" s="21">
        <v>-3.9889500000000001E-2</v>
      </c>
      <c r="T22">
        <f t="shared" si="2"/>
        <v>38.738249999999994</v>
      </c>
      <c r="U22">
        <f t="shared" si="3"/>
        <v>-1.5309472614749997</v>
      </c>
      <c r="V22" s="22"/>
      <c r="W22" s="23"/>
      <c r="X22" s="9"/>
      <c r="Y22" s="21">
        <v>0.58960000000000001</v>
      </c>
      <c r="Z22" s="21">
        <v>143.738</v>
      </c>
      <c r="AA22" s="21">
        <v>-2.59186E-2</v>
      </c>
      <c r="AB22" s="21">
        <v>12</v>
      </c>
      <c r="AC22" s="21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1">
        <v>-3.9520300000000001E-2</v>
      </c>
      <c r="AH22" s="21">
        <v>190.82</v>
      </c>
      <c r="AI22" s="21">
        <v>-6.1920200000000002E-2</v>
      </c>
      <c r="AJ22" s="21">
        <v>12</v>
      </c>
      <c r="AK22" s="21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1">
        <v>0.58960000000000001</v>
      </c>
      <c r="AR22" s="21">
        <v>237.95699999999999</v>
      </c>
      <c r="AS22" s="21">
        <v>-2.4594100000000001E-2</v>
      </c>
      <c r="AT22" s="21">
        <v>12</v>
      </c>
      <c r="AU22" s="21">
        <v>0.58856200000000003</v>
      </c>
      <c r="AV22">
        <f t="shared" si="8"/>
        <v>15.3713125</v>
      </c>
      <c r="AW22">
        <f t="shared" si="9"/>
        <v>9.0629258500000009</v>
      </c>
      <c r="AX22" s="9"/>
      <c r="AY22" s="21">
        <v>-3.9520300000000001E-2</v>
      </c>
      <c r="AZ22" s="21">
        <v>285.07299999999998</v>
      </c>
      <c r="BA22" s="21">
        <v>-6.1950699999999997E-2</v>
      </c>
      <c r="BB22" s="21">
        <v>12</v>
      </c>
      <c r="BC22" s="21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0.58456399999999997</v>
      </c>
      <c r="H23" s="21">
        <v>49.4771</v>
      </c>
      <c r="I23" s="21">
        <v>-3.1024199999999998E-2</v>
      </c>
      <c r="J23" s="21">
        <v>13</v>
      </c>
      <c r="K23" s="21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1">
        <v>-3.4484899999999999E-2</v>
      </c>
      <c r="P23" s="21">
        <v>96.676500000000004</v>
      </c>
      <c r="Q23" s="21">
        <v>-6.1950699999999997E-2</v>
      </c>
      <c r="R23" s="21">
        <v>13</v>
      </c>
      <c r="S23" s="21">
        <v>-3.4851100000000003E-2</v>
      </c>
      <c r="T23">
        <f t="shared" si="2"/>
        <v>38.719187499999997</v>
      </c>
      <c r="U23">
        <f t="shared" si="3"/>
        <v>-1.3352273090187499</v>
      </c>
      <c r="V23" s="22"/>
      <c r="W23" s="23"/>
      <c r="X23" s="9"/>
      <c r="Y23" s="21">
        <v>0.58456399999999997</v>
      </c>
      <c r="Z23" s="21">
        <v>143.74799999999999</v>
      </c>
      <c r="AA23" s="21">
        <v>-2.8997800000000001E-2</v>
      </c>
      <c r="AB23" s="21">
        <v>13</v>
      </c>
      <c r="AC23" s="21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1">
        <v>-3.4484899999999999E-2</v>
      </c>
      <c r="AH23" s="21">
        <v>190.83</v>
      </c>
      <c r="AI23" s="21">
        <v>-6.1920200000000002E-2</v>
      </c>
      <c r="AJ23" s="21">
        <v>13</v>
      </c>
      <c r="AK23" s="21">
        <v>-3.48083E-2</v>
      </c>
      <c r="AL23">
        <f t="shared" si="6"/>
        <v>38.700125</v>
      </c>
      <c r="AM23">
        <f t="shared" si="7"/>
        <v>-1.3345699406125</v>
      </c>
      <c r="AP23" s="9"/>
      <c r="AQ23" s="21">
        <v>0.58456399999999997</v>
      </c>
      <c r="AR23" s="21">
        <v>237.96700000000001</v>
      </c>
      <c r="AS23" s="21">
        <v>-2.7749599999999999E-2</v>
      </c>
      <c r="AT23" s="21">
        <v>13</v>
      </c>
      <c r="AU23" s="21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1">
        <v>-3.4484899999999999E-2</v>
      </c>
      <c r="AZ23" s="21">
        <v>285.08300000000003</v>
      </c>
      <c r="BA23" s="21">
        <v>-6.1950699999999997E-2</v>
      </c>
      <c r="BB23" s="21">
        <v>13</v>
      </c>
      <c r="BC23" s="21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0.57952899999999996</v>
      </c>
      <c r="H24" s="21">
        <v>49.487099999999998</v>
      </c>
      <c r="I24" s="21">
        <v>-3.3700599999999997E-2</v>
      </c>
      <c r="J24" s="21">
        <v>14</v>
      </c>
      <c r="K24" s="21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1">
        <v>-2.94495E-2</v>
      </c>
      <c r="P24" s="21">
        <v>96.686499999999995</v>
      </c>
      <c r="Q24" s="21">
        <v>-6.1950699999999997E-2</v>
      </c>
      <c r="R24" s="21">
        <v>14</v>
      </c>
      <c r="S24" s="21">
        <v>-2.9833999999999999E-2</v>
      </c>
      <c r="T24">
        <f t="shared" si="2"/>
        <v>38.719187499999997</v>
      </c>
      <c r="U24">
        <f t="shared" si="3"/>
        <v>-1.1402607122812498</v>
      </c>
      <c r="V24" s="22"/>
      <c r="W24" s="23"/>
      <c r="X24" s="9"/>
      <c r="Y24" s="21">
        <v>0.57952899999999996</v>
      </c>
      <c r="Z24" s="21">
        <v>143.75800000000001</v>
      </c>
      <c r="AA24" s="21">
        <v>-3.1802400000000002E-2</v>
      </c>
      <c r="AB24" s="21">
        <v>14</v>
      </c>
      <c r="AC24" s="21">
        <v>0.57843</v>
      </c>
      <c r="AD24">
        <f t="shared" si="4"/>
        <v>19.8765</v>
      </c>
      <c r="AE24">
        <f t="shared" si="5"/>
        <v>11.519008168499999</v>
      </c>
      <c r="AF24" s="9"/>
      <c r="AG24" s="21">
        <v>-2.94495E-2</v>
      </c>
      <c r="AH24" s="21">
        <v>190.84</v>
      </c>
      <c r="AI24" s="21">
        <v>-6.1920200000000002E-2</v>
      </c>
      <c r="AJ24" s="21">
        <v>14</v>
      </c>
      <c r="AK24" s="21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1">
        <v>0.57952899999999996</v>
      </c>
      <c r="AR24" s="21">
        <v>237.977</v>
      </c>
      <c r="AS24" s="21">
        <v>-3.0642699999999998E-2</v>
      </c>
      <c r="AT24" s="21">
        <v>14</v>
      </c>
      <c r="AU24" s="21">
        <v>0.57843</v>
      </c>
      <c r="AV24">
        <f t="shared" si="8"/>
        <v>19.151687499999998</v>
      </c>
      <c r="AW24">
        <f t="shared" si="9"/>
        <v>11.098958305187498</v>
      </c>
      <c r="AX24" s="9"/>
      <c r="AY24" s="21">
        <v>-2.94495E-2</v>
      </c>
      <c r="AZ24" s="21">
        <v>285.09300000000002</v>
      </c>
      <c r="BA24" s="21">
        <v>-6.1950699999999997E-2</v>
      </c>
      <c r="BB24" s="21">
        <v>14</v>
      </c>
      <c r="BC24" s="21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0.57449300000000003</v>
      </c>
      <c r="H25" s="21">
        <v>49.497199999999999</v>
      </c>
      <c r="I25" s="21">
        <v>-3.6148100000000002E-2</v>
      </c>
      <c r="J25" s="21">
        <v>15</v>
      </c>
      <c r="K25" s="21">
        <v>0.57333400000000001</v>
      </c>
      <c r="L25">
        <f t="shared" si="0"/>
        <v>22.5925625</v>
      </c>
      <c r="M25">
        <f t="shared" si="1"/>
        <v>12.979269008312501</v>
      </c>
      <c r="N25" s="9"/>
      <c r="O25" s="21">
        <v>-2.4414100000000001E-2</v>
      </c>
      <c r="P25" s="21">
        <v>96.696600000000004</v>
      </c>
      <c r="Q25" s="21">
        <v>-6.1950699999999997E-2</v>
      </c>
      <c r="R25" s="21">
        <v>15</v>
      </c>
      <c r="S25" s="21">
        <v>-2.4816899999999999E-2</v>
      </c>
      <c r="T25">
        <f t="shared" si="2"/>
        <v>38.719187499999997</v>
      </c>
      <c r="U25">
        <f t="shared" si="3"/>
        <v>-0.94529411554374998</v>
      </c>
      <c r="V25" s="22"/>
      <c r="W25" s="23"/>
      <c r="X25" s="9"/>
      <c r="Y25" s="21">
        <v>0.57449300000000003</v>
      </c>
      <c r="Z25" s="21">
        <v>143.768</v>
      </c>
      <c r="AA25" s="21">
        <v>-3.4378100000000002E-2</v>
      </c>
      <c r="AB25" s="21">
        <v>15</v>
      </c>
      <c r="AC25" s="21">
        <v>0.57330300000000001</v>
      </c>
      <c r="AD25">
        <f t="shared" si="4"/>
        <v>21.4863125</v>
      </c>
      <c r="AE25">
        <f t="shared" si="5"/>
        <v>12.343736127062501</v>
      </c>
      <c r="AF25" s="9"/>
      <c r="AG25" s="21">
        <v>-2.4414100000000001E-2</v>
      </c>
      <c r="AH25" s="21">
        <v>190.85</v>
      </c>
      <c r="AI25" s="21">
        <v>-6.1920200000000002E-2</v>
      </c>
      <c r="AJ25" s="21">
        <v>15</v>
      </c>
      <c r="AK25" s="21">
        <v>-2.47864E-2</v>
      </c>
      <c r="AL25">
        <f t="shared" si="6"/>
        <v>38.700125</v>
      </c>
      <c r="AM25">
        <f t="shared" si="7"/>
        <v>-0.94482872176249999</v>
      </c>
      <c r="AP25" s="9"/>
      <c r="AQ25" s="21">
        <v>0.57449300000000003</v>
      </c>
      <c r="AR25" s="21">
        <v>237.98699999999999</v>
      </c>
      <c r="AS25" s="21">
        <v>-3.3294700000000003E-2</v>
      </c>
      <c r="AT25" s="21">
        <v>15</v>
      </c>
      <c r="AU25" s="21">
        <v>0.57339499999999999</v>
      </c>
      <c r="AV25">
        <f t="shared" si="8"/>
        <v>20.8091875</v>
      </c>
      <c r="AW25">
        <f t="shared" si="9"/>
        <v>11.9547325544375</v>
      </c>
      <c r="AX25" s="9"/>
      <c r="AY25" s="21">
        <v>-2.4414100000000001E-2</v>
      </c>
      <c r="AZ25" s="21">
        <v>285.10300000000001</v>
      </c>
      <c r="BA25" s="21">
        <v>-6.1920200000000002E-2</v>
      </c>
      <c r="BB25" s="21">
        <v>15</v>
      </c>
      <c r="BC25" s="21">
        <v>-2.47589E-2</v>
      </c>
      <c r="BD25">
        <f t="shared" si="10"/>
        <v>38.700125</v>
      </c>
      <c r="BE25">
        <f t="shared" si="11"/>
        <v>-0.94482872176249999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0.56945800000000002</v>
      </c>
      <c r="H26" s="21">
        <v>49.507300000000001</v>
      </c>
      <c r="I26" s="21">
        <v>-3.8385000000000002E-2</v>
      </c>
      <c r="J26" s="21">
        <v>16</v>
      </c>
      <c r="K26" s="21">
        <v>0.568268</v>
      </c>
      <c r="L26">
        <f t="shared" si="0"/>
        <v>23.990625000000001</v>
      </c>
      <c r="M26">
        <f t="shared" si="1"/>
        <v>13.661653331250001</v>
      </c>
      <c r="N26" s="9"/>
      <c r="O26" s="21">
        <v>-1.9378699999999999E-2</v>
      </c>
      <c r="P26" s="21">
        <v>96.706699999999998</v>
      </c>
      <c r="Q26" s="21">
        <v>-6.1920200000000002E-2</v>
      </c>
      <c r="R26" s="21">
        <v>16</v>
      </c>
      <c r="S26" s="21">
        <v>-1.9711300000000001E-2</v>
      </c>
      <c r="T26">
        <f t="shared" si="2"/>
        <v>38.700125</v>
      </c>
      <c r="U26">
        <f t="shared" si="3"/>
        <v>-0.74995811233749998</v>
      </c>
      <c r="V26" s="22"/>
      <c r="W26" s="23"/>
      <c r="X26" s="9"/>
      <c r="Y26" s="21">
        <v>0.56945800000000002</v>
      </c>
      <c r="Z26" s="21">
        <v>143.77799999999999</v>
      </c>
      <c r="AA26" s="21">
        <v>-3.6724899999999998E-2</v>
      </c>
      <c r="AB26" s="21">
        <v>16</v>
      </c>
      <c r="AC26" s="21">
        <v>0.568268</v>
      </c>
      <c r="AD26">
        <f t="shared" si="4"/>
        <v>22.953062499999994</v>
      </c>
      <c r="AE26">
        <f t="shared" si="5"/>
        <v>13.070805065124997</v>
      </c>
      <c r="AF26" s="9"/>
      <c r="AG26" s="21">
        <v>-1.9378699999999999E-2</v>
      </c>
      <c r="AH26" s="21">
        <v>190.86</v>
      </c>
      <c r="AI26" s="21">
        <v>-6.1889600000000003E-2</v>
      </c>
      <c r="AJ26" s="21">
        <v>16</v>
      </c>
      <c r="AK26" s="21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1">
        <v>0.56945800000000002</v>
      </c>
      <c r="AR26" s="21">
        <v>237.99700000000001</v>
      </c>
      <c r="AS26" s="21">
        <v>-3.5745199999999998E-2</v>
      </c>
      <c r="AT26" s="21">
        <v>16</v>
      </c>
      <c r="AU26" s="21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1">
        <v>-1.9378699999999999E-2</v>
      </c>
      <c r="AZ26" s="21">
        <v>285.113</v>
      </c>
      <c r="BA26" s="21">
        <v>-6.1920200000000002E-2</v>
      </c>
      <c r="BB26" s="21">
        <v>16</v>
      </c>
      <c r="BC26" s="21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0.56442300000000001</v>
      </c>
      <c r="H27" s="21">
        <v>49.517299999999999</v>
      </c>
      <c r="I27" s="21">
        <v>-4.0414400000000003E-2</v>
      </c>
      <c r="J27" s="21">
        <v>17</v>
      </c>
      <c r="K27" s="21">
        <v>0.563141</v>
      </c>
      <c r="L27">
        <f t="shared" si="0"/>
        <v>25.259</v>
      </c>
      <c r="M27">
        <f t="shared" si="1"/>
        <v>14.256760557</v>
      </c>
      <c r="N27" s="9"/>
      <c r="O27" s="21">
        <v>-1.43433E-2</v>
      </c>
      <c r="P27" s="21">
        <v>96.716700000000003</v>
      </c>
      <c r="Q27" s="21">
        <v>-6.1889600000000003E-2</v>
      </c>
      <c r="R27" s="21">
        <v>17</v>
      </c>
      <c r="S27" s="21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1">
        <v>0.56442300000000001</v>
      </c>
      <c r="Z27" s="21">
        <v>143.78800000000001</v>
      </c>
      <c r="AA27" s="21">
        <v>-3.8885500000000003E-2</v>
      </c>
      <c r="AB27" s="21">
        <v>17</v>
      </c>
      <c r="AC27" s="21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1">
        <v>-1.43433E-2</v>
      </c>
      <c r="AH27" s="21">
        <v>190.87100000000001</v>
      </c>
      <c r="AI27" s="21">
        <v>-6.1889600000000003E-2</v>
      </c>
      <c r="AJ27" s="21">
        <v>17</v>
      </c>
      <c r="AK27" s="21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1">
        <v>0.56442300000000001</v>
      </c>
      <c r="AR27" s="21">
        <v>238.00700000000001</v>
      </c>
      <c r="AS27" s="21">
        <v>-3.7973E-2</v>
      </c>
      <c r="AT27" s="21">
        <v>17</v>
      </c>
      <c r="AU27" s="21">
        <v>0.563141</v>
      </c>
      <c r="AV27">
        <f t="shared" si="8"/>
        <v>23.733124999999998</v>
      </c>
      <c r="AW27">
        <f t="shared" si="9"/>
        <v>13.395521611874999</v>
      </c>
      <c r="AX27" s="9"/>
      <c r="AY27" s="21">
        <v>-1.43433E-2</v>
      </c>
      <c r="AZ27" s="21">
        <v>285.12299999999999</v>
      </c>
      <c r="BA27" s="21">
        <v>-6.1950699999999997E-2</v>
      </c>
      <c r="BB27" s="21">
        <v>17</v>
      </c>
      <c r="BC27" s="21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0.55938699999999997</v>
      </c>
      <c r="H28" s="21">
        <v>49.5274</v>
      </c>
      <c r="I28" s="21">
        <v>-4.2239400000000003E-2</v>
      </c>
      <c r="J28" s="21">
        <v>18</v>
      </c>
      <c r="K28" s="21">
        <v>0.55813599999999997</v>
      </c>
      <c r="L28">
        <f t="shared" si="0"/>
        <v>26.399625</v>
      </c>
      <c r="M28">
        <f t="shared" si="1"/>
        <v>14.767607029875</v>
      </c>
      <c r="N28" s="9"/>
      <c r="O28" s="21">
        <v>-9.3078599999999994E-3</v>
      </c>
      <c r="P28" s="21">
        <v>96.726799999999997</v>
      </c>
      <c r="Q28" s="21">
        <v>-6.1889600000000003E-2</v>
      </c>
      <c r="R28" s="21">
        <v>18</v>
      </c>
      <c r="S28" s="21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1">
        <v>0.55938699999999997</v>
      </c>
      <c r="Z28" s="21">
        <v>143.798</v>
      </c>
      <c r="AA28" s="21">
        <v>-4.0820299999999997E-2</v>
      </c>
      <c r="AB28" s="21">
        <v>18</v>
      </c>
      <c r="AC28" s="21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1">
        <v>-9.3078599999999994E-3</v>
      </c>
      <c r="AH28" s="21">
        <v>190.881</v>
      </c>
      <c r="AI28" s="21">
        <v>-6.1889600000000003E-2</v>
      </c>
      <c r="AJ28" s="21">
        <v>18</v>
      </c>
      <c r="AK28" s="21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1">
        <v>0.55938699999999997</v>
      </c>
      <c r="AR28" s="21">
        <v>238.017</v>
      </c>
      <c r="AS28" s="21">
        <v>-4.0014599999999997E-2</v>
      </c>
      <c r="AT28" s="21">
        <v>18</v>
      </c>
      <c r="AU28" s="21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1">
        <v>-9.3078599999999994E-3</v>
      </c>
      <c r="AZ28" s="21">
        <v>285.13299999999998</v>
      </c>
      <c r="BA28" s="21">
        <v>-6.1920200000000002E-2</v>
      </c>
      <c r="BB28" s="21">
        <v>18</v>
      </c>
      <c r="BC28" s="21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0.55435199999999996</v>
      </c>
      <c r="H29" s="21">
        <v>49.537500000000001</v>
      </c>
      <c r="I29" s="21">
        <v>-4.3927000000000001E-2</v>
      </c>
      <c r="J29" s="21">
        <v>19</v>
      </c>
      <c r="K29" s="21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1">
        <v>-4.2724599999999996E-3</v>
      </c>
      <c r="P29" s="21">
        <v>96.736900000000006</v>
      </c>
      <c r="Q29" s="21">
        <v>-6.18591E-2</v>
      </c>
      <c r="R29" s="21">
        <v>19</v>
      </c>
      <c r="S29" s="21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1">
        <v>0.55435199999999996</v>
      </c>
      <c r="Z29" s="21">
        <v>143.80799999999999</v>
      </c>
      <c r="AA29" s="21">
        <v>-4.2623899999999999E-2</v>
      </c>
      <c r="AB29" s="21">
        <v>19</v>
      </c>
      <c r="AC29" s="21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1">
        <v>-4.2724599999999996E-3</v>
      </c>
      <c r="AH29" s="21">
        <v>190.89099999999999</v>
      </c>
      <c r="AI29" s="21">
        <v>-6.18591E-2</v>
      </c>
      <c r="AJ29" s="21">
        <v>19</v>
      </c>
      <c r="AK29" s="21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1">
        <v>0.55435199999999996</v>
      </c>
      <c r="AR29" s="21">
        <v>238.02699999999999</v>
      </c>
      <c r="AS29" s="21">
        <v>-4.1873199999999999E-2</v>
      </c>
      <c r="AT29" s="21">
        <v>19</v>
      </c>
      <c r="AU29" s="21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1">
        <v>-4.2724599999999996E-3</v>
      </c>
      <c r="AZ29" s="21">
        <v>285.14400000000001</v>
      </c>
      <c r="BA29" s="21">
        <v>-6.1920200000000002E-2</v>
      </c>
      <c r="BB29" s="21">
        <v>19</v>
      </c>
      <c r="BC29" s="21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0.54931600000000003</v>
      </c>
      <c r="H30" s="21">
        <v>49.547600000000003</v>
      </c>
      <c r="I30" s="21">
        <v>-4.5422400000000002E-2</v>
      </c>
      <c r="J30" s="21">
        <v>20</v>
      </c>
      <c r="K30" s="21">
        <v>0.54800400000000005</v>
      </c>
      <c r="L30">
        <f t="shared" si="0"/>
        <v>28.388999999999999</v>
      </c>
      <c r="M30">
        <f t="shared" si="1"/>
        <v>15.594531924</v>
      </c>
      <c r="N30" s="9"/>
      <c r="O30" s="21">
        <v>7.6293900000000002E-4</v>
      </c>
      <c r="P30" s="21">
        <v>96.746899999999997</v>
      </c>
      <c r="Q30" s="21">
        <v>-6.18591E-2</v>
      </c>
      <c r="R30" s="21">
        <v>20</v>
      </c>
      <c r="S30" s="21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1">
        <v>0.54931600000000003</v>
      </c>
      <c r="Z30" s="21">
        <v>143.81800000000001</v>
      </c>
      <c r="AA30" s="21">
        <v>-4.4238300000000001E-2</v>
      </c>
      <c r="AB30" s="21">
        <v>20</v>
      </c>
      <c r="AC30" s="21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1">
        <v>7.6293900000000002E-4</v>
      </c>
      <c r="AH30" s="21">
        <v>190.90100000000001</v>
      </c>
      <c r="AI30" s="21">
        <v>-6.18591E-2</v>
      </c>
      <c r="AJ30" s="21">
        <v>20</v>
      </c>
      <c r="AK30" s="21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1">
        <v>0.54931600000000003</v>
      </c>
      <c r="AR30" s="21">
        <v>238.03700000000001</v>
      </c>
      <c r="AS30" s="21">
        <v>-4.3542499999999998E-2</v>
      </c>
      <c r="AT30" s="21">
        <v>20</v>
      </c>
      <c r="AU30" s="21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1">
        <v>7.6293900000000002E-4</v>
      </c>
      <c r="AZ30" s="21">
        <v>285.154</v>
      </c>
      <c r="BA30" s="21">
        <v>-6.1889600000000003E-2</v>
      </c>
      <c r="BB30" s="21">
        <v>20</v>
      </c>
      <c r="BC30" s="21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0.54428100000000001</v>
      </c>
      <c r="H31" s="21">
        <v>49.557600000000001</v>
      </c>
      <c r="I31" s="21">
        <v>-4.6789600000000001E-2</v>
      </c>
      <c r="J31" s="21">
        <v>21</v>
      </c>
      <c r="K31" s="21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1">
        <v>5.7983399999999999E-3</v>
      </c>
      <c r="P31" s="21">
        <v>96.757000000000005</v>
      </c>
      <c r="Q31" s="21">
        <v>-6.18591E-2</v>
      </c>
      <c r="R31" s="21">
        <v>21</v>
      </c>
      <c r="S31" s="21">
        <v>5.53894E-3</v>
      </c>
      <c r="T31">
        <f t="shared" si="2"/>
        <v>38.661937500000001</v>
      </c>
      <c r="U31">
        <f t="shared" si="3"/>
        <v>0.22417505868375001</v>
      </c>
      <c r="X31" s="9"/>
      <c r="Y31" s="21">
        <v>0.54428100000000001</v>
      </c>
      <c r="Z31" s="21">
        <v>143.828</v>
      </c>
      <c r="AA31" s="21">
        <v>-4.5724500000000001E-2</v>
      </c>
      <c r="AB31" s="21">
        <v>21</v>
      </c>
      <c r="AC31" s="21">
        <v>0.54293800000000003</v>
      </c>
      <c r="AD31">
        <f t="shared" si="4"/>
        <v>28.5778125</v>
      </c>
      <c r="AE31">
        <f t="shared" si="5"/>
        <v>15.554360365312501</v>
      </c>
      <c r="AF31" s="9"/>
      <c r="AG31" s="21">
        <v>5.7983399999999999E-3</v>
      </c>
      <c r="AH31" s="21">
        <v>190.911</v>
      </c>
      <c r="AI31" s="21">
        <v>-6.18591E-2</v>
      </c>
      <c r="AJ31" s="21">
        <v>21</v>
      </c>
      <c r="AK31" s="21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1">
        <v>0.54428100000000001</v>
      </c>
      <c r="AR31" s="21">
        <v>238.047</v>
      </c>
      <c r="AS31" s="21">
        <v>-4.5059200000000001E-2</v>
      </c>
      <c r="AT31" s="21">
        <v>21</v>
      </c>
      <c r="AU31" s="21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1">
        <v>5.7983399999999999E-3</v>
      </c>
      <c r="AZ31" s="21">
        <v>285.16399999999999</v>
      </c>
      <c r="BA31" s="21">
        <v>-6.1889600000000003E-2</v>
      </c>
      <c r="BB31" s="21">
        <v>21</v>
      </c>
      <c r="BC31" s="21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0.539246</v>
      </c>
      <c r="H32" s="21">
        <v>49.567700000000002</v>
      </c>
      <c r="I32" s="21">
        <v>-4.8022500000000003E-2</v>
      </c>
      <c r="J32" s="21">
        <v>22</v>
      </c>
      <c r="K32" s="21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1">
        <v>1.08337E-2</v>
      </c>
      <c r="P32" s="21">
        <v>96.767099999999999</v>
      </c>
      <c r="Q32" s="21">
        <v>-6.18591E-2</v>
      </c>
      <c r="R32" s="21">
        <v>22</v>
      </c>
      <c r="S32" s="21">
        <v>1.05988E-2</v>
      </c>
      <c r="T32">
        <f t="shared" si="2"/>
        <v>38.661937500000001</v>
      </c>
      <c r="U32">
        <f t="shared" si="3"/>
        <v>0.41885183229375</v>
      </c>
      <c r="X32" s="9"/>
      <c r="Y32" s="21">
        <v>0.539246</v>
      </c>
      <c r="Z32" s="21">
        <v>143.83799999999999</v>
      </c>
      <c r="AA32" s="21">
        <v>-4.7042800000000003E-2</v>
      </c>
      <c r="AB32" s="21">
        <v>22</v>
      </c>
      <c r="AC32" s="21">
        <v>0.53793299999999999</v>
      </c>
      <c r="AD32">
        <f t="shared" si="4"/>
        <v>29.40175</v>
      </c>
      <c r="AE32">
        <f t="shared" si="5"/>
        <v>15.854776080500001</v>
      </c>
      <c r="AF32" s="9"/>
      <c r="AG32" s="21">
        <v>1.08337E-2</v>
      </c>
      <c r="AH32" s="21">
        <v>190.92099999999999</v>
      </c>
      <c r="AI32" s="21">
        <v>-6.18591E-2</v>
      </c>
      <c r="AJ32" s="21">
        <v>22</v>
      </c>
      <c r="AK32" s="21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1">
        <v>0.539246</v>
      </c>
      <c r="AR32" s="21">
        <v>238.05699999999999</v>
      </c>
      <c r="AS32" s="21">
        <v>-4.6432500000000002E-2</v>
      </c>
      <c r="AT32" s="21">
        <v>22</v>
      </c>
      <c r="AU32" s="21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1">
        <v>1.08337E-2</v>
      </c>
      <c r="AZ32" s="21">
        <v>285.17399999999998</v>
      </c>
      <c r="BA32" s="21">
        <v>-6.1889600000000003E-2</v>
      </c>
      <c r="BB32" s="21">
        <v>22</v>
      </c>
      <c r="BC32" s="21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0.53420999999999996</v>
      </c>
      <c r="H33" s="21">
        <v>49.577800000000003</v>
      </c>
      <c r="I33" s="21">
        <v>-4.9133299999999998E-2</v>
      </c>
      <c r="J33" s="21">
        <v>23</v>
      </c>
      <c r="K33" s="21">
        <v>0.532806</v>
      </c>
      <c r="L33">
        <f t="shared" si="0"/>
        <v>30.708312499999998</v>
      </c>
      <c r="M33">
        <f t="shared" si="1"/>
        <v>16.404687620624998</v>
      </c>
      <c r="N33" s="9"/>
      <c r="O33" s="21">
        <v>1.5869100000000001E-2</v>
      </c>
      <c r="P33" s="21">
        <v>96.777199999999993</v>
      </c>
      <c r="Q33" s="21">
        <v>-6.18591E-2</v>
      </c>
      <c r="R33" s="21">
        <v>23</v>
      </c>
      <c r="S33" s="21">
        <v>1.5625E-2</v>
      </c>
      <c r="T33">
        <f t="shared" si="2"/>
        <v>38.661937500000001</v>
      </c>
      <c r="U33">
        <f t="shared" si="3"/>
        <v>0.61353015238125008</v>
      </c>
      <c r="X33" s="9"/>
      <c r="Y33" s="21">
        <v>0.53420999999999996</v>
      </c>
      <c r="Z33" s="21">
        <v>143.84899999999999</v>
      </c>
      <c r="AA33" s="21">
        <v>-4.8220800000000001E-2</v>
      </c>
      <c r="AB33" s="21">
        <v>23</v>
      </c>
      <c r="AC33" s="21">
        <v>0.532806</v>
      </c>
      <c r="AD33">
        <f t="shared" si="4"/>
        <v>30.137999999999998</v>
      </c>
      <c r="AE33">
        <f t="shared" si="5"/>
        <v>16.100020979999996</v>
      </c>
      <c r="AF33" s="9"/>
      <c r="AG33" s="21">
        <v>1.5869100000000001E-2</v>
      </c>
      <c r="AH33" s="21">
        <v>190.93100000000001</v>
      </c>
      <c r="AI33" s="21">
        <v>-6.1828599999999997E-2</v>
      </c>
      <c r="AJ33" s="21">
        <v>23</v>
      </c>
      <c r="AK33" s="21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1">
        <v>0.53420999999999996</v>
      </c>
      <c r="AR33" s="21">
        <v>238.06700000000001</v>
      </c>
      <c r="AS33" s="21">
        <v>-4.7674599999999998E-2</v>
      </c>
      <c r="AT33" s="21">
        <v>23</v>
      </c>
      <c r="AU33" s="21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1">
        <v>1.5869100000000001E-2</v>
      </c>
      <c r="AZ33" s="21">
        <v>285.18400000000003</v>
      </c>
      <c r="BA33" s="21">
        <v>-6.18591E-2</v>
      </c>
      <c r="BB33" s="21">
        <v>23</v>
      </c>
      <c r="BC33" s="21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0.52917499999999995</v>
      </c>
      <c r="H34" s="21">
        <v>49.587800000000001</v>
      </c>
      <c r="I34" s="21">
        <v>-5.0109899999999999E-2</v>
      </c>
      <c r="J34" s="21">
        <v>24</v>
      </c>
      <c r="K34" s="21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1">
        <v>2.0904499999999999E-2</v>
      </c>
      <c r="P34" s="21">
        <v>96.787199999999999</v>
      </c>
      <c r="Q34" s="21">
        <v>-6.18591E-2</v>
      </c>
      <c r="R34" s="21">
        <v>24</v>
      </c>
      <c r="S34" s="21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1">
        <v>0.52917499999999995</v>
      </c>
      <c r="Z34" s="21">
        <v>143.85900000000001</v>
      </c>
      <c r="AA34" s="21">
        <v>-4.9279799999999999E-2</v>
      </c>
      <c r="AB34" s="21">
        <v>24</v>
      </c>
      <c r="AC34" s="21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1">
        <v>2.0904499999999999E-2</v>
      </c>
      <c r="AH34" s="21">
        <v>190.941</v>
      </c>
      <c r="AI34" s="21">
        <v>-6.1798100000000002E-2</v>
      </c>
      <c r="AJ34" s="21">
        <v>24</v>
      </c>
      <c r="AK34" s="21">
        <v>2.06848E-2</v>
      </c>
      <c r="AL34">
        <f t="shared" si="6"/>
        <v>38.6238125</v>
      </c>
      <c r="AM34">
        <f t="shared" si="7"/>
        <v>0.80741148840624999</v>
      </c>
      <c r="AP34" s="9"/>
      <c r="AQ34" s="21">
        <v>0.52917499999999995</v>
      </c>
      <c r="AR34" s="21">
        <v>238.077</v>
      </c>
      <c r="AS34" s="21">
        <v>-4.8797599999999997E-2</v>
      </c>
      <c r="AT34" s="21">
        <v>24</v>
      </c>
      <c r="AU34" s="21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1">
        <v>2.0904499999999999E-2</v>
      </c>
      <c r="AZ34" s="21">
        <v>285.19400000000002</v>
      </c>
      <c r="BA34" s="21">
        <v>-6.1828599999999997E-2</v>
      </c>
      <c r="BB34" s="21">
        <v>24</v>
      </c>
      <c r="BC34" s="21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0.52413900000000002</v>
      </c>
      <c r="H35" s="21">
        <v>49.597900000000003</v>
      </c>
      <c r="I35" s="21">
        <v>-5.0985700000000002E-2</v>
      </c>
      <c r="J35" s="21">
        <v>25</v>
      </c>
      <c r="K35" s="21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1">
        <v>2.5939899999999998E-2</v>
      </c>
      <c r="P35" s="21">
        <v>96.797300000000007</v>
      </c>
      <c r="Q35" s="21">
        <v>-6.1889600000000003E-2</v>
      </c>
      <c r="R35" s="21">
        <v>25</v>
      </c>
      <c r="S35" s="21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1">
        <v>0.52413900000000002</v>
      </c>
      <c r="Z35" s="21">
        <v>143.869</v>
      </c>
      <c r="AA35" s="21">
        <v>-5.02289E-2</v>
      </c>
      <c r="AB35" s="21">
        <v>25</v>
      </c>
      <c r="AC35" s="21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1">
        <v>2.5939899999999998E-2</v>
      </c>
      <c r="AH35" s="21">
        <v>190.95099999999999</v>
      </c>
      <c r="AI35" s="21">
        <v>-6.1798100000000002E-2</v>
      </c>
      <c r="AJ35" s="21">
        <v>25</v>
      </c>
      <c r="AK35" s="21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1">
        <v>0.52413900000000002</v>
      </c>
      <c r="AR35" s="21">
        <v>238.08799999999999</v>
      </c>
      <c r="AS35" s="21">
        <v>-4.9798599999999998E-2</v>
      </c>
      <c r="AT35" s="21">
        <v>25</v>
      </c>
      <c r="AU35" s="21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1">
        <v>2.5939899999999998E-2</v>
      </c>
      <c r="AZ35" s="21">
        <v>285.20400000000001</v>
      </c>
      <c r="BA35" s="21">
        <v>-6.1828599999999997E-2</v>
      </c>
      <c r="BB35" s="21">
        <v>25</v>
      </c>
      <c r="BC35" s="21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0.51910400000000001</v>
      </c>
      <c r="H36" s="21">
        <v>49.607999999999997</v>
      </c>
      <c r="I36" s="21">
        <v>-5.1776099999999999E-2</v>
      </c>
      <c r="J36" s="21">
        <v>26</v>
      </c>
      <c r="K36" s="21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1">
        <v>3.0975300000000001E-2</v>
      </c>
      <c r="P36" s="21">
        <v>96.807400000000001</v>
      </c>
      <c r="Q36" s="21">
        <v>-6.1889600000000003E-2</v>
      </c>
      <c r="R36" s="21">
        <v>26</v>
      </c>
      <c r="S36" s="21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1">
        <v>0.51910400000000001</v>
      </c>
      <c r="Z36" s="21">
        <v>143.87899999999999</v>
      </c>
      <c r="AA36" s="21">
        <v>-5.1086399999999997E-2</v>
      </c>
      <c r="AB36" s="21">
        <v>26</v>
      </c>
      <c r="AC36" s="21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1">
        <v>3.0975300000000001E-2</v>
      </c>
      <c r="AH36" s="21">
        <v>190.96100000000001</v>
      </c>
      <c r="AI36" s="21">
        <v>-6.1798100000000002E-2</v>
      </c>
      <c r="AJ36" s="21">
        <v>26</v>
      </c>
      <c r="AK36" s="21">
        <v>3.0783100000000001E-2</v>
      </c>
      <c r="AL36">
        <f t="shared" si="6"/>
        <v>38.6238125</v>
      </c>
      <c r="AM36">
        <f t="shared" si="7"/>
        <v>1.19638417933125</v>
      </c>
      <c r="AP36" s="9"/>
      <c r="AQ36" s="21">
        <v>0.51910400000000001</v>
      </c>
      <c r="AR36" s="21">
        <v>238.09800000000001</v>
      </c>
      <c r="AS36" s="21">
        <v>-5.06927E-2</v>
      </c>
      <c r="AT36" s="21">
        <v>26</v>
      </c>
      <c r="AU36" s="21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1">
        <v>3.0975300000000001E-2</v>
      </c>
      <c r="AZ36" s="21">
        <v>285.214</v>
      </c>
      <c r="BA36" s="21">
        <v>-6.1828599999999997E-2</v>
      </c>
      <c r="BB36" s="21">
        <v>26</v>
      </c>
      <c r="BC36" s="21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0.514069</v>
      </c>
      <c r="H37" s="21">
        <v>49.618099999999998</v>
      </c>
      <c r="I37" s="21">
        <v>-5.24933E-2</v>
      </c>
      <c r="J37" s="21">
        <v>27</v>
      </c>
      <c r="K37" s="21">
        <v>0.51260399999999995</v>
      </c>
      <c r="L37">
        <f t="shared" si="0"/>
        <v>32.8083125</v>
      </c>
      <c r="M37">
        <f t="shared" si="1"/>
        <v>16.8657363985625</v>
      </c>
      <c r="N37" s="9"/>
      <c r="O37" s="21">
        <v>3.60107E-2</v>
      </c>
      <c r="P37" s="21">
        <v>96.817400000000006</v>
      </c>
      <c r="Q37" s="21">
        <v>-6.1889600000000003E-2</v>
      </c>
      <c r="R37" s="21">
        <v>27</v>
      </c>
      <c r="S37" s="21">
        <v>3.5827600000000001E-2</v>
      </c>
      <c r="T37">
        <f t="shared" si="2"/>
        <v>38.680999999999997</v>
      </c>
      <c r="U37">
        <f t="shared" si="3"/>
        <v>1.3929298867</v>
      </c>
      <c r="X37" s="9"/>
      <c r="Y37" s="21">
        <v>0.514069</v>
      </c>
      <c r="Z37" s="21">
        <v>143.88900000000001</v>
      </c>
      <c r="AA37" s="21">
        <v>-5.1855499999999999E-2</v>
      </c>
      <c r="AB37" s="21">
        <v>27</v>
      </c>
      <c r="AC37" s="21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1">
        <v>3.60107E-2</v>
      </c>
      <c r="AH37" s="21">
        <v>190.971</v>
      </c>
      <c r="AI37" s="21">
        <v>-6.1828599999999997E-2</v>
      </c>
      <c r="AJ37" s="21">
        <v>27</v>
      </c>
      <c r="AK37" s="21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1">
        <v>0.514069</v>
      </c>
      <c r="AR37" s="21">
        <v>238.108</v>
      </c>
      <c r="AS37" s="21">
        <v>-5.1495399999999997E-2</v>
      </c>
      <c r="AT37" s="21">
        <v>27</v>
      </c>
      <c r="AU37" s="21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1">
        <v>3.60107E-2</v>
      </c>
      <c r="AZ37" s="21">
        <v>285.22399999999999</v>
      </c>
      <c r="BA37" s="21">
        <v>-6.18591E-2</v>
      </c>
      <c r="BB37" s="21">
        <v>27</v>
      </c>
      <c r="BC37" s="21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0.50903299999999996</v>
      </c>
      <c r="H38" s="21">
        <v>49.628100000000003</v>
      </c>
      <c r="I38" s="21">
        <v>-5.3128099999999998E-2</v>
      </c>
      <c r="J38" s="21">
        <v>28</v>
      </c>
      <c r="K38" s="21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1">
        <v>4.1046100000000002E-2</v>
      </c>
      <c r="P38" s="21">
        <v>96.827500000000001</v>
      </c>
      <c r="Q38" s="21">
        <v>-6.18591E-2</v>
      </c>
      <c r="R38" s="21">
        <v>28</v>
      </c>
      <c r="S38" s="21">
        <v>4.086E-2</v>
      </c>
      <c r="T38">
        <f t="shared" si="2"/>
        <v>38.661937500000001</v>
      </c>
      <c r="U38">
        <f t="shared" si="3"/>
        <v>1.58692175281875</v>
      </c>
      <c r="X38" s="9"/>
      <c r="Y38" s="21">
        <v>0.50903299999999996</v>
      </c>
      <c r="Z38" s="21">
        <v>143.899</v>
      </c>
      <c r="AA38" s="21">
        <v>-5.25604E-2</v>
      </c>
      <c r="AB38" s="21">
        <v>28</v>
      </c>
      <c r="AC38" s="21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1">
        <v>4.1046100000000002E-2</v>
      </c>
      <c r="AH38" s="21">
        <v>190.98099999999999</v>
      </c>
      <c r="AI38" s="21">
        <v>-6.1828599999999997E-2</v>
      </c>
      <c r="AJ38" s="21">
        <v>28</v>
      </c>
      <c r="AK38" s="21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1">
        <v>0.50903299999999996</v>
      </c>
      <c r="AR38" s="21">
        <v>238.11799999999999</v>
      </c>
      <c r="AS38" s="21">
        <v>-5.2230800000000001E-2</v>
      </c>
      <c r="AT38" s="21">
        <v>28</v>
      </c>
      <c r="AU38" s="21">
        <v>0.50759900000000002</v>
      </c>
      <c r="AV38">
        <f t="shared" si="8"/>
        <v>32.64425</v>
      </c>
      <c r="AW38">
        <f t="shared" si="9"/>
        <v>16.617000510249998</v>
      </c>
      <c r="AX38" s="9"/>
      <c r="AY38" s="21">
        <v>4.1046100000000002E-2</v>
      </c>
      <c r="AZ38" s="21">
        <v>285.23399999999998</v>
      </c>
      <c r="BA38" s="21">
        <v>-6.1828599999999997E-2</v>
      </c>
      <c r="BB38" s="21">
        <v>28</v>
      </c>
      <c r="BC38" s="21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0.50399799999999995</v>
      </c>
      <c r="H39" s="21">
        <v>49.638199999999998</v>
      </c>
      <c r="I39" s="21">
        <v>-5.3695699999999999E-2</v>
      </c>
      <c r="J39" s="21">
        <v>29</v>
      </c>
      <c r="K39" s="21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1">
        <v>4.6081499999999997E-2</v>
      </c>
      <c r="P39" s="21">
        <v>96.837599999999995</v>
      </c>
      <c r="Q39" s="21">
        <v>-6.18591E-2</v>
      </c>
      <c r="R39" s="21">
        <v>29</v>
      </c>
      <c r="S39" s="21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1">
        <v>0.50399799999999995</v>
      </c>
      <c r="Z39" s="21">
        <v>143.90899999999999</v>
      </c>
      <c r="AA39" s="21">
        <v>-5.3176899999999999E-2</v>
      </c>
      <c r="AB39" s="21">
        <v>29</v>
      </c>
      <c r="AC39" s="21">
        <v>0.502502</v>
      </c>
      <c r="AD39">
        <f t="shared" si="4"/>
        <v>33.235562499999993</v>
      </c>
      <c r="AE39">
        <f t="shared" si="5"/>
        <v>16.750657028874993</v>
      </c>
      <c r="AF39" s="9"/>
      <c r="AG39" s="21">
        <v>4.6081499999999997E-2</v>
      </c>
      <c r="AH39" s="21">
        <v>190.99100000000001</v>
      </c>
      <c r="AI39" s="21">
        <v>-6.1798100000000002E-2</v>
      </c>
      <c r="AJ39" s="21">
        <v>29</v>
      </c>
      <c r="AK39" s="21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1">
        <v>0.50399799999999995</v>
      </c>
      <c r="AR39" s="21">
        <v>238.12799999999999</v>
      </c>
      <c r="AS39" s="21">
        <v>-5.2883899999999998E-2</v>
      </c>
      <c r="AT39" s="21">
        <v>29</v>
      </c>
      <c r="AU39" s="21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1">
        <v>4.6081499999999997E-2</v>
      </c>
      <c r="AZ39" s="21">
        <v>285.24400000000003</v>
      </c>
      <c r="BA39" s="21">
        <v>-6.1828599999999997E-2</v>
      </c>
      <c r="BB39" s="21">
        <v>29</v>
      </c>
      <c r="BC39" s="21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0.49896200000000002</v>
      </c>
      <c r="H40" s="21">
        <v>49.648299999999999</v>
      </c>
      <c r="I40" s="21">
        <v>-5.4202300000000002E-2</v>
      </c>
      <c r="J40" s="21">
        <v>30</v>
      </c>
      <c r="K40" s="21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1">
        <v>5.11169E-2</v>
      </c>
      <c r="P40" s="21">
        <v>96.847700000000003</v>
      </c>
      <c r="Q40" s="21">
        <v>-6.1828599999999997E-2</v>
      </c>
      <c r="R40" s="21">
        <v>30</v>
      </c>
      <c r="S40" s="21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1">
        <v>0.49896200000000002</v>
      </c>
      <c r="Z40" s="21">
        <v>143.91900000000001</v>
      </c>
      <c r="AA40" s="21">
        <v>-5.3741499999999998E-2</v>
      </c>
      <c r="AB40" s="21">
        <v>30</v>
      </c>
      <c r="AC40" s="21">
        <v>0.497498</v>
      </c>
      <c r="AD40">
        <f t="shared" si="4"/>
        <v>33.588437499999998</v>
      </c>
      <c r="AE40">
        <f t="shared" si="5"/>
        <v>16.759353951874999</v>
      </c>
      <c r="AF40" s="9"/>
      <c r="AG40" s="21">
        <v>5.11169E-2</v>
      </c>
      <c r="AH40" s="21">
        <v>191.001</v>
      </c>
      <c r="AI40" s="21">
        <v>-6.1767599999999999E-2</v>
      </c>
      <c r="AJ40" s="21">
        <v>30</v>
      </c>
      <c r="AK40" s="21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1">
        <v>0.49896200000000002</v>
      </c>
      <c r="AR40" s="21">
        <v>238.13800000000001</v>
      </c>
      <c r="AS40" s="21">
        <v>-5.3482099999999998E-2</v>
      </c>
      <c r="AT40" s="21">
        <v>30</v>
      </c>
      <c r="AU40" s="21">
        <v>0.497498</v>
      </c>
      <c r="AV40">
        <f t="shared" si="8"/>
        <v>33.426312500000002</v>
      </c>
      <c r="AW40">
        <f t="shared" si="9"/>
        <v>16.678459737625001</v>
      </c>
      <c r="AX40" s="9"/>
      <c r="AY40" s="21">
        <v>5.11169E-2</v>
      </c>
      <c r="AZ40" s="21">
        <v>285.25400000000002</v>
      </c>
      <c r="BA40" s="21">
        <v>-6.1798100000000002E-2</v>
      </c>
      <c r="BB40" s="21">
        <v>30</v>
      </c>
      <c r="BC40" s="21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0.493927</v>
      </c>
      <c r="H41" s="21">
        <v>49.658299999999997</v>
      </c>
      <c r="I41" s="21">
        <v>-5.466E-2</v>
      </c>
      <c r="J41" s="21">
        <v>31</v>
      </c>
      <c r="K41" s="21">
        <v>0.49246200000000001</v>
      </c>
      <c r="L41">
        <f t="shared" si="0"/>
        <v>34.162500000000001</v>
      </c>
      <c r="M41">
        <f t="shared" si="1"/>
        <v>16.8737811375</v>
      </c>
      <c r="N41" s="9"/>
      <c r="O41" s="21">
        <v>5.6152300000000002E-2</v>
      </c>
      <c r="P41" s="21">
        <v>96.857699999999994</v>
      </c>
      <c r="Q41" s="21">
        <v>-6.1828599999999997E-2</v>
      </c>
      <c r="R41" s="21">
        <v>31</v>
      </c>
      <c r="S41" s="21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1">
        <v>0.493927</v>
      </c>
      <c r="Z41" s="21">
        <v>143.929</v>
      </c>
      <c r="AA41" s="21">
        <v>-5.42389E-2</v>
      </c>
      <c r="AB41" s="21">
        <v>31</v>
      </c>
      <c r="AC41" s="21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1">
        <v>5.6152300000000002E-2</v>
      </c>
      <c r="AH41" s="21">
        <v>191.012</v>
      </c>
      <c r="AI41" s="21">
        <v>-6.1737100000000003E-2</v>
      </c>
      <c r="AJ41" s="21">
        <v>31</v>
      </c>
      <c r="AK41" s="21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1">
        <v>0.493927</v>
      </c>
      <c r="AR41" s="21">
        <v>238.148</v>
      </c>
      <c r="AS41" s="21">
        <v>-5.4028300000000001E-2</v>
      </c>
      <c r="AT41" s="21">
        <v>31</v>
      </c>
      <c r="AU41" s="21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1">
        <v>5.6152300000000002E-2</v>
      </c>
      <c r="AZ41" s="21">
        <v>285.26400000000001</v>
      </c>
      <c r="BA41" s="21">
        <v>-6.1798100000000002E-2</v>
      </c>
      <c r="BB41" s="21">
        <v>31</v>
      </c>
      <c r="BC41" s="21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0.48889199999999999</v>
      </c>
      <c r="H42" s="21">
        <v>49.668399999999998</v>
      </c>
      <c r="I42" s="21">
        <v>-5.5062899999999998E-2</v>
      </c>
      <c r="J42" s="21">
        <v>32</v>
      </c>
      <c r="K42" s="21">
        <v>0.487427</v>
      </c>
      <c r="L42">
        <f t="shared" si="0"/>
        <v>34.414312499999994</v>
      </c>
      <c r="M42">
        <f t="shared" si="1"/>
        <v>16.824882066749996</v>
      </c>
      <c r="N42" s="9"/>
      <c r="O42" s="21">
        <v>6.1187699999999998E-2</v>
      </c>
      <c r="P42" s="21">
        <v>96.867800000000003</v>
      </c>
      <c r="Q42" s="21">
        <v>-6.1828599999999997E-2</v>
      </c>
      <c r="R42" s="21">
        <v>32</v>
      </c>
      <c r="S42" s="21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1">
        <v>0.48889199999999999</v>
      </c>
      <c r="Z42" s="21">
        <v>143.93899999999999</v>
      </c>
      <c r="AA42" s="21">
        <v>-5.4696700000000001E-2</v>
      </c>
      <c r="AB42" s="21">
        <v>32</v>
      </c>
      <c r="AC42" s="21">
        <v>0.487427</v>
      </c>
      <c r="AD42">
        <f t="shared" si="4"/>
        <v>34.185437499999999</v>
      </c>
      <c r="AE42">
        <f t="shared" si="5"/>
        <v>16.712986910249999</v>
      </c>
      <c r="AF42" s="9"/>
      <c r="AG42" s="21">
        <v>6.1187699999999998E-2</v>
      </c>
      <c r="AH42" s="21">
        <v>191.02199999999999</v>
      </c>
      <c r="AI42" s="21">
        <v>-6.1737100000000003E-2</v>
      </c>
      <c r="AJ42" s="21">
        <v>32</v>
      </c>
      <c r="AK42" s="21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1">
        <v>0.48889199999999999</v>
      </c>
      <c r="AR42" s="21">
        <v>238.15799999999999</v>
      </c>
      <c r="AS42" s="21">
        <v>-5.45227E-2</v>
      </c>
      <c r="AT42" s="21">
        <v>32</v>
      </c>
      <c r="AU42" s="21">
        <v>0.487396</v>
      </c>
      <c r="AV42">
        <f t="shared" si="8"/>
        <v>34.076687499999998</v>
      </c>
      <c r="AW42">
        <f t="shared" si="9"/>
        <v>16.65981990525</v>
      </c>
      <c r="AX42" s="9"/>
      <c r="AY42" s="21">
        <v>6.1187699999999998E-2</v>
      </c>
      <c r="AZ42" s="21">
        <v>285.274</v>
      </c>
      <c r="BA42" s="21">
        <v>-6.1798100000000002E-2</v>
      </c>
      <c r="BB42" s="21">
        <v>32</v>
      </c>
      <c r="BC42" s="21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0.48385600000000001</v>
      </c>
      <c r="H43" s="21">
        <v>49.6785</v>
      </c>
      <c r="I43" s="21">
        <v>-5.54382E-2</v>
      </c>
      <c r="J43" s="21">
        <v>33</v>
      </c>
      <c r="K43" s="21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1">
        <v>6.6223099999999993E-2</v>
      </c>
      <c r="P43" s="21">
        <v>96.877899999999997</v>
      </c>
      <c r="Q43" s="21">
        <v>-6.1798100000000002E-2</v>
      </c>
      <c r="R43" s="21">
        <v>33</v>
      </c>
      <c r="S43" s="21">
        <v>6.5765400000000002E-2</v>
      </c>
      <c r="T43">
        <f t="shared" si="2"/>
        <v>38.6238125</v>
      </c>
      <c r="U43">
        <f t="shared" si="3"/>
        <v>2.5577885975687495</v>
      </c>
      <c r="X43" s="9"/>
      <c r="Y43" s="21">
        <v>0.48385600000000001</v>
      </c>
      <c r="Z43" s="21">
        <v>143.94900000000001</v>
      </c>
      <c r="AA43" s="21">
        <v>-5.5105599999999998E-2</v>
      </c>
      <c r="AB43" s="21">
        <v>33</v>
      </c>
      <c r="AC43" s="21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1">
        <v>6.6223099999999993E-2</v>
      </c>
      <c r="AH43" s="21">
        <v>191.03200000000001</v>
      </c>
      <c r="AI43" s="21">
        <v>-6.1706499999999997E-2</v>
      </c>
      <c r="AJ43" s="21">
        <v>33</v>
      </c>
      <c r="AK43" s="21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1">
        <v>0.48385600000000001</v>
      </c>
      <c r="AR43" s="21">
        <v>238.16800000000001</v>
      </c>
      <c r="AS43" s="21">
        <v>-5.4940799999999998E-2</v>
      </c>
      <c r="AT43" s="21">
        <v>33</v>
      </c>
      <c r="AU43" s="21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1">
        <v>6.6223099999999993E-2</v>
      </c>
      <c r="AZ43" s="21">
        <v>285.28399999999999</v>
      </c>
      <c r="BA43" s="21">
        <v>-6.1767599999999999E-2</v>
      </c>
      <c r="BB43" s="21">
        <v>33</v>
      </c>
      <c r="BC43" s="21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0.478821</v>
      </c>
      <c r="H44" s="21">
        <v>49.688600000000001</v>
      </c>
      <c r="I44" s="21">
        <v>-5.5767799999999999E-2</v>
      </c>
      <c r="J44" s="21">
        <v>34</v>
      </c>
      <c r="K44" s="21">
        <v>0.477356</v>
      </c>
      <c r="L44">
        <f t="shared" si="0"/>
        <v>34.854875</v>
      </c>
      <c r="M44">
        <f t="shared" si="1"/>
        <v>16.689246102374998</v>
      </c>
      <c r="N44" s="9"/>
      <c r="O44" s="21">
        <v>7.1258500000000002E-2</v>
      </c>
      <c r="P44" s="21">
        <v>96.887900000000002</v>
      </c>
      <c r="Q44" s="21">
        <v>-6.1767599999999999E-2</v>
      </c>
      <c r="R44" s="21">
        <v>34</v>
      </c>
      <c r="S44" s="21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1">
        <v>0.478821</v>
      </c>
      <c r="Z44" s="21">
        <v>143.959</v>
      </c>
      <c r="AA44" s="21">
        <v>-5.5453500000000003E-2</v>
      </c>
      <c r="AB44" s="21">
        <v>34</v>
      </c>
      <c r="AC44" s="21">
        <v>0.477356</v>
      </c>
      <c r="AD44">
        <f t="shared" si="4"/>
        <v>34.658437499999998</v>
      </c>
      <c r="AE44">
        <f t="shared" si="5"/>
        <v>16.595187702187499</v>
      </c>
      <c r="AF44" s="9"/>
      <c r="AG44" s="21">
        <v>7.1258500000000002E-2</v>
      </c>
      <c r="AH44" s="21">
        <v>191.042</v>
      </c>
      <c r="AI44" s="21">
        <v>-6.1706499999999997E-2</v>
      </c>
      <c r="AJ44" s="21">
        <v>34</v>
      </c>
      <c r="AK44" s="21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1">
        <v>0.478821</v>
      </c>
      <c r="AR44" s="21">
        <v>238.178</v>
      </c>
      <c r="AS44" s="21">
        <v>-5.5325300000000001E-2</v>
      </c>
      <c r="AT44" s="21">
        <v>34</v>
      </c>
      <c r="AU44" s="21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1">
        <v>7.1258500000000002E-2</v>
      </c>
      <c r="AZ44" s="21">
        <v>285.29500000000002</v>
      </c>
      <c r="BA44" s="21">
        <v>-6.1767599999999999E-2</v>
      </c>
      <c r="BB44" s="21">
        <v>34</v>
      </c>
      <c r="BC44" s="21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0.47378500000000001</v>
      </c>
      <c r="H45" s="21">
        <v>49.698599999999999</v>
      </c>
      <c r="I45" s="21">
        <v>-5.6091299999999997E-2</v>
      </c>
      <c r="J45" s="21">
        <v>35</v>
      </c>
      <c r="K45" s="21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1">
        <v>7.6293899999999998E-2</v>
      </c>
      <c r="P45" s="21">
        <v>96.897999999999996</v>
      </c>
      <c r="Q45" s="21">
        <v>-6.1767599999999999E-2</v>
      </c>
      <c r="R45" s="21">
        <v>35</v>
      </c>
      <c r="S45" s="21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1">
        <v>0.47378500000000001</v>
      </c>
      <c r="Z45" s="21">
        <v>143.96899999999999</v>
      </c>
      <c r="AA45" s="21">
        <v>-5.5770899999999998E-2</v>
      </c>
      <c r="AB45" s="21">
        <v>35</v>
      </c>
      <c r="AC45" s="21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1">
        <v>7.6293899999999998E-2</v>
      </c>
      <c r="AH45" s="21">
        <v>191.05199999999999</v>
      </c>
      <c r="AI45" s="21">
        <v>-6.1706499999999997E-2</v>
      </c>
      <c r="AJ45" s="21">
        <v>35</v>
      </c>
      <c r="AK45" s="21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1">
        <v>0.47378500000000001</v>
      </c>
      <c r="AR45" s="21">
        <v>238.18799999999999</v>
      </c>
      <c r="AS45" s="21">
        <v>-5.5670200000000003E-2</v>
      </c>
      <c r="AT45" s="21">
        <v>35</v>
      </c>
      <c r="AU45" s="21">
        <v>0.47226000000000001</v>
      </c>
      <c r="AV45">
        <f t="shared" si="8"/>
        <v>34.793875</v>
      </c>
      <c r="AW45">
        <f t="shared" si="9"/>
        <v>16.484816066875002</v>
      </c>
      <c r="AX45" s="9"/>
      <c r="AY45" s="21">
        <v>7.6293899999999998E-2</v>
      </c>
      <c r="AZ45" s="21">
        <v>285.30500000000001</v>
      </c>
      <c r="BA45" s="21">
        <v>-6.1737100000000003E-2</v>
      </c>
      <c r="BB45" s="21">
        <v>35</v>
      </c>
      <c r="BC45" s="21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0.46875</v>
      </c>
      <c r="H46" s="21">
        <v>49.7087</v>
      </c>
      <c r="I46" s="21">
        <v>-5.6365999999999999E-2</v>
      </c>
      <c r="J46" s="21">
        <v>36</v>
      </c>
      <c r="K46" s="21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1">
        <v>8.1329299999999993E-2</v>
      </c>
      <c r="P46" s="21">
        <v>96.908100000000005</v>
      </c>
      <c r="Q46" s="21">
        <v>-6.1767599999999999E-2</v>
      </c>
      <c r="R46" s="21">
        <v>36</v>
      </c>
      <c r="S46" s="21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1">
        <v>0.46875</v>
      </c>
      <c r="Z46" s="21">
        <v>143.97900000000001</v>
      </c>
      <c r="AA46" s="21">
        <v>-5.6057700000000002E-2</v>
      </c>
      <c r="AB46" s="21">
        <v>36</v>
      </c>
      <c r="AC46" s="21">
        <v>0.46722399999999997</v>
      </c>
      <c r="AD46">
        <f t="shared" si="4"/>
        <v>35.0360625</v>
      </c>
      <c r="AE46">
        <f t="shared" si="5"/>
        <v>16.423154296875001</v>
      </c>
      <c r="AF46" s="9"/>
      <c r="AG46" s="21">
        <v>8.1329299999999993E-2</v>
      </c>
      <c r="AH46" s="21">
        <v>191.06200000000001</v>
      </c>
      <c r="AI46" s="21">
        <v>-6.1706499999999997E-2</v>
      </c>
      <c r="AJ46" s="21">
        <v>36</v>
      </c>
      <c r="AK46" s="21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1">
        <v>0.46875</v>
      </c>
      <c r="AR46" s="21">
        <v>238.19800000000001</v>
      </c>
      <c r="AS46" s="21">
        <v>-5.5963100000000002E-2</v>
      </c>
      <c r="AT46" s="21">
        <v>36</v>
      </c>
      <c r="AU46" s="21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1">
        <v>8.1329299999999993E-2</v>
      </c>
      <c r="AZ46" s="21">
        <v>285.315</v>
      </c>
      <c r="BA46" s="21">
        <v>-6.1737100000000003E-2</v>
      </c>
      <c r="BB46" s="21">
        <v>36</v>
      </c>
      <c r="BC46" s="21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0.46371499999999999</v>
      </c>
      <c r="H47" s="21">
        <v>49.718800000000002</v>
      </c>
      <c r="I47" s="21">
        <v>-5.6625399999999999E-2</v>
      </c>
      <c r="J47" s="21">
        <v>37</v>
      </c>
      <c r="K47" s="21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1">
        <v>8.6364700000000003E-2</v>
      </c>
      <c r="P47" s="21">
        <v>96.918199999999999</v>
      </c>
      <c r="Q47" s="21">
        <v>-6.1737100000000003E-2</v>
      </c>
      <c r="R47" s="21">
        <v>37</v>
      </c>
      <c r="S47" s="21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1">
        <v>0.46371499999999999</v>
      </c>
      <c r="Z47" s="21">
        <v>143.99</v>
      </c>
      <c r="AA47" s="21">
        <v>-5.6323199999999997E-2</v>
      </c>
      <c r="AB47" s="21">
        <v>37</v>
      </c>
      <c r="AC47" s="21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1">
        <v>8.6364700000000003E-2</v>
      </c>
      <c r="AH47" s="21">
        <v>191.072</v>
      </c>
      <c r="AI47" s="21">
        <v>-6.1706499999999997E-2</v>
      </c>
      <c r="AJ47" s="21">
        <v>37</v>
      </c>
      <c r="AK47" s="21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1">
        <v>0.46371499999999999</v>
      </c>
      <c r="AR47" s="21">
        <v>238.208</v>
      </c>
      <c r="AS47" s="21">
        <v>-5.62531E-2</v>
      </c>
      <c r="AT47" s="21">
        <v>37</v>
      </c>
      <c r="AU47" s="21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1">
        <v>8.6364700000000003E-2</v>
      </c>
      <c r="AZ47" s="21">
        <v>285.32499999999999</v>
      </c>
      <c r="BA47" s="21">
        <v>-6.1737100000000003E-2</v>
      </c>
      <c r="BB47" s="21">
        <v>37</v>
      </c>
      <c r="BC47" s="21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0.458679</v>
      </c>
      <c r="H48" s="21">
        <v>49.7288</v>
      </c>
      <c r="I48" s="21">
        <v>-5.6854200000000001E-2</v>
      </c>
      <c r="J48" s="21">
        <v>38</v>
      </c>
      <c r="K48" s="21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1">
        <v>9.1400099999999998E-2</v>
      </c>
      <c r="P48" s="21">
        <v>96.928200000000004</v>
      </c>
      <c r="Q48" s="21">
        <v>-6.1737100000000003E-2</v>
      </c>
      <c r="R48" s="21">
        <v>38</v>
      </c>
      <c r="S48" s="21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1">
        <v>0.458679</v>
      </c>
      <c r="Z48" s="21">
        <v>144</v>
      </c>
      <c r="AA48" s="21">
        <v>-5.65704E-2</v>
      </c>
      <c r="AB48" s="21">
        <v>38</v>
      </c>
      <c r="AC48" s="21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1">
        <v>9.1400099999999998E-2</v>
      </c>
      <c r="AH48" s="21">
        <v>191.08199999999999</v>
      </c>
      <c r="AI48" s="21">
        <v>-6.1676000000000002E-2</v>
      </c>
      <c r="AJ48" s="21">
        <v>38</v>
      </c>
      <c r="AK48" s="21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1">
        <v>0.458679</v>
      </c>
      <c r="AR48" s="21">
        <v>238.21799999999999</v>
      </c>
      <c r="AS48" s="21">
        <v>-5.6518600000000002E-2</v>
      </c>
      <c r="AT48" s="21">
        <v>38</v>
      </c>
      <c r="AU48" s="21">
        <v>0.457123</v>
      </c>
      <c r="AV48">
        <f t="shared" si="8"/>
        <v>35.324124999999995</v>
      </c>
      <c r="AW48">
        <f t="shared" si="9"/>
        <v>16.202434330874997</v>
      </c>
      <c r="AX48" s="9"/>
      <c r="AY48" s="21">
        <v>9.1400099999999998E-2</v>
      </c>
      <c r="AZ48" s="21">
        <v>285.33499999999998</v>
      </c>
      <c r="BA48" s="21">
        <v>-6.1737100000000003E-2</v>
      </c>
      <c r="BB48" s="21">
        <v>38</v>
      </c>
      <c r="BC48" s="21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0.45364399999999999</v>
      </c>
      <c r="H49" s="21">
        <v>49.738900000000001</v>
      </c>
      <c r="I49" s="21">
        <v>-5.7055700000000001E-2</v>
      </c>
      <c r="J49" s="21">
        <v>39</v>
      </c>
      <c r="K49" s="21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1">
        <v>9.6435499999999993E-2</v>
      </c>
      <c r="P49" s="21">
        <v>96.938299999999998</v>
      </c>
      <c r="Q49" s="21">
        <v>-6.1737100000000003E-2</v>
      </c>
      <c r="R49" s="21">
        <v>39</v>
      </c>
      <c r="S49" s="21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1">
        <v>0.45364399999999999</v>
      </c>
      <c r="Z49" s="21">
        <v>144.01</v>
      </c>
      <c r="AA49" s="21">
        <v>-5.6805399999999999E-2</v>
      </c>
      <c r="AB49" s="21">
        <v>39</v>
      </c>
      <c r="AC49" s="21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1">
        <v>9.6435499999999993E-2</v>
      </c>
      <c r="AH49" s="21">
        <v>191.09200000000001</v>
      </c>
      <c r="AI49" s="21">
        <v>-6.1676000000000002E-2</v>
      </c>
      <c r="AJ49" s="21">
        <v>39</v>
      </c>
      <c r="AK49" s="21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1">
        <v>0.45364399999999999</v>
      </c>
      <c r="AR49" s="21">
        <v>238.22900000000001</v>
      </c>
      <c r="AS49" s="21">
        <v>-5.6756599999999997E-2</v>
      </c>
      <c r="AT49" s="21">
        <v>39</v>
      </c>
      <c r="AU49" s="21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1">
        <v>9.6435499999999993E-2</v>
      </c>
      <c r="AZ49" s="21">
        <v>285.34500000000003</v>
      </c>
      <c r="BA49" s="21">
        <v>-6.1737100000000003E-2</v>
      </c>
      <c r="BB49" s="21">
        <v>39</v>
      </c>
      <c r="BC49" s="21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0.44860800000000001</v>
      </c>
      <c r="H50" s="21">
        <v>49.749000000000002</v>
      </c>
      <c r="I50" s="21">
        <v>-5.7257099999999998E-2</v>
      </c>
      <c r="J50" s="21">
        <v>40</v>
      </c>
      <c r="K50" s="21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1">
        <v>0.10147100000000001</v>
      </c>
      <c r="P50" s="21">
        <v>96.948400000000007</v>
      </c>
      <c r="Q50" s="21">
        <v>-6.1706499999999997E-2</v>
      </c>
      <c r="R50" s="21">
        <v>40</v>
      </c>
      <c r="S50" s="21">
        <v>0.100983</v>
      </c>
      <c r="T50">
        <f t="shared" si="2"/>
        <v>38.566562499999996</v>
      </c>
      <c r="U50">
        <f t="shared" si="3"/>
        <v>3.9133876634374998</v>
      </c>
      <c r="X50" s="9"/>
      <c r="Y50" s="21">
        <v>0.44860800000000001</v>
      </c>
      <c r="Z50" s="21">
        <v>144.02000000000001</v>
      </c>
      <c r="AA50" s="21">
        <v>-5.7019E-2</v>
      </c>
      <c r="AB50" s="21">
        <v>40</v>
      </c>
      <c r="AC50" s="21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1">
        <v>0.10147100000000001</v>
      </c>
      <c r="AH50" s="21">
        <v>191.102</v>
      </c>
      <c r="AI50" s="21">
        <v>-6.1645499999999999E-2</v>
      </c>
      <c r="AJ50" s="21">
        <v>40</v>
      </c>
      <c r="AK50" s="21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1">
        <v>0.44860800000000001</v>
      </c>
      <c r="AR50" s="21">
        <v>238.239</v>
      </c>
      <c r="AS50" s="21">
        <v>-5.6976300000000001E-2</v>
      </c>
      <c r="AT50" s="21">
        <v>40</v>
      </c>
      <c r="AU50" s="21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1">
        <v>0.10147100000000001</v>
      </c>
      <c r="AZ50" s="21">
        <v>285.35500000000002</v>
      </c>
      <c r="BA50" s="21">
        <v>-6.1706499999999997E-2</v>
      </c>
      <c r="BB50" s="21">
        <v>40</v>
      </c>
      <c r="BC50" s="21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0.443573</v>
      </c>
      <c r="H51" s="21">
        <v>49.759099999999997</v>
      </c>
      <c r="I51" s="21">
        <v>-5.7440199999999997E-2</v>
      </c>
      <c r="J51" s="21">
        <v>41</v>
      </c>
      <c r="K51" s="21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1">
        <v>0.106506</v>
      </c>
      <c r="P51" s="21">
        <v>96.958399999999997</v>
      </c>
      <c r="Q51" s="21">
        <v>-6.1676000000000002E-2</v>
      </c>
      <c r="R51" s="21">
        <v>41</v>
      </c>
      <c r="S51" s="21">
        <v>0.105988</v>
      </c>
      <c r="T51">
        <f t="shared" si="2"/>
        <v>38.547499999999999</v>
      </c>
      <c r="U51">
        <f t="shared" si="3"/>
        <v>4.1055400349999998</v>
      </c>
      <c r="X51" s="9"/>
      <c r="Y51" s="21">
        <v>0.443573</v>
      </c>
      <c r="Z51" s="21">
        <v>144.03</v>
      </c>
      <c r="AA51" s="21">
        <v>-5.7214399999999999E-2</v>
      </c>
      <c r="AB51" s="21">
        <v>41</v>
      </c>
      <c r="AC51" s="21">
        <v>0.44204700000000002</v>
      </c>
      <c r="AD51">
        <f t="shared" si="4"/>
        <v>35.759</v>
      </c>
      <c r="AE51">
        <f t="shared" si="5"/>
        <v>15.861726907</v>
      </c>
      <c r="AF51" s="9"/>
      <c r="AG51" s="21">
        <v>0.106506</v>
      </c>
      <c r="AH51" s="21">
        <v>191.11199999999999</v>
      </c>
      <c r="AI51" s="21">
        <v>-6.1645499999999999E-2</v>
      </c>
      <c r="AJ51" s="21">
        <v>41</v>
      </c>
      <c r="AK51" s="21">
        <v>0.106018</v>
      </c>
      <c r="AL51">
        <f t="shared" si="6"/>
        <v>38.528437499999995</v>
      </c>
      <c r="AM51">
        <f t="shared" si="7"/>
        <v>4.1035097643749996</v>
      </c>
      <c r="AP51" s="9"/>
      <c r="AQ51" s="21">
        <v>0.443573</v>
      </c>
      <c r="AR51" s="21">
        <v>238.249</v>
      </c>
      <c r="AS51" s="21">
        <v>-5.7156400000000003E-2</v>
      </c>
      <c r="AT51" s="21">
        <v>41</v>
      </c>
      <c r="AU51" s="21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1">
        <v>0.106506</v>
      </c>
      <c r="AZ51" s="21">
        <v>285.36500000000001</v>
      </c>
      <c r="BA51" s="21">
        <v>-6.1676000000000002E-2</v>
      </c>
      <c r="BB51" s="21">
        <v>41</v>
      </c>
      <c r="BC51" s="21">
        <v>0.106018</v>
      </c>
      <c r="BD51">
        <f t="shared" si="10"/>
        <v>38.547499999999999</v>
      </c>
      <c r="BE51">
        <f t="shared" si="11"/>
        <v>4.1055400349999998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0.43853799999999998</v>
      </c>
      <c r="H52" s="21">
        <v>49.769100000000002</v>
      </c>
      <c r="I52" s="21">
        <v>-5.76172E-2</v>
      </c>
      <c r="J52" s="21">
        <v>42</v>
      </c>
      <c r="K52" s="21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1">
        <v>0.111542</v>
      </c>
      <c r="P52" s="21">
        <v>96.968500000000006</v>
      </c>
      <c r="Q52" s="21">
        <v>-6.1645499999999999E-2</v>
      </c>
      <c r="R52" s="21">
        <v>42</v>
      </c>
      <c r="S52" s="21">
        <v>0.111023</v>
      </c>
      <c r="T52">
        <f t="shared" si="2"/>
        <v>38.528437499999995</v>
      </c>
      <c r="U52">
        <f t="shared" si="3"/>
        <v>4.2975389756249998</v>
      </c>
      <c r="X52" s="9"/>
      <c r="Y52" s="21">
        <v>0.43853799999999998</v>
      </c>
      <c r="Z52" s="21">
        <v>144.04</v>
      </c>
      <c r="AA52" s="21">
        <v>-5.7409700000000001E-2</v>
      </c>
      <c r="AB52" s="21">
        <v>42</v>
      </c>
      <c r="AC52" s="21">
        <v>0.43689</v>
      </c>
      <c r="AD52">
        <f t="shared" si="4"/>
        <v>35.881062499999999</v>
      </c>
      <c r="AE52">
        <f t="shared" si="5"/>
        <v>15.735209386624998</v>
      </c>
      <c r="AF52" s="9"/>
      <c r="AG52" s="21">
        <v>0.111542</v>
      </c>
      <c r="AH52" s="21">
        <v>191.12200000000001</v>
      </c>
      <c r="AI52" s="21">
        <v>-6.1645499999999999E-2</v>
      </c>
      <c r="AJ52" s="21">
        <v>42</v>
      </c>
      <c r="AK52" s="21">
        <v>0.111084</v>
      </c>
      <c r="AL52">
        <f t="shared" si="6"/>
        <v>38.528437499999995</v>
      </c>
      <c r="AM52">
        <f t="shared" si="7"/>
        <v>4.2975389756249998</v>
      </c>
      <c r="AP52" s="9"/>
      <c r="AQ52" s="21">
        <v>0.43853799999999998</v>
      </c>
      <c r="AR52" s="21">
        <v>238.25899999999999</v>
      </c>
      <c r="AS52" s="21">
        <v>-5.7342499999999998E-2</v>
      </c>
      <c r="AT52" s="21">
        <v>42</v>
      </c>
      <c r="AU52" s="21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1">
        <v>0.111542</v>
      </c>
      <c r="AZ52" s="21">
        <v>285.375</v>
      </c>
      <c r="BA52" s="21">
        <v>-6.1645499999999999E-2</v>
      </c>
      <c r="BB52" s="21">
        <v>42</v>
      </c>
      <c r="BC52" s="21">
        <v>0.111023</v>
      </c>
      <c r="BD52">
        <f t="shared" si="10"/>
        <v>38.528437499999995</v>
      </c>
      <c r="BE52">
        <f t="shared" si="11"/>
        <v>4.2975389756249998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0.433502</v>
      </c>
      <c r="H53" s="21">
        <v>49.779200000000003</v>
      </c>
      <c r="I53" s="21">
        <v>-5.7772799999999999E-2</v>
      </c>
      <c r="J53" s="21">
        <v>43</v>
      </c>
      <c r="K53" s="21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1">
        <v>0.116577</v>
      </c>
      <c r="P53" s="21">
        <v>96.9786</v>
      </c>
      <c r="Q53" s="21">
        <v>-6.1645499999999999E-2</v>
      </c>
      <c r="R53" s="21">
        <v>43</v>
      </c>
      <c r="S53" s="21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1">
        <v>0.433502</v>
      </c>
      <c r="Z53" s="21">
        <v>144.05000000000001</v>
      </c>
      <c r="AA53" s="21">
        <v>-5.7577499999999997E-2</v>
      </c>
      <c r="AB53" s="21">
        <v>43</v>
      </c>
      <c r="AC53" s="21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1">
        <v>0.116577</v>
      </c>
      <c r="AH53" s="21">
        <v>191.13200000000001</v>
      </c>
      <c r="AI53" s="21">
        <v>-6.1615000000000003E-2</v>
      </c>
      <c r="AJ53" s="21">
        <v>43</v>
      </c>
      <c r="AK53" s="21">
        <v>0.116089</v>
      </c>
      <c r="AL53">
        <f t="shared" si="6"/>
        <v>38.509374999999999</v>
      </c>
      <c r="AM53">
        <f t="shared" si="7"/>
        <v>4.4893074093749998</v>
      </c>
      <c r="AP53" s="9"/>
      <c r="AQ53" s="21">
        <v>0.433502</v>
      </c>
      <c r="AR53" s="21">
        <v>238.26900000000001</v>
      </c>
      <c r="AS53" s="21">
        <v>-5.7513399999999999E-2</v>
      </c>
      <c r="AT53" s="21">
        <v>43</v>
      </c>
      <c r="AU53" s="21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1">
        <v>0.116577</v>
      </c>
      <c r="AZ53" s="21">
        <v>285.38499999999999</v>
      </c>
      <c r="BA53" s="21">
        <v>-6.1615000000000003E-2</v>
      </c>
      <c r="BB53" s="21">
        <v>43</v>
      </c>
      <c r="BC53" s="21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0.42846699999999999</v>
      </c>
      <c r="H54" s="21">
        <v>49.789299999999997</v>
      </c>
      <c r="I54" s="21">
        <v>-5.7943700000000001E-2</v>
      </c>
      <c r="J54" s="21">
        <v>44</v>
      </c>
      <c r="K54" s="21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1">
        <v>0.121613</v>
      </c>
      <c r="P54" s="21">
        <v>96.988699999999994</v>
      </c>
      <c r="Q54" s="21">
        <v>-6.1645499999999999E-2</v>
      </c>
      <c r="R54" s="21">
        <v>44</v>
      </c>
      <c r="S54" s="21">
        <v>0.121155</v>
      </c>
      <c r="T54">
        <f t="shared" si="2"/>
        <v>38.528437499999995</v>
      </c>
      <c r="U54">
        <f t="shared" si="3"/>
        <v>4.6855588696874992</v>
      </c>
      <c r="X54" s="9"/>
      <c r="Y54" s="21">
        <v>0.42846699999999999</v>
      </c>
      <c r="Z54" s="21">
        <v>144.06</v>
      </c>
      <c r="AA54" s="21">
        <v>-5.7742300000000003E-2</v>
      </c>
      <c r="AB54" s="21">
        <v>44</v>
      </c>
      <c r="AC54" s="21">
        <v>0.42697099999999999</v>
      </c>
      <c r="AD54">
        <f t="shared" si="4"/>
        <v>36.0889375</v>
      </c>
      <c r="AE54">
        <f t="shared" si="5"/>
        <v>15.4629187838125</v>
      </c>
      <c r="AF54" s="9"/>
      <c r="AG54" s="21">
        <v>0.121613</v>
      </c>
      <c r="AH54" s="21">
        <v>191.142</v>
      </c>
      <c r="AI54" s="21">
        <v>-6.1615000000000003E-2</v>
      </c>
      <c r="AJ54" s="21">
        <v>44</v>
      </c>
      <c r="AK54" s="21">
        <v>0.121124</v>
      </c>
      <c r="AL54">
        <f t="shared" si="6"/>
        <v>38.509374999999999</v>
      </c>
      <c r="AM54">
        <f t="shared" si="7"/>
        <v>4.683240621875</v>
      </c>
      <c r="AP54" s="9"/>
      <c r="AQ54" s="21">
        <v>0.42846699999999999</v>
      </c>
      <c r="AR54" s="21">
        <v>238.279</v>
      </c>
      <c r="AS54" s="21">
        <v>-5.76874E-2</v>
      </c>
      <c r="AT54" s="21">
        <v>44</v>
      </c>
      <c r="AU54" s="21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1">
        <v>0.121613</v>
      </c>
      <c r="AZ54" s="21">
        <v>285.39499999999998</v>
      </c>
      <c r="BA54" s="21">
        <v>-6.15845E-2</v>
      </c>
      <c r="BB54" s="21">
        <v>44</v>
      </c>
      <c r="BC54" s="21">
        <v>0.121155</v>
      </c>
      <c r="BD54">
        <f t="shared" si="10"/>
        <v>38.490312500000002</v>
      </c>
      <c r="BE54">
        <f t="shared" si="11"/>
        <v>4.6809223740624999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0.423431</v>
      </c>
      <c r="H55" s="21">
        <v>49.799300000000002</v>
      </c>
      <c r="I55" s="21">
        <v>-5.80841E-2</v>
      </c>
      <c r="J55" s="21">
        <v>45</v>
      </c>
      <c r="K55" s="21">
        <v>0.421875</v>
      </c>
      <c r="L55">
        <f t="shared" si="0"/>
        <v>36.302562499999993</v>
      </c>
      <c r="M55">
        <f t="shared" si="1"/>
        <v>15.371630341937497</v>
      </c>
      <c r="N55" s="9"/>
      <c r="O55" s="21">
        <v>0.12664800000000001</v>
      </c>
      <c r="P55" s="21">
        <v>96.998699999999999</v>
      </c>
      <c r="Q55" s="21">
        <v>-6.1615000000000003E-2</v>
      </c>
      <c r="R55" s="21">
        <v>45</v>
      </c>
      <c r="S55" s="21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1">
        <v>0.423431</v>
      </c>
      <c r="Z55" s="21">
        <v>144.07</v>
      </c>
      <c r="AA55" s="21">
        <v>-5.7897900000000002E-2</v>
      </c>
      <c r="AB55" s="21">
        <v>45</v>
      </c>
      <c r="AC55" s="21">
        <v>0.421906</v>
      </c>
      <c r="AD55">
        <f t="shared" si="4"/>
        <v>36.186187500000003</v>
      </c>
      <c r="AE55">
        <f t="shared" si="5"/>
        <v>15.322353559312502</v>
      </c>
      <c r="AF55" s="9"/>
      <c r="AG55" s="21">
        <v>0.12664800000000001</v>
      </c>
      <c r="AH55" s="21">
        <v>191.15299999999999</v>
      </c>
      <c r="AI55" s="21">
        <v>-6.1615000000000003E-2</v>
      </c>
      <c r="AJ55" s="21">
        <v>45</v>
      </c>
      <c r="AK55" s="21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1">
        <v>0.423431</v>
      </c>
      <c r="AR55" s="21">
        <v>238.28899999999999</v>
      </c>
      <c r="AS55" s="21">
        <v>-5.7849100000000001E-2</v>
      </c>
      <c r="AT55" s="21">
        <v>45</v>
      </c>
      <c r="AU55" s="21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1">
        <v>0.12664800000000001</v>
      </c>
      <c r="AZ55" s="21">
        <v>285.40499999999997</v>
      </c>
      <c r="BA55" s="21">
        <v>-6.1553999999999998E-2</v>
      </c>
      <c r="BB55" s="21">
        <v>45</v>
      </c>
      <c r="BC55" s="21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0.41839599999999999</v>
      </c>
      <c r="H56" s="21">
        <v>49.809399999999997</v>
      </c>
      <c r="I56" s="21">
        <v>-5.82062E-2</v>
      </c>
      <c r="J56" s="21">
        <v>46</v>
      </c>
      <c r="K56" s="21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1">
        <v>0.13168299999999999</v>
      </c>
      <c r="P56" s="21">
        <v>97.008799999999994</v>
      </c>
      <c r="Q56" s="21">
        <v>-6.1615000000000003E-2</v>
      </c>
      <c r="R56" s="21">
        <v>46</v>
      </c>
      <c r="S56" s="21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1">
        <v>0.41839599999999999</v>
      </c>
      <c r="Z56" s="21">
        <v>144.08000000000001</v>
      </c>
      <c r="AA56" s="21">
        <v>-5.8035299999999998E-2</v>
      </c>
      <c r="AB56" s="21">
        <v>46</v>
      </c>
      <c r="AC56" s="21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1">
        <v>0.13168299999999999</v>
      </c>
      <c r="AH56" s="21">
        <v>191.16300000000001</v>
      </c>
      <c r="AI56" s="21">
        <v>-6.1615000000000003E-2</v>
      </c>
      <c r="AJ56" s="21">
        <v>46</v>
      </c>
      <c r="AK56" s="21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1">
        <v>0.41839599999999999</v>
      </c>
      <c r="AR56" s="21">
        <v>238.29900000000001</v>
      </c>
      <c r="AS56" s="21">
        <v>-5.7983399999999997E-2</v>
      </c>
      <c r="AT56" s="21">
        <v>46</v>
      </c>
      <c r="AU56" s="21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1">
        <v>0.13168299999999999</v>
      </c>
      <c r="AZ56" s="21">
        <v>285.41500000000002</v>
      </c>
      <c r="BA56" s="21">
        <v>-6.1523399999999999E-2</v>
      </c>
      <c r="BB56" s="21">
        <v>46</v>
      </c>
      <c r="BC56" s="21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0.41336099999999998</v>
      </c>
      <c r="H57" s="21">
        <v>49.819499999999998</v>
      </c>
      <c r="I57" s="21">
        <v>-5.8319099999999999E-2</v>
      </c>
      <c r="J57" s="21">
        <v>47</v>
      </c>
      <c r="K57" s="21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1">
        <v>0.13671900000000001</v>
      </c>
      <c r="P57" s="21">
        <v>97.018900000000002</v>
      </c>
      <c r="Q57" s="21">
        <v>-6.15845E-2</v>
      </c>
      <c r="R57" s="21">
        <v>47</v>
      </c>
      <c r="S57" s="21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1">
        <v>0.41336099999999998</v>
      </c>
      <c r="Z57" s="21">
        <v>144.09</v>
      </c>
      <c r="AA57" s="21">
        <v>-5.8166500000000003E-2</v>
      </c>
      <c r="AB57" s="21">
        <v>47</v>
      </c>
      <c r="AC57" s="21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1">
        <v>0.13671900000000001</v>
      </c>
      <c r="AH57" s="21">
        <v>191.173</v>
      </c>
      <c r="AI57" s="21">
        <v>-6.15845E-2</v>
      </c>
      <c r="AJ57" s="21">
        <v>47</v>
      </c>
      <c r="AK57" s="21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1">
        <v>0.41336099999999998</v>
      </c>
      <c r="AR57" s="21">
        <v>238.309</v>
      </c>
      <c r="AS57" s="21">
        <v>-5.81085E-2</v>
      </c>
      <c r="AT57" s="21">
        <v>47</v>
      </c>
      <c r="AU57" s="21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1">
        <v>0.13671900000000001</v>
      </c>
      <c r="AZ57" s="21">
        <v>285.42500000000001</v>
      </c>
      <c r="BA57" s="21">
        <v>-6.1523399999999999E-2</v>
      </c>
      <c r="BB57" s="21">
        <v>47</v>
      </c>
      <c r="BC57" s="21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0.40832499999999999</v>
      </c>
      <c r="H58" s="21">
        <v>49.829500000000003</v>
      </c>
      <c r="I58" s="21">
        <v>-5.8429000000000002E-2</v>
      </c>
      <c r="J58" s="21">
        <v>48</v>
      </c>
      <c r="K58" s="21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1">
        <v>0.14175399999999999</v>
      </c>
      <c r="P58" s="21">
        <v>97.028899999999993</v>
      </c>
      <c r="Q58" s="21">
        <v>-6.1553999999999998E-2</v>
      </c>
      <c r="R58" s="21">
        <v>48</v>
      </c>
      <c r="S58" s="21">
        <v>0.141266</v>
      </c>
      <c r="T58">
        <f t="shared" si="2"/>
        <v>38.471249999999998</v>
      </c>
      <c r="U58">
        <f t="shared" si="3"/>
        <v>5.4534535724999991</v>
      </c>
      <c r="X58" s="9"/>
      <c r="Y58" s="21">
        <v>0.40832499999999999</v>
      </c>
      <c r="Z58" s="21">
        <v>144.1</v>
      </c>
      <c r="AA58" s="21">
        <v>-5.83008E-2</v>
      </c>
      <c r="AB58" s="21">
        <v>48</v>
      </c>
      <c r="AC58" s="21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1">
        <v>0.14175399999999999</v>
      </c>
      <c r="AH58" s="21">
        <v>191.18299999999999</v>
      </c>
      <c r="AI58" s="21">
        <v>-6.1553999999999998E-2</v>
      </c>
      <c r="AJ58" s="21">
        <v>48</v>
      </c>
      <c r="AK58" s="21">
        <v>0.141296</v>
      </c>
      <c r="AL58">
        <f t="shared" si="6"/>
        <v>38.471249999999998</v>
      </c>
      <c r="AM58">
        <f t="shared" si="7"/>
        <v>5.4534535724999991</v>
      </c>
      <c r="AP58" s="9"/>
      <c r="AQ58" s="21">
        <v>0.40832499999999999</v>
      </c>
      <c r="AR58" s="21">
        <v>238.31899999999999</v>
      </c>
      <c r="AS58" s="21">
        <v>-5.82581E-2</v>
      </c>
      <c r="AT58" s="21">
        <v>48</v>
      </c>
      <c r="AU58" s="21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1">
        <v>0.14175399999999999</v>
      </c>
      <c r="AZ58" s="21">
        <v>285.43599999999998</v>
      </c>
      <c r="BA58" s="21">
        <v>-6.1553999999999998E-2</v>
      </c>
      <c r="BB58" s="21">
        <v>48</v>
      </c>
      <c r="BC58" s="21">
        <v>0.141266</v>
      </c>
      <c r="BD58">
        <f t="shared" si="10"/>
        <v>38.471249999999998</v>
      </c>
      <c r="BE58">
        <f t="shared" si="11"/>
        <v>5.4534535724999991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0.40328999999999998</v>
      </c>
      <c r="H59" s="21">
        <v>49.839599999999997</v>
      </c>
      <c r="I59" s="21">
        <v>-5.8550999999999999E-2</v>
      </c>
      <c r="J59" s="21">
        <v>49</v>
      </c>
      <c r="K59" s="21">
        <v>0.40176400000000001</v>
      </c>
      <c r="L59">
        <f t="shared" si="0"/>
        <v>36.594374999999999</v>
      </c>
      <c r="M59">
        <f t="shared" si="1"/>
        <v>14.75814549375</v>
      </c>
      <c r="N59" s="9"/>
      <c r="O59" s="21">
        <v>0.14679</v>
      </c>
      <c r="P59" s="21">
        <v>97.039000000000001</v>
      </c>
      <c r="Q59" s="21">
        <v>-6.1553999999999998E-2</v>
      </c>
      <c r="R59" s="21">
        <v>49</v>
      </c>
      <c r="S59" s="21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1">
        <v>0.40328999999999998</v>
      </c>
      <c r="Z59" s="21">
        <v>144.11000000000001</v>
      </c>
      <c r="AA59" s="21">
        <v>-5.8431999999999998E-2</v>
      </c>
      <c r="AB59" s="21">
        <v>49</v>
      </c>
      <c r="AC59" s="21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1">
        <v>0.14679</v>
      </c>
      <c r="AH59" s="21">
        <v>191.19300000000001</v>
      </c>
      <c r="AI59" s="21">
        <v>-6.1553999999999998E-2</v>
      </c>
      <c r="AJ59" s="21">
        <v>49</v>
      </c>
      <c r="AK59" s="21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1">
        <v>0.40328999999999998</v>
      </c>
      <c r="AR59" s="21">
        <v>238.32900000000001</v>
      </c>
      <c r="AS59" s="21">
        <v>-5.8407599999999997E-2</v>
      </c>
      <c r="AT59" s="21">
        <v>49</v>
      </c>
      <c r="AU59" s="21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1">
        <v>0.14679</v>
      </c>
      <c r="AZ59" s="21">
        <v>285.44600000000003</v>
      </c>
      <c r="BA59" s="21">
        <v>-6.1553999999999998E-2</v>
      </c>
      <c r="BB59" s="21">
        <v>49</v>
      </c>
      <c r="BC59" s="21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0.398254</v>
      </c>
      <c r="H60" s="21">
        <v>49.849699999999999</v>
      </c>
      <c r="I60" s="21">
        <v>-5.8660900000000002E-2</v>
      </c>
      <c r="J60" s="21">
        <v>50</v>
      </c>
      <c r="K60" s="21">
        <v>0.396698</v>
      </c>
      <c r="L60">
        <f t="shared" si="0"/>
        <v>36.663062499999995</v>
      </c>
      <c r="M60">
        <f t="shared" si="1"/>
        <v>14.601211292874998</v>
      </c>
      <c r="N60" s="9"/>
      <c r="O60" s="21">
        <v>0.15182499999999999</v>
      </c>
      <c r="P60" s="21">
        <v>97.049099999999996</v>
      </c>
      <c r="Q60" s="21">
        <v>-6.1523399999999999E-2</v>
      </c>
      <c r="R60" s="21">
        <v>50</v>
      </c>
      <c r="S60" s="21">
        <v>0.151306</v>
      </c>
      <c r="T60">
        <f t="shared" si="2"/>
        <v>38.452124999999995</v>
      </c>
      <c r="U60">
        <f t="shared" si="3"/>
        <v>5.8379938781249985</v>
      </c>
      <c r="X60" s="9"/>
      <c r="Y60" s="21">
        <v>0.398254</v>
      </c>
      <c r="Z60" s="21">
        <v>144.12</v>
      </c>
      <c r="AA60" s="21">
        <v>-5.8544899999999997E-2</v>
      </c>
      <c r="AB60" s="21">
        <v>50</v>
      </c>
      <c r="AC60" s="21">
        <v>0.396698</v>
      </c>
      <c r="AD60">
        <f t="shared" si="4"/>
        <v>36.59056249999999</v>
      </c>
      <c r="AE60">
        <f t="shared" si="5"/>
        <v>14.572337877874997</v>
      </c>
      <c r="AF60" s="9"/>
      <c r="AG60" s="21">
        <v>0.15182499999999999</v>
      </c>
      <c r="AH60" s="21">
        <v>191.203</v>
      </c>
      <c r="AI60" s="21">
        <v>-6.1523399999999999E-2</v>
      </c>
      <c r="AJ60" s="21">
        <v>50</v>
      </c>
      <c r="AK60" s="21">
        <v>0.151367</v>
      </c>
      <c r="AL60">
        <f t="shared" si="6"/>
        <v>38.452124999999995</v>
      </c>
      <c r="AM60">
        <f t="shared" si="7"/>
        <v>5.8379938781249985</v>
      </c>
      <c r="AP60" s="9"/>
      <c r="AQ60" s="21">
        <v>0.398254</v>
      </c>
      <c r="AR60" s="21">
        <v>238.339</v>
      </c>
      <c r="AS60" s="21">
        <v>-5.85327E-2</v>
      </c>
      <c r="AT60" s="21">
        <v>50</v>
      </c>
      <c r="AU60" s="21">
        <v>0.396698</v>
      </c>
      <c r="AV60">
        <f t="shared" si="8"/>
        <v>36.582937499999993</v>
      </c>
      <c r="AW60">
        <f t="shared" si="9"/>
        <v>14.569301191124998</v>
      </c>
      <c r="AX60" s="9"/>
      <c r="AY60" s="21">
        <v>0.15182499999999999</v>
      </c>
      <c r="AZ60" s="21">
        <v>285.45600000000002</v>
      </c>
      <c r="BA60" s="21">
        <v>-6.1553999999999998E-2</v>
      </c>
      <c r="BB60" s="21">
        <v>50</v>
      </c>
      <c r="BC60" s="21">
        <v>0.151337</v>
      </c>
      <c r="BD60">
        <f t="shared" si="10"/>
        <v>38.471249999999998</v>
      </c>
      <c r="BE60">
        <f t="shared" si="11"/>
        <v>5.8408975312499996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0.39321899999999999</v>
      </c>
      <c r="H61" s="21">
        <v>49.8598</v>
      </c>
      <c r="I61" s="21">
        <v>-5.8752400000000003E-2</v>
      </c>
      <c r="J61" s="21">
        <v>51</v>
      </c>
      <c r="K61" s="21">
        <v>0.39172400000000002</v>
      </c>
      <c r="L61">
        <f t="shared" si="0"/>
        <v>36.72025</v>
      </c>
      <c r="M61">
        <f t="shared" si="1"/>
        <v>14.439099984749999</v>
      </c>
      <c r="N61" s="9"/>
      <c r="O61" s="21">
        <v>0.15686</v>
      </c>
      <c r="P61" s="21">
        <v>97.059100000000001</v>
      </c>
      <c r="Q61" s="21">
        <v>-6.1553999999999998E-2</v>
      </c>
      <c r="R61" s="21">
        <v>51</v>
      </c>
      <c r="S61" s="21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1">
        <v>0.39321899999999999</v>
      </c>
      <c r="Z61" s="21">
        <v>144.131</v>
      </c>
      <c r="AA61" s="21">
        <v>-5.8666999999999997E-2</v>
      </c>
      <c r="AB61" s="21">
        <v>51</v>
      </c>
      <c r="AC61" s="21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1">
        <v>0.15686</v>
      </c>
      <c r="AH61" s="21">
        <v>191.21299999999999</v>
      </c>
      <c r="AI61" s="21">
        <v>-6.1492900000000003E-2</v>
      </c>
      <c r="AJ61" s="21">
        <v>51</v>
      </c>
      <c r="AK61" s="21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1">
        <v>0.39321899999999999</v>
      </c>
      <c r="AR61" s="21">
        <v>238.34899999999999</v>
      </c>
      <c r="AS61" s="21">
        <v>-5.8651700000000001E-2</v>
      </c>
      <c r="AT61" s="21">
        <v>51</v>
      </c>
      <c r="AU61" s="21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1">
        <v>0.15686</v>
      </c>
      <c r="AZ61" s="21">
        <v>285.46600000000001</v>
      </c>
      <c r="BA61" s="21">
        <v>-6.1523399999999999E-2</v>
      </c>
      <c r="BB61" s="21">
        <v>51</v>
      </c>
      <c r="BC61" s="21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0.38818399999999997</v>
      </c>
      <c r="H62" s="21">
        <v>49.869799999999998</v>
      </c>
      <c r="I62" s="21">
        <v>-5.8844E-2</v>
      </c>
      <c r="J62" s="21">
        <v>52</v>
      </c>
      <c r="K62" s="21">
        <v>0.386627</v>
      </c>
      <c r="L62">
        <f t="shared" si="0"/>
        <v>36.777499999999996</v>
      </c>
      <c r="M62">
        <f t="shared" si="1"/>
        <v>14.276437059999997</v>
      </c>
      <c r="N62" s="9"/>
      <c r="O62" s="21">
        <v>0.16189600000000001</v>
      </c>
      <c r="P62" s="21">
        <v>97.069199999999995</v>
      </c>
      <c r="Q62" s="21">
        <v>-6.1523399999999999E-2</v>
      </c>
      <c r="R62" s="21">
        <v>52</v>
      </c>
      <c r="S62" s="21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1">
        <v>0.38818399999999997</v>
      </c>
      <c r="Z62" s="21">
        <v>144.14099999999999</v>
      </c>
      <c r="AA62" s="21">
        <v>-5.8783000000000002E-2</v>
      </c>
      <c r="AB62" s="21">
        <v>52</v>
      </c>
      <c r="AC62" s="21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1">
        <v>0.16189600000000001</v>
      </c>
      <c r="AH62" s="21">
        <v>191.22300000000001</v>
      </c>
      <c r="AI62" s="21">
        <v>-6.14624E-2</v>
      </c>
      <c r="AJ62" s="21">
        <v>52</v>
      </c>
      <c r="AK62" s="21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1">
        <v>0.38818399999999997</v>
      </c>
      <c r="AR62" s="21">
        <v>238.35900000000001</v>
      </c>
      <c r="AS62" s="21">
        <v>-5.87646E-2</v>
      </c>
      <c r="AT62" s="21">
        <v>52</v>
      </c>
      <c r="AU62" s="21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1">
        <v>0.16189600000000001</v>
      </c>
      <c r="AZ62" s="21">
        <v>285.476</v>
      </c>
      <c r="BA62" s="21">
        <v>-6.1492900000000003E-2</v>
      </c>
      <c r="BB62" s="21">
        <v>52</v>
      </c>
      <c r="BC62" s="21">
        <v>0.161438</v>
      </c>
      <c r="BD62">
        <f t="shared" si="10"/>
        <v>38.433062499999998</v>
      </c>
      <c r="BE62">
        <f t="shared" si="11"/>
        <v>6.2221590865000005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0.38314799999999999</v>
      </c>
      <c r="H63" s="21">
        <v>49.879899999999999</v>
      </c>
      <c r="I63" s="21">
        <v>-5.8944700000000003E-2</v>
      </c>
      <c r="J63" s="21">
        <v>53</v>
      </c>
      <c r="K63" s="21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1">
        <v>0.166931</v>
      </c>
      <c r="P63" s="21">
        <v>97.079300000000003</v>
      </c>
      <c r="Q63" s="21">
        <v>-6.1492900000000003E-2</v>
      </c>
      <c r="R63" s="21">
        <v>53</v>
      </c>
      <c r="S63" s="21">
        <v>0.166412</v>
      </c>
      <c r="T63">
        <f t="shared" si="2"/>
        <v>38.433062499999998</v>
      </c>
      <c r="U63">
        <f t="shared" si="3"/>
        <v>6.4156695561874999</v>
      </c>
      <c r="X63" s="9"/>
      <c r="Y63" s="21">
        <v>0.38314799999999999</v>
      </c>
      <c r="Z63" s="21">
        <v>144.15100000000001</v>
      </c>
      <c r="AA63" s="21">
        <v>-5.8902000000000003E-2</v>
      </c>
      <c r="AB63" s="21">
        <v>53</v>
      </c>
      <c r="AC63" s="21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1">
        <v>0.166931</v>
      </c>
      <c r="AH63" s="21">
        <v>191.233</v>
      </c>
      <c r="AI63" s="21">
        <v>-6.14624E-2</v>
      </c>
      <c r="AJ63" s="21">
        <v>53</v>
      </c>
      <c r="AK63" s="21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1">
        <v>0.38314799999999999</v>
      </c>
      <c r="AR63" s="21">
        <v>238.37</v>
      </c>
      <c r="AS63" s="21">
        <v>-5.8846999999999997E-2</v>
      </c>
      <c r="AT63" s="21">
        <v>53</v>
      </c>
      <c r="AU63" s="21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1">
        <v>0.166931</v>
      </c>
      <c r="AZ63" s="21">
        <v>285.48599999999999</v>
      </c>
      <c r="BA63" s="21">
        <v>-6.14624E-2</v>
      </c>
      <c r="BB63" s="21">
        <v>53</v>
      </c>
      <c r="BC63" s="21">
        <v>0.166382</v>
      </c>
      <c r="BD63">
        <f t="shared" si="10"/>
        <v>38.413999999999994</v>
      </c>
      <c r="BE63">
        <f t="shared" si="11"/>
        <v>6.4124874339999991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0.37811299999999998</v>
      </c>
      <c r="H64" s="21">
        <v>49.89</v>
      </c>
      <c r="I64" s="21">
        <v>-5.9048499999999997E-2</v>
      </c>
      <c r="J64" s="21">
        <v>54</v>
      </c>
      <c r="K64" s="21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1">
        <v>0.17196700000000001</v>
      </c>
      <c r="P64" s="21">
        <v>97.089399999999998</v>
      </c>
      <c r="Q64" s="21">
        <v>-6.14624E-2</v>
      </c>
      <c r="R64" s="21">
        <v>54</v>
      </c>
      <c r="S64" s="21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1">
        <v>0.37811299999999998</v>
      </c>
      <c r="Z64" s="21">
        <v>144.161</v>
      </c>
      <c r="AA64" s="21">
        <v>-5.9020999999999997E-2</v>
      </c>
      <c r="AB64" s="21">
        <v>54</v>
      </c>
      <c r="AC64" s="21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1">
        <v>0.17196700000000001</v>
      </c>
      <c r="AH64" s="21">
        <v>191.24299999999999</v>
      </c>
      <c r="AI64" s="21">
        <v>-6.1431899999999998E-2</v>
      </c>
      <c r="AJ64" s="21">
        <v>54</v>
      </c>
      <c r="AK64" s="21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1">
        <v>0.37811299999999998</v>
      </c>
      <c r="AR64" s="21">
        <v>238.38</v>
      </c>
      <c r="AS64" s="21">
        <v>-5.8932499999999999E-2</v>
      </c>
      <c r="AT64" s="21">
        <v>54</v>
      </c>
      <c r="AU64" s="21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1">
        <v>0.17196700000000001</v>
      </c>
      <c r="AZ64" s="21">
        <v>285.49599999999998</v>
      </c>
      <c r="BA64" s="21">
        <v>-6.1431899999999998E-2</v>
      </c>
      <c r="BB64" s="21">
        <v>54</v>
      </c>
      <c r="BC64" s="21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0.37307699999999999</v>
      </c>
      <c r="H65" s="21">
        <v>49.9</v>
      </c>
      <c r="I65" s="21">
        <v>-5.9133900000000003E-2</v>
      </c>
      <c r="J65" s="21">
        <v>55</v>
      </c>
      <c r="K65" s="21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1">
        <v>0.17700199999999999</v>
      </c>
      <c r="P65" s="21">
        <v>97.099400000000003</v>
      </c>
      <c r="Q65" s="21">
        <v>-6.1431899999999998E-2</v>
      </c>
      <c r="R65" s="21">
        <v>55</v>
      </c>
      <c r="S65" s="21">
        <v>0.176483</v>
      </c>
      <c r="T65">
        <f t="shared" si="2"/>
        <v>38.394937499999997</v>
      </c>
      <c r="U65">
        <f t="shared" si="3"/>
        <v>6.7959807273749995</v>
      </c>
      <c r="X65" s="9"/>
      <c r="Y65" s="21">
        <v>0.37307699999999999</v>
      </c>
      <c r="Z65" s="21">
        <v>144.17099999999999</v>
      </c>
      <c r="AA65" s="21">
        <v>-5.9124799999999998E-2</v>
      </c>
      <c r="AB65" s="21">
        <v>55</v>
      </c>
      <c r="AC65" s="21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1">
        <v>0.17700199999999999</v>
      </c>
      <c r="AH65" s="21">
        <v>191.25299999999999</v>
      </c>
      <c r="AI65" s="21">
        <v>-6.1370800000000003E-2</v>
      </c>
      <c r="AJ65" s="21">
        <v>55</v>
      </c>
      <c r="AK65" s="21">
        <v>0.176483</v>
      </c>
      <c r="AL65">
        <f t="shared" si="6"/>
        <v>38.356750000000005</v>
      </c>
      <c r="AM65">
        <f t="shared" si="7"/>
        <v>6.7892214635000006</v>
      </c>
      <c r="AP65" s="9"/>
      <c r="AQ65" s="21">
        <v>0.37307699999999999</v>
      </c>
      <c r="AR65" s="21">
        <v>238.39</v>
      </c>
      <c r="AS65" s="21">
        <v>-5.9030199999999998E-2</v>
      </c>
      <c r="AT65" s="21">
        <v>55</v>
      </c>
      <c r="AU65" s="21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1">
        <v>0.17700199999999999</v>
      </c>
      <c r="AZ65" s="21">
        <v>285.50599999999997</v>
      </c>
      <c r="BA65" s="21">
        <v>-6.1431899999999998E-2</v>
      </c>
      <c r="BB65" s="21">
        <v>55</v>
      </c>
      <c r="BC65" s="21">
        <v>0.176453</v>
      </c>
      <c r="BD65">
        <f t="shared" si="10"/>
        <v>38.394937499999997</v>
      </c>
      <c r="BE65">
        <f t="shared" si="11"/>
        <v>6.7959807273749995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0.36804199999999998</v>
      </c>
      <c r="H66" s="21">
        <v>49.9101</v>
      </c>
      <c r="I66" s="21">
        <v>-5.9243799999999999E-2</v>
      </c>
      <c r="J66" s="21">
        <v>56</v>
      </c>
      <c r="K66" s="21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1">
        <v>0.182037</v>
      </c>
      <c r="P66" s="21">
        <v>97.109499999999997</v>
      </c>
      <c r="Q66" s="21">
        <v>-6.1401400000000002E-2</v>
      </c>
      <c r="R66" s="21">
        <v>56</v>
      </c>
      <c r="S66" s="21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1">
        <v>0.36804199999999998</v>
      </c>
      <c r="Z66" s="21">
        <v>144.18100000000001</v>
      </c>
      <c r="AA66" s="21">
        <v>-5.9219399999999998E-2</v>
      </c>
      <c r="AB66" s="21">
        <v>56</v>
      </c>
      <c r="AC66" s="21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1">
        <v>0.182037</v>
      </c>
      <c r="AH66" s="21">
        <v>191.26300000000001</v>
      </c>
      <c r="AI66" s="21">
        <v>-6.1309799999999998E-2</v>
      </c>
      <c r="AJ66" s="21">
        <v>56</v>
      </c>
      <c r="AK66" s="21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1">
        <v>0.36804199999999998</v>
      </c>
      <c r="AR66" s="21">
        <v>238.4</v>
      </c>
      <c r="AS66" s="21">
        <v>-5.9143099999999997E-2</v>
      </c>
      <c r="AT66" s="21">
        <v>56</v>
      </c>
      <c r="AU66" s="21">
        <v>0.366425</v>
      </c>
      <c r="AV66">
        <f t="shared" si="8"/>
        <v>36.964437499999995</v>
      </c>
      <c r="AW66">
        <f t="shared" si="9"/>
        <v>13.604465506374998</v>
      </c>
      <c r="AX66" s="9"/>
      <c r="AY66" s="21">
        <v>0.182037</v>
      </c>
      <c r="AZ66" s="21">
        <v>285.51600000000002</v>
      </c>
      <c r="BA66" s="21">
        <v>-6.1401400000000002E-2</v>
      </c>
      <c r="BB66" s="21">
        <v>56</v>
      </c>
      <c r="BC66" s="21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0.36300700000000002</v>
      </c>
      <c r="H67" s="21">
        <v>49.920200000000001</v>
      </c>
      <c r="I67" s="21">
        <v>-5.9359700000000001E-2</v>
      </c>
      <c r="J67" s="21">
        <v>57</v>
      </c>
      <c r="K67" s="21">
        <v>0.361481</v>
      </c>
      <c r="L67">
        <f t="shared" si="0"/>
        <v>37.099812499999999</v>
      </c>
      <c r="M67">
        <f t="shared" si="1"/>
        <v>13.4674916361875</v>
      </c>
      <c r="N67" s="9"/>
      <c r="O67" s="21">
        <v>0.18707299999999999</v>
      </c>
      <c r="P67" s="21">
        <v>97.119600000000005</v>
      </c>
      <c r="Q67" s="21">
        <v>-6.13403E-2</v>
      </c>
      <c r="R67" s="21">
        <v>57</v>
      </c>
      <c r="S67" s="21">
        <v>0.186554</v>
      </c>
      <c r="T67">
        <f t="shared" si="2"/>
        <v>38.337687499999994</v>
      </c>
      <c r="U67">
        <f t="shared" si="3"/>
        <v>7.1719462136874981</v>
      </c>
      <c r="X67" s="9"/>
      <c r="Y67" s="21">
        <v>0.36300700000000002</v>
      </c>
      <c r="Z67" s="21">
        <v>144.191</v>
      </c>
      <c r="AA67" s="21">
        <v>-5.9301800000000002E-2</v>
      </c>
      <c r="AB67" s="21">
        <v>57</v>
      </c>
      <c r="AC67" s="21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1">
        <v>0.18707299999999999</v>
      </c>
      <c r="AH67" s="21">
        <v>191.273</v>
      </c>
      <c r="AI67" s="21">
        <v>-6.1279300000000002E-2</v>
      </c>
      <c r="AJ67" s="21">
        <v>57</v>
      </c>
      <c r="AK67" s="21">
        <v>0.18652299999999999</v>
      </c>
      <c r="AL67">
        <f t="shared" si="6"/>
        <v>38.2995625</v>
      </c>
      <c r="AM67">
        <f t="shared" si="7"/>
        <v>7.1648140555624993</v>
      </c>
      <c r="AP67" s="9"/>
      <c r="AQ67" s="21">
        <v>0.36300700000000002</v>
      </c>
      <c r="AR67" s="21">
        <v>238.41</v>
      </c>
      <c r="AS67" s="21">
        <v>-5.9252899999999997E-2</v>
      </c>
      <c r="AT67" s="21">
        <v>57</v>
      </c>
      <c r="AU67" s="21">
        <v>0.36138900000000002</v>
      </c>
      <c r="AV67">
        <f t="shared" si="8"/>
        <v>37.0330625</v>
      </c>
      <c r="AW67">
        <f t="shared" si="9"/>
        <v>13.443260918937501</v>
      </c>
      <c r="AX67" s="9"/>
      <c r="AY67" s="21">
        <v>0.18707299999999999</v>
      </c>
      <c r="AZ67" s="21">
        <v>285.52600000000001</v>
      </c>
      <c r="BA67" s="21">
        <v>-6.1370800000000003E-2</v>
      </c>
      <c r="BB67" s="21">
        <v>57</v>
      </c>
      <c r="BC67" s="21">
        <v>0.186584</v>
      </c>
      <c r="BD67">
        <f t="shared" si="10"/>
        <v>38.356750000000005</v>
      </c>
      <c r="BE67">
        <f t="shared" si="11"/>
        <v>7.1755122927500006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0.35797099999999998</v>
      </c>
      <c r="H68" s="21">
        <v>49.930300000000003</v>
      </c>
      <c r="I68" s="21">
        <v>-5.9472700000000003E-2</v>
      </c>
      <c r="J68" s="21">
        <v>58</v>
      </c>
      <c r="K68" s="21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1">
        <v>0.192108</v>
      </c>
      <c r="P68" s="21">
        <v>97.129599999999996</v>
      </c>
      <c r="Q68" s="21">
        <v>-6.13403E-2</v>
      </c>
      <c r="R68" s="21">
        <v>58</v>
      </c>
      <c r="S68" s="21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1">
        <v>0.35797099999999998</v>
      </c>
      <c r="Z68" s="21">
        <v>144.20099999999999</v>
      </c>
      <c r="AA68" s="21">
        <v>-5.9399399999999998E-2</v>
      </c>
      <c r="AB68" s="21">
        <v>58</v>
      </c>
      <c r="AC68" s="21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1">
        <v>0.192108</v>
      </c>
      <c r="AH68" s="21">
        <v>191.28299999999999</v>
      </c>
      <c r="AI68" s="21">
        <v>-6.1248799999999999E-2</v>
      </c>
      <c r="AJ68" s="21">
        <v>58</v>
      </c>
      <c r="AK68" s="21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1">
        <v>0.35797099999999998</v>
      </c>
      <c r="AR68" s="21">
        <v>238.42</v>
      </c>
      <c r="AS68" s="21">
        <v>-5.9365800000000003E-2</v>
      </c>
      <c r="AT68" s="21">
        <v>58</v>
      </c>
      <c r="AU68" s="21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1">
        <v>0.192108</v>
      </c>
      <c r="AZ68" s="21">
        <v>285.536</v>
      </c>
      <c r="BA68" s="21">
        <v>-6.13403E-2</v>
      </c>
      <c r="BB68" s="21">
        <v>58</v>
      </c>
      <c r="BC68" s="21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0.35293600000000003</v>
      </c>
      <c r="H69" s="21">
        <v>49.940300000000001</v>
      </c>
      <c r="I69" s="21">
        <v>-5.9573399999999999E-2</v>
      </c>
      <c r="J69" s="21">
        <v>59</v>
      </c>
      <c r="K69" s="21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1">
        <v>0.19714400000000001</v>
      </c>
      <c r="P69" s="21">
        <v>97.139700000000005</v>
      </c>
      <c r="Q69" s="21">
        <v>-6.1309799999999998E-2</v>
      </c>
      <c r="R69" s="21">
        <v>59</v>
      </c>
      <c r="S69" s="21">
        <v>0.196686</v>
      </c>
      <c r="T69">
        <f t="shared" si="2"/>
        <v>38.318624999999997</v>
      </c>
      <c r="U69">
        <f t="shared" si="3"/>
        <v>7.5542870070000001</v>
      </c>
      <c r="X69" s="9"/>
      <c r="Y69" s="21">
        <v>0.35293600000000003</v>
      </c>
      <c r="Z69" s="21">
        <v>144.21100000000001</v>
      </c>
      <c r="AA69" s="21">
        <v>-5.95001E-2</v>
      </c>
      <c r="AB69" s="21">
        <v>59</v>
      </c>
      <c r="AC69" s="21">
        <v>0.35141</v>
      </c>
      <c r="AD69">
        <f t="shared" si="4"/>
        <v>37.187562499999999</v>
      </c>
      <c r="AE69">
        <f t="shared" si="5"/>
        <v>13.1248295585</v>
      </c>
      <c r="AF69" s="9"/>
      <c r="AG69" s="21">
        <v>0.19714400000000001</v>
      </c>
      <c r="AH69" s="21">
        <v>191.29400000000001</v>
      </c>
      <c r="AI69" s="21">
        <v>-6.1218300000000003E-2</v>
      </c>
      <c r="AJ69" s="21">
        <v>59</v>
      </c>
      <c r="AK69" s="21">
        <v>0.19674700000000001</v>
      </c>
      <c r="AL69">
        <f t="shared" si="6"/>
        <v>38.2614375</v>
      </c>
      <c r="AM69">
        <f t="shared" si="7"/>
        <v>7.5430128345000007</v>
      </c>
      <c r="AP69" s="9"/>
      <c r="AQ69" s="21">
        <v>0.35293600000000003</v>
      </c>
      <c r="AR69" s="21">
        <v>238.43</v>
      </c>
      <c r="AS69" s="21">
        <v>-5.9460399999999997E-2</v>
      </c>
      <c r="AT69" s="21">
        <v>59</v>
      </c>
      <c r="AU69" s="21">
        <v>0.35141</v>
      </c>
      <c r="AV69">
        <f t="shared" si="8"/>
        <v>37.162749999999996</v>
      </c>
      <c r="AW69">
        <f t="shared" si="9"/>
        <v>13.116072334</v>
      </c>
      <c r="AX69" s="9"/>
      <c r="AY69" s="21">
        <v>0.19714400000000001</v>
      </c>
      <c r="AZ69" s="21">
        <v>285.54599999999999</v>
      </c>
      <c r="BA69" s="21">
        <v>-6.1309799999999998E-2</v>
      </c>
      <c r="BB69" s="21">
        <v>59</v>
      </c>
      <c r="BC69" s="21">
        <v>0.196655</v>
      </c>
      <c r="BD69">
        <f t="shared" si="10"/>
        <v>38.318624999999997</v>
      </c>
      <c r="BE69">
        <f t="shared" si="11"/>
        <v>7.5542870070000001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0.34789999999999999</v>
      </c>
      <c r="H70" s="21">
        <v>49.950400000000002</v>
      </c>
      <c r="I70" s="21">
        <v>-5.9661899999999997E-2</v>
      </c>
      <c r="J70" s="21">
        <v>60</v>
      </c>
      <c r="K70" s="21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1">
        <v>0.202179</v>
      </c>
      <c r="P70" s="21">
        <v>97.149799999999999</v>
      </c>
      <c r="Q70" s="21">
        <v>-6.1309799999999998E-2</v>
      </c>
      <c r="R70" s="21">
        <v>60</v>
      </c>
      <c r="S70" s="21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1">
        <v>0.34789999999999999</v>
      </c>
      <c r="Z70" s="21">
        <v>144.221</v>
      </c>
      <c r="AA70" s="21">
        <v>-5.9606899999999997E-2</v>
      </c>
      <c r="AB70" s="21">
        <v>60</v>
      </c>
      <c r="AC70" s="21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1">
        <v>0.202179</v>
      </c>
      <c r="AH70" s="21">
        <v>191.304</v>
      </c>
      <c r="AI70" s="21">
        <v>-6.1218300000000003E-2</v>
      </c>
      <c r="AJ70" s="21">
        <v>60</v>
      </c>
      <c r="AK70" s="21">
        <v>0.201599</v>
      </c>
      <c r="AL70">
        <f t="shared" si="6"/>
        <v>38.2614375</v>
      </c>
      <c r="AM70">
        <f t="shared" si="7"/>
        <v>7.7356591723124994</v>
      </c>
      <c r="AP70" s="9"/>
      <c r="AQ70" s="21">
        <v>0.34789999999999999</v>
      </c>
      <c r="AR70" s="21">
        <v>238.44</v>
      </c>
      <c r="AS70" s="21">
        <v>-5.9552000000000001E-2</v>
      </c>
      <c r="AT70" s="21">
        <v>60</v>
      </c>
      <c r="AU70" s="21">
        <v>0.34628300000000001</v>
      </c>
      <c r="AV70">
        <f t="shared" si="8"/>
        <v>37.22</v>
      </c>
      <c r="AW70">
        <f t="shared" si="9"/>
        <v>12.948837999999999</v>
      </c>
      <c r="AX70" s="9"/>
      <c r="AY70" s="21">
        <v>0.202179</v>
      </c>
      <c r="AZ70" s="21">
        <v>285.55599999999998</v>
      </c>
      <c r="BA70" s="21">
        <v>-6.1279300000000002E-2</v>
      </c>
      <c r="BB70" s="21">
        <v>60</v>
      </c>
      <c r="BC70" s="21">
        <v>0.201599</v>
      </c>
      <c r="BD70">
        <f t="shared" si="10"/>
        <v>38.2995625</v>
      </c>
      <c r="BE70">
        <f t="shared" si="11"/>
        <v>7.7433672466874999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0.34286499999999998</v>
      </c>
      <c r="H71" s="21">
        <v>49.960500000000003</v>
      </c>
      <c r="I71" s="21">
        <v>-5.9738199999999998E-2</v>
      </c>
      <c r="J71" s="21">
        <v>61</v>
      </c>
      <c r="K71" s="21">
        <v>0.341339</v>
      </c>
      <c r="L71">
        <f t="shared" si="0"/>
        <v>37.336374999999997</v>
      </c>
      <c r="M71">
        <f t="shared" si="1"/>
        <v>12.801336214374999</v>
      </c>
      <c r="N71" s="9"/>
      <c r="O71" s="21">
        <v>0.20721400000000001</v>
      </c>
      <c r="P71" s="21">
        <v>97.159899999999993</v>
      </c>
      <c r="Q71" s="21">
        <v>-6.1248799999999999E-2</v>
      </c>
      <c r="R71" s="21">
        <v>61</v>
      </c>
      <c r="S71" s="21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1">
        <v>0.34286499999999998</v>
      </c>
      <c r="Z71" s="21">
        <v>144.23099999999999</v>
      </c>
      <c r="AA71" s="21">
        <v>-5.9704599999999997E-2</v>
      </c>
      <c r="AB71" s="21">
        <v>61</v>
      </c>
      <c r="AC71" s="21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1">
        <v>0.20721400000000001</v>
      </c>
      <c r="AH71" s="21">
        <v>191.31399999999999</v>
      </c>
      <c r="AI71" s="21">
        <v>-6.1187699999999998E-2</v>
      </c>
      <c r="AJ71" s="21">
        <v>61</v>
      </c>
      <c r="AK71" s="21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1">
        <v>0.34286499999999998</v>
      </c>
      <c r="AR71" s="21">
        <v>238.45</v>
      </c>
      <c r="AS71" s="21">
        <v>-5.9631299999999998E-2</v>
      </c>
      <c r="AT71" s="21">
        <v>61</v>
      </c>
      <c r="AU71" s="21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1">
        <v>0.20721400000000001</v>
      </c>
      <c r="AZ71" s="21">
        <v>285.56599999999997</v>
      </c>
      <c r="BA71" s="21">
        <v>-6.1248799999999999E-2</v>
      </c>
      <c r="BB71" s="21">
        <v>61</v>
      </c>
      <c r="BC71" s="21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0.33783000000000002</v>
      </c>
      <c r="H72" s="21">
        <v>49.970500000000001</v>
      </c>
      <c r="I72" s="21">
        <v>-5.9811400000000001E-2</v>
      </c>
      <c r="J72" s="21">
        <v>62</v>
      </c>
      <c r="K72" s="21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1">
        <v>0.21224999999999999</v>
      </c>
      <c r="P72" s="21">
        <v>97.169899999999998</v>
      </c>
      <c r="Q72" s="21">
        <v>-6.1218300000000003E-2</v>
      </c>
      <c r="R72" s="21">
        <v>62</v>
      </c>
      <c r="S72" s="21">
        <v>0.21167</v>
      </c>
      <c r="T72">
        <f t="shared" si="2"/>
        <v>38.2614375</v>
      </c>
      <c r="U72">
        <f t="shared" si="3"/>
        <v>8.1209901093750005</v>
      </c>
      <c r="X72" s="9"/>
      <c r="Y72" s="21">
        <v>0.33783000000000002</v>
      </c>
      <c r="Z72" s="21">
        <v>144.24100000000001</v>
      </c>
      <c r="AA72" s="21">
        <v>-5.9783900000000001E-2</v>
      </c>
      <c r="AB72" s="21">
        <v>62</v>
      </c>
      <c r="AC72" s="21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1">
        <v>0.21224999999999999</v>
      </c>
      <c r="AH72" s="21">
        <v>191.32400000000001</v>
      </c>
      <c r="AI72" s="21">
        <v>-6.1157200000000002E-2</v>
      </c>
      <c r="AJ72" s="21">
        <v>62</v>
      </c>
      <c r="AK72" s="21">
        <v>0.211731</v>
      </c>
      <c r="AL72">
        <f t="shared" si="6"/>
        <v>38.22325</v>
      </c>
      <c r="AM72">
        <f t="shared" si="7"/>
        <v>8.112884812499999</v>
      </c>
      <c r="AP72" s="9"/>
      <c r="AQ72" s="21">
        <v>0.33783000000000002</v>
      </c>
      <c r="AR72" s="21">
        <v>238.46</v>
      </c>
      <c r="AS72" s="21">
        <v>-5.9698500000000002E-2</v>
      </c>
      <c r="AT72" s="21">
        <v>62</v>
      </c>
      <c r="AU72" s="21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1">
        <v>0.21224999999999999</v>
      </c>
      <c r="AZ72" s="21">
        <v>285.577</v>
      </c>
      <c r="BA72" s="21">
        <v>-6.1218300000000003E-2</v>
      </c>
      <c r="BB72" s="21">
        <v>62</v>
      </c>
      <c r="BC72" s="21">
        <v>0.2117</v>
      </c>
      <c r="BD72">
        <f t="shared" si="10"/>
        <v>38.2614375</v>
      </c>
      <c r="BE72">
        <f t="shared" si="11"/>
        <v>8.1209901093750005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0.33279399999999998</v>
      </c>
      <c r="H73" s="21">
        <v>49.980600000000003</v>
      </c>
      <c r="I73" s="21">
        <v>-5.9893799999999997E-2</v>
      </c>
      <c r="J73" s="21">
        <v>63</v>
      </c>
      <c r="K73" s="21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1">
        <v>0.21728500000000001</v>
      </c>
      <c r="P73" s="21">
        <v>97.18</v>
      </c>
      <c r="Q73" s="21">
        <v>-6.1157200000000002E-2</v>
      </c>
      <c r="R73" s="21">
        <v>63</v>
      </c>
      <c r="S73" s="21">
        <v>0.21673600000000001</v>
      </c>
      <c r="T73">
        <f t="shared" si="2"/>
        <v>38.22325</v>
      </c>
      <c r="U73">
        <f t="shared" si="3"/>
        <v>8.3053388762499996</v>
      </c>
      <c r="X73" s="9"/>
      <c r="Y73" s="21">
        <v>0.33279399999999998</v>
      </c>
      <c r="Z73" s="21">
        <v>144.251</v>
      </c>
      <c r="AA73" s="21">
        <v>-5.9863300000000001E-2</v>
      </c>
      <c r="AB73" s="21">
        <v>63</v>
      </c>
      <c r="AC73" s="21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1">
        <v>0.21728500000000001</v>
      </c>
      <c r="AH73" s="21">
        <v>191.334</v>
      </c>
      <c r="AI73" s="21">
        <v>-6.1096200000000003E-2</v>
      </c>
      <c r="AJ73" s="21">
        <v>63</v>
      </c>
      <c r="AK73" s="21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1">
        <v>0.33279399999999998</v>
      </c>
      <c r="AR73" s="21">
        <v>238.47</v>
      </c>
      <c r="AS73" s="21">
        <v>-5.9787E-2</v>
      </c>
      <c r="AT73" s="21">
        <v>63</v>
      </c>
      <c r="AU73" s="21">
        <v>0.33126800000000001</v>
      </c>
      <c r="AV73">
        <f t="shared" si="8"/>
        <v>37.366875</v>
      </c>
      <c r="AW73">
        <f t="shared" si="9"/>
        <v>12.435471798749999</v>
      </c>
      <c r="AX73" s="9"/>
      <c r="AY73" s="21">
        <v>0.21728500000000001</v>
      </c>
      <c r="AZ73" s="21">
        <v>285.58699999999999</v>
      </c>
      <c r="BA73" s="21">
        <v>-6.1187699999999998E-2</v>
      </c>
      <c r="BB73" s="21">
        <v>63</v>
      </c>
      <c r="BC73" s="21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0.32775900000000002</v>
      </c>
      <c r="H74" s="21">
        <v>49.990699999999997</v>
      </c>
      <c r="I74" s="21">
        <v>-5.9957900000000001E-2</v>
      </c>
      <c r="J74" s="21">
        <v>64</v>
      </c>
      <c r="K74" s="21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1">
        <v>0.22232099999999999</v>
      </c>
      <c r="P74" s="21">
        <v>97.190100000000001</v>
      </c>
      <c r="Q74" s="21">
        <v>-6.1096200000000003E-2</v>
      </c>
      <c r="R74" s="21">
        <v>64</v>
      </c>
      <c r="S74" s="21">
        <v>0.221863</v>
      </c>
      <c r="T74">
        <f t="shared" si="2"/>
        <v>38.185124999999999</v>
      </c>
      <c r="U74">
        <f t="shared" si="3"/>
        <v>8.4893551751249987</v>
      </c>
      <c r="X74" s="9"/>
      <c r="Y74" s="21">
        <v>0.32775900000000002</v>
      </c>
      <c r="Z74" s="21">
        <v>144.261</v>
      </c>
      <c r="AA74" s="21">
        <v>-5.9939600000000003E-2</v>
      </c>
      <c r="AB74" s="21">
        <v>64</v>
      </c>
      <c r="AC74" s="21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1">
        <v>0.22232099999999999</v>
      </c>
      <c r="AH74" s="21">
        <v>191.34399999999999</v>
      </c>
      <c r="AI74" s="21">
        <v>-6.1065700000000001E-2</v>
      </c>
      <c r="AJ74" s="21">
        <v>64</v>
      </c>
      <c r="AK74" s="21">
        <v>0.221802</v>
      </c>
      <c r="AL74">
        <f t="shared" si="6"/>
        <v>38.166062500000002</v>
      </c>
      <c r="AM74">
        <f t="shared" si="7"/>
        <v>8.4851171810625008</v>
      </c>
      <c r="AP74" s="9"/>
      <c r="AQ74" s="21">
        <v>0.32775900000000002</v>
      </c>
      <c r="AR74" s="21">
        <v>238.48</v>
      </c>
      <c r="AS74" s="21">
        <v>-5.9884600000000003E-2</v>
      </c>
      <c r="AT74" s="21">
        <v>64</v>
      </c>
      <c r="AU74" s="21">
        <v>0.32617200000000002</v>
      </c>
      <c r="AV74">
        <f t="shared" si="8"/>
        <v>37.427875</v>
      </c>
      <c r="AW74">
        <f t="shared" si="9"/>
        <v>12.267322882125001</v>
      </c>
      <c r="AX74" s="9"/>
      <c r="AY74" s="21">
        <v>0.22232099999999999</v>
      </c>
      <c r="AZ74" s="21">
        <v>285.59699999999998</v>
      </c>
      <c r="BA74" s="21">
        <v>-6.1157200000000002E-2</v>
      </c>
      <c r="BB74" s="21">
        <v>64</v>
      </c>
      <c r="BC74" s="21">
        <v>0.221771</v>
      </c>
      <c r="BD74">
        <f t="shared" si="10"/>
        <v>38.22325</v>
      </c>
      <c r="BE74">
        <f t="shared" si="11"/>
        <v>8.4978311632499999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0.32272299999999998</v>
      </c>
      <c r="H75" s="21">
        <v>50.000799999999998</v>
      </c>
      <c r="I75" s="21">
        <v>-6.0037199999999999E-2</v>
      </c>
      <c r="J75" s="21">
        <v>65</v>
      </c>
      <c r="K75" s="21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1">
        <v>0.227356</v>
      </c>
      <c r="P75" s="21">
        <v>97.200100000000006</v>
      </c>
      <c r="Q75" s="21">
        <v>-6.1065700000000001E-2</v>
      </c>
      <c r="R75" s="21">
        <v>65</v>
      </c>
      <c r="S75" s="21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1">
        <v>0.32272299999999998</v>
      </c>
      <c r="Z75" s="21">
        <v>144.27199999999999</v>
      </c>
      <c r="AA75" s="21">
        <v>-6.0009800000000002E-2</v>
      </c>
      <c r="AB75" s="21">
        <v>65</v>
      </c>
      <c r="AC75" s="21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1">
        <v>0.227356</v>
      </c>
      <c r="AH75" s="21">
        <v>191.35400000000001</v>
      </c>
      <c r="AI75" s="21">
        <v>-6.1035199999999998E-2</v>
      </c>
      <c r="AJ75" s="21">
        <v>65</v>
      </c>
      <c r="AK75" s="21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1">
        <v>0.32272299999999998</v>
      </c>
      <c r="AR75" s="21">
        <v>238.49</v>
      </c>
      <c r="AS75" s="21">
        <v>-5.9957900000000001E-2</v>
      </c>
      <c r="AT75" s="21">
        <v>65</v>
      </c>
      <c r="AU75" s="21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1">
        <v>0.227356</v>
      </c>
      <c r="AZ75" s="21">
        <v>285.60700000000003</v>
      </c>
      <c r="BA75" s="21">
        <v>-6.1096200000000003E-2</v>
      </c>
      <c r="BB75" s="21">
        <v>65</v>
      </c>
      <c r="BC75" s="21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0.31768800000000003</v>
      </c>
      <c r="H76" s="21">
        <v>50.010800000000003</v>
      </c>
      <c r="I76" s="21">
        <v>-6.0131799999999999E-2</v>
      </c>
      <c r="J76" s="21">
        <v>66</v>
      </c>
      <c r="K76" s="21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1">
        <v>0.23239099999999999</v>
      </c>
      <c r="P76" s="21">
        <v>97.2102</v>
      </c>
      <c r="Q76" s="21">
        <v>-6.1035199999999998E-2</v>
      </c>
      <c r="R76" s="21">
        <v>66</v>
      </c>
      <c r="S76" s="21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1">
        <v>0.31768800000000003</v>
      </c>
      <c r="Z76" s="21">
        <v>144.28200000000001</v>
      </c>
      <c r="AA76" s="21">
        <v>-6.0089099999999999E-2</v>
      </c>
      <c r="AB76" s="21">
        <v>66</v>
      </c>
      <c r="AC76" s="21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1">
        <v>0.23239099999999999</v>
      </c>
      <c r="AH76" s="21">
        <v>191.364</v>
      </c>
      <c r="AI76" s="21">
        <v>-6.0974100000000003E-2</v>
      </c>
      <c r="AJ76" s="21">
        <v>66</v>
      </c>
      <c r="AK76" s="21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1">
        <v>0.31768800000000003</v>
      </c>
      <c r="AR76" s="21">
        <v>238.5</v>
      </c>
      <c r="AS76" s="21">
        <v>-6.0031099999999997E-2</v>
      </c>
      <c r="AT76" s="21">
        <v>66</v>
      </c>
      <c r="AU76" s="21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1">
        <v>0.23239099999999999</v>
      </c>
      <c r="AZ76" s="21">
        <v>285.61700000000002</v>
      </c>
      <c r="BA76" s="21">
        <v>-6.1065700000000001E-2</v>
      </c>
      <c r="BB76" s="21">
        <v>66</v>
      </c>
      <c r="BC76" s="21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0.31265300000000001</v>
      </c>
      <c r="H77" s="21">
        <v>50.020899999999997</v>
      </c>
      <c r="I77" s="21">
        <v>-6.0208100000000001E-2</v>
      </c>
      <c r="J77" s="21">
        <v>67</v>
      </c>
      <c r="K77" s="21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1">
        <v>0.237427</v>
      </c>
      <c r="P77" s="21">
        <v>97.220299999999995</v>
      </c>
      <c r="Q77" s="21">
        <v>-6.1004599999999999E-2</v>
      </c>
      <c r="R77" s="21">
        <v>67</v>
      </c>
      <c r="S77" s="21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1">
        <v>0.31265300000000001</v>
      </c>
      <c r="Z77" s="21">
        <v>144.292</v>
      </c>
      <c r="AA77" s="21">
        <v>-6.0165400000000001E-2</v>
      </c>
      <c r="AB77" s="21">
        <v>67</v>
      </c>
      <c r="AC77" s="21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1">
        <v>0.237427</v>
      </c>
      <c r="AH77" s="21">
        <v>191.374</v>
      </c>
      <c r="AI77" s="21">
        <v>-6.0943600000000001E-2</v>
      </c>
      <c r="AJ77" s="21">
        <v>67</v>
      </c>
      <c r="AK77" s="21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1">
        <v>0.31265300000000001</v>
      </c>
      <c r="AR77" s="21">
        <v>238.511</v>
      </c>
      <c r="AS77" s="21">
        <v>-6.01135E-2</v>
      </c>
      <c r="AT77" s="21">
        <v>67</v>
      </c>
      <c r="AU77" s="21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1">
        <v>0.237427</v>
      </c>
      <c r="AZ77" s="21">
        <v>285.62700000000001</v>
      </c>
      <c r="BA77" s="21">
        <v>-6.1035199999999998E-2</v>
      </c>
      <c r="BB77" s="21">
        <v>67</v>
      </c>
      <c r="BC77" s="21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0.30761699999999997</v>
      </c>
      <c r="H78" s="21">
        <v>50.030999999999999</v>
      </c>
      <c r="I78" s="21">
        <v>-6.0281399999999999E-2</v>
      </c>
      <c r="J78" s="21">
        <v>68</v>
      </c>
      <c r="K78" s="21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1">
        <v>0.24246200000000001</v>
      </c>
      <c r="P78" s="21">
        <v>97.230400000000003</v>
      </c>
      <c r="Q78" s="21">
        <v>-6.0943600000000001E-2</v>
      </c>
      <c r="R78" s="21">
        <v>68</v>
      </c>
      <c r="S78" s="21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1">
        <v>0.30761699999999997</v>
      </c>
      <c r="Z78" s="21">
        <v>144.30199999999999</v>
      </c>
      <c r="AA78" s="21">
        <v>-6.0253899999999999E-2</v>
      </c>
      <c r="AB78" s="21">
        <v>68</v>
      </c>
      <c r="AC78" s="21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1">
        <v>0.24246200000000001</v>
      </c>
      <c r="AH78" s="21">
        <v>191.38399999999999</v>
      </c>
      <c r="AI78" s="21">
        <v>-6.0913099999999998E-2</v>
      </c>
      <c r="AJ78" s="21">
        <v>68</v>
      </c>
      <c r="AK78" s="21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1">
        <v>0.30761699999999997</v>
      </c>
      <c r="AR78" s="21">
        <v>238.52099999999999</v>
      </c>
      <c r="AS78" s="21">
        <v>-6.0192900000000001E-2</v>
      </c>
      <c r="AT78" s="21">
        <v>68</v>
      </c>
      <c r="AU78" s="21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1">
        <v>0.24246200000000001</v>
      </c>
      <c r="AZ78" s="21">
        <v>285.637</v>
      </c>
      <c r="BA78" s="21">
        <v>-6.1004599999999999E-2</v>
      </c>
      <c r="BB78" s="21">
        <v>68</v>
      </c>
      <c r="BC78" s="21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0.30258200000000002</v>
      </c>
      <c r="H79" s="21">
        <v>50.040999999999997</v>
      </c>
      <c r="I79" s="21">
        <v>-6.0339400000000001E-2</v>
      </c>
      <c r="J79" s="21">
        <v>69</v>
      </c>
      <c r="K79" s="21">
        <v>0.30096400000000001</v>
      </c>
      <c r="L79">
        <f t="shared" si="12"/>
        <v>37.712125</v>
      </c>
      <c r="M79">
        <f t="shared" si="13"/>
        <v>11.411010206750001</v>
      </c>
      <c r="N79" s="9"/>
      <c r="O79" s="21">
        <v>0.247498</v>
      </c>
      <c r="P79" s="21">
        <v>97.240399999999994</v>
      </c>
      <c r="Q79" s="21">
        <v>-6.0882600000000002E-2</v>
      </c>
      <c r="R79" s="21">
        <v>69</v>
      </c>
      <c r="S79" s="21">
        <v>0.246918</v>
      </c>
      <c r="T79">
        <f t="shared" si="14"/>
        <v>38.051625000000001</v>
      </c>
      <c r="U79">
        <f t="shared" si="15"/>
        <v>9.41770108425</v>
      </c>
      <c r="X79" s="9"/>
      <c r="Y79" s="21">
        <v>0.30258200000000002</v>
      </c>
      <c r="Z79" s="21">
        <v>144.31200000000001</v>
      </c>
      <c r="AA79" s="21">
        <v>-6.0333299999999999E-2</v>
      </c>
      <c r="AB79" s="21">
        <v>69</v>
      </c>
      <c r="AC79" s="21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1">
        <v>0.247498</v>
      </c>
      <c r="AH79" s="21">
        <v>191.39400000000001</v>
      </c>
      <c r="AI79" s="21">
        <v>-6.0852099999999999E-2</v>
      </c>
      <c r="AJ79" s="21">
        <v>69</v>
      </c>
      <c r="AK79" s="21">
        <v>0.246979</v>
      </c>
      <c r="AL79">
        <f t="shared" si="18"/>
        <v>38.032562499999997</v>
      </c>
      <c r="AM79">
        <f t="shared" si="19"/>
        <v>9.4129831536249995</v>
      </c>
      <c r="AP79" s="9"/>
      <c r="AQ79" s="21">
        <v>0.30258200000000002</v>
      </c>
      <c r="AR79" s="21">
        <v>238.53100000000001</v>
      </c>
      <c r="AS79" s="21">
        <v>-6.0281399999999999E-2</v>
      </c>
      <c r="AT79" s="21">
        <v>69</v>
      </c>
      <c r="AU79" s="21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1">
        <v>0.247498</v>
      </c>
      <c r="AZ79" s="21">
        <v>285.64699999999999</v>
      </c>
      <c r="BA79" s="21">
        <v>-6.0943600000000001E-2</v>
      </c>
      <c r="BB79" s="21">
        <v>69</v>
      </c>
      <c r="BC79" s="21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0.29754599999999998</v>
      </c>
      <c r="H80" s="21">
        <v>50.051099999999998</v>
      </c>
      <c r="I80" s="21">
        <v>-6.0412599999999997E-2</v>
      </c>
      <c r="J80" s="21">
        <v>70</v>
      </c>
      <c r="K80" s="21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1">
        <v>0.25253300000000001</v>
      </c>
      <c r="P80" s="21">
        <v>97.250500000000002</v>
      </c>
      <c r="Q80" s="21">
        <v>-6.0852099999999999E-2</v>
      </c>
      <c r="R80" s="21">
        <v>70</v>
      </c>
      <c r="S80" s="21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1">
        <v>0.29754599999999998</v>
      </c>
      <c r="Z80" s="21">
        <v>144.322</v>
      </c>
      <c r="AA80" s="21">
        <v>-6.04004E-2</v>
      </c>
      <c r="AB80" s="21">
        <v>70</v>
      </c>
      <c r="AC80" s="21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1">
        <v>0.25253300000000001</v>
      </c>
      <c r="AH80" s="21">
        <v>191.404</v>
      </c>
      <c r="AI80" s="21">
        <v>-6.0790999999999998E-2</v>
      </c>
      <c r="AJ80" s="21">
        <v>70</v>
      </c>
      <c r="AK80" s="21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1">
        <v>0.29754599999999998</v>
      </c>
      <c r="AR80" s="21">
        <v>238.541</v>
      </c>
      <c r="AS80" s="21">
        <v>-6.0360700000000003E-2</v>
      </c>
      <c r="AT80" s="21">
        <v>70</v>
      </c>
      <c r="AU80" s="21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1">
        <v>0.25253300000000001</v>
      </c>
      <c r="AZ80" s="21">
        <v>285.65699999999998</v>
      </c>
      <c r="BA80" s="21">
        <v>-6.0882600000000002E-2</v>
      </c>
      <c r="BB80" s="21">
        <v>70</v>
      </c>
      <c r="BC80" s="21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0.29251100000000002</v>
      </c>
      <c r="H81" s="21">
        <v>50.061199999999999</v>
      </c>
      <c r="I81" s="21">
        <v>-6.0495E-2</v>
      </c>
      <c r="J81" s="21">
        <v>71</v>
      </c>
      <c r="K81" s="21">
        <v>0.291016</v>
      </c>
      <c r="L81">
        <f t="shared" si="12"/>
        <v>37.809374999999996</v>
      </c>
      <c r="M81">
        <f t="shared" si="13"/>
        <v>11.059658090625</v>
      </c>
      <c r="N81" s="9"/>
      <c r="O81" s="21">
        <v>0.25756800000000002</v>
      </c>
      <c r="P81" s="21">
        <v>97.260599999999997</v>
      </c>
      <c r="Q81" s="21">
        <v>-6.0821500000000001E-2</v>
      </c>
      <c r="R81" s="21">
        <v>71</v>
      </c>
      <c r="S81" s="21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1">
        <v>0.29251100000000002</v>
      </c>
      <c r="Z81" s="21">
        <v>144.33199999999999</v>
      </c>
      <c r="AA81" s="21">
        <v>-6.0476700000000001E-2</v>
      </c>
      <c r="AB81" s="21">
        <v>71</v>
      </c>
      <c r="AC81" s="21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1">
        <v>0.25756800000000002</v>
      </c>
      <c r="AH81" s="21">
        <v>191.41399999999999</v>
      </c>
      <c r="AI81" s="21">
        <v>-6.0729999999999999E-2</v>
      </c>
      <c r="AJ81" s="21">
        <v>71</v>
      </c>
      <c r="AK81" s="21">
        <v>0.257019</v>
      </c>
      <c r="AL81">
        <f t="shared" si="18"/>
        <v>37.956249999999997</v>
      </c>
      <c r="AM81">
        <f t="shared" si="19"/>
        <v>9.7763153999999997</v>
      </c>
      <c r="AP81" s="9"/>
      <c r="AQ81" s="21">
        <v>0.29251100000000002</v>
      </c>
      <c r="AR81" s="21">
        <v>238.55099999999999</v>
      </c>
      <c r="AS81" s="21">
        <v>-6.0430900000000003E-2</v>
      </c>
      <c r="AT81" s="21">
        <v>71</v>
      </c>
      <c r="AU81" s="21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1">
        <v>0.25756800000000002</v>
      </c>
      <c r="AZ81" s="21">
        <v>285.66699999999997</v>
      </c>
      <c r="BA81" s="21">
        <v>-6.0821500000000001E-2</v>
      </c>
      <c r="BB81" s="21">
        <v>71</v>
      </c>
      <c r="BC81" s="21">
        <v>0.257019</v>
      </c>
      <c r="BD81">
        <f t="shared" si="22"/>
        <v>38.013437499999995</v>
      </c>
      <c r="BE81">
        <f t="shared" si="23"/>
        <v>9.7910450699999991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0.28747600000000001</v>
      </c>
      <c r="H82" s="21">
        <v>50.071300000000001</v>
      </c>
      <c r="I82" s="21">
        <v>-6.0562100000000001E-2</v>
      </c>
      <c r="J82" s="21">
        <v>72</v>
      </c>
      <c r="K82" s="21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1">
        <v>0.262604</v>
      </c>
      <c r="P82" s="21">
        <v>97.270600000000002</v>
      </c>
      <c r="Q82" s="21">
        <v>-6.0760500000000002E-2</v>
      </c>
      <c r="R82" s="21">
        <v>72</v>
      </c>
      <c r="S82" s="21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1">
        <v>0.28747600000000001</v>
      </c>
      <c r="Z82" s="21">
        <v>144.34200000000001</v>
      </c>
      <c r="AA82" s="21">
        <v>-6.0531599999999998E-2</v>
      </c>
      <c r="AB82" s="21">
        <v>72</v>
      </c>
      <c r="AC82" s="21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1">
        <v>0.262604</v>
      </c>
      <c r="AH82" s="21">
        <v>191.42400000000001</v>
      </c>
      <c r="AI82" s="21">
        <v>-6.0699500000000003E-2</v>
      </c>
      <c r="AJ82" s="21">
        <v>72</v>
      </c>
      <c r="AK82" s="21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1">
        <v>0.28747600000000001</v>
      </c>
      <c r="AR82" s="21">
        <v>238.56100000000001</v>
      </c>
      <c r="AS82" s="21">
        <v>-6.0501100000000002E-2</v>
      </c>
      <c r="AT82" s="21">
        <v>72</v>
      </c>
      <c r="AU82" s="21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1">
        <v>0.262604</v>
      </c>
      <c r="AZ82" s="21">
        <v>285.67700000000002</v>
      </c>
      <c r="BA82" s="21">
        <v>-6.0760500000000002E-2</v>
      </c>
      <c r="BB82" s="21">
        <v>72</v>
      </c>
      <c r="BC82" s="21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0.28244000000000002</v>
      </c>
      <c r="H83" s="21">
        <v>50.081299999999999</v>
      </c>
      <c r="I83" s="21">
        <v>-6.0638400000000002E-2</v>
      </c>
      <c r="J83" s="21">
        <v>73</v>
      </c>
      <c r="K83" s="21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1">
        <v>0.26763900000000002</v>
      </c>
      <c r="P83" s="21">
        <v>97.280699999999996</v>
      </c>
      <c r="Q83" s="21">
        <v>-6.0699500000000003E-2</v>
      </c>
      <c r="R83" s="21">
        <v>73</v>
      </c>
      <c r="S83" s="21">
        <v>0.26712000000000002</v>
      </c>
      <c r="T83">
        <f t="shared" si="14"/>
        <v>37.9371875</v>
      </c>
      <c r="U83">
        <f t="shared" si="15"/>
        <v>10.153470925312501</v>
      </c>
      <c r="X83" s="9"/>
      <c r="Y83" s="21">
        <v>0.28244000000000002</v>
      </c>
      <c r="Z83" s="21">
        <v>144.352</v>
      </c>
      <c r="AA83" s="21">
        <v>-6.0574299999999998E-2</v>
      </c>
      <c r="AB83" s="21">
        <v>73</v>
      </c>
      <c r="AC83" s="21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1">
        <v>0.26763900000000002</v>
      </c>
      <c r="AH83" s="21">
        <v>191.435</v>
      </c>
      <c r="AI83" s="21">
        <v>-6.0668899999999998E-2</v>
      </c>
      <c r="AJ83" s="21">
        <v>73</v>
      </c>
      <c r="AK83" s="21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1">
        <v>0.28244000000000002</v>
      </c>
      <c r="AR83" s="21">
        <v>238.571</v>
      </c>
      <c r="AS83" s="21">
        <v>-6.0568200000000003E-2</v>
      </c>
      <c r="AT83" s="21">
        <v>73</v>
      </c>
      <c r="AU83" s="21">
        <v>0.280914</v>
      </c>
      <c r="AV83">
        <f t="shared" si="20"/>
        <v>37.855124999999994</v>
      </c>
      <c r="AW83">
        <f t="shared" si="21"/>
        <v>10.691801504999999</v>
      </c>
      <c r="AX83" s="9"/>
      <c r="AY83" s="21">
        <v>0.26763900000000002</v>
      </c>
      <c r="AZ83" s="21">
        <v>285.68700000000001</v>
      </c>
      <c r="BA83" s="21">
        <v>-6.0668899999999998E-2</v>
      </c>
      <c r="BB83" s="21">
        <v>73</v>
      </c>
      <c r="BC83" s="21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0.27740500000000001</v>
      </c>
      <c r="H84" s="21">
        <v>50.0914</v>
      </c>
      <c r="I84" s="21">
        <v>-6.0693400000000002E-2</v>
      </c>
      <c r="J84" s="21">
        <v>74</v>
      </c>
      <c r="K84" s="21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1">
        <v>0.272675</v>
      </c>
      <c r="P84" s="21">
        <v>97.290800000000004</v>
      </c>
      <c r="Q84" s="21">
        <v>-6.0638400000000002E-2</v>
      </c>
      <c r="R84" s="21">
        <v>74</v>
      </c>
      <c r="S84" s="21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1">
        <v>0.27740500000000001</v>
      </c>
      <c r="Z84" s="21">
        <v>144.36199999999999</v>
      </c>
      <c r="AA84" s="21">
        <v>-6.0610999999999998E-2</v>
      </c>
      <c r="AB84" s="21">
        <v>74</v>
      </c>
      <c r="AC84" s="21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1">
        <v>0.272675</v>
      </c>
      <c r="AH84" s="21">
        <v>191.44499999999999</v>
      </c>
      <c r="AI84" s="21">
        <v>-6.0607899999999999E-2</v>
      </c>
      <c r="AJ84" s="21">
        <v>74</v>
      </c>
      <c r="AK84" s="21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1">
        <v>0.27740500000000001</v>
      </c>
      <c r="AR84" s="21">
        <v>238.58099999999999</v>
      </c>
      <c r="AS84" s="21">
        <v>-6.06323E-2</v>
      </c>
      <c r="AT84" s="21">
        <v>74</v>
      </c>
      <c r="AU84" s="21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1">
        <v>0.272675</v>
      </c>
      <c r="AZ84" s="21">
        <v>285.697</v>
      </c>
      <c r="BA84" s="21">
        <v>-6.0638400000000002E-2</v>
      </c>
      <c r="BB84" s="21">
        <v>74</v>
      </c>
      <c r="BC84" s="21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0.27236900000000003</v>
      </c>
      <c r="H85" s="21">
        <v>50.101500000000001</v>
      </c>
      <c r="I85" s="21">
        <v>-6.0772699999999999E-2</v>
      </c>
      <c r="J85" s="21">
        <v>75</v>
      </c>
      <c r="K85" s="21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1">
        <v>0.27771000000000001</v>
      </c>
      <c r="P85" s="21">
        <v>97.300899999999999</v>
      </c>
      <c r="Q85" s="21">
        <v>-6.0577400000000003E-2</v>
      </c>
      <c r="R85" s="21">
        <v>75</v>
      </c>
      <c r="S85" s="21">
        <v>0.27712999999999999</v>
      </c>
      <c r="T85">
        <f t="shared" si="14"/>
        <v>37.860875</v>
      </c>
      <c r="U85">
        <f t="shared" si="15"/>
        <v>10.514343596250001</v>
      </c>
      <c r="X85" s="9"/>
      <c r="Y85" s="21">
        <v>0.27236900000000003</v>
      </c>
      <c r="Z85" s="21">
        <v>144.37200000000001</v>
      </c>
      <c r="AA85" s="21">
        <v>-6.06598E-2</v>
      </c>
      <c r="AB85" s="21">
        <v>75</v>
      </c>
      <c r="AC85" s="21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1">
        <v>0.27771000000000001</v>
      </c>
      <c r="AH85" s="21">
        <v>191.45500000000001</v>
      </c>
      <c r="AI85" s="21">
        <v>-6.0546900000000001E-2</v>
      </c>
      <c r="AJ85" s="21">
        <v>75</v>
      </c>
      <c r="AK85" s="21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1">
        <v>0.27236900000000003</v>
      </c>
      <c r="AR85" s="21">
        <v>238.59100000000001</v>
      </c>
      <c r="AS85" s="21">
        <v>-6.0681199999999998E-2</v>
      </c>
      <c r="AT85" s="21">
        <v>75</v>
      </c>
      <c r="AU85" s="21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1">
        <v>0.27771000000000001</v>
      </c>
      <c r="AZ85" s="21">
        <v>285.70699999999999</v>
      </c>
      <c r="BA85" s="21">
        <v>-6.0577400000000003E-2</v>
      </c>
      <c r="BB85" s="21">
        <v>75</v>
      </c>
      <c r="BC85" s="21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0.26733400000000002</v>
      </c>
      <c r="H86" s="21">
        <v>50.111499999999999</v>
      </c>
      <c r="I86" s="21">
        <v>-6.0836800000000003E-2</v>
      </c>
      <c r="J86" s="21">
        <v>76</v>
      </c>
      <c r="K86" s="21">
        <v>0.265656</v>
      </c>
      <c r="L86">
        <f t="shared" si="12"/>
        <v>38.023000000000003</v>
      </c>
      <c r="M86">
        <f t="shared" si="13"/>
        <v>10.164840682000001</v>
      </c>
      <c r="N86" s="9"/>
      <c r="O86" s="21">
        <v>0.28274500000000002</v>
      </c>
      <c r="P86" s="21">
        <v>97.310900000000004</v>
      </c>
      <c r="Q86" s="21">
        <v>-6.0516399999999998E-2</v>
      </c>
      <c r="R86" s="21">
        <v>76</v>
      </c>
      <c r="S86" s="21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1">
        <v>0.26733400000000002</v>
      </c>
      <c r="Z86" s="21">
        <v>144.38200000000001</v>
      </c>
      <c r="AA86" s="21">
        <v>-6.07117E-2</v>
      </c>
      <c r="AB86" s="21">
        <v>76</v>
      </c>
      <c r="AC86" s="21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1">
        <v>0.28274500000000002</v>
      </c>
      <c r="AH86" s="21">
        <v>191.465</v>
      </c>
      <c r="AI86" s="21">
        <v>-6.0455299999999997E-2</v>
      </c>
      <c r="AJ86" s="21">
        <v>76</v>
      </c>
      <c r="AK86" s="21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1">
        <v>0.26733400000000002</v>
      </c>
      <c r="AR86" s="21">
        <v>238.601</v>
      </c>
      <c r="AS86" s="21">
        <v>-6.0736100000000001E-2</v>
      </c>
      <c r="AT86" s="21">
        <v>76</v>
      </c>
      <c r="AU86" s="21">
        <v>0.265656</v>
      </c>
      <c r="AV86">
        <f t="shared" si="20"/>
        <v>37.960062499999992</v>
      </c>
      <c r="AW86">
        <f t="shared" si="21"/>
        <v>10.148015348374999</v>
      </c>
      <c r="AX86" s="9"/>
      <c r="AY86" s="21">
        <v>0.28274500000000002</v>
      </c>
      <c r="AZ86" s="21">
        <v>285.71800000000002</v>
      </c>
      <c r="BA86" s="21">
        <v>-6.0485799999999999E-2</v>
      </c>
      <c r="BB86" s="21">
        <v>76</v>
      </c>
      <c r="BC86" s="21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0.262299</v>
      </c>
      <c r="H87" s="21">
        <v>50.121600000000001</v>
      </c>
      <c r="I87" s="21">
        <v>-6.08917E-2</v>
      </c>
      <c r="J87" s="21">
        <v>77</v>
      </c>
      <c r="K87" s="21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1">
        <v>0.28778100000000001</v>
      </c>
      <c r="P87" s="21">
        <v>97.320999999999998</v>
      </c>
      <c r="Q87" s="21">
        <v>-6.0424800000000001E-2</v>
      </c>
      <c r="R87" s="21">
        <v>77</v>
      </c>
      <c r="S87" s="21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1">
        <v>0.262299</v>
      </c>
      <c r="Z87" s="21">
        <v>144.392</v>
      </c>
      <c r="AA87" s="21">
        <v>-6.0751300000000001E-2</v>
      </c>
      <c r="AB87" s="21">
        <v>77</v>
      </c>
      <c r="AC87" s="21">
        <v>0.260712</v>
      </c>
      <c r="AD87">
        <f t="shared" si="16"/>
        <v>37.969562499999995</v>
      </c>
      <c r="AE87">
        <f t="shared" si="17"/>
        <v>9.9593782741874985</v>
      </c>
      <c r="AF87" s="9"/>
      <c r="AG87" s="21">
        <v>0.28778100000000001</v>
      </c>
      <c r="AH87" s="21">
        <v>191.47499999999999</v>
      </c>
      <c r="AI87" s="21">
        <v>-6.0363800000000002E-2</v>
      </c>
      <c r="AJ87" s="21">
        <v>77</v>
      </c>
      <c r="AK87" s="21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1">
        <v>0.262299</v>
      </c>
      <c r="AR87" s="21">
        <v>238.61099999999999</v>
      </c>
      <c r="AS87" s="21">
        <v>-6.0778800000000001E-2</v>
      </c>
      <c r="AT87" s="21">
        <v>77</v>
      </c>
      <c r="AU87" s="21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1">
        <v>0.28778100000000001</v>
      </c>
      <c r="AZ87" s="21">
        <v>285.72800000000001</v>
      </c>
      <c r="BA87" s="21">
        <v>-6.0424800000000001E-2</v>
      </c>
      <c r="BB87" s="21">
        <v>77</v>
      </c>
      <c r="BC87" s="21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0.25726300000000002</v>
      </c>
      <c r="H88" s="21">
        <v>50.131700000000002</v>
      </c>
      <c r="I88" s="21">
        <v>-6.0958900000000003E-2</v>
      </c>
      <c r="J88" s="21">
        <v>78</v>
      </c>
      <c r="K88" s="21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1">
        <v>0.29281600000000002</v>
      </c>
      <c r="P88" s="21">
        <v>97.331100000000006</v>
      </c>
      <c r="Q88" s="21">
        <v>-6.0333299999999999E-2</v>
      </c>
      <c r="R88" s="21">
        <v>78</v>
      </c>
      <c r="S88" s="21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1">
        <v>0.25726300000000002</v>
      </c>
      <c r="Z88" s="21">
        <v>144.40199999999999</v>
      </c>
      <c r="AA88" s="21">
        <v>-6.0809299999999997E-2</v>
      </c>
      <c r="AB88" s="21">
        <v>78</v>
      </c>
      <c r="AC88" s="21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1">
        <v>0.29281600000000002</v>
      </c>
      <c r="AH88" s="21">
        <v>191.48500000000001</v>
      </c>
      <c r="AI88" s="21">
        <v>-6.0302700000000001E-2</v>
      </c>
      <c r="AJ88" s="21">
        <v>78</v>
      </c>
      <c r="AK88" s="21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1">
        <v>0.25726300000000002</v>
      </c>
      <c r="AR88" s="21">
        <v>238.62100000000001</v>
      </c>
      <c r="AS88" s="21">
        <v>-6.0830700000000001E-2</v>
      </c>
      <c r="AT88" s="21">
        <v>78</v>
      </c>
      <c r="AU88" s="21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1">
        <v>0.29281600000000002</v>
      </c>
      <c r="AZ88" s="21">
        <v>285.738</v>
      </c>
      <c r="BA88" s="21">
        <v>-6.0394299999999998E-2</v>
      </c>
      <c r="BB88" s="21">
        <v>78</v>
      </c>
      <c r="BC88" s="21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0.25222800000000001</v>
      </c>
      <c r="H89" s="21">
        <v>50.1417</v>
      </c>
      <c r="I89" s="21">
        <v>-6.1010700000000001E-2</v>
      </c>
      <c r="J89" s="21">
        <v>79</v>
      </c>
      <c r="K89" s="21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1">
        <v>0.29785200000000001</v>
      </c>
      <c r="P89" s="21">
        <v>97.341099999999997</v>
      </c>
      <c r="Q89" s="21">
        <v>-6.0272199999999998E-2</v>
      </c>
      <c r="R89" s="21">
        <v>79</v>
      </c>
      <c r="S89" s="21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1">
        <v>0.25222800000000001</v>
      </c>
      <c r="Z89" s="21">
        <v>144.41300000000001</v>
      </c>
      <c r="AA89" s="21">
        <v>-6.0864300000000003E-2</v>
      </c>
      <c r="AB89" s="21">
        <v>79</v>
      </c>
      <c r="AC89" s="21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1">
        <v>0.29785200000000001</v>
      </c>
      <c r="AH89" s="21">
        <v>191.495</v>
      </c>
      <c r="AI89" s="21">
        <v>-6.0241700000000002E-2</v>
      </c>
      <c r="AJ89" s="21">
        <v>79</v>
      </c>
      <c r="AK89" s="21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1">
        <v>0.25222800000000001</v>
      </c>
      <c r="AR89" s="21">
        <v>238.631</v>
      </c>
      <c r="AS89" s="21">
        <v>-6.0870399999999998E-2</v>
      </c>
      <c r="AT89" s="21">
        <v>79</v>
      </c>
      <c r="AU89" s="21">
        <v>0.250641</v>
      </c>
      <c r="AV89">
        <f t="shared" si="20"/>
        <v>38.043999999999997</v>
      </c>
      <c r="AW89">
        <f t="shared" si="21"/>
        <v>9.5957620319999997</v>
      </c>
      <c r="AX89" s="9"/>
      <c r="AY89" s="21">
        <v>0.29785200000000001</v>
      </c>
      <c r="AZ89" s="21">
        <v>285.74799999999999</v>
      </c>
      <c r="BA89" s="21">
        <v>-6.0333299999999999E-2</v>
      </c>
      <c r="BB89" s="21">
        <v>79</v>
      </c>
      <c r="BC89" s="21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0.247192</v>
      </c>
      <c r="H90" s="21">
        <v>50.151800000000001</v>
      </c>
      <c r="I90" s="21">
        <v>-6.1068699999999997E-2</v>
      </c>
      <c r="J90" s="21">
        <v>80</v>
      </c>
      <c r="K90" s="21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1">
        <v>0.30288700000000002</v>
      </c>
      <c r="P90" s="21">
        <v>97.351200000000006</v>
      </c>
      <c r="Q90" s="21">
        <v>-6.0211199999999999E-2</v>
      </c>
      <c r="R90" s="21">
        <v>80</v>
      </c>
      <c r="S90" s="21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1">
        <v>0.247192</v>
      </c>
      <c r="Z90" s="21">
        <v>144.423</v>
      </c>
      <c r="AA90" s="21">
        <v>-6.0925300000000002E-2</v>
      </c>
      <c r="AB90" s="21">
        <v>80</v>
      </c>
      <c r="AC90" s="21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1">
        <v>0.30288700000000002</v>
      </c>
      <c r="AH90" s="21">
        <v>191.505</v>
      </c>
      <c r="AI90" s="21">
        <v>-6.0180699999999997E-2</v>
      </c>
      <c r="AJ90" s="21">
        <v>80</v>
      </c>
      <c r="AK90" s="21">
        <v>0.302338</v>
      </c>
      <c r="AL90">
        <f t="shared" si="18"/>
        <v>37.612937500000001</v>
      </c>
      <c r="AM90">
        <f t="shared" si="19"/>
        <v>11.392469800562502</v>
      </c>
      <c r="AP90" s="9"/>
      <c r="AQ90" s="21">
        <v>0.247192</v>
      </c>
      <c r="AR90" s="21">
        <v>238.64099999999999</v>
      </c>
      <c r="AS90" s="21">
        <v>-6.09192E-2</v>
      </c>
      <c r="AT90" s="21">
        <v>80</v>
      </c>
      <c r="AU90" s="21">
        <v>0.245758</v>
      </c>
      <c r="AV90">
        <f t="shared" si="20"/>
        <v>38.0745</v>
      </c>
      <c r="AW90">
        <f t="shared" si="21"/>
        <v>9.4117118039999994</v>
      </c>
      <c r="AX90" s="9"/>
      <c r="AY90" s="21">
        <v>0.30288700000000002</v>
      </c>
      <c r="AZ90" s="21">
        <v>285.75799999999998</v>
      </c>
      <c r="BA90" s="21">
        <v>-6.0241700000000002E-2</v>
      </c>
      <c r="BB90" s="21">
        <v>80</v>
      </c>
      <c r="BC90" s="21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0.24215700000000001</v>
      </c>
      <c r="H91" s="21">
        <v>50.161900000000003</v>
      </c>
      <c r="I91" s="21">
        <v>-6.1117600000000001E-2</v>
      </c>
      <c r="J91" s="21">
        <v>81</v>
      </c>
      <c r="K91" s="21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1">
        <v>0.30792199999999997</v>
      </c>
      <c r="P91" s="21">
        <v>97.3613</v>
      </c>
      <c r="Q91" s="21">
        <v>-6.0150099999999998E-2</v>
      </c>
      <c r="R91" s="21">
        <v>81</v>
      </c>
      <c r="S91" s="21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1">
        <v>0.24215700000000001</v>
      </c>
      <c r="Z91" s="21">
        <v>144.43299999999999</v>
      </c>
      <c r="AA91" s="21">
        <v>-6.0983299999999997E-2</v>
      </c>
      <c r="AB91" s="21">
        <v>81</v>
      </c>
      <c r="AC91" s="21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1">
        <v>0.30792199999999997</v>
      </c>
      <c r="AH91" s="21">
        <v>191.51499999999999</v>
      </c>
      <c r="AI91" s="21">
        <v>-6.0119600000000002E-2</v>
      </c>
      <c r="AJ91" s="21">
        <v>81</v>
      </c>
      <c r="AK91" s="21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1">
        <v>0.24215700000000001</v>
      </c>
      <c r="AR91" s="21">
        <v>238.65199999999999</v>
      </c>
      <c r="AS91" s="21">
        <v>-6.09863E-2</v>
      </c>
      <c r="AT91" s="21">
        <v>81</v>
      </c>
      <c r="AU91" s="21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1">
        <v>0.30792199999999997</v>
      </c>
      <c r="AZ91" s="21">
        <v>285.76799999999997</v>
      </c>
      <c r="BA91" s="21">
        <v>-6.0150099999999998E-2</v>
      </c>
      <c r="BB91" s="21">
        <v>81</v>
      </c>
      <c r="BC91" s="21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0.237122</v>
      </c>
      <c r="H92" s="21">
        <v>50.171999999999997</v>
      </c>
      <c r="I92" s="21">
        <v>-6.1160300000000001E-2</v>
      </c>
      <c r="J92" s="21">
        <v>82</v>
      </c>
      <c r="K92" s="21">
        <v>0.235626</v>
      </c>
      <c r="L92">
        <f t="shared" si="12"/>
        <v>38.225187499999997</v>
      </c>
      <c r="M92">
        <f t="shared" si="13"/>
        <v>9.0640329103749995</v>
      </c>
      <c r="N92" s="9"/>
      <c r="O92" s="21">
        <v>0.31295800000000001</v>
      </c>
      <c r="P92" s="21">
        <v>97.371300000000005</v>
      </c>
      <c r="Q92" s="21">
        <v>-6.0058599999999997E-2</v>
      </c>
      <c r="R92" s="21">
        <v>82</v>
      </c>
      <c r="S92" s="21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1">
        <v>0.237122</v>
      </c>
      <c r="Z92" s="21">
        <v>144.44300000000001</v>
      </c>
      <c r="AA92" s="21">
        <v>-6.1038200000000001E-2</v>
      </c>
      <c r="AB92" s="21">
        <v>82</v>
      </c>
      <c r="AC92" s="21">
        <v>0.235565</v>
      </c>
      <c r="AD92">
        <f t="shared" si="16"/>
        <v>38.148874999999997</v>
      </c>
      <c r="AE92">
        <f t="shared" si="17"/>
        <v>9.0459375377499995</v>
      </c>
      <c r="AF92" s="9"/>
      <c r="AG92" s="21">
        <v>0.31295800000000001</v>
      </c>
      <c r="AH92" s="21">
        <v>191.52500000000001</v>
      </c>
      <c r="AI92" s="21">
        <v>-6.0028100000000001E-2</v>
      </c>
      <c r="AJ92" s="21">
        <v>82</v>
      </c>
      <c r="AK92" s="21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1">
        <v>0.237122</v>
      </c>
      <c r="AR92" s="21">
        <v>238.66200000000001</v>
      </c>
      <c r="AS92" s="21">
        <v>-6.1038200000000001E-2</v>
      </c>
      <c r="AT92" s="21">
        <v>82</v>
      </c>
      <c r="AU92" s="21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1">
        <v>0.31295800000000001</v>
      </c>
      <c r="AZ92" s="21">
        <v>285.77800000000002</v>
      </c>
      <c r="BA92" s="21">
        <v>-6.0089099999999999E-2</v>
      </c>
      <c r="BB92" s="21">
        <v>82</v>
      </c>
      <c r="BC92" s="21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0.23208599999999999</v>
      </c>
      <c r="H93" s="21">
        <v>50.182000000000002</v>
      </c>
      <c r="I93" s="21">
        <v>-6.1218300000000003E-2</v>
      </c>
      <c r="J93" s="21">
        <v>83</v>
      </c>
      <c r="K93" s="21">
        <v>0.23049900000000001</v>
      </c>
      <c r="L93">
        <f t="shared" si="12"/>
        <v>38.2614375</v>
      </c>
      <c r="M93">
        <f t="shared" si="13"/>
        <v>8.8799439836249991</v>
      </c>
      <c r="N93" s="9"/>
      <c r="O93" s="21">
        <v>0.31799300000000003</v>
      </c>
      <c r="P93" s="21">
        <v>97.381399999999999</v>
      </c>
      <c r="Q93" s="21">
        <v>-5.9997599999999998E-2</v>
      </c>
      <c r="R93" s="21">
        <v>83</v>
      </c>
      <c r="S93" s="21">
        <v>0.317413</v>
      </c>
      <c r="T93">
        <f t="shared" si="14"/>
        <v>37.4985</v>
      </c>
      <c r="U93">
        <f t="shared" si="15"/>
        <v>11.924260510500002</v>
      </c>
      <c r="X93" s="9"/>
      <c r="Y93" s="21">
        <v>0.23208599999999999</v>
      </c>
      <c r="Z93" s="21">
        <v>144.453</v>
      </c>
      <c r="AA93" s="21">
        <v>-6.1090100000000001E-2</v>
      </c>
      <c r="AB93" s="21">
        <v>83</v>
      </c>
      <c r="AC93" s="21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1">
        <v>0.31799300000000003</v>
      </c>
      <c r="AH93" s="21">
        <v>191.535</v>
      </c>
      <c r="AI93" s="21">
        <v>-5.9936499999999997E-2</v>
      </c>
      <c r="AJ93" s="21">
        <v>83</v>
      </c>
      <c r="AK93" s="21">
        <v>0.317413</v>
      </c>
      <c r="AL93">
        <f t="shared" si="18"/>
        <v>37.460312499999993</v>
      </c>
      <c r="AM93">
        <f t="shared" si="19"/>
        <v>11.912117152812499</v>
      </c>
      <c r="AP93" s="9"/>
      <c r="AQ93" s="21">
        <v>0.23208599999999999</v>
      </c>
      <c r="AR93" s="21">
        <v>238.672</v>
      </c>
      <c r="AS93" s="21">
        <v>-6.1099199999999999E-2</v>
      </c>
      <c r="AT93" s="21">
        <v>83</v>
      </c>
      <c r="AU93" s="21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1">
        <v>0.31799300000000003</v>
      </c>
      <c r="AZ93" s="21">
        <v>285.78800000000001</v>
      </c>
      <c r="BA93" s="21">
        <v>-5.9997599999999998E-2</v>
      </c>
      <c r="BB93" s="21">
        <v>83</v>
      </c>
      <c r="BC93" s="21">
        <v>0.317413</v>
      </c>
      <c r="BD93">
        <f t="shared" si="22"/>
        <v>37.4985</v>
      </c>
      <c r="BE93">
        <f t="shared" si="23"/>
        <v>11.924260510500002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0.227051</v>
      </c>
      <c r="H94" s="21">
        <v>50.192100000000003</v>
      </c>
      <c r="I94" s="21">
        <v>-6.1248799999999999E-2</v>
      </c>
      <c r="J94" s="21">
        <v>84</v>
      </c>
      <c r="K94" s="21">
        <v>0.225464</v>
      </c>
      <c r="L94">
        <f t="shared" si="12"/>
        <v>38.280499999999996</v>
      </c>
      <c r="M94">
        <f t="shared" si="13"/>
        <v>8.6916258054999993</v>
      </c>
      <c r="N94" s="9"/>
      <c r="O94" s="21">
        <v>0.32302900000000001</v>
      </c>
      <c r="P94" s="21">
        <v>97.391499999999994</v>
      </c>
      <c r="Q94" s="21">
        <v>-5.9936499999999997E-2</v>
      </c>
      <c r="R94" s="21">
        <v>84</v>
      </c>
      <c r="S94" s="21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1">
        <v>0.227051</v>
      </c>
      <c r="Z94" s="21">
        <v>144.46299999999999</v>
      </c>
      <c r="AA94" s="21">
        <v>-6.1138900000000003E-2</v>
      </c>
      <c r="AB94" s="21">
        <v>84</v>
      </c>
      <c r="AC94" s="21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1">
        <v>0.32302900000000001</v>
      </c>
      <c r="AH94" s="21">
        <v>191.54499999999999</v>
      </c>
      <c r="AI94" s="21">
        <v>-5.9845000000000002E-2</v>
      </c>
      <c r="AJ94" s="21">
        <v>84</v>
      </c>
      <c r="AK94" s="21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1">
        <v>0.227051</v>
      </c>
      <c r="AR94" s="21">
        <v>238.68199999999999</v>
      </c>
      <c r="AS94" s="21">
        <v>-6.1148099999999997E-2</v>
      </c>
      <c r="AT94" s="21">
        <v>84</v>
      </c>
      <c r="AU94" s="21">
        <v>0.225464</v>
      </c>
      <c r="AV94">
        <f t="shared" si="20"/>
        <v>38.2175625</v>
      </c>
      <c r="AW94">
        <f t="shared" si="21"/>
        <v>8.6773357831875</v>
      </c>
      <c r="AX94" s="9"/>
      <c r="AY94" s="21">
        <v>0.32302900000000001</v>
      </c>
      <c r="AZ94" s="21">
        <v>285.798</v>
      </c>
      <c r="BA94" s="21">
        <v>-5.9936499999999997E-2</v>
      </c>
      <c r="BB94" s="21">
        <v>84</v>
      </c>
      <c r="BC94" s="21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0.22201499999999999</v>
      </c>
      <c r="H95" s="21">
        <v>50.202199999999998</v>
      </c>
      <c r="I95" s="21">
        <v>-6.1282299999999998E-2</v>
      </c>
      <c r="J95" s="21">
        <v>85</v>
      </c>
      <c r="K95" s="21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1">
        <v>0.32806400000000002</v>
      </c>
      <c r="P95" s="21">
        <v>97.401600000000002</v>
      </c>
      <c r="Q95" s="21">
        <v>-5.9845000000000002E-2</v>
      </c>
      <c r="R95" s="21">
        <v>85</v>
      </c>
      <c r="S95" s="21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1">
        <v>0.22201499999999999</v>
      </c>
      <c r="Z95" s="21">
        <v>144.47300000000001</v>
      </c>
      <c r="AA95" s="21">
        <v>-6.1190799999999997E-2</v>
      </c>
      <c r="AB95" s="21">
        <v>85</v>
      </c>
      <c r="AC95" s="21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1">
        <v>0.32806400000000002</v>
      </c>
      <c r="AH95" s="21">
        <v>191.55500000000001</v>
      </c>
      <c r="AI95" s="21">
        <v>-5.9783900000000001E-2</v>
      </c>
      <c r="AJ95" s="21">
        <v>85</v>
      </c>
      <c r="AK95" s="21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1">
        <v>0.22201499999999999</v>
      </c>
      <c r="AR95" s="21">
        <v>238.69200000000001</v>
      </c>
      <c r="AS95" s="21">
        <v>-6.11786E-2</v>
      </c>
      <c r="AT95" s="21">
        <v>85</v>
      </c>
      <c r="AU95" s="21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1">
        <v>0.32806400000000002</v>
      </c>
      <c r="AZ95" s="21">
        <v>285.80799999999999</v>
      </c>
      <c r="BA95" s="21">
        <v>-5.9875499999999998E-2</v>
      </c>
      <c r="BB95" s="21">
        <v>85</v>
      </c>
      <c r="BC95" s="21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0.21698000000000001</v>
      </c>
      <c r="H96" s="21">
        <v>50.212200000000003</v>
      </c>
      <c r="I96" s="21">
        <v>-6.13159E-2</v>
      </c>
      <c r="J96" s="21">
        <v>86</v>
      </c>
      <c r="K96" s="21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1">
        <v>0.33309899999999998</v>
      </c>
      <c r="P96" s="21">
        <v>97.411600000000007</v>
      </c>
      <c r="Q96" s="21">
        <v>-5.9783900000000001E-2</v>
      </c>
      <c r="R96" s="21">
        <v>86</v>
      </c>
      <c r="S96" s="21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1">
        <v>0.21698000000000001</v>
      </c>
      <c r="Z96" s="21">
        <v>144.483</v>
      </c>
      <c r="AA96" s="21">
        <v>-6.12457E-2</v>
      </c>
      <c r="AB96" s="21">
        <v>86</v>
      </c>
      <c r="AC96" s="21">
        <v>0.215424</v>
      </c>
      <c r="AD96">
        <f t="shared" si="16"/>
        <v>38.278562499999992</v>
      </c>
      <c r="AE96">
        <f t="shared" si="17"/>
        <v>8.305682491249998</v>
      </c>
      <c r="AF96" s="9"/>
      <c r="AG96" s="21">
        <v>0.33309899999999998</v>
      </c>
      <c r="AH96" s="21">
        <v>191.565</v>
      </c>
      <c r="AI96" s="21">
        <v>-5.96924E-2</v>
      </c>
      <c r="AJ96" s="21">
        <v>86</v>
      </c>
      <c r="AK96" s="21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1">
        <v>0.21698000000000001</v>
      </c>
      <c r="AR96" s="21">
        <v>238.702</v>
      </c>
      <c r="AS96" s="21">
        <v>-6.1212200000000001E-2</v>
      </c>
      <c r="AT96" s="21">
        <v>86</v>
      </c>
      <c r="AU96" s="21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1">
        <v>0.33309899999999998</v>
      </c>
      <c r="AZ96" s="21">
        <v>285.81799999999998</v>
      </c>
      <c r="BA96" s="21">
        <v>-5.9783900000000001E-2</v>
      </c>
      <c r="BB96" s="21">
        <v>86</v>
      </c>
      <c r="BC96" s="21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0.21194499999999999</v>
      </c>
      <c r="H97" s="21">
        <v>50.222299999999997</v>
      </c>
      <c r="I97" s="21">
        <v>-6.1358599999999999E-2</v>
      </c>
      <c r="J97" s="21">
        <v>87</v>
      </c>
      <c r="K97" s="21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1">
        <v>0.33813500000000002</v>
      </c>
      <c r="P97" s="21">
        <v>97.421700000000001</v>
      </c>
      <c r="Q97" s="21">
        <v>-5.9722900000000002E-2</v>
      </c>
      <c r="R97" s="21">
        <v>87</v>
      </c>
      <c r="S97" s="21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1">
        <v>0.21194499999999999</v>
      </c>
      <c r="Z97" s="21">
        <v>144.49299999999999</v>
      </c>
      <c r="AA97" s="21">
        <v>-6.1288500000000003E-2</v>
      </c>
      <c r="AB97" s="21">
        <v>87</v>
      </c>
      <c r="AC97" s="21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1">
        <v>0.33813500000000002</v>
      </c>
      <c r="AH97" s="21">
        <v>191.57599999999999</v>
      </c>
      <c r="AI97" s="21">
        <v>-5.9631299999999998E-2</v>
      </c>
      <c r="AJ97" s="21">
        <v>87</v>
      </c>
      <c r="AK97" s="21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1">
        <v>0.21194499999999999</v>
      </c>
      <c r="AR97" s="21">
        <v>238.71199999999999</v>
      </c>
      <c r="AS97" s="21">
        <v>-6.1242699999999997E-2</v>
      </c>
      <c r="AT97" s="21">
        <v>87</v>
      </c>
      <c r="AU97" s="21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1">
        <v>0.33813500000000002</v>
      </c>
      <c r="AZ97" s="21">
        <v>285.82799999999997</v>
      </c>
      <c r="BA97" s="21">
        <v>-5.96924E-2</v>
      </c>
      <c r="BB97" s="21">
        <v>87</v>
      </c>
      <c r="BC97" s="21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0.20690900000000001</v>
      </c>
      <c r="H98" s="21">
        <v>50.232399999999998</v>
      </c>
      <c r="I98" s="21">
        <v>-6.1404399999999998E-2</v>
      </c>
      <c r="J98" s="21">
        <v>88</v>
      </c>
      <c r="K98" s="21">
        <v>0.205322</v>
      </c>
      <c r="L98">
        <f t="shared" si="12"/>
        <v>38.377749999999992</v>
      </c>
      <c r="M98">
        <f t="shared" si="13"/>
        <v>7.9407018747499984</v>
      </c>
      <c r="N98" s="9"/>
      <c r="O98" s="21">
        <v>0.34316999999999998</v>
      </c>
      <c r="P98" s="21">
        <v>97.431799999999996</v>
      </c>
      <c r="Q98" s="21">
        <v>-5.9600800000000002E-2</v>
      </c>
      <c r="R98" s="21">
        <v>88</v>
      </c>
      <c r="S98" s="21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1">
        <v>0.20690900000000001</v>
      </c>
      <c r="Z98" s="21">
        <v>144.50299999999999</v>
      </c>
      <c r="AA98" s="21">
        <v>-6.1328100000000003E-2</v>
      </c>
      <c r="AB98" s="21">
        <v>88</v>
      </c>
      <c r="AC98" s="21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1">
        <v>0.34316999999999998</v>
      </c>
      <c r="AH98" s="21">
        <v>191.58600000000001</v>
      </c>
      <c r="AI98" s="21">
        <v>-5.9539799999999997E-2</v>
      </c>
      <c r="AJ98" s="21">
        <v>88</v>
      </c>
      <c r="AK98" s="21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1">
        <v>0.20690900000000001</v>
      </c>
      <c r="AR98" s="21">
        <v>238.72200000000001</v>
      </c>
      <c r="AS98" s="21">
        <v>-6.1285399999999997E-2</v>
      </c>
      <c r="AT98" s="21">
        <v>88</v>
      </c>
      <c r="AU98" s="21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1">
        <v>0.34316999999999998</v>
      </c>
      <c r="AZ98" s="21">
        <v>285.83800000000002</v>
      </c>
      <c r="BA98" s="21">
        <v>-5.9600800000000002E-2</v>
      </c>
      <c r="BB98" s="21">
        <v>88</v>
      </c>
      <c r="BC98" s="21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0.201874</v>
      </c>
      <c r="H99" s="21">
        <v>50.2425</v>
      </c>
      <c r="I99" s="21">
        <v>-6.1438E-2</v>
      </c>
      <c r="J99" s="21">
        <v>89</v>
      </c>
      <c r="K99" s="21">
        <v>0.200378</v>
      </c>
      <c r="L99">
        <f t="shared" si="12"/>
        <v>38.398749999999993</v>
      </c>
      <c r="M99">
        <f t="shared" si="13"/>
        <v>7.7517092574999982</v>
      </c>
      <c r="N99" s="9"/>
      <c r="O99" s="21">
        <v>0.34820600000000002</v>
      </c>
      <c r="P99" s="21">
        <v>97.441800000000001</v>
      </c>
      <c r="Q99" s="21">
        <v>-5.9509300000000001E-2</v>
      </c>
      <c r="R99" s="21">
        <v>89</v>
      </c>
      <c r="S99" s="21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1">
        <v>0.201874</v>
      </c>
      <c r="Z99" s="21">
        <v>144.51300000000001</v>
      </c>
      <c r="AA99" s="21">
        <v>-6.1364700000000001E-2</v>
      </c>
      <c r="AB99" s="21">
        <v>89</v>
      </c>
      <c r="AC99" s="21">
        <v>0.200317</v>
      </c>
      <c r="AD99">
        <f t="shared" si="16"/>
        <v>38.352937499999996</v>
      </c>
      <c r="AE99">
        <f t="shared" si="17"/>
        <v>7.7424609048749993</v>
      </c>
      <c r="AF99" s="9"/>
      <c r="AG99" s="21">
        <v>0.34820600000000002</v>
      </c>
      <c r="AH99" s="21">
        <v>191.596</v>
      </c>
      <c r="AI99" s="21">
        <v>-5.94482E-2</v>
      </c>
      <c r="AJ99" s="21">
        <v>89</v>
      </c>
      <c r="AK99" s="21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1">
        <v>0.201874</v>
      </c>
      <c r="AR99" s="21">
        <v>238.732</v>
      </c>
      <c r="AS99" s="21">
        <v>-6.13159E-2</v>
      </c>
      <c r="AT99" s="21">
        <v>89</v>
      </c>
      <c r="AU99" s="21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1">
        <v>0.34820600000000002</v>
      </c>
      <c r="AZ99" s="21">
        <v>285.84800000000001</v>
      </c>
      <c r="BA99" s="21">
        <v>-5.9509300000000001E-2</v>
      </c>
      <c r="BB99" s="21">
        <v>89</v>
      </c>
      <c r="BC99" s="21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0.19683800000000001</v>
      </c>
      <c r="H100" s="21">
        <v>50.252499999999998</v>
      </c>
      <c r="I100" s="21">
        <v>-6.1465499999999999E-2</v>
      </c>
      <c r="J100" s="21">
        <v>90</v>
      </c>
      <c r="K100" s="21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1">
        <v>0.35324100000000003</v>
      </c>
      <c r="P100" s="21">
        <v>97.451899999999995</v>
      </c>
      <c r="Q100" s="21">
        <v>-5.9417699999999997E-2</v>
      </c>
      <c r="R100" s="21">
        <v>90</v>
      </c>
      <c r="S100" s="21">
        <v>0.352661</v>
      </c>
      <c r="T100">
        <f t="shared" si="14"/>
        <v>37.136062499999994</v>
      </c>
      <c r="U100">
        <f t="shared" si="15"/>
        <v>13.117979853562499</v>
      </c>
      <c r="X100" s="9"/>
      <c r="Y100" s="21">
        <v>0.19683800000000001</v>
      </c>
      <c r="Z100" s="21">
        <v>144.523</v>
      </c>
      <c r="AA100" s="21">
        <v>-6.1407499999999997E-2</v>
      </c>
      <c r="AB100" s="21">
        <v>90</v>
      </c>
      <c r="AC100" s="21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1">
        <v>0.35324100000000003</v>
      </c>
      <c r="AH100" s="21">
        <v>191.60599999999999</v>
      </c>
      <c r="AI100" s="21">
        <v>-5.9356699999999998E-2</v>
      </c>
      <c r="AJ100" s="21">
        <v>90</v>
      </c>
      <c r="AK100" s="21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1">
        <v>0.19683800000000001</v>
      </c>
      <c r="AR100" s="21">
        <v>238.74199999999999</v>
      </c>
      <c r="AS100" s="21">
        <v>-6.1355600000000003E-2</v>
      </c>
      <c r="AT100" s="21">
        <v>90</v>
      </c>
      <c r="AU100" s="21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1">
        <v>0.35324100000000003</v>
      </c>
      <c r="AZ100" s="21">
        <v>285.85899999999998</v>
      </c>
      <c r="BA100" s="21">
        <v>-5.9387200000000001E-2</v>
      </c>
      <c r="BB100" s="21">
        <v>90</v>
      </c>
      <c r="BC100" s="21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0.191803</v>
      </c>
      <c r="H101" s="21">
        <v>50.262599999999999</v>
      </c>
      <c r="I101" s="21">
        <v>-6.14899E-2</v>
      </c>
      <c r="J101" s="21">
        <v>91</v>
      </c>
      <c r="K101" s="21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1">
        <v>0.35827599999999998</v>
      </c>
      <c r="P101" s="21">
        <v>97.462000000000003</v>
      </c>
      <c r="Q101" s="21">
        <v>-5.9326200000000003E-2</v>
      </c>
      <c r="R101" s="21">
        <v>91</v>
      </c>
      <c r="S101" s="21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1">
        <v>0.191803</v>
      </c>
      <c r="Z101" s="21">
        <v>144.53299999999999</v>
      </c>
      <c r="AA101" s="21">
        <v>-6.1453199999999999E-2</v>
      </c>
      <c r="AB101" s="21">
        <v>91</v>
      </c>
      <c r="AC101" s="21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1">
        <v>0.35827599999999998</v>
      </c>
      <c r="AH101" s="21">
        <v>191.61600000000001</v>
      </c>
      <c r="AI101" s="21">
        <v>-5.9265100000000001E-2</v>
      </c>
      <c r="AJ101" s="21">
        <v>91</v>
      </c>
      <c r="AK101" s="21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1">
        <v>0.191803</v>
      </c>
      <c r="AR101" s="21">
        <v>238.75200000000001</v>
      </c>
      <c r="AS101" s="21">
        <v>-6.1398300000000003E-2</v>
      </c>
      <c r="AT101" s="21">
        <v>91</v>
      </c>
      <c r="AU101" s="21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1">
        <v>0.35827599999999998</v>
      </c>
      <c r="AZ101" s="21">
        <v>285.86900000000003</v>
      </c>
      <c r="BA101" s="21">
        <v>-5.92957E-2</v>
      </c>
      <c r="BB101" s="21">
        <v>91</v>
      </c>
      <c r="BC101" s="21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0.18676799999999999</v>
      </c>
      <c r="H102" s="21">
        <v>50.2727</v>
      </c>
      <c r="I102" s="21">
        <v>-6.1514300000000001E-2</v>
      </c>
      <c r="J102" s="21">
        <v>92</v>
      </c>
      <c r="K102" s="21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1">
        <v>0.36331200000000002</v>
      </c>
      <c r="P102" s="21">
        <v>97.472099999999998</v>
      </c>
      <c r="Q102" s="21">
        <v>-5.9234599999999998E-2</v>
      </c>
      <c r="R102" s="21">
        <v>92</v>
      </c>
      <c r="S102" s="21">
        <v>0.362732</v>
      </c>
      <c r="T102">
        <f t="shared" si="14"/>
        <v>37.021624999999993</v>
      </c>
      <c r="U102">
        <f t="shared" si="15"/>
        <v>13.450400621999998</v>
      </c>
      <c r="X102" s="9"/>
      <c r="Y102" s="21">
        <v>0.18676799999999999</v>
      </c>
      <c r="Z102" s="21">
        <v>144.54300000000001</v>
      </c>
      <c r="AA102" s="21">
        <v>-6.1498999999999998E-2</v>
      </c>
      <c r="AB102" s="21">
        <v>92</v>
      </c>
      <c r="AC102" s="21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1">
        <v>0.36331200000000002</v>
      </c>
      <c r="AH102" s="21">
        <v>191.626</v>
      </c>
      <c r="AI102" s="21">
        <v>-5.9143099999999997E-2</v>
      </c>
      <c r="AJ102" s="21">
        <v>92</v>
      </c>
      <c r="AK102" s="21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1">
        <v>0.18676799999999999</v>
      </c>
      <c r="AR102" s="21">
        <v>238.762</v>
      </c>
      <c r="AS102" s="21">
        <v>-6.1428799999999999E-2</v>
      </c>
      <c r="AT102" s="21">
        <v>92</v>
      </c>
      <c r="AU102" s="21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1">
        <v>0.36331200000000002</v>
      </c>
      <c r="AZ102" s="21">
        <v>285.87900000000002</v>
      </c>
      <c r="BA102" s="21">
        <v>-5.9204100000000003E-2</v>
      </c>
      <c r="BB102" s="21">
        <v>92</v>
      </c>
      <c r="BC102" s="21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0.181732</v>
      </c>
      <c r="H103" s="21">
        <v>50.282699999999998</v>
      </c>
      <c r="I103" s="21">
        <v>-6.1529500000000001E-2</v>
      </c>
      <c r="J103" s="21">
        <v>93</v>
      </c>
      <c r="K103" s="21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1">
        <v>0.36834699999999998</v>
      </c>
      <c r="P103" s="21">
        <v>97.482100000000003</v>
      </c>
      <c r="Q103" s="21">
        <v>-5.9112499999999998E-2</v>
      </c>
      <c r="R103" s="21">
        <v>93</v>
      </c>
      <c r="S103" s="21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1">
        <v>0.181732</v>
      </c>
      <c r="Z103" s="21">
        <v>144.554</v>
      </c>
      <c r="AA103" s="21">
        <v>-6.15326E-2</v>
      </c>
      <c r="AB103" s="21">
        <v>93</v>
      </c>
      <c r="AC103" s="21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1">
        <v>0.36834699999999998</v>
      </c>
      <c r="AH103" s="21">
        <v>191.636</v>
      </c>
      <c r="AI103" s="21">
        <v>-5.90515E-2</v>
      </c>
      <c r="AJ103" s="21">
        <v>93</v>
      </c>
      <c r="AK103" s="21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1">
        <v>0.181732</v>
      </c>
      <c r="AR103" s="21">
        <v>238.77199999999999</v>
      </c>
      <c r="AS103" s="21">
        <v>-6.1450200000000003E-2</v>
      </c>
      <c r="AT103" s="21">
        <v>93</v>
      </c>
      <c r="AU103" s="21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1">
        <v>0.36834699999999998</v>
      </c>
      <c r="AZ103" s="21">
        <v>285.88900000000001</v>
      </c>
      <c r="BA103" s="21">
        <v>-5.9112499999999998E-2</v>
      </c>
      <c r="BB103" s="21">
        <v>93</v>
      </c>
      <c r="BC103" s="21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0.17669699999999999</v>
      </c>
      <c r="H104" s="21">
        <v>50.2928</v>
      </c>
      <c r="I104" s="21">
        <v>-6.1538700000000002E-2</v>
      </c>
      <c r="J104" s="21">
        <v>94</v>
      </c>
      <c r="K104" s="21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1">
        <v>0.37338300000000002</v>
      </c>
      <c r="P104" s="21">
        <v>97.492199999999997</v>
      </c>
      <c r="Q104" s="21">
        <v>-5.9020999999999997E-2</v>
      </c>
      <c r="R104" s="21">
        <v>94</v>
      </c>
      <c r="S104" s="21">
        <v>0.372803</v>
      </c>
      <c r="T104">
        <f t="shared" si="14"/>
        <v>36.888124999999995</v>
      </c>
      <c r="U104">
        <f t="shared" si="15"/>
        <v>13.773398776874998</v>
      </c>
      <c r="X104" s="9"/>
      <c r="Y104" s="21">
        <v>0.17669699999999999</v>
      </c>
      <c r="Z104" s="21">
        <v>144.56399999999999</v>
      </c>
      <c r="AA104" s="21">
        <v>-6.1566200000000001E-2</v>
      </c>
      <c r="AB104" s="21">
        <v>94</v>
      </c>
      <c r="AC104" s="21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1">
        <v>0.37338300000000002</v>
      </c>
      <c r="AH104" s="21">
        <v>191.64599999999999</v>
      </c>
      <c r="AI104" s="21">
        <v>-5.8959999999999999E-2</v>
      </c>
      <c r="AJ104" s="21">
        <v>94</v>
      </c>
      <c r="AK104" s="21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1">
        <v>0.17669699999999999</v>
      </c>
      <c r="AR104" s="21">
        <v>238.78200000000001</v>
      </c>
      <c r="AS104" s="21">
        <v>-6.1468500000000002E-2</v>
      </c>
      <c r="AT104" s="21">
        <v>94</v>
      </c>
      <c r="AU104" s="21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1">
        <v>0.37338300000000002</v>
      </c>
      <c r="AZ104" s="21">
        <v>285.899</v>
      </c>
      <c r="BA104" s="21">
        <v>-5.9020999999999997E-2</v>
      </c>
      <c r="BB104" s="21">
        <v>94</v>
      </c>
      <c r="BC104" s="21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0.17166100000000001</v>
      </c>
      <c r="H105" s="21">
        <v>50.302900000000001</v>
      </c>
      <c r="I105" s="21">
        <v>-6.1553999999999998E-2</v>
      </c>
      <c r="J105" s="21">
        <v>95</v>
      </c>
      <c r="K105" s="21">
        <v>0.170074</v>
      </c>
      <c r="L105">
        <f t="shared" si="12"/>
        <v>38.471249999999998</v>
      </c>
      <c r="M105">
        <f t="shared" si="13"/>
        <v>6.6040132462500001</v>
      </c>
      <c r="N105" s="9"/>
      <c r="O105" s="21">
        <v>0.37841799999999998</v>
      </c>
      <c r="P105" s="21">
        <v>97.502300000000005</v>
      </c>
      <c r="Q105" s="21">
        <v>-5.8898899999999997E-2</v>
      </c>
      <c r="R105" s="21">
        <v>95</v>
      </c>
      <c r="S105" s="21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1">
        <v>0.17166100000000001</v>
      </c>
      <c r="Z105" s="21">
        <v>144.57400000000001</v>
      </c>
      <c r="AA105" s="21">
        <v>-6.1593599999999998E-2</v>
      </c>
      <c r="AB105" s="21">
        <v>95</v>
      </c>
      <c r="AC105" s="21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1">
        <v>0.37841799999999998</v>
      </c>
      <c r="AH105" s="21">
        <v>191.65600000000001</v>
      </c>
      <c r="AI105" s="21">
        <v>-5.8837899999999999E-2</v>
      </c>
      <c r="AJ105" s="21">
        <v>95</v>
      </c>
      <c r="AK105" s="21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1">
        <v>0.17166100000000001</v>
      </c>
      <c r="AR105" s="21">
        <v>238.79300000000001</v>
      </c>
      <c r="AS105" s="21">
        <v>-6.1486800000000001E-2</v>
      </c>
      <c r="AT105" s="21">
        <v>95</v>
      </c>
      <c r="AU105" s="21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1">
        <v>0.37841799999999998</v>
      </c>
      <c r="AZ105" s="21">
        <v>285.90899999999999</v>
      </c>
      <c r="BA105" s="21">
        <v>-5.89294E-2</v>
      </c>
      <c r="BB105" s="21">
        <v>95</v>
      </c>
      <c r="BC105" s="21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0.166626</v>
      </c>
      <c r="H106" s="21">
        <v>50.313000000000002</v>
      </c>
      <c r="I106" s="21">
        <v>-6.1581400000000001E-2</v>
      </c>
      <c r="J106" s="21">
        <v>96</v>
      </c>
      <c r="K106" s="21">
        <v>0.1651</v>
      </c>
      <c r="L106">
        <f t="shared" si="12"/>
        <v>38.488374999999998</v>
      </c>
      <c r="M106">
        <f t="shared" si="13"/>
        <v>6.4131639727499996</v>
      </c>
      <c r="N106" s="9"/>
      <c r="O106" s="21">
        <v>0.38345299999999999</v>
      </c>
      <c r="P106" s="21">
        <v>97.512299999999996</v>
      </c>
      <c r="Q106" s="21">
        <v>-5.87769E-2</v>
      </c>
      <c r="R106" s="21">
        <v>96</v>
      </c>
      <c r="S106" s="21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1">
        <v>0.166626</v>
      </c>
      <c r="Z106" s="21">
        <v>144.584</v>
      </c>
      <c r="AA106" s="21">
        <v>-6.1602799999999999E-2</v>
      </c>
      <c r="AB106" s="21">
        <v>96</v>
      </c>
      <c r="AC106" s="21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1">
        <v>0.38345299999999999</v>
      </c>
      <c r="AH106" s="21">
        <v>191.666</v>
      </c>
      <c r="AI106" s="21">
        <v>-5.8746300000000001E-2</v>
      </c>
      <c r="AJ106" s="21">
        <v>96</v>
      </c>
      <c r="AK106" s="21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1">
        <v>0.166626</v>
      </c>
      <c r="AR106" s="21">
        <v>238.803</v>
      </c>
      <c r="AS106" s="21">
        <v>-6.14899E-2</v>
      </c>
      <c r="AT106" s="21">
        <v>96</v>
      </c>
      <c r="AU106" s="21">
        <v>0.1651</v>
      </c>
      <c r="AV106">
        <f t="shared" si="20"/>
        <v>38.4311875</v>
      </c>
      <c r="AW106">
        <f t="shared" si="21"/>
        <v>6.4036350483749995</v>
      </c>
      <c r="AX106" s="9"/>
      <c r="AY106" s="21">
        <v>0.38345299999999999</v>
      </c>
      <c r="AZ106" s="21">
        <v>285.91899999999998</v>
      </c>
      <c r="BA106" s="21">
        <v>-5.8837899999999999E-2</v>
      </c>
      <c r="BB106" s="21">
        <v>96</v>
      </c>
      <c r="BC106" s="21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0.16159100000000001</v>
      </c>
      <c r="H107" s="21">
        <v>50.323</v>
      </c>
      <c r="I107" s="21">
        <v>-6.1633300000000002E-2</v>
      </c>
      <c r="J107" s="21">
        <v>97</v>
      </c>
      <c r="K107" s="21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1">
        <v>0.38848899999999997</v>
      </c>
      <c r="P107" s="21">
        <v>97.522400000000005</v>
      </c>
      <c r="Q107" s="21">
        <v>-5.8685300000000003E-2</v>
      </c>
      <c r="R107" s="21">
        <v>97</v>
      </c>
      <c r="S107" s="21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1">
        <v>0.16159100000000001</v>
      </c>
      <c r="Z107" s="21">
        <v>144.59399999999999</v>
      </c>
      <c r="AA107" s="21">
        <v>-6.1636400000000001E-2</v>
      </c>
      <c r="AB107" s="21">
        <v>97</v>
      </c>
      <c r="AC107" s="21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1">
        <v>0.38848899999999997</v>
      </c>
      <c r="AH107" s="21">
        <v>191.67599999999999</v>
      </c>
      <c r="AI107" s="21">
        <v>-5.8624299999999997E-2</v>
      </c>
      <c r="AJ107" s="21">
        <v>97</v>
      </c>
      <c r="AK107" s="21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1">
        <v>0.16159100000000001</v>
      </c>
      <c r="AR107" s="21">
        <v>238.81299999999999</v>
      </c>
      <c r="AS107" s="21">
        <v>-6.15051E-2</v>
      </c>
      <c r="AT107" s="21">
        <v>97</v>
      </c>
      <c r="AU107" s="21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1">
        <v>0.38848899999999997</v>
      </c>
      <c r="AZ107" s="21">
        <v>285.92899999999997</v>
      </c>
      <c r="BA107" s="21">
        <v>-5.8715799999999999E-2</v>
      </c>
      <c r="BB107" s="21">
        <v>97</v>
      </c>
      <c r="BC107" s="21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0.156555</v>
      </c>
      <c r="H108" s="21">
        <v>50.333100000000002</v>
      </c>
      <c r="I108" s="21">
        <v>-6.1679100000000001E-2</v>
      </c>
      <c r="J108" s="21">
        <v>98</v>
      </c>
      <c r="K108" s="21">
        <v>0.155029</v>
      </c>
      <c r="L108">
        <f t="shared" si="12"/>
        <v>38.549437499999996</v>
      </c>
      <c r="M108">
        <f t="shared" si="13"/>
        <v>6.0351071878124998</v>
      </c>
      <c r="N108" s="9"/>
      <c r="O108" s="21">
        <v>0.39352399999999998</v>
      </c>
      <c r="P108" s="21">
        <v>97.532499999999999</v>
      </c>
      <c r="Q108" s="21">
        <v>-5.8563200000000003E-2</v>
      </c>
      <c r="R108" s="21">
        <v>98</v>
      </c>
      <c r="S108" s="21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1">
        <v>0.156555</v>
      </c>
      <c r="Z108" s="21">
        <v>144.60400000000001</v>
      </c>
      <c r="AA108" s="21">
        <v>-6.1645499999999999E-2</v>
      </c>
      <c r="AB108" s="21">
        <v>98</v>
      </c>
      <c r="AC108" s="21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1">
        <v>0.39352399999999998</v>
      </c>
      <c r="AH108" s="21">
        <v>191.68600000000001</v>
      </c>
      <c r="AI108" s="21">
        <v>-5.85327E-2</v>
      </c>
      <c r="AJ108" s="21">
        <v>98</v>
      </c>
      <c r="AK108" s="21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1">
        <v>0.156555</v>
      </c>
      <c r="AR108" s="21">
        <v>238.82300000000001</v>
      </c>
      <c r="AS108" s="21">
        <v>-6.1529500000000001E-2</v>
      </c>
      <c r="AT108" s="21">
        <v>98</v>
      </c>
      <c r="AU108" s="21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1">
        <v>0.39352399999999998</v>
      </c>
      <c r="AZ108" s="21">
        <v>285.93900000000002</v>
      </c>
      <c r="BA108" s="21">
        <v>-5.8593800000000001E-2</v>
      </c>
      <c r="BB108" s="21">
        <v>98</v>
      </c>
      <c r="BC108" s="21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0.15151999999999999</v>
      </c>
      <c r="H109" s="21">
        <v>50.343200000000003</v>
      </c>
      <c r="I109" s="21">
        <v>-6.1709600000000003E-2</v>
      </c>
      <c r="J109" s="21">
        <v>99</v>
      </c>
      <c r="K109" s="21">
        <v>0.14990200000000001</v>
      </c>
      <c r="L109">
        <f t="shared" si="12"/>
        <v>38.5685</v>
      </c>
      <c r="M109">
        <f t="shared" si="13"/>
        <v>5.8438991199999997</v>
      </c>
      <c r="N109" s="9"/>
      <c r="O109" s="21">
        <v>0.39856000000000003</v>
      </c>
      <c r="P109" s="21">
        <v>97.542599999999993</v>
      </c>
      <c r="Q109" s="21">
        <v>-5.8471700000000001E-2</v>
      </c>
      <c r="R109" s="21">
        <v>99</v>
      </c>
      <c r="S109" s="21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1">
        <v>0.15151999999999999</v>
      </c>
      <c r="Z109" s="21">
        <v>144.614</v>
      </c>
      <c r="AA109" s="21">
        <v>-6.1642500000000003E-2</v>
      </c>
      <c r="AB109" s="21">
        <v>99</v>
      </c>
      <c r="AC109" s="21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1">
        <v>0.39856000000000003</v>
      </c>
      <c r="AH109" s="21">
        <v>191.696</v>
      </c>
      <c r="AI109" s="21">
        <v>-5.84106E-2</v>
      </c>
      <c r="AJ109" s="21">
        <v>99</v>
      </c>
      <c r="AK109" s="21">
        <v>0.397949</v>
      </c>
      <c r="AL109">
        <f t="shared" si="18"/>
        <v>36.506625</v>
      </c>
      <c r="AM109">
        <f t="shared" si="19"/>
        <v>14.55008046</v>
      </c>
      <c r="AP109" s="9"/>
      <c r="AQ109" s="21">
        <v>0.15151999999999999</v>
      </c>
      <c r="AR109" s="21">
        <v>238.833</v>
      </c>
      <c r="AS109" s="21">
        <v>-6.1550899999999999E-2</v>
      </c>
      <c r="AT109" s="21">
        <v>99</v>
      </c>
      <c r="AU109" s="21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1">
        <v>0.39856000000000003</v>
      </c>
      <c r="AZ109" s="21">
        <v>285.94900000000001</v>
      </c>
      <c r="BA109" s="21">
        <v>-5.8471700000000001E-2</v>
      </c>
      <c r="BB109" s="21">
        <v>99</v>
      </c>
      <c r="BC109" s="21">
        <v>0.397949</v>
      </c>
      <c r="BD109">
        <f t="shared" si="22"/>
        <v>36.544812499999999</v>
      </c>
      <c r="BE109">
        <f t="shared" si="23"/>
        <v>14.56530047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0.146484</v>
      </c>
      <c r="H110" s="21">
        <v>50.353200000000001</v>
      </c>
      <c r="I110" s="21">
        <v>-6.1724899999999999E-2</v>
      </c>
      <c r="J110" s="21">
        <v>100</v>
      </c>
      <c r="K110" s="21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1">
        <v>0.40359499999999998</v>
      </c>
      <c r="P110" s="21">
        <v>97.552599999999998</v>
      </c>
      <c r="Q110" s="21">
        <v>-5.8349600000000001E-2</v>
      </c>
      <c r="R110" s="21">
        <v>100</v>
      </c>
      <c r="S110" s="21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1">
        <v>0.146484</v>
      </c>
      <c r="Z110" s="21">
        <v>144.624</v>
      </c>
      <c r="AA110" s="21">
        <v>-6.1657700000000003E-2</v>
      </c>
      <c r="AB110" s="21">
        <v>100</v>
      </c>
      <c r="AC110" s="21">
        <v>0.144928</v>
      </c>
      <c r="AD110">
        <f t="shared" si="16"/>
        <v>38.5360625</v>
      </c>
      <c r="AE110">
        <f t="shared" si="17"/>
        <v>5.6449165792500002</v>
      </c>
      <c r="AF110" s="9"/>
      <c r="AG110" s="21">
        <v>0.40359499999999998</v>
      </c>
      <c r="AH110" s="21">
        <v>191.70599999999999</v>
      </c>
      <c r="AI110" s="21">
        <v>-5.8288600000000003E-2</v>
      </c>
      <c r="AJ110" s="21">
        <v>100</v>
      </c>
      <c r="AK110" s="21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1">
        <v>0.146484</v>
      </c>
      <c r="AR110" s="21">
        <v>238.84299999999999</v>
      </c>
      <c r="AS110" s="21">
        <v>-6.1563100000000003E-2</v>
      </c>
      <c r="AT110" s="21">
        <v>100</v>
      </c>
      <c r="AU110" s="21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1">
        <v>0.40359499999999998</v>
      </c>
      <c r="AZ110" s="21">
        <v>285.959</v>
      </c>
      <c r="BA110" s="21">
        <v>-5.8349600000000001E-2</v>
      </c>
      <c r="BB110" s="21">
        <v>100</v>
      </c>
      <c r="BC110" s="21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0.14144899999999999</v>
      </c>
      <c r="H111" s="21">
        <v>50.363300000000002</v>
      </c>
      <c r="I111" s="21">
        <v>-6.17218E-2</v>
      </c>
      <c r="J111" s="21">
        <v>101</v>
      </c>
      <c r="K111" s="21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1">
        <v>0.40862999999999999</v>
      </c>
      <c r="P111" s="21">
        <v>97.562700000000007</v>
      </c>
      <c r="Q111" s="21">
        <v>-5.82581E-2</v>
      </c>
      <c r="R111" s="21">
        <v>101</v>
      </c>
      <c r="S111" s="21">
        <v>0.408051</v>
      </c>
      <c r="T111">
        <f t="shared" si="14"/>
        <v>36.411312500000001</v>
      </c>
      <c r="U111">
        <f t="shared" si="15"/>
        <v>14.878754626875001</v>
      </c>
      <c r="X111" s="9"/>
      <c r="Y111" s="21">
        <v>0.14144899999999999</v>
      </c>
      <c r="Z111" s="21">
        <v>144.63399999999999</v>
      </c>
      <c r="AA111" s="21">
        <v>-6.16547E-2</v>
      </c>
      <c r="AB111" s="21">
        <v>101</v>
      </c>
      <c r="AC111" s="21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1">
        <v>0.40862999999999999</v>
      </c>
      <c r="AH111" s="21">
        <v>191.71700000000001</v>
      </c>
      <c r="AI111" s="21">
        <v>-5.8166500000000003E-2</v>
      </c>
      <c r="AJ111" s="21">
        <v>101</v>
      </c>
      <c r="AK111" s="21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1">
        <v>0.14144899999999999</v>
      </c>
      <c r="AR111" s="21">
        <v>238.85300000000001</v>
      </c>
      <c r="AS111" s="21">
        <v>-6.1566200000000001E-2</v>
      </c>
      <c r="AT111" s="21">
        <v>101</v>
      </c>
      <c r="AU111" s="21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1">
        <v>0.40862999999999999</v>
      </c>
      <c r="AZ111" s="21">
        <v>285.96899999999999</v>
      </c>
      <c r="BA111" s="21">
        <v>-5.8227500000000001E-2</v>
      </c>
      <c r="BB111" s="21">
        <v>101</v>
      </c>
      <c r="BC111" s="21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0.13641400000000001</v>
      </c>
      <c r="H112" s="21">
        <v>50.373399999999997</v>
      </c>
      <c r="I112" s="21">
        <v>-6.1715699999999998E-2</v>
      </c>
      <c r="J112" s="21">
        <v>102</v>
      </c>
      <c r="K112" s="21">
        <v>0.134857</v>
      </c>
      <c r="L112">
        <f t="shared" si="12"/>
        <v>38.572312499999995</v>
      </c>
      <c r="M112">
        <f t="shared" si="13"/>
        <v>5.2618034373749998</v>
      </c>
      <c r="N112" s="9"/>
      <c r="O112" s="21">
        <v>0.41366599999999998</v>
      </c>
      <c r="P112" s="21">
        <v>97.572800000000001</v>
      </c>
      <c r="Q112" s="21">
        <v>-5.8136E-2</v>
      </c>
      <c r="R112" s="21">
        <v>102</v>
      </c>
      <c r="S112" s="21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1">
        <v>0.13641400000000001</v>
      </c>
      <c r="Z112" s="21">
        <v>144.64400000000001</v>
      </c>
      <c r="AA112" s="21">
        <v>-6.1648599999999998E-2</v>
      </c>
      <c r="AB112" s="21">
        <v>102</v>
      </c>
      <c r="AC112" s="21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1">
        <v>0.41366599999999998</v>
      </c>
      <c r="AH112" s="21">
        <v>191.727</v>
      </c>
      <c r="AI112" s="21">
        <v>-5.8044400000000003E-2</v>
      </c>
      <c r="AJ112" s="21">
        <v>102</v>
      </c>
      <c r="AK112" s="21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1">
        <v>0.13641400000000001</v>
      </c>
      <c r="AR112" s="21">
        <v>238.863</v>
      </c>
      <c r="AS112" s="21">
        <v>-6.1605800000000002E-2</v>
      </c>
      <c r="AT112" s="21">
        <v>102</v>
      </c>
      <c r="AU112" s="21">
        <v>0.134796</v>
      </c>
      <c r="AV112">
        <f t="shared" si="20"/>
        <v>38.503625</v>
      </c>
      <c r="AW112">
        <f t="shared" si="21"/>
        <v>5.2524335007500005</v>
      </c>
      <c r="AX112" s="9"/>
      <c r="AY112" s="21">
        <v>0.41366599999999998</v>
      </c>
      <c r="AZ112" s="21">
        <v>285.97899999999998</v>
      </c>
      <c r="BA112" s="21">
        <v>-5.8105499999999997E-2</v>
      </c>
      <c r="BB112" s="21">
        <v>102</v>
      </c>
      <c r="BC112" s="21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0.13137799999999999</v>
      </c>
      <c r="H113" s="21">
        <v>50.383499999999998</v>
      </c>
      <c r="I113" s="21">
        <v>-6.17218E-2</v>
      </c>
      <c r="J113" s="21">
        <v>103</v>
      </c>
      <c r="K113" s="21">
        <v>0.129913</v>
      </c>
      <c r="L113">
        <f t="shared" si="12"/>
        <v>38.576124999999998</v>
      </c>
      <c r="M113">
        <f t="shared" si="13"/>
        <v>5.0680541502499992</v>
      </c>
      <c r="N113" s="9"/>
      <c r="O113" s="21">
        <v>0.41870099999999999</v>
      </c>
      <c r="P113" s="21">
        <v>97.582800000000006</v>
      </c>
      <c r="Q113" s="21">
        <v>-5.7983399999999997E-2</v>
      </c>
      <c r="R113" s="21">
        <v>103</v>
      </c>
      <c r="S113" s="21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1">
        <v>0.13137799999999999</v>
      </c>
      <c r="Z113" s="21">
        <v>144.654</v>
      </c>
      <c r="AA113" s="21">
        <v>-6.1642500000000003E-2</v>
      </c>
      <c r="AB113" s="21">
        <v>103</v>
      </c>
      <c r="AC113" s="21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1">
        <v>0.41870099999999999</v>
      </c>
      <c r="AH113" s="21">
        <v>191.73699999999999</v>
      </c>
      <c r="AI113" s="21">
        <v>-5.7922399999999999E-2</v>
      </c>
      <c r="AJ113" s="21">
        <v>103</v>
      </c>
      <c r="AK113" s="21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1">
        <v>0.13137799999999999</v>
      </c>
      <c r="AR113" s="21">
        <v>238.87299999999999</v>
      </c>
      <c r="AS113" s="21">
        <v>-6.1621099999999998E-2</v>
      </c>
      <c r="AT113" s="21">
        <v>103</v>
      </c>
      <c r="AU113" s="21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1">
        <v>0.41870099999999999</v>
      </c>
      <c r="AZ113" s="21">
        <v>285.98899999999998</v>
      </c>
      <c r="BA113" s="21">
        <v>-5.7952900000000002E-2</v>
      </c>
      <c r="BB113" s="21">
        <v>103</v>
      </c>
      <c r="BC113" s="21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0.12634300000000001</v>
      </c>
      <c r="H114" s="21">
        <v>50.393500000000003</v>
      </c>
      <c r="I114" s="21">
        <v>-6.1737100000000003E-2</v>
      </c>
      <c r="J114" s="21">
        <v>104</v>
      </c>
      <c r="K114" s="21">
        <v>0.124817</v>
      </c>
      <c r="L114">
        <f t="shared" si="12"/>
        <v>38.585687499999999</v>
      </c>
      <c r="M114">
        <f t="shared" si="13"/>
        <v>4.8750315158125002</v>
      </c>
      <c r="N114" s="9"/>
      <c r="O114" s="21">
        <v>0.42373699999999997</v>
      </c>
      <c r="P114" s="21">
        <v>97.5929</v>
      </c>
      <c r="Q114" s="21">
        <v>-5.7830800000000002E-2</v>
      </c>
      <c r="R114" s="21">
        <v>104</v>
      </c>
      <c r="S114" s="21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1">
        <v>0.12634300000000001</v>
      </c>
      <c r="Z114" s="21">
        <v>144.66399999999999</v>
      </c>
      <c r="AA114" s="21">
        <v>-6.1657700000000003E-2</v>
      </c>
      <c r="AB114" s="21">
        <v>104</v>
      </c>
      <c r="AC114" s="21">
        <v>0.124878</v>
      </c>
      <c r="AD114">
        <f t="shared" si="16"/>
        <v>38.5360625</v>
      </c>
      <c r="AE114">
        <f t="shared" si="17"/>
        <v>4.8687617444375002</v>
      </c>
      <c r="AF114" s="9"/>
      <c r="AG114" s="21">
        <v>0.42373699999999997</v>
      </c>
      <c r="AH114" s="21">
        <v>191.74700000000001</v>
      </c>
      <c r="AI114" s="21">
        <v>-5.7800299999999999E-2</v>
      </c>
      <c r="AJ114" s="21">
        <v>104</v>
      </c>
      <c r="AK114" s="21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1">
        <v>0.12634300000000001</v>
      </c>
      <c r="AR114" s="21">
        <v>238.88300000000001</v>
      </c>
      <c r="AS114" s="21">
        <v>-6.1636400000000001E-2</v>
      </c>
      <c r="AT114" s="21">
        <v>104</v>
      </c>
      <c r="AU114" s="21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1">
        <v>0.42373699999999997</v>
      </c>
      <c r="AZ114" s="21">
        <v>286</v>
      </c>
      <c r="BA114" s="21">
        <v>-5.7830800000000002E-2</v>
      </c>
      <c r="BB114" s="21">
        <v>104</v>
      </c>
      <c r="BC114" s="21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0.121307</v>
      </c>
      <c r="H115" s="21">
        <v>50.403599999999997</v>
      </c>
      <c r="I115" s="21">
        <v>-6.1758399999999998E-2</v>
      </c>
      <c r="J115" s="21">
        <v>105</v>
      </c>
      <c r="K115" s="21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1">
        <v>0.42877199999999999</v>
      </c>
      <c r="P115" s="21">
        <v>97.602999999999994</v>
      </c>
      <c r="Q115" s="21">
        <v>-5.7678199999999999E-2</v>
      </c>
      <c r="R115" s="21">
        <v>105</v>
      </c>
      <c r="S115" s="21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1">
        <v>0.121307</v>
      </c>
      <c r="Z115" s="21">
        <v>144.67400000000001</v>
      </c>
      <c r="AA115" s="21">
        <v>-6.1679100000000001E-2</v>
      </c>
      <c r="AB115" s="21">
        <v>105</v>
      </c>
      <c r="AC115" s="21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1">
        <v>0.42877199999999999</v>
      </c>
      <c r="AH115" s="21">
        <v>191.75700000000001</v>
      </c>
      <c r="AI115" s="21">
        <v>-5.7647700000000003E-2</v>
      </c>
      <c r="AJ115" s="21">
        <v>105</v>
      </c>
      <c r="AK115" s="21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1">
        <v>0.121307</v>
      </c>
      <c r="AR115" s="21">
        <v>238.893</v>
      </c>
      <c r="AS115" s="21">
        <v>-6.1636400000000001E-2</v>
      </c>
      <c r="AT115" s="21">
        <v>105</v>
      </c>
      <c r="AU115" s="21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1">
        <v>0.42877199999999999</v>
      </c>
      <c r="AZ115" s="21">
        <v>286.01</v>
      </c>
      <c r="BA115" s="21">
        <v>-5.7678199999999999E-2</v>
      </c>
      <c r="BB115" s="21">
        <v>105</v>
      </c>
      <c r="BC115" s="21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0.116272</v>
      </c>
      <c r="H116" s="21">
        <v>50.413699999999999</v>
      </c>
      <c r="I116" s="21">
        <v>-6.1792E-2</v>
      </c>
      <c r="J116" s="21">
        <v>106</v>
      </c>
      <c r="K116" s="21">
        <v>0.114777</v>
      </c>
      <c r="L116">
        <f t="shared" si="12"/>
        <v>38.619999999999997</v>
      </c>
      <c r="M116">
        <f t="shared" si="13"/>
        <v>4.4904246399999996</v>
      </c>
      <c r="N116" s="9"/>
      <c r="O116" s="21">
        <v>0.433807</v>
      </c>
      <c r="P116" s="21">
        <v>97.613100000000003</v>
      </c>
      <c r="Q116" s="21">
        <v>-5.7525600000000003E-2</v>
      </c>
      <c r="R116" s="21">
        <v>106</v>
      </c>
      <c r="S116" s="21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1">
        <v>0.116272</v>
      </c>
      <c r="Z116" s="21">
        <v>144.684</v>
      </c>
      <c r="AA116" s="21">
        <v>-6.1700400000000002E-2</v>
      </c>
      <c r="AB116" s="21">
        <v>106</v>
      </c>
      <c r="AC116" s="21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1">
        <v>0.433807</v>
      </c>
      <c r="AH116" s="21">
        <v>191.767</v>
      </c>
      <c r="AI116" s="21">
        <v>-5.74951E-2</v>
      </c>
      <c r="AJ116" s="21">
        <v>106</v>
      </c>
      <c r="AK116" s="21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1">
        <v>0.116272</v>
      </c>
      <c r="AR116" s="21">
        <v>238.90299999999999</v>
      </c>
      <c r="AS116" s="21">
        <v>-6.1639399999999997E-2</v>
      </c>
      <c r="AT116" s="21">
        <v>106</v>
      </c>
      <c r="AU116" s="21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1">
        <v>0.433807</v>
      </c>
      <c r="AZ116" s="21">
        <v>286.02</v>
      </c>
      <c r="BA116" s="21">
        <v>-5.74951E-2</v>
      </c>
      <c r="BB116" s="21">
        <v>106</v>
      </c>
      <c r="BC116" s="21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0.111237</v>
      </c>
      <c r="H117" s="21">
        <v>50.423699999999997</v>
      </c>
      <c r="I117" s="21">
        <v>-6.1801099999999998E-2</v>
      </c>
      <c r="J117" s="21">
        <v>107</v>
      </c>
      <c r="K117" s="21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1">
        <v>0.43884299999999998</v>
      </c>
      <c r="P117" s="21">
        <v>97.623099999999994</v>
      </c>
      <c r="Q117" s="21">
        <v>-5.7373E-2</v>
      </c>
      <c r="R117" s="21">
        <v>107</v>
      </c>
      <c r="S117" s="21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1">
        <v>0.111237</v>
      </c>
      <c r="Z117" s="21">
        <v>144.69499999999999</v>
      </c>
      <c r="AA117" s="21">
        <v>-6.1733999999999997E-2</v>
      </c>
      <c r="AB117" s="21">
        <v>107</v>
      </c>
      <c r="AC117" s="21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1">
        <v>0.43884299999999998</v>
      </c>
      <c r="AH117" s="21">
        <v>191.77699999999999</v>
      </c>
      <c r="AI117" s="21">
        <v>-5.7342499999999998E-2</v>
      </c>
      <c r="AJ117" s="21">
        <v>107</v>
      </c>
      <c r="AK117" s="21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1">
        <v>0.111237</v>
      </c>
      <c r="AR117" s="21">
        <v>238.91300000000001</v>
      </c>
      <c r="AS117" s="21">
        <v>-6.1660800000000002E-2</v>
      </c>
      <c r="AT117" s="21">
        <v>107</v>
      </c>
      <c r="AU117" s="21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1">
        <v>0.43884299999999998</v>
      </c>
      <c r="AZ117" s="21">
        <v>286.02999999999997</v>
      </c>
      <c r="BA117" s="21">
        <v>-5.7312000000000002E-2</v>
      </c>
      <c r="BB117" s="21">
        <v>107</v>
      </c>
      <c r="BC117" s="21">
        <v>0.43823200000000001</v>
      </c>
      <c r="BD117">
        <f t="shared" si="22"/>
        <v>35.82</v>
      </c>
      <c r="BE117">
        <f t="shared" si="23"/>
        <v>15.71935626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0.106201</v>
      </c>
      <c r="H118" s="21">
        <v>50.433799999999998</v>
      </c>
      <c r="I118" s="21">
        <v>-6.1813399999999998E-2</v>
      </c>
      <c r="J118" s="21">
        <v>108</v>
      </c>
      <c r="K118" s="21">
        <v>0.104736</v>
      </c>
      <c r="L118">
        <f t="shared" si="12"/>
        <v>38.633375000000001</v>
      </c>
      <c r="M118">
        <f t="shared" si="13"/>
        <v>4.1029030583750004</v>
      </c>
      <c r="N118" s="9"/>
      <c r="O118" s="21">
        <v>0.44387799999999999</v>
      </c>
      <c r="P118" s="21">
        <v>97.633200000000002</v>
      </c>
      <c r="Q118" s="21">
        <v>-5.7189900000000002E-2</v>
      </c>
      <c r="R118" s="21">
        <v>108</v>
      </c>
      <c r="S118" s="21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1">
        <v>0.106201</v>
      </c>
      <c r="Z118" s="21">
        <v>144.70500000000001</v>
      </c>
      <c r="AA118" s="21">
        <v>-6.1746200000000001E-2</v>
      </c>
      <c r="AB118" s="21">
        <v>108</v>
      </c>
      <c r="AC118" s="21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1">
        <v>0.44387799999999999</v>
      </c>
      <c r="AH118" s="21">
        <v>191.78700000000001</v>
      </c>
      <c r="AI118" s="21">
        <v>-5.7159399999999999E-2</v>
      </c>
      <c r="AJ118" s="21">
        <v>108</v>
      </c>
      <c r="AK118" s="21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1">
        <v>0.106201</v>
      </c>
      <c r="AR118" s="21">
        <v>238.923</v>
      </c>
      <c r="AS118" s="21">
        <v>-6.1676000000000002E-2</v>
      </c>
      <c r="AT118" s="21">
        <v>108</v>
      </c>
      <c r="AU118" s="21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1">
        <v>0.44387799999999999</v>
      </c>
      <c r="AZ118" s="21">
        <v>286.04000000000002</v>
      </c>
      <c r="BA118" s="21">
        <v>-5.7128900000000003E-2</v>
      </c>
      <c r="BB118" s="21">
        <v>108</v>
      </c>
      <c r="BC118" s="21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0.10116600000000001</v>
      </c>
      <c r="H119" s="21">
        <v>50.443899999999999</v>
      </c>
      <c r="I119" s="21">
        <v>-6.1840800000000001E-2</v>
      </c>
      <c r="J119" s="21">
        <v>109</v>
      </c>
      <c r="K119" s="21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1">
        <v>0.44891399999999998</v>
      </c>
      <c r="P119" s="21">
        <v>97.643299999999996</v>
      </c>
      <c r="Q119" s="21">
        <v>-5.7037400000000002E-2</v>
      </c>
      <c r="R119" s="21">
        <v>109</v>
      </c>
      <c r="S119" s="21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1">
        <v>0.10116600000000001</v>
      </c>
      <c r="Z119" s="21">
        <v>144.715</v>
      </c>
      <c r="AA119" s="21">
        <v>-6.17645E-2</v>
      </c>
      <c r="AB119" s="21">
        <v>109</v>
      </c>
      <c r="AC119" s="21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1">
        <v>0.44891399999999998</v>
      </c>
      <c r="AH119" s="21">
        <v>191.797</v>
      </c>
      <c r="AI119" s="21">
        <v>-5.6945799999999998E-2</v>
      </c>
      <c r="AJ119" s="21">
        <v>109</v>
      </c>
      <c r="AK119" s="21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1">
        <v>0.10116600000000001</v>
      </c>
      <c r="AR119" s="21">
        <v>238.93299999999999</v>
      </c>
      <c r="AS119" s="21">
        <v>-6.1709600000000003E-2</v>
      </c>
      <c r="AT119" s="21">
        <v>109</v>
      </c>
      <c r="AU119" s="21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1">
        <v>0.44891399999999998</v>
      </c>
      <c r="AZ119" s="21">
        <v>286.05</v>
      </c>
      <c r="BA119" s="21">
        <v>-5.6915300000000002E-2</v>
      </c>
      <c r="BB119" s="21">
        <v>109</v>
      </c>
      <c r="BC119" s="21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9.6130400000000005E-2</v>
      </c>
      <c r="H120" s="21">
        <v>50.454000000000001</v>
      </c>
      <c r="I120" s="21">
        <v>-6.1862199999999999E-2</v>
      </c>
      <c r="J120" s="21">
        <v>110</v>
      </c>
      <c r="K120" s="21">
        <v>9.46655E-2</v>
      </c>
      <c r="L120">
        <f t="shared" si="12"/>
        <v>38.663874999999997</v>
      </c>
      <c r="M120">
        <f t="shared" si="13"/>
        <v>3.7167737693</v>
      </c>
      <c r="N120" s="9"/>
      <c r="O120" s="21">
        <v>0.45394899999999999</v>
      </c>
      <c r="P120" s="21">
        <v>97.653300000000002</v>
      </c>
      <c r="Q120" s="21">
        <v>-5.6823699999999998E-2</v>
      </c>
      <c r="R120" s="21">
        <v>110</v>
      </c>
      <c r="S120" s="21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1">
        <v>9.6130400000000005E-2</v>
      </c>
      <c r="Z120" s="21">
        <v>144.72499999999999</v>
      </c>
      <c r="AA120" s="21">
        <v>-6.1755400000000002E-2</v>
      </c>
      <c r="AB120" s="21">
        <v>110</v>
      </c>
      <c r="AC120" s="21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1">
        <v>0.45394899999999999</v>
      </c>
      <c r="AH120" s="21">
        <v>191.80699999999999</v>
      </c>
      <c r="AI120" s="21">
        <v>-5.6701700000000001E-2</v>
      </c>
      <c r="AJ120" s="21">
        <v>110</v>
      </c>
      <c r="AK120" s="21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1">
        <v>9.6130400000000005E-2</v>
      </c>
      <c r="AR120" s="21">
        <v>238.94399999999999</v>
      </c>
      <c r="AS120" s="21">
        <v>-6.1737100000000003E-2</v>
      </c>
      <c r="AT120" s="21">
        <v>110</v>
      </c>
      <c r="AU120" s="21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1">
        <v>0.45394899999999999</v>
      </c>
      <c r="AZ120" s="21">
        <v>286.06</v>
      </c>
      <c r="BA120" s="21">
        <v>-5.6701700000000001E-2</v>
      </c>
      <c r="BB120" s="21">
        <v>110</v>
      </c>
      <c r="BC120" s="21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9.1094999999999995E-2</v>
      </c>
      <c r="H121" s="21">
        <v>50.463999999999999</v>
      </c>
      <c r="I121" s="21">
        <v>-6.1874400000000003E-2</v>
      </c>
      <c r="J121" s="21">
        <v>111</v>
      </c>
      <c r="K121" s="21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1">
        <v>0.458984</v>
      </c>
      <c r="P121" s="21">
        <v>97.663399999999996</v>
      </c>
      <c r="Q121" s="21">
        <v>-5.6579600000000001E-2</v>
      </c>
      <c r="R121" s="21">
        <v>111</v>
      </c>
      <c r="S121" s="21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1">
        <v>9.1094999999999995E-2</v>
      </c>
      <c r="Z121" s="21">
        <v>144.73500000000001</v>
      </c>
      <c r="AA121" s="21">
        <v>-6.1752300000000003E-2</v>
      </c>
      <c r="AB121" s="21">
        <v>111</v>
      </c>
      <c r="AC121" s="21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1">
        <v>0.458984</v>
      </c>
      <c r="AH121" s="21">
        <v>191.81700000000001</v>
      </c>
      <c r="AI121" s="21">
        <v>-5.6457500000000001E-2</v>
      </c>
      <c r="AJ121" s="21">
        <v>111</v>
      </c>
      <c r="AK121" s="21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1">
        <v>9.1094999999999995E-2</v>
      </c>
      <c r="AR121" s="21">
        <v>238.95400000000001</v>
      </c>
      <c r="AS121" s="21">
        <v>-6.1758399999999998E-2</v>
      </c>
      <c r="AT121" s="21">
        <v>111</v>
      </c>
      <c r="AU121" s="21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1">
        <v>0.458984</v>
      </c>
      <c r="AZ121" s="21">
        <v>286.07</v>
      </c>
      <c r="BA121" s="21">
        <v>-5.6426999999999998E-2</v>
      </c>
      <c r="BB121" s="21">
        <v>111</v>
      </c>
      <c r="BC121" s="21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8.60596E-2</v>
      </c>
      <c r="H122" s="21">
        <v>50.4741</v>
      </c>
      <c r="I122" s="21">
        <v>-6.1877399999999999E-2</v>
      </c>
      <c r="J122" s="21">
        <v>112</v>
      </c>
      <c r="K122" s="21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1">
        <v>0.46401999999999999</v>
      </c>
      <c r="P122" s="21">
        <v>97.673500000000004</v>
      </c>
      <c r="Q122" s="21">
        <v>-5.6335400000000001E-2</v>
      </c>
      <c r="R122" s="21">
        <v>112</v>
      </c>
      <c r="S122" s="21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1">
        <v>8.60596E-2</v>
      </c>
      <c r="Z122" s="21">
        <v>144.745</v>
      </c>
      <c r="AA122" s="21">
        <v>-6.1767599999999999E-2</v>
      </c>
      <c r="AB122" s="21">
        <v>112</v>
      </c>
      <c r="AC122" s="21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1">
        <v>0.46401999999999999</v>
      </c>
      <c r="AH122" s="21">
        <v>191.827</v>
      </c>
      <c r="AI122" s="21">
        <v>-5.6213399999999997E-2</v>
      </c>
      <c r="AJ122" s="21">
        <v>112</v>
      </c>
      <c r="AK122" s="21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1">
        <v>8.60596E-2</v>
      </c>
      <c r="AR122" s="21">
        <v>238.964</v>
      </c>
      <c r="AS122" s="21">
        <v>-6.17645E-2</v>
      </c>
      <c r="AT122" s="21">
        <v>112</v>
      </c>
      <c r="AU122" s="21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1">
        <v>0.46401999999999999</v>
      </c>
      <c r="AZ122" s="21">
        <v>286.08</v>
      </c>
      <c r="BA122" s="21">
        <v>-5.6182900000000001E-2</v>
      </c>
      <c r="BB122" s="21">
        <v>112</v>
      </c>
      <c r="BC122" s="21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8.1024200000000005E-2</v>
      </c>
      <c r="H123" s="21">
        <v>50.484200000000001</v>
      </c>
      <c r="I123" s="21">
        <v>-6.1883500000000001E-2</v>
      </c>
      <c r="J123" s="21">
        <v>113</v>
      </c>
      <c r="K123" s="21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1">
        <v>0.469055</v>
      </c>
      <c r="P123" s="21">
        <v>97.683599999999998</v>
      </c>
      <c r="Q123" s="21">
        <v>-5.6091299999999997E-2</v>
      </c>
      <c r="R123" s="21">
        <v>113</v>
      </c>
      <c r="S123" s="21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1">
        <v>8.1024200000000005E-2</v>
      </c>
      <c r="Z123" s="21">
        <v>144.755</v>
      </c>
      <c r="AA123" s="21">
        <v>-6.1785899999999998E-2</v>
      </c>
      <c r="AB123" s="21">
        <v>113</v>
      </c>
      <c r="AC123" s="21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1">
        <v>0.469055</v>
      </c>
      <c r="AH123" s="21">
        <v>191.83699999999999</v>
      </c>
      <c r="AI123" s="21">
        <v>-5.5938700000000001E-2</v>
      </c>
      <c r="AJ123" s="21">
        <v>113</v>
      </c>
      <c r="AK123" s="21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1">
        <v>8.1024200000000005E-2</v>
      </c>
      <c r="AR123" s="21">
        <v>238.97399999999999</v>
      </c>
      <c r="AS123" s="21">
        <v>-6.1773700000000001E-2</v>
      </c>
      <c r="AT123" s="21">
        <v>113</v>
      </c>
      <c r="AU123" s="21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1">
        <v>0.469055</v>
      </c>
      <c r="AZ123" s="21">
        <v>286.08999999999997</v>
      </c>
      <c r="BA123" s="21">
        <v>-5.5877700000000002E-2</v>
      </c>
      <c r="BB123" s="21">
        <v>113</v>
      </c>
      <c r="BC123" s="21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7.5988799999999995E-2</v>
      </c>
      <c r="H124" s="21">
        <v>50.494199999999999</v>
      </c>
      <c r="I124" s="21">
        <v>-6.1892700000000002E-2</v>
      </c>
      <c r="J124" s="21">
        <v>114</v>
      </c>
      <c r="K124" s="21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1">
        <v>0.47409099999999998</v>
      </c>
      <c r="P124" s="21">
        <v>97.693600000000004</v>
      </c>
      <c r="Q124" s="21">
        <v>-5.5816699999999997E-2</v>
      </c>
      <c r="R124" s="21">
        <v>114</v>
      </c>
      <c r="S124" s="21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1">
        <v>7.5988799999999995E-2</v>
      </c>
      <c r="Z124" s="21">
        <v>144.76499999999999</v>
      </c>
      <c r="AA124" s="21">
        <v>-6.1792E-2</v>
      </c>
      <c r="AB124" s="21">
        <v>114</v>
      </c>
      <c r="AC124" s="21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1">
        <v>0.47409099999999998</v>
      </c>
      <c r="AH124" s="21">
        <v>191.84700000000001</v>
      </c>
      <c r="AI124" s="21">
        <v>-5.5633500000000002E-2</v>
      </c>
      <c r="AJ124" s="21">
        <v>114</v>
      </c>
      <c r="AK124" s="21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1">
        <v>7.5988799999999995E-2</v>
      </c>
      <c r="AR124" s="21">
        <v>238.98400000000001</v>
      </c>
      <c r="AS124" s="21">
        <v>-6.1782799999999999E-2</v>
      </c>
      <c r="AT124" s="21">
        <v>114</v>
      </c>
      <c r="AU124" s="21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1">
        <v>0.47409099999999998</v>
      </c>
      <c r="AZ124" s="21">
        <v>286.10000000000002</v>
      </c>
      <c r="BA124" s="21">
        <v>-5.5572499999999997E-2</v>
      </c>
      <c r="BB124" s="21">
        <v>114</v>
      </c>
      <c r="BC124" s="21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7.09534E-2</v>
      </c>
      <c r="H125" s="21">
        <v>50.504300000000001</v>
      </c>
      <c r="I125" s="21">
        <v>-6.1904899999999999E-2</v>
      </c>
      <c r="J125" s="21">
        <v>115</v>
      </c>
      <c r="K125" s="21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1">
        <v>0.479126</v>
      </c>
      <c r="P125" s="21">
        <v>97.703699999999998</v>
      </c>
      <c r="Q125" s="21">
        <v>-5.5481000000000003E-2</v>
      </c>
      <c r="R125" s="21">
        <v>115</v>
      </c>
      <c r="S125" s="21">
        <v>0.478516</v>
      </c>
      <c r="T125">
        <f t="shared" si="14"/>
        <v>34.675625000000004</v>
      </c>
      <c r="U125">
        <f t="shared" si="15"/>
        <v>16.613993503750002</v>
      </c>
      <c r="X125" s="9"/>
      <c r="Y125" s="21">
        <v>7.09534E-2</v>
      </c>
      <c r="Z125" s="21">
        <v>144.77500000000001</v>
      </c>
      <c r="AA125" s="21">
        <v>-6.1798100000000002E-2</v>
      </c>
      <c r="AB125" s="21">
        <v>115</v>
      </c>
      <c r="AC125" s="21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1">
        <v>0.479126</v>
      </c>
      <c r="AH125" s="21">
        <v>191.858</v>
      </c>
      <c r="AI125" s="21">
        <v>-5.53284E-2</v>
      </c>
      <c r="AJ125" s="21">
        <v>115</v>
      </c>
      <c r="AK125" s="21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1">
        <v>7.09534E-2</v>
      </c>
      <c r="AR125" s="21">
        <v>238.994</v>
      </c>
      <c r="AS125" s="21">
        <v>-6.1792E-2</v>
      </c>
      <c r="AT125" s="21">
        <v>115</v>
      </c>
      <c r="AU125" s="21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1">
        <v>0.479126</v>
      </c>
      <c r="AZ125" s="21">
        <v>286.11</v>
      </c>
      <c r="BA125" s="21">
        <v>-5.52063E-2</v>
      </c>
      <c r="BB125" s="21">
        <v>115</v>
      </c>
      <c r="BC125" s="21">
        <v>0.478516</v>
      </c>
      <c r="BD125">
        <f t="shared" si="22"/>
        <v>34.503937499999999</v>
      </c>
      <c r="BE125">
        <f t="shared" si="23"/>
        <v>16.531733558625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6.5918000000000004E-2</v>
      </c>
      <c r="H126" s="21">
        <v>50.514400000000002</v>
      </c>
      <c r="I126" s="21">
        <v>-6.1923199999999998E-2</v>
      </c>
      <c r="J126" s="21">
        <v>116</v>
      </c>
      <c r="K126" s="21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1">
        <v>0.48416100000000001</v>
      </c>
      <c r="P126" s="21">
        <v>97.713800000000006</v>
      </c>
      <c r="Q126" s="21">
        <v>-5.5145300000000001E-2</v>
      </c>
      <c r="R126" s="21">
        <v>116</v>
      </c>
      <c r="S126" s="21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1">
        <v>6.5918000000000004E-2</v>
      </c>
      <c r="Z126" s="21">
        <v>144.785</v>
      </c>
      <c r="AA126" s="21">
        <v>-6.1801099999999998E-2</v>
      </c>
      <c r="AB126" s="21">
        <v>116</v>
      </c>
      <c r="AC126" s="21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1">
        <v>0.48416100000000001</v>
      </c>
      <c r="AH126" s="21">
        <v>191.86799999999999</v>
      </c>
      <c r="AI126" s="21">
        <v>-5.4931599999999997E-2</v>
      </c>
      <c r="AJ126" s="21">
        <v>116</v>
      </c>
      <c r="AK126" s="21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1">
        <v>6.5918000000000004E-2</v>
      </c>
      <c r="AR126" s="21">
        <v>239.00399999999999</v>
      </c>
      <c r="AS126" s="21">
        <v>-6.1813399999999998E-2</v>
      </c>
      <c r="AT126" s="21">
        <v>116</v>
      </c>
      <c r="AU126" s="21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1">
        <v>0.48416100000000001</v>
      </c>
      <c r="AZ126" s="21">
        <v>286.12</v>
      </c>
      <c r="BA126" s="21">
        <v>-5.48096E-2</v>
      </c>
      <c r="BB126" s="21">
        <v>116</v>
      </c>
      <c r="BC126" s="21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6.0882600000000002E-2</v>
      </c>
      <c r="H127" s="21">
        <v>50.5244</v>
      </c>
      <c r="I127" s="21">
        <v>-6.1926299999999997E-2</v>
      </c>
      <c r="J127" s="21">
        <v>117</v>
      </c>
      <c r="K127" s="21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1">
        <v>0.48919699999999999</v>
      </c>
      <c r="P127" s="21">
        <v>97.723799999999997</v>
      </c>
      <c r="Q127" s="21">
        <v>-5.4718000000000003E-2</v>
      </c>
      <c r="R127" s="21">
        <v>117</v>
      </c>
      <c r="S127" s="21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1">
        <v>6.0882600000000002E-2</v>
      </c>
      <c r="Z127" s="21">
        <v>144.79499999999999</v>
      </c>
      <c r="AA127" s="21">
        <v>-6.1804199999999997E-2</v>
      </c>
      <c r="AB127" s="21">
        <v>117</v>
      </c>
      <c r="AC127" s="21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1">
        <v>0.48919699999999999</v>
      </c>
      <c r="AH127" s="21">
        <v>191.87799999999999</v>
      </c>
      <c r="AI127" s="21">
        <v>-5.4534899999999997E-2</v>
      </c>
      <c r="AJ127" s="21">
        <v>117</v>
      </c>
      <c r="AK127" s="21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1">
        <v>6.0882600000000002E-2</v>
      </c>
      <c r="AR127" s="21">
        <v>239.01400000000001</v>
      </c>
      <c r="AS127" s="21">
        <v>-6.1822500000000002E-2</v>
      </c>
      <c r="AT127" s="21">
        <v>117</v>
      </c>
      <c r="AU127" s="21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1">
        <v>0.48919699999999999</v>
      </c>
      <c r="AZ127" s="21">
        <v>286.13</v>
      </c>
      <c r="BA127" s="21">
        <v>-5.4382300000000001E-2</v>
      </c>
      <c r="BB127" s="21">
        <v>117</v>
      </c>
      <c r="BC127" s="21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5.58472E-2</v>
      </c>
      <c r="H128" s="21">
        <v>50.534500000000001</v>
      </c>
      <c r="I128" s="21">
        <v>-6.1935400000000002E-2</v>
      </c>
      <c r="J128" s="21">
        <v>118</v>
      </c>
      <c r="K128" s="21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1">
        <v>0.494232</v>
      </c>
      <c r="P128" s="21">
        <v>97.733900000000006</v>
      </c>
      <c r="Q128" s="21">
        <v>-5.42908E-2</v>
      </c>
      <c r="R128" s="21">
        <v>118</v>
      </c>
      <c r="S128" s="21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1">
        <v>5.58472E-2</v>
      </c>
      <c r="Z128" s="21">
        <v>144.80500000000001</v>
      </c>
      <c r="AA128" s="21">
        <v>-6.1807300000000003E-2</v>
      </c>
      <c r="AB128" s="21">
        <v>118</v>
      </c>
      <c r="AC128" s="21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1">
        <v>0.494232</v>
      </c>
      <c r="AH128" s="21">
        <v>191.88800000000001</v>
      </c>
      <c r="AI128" s="21">
        <v>-5.40466E-2</v>
      </c>
      <c r="AJ128" s="21">
        <v>118</v>
      </c>
      <c r="AK128" s="21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1">
        <v>5.58472E-2</v>
      </c>
      <c r="AR128" s="21">
        <v>239.024</v>
      </c>
      <c r="AS128" s="21">
        <v>-6.1813399999999998E-2</v>
      </c>
      <c r="AT128" s="21">
        <v>118</v>
      </c>
      <c r="AU128" s="21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1">
        <v>0.494232</v>
      </c>
      <c r="AZ128" s="21">
        <v>286.14100000000002</v>
      </c>
      <c r="BA128" s="21">
        <v>-5.3863500000000002E-2</v>
      </c>
      <c r="BB128" s="21">
        <v>118</v>
      </c>
      <c r="BC128" s="21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5.0811799999999997E-2</v>
      </c>
      <c r="H129" s="21">
        <v>50.544600000000003</v>
      </c>
      <c r="I129" s="21">
        <v>-6.1950699999999997E-2</v>
      </c>
      <c r="J129" s="21">
        <v>119</v>
      </c>
      <c r="K129" s="21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1">
        <v>0.49926799999999999</v>
      </c>
      <c r="P129" s="21">
        <v>97.744</v>
      </c>
      <c r="Q129" s="21">
        <v>-5.3772E-2</v>
      </c>
      <c r="R129" s="21">
        <v>119</v>
      </c>
      <c r="S129" s="21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1">
        <v>5.0811799999999997E-2</v>
      </c>
      <c r="Z129" s="21">
        <v>144.815</v>
      </c>
      <c r="AA129" s="21">
        <v>-6.1816400000000001E-2</v>
      </c>
      <c r="AB129" s="21">
        <v>119</v>
      </c>
      <c r="AC129" s="21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1">
        <v>0.49926799999999999</v>
      </c>
      <c r="AH129" s="21">
        <v>191.898</v>
      </c>
      <c r="AI129" s="21">
        <v>-5.3558300000000003E-2</v>
      </c>
      <c r="AJ129" s="21">
        <v>119</v>
      </c>
      <c r="AK129" s="21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1">
        <v>5.0811799999999997E-2</v>
      </c>
      <c r="AR129" s="21">
        <v>239.03399999999999</v>
      </c>
      <c r="AS129" s="21">
        <v>-6.1801099999999998E-2</v>
      </c>
      <c r="AT129" s="21">
        <v>119</v>
      </c>
      <c r="AU129" s="21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1">
        <v>0.49926799999999999</v>
      </c>
      <c r="AZ129" s="21">
        <v>286.15100000000001</v>
      </c>
      <c r="BA129" s="21">
        <v>-5.3314199999999999E-2</v>
      </c>
      <c r="BB129" s="21">
        <v>119</v>
      </c>
      <c r="BC129" s="21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4.5776400000000002E-2</v>
      </c>
      <c r="H130" s="21">
        <v>50.554699999999997</v>
      </c>
      <c r="I130" s="21">
        <v>-6.1956799999999999E-2</v>
      </c>
      <c r="J130" s="21">
        <v>120</v>
      </c>
      <c r="K130" s="21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1">
        <v>0.50430299999999995</v>
      </c>
      <c r="P130" s="21">
        <v>97.754000000000005</v>
      </c>
      <c r="Q130" s="21">
        <v>-5.3253200000000001E-2</v>
      </c>
      <c r="R130" s="21">
        <v>120</v>
      </c>
      <c r="S130" s="21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1">
        <v>4.5776400000000002E-2</v>
      </c>
      <c r="Z130" s="21">
        <v>144.82499999999999</v>
      </c>
      <c r="AA130" s="21">
        <v>-6.1816400000000001E-2</v>
      </c>
      <c r="AB130" s="21">
        <v>120</v>
      </c>
      <c r="AC130" s="21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1">
        <v>0.50430299999999995</v>
      </c>
      <c r="AH130" s="21">
        <v>191.90799999999999</v>
      </c>
      <c r="AI130" s="21">
        <v>-5.2978499999999998E-2</v>
      </c>
      <c r="AJ130" s="21">
        <v>120</v>
      </c>
      <c r="AK130" s="21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1">
        <v>4.5776400000000002E-2</v>
      </c>
      <c r="AR130" s="21">
        <v>239.04400000000001</v>
      </c>
      <c r="AS130" s="21">
        <v>-6.1788900000000001E-2</v>
      </c>
      <c r="AT130" s="21">
        <v>120</v>
      </c>
      <c r="AU130" s="21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1">
        <v>0.50430299999999995</v>
      </c>
      <c r="AZ130" s="21">
        <v>286.161</v>
      </c>
      <c r="BA130" s="21">
        <v>-5.2703899999999998E-2</v>
      </c>
      <c r="BB130" s="21">
        <v>120</v>
      </c>
      <c r="BC130" s="21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4.0740999999999999E-2</v>
      </c>
      <c r="H131" s="21">
        <v>50.564700000000002</v>
      </c>
      <c r="I131" s="21">
        <v>-6.1971999999999999E-2</v>
      </c>
      <c r="J131" s="21">
        <v>121</v>
      </c>
      <c r="K131" s="21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1">
        <v>0.50933799999999996</v>
      </c>
      <c r="P131" s="21">
        <v>97.764099999999999</v>
      </c>
      <c r="Q131" s="21">
        <v>-5.2673299999999999E-2</v>
      </c>
      <c r="R131" s="21">
        <v>121</v>
      </c>
      <c r="S131" s="21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1">
        <v>4.0740999999999999E-2</v>
      </c>
      <c r="Z131" s="21">
        <v>144.83600000000001</v>
      </c>
      <c r="AA131" s="21">
        <v>-6.1837799999999998E-2</v>
      </c>
      <c r="AB131" s="21">
        <v>121</v>
      </c>
      <c r="AC131" s="21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1">
        <v>0.50933799999999996</v>
      </c>
      <c r="AH131" s="21">
        <v>191.91800000000001</v>
      </c>
      <c r="AI131" s="21">
        <v>-5.2307100000000002E-2</v>
      </c>
      <c r="AJ131" s="21">
        <v>121</v>
      </c>
      <c r="AK131" s="21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1">
        <v>4.0740999999999999E-2</v>
      </c>
      <c r="AR131" s="21">
        <v>239.054</v>
      </c>
      <c r="AS131" s="21">
        <v>-6.1782799999999999E-2</v>
      </c>
      <c r="AT131" s="21">
        <v>121</v>
      </c>
      <c r="AU131" s="21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1">
        <v>0.50933799999999996</v>
      </c>
      <c r="AZ131" s="21">
        <v>286.17099999999999</v>
      </c>
      <c r="BA131" s="21">
        <v>-5.2032500000000002E-2</v>
      </c>
      <c r="BB131" s="21">
        <v>121</v>
      </c>
      <c r="BC131" s="21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3.5705599999999997E-2</v>
      </c>
      <c r="H132" s="21">
        <v>50.574800000000003</v>
      </c>
      <c r="I132" s="21">
        <v>-6.1978100000000001E-2</v>
      </c>
      <c r="J132" s="21">
        <v>122</v>
      </c>
      <c r="K132" s="21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1">
        <v>0.514374</v>
      </c>
      <c r="P132" s="21">
        <v>97.774199999999993</v>
      </c>
      <c r="Q132" s="21">
        <v>-5.2002E-2</v>
      </c>
      <c r="R132" s="21">
        <v>122</v>
      </c>
      <c r="S132" s="21">
        <v>0.513733</v>
      </c>
      <c r="T132">
        <f t="shared" si="14"/>
        <v>32.501249999999999</v>
      </c>
      <c r="U132">
        <f t="shared" si="15"/>
        <v>16.717797967500001</v>
      </c>
      <c r="X132" s="9"/>
      <c r="Y132" s="21">
        <v>3.5705599999999997E-2</v>
      </c>
      <c r="Z132" s="21">
        <v>144.846</v>
      </c>
      <c r="AA132" s="21">
        <v>-6.1856099999999997E-2</v>
      </c>
      <c r="AB132" s="21">
        <v>122</v>
      </c>
      <c r="AC132" s="21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1">
        <v>0.514374</v>
      </c>
      <c r="AH132" s="21">
        <v>191.928</v>
      </c>
      <c r="AI132" s="21">
        <v>-5.1574700000000001E-2</v>
      </c>
      <c r="AJ132" s="21">
        <v>122</v>
      </c>
      <c r="AK132" s="21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1">
        <v>3.5705599999999997E-2</v>
      </c>
      <c r="AR132" s="21">
        <v>239.06399999999999</v>
      </c>
      <c r="AS132" s="21">
        <v>-6.1785899999999998E-2</v>
      </c>
      <c r="AT132" s="21">
        <v>122</v>
      </c>
      <c r="AU132" s="21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1">
        <v>0.514374</v>
      </c>
      <c r="AZ132" s="21">
        <v>286.18099999999998</v>
      </c>
      <c r="BA132" s="21">
        <v>-5.1269500000000003E-2</v>
      </c>
      <c r="BB132" s="21">
        <v>122</v>
      </c>
      <c r="BC132" s="21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3.0670200000000002E-2</v>
      </c>
      <c r="H133" s="21">
        <v>50.584899999999998</v>
      </c>
      <c r="I133" s="21">
        <v>-6.1978100000000001E-2</v>
      </c>
      <c r="J133" s="21">
        <v>123</v>
      </c>
      <c r="K133" s="21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1">
        <v>0.51940900000000001</v>
      </c>
      <c r="P133" s="21">
        <v>97.784300000000002</v>
      </c>
      <c r="Q133" s="21">
        <v>-5.1239E-2</v>
      </c>
      <c r="R133" s="21">
        <v>123</v>
      </c>
      <c r="S133" s="21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1">
        <v>3.0670200000000002E-2</v>
      </c>
      <c r="Z133" s="21">
        <v>144.85599999999999</v>
      </c>
      <c r="AA133" s="21">
        <v>-6.1871299999999997E-2</v>
      </c>
      <c r="AB133" s="21">
        <v>123</v>
      </c>
      <c r="AC133" s="21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1">
        <v>0.51940900000000001</v>
      </c>
      <c r="AH133" s="21">
        <v>191.93799999999999</v>
      </c>
      <c r="AI133" s="21">
        <v>-5.0781300000000001E-2</v>
      </c>
      <c r="AJ133" s="21">
        <v>123</v>
      </c>
      <c r="AK133" s="21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1">
        <v>3.0670200000000002E-2</v>
      </c>
      <c r="AR133" s="21">
        <v>239.07400000000001</v>
      </c>
      <c r="AS133" s="21">
        <v>-6.1798100000000002E-2</v>
      </c>
      <c r="AT133" s="21">
        <v>123</v>
      </c>
      <c r="AU133" s="21">
        <v>3.03772E-2</v>
      </c>
      <c r="AV133">
        <f t="shared" si="20"/>
        <v>38.6238125</v>
      </c>
      <c r="AW133">
        <f t="shared" si="21"/>
        <v>1.1846000541375001</v>
      </c>
      <c r="AX133" s="9"/>
      <c r="AY133" s="21">
        <v>0.51940900000000001</v>
      </c>
      <c r="AZ133" s="21">
        <v>286.19099999999997</v>
      </c>
      <c r="BA133" s="21">
        <v>-5.0415000000000001E-2</v>
      </c>
      <c r="BB133" s="21">
        <v>123</v>
      </c>
      <c r="BC133" s="21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2.5634799999999999E-2</v>
      </c>
      <c r="H134" s="21">
        <v>50.594900000000003</v>
      </c>
      <c r="I134" s="21">
        <v>-6.1984299999999999E-2</v>
      </c>
      <c r="J134" s="21">
        <v>124</v>
      </c>
      <c r="K134" s="21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1">
        <v>0.52444500000000005</v>
      </c>
      <c r="P134" s="21">
        <v>97.794300000000007</v>
      </c>
      <c r="Q134" s="21">
        <v>-5.0415000000000001E-2</v>
      </c>
      <c r="R134" s="21">
        <v>124</v>
      </c>
      <c r="S134" s="21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1">
        <v>2.5634799999999999E-2</v>
      </c>
      <c r="Z134" s="21">
        <v>144.86600000000001</v>
      </c>
      <c r="AA134" s="21">
        <v>-6.1889600000000003E-2</v>
      </c>
      <c r="AB134" s="21">
        <v>124</v>
      </c>
      <c r="AC134" s="21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1">
        <v>0.52444500000000005</v>
      </c>
      <c r="AH134" s="21">
        <v>191.94800000000001</v>
      </c>
      <c r="AI134" s="21">
        <v>-4.9865699999999999E-2</v>
      </c>
      <c r="AJ134" s="21">
        <v>124</v>
      </c>
      <c r="AK134" s="21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1">
        <v>2.5634799999999999E-2</v>
      </c>
      <c r="AR134" s="21">
        <v>239.08500000000001</v>
      </c>
      <c r="AS134" s="21">
        <v>-6.1834699999999999E-2</v>
      </c>
      <c r="AT134" s="21">
        <v>124</v>
      </c>
      <c r="AU134" s="21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1">
        <v>0.52444500000000005</v>
      </c>
      <c r="AZ134" s="21">
        <v>286.20100000000002</v>
      </c>
      <c r="BA134" s="21">
        <v>-4.9496499999999999E-2</v>
      </c>
      <c r="BB134" s="21">
        <v>124</v>
      </c>
      <c r="BC134" s="21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2.05994E-2</v>
      </c>
      <c r="H135" s="21">
        <v>50.604999999999997</v>
      </c>
      <c r="I135" s="21">
        <v>-6.1990400000000001E-2</v>
      </c>
      <c r="J135" s="21">
        <v>125</v>
      </c>
      <c r="K135" s="21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1">
        <v>0.52947999999999995</v>
      </c>
      <c r="P135" s="21">
        <v>97.804400000000001</v>
      </c>
      <c r="Q135" s="21">
        <v>-4.9475100000000001E-2</v>
      </c>
      <c r="R135" s="21">
        <v>125</v>
      </c>
      <c r="S135" s="21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1">
        <v>2.05994E-2</v>
      </c>
      <c r="Z135" s="21">
        <v>144.876</v>
      </c>
      <c r="AA135" s="21">
        <v>-6.1904899999999999E-2</v>
      </c>
      <c r="AB135" s="21">
        <v>125</v>
      </c>
      <c r="AC135" s="21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1">
        <v>0.52947999999999995</v>
      </c>
      <c r="AH135" s="21">
        <v>191.958</v>
      </c>
      <c r="AI135" s="21">
        <v>-4.888E-2</v>
      </c>
      <c r="AJ135" s="21">
        <v>125</v>
      </c>
      <c r="AK135" s="21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1">
        <v>2.05994E-2</v>
      </c>
      <c r="AR135" s="21">
        <v>239.095</v>
      </c>
      <c r="AS135" s="21">
        <v>-6.18439E-2</v>
      </c>
      <c r="AT135" s="21">
        <v>125</v>
      </c>
      <c r="AU135" s="21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1">
        <v>0.52947999999999995</v>
      </c>
      <c r="AZ135" s="21">
        <v>286.21100000000001</v>
      </c>
      <c r="BA135" s="21">
        <v>-4.8471100000000003E-2</v>
      </c>
      <c r="BB135" s="21">
        <v>125</v>
      </c>
      <c r="BC135" s="21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1.5564E-2</v>
      </c>
      <c r="H136" s="21">
        <v>50.615099999999998</v>
      </c>
      <c r="I136" s="21">
        <v>-6.2014800000000002E-2</v>
      </c>
      <c r="J136" s="21">
        <v>126</v>
      </c>
      <c r="K136" s="21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1">
        <v>0.53451499999999996</v>
      </c>
      <c r="P136" s="21">
        <v>97.814499999999995</v>
      </c>
      <c r="Q136" s="21">
        <v>-4.8428300000000001E-2</v>
      </c>
      <c r="R136" s="21">
        <v>126</v>
      </c>
      <c r="S136" s="21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1">
        <v>1.5564E-2</v>
      </c>
      <c r="Z136" s="21">
        <v>144.886</v>
      </c>
      <c r="AA136" s="21">
        <v>-6.19293E-2</v>
      </c>
      <c r="AB136" s="21">
        <v>126</v>
      </c>
      <c r="AC136" s="21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1">
        <v>0.53451499999999996</v>
      </c>
      <c r="AH136" s="21">
        <v>191.96799999999999</v>
      </c>
      <c r="AI136" s="21">
        <v>-4.7759999999999997E-2</v>
      </c>
      <c r="AJ136" s="21">
        <v>126</v>
      </c>
      <c r="AK136" s="21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1">
        <v>1.5564E-2</v>
      </c>
      <c r="AR136" s="21">
        <v>239.10499999999999</v>
      </c>
      <c r="AS136" s="21">
        <v>-6.1871299999999997E-2</v>
      </c>
      <c r="AT136" s="21">
        <v>126</v>
      </c>
      <c r="AU136" s="21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1">
        <v>0.53451499999999996</v>
      </c>
      <c r="AZ136" s="21">
        <v>286.221</v>
      </c>
      <c r="BA136" s="21">
        <v>-4.7311400000000003E-2</v>
      </c>
      <c r="BB136" s="21">
        <v>126</v>
      </c>
      <c r="BC136" s="21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1.0528600000000001E-2</v>
      </c>
      <c r="H137" s="21">
        <v>50.6252</v>
      </c>
      <c r="I137" s="21">
        <v>-6.2036099999999997E-2</v>
      </c>
      <c r="J137" s="21">
        <v>127</v>
      </c>
      <c r="K137" s="21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1">
        <v>0.539551</v>
      </c>
      <c r="P137" s="21">
        <v>97.8245</v>
      </c>
      <c r="Q137" s="21">
        <v>-4.7277800000000002E-2</v>
      </c>
      <c r="R137" s="21">
        <v>127</v>
      </c>
      <c r="S137" s="21">
        <v>0.53891</v>
      </c>
      <c r="T137">
        <f t="shared" si="14"/>
        <v>29.548624999999998</v>
      </c>
      <c r="U137">
        <f t="shared" si="15"/>
        <v>15.942990167374999</v>
      </c>
      <c r="X137" s="9"/>
      <c r="Y137" s="21">
        <v>1.0528600000000001E-2</v>
      </c>
      <c r="Z137" s="21">
        <v>144.89599999999999</v>
      </c>
      <c r="AA137" s="21">
        <v>-6.1956799999999999E-2</v>
      </c>
      <c r="AB137" s="21">
        <v>127</v>
      </c>
      <c r="AC137" s="21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1">
        <v>0.539551</v>
      </c>
      <c r="AH137" s="21">
        <v>191.97800000000001</v>
      </c>
      <c r="AI137" s="21">
        <v>-4.6521E-2</v>
      </c>
      <c r="AJ137" s="21">
        <v>127</v>
      </c>
      <c r="AK137" s="21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1">
        <v>1.0528600000000001E-2</v>
      </c>
      <c r="AR137" s="21">
        <v>239.11500000000001</v>
      </c>
      <c r="AS137" s="21">
        <v>-6.1880499999999998E-2</v>
      </c>
      <c r="AT137" s="21">
        <v>127</v>
      </c>
      <c r="AU137" s="21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1">
        <v>0.539551</v>
      </c>
      <c r="AZ137" s="21">
        <v>286.23099999999999</v>
      </c>
      <c r="BA137" s="21">
        <v>-4.6047999999999999E-2</v>
      </c>
      <c r="BB137" s="21">
        <v>127</v>
      </c>
      <c r="BC137" s="21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5.4931600000000004E-3</v>
      </c>
      <c r="H138" s="21">
        <v>50.635199999999998</v>
      </c>
      <c r="I138" s="21">
        <v>-6.2054400000000003E-2</v>
      </c>
      <c r="J138" s="21">
        <v>128</v>
      </c>
      <c r="K138" s="21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1">
        <v>0.54458600000000001</v>
      </c>
      <c r="P138" s="21">
        <v>97.834599999999995</v>
      </c>
      <c r="Q138" s="21">
        <v>-4.60022E-2</v>
      </c>
      <c r="R138" s="21">
        <v>128</v>
      </c>
      <c r="S138" s="21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1">
        <v>5.4931600000000004E-3</v>
      </c>
      <c r="Z138" s="21">
        <v>144.90600000000001</v>
      </c>
      <c r="AA138" s="21">
        <v>-6.1971999999999999E-2</v>
      </c>
      <c r="AB138" s="21">
        <v>128</v>
      </c>
      <c r="AC138" s="21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1">
        <v>0.54458600000000001</v>
      </c>
      <c r="AH138" s="21">
        <v>191.988</v>
      </c>
      <c r="AI138" s="21">
        <v>-4.5147699999999999E-2</v>
      </c>
      <c r="AJ138" s="21">
        <v>128</v>
      </c>
      <c r="AK138" s="21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1">
        <v>5.4931600000000004E-3</v>
      </c>
      <c r="AR138" s="21">
        <v>239.125</v>
      </c>
      <c r="AS138" s="21">
        <v>-6.1871299999999997E-2</v>
      </c>
      <c r="AT138" s="21">
        <v>128</v>
      </c>
      <c r="AU138" s="21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1">
        <v>0.54458600000000001</v>
      </c>
      <c r="AZ138" s="21">
        <v>286.24099999999999</v>
      </c>
      <c r="BA138" s="21">
        <v>-4.4644200000000002E-2</v>
      </c>
      <c r="BB138" s="21">
        <v>128</v>
      </c>
      <c r="BC138" s="21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4.5776399999999999E-4</v>
      </c>
      <c r="H139" s="21">
        <v>50.645299999999999</v>
      </c>
      <c r="I139" s="21">
        <v>-6.2063599999999997E-2</v>
      </c>
      <c r="J139" s="21">
        <v>129</v>
      </c>
      <c r="K139" s="24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1">
        <v>0.54962200000000005</v>
      </c>
      <c r="P139" s="21">
        <v>97.844700000000003</v>
      </c>
      <c r="Q139" s="21">
        <v>-4.45587E-2</v>
      </c>
      <c r="R139" s="21">
        <v>129</v>
      </c>
      <c r="S139" s="21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1">
        <v>4.5776399999999999E-4</v>
      </c>
      <c r="Z139" s="21">
        <v>144.916</v>
      </c>
      <c r="AA139" s="21">
        <v>-6.1962900000000001E-2</v>
      </c>
      <c r="AB139" s="21">
        <v>129</v>
      </c>
      <c r="AC139" s="21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1">
        <v>0.54962200000000005</v>
      </c>
      <c r="AH139" s="21">
        <v>191.999</v>
      </c>
      <c r="AI139" s="21">
        <v>-4.36432E-2</v>
      </c>
      <c r="AJ139" s="21">
        <v>129</v>
      </c>
      <c r="AK139" s="21">
        <v>0.549072</v>
      </c>
      <c r="AL139">
        <f t="shared" si="18"/>
        <v>27.276999999999997</v>
      </c>
      <c r="AM139">
        <f t="shared" si="19"/>
        <v>14.992039294</v>
      </c>
      <c r="AP139" s="9"/>
      <c r="AQ139" s="21">
        <v>4.5776399999999999E-4</v>
      </c>
      <c r="AR139" s="21">
        <v>239.13499999999999</v>
      </c>
      <c r="AS139" s="21">
        <v>-6.18866E-2</v>
      </c>
      <c r="AT139" s="21">
        <v>129</v>
      </c>
      <c r="AU139" s="24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1">
        <v>0.54962200000000005</v>
      </c>
      <c r="AZ139" s="21">
        <v>286.25099999999998</v>
      </c>
      <c r="BA139" s="21">
        <v>-4.3090799999999999E-2</v>
      </c>
      <c r="BB139" s="21">
        <v>129</v>
      </c>
      <c r="BC139" s="21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-4.57764E-3</v>
      </c>
      <c r="H140" s="21">
        <v>50.6554</v>
      </c>
      <c r="I140" s="21">
        <v>-6.2063599999999997E-2</v>
      </c>
      <c r="J140" s="21">
        <v>130</v>
      </c>
      <c r="K140" s="21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1">
        <v>0.55465699999999996</v>
      </c>
      <c r="P140" s="21">
        <v>97.854799999999997</v>
      </c>
      <c r="Q140" s="21">
        <v>-4.3005399999999999E-2</v>
      </c>
      <c r="R140" s="21">
        <v>130</v>
      </c>
      <c r="S140" s="21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1">
        <v>-4.57764E-3</v>
      </c>
      <c r="Z140" s="21">
        <v>144.92599999999999</v>
      </c>
      <c r="AA140" s="21">
        <v>-6.1956799999999999E-2</v>
      </c>
      <c r="AB140" s="21">
        <v>130</v>
      </c>
      <c r="AC140" s="21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1">
        <v>0.55465699999999996</v>
      </c>
      <c r="AH140" s="21">
        <v>192.00899999999999</v>
      </c>
      <c r="AI140" s="21">
        <v>-4.1973900000000001E-2</v>
      </c>
      <c r="AJ140" s="21">
        <v>130</v>
      </c>
      <c r="AK140" s="21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1">
        <v>-4.57764E-3</v>
      </c>
      <c r="AR140" s="21">
        <v>239.14500000000001</v>
      </c>
      <c r="AS140" s="21">
        <v>-6.1868300000000001E-2</v>
      </c>
      <c r="AT140" s="21">
        <v>130</v>
      </c>
      <c r="AU140" s="21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1">
        <v>0.55465699999999996</v>
      </c>
      <c r="AZ140" s="21">
        <v>286.26100000000002</v>
      </c>
      <c r="BA140" s="21">
        <v>-4.1360500000000001E-2</v>
      </c>
      <c r="BB140" s="21">
        <v>130</v>
      </c>
      <c r="BC140" s="21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-9.6130399999999998E-3</v>
      </c>
      <c r="H141" s="21">
        <v>50.665399999999998</v>
      </c>
      <c r="I141" s="21">
        <v>-6.2060499999999998E-2</v>
      </c>
      <c r="J141" s="21">
        <v>131</v>
      </c>
      <c r="K141" s="21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1">
        <v>0.55969199999999997</v>
      </c>
      <c r="P141" s="21">
        <v>97.864800000000002</v>
      </c>
      <c r="Q141" s="21">
        <v>-4.12567E-2</v>
      </c>
      <c r="R141" s="21">
        <v>131</v>
      </c>
      <c r="S141" s="21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1">
        <v>-9.6130399999999998E-3</v>
      </c>
      <c r="Z141" s="21">
        <v>144.93600000000001</v>
      </c>
      <c r="AA141" s="21">
        <v>-6.1959800000000002E-2</v>
      </c>
      <c r="AB141" s="21">
        <v>131</v>
      </c>
      <c r="AC141" s="21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1">
        <v>0.55969199999999997</v>
      </c>
      <c r="AH141" s="21">
        <v>192.01900000000001</v>
      </c>
      <c r="AI141" s="21">
        <v>-4.0133700000000001E-2</v>
      </c>
      <c r="AJ141" s="21">
        <v>131</v>
      </c>
      <c r="AK141" s="21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1">
        <v>-9.6130399999999998E-3</v>
      </c>
      <c r="AR141" s="21">
        <v>239.155</v>
      </c>
      <c r="AS141" s="21">
        <v>-6.1871299999999997E-2</v>
      </c>
      <c r="AT141" s="21">
        <v>131</v>
      </c>
      <c r="AU141" s="21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1">
        <v>0.55969199999999997</v>
      </c>
      <c r="AZ141" s="21">
        <v>286.27100000000002</v>
      </c>
      <c r="BA141" s="21">
        <v>-3.94592E-2</v>
      </c>
      <c r="BB141" s="21">
        <v>131</v>
      </c>
      <c r="BC141" s="21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-1.4648400000000001E-2</v>
      </c>
      <c r="H142" s="21">
        <v>50.6755</v>
      </c>
      <c r="I142" s="21">
        <v>-6.20514E-2</v>
      </c>
      <c r="J142" s="21">
        <v>132</v>
      </c>
      <c r="K142" s="21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1">
        <v>0.56472800000000001</v>
      </c>
      <c r="P142" s="21">
        <v>97.874899999999997</v>
      </c>
      <c r="Q142" s="21">
        <v>-3.93494E-2</v>
      </c>
      <c r="R142" s="21">
        <v>132</v>
      </c>
      <c r="S142" s="21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1">
        <v>-1.4648400000000001E-2</v>
      </c>
      <c r="Z142" s="21">
        <v>144.946</v>
      </c>
      <c r="AA142" s="21">
        <v>-6.1956799999999999E-2</v>
      </c>
      <c r="AB142" s="21">
        <v>132</v>
      </c>
      <c r="AC142" s="21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1">
        <v>0.56472800000000001</v>
      </c>
      <c r="AH142" s="21">
        <v>192.029</v>
      </c>
      <c r="AI142" s="21">
        <v>-3.8110400000000003E-2</v>
      </c>
      <c r="AJ142" s="21">
        <v>132</v>
      </c>
      <c r="AK142" s="21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1">
        <v>-1.4648400000000001E-2</v>
      </c>
      <c r="AR142" s="21">
        <v>239.16499999999999</v>
      </c>
      <c r="AS142" s="21">
        <v>-6.1877399999999999E-2</v>
      </c>
      <c r="AT142" s="21">
        <v>132</v>
      </c>
      <c r="AU142" s="21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1">
        <v>0.56472800000000001</v>
      </c>
      <c r="AZ142" s="21">
        <v>286.28199999999998</v>
      </c>
      <c r="BA142" s="21">
        <v>-3.7377899999999999E-2</v>
      </c>
      <c r="BB142" s="21">
        <v>132</v>
      </c>
      <c r="BC142" s="21">
        <v>0.564056</v>
      </c>
      <c r="BD142">
        <f t="shared" si="34"/>
        <v>23.3611875</v>
      </c>
      <c r="BE142">
        <f t="shared" si="35"/>
        <v>13.1927166945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-1.9683800000000001E-2</v>
      </c>
      <c r="H143" s="21">
        <v>50.685600000000001</v>
      </c>
      <c r="I143" s="21">
        <v>-6.20514E-2</v>
      </c>
      <c r="J143" s="21">
        <v>133</v>
      </c>
      <c r="K143" s="21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1">
        <v>0.56976300000000002</v>
      </c>
      <c r="P143" s="21">
        <v>97.885000000000005</v>
      </c>
      <c r="Q143" s="21">
        <v>-3.7231399999999998E-2</v>
      </c>
      <c r="R143" s="21">
        <v>133</v>
      </c>
      <c r="S143" s="21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1">
        <v>-1.9683800000000001E-2</v>
      </c>
      <c r="Z143" s="21">
        <v>144.95599999999999</v>
      </c>
      <c r="AA143" s="21">
        <v>-6.1984299999999999E-2</v>
      </c>
      <c r="AB143" s="21">
        <v>133</v>
      </c>
      <c r="AC143" s="21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1">
        <v>0.56976300000000002</v>
      </c>
      <c r="AH143" s="21">
        <v>192.03899999999999</v>
      </c>
      <c r="AI143" s="21">
        <v>-3.5909999999999997E-2</v>
      </c>
      <c r="AJ143" s="21">
        <v>133</v>
      </c>
      <c r="AK143" s="21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1">
        <v>-1.9683800000000001E-2</v>
      </c>
      <c r="AR143" s="21">
        <v>239.17500000000001</v>
      </c>
      <c r="AS143" s="21">
        <v>-6.1895800000000001E-2</v>
      </c>
      <c r="AT143" s="21">
        <v>133</v>
      </c>
      <c r="AU143" s="21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1">
        <v>0.56976300000000002</v>
      </c>
      <c r="AZ143" s="21">
        <v>286.29199999999997</v>
      </c>
      <c r="BA143" s="21">
        <v>-3.5107399999999997E-2</v>
      </c>
      <c r="BB143" s="21">
        <v>133</v>
      </c>
      <c r="BC143" s="21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-2.47192E-2</v>
      </c>
      <c r="H144" s="21">
        <v>50.695700000000002</v>
      </c>
      <c r="I144" s="21">
        <v>-6.2063599999999997E-2</v>
      </c>
      <c r="J144" s="21">
        <v>134</v>
      </c>
      <c r="K144" s="21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1">
        <v>0.57479899999999995</v>
      </c>
      <c r="P144" s="21">
        <v>97.894999999999996</v>
      </c>
      <c r="Q144" s="21">
        <v>-3.4912100000000001E-2</v>
      </c>
      <c r="R144" s="21">
        <v>134</v>
      </c>
      <c r="S144" s="21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1">
        <v>-2.47192E-2</v>
      </c>
      <c r="Z144" s="21">
        <v>144.96600000000001</v>
      </c>
      <c r="AA144" s="21">
        <v>-6.1993399999999997E-2</v>
      </c>
      <c r="AB144" s="21">
        <v>134</v>
      </c>
      <c r="AC144" s="21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1">
        <v>0.57479899999999995</v>
      </c>
      <c r="AH144" s="21">
        <v>192.04900000000001</v>
      </c>
      <c r="AI144" s="21">
        <v>-3.3474700000000003E-2</v>
      </c>
      <c r="AJ144" s="21">
        <v>134</v>
      </c>
      <c r="AK144" s="21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1">
        <v>-2.47192E-2</v>
      </c>
      <c r="AR144" s="21">
        <v>239.185</v>
      </c>
      <c r="AS144" s="21">
        <v>-6.1911000000000001E-2</v>
      </c>
      <c r="AT144" s="21">
        <v>134</v>
      </c>
      <c r="AU144" s="21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1">
        <v>0.57479899999999995</v>
      </c>
      <c r="AZ144" s="21">
        <v>286.30200000000002</v>
      </c>
      <c r="BA144" s="21">
        <v>-3.2617199999999999E-2</v>
      </c>
      <c r="BB144" s="21">
        <v>134</v>
      </c>
      <c r="BC144" s="21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-2.9754599999999999E-2</v>
      </c>
      <c r="H145" s="21">
        <v>50.7057</v>
      </c>
      <c r="I145" s="21">
        <v>-6.20758E-2</v>
      </c>
      <c r="J145" s="21">
        <v>135</v>
      </c>
      <c r="K145" s="21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1">
        <v>0.57983399999999996</v>
      </c>
      <c r="P145" s="21">
        <v>97.905100000000004</v>
      </c>
      <c r="Q145" s="21">
        <v>-3.2363900000000001E-2</v>
      </c>
      <c r="R145" s="21">
        <v>135</v>
      </c>
      <c r="S145" s="21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1">
        <v>-2.9754599999999999E-2</v>
      </c>
      <c r="Z145" s="21">
        <v>144.977</v>
      </c>
      <c r="AA145" s="21">
        <v>-6.1990400000000001E-2</v>
      </c>
      <c r="AB145" s="21">
        <v>135</v>
      </c>
      <c r="AC145" s="21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1">
        <v>0.57983399999999996</v>
      </c>
      <c r="AH145" s="21">
        <v>192.059</v>
      </c>
      <c r="AI145" s="21">
        <v>-3.0850200000000001E-2</v>
      </c>
      <c r="AJ145" s="21">
        <v>135</v>
      </c>
      <c r="AK145" s="21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1">
        <v>-2.9754599999999999E-2</v>
      </c>
      <c r="AR145" s="21">
        <v>239.19499999999999</v>
      </c>
      <c r="AS145" s="21">
        <v>-6.1926299999999997E-2</v>
      </c>
      <c r="AT145" s="21">
        <v>135</v>
      </c>
      <c r="AU145" s="21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1">
        <v>0.57983399999999996</v>
      </c>
      <c r="AZ145" s="21">
        <v>286.31200000000001</v>
      </c>
      <c r="BA145" s="21">
        <v>-2.9934700000000002E-2</v>
      </c>
      <c r="BB145" s="21">
        <v>135</v>
      </c>
      <c r="BC145" s="21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-3.4790000000000001E-2</v>
      </c>
      <c r="H146" s="21">
        <v>50.715800000000002</v>
      </c>
      <c r="I146" s="21">
        <v>-6.20758E-2</v>
      </c>
      <c r="J146" s="21">
        <v>136</v>
      </c>
      <c r="K146" s="21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1">
        <v>0.58486899999999997</v>
      </c>
      <c r="P146" s="21">
        <v>97.915199999999999</v>
      </c>
      <c r="Q146" s="21">
        <v>-2.9599E-2</v>
      </c>
      <c r="R146" s="21">
        <v>136</v>
      </c>
      <c r="S146" s="21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1">
        <v>-3.4790000000000001E-2</v>
      </c>
      <c r="Z146" s="21">
        <v>144.98699999999999</v>
      </c>
      <c r="AA146" s="21">
        <v>-6.2005600000000001E-2</v>
      </c>
      <c r="AB146" s="21">
        <v>136</v>
      </c>
      <c r="AC146" s="21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1">
        <v>0.58486899999999997</v>
      </c>
      <c r="AH146" s="21">
        <v>192.06899999999999</v>
      </c>
      <c r="AI146" s="21">
        <v>-2.7957200000000001E-2</v>
      </c>
      <c r="AJ146" s="21">
        <v>136</v>
      </c>
      <c r="AK146" s="21">
        <v>0.58425899999999997</v>
      </c>
      <c r="AL146">
        <f t="shared" si="30"/>
        <v>17.47325</v>
      </c>
      <c r="AM146">
        <f t="shared" si="31"/>
        <v>10.21956225425</v>
      </c>
      <c r="AP146" s="9"/>
      <c r="AQ146" s="21">
        <v>-3.4790000000000001E-2</v>
      </c>
      <c r="AR146" s="21">
        <v>239.20500000000001</v>
      </c>
      <c r="AS146" s="21">
        <v>-6.1944600000000002E-2</v>
      </c>
      <c r="AT146" s="21">
        <v>136</v>
      </c>
      <c r="AU146" s="21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1">
        <v>0.58486899999999997</v>
      </c>
      <c r="AZ146" s="21">
        <v>286.322</v>
      </c>
      <c r="BA146" s="21">
        <v>-2.6989699999999998E-2</v>
      </c>
      <c r="BB146" s="21">
        <v>136</v>
      </c>
      <c r="BC146" s="21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-3.9825399999999997E-2</v>
      </c>
      <c r="H147" s="21">
        <v>50.725900000000003</v>
      </c>
      <c r="I147" s="21">
        <v>-6.2069699999999998E-2</v>
      </c>
      <c r="J147" s="21">
        <v>137</v>
      </c>
      <c r="K147" s="21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1">
        <v>0.58990500000000001</v>
      </c>
      <c r="P147" s="21">
        <v>97.925299999999993</v>
      </c>
      <c r="Q147" s="21">
        <v>-2.6565600000000002E-2</v>
      </c>
      <c r="R147" s="21">
        <v>137</v>
      </c>
      <c r="S147" s="21">
        <v>0.58929399999999998</v>
      </c>
      <c r="T147">
        <f t="shared" si="26"/>
        <v>16.6035</v>
      </c>
      <c r="U147">
        <f t="shared" si="27"/>
        <v>9.7944876675000003</v>
      </c>
      <c r="X147" s="9"/>
      <c r="Y147" s="21">
        <v>-3.9825399999999997E-2</v>
      </c>
      <c r="Z147" s="21">
        <v>144.99700000000001</v>
      </c>
      <c r="AA147" s="21">
        <v>-6.2005600000000001E-2</v>
      </c>
      <c r="AB147" s="21">
        <v>137</v>
      </c>
      <c r="AC147" s="21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1">
        <v>0.58990500000000001</v>
      </c>
      <c r="AH147" s="21">
        <v>192.07900000000001</v>
      </c>
      <c r="AI147" s="21">
        <v>-2.4853500000000001E-2</v>
      </c>
      <c r="AJ147" s="21">
        <v>137</v>
      </c>
      <c r="AK147" s="21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1">
        <v>-3.9825399999999997E-2</v>
      </c>
      <c r="AR147" s="21">
        <v>239.215</v>
      </c>
      <c r="AS147" s="21">
        <v>-6.1969000000000003E-2</v>
      </c>
      <c r="AT147" s="21">
        <v>137</v>
      </c>
      <c r="AU147" s="21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1">
        <v>0.58990500000000001</v>
      </c>
      <c r="AZ147" s="21">
        <v>286.33199999999999</v>
      </c>
      <c r="BA147" s="21">
        <v>-2.3815900000000001E-2</v>
      </c>
      <c r="BB147" s="21">
        <v>137</v>
      </c>
      <c r="BC147" s="21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-4.4860799999999999E-2</v>
      </c>
      <c r="H148" s="21">
        <v>50.735900000000001</v>
      </c>
      <c r="I148" s="21">
        <v>-6.2094099999999999E-2</v>
      </c>
      <c r="J148" s="21">
        <v>138</v>
      </c>
      <c r="K148" s="21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1">
        <v>0.59494000000000002</v>
      </c>
      <c r="P148" s="21">
        <v>97.935299999999998</v>
      </c>
      <c r="Q148" s="21">
        <v>-2.3333699999999999E-2</v>
      </c>
      <c r="R148" s="21">
        <v>138</v>
      </c>
      <c r="S148" s="21">
        <v>0.59436</v>
      </c>
      <c r="T148">
        <f t="shared" si="26"/>
        <v>14.583562499999999</v>
      </c>
      <c r="U148">
        <f t="shared" si="27"/>
        <v>8.6763446737500001</v>
      </c>
      <c r="X148" s="9"/>
      <c r="Y148" s="21">
        <v>-4.4860799999999999E-2</v>
      </c>
      <c r="Z148" s="21">
        <v>145.00700000000001</v>
      </c>
      <c r="AA148" s="21">
        <v>-6.2011700000000003E-2</v>
      </c>
      <c r="AB148" s="21">
        <v>138</v>
      </c>
      <c r="AC148" s="21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1">
        <v>0.59494000000000002</v>
      </c>
      <c r="AH148" s="21">
        <v>192.089</v>
      </c>
      <c r="AI148" s="21">
        <v>-2.1505699999999999E-2</v>
      </c>
      <c r="AJ148" s="21">
        <v>138</v>
      </c>
      <c r="AK148" s="21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1">
        <v>-4.4860799999999999E-2</v>
      </c>
      <c r="AR148" s="21">
        <v>239.226</v>
      </c>
      <c r="AS148" s="21">
        <v>-6.1996500000000003E-2</v>
      </c>
      <c r="AT148" s="21">
        <v>138</v>
      </c>
      <c r="AU148" s="21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1">
        <v>0.59494000000000002</v>
      </c>
      <c r="AZ148" s="21">
        <v>286.34199999999998</v>
      </c>
      <c r="BA148" s="21">
        <v>-2.03979E-2</v>
      </c>
      <c r="BB148" s="21">
        <v>138</v>
      </c>
      <c r="BC148" s="21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-4.9896200000000002E-2</v>
      </c>
      <c r="H149" s="21">
        <v>50.746000000000002</v>
      </c>
      <c r="I149" s="21">
        <v>-6.2121599999999999E-2</v>
      </c>
      <c r="J149" s="21">
        <v>139</v>
      </c>
      <c r="K149" s="21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1">
        <v>0.59997599999999995</v>
      </c>
      <c r="P149" s="21">
        <v>97.945400000000006</v>
      </c>
      <c r="Q149" s="21">
        <v>-1.9778400000000002E-2</v>
      </c>
      <c r="R149" s="21">
        <v>139</v>
      </c>
      <c r="S149" s="21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1">
        <v>-4.9896200000000002E-2</v>
      </c>
      <c r="Z149" s="21">
        <v>145.017</v>
      </c>
      <c r="AA149" s="21">
        <v>-6.20087E-2</v>
      </c>
      <c r="AB149" s="21">
        <v>139</v>
      </c>
      <c r="AC149" s="21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1">
        <v>0.59997599999999995</v>
      </c>
      <c r="AH149" s="21">
        <v>192.09899999999999</v>
      </c>
      <c r="AI149" s="21">
        <v>-1.7892499999999999E-2</v>
      </c>
      <c r="AJ149" s="21">
        <v>139</v>
      </c>
      <c r="AK149" s="21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1">
        <v>-4.9896200000000002E-2</v>
      </c>
      <c r="AR149" s="21">
        <v>239.23599999999999</v>
      </c>
      <c r="AS149" s="21">
        <v>-6.2002599999999998E-2</v>
      </c>
      <c r="AT149" s="21">
        <v>139</v>
      </c>
      <c r="AU149" s="21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1">
        <v>0.59997599999999995</v>
      </c>
      <c r="AZ149" s="21">
        <v>286.35199999999998</v>
      </c>
      <c r="BA149" s="21">
        <v>-1.67145E-2</v>
      </c>
      <c r="BB149" s="21">
        <v>139</v>
      </c>
      <c r="BC149" s="21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-5.4931599999999997E-2</v>
      </c>
      <c r="H150" s="21">
        <v>50.756100000000004</v>
      </c>
      <c r="I150" s="21">
        <v>-6.2127700000000001E-2</v>
      </c>
      <c r="J150" s="21">
        <v>140</v>
      </c>
      <c r="K150" s="21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1">
        <v>0.60501099999999997</v>
      </c>
      <c r="P150" s="21">
        <v>97.955500000000001</v>
      </c>
      <c r="Q150" s="21">
        <v>-1.6024799999999999E-2</v>
      </c>
      <c r="R150" s="21">
        <v>140</v>
      </c>
      <c r="S150" s="21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1">
        <v>-5.4931599999999997E-2</v>
      </c>
      <c r="Z150" s="21">
        <v>145.02699999999999</v>
      </c>
      <c r="AA150" s="21">
        <v>-6.20087E-2</v>
      </c>
      <c r="AB150" s="21">
        <v>140</v>
      </c>
      <c r="AC150" s="21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1">
        <v>0.60501099999999997</v>
      </c>
      <c r="AH150" s="21">
        <v>192.10900000000001</v>
      </c>
      <c r="AI150" s="21">
        <v>-1.4019800000000001E-2</v>
      </c>
      <c r="AJ150" s="21">
        <v>140</v>
      </c>
      <c r="AK150" s="21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1">
        <v>-5.4931599999999997E-2</v>
      </c>
      <c r="AR150" s="21">
        <v>239.24600000000001</v>
      </c>
      <c r="AS150" s="21">
        <v>-6.2017799999999998E-2</v>
      </c>
      <c r="AT150" s="21">
        <v>140</v>
      </c>
      <c r="AU150" s="21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1">
        <v>0.60501099999999997</v>
      </c>
      <c r="AZ150" s="21">
        <v>286.36200000000002</v>
      </c>
      <c r="BA150" s="21">
        <v>-1.27747E-2</v>
      </c>
      <c r="BB150" s="21">
        <v>140</v>
      </c>
      <c r="BC150" s="21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-5.9966999999999999E-2</v>
      </c>
      <c r="H151" s="21">
        <v>50.766199999999998</v>
      </c>
      <c r="I151" s="21">
        <v>-6.2130699999999997E-2</v>
      </c>
      <c r="J151" s="21">
        <v>141</v>
      </c>
      <c r="K151" s="21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1">
        <v>0.61004599999999998</v>
      </c>
      <c r="P151" s="21">
        <v>97.965500000000006</v>
      </c>
      <c r="Q151" s="21">
        <v>-1.19568E-2</v>
      </c>
      <c r="R151" s="21">
        <v>141</v>
      </c>
      <c r="S151" s="21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1">
        <v>-5.9966999999999999E-2</v>
      </c>
      <c r="Z151" s="21">
        <v>145.03700000000001</v>
      </c>
      <c r="AA151" s="21">
        <v>-6.20087E-2</v>
      </c>
      <c r="AB151" s="21">
        <v>141</v>
      </c>
      <c r="AC151" s="21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1">
        <v>0.61004599999999998</v>
      </c>
      <c r="AH151" s="21">
        <v>192.119</v>
      </c>
      <c r="AI151" s="21">
        <v>-9.8998999999999997E-3</v>
      </c>
      <c r="AJ151" s="21">
        <v>141</v>
      </c>
      <c r="AK151" s="21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1">
        <v>-5.9966999999999999E-2</v>
      </c>
      <c r="AR151" s="21">
        <v>239.256</v>
      </c>
      <c r="AS151" s="21">
        <v>-6.2017799999999998E-2</v>
      </c>
      <c r="AT151" s="21">
        <v>141</v>
      </c>
      <c r="AU151" s="21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1">
        <v>0.61004599999999998</v>
      </c>
      <c r="AZ151" s="21">
        <v>286.37200000000001</v>
      </c>
      <c r="BA151" s="21">
        <v>-8.5998499999999992E-3</v>
      </c>
      <c r="BB151" s="21">
        <v>141</v>
      </c>
      <c r="BC151" s="21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-6.5002400000000002E-2</v>
      </c>
      <c r="H152" s="21">
        <v>50.776200000000003</v>
      </c>
      <c r="I152" s="21">
        <v>-6.2121599999999999E-2</v>
      </c>
      <c r="J152" s="21">
        <v>142</v>
      </c>
      <c r="K152" s="21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1">
        <v>0.61508200000000002</v>
      </c>
      <c r="P152" s="21">
        <v>97.9756</v>
      </c>
      <c r="Q152" s="21">
        <v>-7.6232899999999996E-3</v>
      </c>
      <c r="R152" s="21">
        <v>142</v>
      </c>
      <c r="S152" s="21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1">
        <v>-6.5002400000000002E-2</v>
      </c>
      <c r="Z152" s="21">
        <v>145.047</v>
      </c>
      <c r="AA152" s="21">
        <v>-6.2002599999999998E-2</v>
      </c>
      <c r="AB152" s="21">
        <v>142</v>
      </c>
      <c r="AC152" s="21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1">
        <v>0.61508200000000002</v>
      </c>
      <c r="AH152" s="21">
        <v>192.12899999999999</v>
      </c>
      <c r="AI152" s="21">
        <v>-5.4443399999999998E-3</v>
      </c>
      <c r="AJ152" s="21">
        <v>142</v>
      </c>
      <c r="AK152" s="21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1">
        <v>-6.5002400000000002E-2</v>
      </c>
      <c r="AR152" s="21">
        <v>239.26599999999999</v>
      </c>
      <c r="AS152" s="21">
        <v>-6.20087E-2</v>
      </c>
      <c r="AT152" s="21">
        <v>142</v>
      </c>
      <c r="AU152" s="21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1">
        <v>0.61508200000000002</v>
      </c>
      <c r="AZ152" s="21">
        <v>286.38200000000001</v>
      </c>
      <c r="BA152" s="21">
        <v>-4.1088899999999996E-3</v>
      </c>
      <c r="BB152" s="21">
        <v>142</v>
      </c>
      <c r="BC152" s="21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-7.0037799999999997E-2</v>
      </c>
      <c r="H153" s="21">
        <v>50.786299999999997</v>
      </c>
      <c r="I153" s="21">
        <v>-6.21185E-2</v>
      </c>
      <c r="J153" s="21">
        <v>143</v>
      </c>
      <c r="K153" s="21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1">
        <v>0.62011700000000003</v>
      </c>
      <c r="P153" s="21">
        <v>97.985699999999994</v>
      </c>
      <c r="Q153" s="21">
        <v>-2.9898099999999999E-3</v>
      </c>
      <c r="R153" s="21">
        <v>143</v>
      </c>
      <c r="S153" s="21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1">
        <v>-7.0037799999999997E-2</v>
      </c>
      <c r="Z153" s="21">
        <v>145.05699999999999</v>
      </c>
      <c r="AA153" s="21">
        <v>-6.2005600000000001E-2</v>
      </c>
      <c r="AB153" s="21">
        <v>143</v>
      </c>
      <c r="AC153" s="21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1">
        <v>0.62011700000000003</v>
      </c>
      <c r="AH153" s="21">
        <v>192.14</v>
      </c>
      <c r="AI153" s="21">
        <v>-7.73315E-4</v>
      </c>
      <c r="AJ153" s="21">
        <v>143</v>
      </c>
      <c r="AK153" s="21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1">
        <v>-7.0037799999999997E-2</v>
      </c>
      <c r="AR153" s="21">
        <v>239.27600000000001</v>
      </c>
      <c r="AS153" s="21">
        <v>-6.2014800000000002E-2</v>
      </c>
      <c r="AT153" s="21">
        <v>143</v>
      </c>
      <c r="AU153" s="21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1">
        <v>0.62011700000000003</v>
      </c>
      <c r="AZ153" s="21">
        <v>286.392</v>
      </c>
      <c r="BA153" s="21">
        <v>6.0546899999999997E-4</v>
      </c>
      <c r="BB153" s="21">
        <v>143</v>
      </c>
      <c r="BC153" s="21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-7.5073200000000007E-2</v>
      </c>
      <c r="H154" s="21">
        <v>50.796399999999998</v>
      </c>
      <c r="I154" s="21">
        <v>-6.2124600000000002E-2</v>
      </c>
      <c r="J154" s="21">
        <v>144</v>
      </c>
      <c r="K154" s="21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1">
        <v>0.62515299999999996</v>
      </c>
      <c r="P154" s="21">
        <v>97.995800000000003</v>
      </c>
      <c r="Q154" s="21">
        <v>1.94611E-3</v>
      </c>
      <c r="R154" s="21">
        <v>144</v>
      </c>
      <c r="S154" s="21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1">
        <v>-7.5073200000000007E-2</v>
      </c>
      <c r="Z154" s="21">
        <v>145.06700000000001</v>
      </c>
      <c r="AA154" s="21">
        <v>-6.2026999999999999E-2</v>
      </c>
      <c r="AB154" s="21">
        <v>144</v>
      </c>
      <c r="AC154" s="21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1">
        <v>0.62515299999999996</v>
      </c>
      <c r="AH154" s="21">
        <v>192.15</v>
      </c>
      <c r="AI154" s="21">
        <v>4.2474399999999999E-3</v>
      </c>
      <c r="AJ154" s="21">
        <v>144</v>
      </c>
      <c r="AK154" s="21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1">
        <v>-7.5073200000000007E-2</v>
      </c>
      <c r="AR154" s="21">
        <v>239.286</v>
      </c>
      <c r="AS154" s="21">
        <v>-6.20239E-2</v>
      </c>
      <c r="AT154" s="21">
        <v>144</v>
      </c>
      <c r="AU154" s="21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1">
        <v>0.62515299999999996</v>
      </c>
      <c r="AZ154" s="21">
        <v>286.40199999999999</v>
      </c>
      <c r="BA154" s="21">
        <v>5.6610100000000002E-3</v>
      </c>
      <c r="BB154" s="21">
        <v>144</v>
      </c>
      <c r="BC154" s="21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-8.0108600000000002E-2</v>
      </c>
      <c r="H155" s="21">
        <v>50.806399999999996</v>
      </c>
      <c r="I155" s="21">
        <v>-6.2149000000000003E-2</v>
      </c>
      <c r="J155" s="21">
        <v>145</v>
      </c>
      <c r="K155" s="21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1">
        <v>0.63018799999999997</v>
      </c>
      <c r="P155" s="21">
        <v>98.005799999999994</v>
      </c>
      <c r="Q155" s="21">
        <v>7.1380599999999999E-3</v>
      </c>
      <c r="R155" s="21">
        <v>145</v>
      </c>
      <c r="S155" s="21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1">
        <v>-8.0108600000000002E-2</v>
      </c>
      <c r="Z155" s="21">
        <v>145.077</v>
      </c>
      <c r="AA155" s="21">
        <v>-6.20514E-2</v>
      </c>
      <c r="AB155" s="21">
        <v>145</v>
      </c>
      <c r="AC155" s="21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1">
        <v>0.63018799999999997</v>
      </c>
      <c r="AH155" s="21">
        <v>192.16</v>
      </c>
      <c r="AI155" s="21">
        <v>9.4482400000000001E-3</v>
      </c>
      <c r="AJ155" s="21">
        <v>145</v>
      </c>
      <c r="AK155" s="21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1">
        <v>-8.0108600000000002E-2</v>
      </c>
      <c r="AR155" s="21">
        <v>239.29599999999999</v>
      </c>
      <c r="AS155" s="21">
        <v>-6.2033100000000001E-2</v>
      </c>
      <c r="AT155" s="21">
        <v>145</v>
      </c>
      <c r="AU155" s="21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1">
        <v>0.63018799999999997</v>
      </c>
      <c r="AZ155" s="21">
        <v>286.41199999999998</v>
      </c>
      <c r="BA155" s="21">
        <v>1.08948E-2</v>
      </c>
      <c r="BB155" s="21">
        <v>145</v>
      </c>
      <c r="BC155" s="21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-8.5143999999999997E-2</v>
      </c>
      <c r="H156" s="21">
        <v>50.816499999999998</v>
      </c>
      <c r="I156" s="21">
        <v>-6.2158199999999997E-2</v>
      </c>
      <c r="J156" s="21">
        <v>146</v>
      </c>
      <c r="K156" s="21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1">
        <v>0.63522299999999998</v>
      </c>
      <c r="P156" s="21">
        <v>98.015900000000002</v>
      </c>
      <c r="Q156" s="21">
        <v>1.26465E-2</v>
      </c>
      <c r="R156" s="21">
        <v>146</v>
      </c>
      <c r="S156" s="21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1">
        <v>-8.5143999999999997E-2</v>
      </c>
      <c r="Z156" s="21">
        <v>145.08699999999999</v>
      </c>
      <c r="AA156" s="21">
        <v>-6.2072799999999997E-2</v>
      </c>
      <c r="AB156" s="21">
        <v>146</v>
      </c>
      <c r="AC156" s="21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1">
        <v>0.63522299999999998</v>
      </c>
      <c r="AH156" s="21">
        <v>192.17</v>
      </c>
      <c r="AI156" s="21">
        <v>1.50238E-2</v>
      </c>
      <c r="AJ156" s="21">
        <v>146</v>
      </c>
      <c r="AK156" s="21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1">
        <v>-8.5143999999999997E-2</v>
      </c>
      <c r="AR156" s="21">
        <v>239.30600000000001</v>
      </c>
      <c r="AS156" s="21">
        <v>-6.2039200000000003E-2</v>
      </c>
      <c r="AT156" s="21">
        <v>146</v>
      </c>
      <c r="AU156" s="21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1">
        <v>0.63522299999999998</v>
      </c>
      <c r="AZ156" s="21">
        <v>286.423</v>
      </c>
      <c r="BA156" s="21">
        <v>1.6507000000000001E-2</v>
      </c>
      <c r="BB156" s="21">
        <v>146</v>
      </c>
      <c r="BC156" s="21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-9.0179400000000007E-2</v>
      </c>
      <c r="H157" s="21">
        <v>50.826599999999999</v>
      </c>
      <c r="I157" s="21">
        <v>-6.2170400000000001E-2</v>
      </c>
      <c r="J157" s="21">
        <v>147</v>
      </c>
      <c r="K157" s="21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1">
        <v>0.64025900000000002</v>
      </c>
      <c r="P157" s="21">
        <v>98.025999999999996</v>
      </c>
      <c r="Q157" s="21">
        <v>1.8469200000000002E-2</v>
      </c>
      <c r="R157" s="21">
        <v>147</v>
      </c>
      <c r="S157" s="21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1">
        <v>-9.0179400000000007E-2</v>
      </c>
      <c r="Z157" s="21">
        <v>145.09700000000001</v>
      </c>
      <c r="AA157" s="21">
        <v>-6.2097199999999998E-2</v>
      </c>
      <c r="AB157" s="21">
        <v>147</v>
      </c>
      <c r="AC157" s="21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1">
        <v>0.64025900000000002</v>
      </c>
      <c r="AH157" s="21">
        <v>192.18</v>
      </c>
      <c r="AI157" s="21">
        <v>2.0837399999999999E-2</v>
      </c>
      <c r="AJ157" s="21">
        <v>147</v>
      </c>
      <c r="AK157" s="21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1">
        <v>-9.0179400000000007E-2</v>
      </c>
      <c r="AR157" s="21">
        <v>239.316</v>
      </c>
      <c r="AS157" s="21">
        <v>-6.2048300000000001E-2</v>
      </c>
      <c r="AT157" s="21">
        <v>147</v>
      </c>
      <c r="AU157" s="21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1">
        <v>0.64025900000000002</v>
      </c>
      <c r="AZ157" s="21">
        <v>286.43299999999999</v>
      </c>
      <c r="BA157" s="21">
        <v>2.2323599999999999E-2</v>
      </c>
      <c r="BB157" s="21">
        <v>147</v>
      </c>
      <c r="BC157" s="21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-9.5214800000000002E-2</v>
      </c>
      <c r="H158" s="21">
        <v>50.836599999999997</v>
      </c>
      <c r="I158" s="21">
        <v>-6.2185699999999997E-2</v>
      </c>
      <c r="J158" s="21">
        <v>148</v>
      </c>
      <c r="K158" s="21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1">
        <v>0.64529400000000003</v>
      </c>
      <c r="P158" s="21">
        <v>98.036000000000001</v>
      </c>
      <c r="Q158" s="21">
        <v>2.45697E-2</v>
      </c>
      <c r="R158" s="21">
        <v>148</v>
      </c>
      <c r="S158" s="21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1">
        <v>-9.5214800000000002E-2</v>
      </c>
      <c r="Z158" s="21">
        <v>145.107</v>
      </c>
      <c r="AA158" s="21">
        <v>-6.2097199999999998E-2</v>
      </c>
      <c r="AB158" s="21">
        <v>148</v>
      </c>
      <c r="AC158" s="21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1">
        <v>0.64529400000000003</v>
      </c>
      <c r="AH158" s="21">
        <v>192.19</v>
      </c>
      <c r="AI158" s="21">
        <v>2.69836E-2</v>
      </c>
      <c r="AJ158" s="21">
        <v>148</v>
      </c>
      <c r="AK158" s="21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1">
        <v>-9.5214800000000002E-2</v>
      </c>
      <c r="AR158" s="21">
        <v>239.32599999999999</v>
      </c>
      <c r="AS158" s="21">
        <v>-6.2069699999999998E-2</v>
      </c>
      <c r="AT158" s="21">
        <v>148</v>
      </c>
      <c r="AU158" s="21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1">
        <v>0.64529400000000003</v>
      </c>
      <c r="AZ158" s="21">
        <v>286.44299999999998</v>
      </c>
      <c r="BA158" s="21">
        <v>2.8472899999999999E-2</v>
      </c>
      <c r="BB158" s="21">
        <v>148</v>
      </c>
      <c r="BC158" s="21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-0.10025000000000001</v>
      </c>
      <c r="H159" s="21">
        <v>50.846699999999998</v>
      </c>
      <c r="I159" s="21">
        <v>-6.2194800000000001E-2</v>
      </c>
      <c r="J159" s="21">
        <v>149</v>
      </c>
      <c r="K159" s="21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1">
        <v>0.65032999999999996</v>
      </c>
      <c r="P159" s="21">
        <v>98.046099999999996</v>
      </c>
      <c r="Q159" s="21">
        <v>3.0981399999999999E-2</v>
      </c>
      <c r="R159" s="21">
        <v>149</v>
      </c>
      <c r="S159" s="21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1">
        <v>-0.10025000000000001</v>
      </c>
      <c r="Z159" s="21">
        <v>145.11699999999999</v>
      </c>
      <c r="AA159" s="21">
        <v>-6.2097199999999998E-2</v>
      </c>
      <c r="AB159" s="21">
        <v>149</v>
      </c>
      <c r="AC159" s="21">
        <v>-0.101715</v>
      </c>
      <c r="AD159">
        <f t="shared" si="28"/>
        <v>38.810749999999999</v>
      </c>
      <c r="AE159">
        <f t="shared" si="29"/>
        <v>-3.8907776875</v>
      </c>
      <c r="AF159" s="9"/>
      <c r="AG159" s="21">
        <v>0.65032999999999996</v>
      </c>
      <c r="AH159" s="21">
        <v>192.2</v>
      </c>
      <c r="AI159" s="21">
        <v>3.3343499999999998E-2</v>
      </c>
      <c r="AJ159" s="21">
        <v>149</v>
      </c>
      <c r="AK159" s="21">
        <v>0.649841</v>
      </c>
      <c r="AL159">
        <f t="shared" si="30"/>
        <v>-20.8396875</v>
      </c>
      <c r="AM159">
        <f t="shared" si="31"/>
        <v>-13.552673971874999</v>
      </c>
      <c r="AP159" s="9"/>
      <c r="AQ159" s="21">
        <v>-0.10025000000000001</v>
      </c>
      <c r="AR159" s="21">
        <v>239.33600000000001</v>
      </c>
      <c r="AS159" s="21">
        <v>-6.20758E-2</v>
      </c>
      <c r="AT159" s="21">
        <v>149</v>
      </c>
      <c r="AU159" s="21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1">
        <v>0.65032999999999996</v>
      </c>
      <c r="AZ159" s="21">
        <v>286.45299999999997</v>
      </c>
      <c r="BA159" s="21">
        <v>3.4817500000000001E-2</v>
      </c>
      <c r="BB159" s="21">
        <v>149</v>
      </c>
      <c r="BC159" s="21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273"/>
  <sheetViews>
    <sheetView topLeftCell="AT1" workbookViewId="0">
      <selection activeCell="BD11" sqref="BD11:BE155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26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26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26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26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26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26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25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25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25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25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25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25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0.60048643617695452</v>
      </c>
      <c r="J6" s="25"/>
      <c r="K6" s="2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27">
        <f>(Q3-Q4)/(S3-S4)*(-S4)+Q4</f>
        <v>0.60072494932764375</v>
      </c>
      <c r="R6" s="27"/>
      <c r="S6" s="2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25">
        <f>(AA3-AA4)/(AC3-AC4)*(-AC4)+AA4</f>
        <v>0.60076318403448914</v>
      </c>
      <c r="AB6" s="25"/>
      <c r="AC6" s="2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27">
        <f>(AI3-AI4)/(AK3-AK4)*(-AK4)+AI4</f>
        <v>0.60083598279910189</v>
      </c>
      <c r="AJ6" s="27"/>
      <c r="AK6" s="2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25">
        <f>(AS3-AS4)/(AU3-AU4)*(-AU4)+AS4</f>
        <v>0.6008037294032208</v>
      </c>
      <c r="AT6" s="25"/>
      <c r="AU6" s="2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27">
        <f>(BA3-BA4)/(BC3-BC4)*(-BC4)+BA4</f>
        <v>0.60089714549848849</v>
      </c>
      <c r="BB6" s="27"/>
      <c r="BC6" s="2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2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2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2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2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2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0.12427869589556052</v>
      </c>
      <c r="J9" s="2"/>
      <c r="K9" s="2"/>
      <c r="L9" s="3">
        <f>(L6-L7)/(K6-K7)*(-K7)+L7</f>
        <v>43.564508158276922</v>
      </c>
      <c r="M9" s="15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5">
        <f>MAX(U11:U1056)</f>
        <v>16.933159016799998</v>
      </c>
      <c r="X9" s="9"/>
      <c r="Y9" s="2"/>
      <c r="Z9" s="2"/>
      <c r="AA9" s="14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5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5">
        <f>MAX(AM11:AM1056)</f>
        <v>16.941558424</v>
      </c>
      <c r="AP9" s="9"/>
      <c r="AQ9" s="2"/>
      <c r="AR9" s="2"/>
      <c r="AS9" s="14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5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5">
        <f>MAX(BE11:BE1056)</f>
        <v>16.959780088800002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0.60048643617695452</v>
      </c>
      <c r="B11" s="18">
        <f>IFERROR(L9,0)</f>
        <v>43.564508158276922</v>
      </c>
      <c r="C11" s="19">
        <f>IFERROR(L4,0)</f>
        <v>0.6464901292964621</v>
      </c>
      <c r="D11" s="20">
        <f>IFERROR(L2,0)</f>
        <v>16.912114707599997</v>
      </c>
      <c r="E11" s="20">
        <f>IFERROR(I9,0)</f>
        <v>0.12427869589556052</v>
      </c>
      <c r="F11" s="9"/>
      <c r="G11" s="21">
        <v>0.625</v>
      </c>
      <c r="H11" s="21">
        <v>49.153199999999998</v>
      </c>
      <c r="I11" s="21">
        <v>1.1633299999999999E-2</v>
      </c>
      <c r="J11" s="21">
        <v>1</v>
      </c>
      <c r="K11" s="21">
        <v>0.62451199999999996</v>
      </c>
      <c r="L11">
        <f>-I11/$F$2*1000</f>
        <v>-11.633299999999998</v>
      </c>
      <c r="M11">
        <f>L11*G11</f>
        <v>-7.270812499999999</v>
      </c>
      <c r="N11" s="9"/>
      <c r="O11" s="21">
        <v>-9.49097E-2</v>
      </c>
      <c r="P11" s="21">
        <v>58.621899999999997</v>
      </c>
      <c r="Q11" s="21">
        <v>-4.3633999999999999E-2</v>
      </c>
      <c r="R11" s="21">
        <v>1</v>
      </c>
      <c r="S11" s="21">
        <v>-9.6252400000000002E-2</v>
      </c>
      <c r="T11">
        <f>-Q11/$F$2*1000</f>
        <v>43.634</v>
      </c>
      <c r="U11">
        <f>T11*O11</f>
        <v>-4.1412898497999997</v>
      </c>
      <c r="V11" s="22"/>
      <c r="W11" s="23"/>
      <c r="X11" s="9"/>
      <c r="Y11" s="21">
        <v>0.625</v>
      </c>
      <c r="Z11" s="21">
        <v>61.479500000000002</v>
      </c>
      <c r="AA11" s="21">
        <v>1.16119E-2</v>
      </c>
      <c r="AB11" s="21">
        <v>1</v>
      </c>
      <c r="AC11" s="21">
        <v>0.62451199999999996</v>
      </c>
      <c r="AD11">
        <f>-AA11/$F$2*1000</f>
        <v>-11.6119</v>
      </c>
      <c r="AE11">
        <f>AD11*Y11</f>
        <v>-7.2574375</v>
      </c>
      <c r="AF11" s="9"/>
      <c r="AG11" s="21">
        <v>-9.49097E-2</v>
      </c>
      <c r="AH11" s="21">
        <v>64.13</v>
      </c>
      <c r="AI11" s="21">
        <v>-4.36859E-2</v>
      </c>
      <c r="AJ11" s="21">
        <v>1</v>
      </c>
      <c r="AK11" s="21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1">
        <v>0.625</v>
      </c>
      <c r="AR11" s="21">
        <v>66.788600000000002</v>
      </c>
      <c r="AS11" s="21">
        <v>1.16638E-2</v>
      </c>
      <c r="AT11" s="21">
        <v>1</v>
      </c>
      <c r="AU11" s="21">
        <v>0.62457300000000004</v>
      </c>
      <c r="AV11">
        <f>-AS11/$F$2*1000</f>
        <v>-11.6638</v>
      </c>
      <c r="AW11">
        <f>AV11*AQ11</f>
        <v>-7.2898750000000003</v>
      </c>
      <c r="AX11" s="9"/>
      <c r="AY11" s="21">
        <v>-9.49097E-2</v>
      </c>
      <c r="AZ11" s="21">
        <v>70.216200000000001</v>
      </c>
      <c r="BA11" s="21">
        <v>-4.3637099999999998E-2</v>
      </c>
      <c r="BB11" s="21">
        <v>1</v>
      </c>
      <c r="BC11" s="21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0.60072494932764375</v>
      </c>
      <c r="B12" s="18">
        <f>IFERROR(T9,0)</f>
        <v>43.585277413652385</v>
      </c>
      <c r="C12" s="19">
        <f>IFERROR(T4,0)</f>
        <v>0.64672924896866157</v>
      </c>
      <c r="D12" s="20">
        <f>IFERROR(T2,0)</f>
        <v>16.933159016799998</v>
      </c>
      <c r="E12" s="20"/>
      <c r="F12" s="9"/>
      <c r="G12" s="21">
        <v>0.61996499999999999</v>
      </c>
      <c r="H12" s="21">
        <v>49.1633</v>
      </c>
      <c r="I12" s="21">
        <v>9.0911900000000007E-3</v>
      </c>
      <c r="J12" s="21">
        <v>2</v>
      </c>
      <c r="K12" s="21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1">
        <v>-8.9874300000000004E-2</v>
      </c>
      <c r="P12" s="21">
        <v>58.631999999999998</v>
      </c>
      <c r="Q12" s="21">
        <v>-4.3637099999999998E-2</v>
      </c>
      <c r="R12" s="21">
        <v>2</v>
      </c>
      <c r="S12" s="21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2"/>
      <c r="W12" s="23"/>
      <c r="X12" s="9"/>
      <c r="Y12" s="21">
        <v>0.61996499999999999</v>
      </c>
      <c r="Z12" s="21">
        <v>61.4895</v>
      </c>
      <c r="AA12" s="21">
        <v>9.0270999999999997E-3</v>
      </c>
      <c r="AB12" s="21">
        <v>2</v>
      </c>
      <c r="AC12" s="21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1">
        <v>-8.9874300000000004E-2</v>
      </c>
      <c r="AH12" s="21">
        <v>64.140100000000004</v>
      </c>
      <c r="AI12" s="21">
        <v>-4.3673700000000003E-2</v>
      </c>
      <c r="AJ12" s="21">
        <v>2</v>
      </c>
      <c r="AK12" s="21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1">
        <v>0.61996499999999999</v>
      </c>
      <c r="AR12" s="21">
        <v>66.798699999999997</v>
      </c>
      <c r="AS12" s="21">
        <v>9.0362499999999991E-3</v>
      </c>
      <c r="AT12" s="21">
        <v>2</v>
      </c>
      <c r="AU12" s="21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1">
        <v>-8.9874300000000004E-2</v>
      </c>
      <c r="AZ12" s="21">
        <v>70.226299999999995</v>
      </c>
      <c r="BA12" s="21">
        <v>-4.3637099999999998E-2</v>
      </c>
      <c r="BB12" s="21">
        <v>2</v>
      </c>
      <c r="BC12" s="21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0.60076318403448914</v>
      </c>
      <c r="B13" s="18">
        <f>IFERROR(AD9,0)</f>
        <v>43.594719228721132</v>
      </c>
      <c r="C13" s="19">
        <f>IFERROR(AD4,0)</f>
        <v>0.64611357178287088</v>
      </c>
      <c r="D13" s="20">
        <f>IFERROR(AD2,0)</f>
        <v>16.921780562399999</v>
      </c>
      <c r="E13" s="20">
        <f>IFERROR(AA9,0)</f>
        <v>0.11674168990252688</v>
      </c>
      <c r="F13" s="9"/>
      <c r="G13" s="21">
        <v>0.61492899999999995</v>
      </c>
      <c r="H13" s="21">
        <v>49.173400000000001</v>
      </c>
      <c r="I13" s="21">
        <v>6.53076E-3</v>
      </c>
      <c r="J13" s="21">
        <v>3</v>
      </c>
      <c r="K13" s="21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1">
        <v>-8.4838899999999995E-2</v>
      </c>
      <c r="P13" s="21">
        <v>58.642000000000003</v>
      </c>
      <c r="Q13" s="21">
        <v>-4.3640100000000001E-2</v>
      </c>
      <c r="R13" s="21">
        <v>3</v>
      </c>
      <c r="S13" s="21">
        <v>-8.6029099999999997E-2</v>
      </c>
      <c r="T13">
        <f t="shared" si="2"/>
        <v>43.640100000000004</v>
      </c>
      <c r="U13">
        <f t="shared" si="3"/>
        <v>-3.7023780798899999</v>
      </c>
      <c r="V13" s="22"/>
      <c r="W13" s="23"/>
      <c r="X13" s="9"/>
      <c r="Y13" s="21">
        <v>0.61492899999999995</v>
      </c>
      <c r="Z13" s="21">
        <v>61.499600000000001</v>
      </c>
      <c r="AA13" s="21">
        <v>6.4758300000000001E-3</v>
      </c>
      <c r="AB13" s="21">
        <v>3</v>
      </c>
      <c r="AC13" s="21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1">
        <v>-8.4838899999999995E-2</v>
      </c>
      <c r="AH13" s="21">
        <v>64.150199999999998</v>
      </c>
      <c r="AI13" s="21">
        <v>-4.3664599999999998E-2</v>
      </c>
      <c r="AJ13" s="21">
        <v>3</v>
      </c>
      <c r="AK13" s="21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1">
        <v>0.61492899999999995</v>
      </c>
      <c r="AR13" s="21">
        <v>66.808800000000005</v>
      </c>
      <c r="AS13" s="21">
        <v>6.4880399999999996E-3</v>
      </c>
      <c r="AT13" s="21">
        <v>3</v>
      </c>
      <c r="AU13" s="21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1">
        <v>-8.4838899999999995E-2</v>
      </c>
      <c r="AZ13" s="21">
        <v>70.2363</v>
      </c>
      <c r="BA13" s="21">
        <v>-4.3624900000000001E-2</v>
      </c>
      <c r="BB13" s="21">
        <v>3</v>
      </c>
      <c r="BC13" s="21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0.60083598279910189</v>
      </c>
      <c r="B14" s="18">
        <f>IFERROR(AL9,0)</f>
        <v>43.533620858890842</v>
      </c>
      <c r="C14" s="19">
        <f>IFERROR(AL4,0)</f>
        <v>0.64769811549031642</v>
      </c>
      <c r="D14" s="20">
        <f>IFERROR(AL2,0)</f>
        <v>16.941558424</v>
      </c>
      <c r="E14" s="20"/>
      <c r="F14" s="9"/>
      <c r="G14" s="21">
        <v>0.60989400000000005</v>
      </c>
      <c r="H14" s="21">
        <v>49.183399999999999</v>
      </c>
      <c r="I14" s="21">
        <v>4.1159100000000004E-3</v>
      </c>
      <c r="J14" s="21">
        <v>4</v>
      </c>
      <c r="K14" s="21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1">
        <v>-7.9803499999999999E-2</v>
      </c>
      <c r="P14" s="21">
        <v>58.652099999999997</v>
      </c>
      <c r="Q14" s="21">
        <v>-4.3631000000000003E-2</v>
      </c>
      <c r="R14" s="21">
        <v>4</v>
      </c>
      <c r="S14" s="21">
        <v>-8.1054699999999993E-2</v>
      </c>
      <c r="T14">
        <f t="shared" si="2"/>
        <v>43.631</v>
      </c>
      <c r="U14">
        <f t="shared" si="3"/>
        <v>-3.4819065084999998</v>
      </c>
      <c r="V14" s="22"/>
      <c r="W14" s="23"/>
      <c r="X14" s="9"/>
      <c r="Y14" s="21">
        <v>0.60989400000000005</v>
      </c>
      <c r="Z14" s="21">
        <v>61.509700000000002</v>
      </c>
      <c r="AA14" s="21">
        <v>4.0155E-3</v>
      </c>
      <c r="AB14" s="21">
        <v>4</v>
      </c>
      <c r="AC14" s="21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1">
        <v>-7.9803499999999999E-2</v>
      </c>
      <c r="AH14" s="21">
        <v>64.160300000000007</v>
      </c>
      <c r="AI14" s="21">
        <v>-4.3664599999999998E-2</v>
      </c>
      <c r="AJ14" s="21">
        <v>4</v>
      </c>
      <c r="AK14" s="21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1">
        <v>0.60989400000000005</v>
      </c>
      <c r="AR14" s="21">
        <v>66.818799999999996</v>
      </c>
      <c r="AS14" s="21">
        <v>3.9959699999999997E-3</v>
      </c>
      <c r="AT14" s="21">
        <v>4</v>
      </c>
      <c r="AU14" s="21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1">
        <v>-7.9803499999999999E-2</v>
      </c>
      <c r="AZ14" s="21">
        <v>70.246399999999994</v>
      </c>
      <c r="BA14" s="21">
        <v>-4.3618799999999999E-2</v>
      </c>
      <c r="BB14" s="21">
        <v>4</v>
      </c>
      <c r="BC14" s="21">
        <v>-8.1054699999999993E-2</v>
      </c>
      <c r="BD14">
        <f t="shared" si="10"/>
        <v>43.6188</v>
      </c>
      <c r="BE14">
        <f t="shared" si="11"/>
        <v>-3.4809329058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0.6008037294032208</v>
      </c>
      <c r="B15" s="18">
        <f>IFERROR(AV9,0)</f>
        <v>43.537000896355948</v>
      </c>
      <c r="C15" s="19">
        <f>IFERROR(AV4,0)</f>
        <v>0.64798649527834018</v>
      </c>
      <c r="D15" s="20">
        <f>IFERROR(AV2,0)</f>
        <v>16.949507497999999</v>
      </c>
      <c r="E15" s="20">
        <f>IFERROR(AS9,0)</f>
        <v>6.0570306609028929E-2</v>
      </c>
      <c r="F15" s="9"/>
      <c r="G15" s="21">
        <v>0.60485800000000001</v>
      </c>
      <c r="H15" s="21">
        <v>49.1935</v>
      </c>
      <c r="I15" s="21">
        <v>1.6918899999999999E-3</v>
      </c>
      <c r="J15" s="21">
        <v>5</v>
      </c>
      <c r="K15" s="21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1">
        <v>-7.4768100000000004E-2</v>
      </c>
      <c r="P15" s="21">
        <v>58.662199999999999</v>
      </c>
      <c r="Q15" s="21">
        <v>-4.3633999999999999E-2</v>
      </c>
      <c r="R15" s="21">
        <v>5</v>
      </c>
      <c r="S15" s="21">
        <v>-7.5927700000000001E-2</v>
      </c>
      <c r="T15">
        <f t="shared" si="2"/>
        <v>43.634</v>
      </c>
      <c r="U15">
        <f t="shared" si="3"/>
        <v>-3.2624312754</v>
      </c>
      <c r="V15" s="22"/>
      <c r="W15" s="23"/>
      <c r="X15" s="9"/>
      <c r="Y15" s="21">
        <v>0.60485800000000001</v>
      </c>
      <c r="Z15" s="21">
        <v>61.519799999999996</v>
      </c>
      <c r="AA15" s="21">
        <v>1.58661E-3</v>
      </c>
      <c r="AB15" s="21">
        <v>5</v>
      </c>
      <c r="AC15" s="21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1">
        <v>-7.4768100000000004E-2</v>
      </c>
      <c r="AH15" s="21">
        <v>64.170299999999997</v>
      </c>
      <c r="AI15" s="21">
        <v>-4.3661499999999999E-2</v>
      </c>
      <c r="AJ15" s="21">
        <v>5</v>
      </c>
      <c r="AK15" s="21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1">
        <v>0.60485800000000001</v>
      </c>
      <c r="AR15" s="21">
        <v>66.828900000000004</v>
      </c>
      <c r="AS15" s="21">
        <v>1.5643300000000001E-3</v>
      </c>
      <c r="AT15" s="21">
        <v>5</v>
      </c>
      <c r="AU15" s="21">
        <v>0.60424800000000001</v>
      </c>
      <c r="AV15">
        <f t="shared" si="8"/>
        <v>-1.56433</v>
      </c>
      <c r="AW15">
        <f t="shared" si="9"/>
        <v>-0.94619751514000006</v>
      </c>
      <c r="AX15" s="9"/>
      <c r="AY15" s="21">
        <v>-7.4768100000000004E-2</v>
      </c>
      <c r="AZ15" s="21">
        <v>70.256500000000003</v>
      </c>
      <c r="BA15" s="21">
        <v>-4.3627899999999997E-2</v>
      </c>
      <c r="BB15" s="21">
        <v>5</v>
      </c>
      <c r="BC15" s="21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0.60089714549848849</v>
      </c>
      <c r="B16" s="18">
        <f>IFERROR(BD9,0)</f>
        <v>43.573351212367172</v>
      </c>
      <c r="C16" s="19">
        <f>IFERROR(BD4,0)</f>
        <v>0.64773760776960321</v>
      </c>
      <c r="D16" s="20">
        <f>IFERROR(BD2,0)</f>
        <v>16.959780088800002</v>
      </c>
      <c r="E16" s="20"/>
      <c r="F16" s="9"/>
      <c r="G16" s="21">
        <v>0.599823</v>
      </c>
      <c r="H16" s="21">
        <v>49.203600000000002</v>
      </c>
      <c r="I16" s="21">
        <v>-5.9143100000000001E-4</v>
      </c>
      <c r="J16" s="21">
        <v>6</v>
      </c>
      <c r="K16" s="21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1">
        <v>-6.9732699999999995E-2</v>
      </c>
      <c r="P16" s="21">
        <v>58.6723</v>
      </c>
      <c r="Q16" s="21">
        <v>-4.3631000000000003E-2</v>
      </c>
      <c r="R16" s="21">
        <v>6</v>
      </c>
      <c r="S16" s="21">
        <v>-7.1014400000000005E-2</v>
      </c>
      <c r="T16">
        <f t="shared" si="2"/>
        <v>43.631</v>
      </c>
      <c r="U16">
        <f t="shared" si="3"/>
        <v>-3.0425074337</v>
      </c>
      <c r="V16" s="22"/>
      <c r="W16" s="23"/>
      <c r="X16" s="9"/>
      <c r="Y16" s="21">
        <v>0.599823</v>
      </c>
      <c r="Z16" s="21">
        <v>61.529800000000002</v>
      </c>
      <c r="AA16" s="21">
        <v>-7.3272699999999997E-4</v>
      </c>
      <c r="AB16" s="21">
        <v>6</v>
      </c>
      <c r="AC16" s="21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1">
        <v>-6.9732699999999995E-2</v>
      </c>
      <c r="AH16" s="21">
        <v>64.180400000000006</v>
      </c>
      <c r="AI16" s="21">
        <v>-4.3646200000000003E-2</v>
      </c>
      <c r="AJ16" s="21">
        <v>6</v>
      </c>
      <c r="AK16" s="21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1">
        <v>0.599823</v>
      </c>
      <c r="AR16" s="21">
        <v>66.838999999999999</v>
      </c>
      <c r="AS16" s="21">
        <v>-7.7789299999999999E-4</v>
      </c>
      <c r="AT16" s="21">
        <v>6</v>
      </c>
      <c r="AU16" s="21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1">
        <v>-6.9732699999999995E-2</v>
      </c>
      <c r="AZ16" s="21">
        <v>70.266599999999997</v>
      </c>
      <c r="BA16" s="21">
        <v>-4.3631000000000003E-2</v>
      </c>
      <c r="BB16" s="21">
        <v>6</v>
      </c>
      <c r="BC16" s="21">
        <v>-7.0983900000000003E-2</v>
      </c>
      <c r="BD16">
        <f t="shared" si="10"/>
        <v>43.631</v>
      </c>
      <c r="BE16">
        <f t="shared" si="11"/>
        <v>-3.0425074337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0.59478799999999998</v>
      </c>
      <c r="H17" s="21">
        <v>49.2136</v>
      </c>
      <c r="I17" s="21">
        <v>-2.8976399999999999E-3</v>
      </c>
      <c r="J17" s="21">
        <v>7</v>
      </c>
      <c r="K17" s="21">
        <v>0.594086</v>
      </c>
      <c r="L17">
        <f t="shared" si="0"/>
        <v>2.89764</v>
      </c>
      <c r="M17">
        <f t="shared" si="1"/>
        <v>1.7234815003199999</v>
      </c>
      <c r="N17" s="9"/>
      <c r="O17" s="21">
        <v>-6.4697299999999999E-2</v>
      </c>
      <c r="P17" s="21">
        <v>58.682299999999998</v>
      </c>
      <c r="Q17" s="21">
        <v>-4.3637099999999998E-2</v>
      </c>
      <c r="R17" s="21">
        <v>7</v>
      </c>
      <c r="S17" s="21">
        <v>-6.5918000000000004E-2</v>
      </c>
      <c r="T17">
        <f t="shared" si="2"/>
        <v>43.637099999999997</v>
      </c>
      <c r="U17">
        <f t="shared" si="3"/>
        <v>-2.82320254983</v>
      </c>
      <c r="V17" s="22"/>
      <c r="W17" s="23"/>
      <c r="X17" s="9"/>
      <c r="Y17" s="21">
        <v>0.59478799999999998</v>
      </c>
      <c r="Z17" s="21">
        <v>61.539900000000003</v>
      </c>
      <c r="AA17" s="21">
        <v>-3.0361899999999998E-3</v>
      </c>
      <c r="AB17" s="21">
        <v>7</v>
      </c>
      <c r="AC17" s="21">
        <v>0.594086</v>
      </c>
      <c r="AD17">
        <f t="shared" si="4"/>
        <v>3.0361899999999999</v>
      </c>
      <c r="AE17">
        <f t="shared" si="5"/>
        <v>1.80588937772</v>
      </c>
      <c r="AF17" s="9"/>
      <c r="AG17" s="21">
        <v>-6.4697299999999999E-2</v>
      </c>
      <c r="AH17" s="21">
        <v>64.1905</v>
      </c>
      <c r="AI17" s="21">
        <v>-4.3649300000000002E-2</v>
      </c>
      <c r="AJ17" s="21">
        <v>7</v>
      </c>
      <c r="AK17" s="21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1">
        <v>0.59478799999999998</v>
      </c>
      <c r="AR17" s="21">
        <v>66.849000000000004</v>
      </c>
      <c r="AS17" s="21">
        <v>-3.0889899999999998E-3</v>
      </c>
      <c r="AT17" s="21">
        <v>7</v>
      </c>
      <c r="AU17" s="21">
        <v>0.594055</v>
      </c>
      <c r="AV17">
        <f t="shared" si="8"/>
        <v>3.0889899999999999</v>
      </c>
      <c r="AW17">
        <f t="shared" si="9"/>
        <v>1.8372941841199999</v>
      </c>
      <c r="AX17" s="9"/>
      <c r="AY17" s="21">
        <v>-6.4697299999999999E-2</v>
      </c>
      <c r="AZ17" s="21">
        <v>70.276600000000002</v>
      </c>
      <c r="BA17" s="21">
        <v>-4.36432E-2</v>
      </c>
      <c r="BB17" s="21">
        <v>7</v>
      </c>
      <c r="BC17" s="21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0.58975200000000005</v>
      </c>
      <c r="H18" s="21">
        <v>49.223700000000001</v>
      </c>
      <c r="I18" s="21">
        <v>-5.0506600000000002E-3</v>
      </c>
      <c r="J18" s="21">
        <v>8</v>
      </c>
      <c r="K18" s="21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1">
        <v>-5.9661899999999997E-2</v>
      </c>
      <c r="P18" s="21">
        <v>58.692399999999999</v>
      </c>
      <c r="Q18" s="21">
        <v>-4.3637099999999998E-2</v>
      </c>
      <c r="R18" s="21">
        <v>8</v>
      </c>
      <c r="S18" s="21">
        <v>-6.0974100000000003E-2</v>
      </c>
      <c r="T18">
        <f t="shared" si="2"/>
        <v>43.637099999999997</v>
      </c>
      <c r="U18">
        <f t="shared" si="3"/>
        <v>-2.6034722964899997</v>
      </c>
      <c r="V18" s="22"/>
      <c r="W18" s="23"/>
      <c r="X18" s="9"/>
      <c r="Y18" s="21">
        <v>0.58975200000000005</v>
      </c>
      <c r="Z18" s="21">
        <v>61.55</v>
      </c>
      <c r="AA18" s="21">
        <v>-5.2154499999999999E-3</v>
      </c>
      <c r="AB18" s="21">
        <v>8</v>
      </c>
      <c r="AC18" s="21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1">
        <v>-5.9661899999999997E-2</v>
      </c>
      <c r="AH18" s="21">
        <v>64.200500000000005</v>
      </c>
      <c r="AI18" s="21">
        <v>-4.3633999999999999E-2</v>
      </c>
      <c r="AJ18" s="21">
        <v>8</v>
      </c>
      <c r="AK18" s="21">
        <v>-6.0974100000000003E-2</v>
      </c>
      <c r="AL18">
        <f t="shared" si="6"/>
        <v>43.634</v>
      </c>
      <c r="AM18">
        <f t="shared" si="7"/>
        <v>-2.6032873446</v>
      </c>
      <c r="AP18" s="9"/>
      <c r="AQ18" s="21">
        <v>0.58975200000000005</v>
      </c>
      <c r="AR18" s="21">
        <v>66.859099999999998</v>
      </c>
      <c r="AS18" s="21">
        <v>-5.2856400000000003E-3</v>
      </c>
      <c r="AT18" s="21">
        <v>8</v>
      </c>
      <c r="AU18" s="21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1">
        <v>-5.9661899999999997E-2</v>
      </c>
      <c r="AZ18" s="21">
        <v>70.286699999999996</v>
      </c>
      <c r="BA18" s="21">
        <v>-4.3627899999999997E-2</v>
      </c>
      <c r="BB18" s="21">
        <v>8</v>
      </c>
      <c r="BC18" s="21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0.58471700000000004</v>
      </c>
      <c r="H19" s="21">
        <v>49.233800000000002</v>
      </c>
      <c r="I19" s="21">
        <v>-7.2082500000000002E-3</v>
      </c>
      <c r="J19" s="21">
        <v>9</v>
      </c>
      <c r="K19" s="21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1">
        <v>-5.4626500000000001E-2</v>
      </c>
      <c r="P19" s="21">
        <v>58.702500000000001</v>
      </c>
      <c r="Q19" s="21">
        <v>-4.3621800000000002E-2</v>
      </c>
      <c r="R19" s="21">
        <v>9</v>
      </c>
      <c r="S19" s="21">
        <v>-5.5908199999999998E-2</v>
      </c>
      <c r="T19">
        <f t="shared" si="2"/>
        <v>43.6218</v>
      </c>
      <c r="U19">
        <f t="shared" si="3"/>
        <v>-2.3829062577000002</v>
      </c>
      <c r="V19" s="22"/>
      <c r="W19" s="23"/>
      <c r="X19" s="9"/>
      <c r="Y19" s="21">
        <v>0.58471700000000004</v>
      </c>
      <c r="Z19" s="21">
        <v>61.56</v>
      </c>
      <c r="AA19" s="21">
        <v>-7.3730499999999999E-3</v>
      </c>
      <c r="AB19" s="21">
        <v>9</v>
      </c>
      <c r="AC19" s="21">
        <v>0.583893</v>
      </c>
      <c r="AD19">
        <f t="shared" si="4"/>
        <v>7.3730500000000001</v>
      </c>
      <c r="AE19">
        <f t="shared" si="5"/>
        <v>4.3111476768500001</v>
      </c>
      <c r="AF19" s="9"/>
      <c r="AG19" s="21">
        <v>-5.4626500000000001E-2</v>
      </c>
      <c r="AH19" s="21">
        <v>64.210599999999999</v>
      </c>
      <c r="AI19" s="21">
        <v>-4.3621800000000002E-2</v>
      </c>
      <c r="AJ19" s="21">
        <v>9</v>
      </c>
      <c r="AK19" s="21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1">
        <v>0.58471700000000004</v>
      </c>
      <c r="AR19" s="21">
        <v>66.869200000000006</v>
      </c>
      <c r="AS19" s="21">
        <v>-7.4432400000000003E-3</v>
      </c>
      <c r="AT19" s="21">
        <v>9</v>
      </c>
      <c r="AU19" s="21">
        <v>0.583893</v>
      </c>
      <c r="AV19">
        <f t="shared" si="8"/>
        <v>7.4432400000000003</v>
      </c>
      <c r="AW19">
        <f t="shared" si="9"/>
        <v>4.3521889630800006</v>
      </c>
      <c r="AX19" s="9"/>
      <c r="AY19" s="21">
        <v>-5.4626500000000001E-2</v>
      </c>
      <c r="AZ19" s="21">
        <v>70.296800000000005</v>
      </c>
      <c r="BA19" s="21">
        <v>-4.3618799999999999E-2</v>
      </c>
      <c r="BB19" s="21">
        <v>9</v>
      </c>
      <c r="BC19" s="21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0.579681</v>
      </c>
      <c r="H20" s="21">
        <v>49.2438</v>
      </c>
      <c r="I20" s="21">
        <v>-9.2407199999999991E-3</v>
      </c>
      <c r="J20" s="21">
        <v>10</v>
      </c>
      <c r="K20" s="21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1">
        <v>-4.9591099999999999E-2</v>
      </c>
      <c r="P20" s="21">
        <v>58.712499999999999</v>
      </c>
      <c r="Q20" s="21">
        <v>-4.3603500000000003E-2</v>
      </c>
      <c r="R20" s="21">
        <v>10</v>
      </c>
      <c r="S20" s="21">
        <v>-5.08423E-2</v>
      </c>
      <c r="T20">
        <f t="shared" si="2"/>
        <v>43.603500000000004</v>
      </c>
      <c r="U20">
        <f t="shared" si="3"/>
        <v>-2.16234552885</v>
      </c>
      <c r="V20" s="22"/>
      <c r="W20" s="23"/>
      <c r="X20" s="9"/>
      <c r="Y20" s="21">
        <v>0.579681</v>
      </c>
      <c r="Z20" s="21">
        <v>61.570099999999996</v>
      </c>
      <c r="AA20" s="21">
        <v>-9.4238299999999994E-3</v>
      </c>
      <c r="AB20" s="21">
        <v>10</v>
      </c>
      <c r="AC20" s="21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1">
        <v>-4.9591099999999999E-2</v>
      </c>
      <c r="AH20" s="21">
        <v>64.220699999999994</v>
      </c>
      <c r="AI20" s="21">
        <v>-4.3594399999999998E-2</v>
      </c>
      <c r="AJ20" s="21">
        <v>10</v>
      </c>
      <c r="AK20" s="21">
        <v>-5.0903299999999999E-2</v>
      </c>
      <c r="AL20">
        <f t="shared" si="6"/>
        <v>43.5944</v>
      </c>
      <c r="AM20">
        <f t="shared" si="7"/>
        <v>-2.16189424984</v>
      </c>
      <c r="AP20" s="9"/>
      <c r="AQ20" s="21">
        <v>0.579681</v>
      </c>
      <c r="AR20" s="21">
        <v>66.879300000000001</v>
      </c>
      <c r="AS20" s="21">
        <v>-9.5153800000000004E-3</v>
      </c>
      <c r="AT20" s="21">
        <v>10</v>
      </c>
      <c r="AU20" s="21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1">
        <v>-4.9591099999999999E-2</v>
      </c>
      <c r="AZ20" s="21">
        <v>70.306799999999996</v>
      </c>
      <c r="BA20" s="21">
        <v>-4.3621800000000002E-2</v>
      </c>
      <c r="BB20" s="21">
        <v>10</v>
      </c>
      <c r="BC20" s="21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0.57464599999999999</v>
      </c>
      <c r="H21" s="21">
        <v>49.253900000000002</v>
      </c>
      <c r="I21" s="21">
        <v>-1.1239600000000001E-2</v>
      </c>
      <c r="J21" s="21">
        <v>11</v>
      </c>
      <c r="K21" s="21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1">
        <v>-4.4555699999999997E-2</v>
      </c>
      <c r="P21" s="21">
        <v>58.7226</v>
      </c>
      <c r="Q21" s="21">
        <v>-4.3603500000000003E-2</v>
      </c>
      <c r="R21" s="21">
        <v>11</v>
      </c>
      <c r="S21" s="21">
        <v>-4.5104999999999999E-2</v>
      </c>
      <c r="T21">
        <f t="shared" si="2"/>
        <v>43.603500000000004</v>
      </c>
      <c r="U21">
        <f t="shared" si="3"/>
        <v>-1.9427844649500001</v>
      </c>
      <c r="V21" s="22"/>
      <c r="W21" s="23"/>
      <c r="X21" s="9"/>
      <c r="Y21" s="21">
        <v>0.57464599999999999</v>
      </c>
      <c r="Z21" s="21">
        <v>61.580199999999998</v>
      </c>
      <c r="AA21" s="21">
        <v>-1.14197E-2</v>
      </c>
      <c r="AB21" s="21">
        <v>11</v>
      </c>
      <c r="AC21" s="21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1">
        <v>-4.4555699999999997E-2</v>
      </c>
      <c r="AH21" s="21">
        <v>64.230800000000002</v>
      </c>
      <c r="AI21" s="21">
        <v>-4.3582200000000001E-2</v>
      </c>
      <c r="AJ21" s="21">
        <v>11</v>
      </c>
      <c r="AK21" s="21">
        <v>-4.51996E-2</v>
      </c>
      <c r="AL21">
        <f t="shared" si="6"/>
        <v>43.5822</v>
      </c>
      <c r="AM21">
        <f t="shared" si="7"/>
        <v>-1.9418354285399999</v>
      </c>
      <c r="AP21" s="9"/>
      <c r="AQ21" s="21">
        <v>0.57464599999999999</v>
      </c>
      <c r="AR21" s="21">
        <v>66.889300000000006</v>
      </c>
      <c r="AS21" s="21">
        <v>-1.1517299999999999E-2</v>
      </c>
      <c r="AT21" s="21">
        <v>11</v>
      </c>
      <c r="AU21" s="21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1">
        <v>-4.4555699999999997E-2</v>
      </c>
      <c r="AZ21" s="21">
        <v>70.316900000000004</v>
      </c>
      <c r="BA21" s="21">
        <v>-4.36157E-2</v>
      </c>
      <c r="BB21" s="21">
        <v>11</v>
      </c>
      <c r="BC21" s="21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0.56961099999999998</v>
      </c>
      <c r="H22" s="21">
        <v>49.264000000000003</v>
      </c>
      <c r="I22" s="21">
        <v>-1.31378E-2</v>
      </c>
      <c r="J22" s="21">
        <v>12</v>
      </c>
      <c r="K22" s="21">
        <v>0.56869499999999995</v>
      </c>
      <c r="L22">
        <f t="shared" si="0"/>
        <v>13.1378</v>
      </c>
      <c r="M22">
        <f t="shared" si="1"/>
        <v>7.4834353957999999</v>
      </c>
      <c r="N22" s="9"/>
      <c r="O22" s="21">
        <v>-3.9520300000000001E-2</v>
      </c>
      <c r="P22" s="21">
        <v>58.732700000000001</v>
      </c>
      <c r="Q22" s="21">
        <v>-4.3597400000000001E-2</v>
      </c>
      <c r="R22" s="21">
        <v>12</v>
      </c>
      <c r="S22" s="21">
        <v>-4.0142799999999999E-2</v>
      </c>
      <c r="T22">
        <f t="shared" si="2"/>
        <v>43.5974</v>
      </c>
      <c r="U22">
        <f t="shared" si="3"/>
        <v>-1.72298232722</v>
      </c>
      <c r="V22" s="22"/>
      <c r="W22" s="23"/>
      <c r="X22" s="9"/>
      <c r="Y22" s="21">
        <v>0.56961099999999998</v>
      </c>
      <c r="Z22" s="21">
        <v>61.590299999999999</v>
      </c>
      <c r="AA22" s="21">
        <v>-1.33209E-2</v>
      </c>
      <c r="AB22" s="21">
        <v>12</v>
      </c>
      <c r="AC22" s="21">
        <v>0.56863399999999997</v>
      </c>
      <c r="AD22">
        <f t="shared" si="4"/>
        <v>13.3209</v>
      </c>
      <c r="AE22">
        <f t="shared" si="5"/>
        <v>7.5877311698999996</v>
      </c>
      <c r="AF22" s="9"/>
      <c r="AG22" s="21">
        <v>-3.9520300000000001E-2</v>
      </c>
      <c r="AH22" s="21">
        <v>64.240799999999993</v>
      </c>
      <c r="AI22" s="21">
        <v>-4.3569900000000002E-2</v>
      </c>
      <c r="AJ22" s="21">
        <v>12</v>
      </c>
      <c r="AK22" s="21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1">
        <v>0.56961099999999998</v>
      </c>
      <c r="AR22" s="21">
        <v>66.8994</v>
      </c>
      <c r="AS22" s="21">
        <v>-1.3439899999999999E-2</v>
      </c>
      <c r="AT22" s="21">
        <v>12</v>
      </c>
      <c r="AU22" s="21">
        <v>0.56869499999999995</v>
      </c>
      <c r="AV22">
        <f t="shared" si="8"/>
        <v>13.4399</v>
      </c>
      <c r="AW22">
        <f t="shared" si="9"/>
        <v>7.6555148788999992</v>
      </c>
      <c r="AX22" s="9"/>
      <c r="AY22" s="21">
        <v>-3.9520300000000001E-2</v>
      </c>
      <c r="AZ22" s="21">
        <v>70.326999999999998</v>
      </c>
      <c r="BA22" s="21">
        <v>-4.3612699999999997E-2</v>
      </c>
      <c r="BB22" s="21">
        <v>12</v>
      </c>
      <c r="BC22" s="21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0.56457500000000005</v>
      </c>
      <c r="H23" s="21">
        <v>49.274099999999997</v>
      </c>
      <c r="I23" s="21">
        <v>-1.4987199999999999E-2</v>
      </c>
      <c r="J23" s="21">
        <v>13</v>
      </c>
      <c r="K23" s="21">
        <v>0.56362900000000005</v>
      </c>
      <c r="L23">
        <f t="shared" si="0"/>
        <v>14.9872</v>
      </c>
      <c r="M23">
        <f t="shared" si="1"/>
        <v>8.46139844</v>
      </c>
      <c r="N23" s="9"/>
      <c r="O23" s="21">
        <v>-3.4484899999999999E-2</v>
      </c>
      <c r="P23" s="21">
        <v>58.742699999999999</v>
      </c>
      <c r="Q23" s="21">
        <v>-4.3603500000000003E-2</v>
      </c>
      <c r="R23" s="21">
        <v>13</v>
      </c>
      <c r="S23" s="21">
        <v>-3.50677E-2</v>
      </c>
      <c r="T23">
        <f t="shared" si="2"/>
        <v>43.603500000000004</v>
      </c>
      <c r="U23">
        <f t="shared" si="3"/>
        <v>-1.5036623371500002</v>
      </c>
      <c r="V23" s="22"/>
      <c r="W23" s="23"/>
      <c r="X23" s="9"/>
      <c r="Y23" s="21">
        <v>0.56457500000000005</v>
      </c>
      <c r="Z23" s="21">
        <v>61.600299999999997</v>
      </c>
      <c r="AA23" s="21">
        <v>-1.5164199999999999E-2</v>
      </c>
      <c r="AB23" s="21">
        <v>13</v>
      </c>
      <c r="AC23" s="21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1">
        <v>-3.4484899999999999E-2</v>
      </c>
      <c r="AH23" s="21">
        <v>64.250900000000001</v>
      </c>
      <c r="AI23" s="21">
        <v>-4.35638E-2</v>
      </c>
      <c r="AJ23" s="21">
        <v>13</v>
      </c>
      <c r="AK23" s="21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1">
        <v>0.56457500000000005</v>
      </c>
      <c r="AR23" s="21">
        <v>66.909499999999994</v>
      </c>
      <c r="AS23" s="21">
        <v>-1.5295400000000001E-2</v>
      </c>
      <c r="AT23" s="21">
        <v>13</v>
      </c>
      <c r="AU23" s="21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1">
        <v>-3.4484899999999999E-2</v>
      </c>
      <c r="AZ23" s="21">
        <v>70.337100000000007</v>
      </c>
      <c r="BA23" s="21">
        <v>-4.36157E-2</v>
      </c>
      <c r="BB23" s="21">
        <v>13</v>
      </c>
      <c r="BC23" s="21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0.55954000000000004</v>
      </c>
      <c r="H24" s="21">
        <v>49.284100000000002</v>
      </c>
      <c r="I24" s="21">
        <v>-1.6723600000000002E-2</v>
      </c>
      <c r="J24" s="21">
        <v>14</v>
      </c>
      <c r="K24" s="21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1">
        <v>-2.94495E-2</v>
      </c>
      <c r="P24" s="21">
        <v>58.752800000000001</v>
      </c>
      <c r="Q24" s="21">
        <v>-4.3606600000000002E-2</v>
      </c>
      <c r="R24" s="21">
        <v>14</v>
      </c>
      <c r="S24" s="21">
        <v>-3.0044600000000001E-2</v>
      </c>
      <c r="T24">
        <f t="shared" si="2"/>
        <v>43.6066</v>
      </c>
      <c r="U24">
        <f t="shared" si="3"/>
        <v>-1.2841925667</v>
      </c>
      <c r="V24" s="22"/>
      <c r="W24" s="23"/>
      <c r="X24" s="9"/>
      <c r="Y24" s="21">
        <v>0.55954000000000004</v>
      </c>
      <c r="Z24" s="21">
        <v>61.610399999999998</v>
      </c>
      <c r="AA24" s="21">
        <v>-1.69067E-2</v>
      </c>
      <c r="AB24" s="21">
        <v>14</v>
      </c>
      <c r="AC24" s="21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1">
        <v>-2.94495E-2</v>
      </c>
      <c r="AH24" s="21">
        <v>64.260999999999996</v>
      </c>
      <c r="AI24" s="21">
        <v>-4.3566899999999999E-2</v>
      </c>
      <c r="AJ24" s="21">
        <v>14</v>
      </c>
      <c r="AK24" s="21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1">
        <v>0.55954000000000004</v>
      </c>
      <c r="AR24" s="21">
        <v>66.919499999999999</v>
      </c>
      <c r="AS24" s="21">
        <v>-1.7041000000000001E-2</v>
      </c>
      <c r="AT24" s="21">
        <v>14</v>
      </c>
      <c r="AU24" s="21">
        <v>0.55862400000000001</v>
      </c>
      <c r="AV24">
        <f t="shared" si="8"/>
        <v>17.041</v>
      </c>
      <c r="AW24">
        <f t="shared" si="9"/>
        <v>9.5351211400000011</v>
      </c>
      <c r="AX24" s="9"/>
      <c r="AY24" s="21">
        <v>-2.94495E-2</v>
      </c>
      <c r="AZ24" s="21">
        <v>70.347099999999998</v>
      </c>
      <c r="BA24" s="21">
        <v>-4.3612699999999997E-2</v>
      </c>
      <c r="BB24" s="21">
        <v>14</v>
      </c>
      <c r="BC24" s="21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0.554504</v>
      </c>
      <c r="H25" s="21">
        <v>49.294199999999996</v>
      </c>
      <c r="I25" s="21">
        <v>-1.8423499999999999E-2</v>
      </c>
      <c r="J25" s="21">
        <v>15</v>
      </c>
      <c r="K25" s="21">
        <v>0.55349700000000002</v>
      </c>
      <c r="L25">
        <f t="shared" si="0"/>
        <v>18.423500000000001</v>
      </c>
      <c r="M25">
        <f t="shared" si="1"/>
        <v>10.215904444</v>
      </c>
      <c r="N25" s="9"/>
      <c r="O25" s="21">
        <v>-2.4414100000000001E-2</v>
      </c>
      <c r="P25" s="21">
        <v>58.762900000000002</v>
      </c>
      <c r="Q25" s="21">
        <v>-4.3603500000000003E-2</v>
      </c>
      <c r="R25" s="21">
        <v>15</v>
      </c>
      <c r="S25" s="21">
        <v>-2.50031E-2</v>
      </c>
      <c r="T25">
        <f t="shared" si="2"/>
        <v>43.603500000000004</v>
      </c>
      <c r="U25">
        <f t="shared" si="3"/>
        <v>-1.06454020935</v>
      </c>
      <c r="V25" s="22"/>
      <c r="W25" s="23"/>
      <c r="X25" s="9"/>
      <c r="Y25" s="21">
        <v>0.554504</v>
      </c>
      <c r="Z25" s="21">
        <v>61.6205</v>
      </c>
      <c r="AA25" s="21">
        <v>-1.8606600000000001E-2</v>
      </c>
      <c r="AB25" s="21">
        <v>15</v>
      </c>
      <c r="AC25" s="21">
        <v>0.55349700000000002</v>
      </c>
      <c r="AD25">
        <f t="shared" si="4"/>
        <v>18.6066</v>
      </c>
      <c r="AE25">
        <f t="shared" si="5"/>
        <v>10.3174341264</v>
      </c>
      <c r="AF25" s="9"/>
      <c r="AG25" s="21">
        <v>-2.4414100000000001E-2</v>
      </c>
      <c r="AH25" s="21">
        <v>64.271000000000001</v>
      </c>
      <c r="AI25" s="21">
        <v>-4.3560799999999997E-2</v>
      </c>
      <c r="AJ25" s="21">
        <v>15</v>
      </c>
      <c r="AK25" s="21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1">
        <v>0.554504</v>
      </c>
      <c r="AR25" s="21">
        <v>66.929599999999994</v>
      </c>
      <c r="AS25" s="21">
        <v>-1.87347E-2</v>
      </c>
      <c r="AT25" s="21">
        <v>15</v>
      </c>
      <c r="AU25" s="21">
        <v>0.55349700000000002</v>
      </c>
      <c r="AV25">
        <f t="shared" si="8"/>
        <v>18.7347</v>
      </c>
      <c r="AW25">
        <f t="shared" si="9"/>
        <v>10.3884660888</v>
      </c>
      <c r="AX25" s="9"/>
      <c r="AY25" s="21">
        <v>-2.4414100000000001E-2</v>
      </c>
      <c r="AZ25" s="21">
        <v>70.357200000000006</v>
      </c>
      <c r="BA25" s="21">
        <v>-4.3606600000000002E-2</v>
      </c>
      <c r="BB25" s="21">
        <v>15</v>
      </c>
      <c r="BC25" s="21">
        <v>-2.4932900000000001E-2</v>
      </c>
      <c r="BD25">
        <f t="shared" si="10"/>
        <v>43.6066</v>
      </c>
      <c r="BE25">
        <f t="shared" si="11"/>
        <v>-1.06461589306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0.54946899999999999</v>
      </c>
      <c r="H26" s="21">
        <v>49.304299999999998</v>
      </c>
      <c r="I26" s="21">
        <v>-2.0004299999999999E-2</v>
      </c>
      <c r="J26" s="21">
        <v>16</v>
      </c>
      <c r="K26" s="21">
        <v>0.548431</v>
      </c>
      <c r="L26">
        <f t="shared" si="0"/>
        <v>20.004300000000001</v>
      </c>
      <c r="M26">
        <f t="shared" si="1"/>
        <v>10.991742716699999</v>
      </c>
      <c r="N26" s="9"/>
      <c r="O26" s="21">
        <v>-1.9378699999999999E-2</v>
      </c>
      <c r="P26" s="21">
        <v>58.773000000000003</v>
      </c>
      <c r="Q26" s="21">
        <v>-4.3594399999999998E-2</v>
      </c>
      <c r="R26" s="21">
        <v>16</v>
      </c>
      <c r="S26" s="21">
        <v>-1.99738E-2</v>
      </c>
      <c r="T26">
        <f t="shared" si="2"/>
        <v>43.5944</v>
      </c>
      <c r="U26">
        <f t="shared" si="3"/>
        <v>-0.84480279927999991</v>
      </c>
      <c r="V26" s="22"/>
      <c r="W26" s="23"/>
      <c r="X26" s="9"/>
      <c r="Y26" s="21">
        <v>0.54946899999999999</v>
      </c>
      <c r="Z26" s="21">
        <v>61.630499999999998</v>
      </c>
      <c r="AA26" s="21">
        <v>-2.0187400000000001E-2</v>
      </c>
      <c r="AB26" s="21">
        <v>16</v>
      </c>
      <c r="AC26" s="21">
        <v>0.54855299999999996</v>
      </c>
      <c r="AD26">
        <f t="shared" si="4"/>
        <v>20.1874</v>
      </c>
      <c r="AE26">
        <f t="shared" si="5"/>
        <v>11.092350490599999</v>
      </c>
      <c r="AF26" s="9"/>
      <c r="AG26" s="21">
        <v>-1.9378699999999999E-2</v>
      </c>
      <c r="AH26" s="21">
        <v>64.281099999999995</v>
      </c>
      <c r="AI26" s="21">
        <v>-4.35638E-2</v>
      </c>
      <c r="AJ26" s="21">
        <v>16</v>
      </c>
      <c r="AK26" s="21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1">
        <v>0.54946899999999999</v>
      </c>
      <c r="AR26" s="21">
        <v>66.939700000000002</v>
      </c>
      <c r="AS26" s="21">
        <v>-2.0324700000000001E-2</v>
      </c>
      <c r="AT26" s="21">
        <v>16</v>
      </c>
      <c r="AU26" s="21">
        <v>0.54846200000000001</v>
      </c>
      <c r="AV26">
        <f t="shared" si="8"/>
        <v>20.3247</v>
      </c>
      <c r="AW26">
        <f t="shared" si="9"/>
        <v>11.167792584299999</v>
      </c>
      <c r="AX26" s="9"/>
      <c r="AY26" s="21">
        <v>-1.9378699999999999E-2</v>
      </c>
      <c r="AZ26" s="21">
        <v>70.3673</v>
      </c>
      <c r="BA26" s="21">
        <v>-4.3603500000000003E-2</v>
      </c>
      <c r="BB26" s="21">
        <v>16</v>
      </c>
      <c r="BC26" s="21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0.54443399999999997</v>
      </c>
      <c r="H27" s="21">
        <v>49.314300000000003</v>
      </c>
      <c r="I27" s="21">
        <v>-2.15424E-2</v>
      </c>
      <c r="J27" s="21">
        <v>17</v>
      </c>
      <c r="K27" s="21">
        <v>0.54330400000000001</v>
      </c>
      <c r="L27">
        <f t="shared" si="0"/>
        <v>21.542400000000001</v>
      </c>
      <c r="M27">
        <f t="shared" si="1"/>
        <v>11.7284150016</v>
      </c>
      <c r="N27" s="9"/>
      <c r="O27" s="21">
        <v>-1.43433E-2</v>
      </c>
      <c r="P27" s="21">
        <v>58.783000000000001</v>
      </c>
      <c r="Q27" s="21">
        <v>-4.3594399999999998E-2</v>
      </c>
      <c r="R27" s="21">
        <v>17</v>
      </c>
      <c r="S27" s="21">
        <v>-1.48682E-2</v>
      </c>
      <c r="T27">
        <f t="shared" si="2"/>
        <v>43.5944</v>
      </c>
      <c r="U27">
        <f t="shared" si="3"/>
        <v>-0.62528755751999998</v>
      </c>
      <c r="X27" s="9"/>
      <c r="Y27" s="21">
        <v>0.54443399999999997</v>
      </c>
      <c r="Z27" s="21">
        <v>61.640599999999999</v>
      </c>
      <c r="AA27" s="21">
        <v>-2.1722399999999999E-2</v>
      </c>
      <c r="AB27" s="21">
        <v>17</v>
      </c>
      <c r="AC27" s="21">
        <v>0.54339599999999999</v>
      </c>
      <c r="AD27">
        <f t="shared" si="4"/>
        <v>21.7224</v>
      </c>
      <c r="AE27">
        <f t="shared" si="5"/>
        <v>11.8264131216</v>
      </c>
      <c r="AF27" s="9"/>
      <c r="AG27" s="21">
        <v>-1.43433E-2</v>
      </c>
      <c r="AH27" s="21">
        <v>64.291200000000003</v>
      </c>
      <c r="AI27" s="21">
        <v>-4.3551600000000003E-2</v>
      </c>
      <c r="AJ27" s="21">
        <v>17</v>
      </c>
      <c r="AK27" s="21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1">
        <v>0.54443399999999997</v>
      </c>
      <c r="AR27" s="21">
        <v>66.949799999999996</v>
      </c>
      <c r="AS27" s="21">
        <v>-2.1859699999999999E-2</v>
      </c>
      <c r="AT27" s="21">
        <v>17</v>
      </c>
      <c r="AU27" s="21">
        <v>0.54336499999999999</v>
      </c>
      <c r="AV27">
        <f t="shared" si="8"/>
        <v>21.8597</v>
      </c>
      <c r="AW27">
        <f t="shared" si="9"/>
        <v>11.901163909799999</v>
      </c>
      <c r="AX27" s="9"/>
      <c r="AY27" s="21">
        <v>-1.43433E-2</v>
      </c>
      <c r="AZ27" s="21">
        <v>70.377300000000005</v>
      </c>
      <c r="BA27" s="21">
        <v>-4.36005E-2</v>
      </c>
      <c r="BB27" s="21">
        <v>17</v>
      </c>
      <c r="BC27" s="21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0.53939800000000004</v>
      </c>
      <c r="H28" s="21">
        <v>49.324399999999997</v>
      </c>
      <c r="I28" s="21">
        <v>-2.29889E-2</v>
      </c>
      <c r="J28" s="21">
        <v>18</v>
      </c>
      <c r="K28" s="21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1">
        <v>-9.3078599999999994E-3</v>
      </c>
      <c r="P28" s="21">
        <v>58.793100000000003</v>
      </c>
      <c r="Q28" s="21">
        <v>-4.3597400000000001E-2</v>
      </c>
      <c r="R28" s="21">
        <v>18</v>
      </c>
      <c r="S28" s="21">
        <v>-9.8358200000000003E-3</v>
      </c>
      <c r="T28">
        <f t="shared" si="2"/>
        <v>43.5974</v>
      </c>
      <c r="U28">
        <f t="shared" si="3"/>
        <v>-0.40579849556399999</v>
      </c>
      <c r="X28" s="9"/>
      <c r="Y28" s="21">
        <v>0.53939800000000004</v>
      </c>
      <c r="Z28" s="21">
        <v>61.650700000000001</v>
      </c>
      <c r="AA28" s="21">
        <v>-2.3159800000000001E-2</v>
      </c>
      <c r="AB28" s="21">
        <v>18</v>
      </c>
      <c r="AC28" s="21">
        <v>0.538269</v>
      </c>
      <c r="AD28">
        <f t="shared" si="4"/>
        <v>23.159800000000001</v>
      </c>
      <c r="AE28">
        <f t="shared" si="5"/>
        <v>12.492349800400001</v>
      </c>
      <c r="AF28" s="9"/>
      <c r="AG28" s="21">
        <v>-9.3078599999999994E-3</v>
      </c>
      <c r="AH28" s="21">
        <v>64.301199999999994</v>
      </c>
      <c r="AI28" s="21">
        <v>-4.3542499999999998E-2</v>
      </c>
      <c r="AJ28" s="21">
        <v>18</v>
      </c>
      <c r="AK28" s="21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1">
        <v>0.53939800000000004</v>
      </c>
      <c r="AR28" s="21">
        <v>66.959800000000001</v>
      </c>
      <c r="AS28" s="21">
        <v>-2.3297100000000001E-2</v>
      </c>
      <c r="AT28" s="21">
        <v>18</v>
      </c>
      <c r="AU28" s="21">
        <v>0.53832999999999998</v>
      </c>
      <c r="AV28">
        <f t="shared" si="8"/>
        <v>23.2971</v>
      </c>
      <c r="AW28">
        <f t="shared" si="9"/>
        <v>12.566409145800002</v>
      </c>
      <c r="AX28" s="9"/>
      <c r="AY28" s="21">
        <v>-9.3078599999999994E-3</v>
      </c>
      <c r="AZ28" s="21">
        <v>70.3874</v>
      </c>
      <c r="BA28" s="21">
        <v>-4.3594399999999998E-2</v>
      </c>
      <c r="BB28" s="21">
        <v>18</v>
      </c>
      <c r="BC28" s="21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0.53436300000000003</v>
      </c>
      <c r="H29" s="21">
        <v>49.334499999999998</v>
      </c>
      <c r="I29" s="21">
        <v>-2.4362200000000001E-2</v>
      </c>
      <c r="J29" s="21">
        <v>19</v>
      </c>
      <c r="K29" s="21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1">
        <v>-4.2724599999999996E-3</v>
      </c>
      <c r="P29" s="21">
        <v>58.803199999999997</v>
      </c>
      <c r="Q29" s="21">
        <v>-4.3597400000000001E-2</v>
      </c>
      <c r="R29" s="21">
        <v>19</v>
      </c>
      <c r="S29" s="21">
        <v>-4.8492400000000003E-3</v>
      </c>
      <c r="T29">
        <f t="shared" si="2"/>
        <v>43.5974</v>
      </c>
      <c r="U29">
        <f t="shared" si="3"/>
        <v>-0.18626814760399998</v>
      </c>
      <c r="X29" s="9"/>
      <c r="Y29" s="21">
        <v>0.53436300000000003</v>
      </c>
      <c r="Z29" s="21">
        <v>61.660699999999999</v>
      </c>
      <c r="AA29" s="21">
        <v>-2.4520900000000002E-2</v>
      </c>
      <c r="AB29" s="21">
        <v>19</v>
      </c>
      <c r="AC29" s="21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1">
        <v>-4.2724599999999996E-3</v>
      </c>
      <c r="AH29" s="21">
        <v>64.311300000000003</v>
      </c>
      <c r="AI29" s="21">
        <v>-4.3539399999999999E-2</v>
      </c>
      <c r="AJ29" s="21">
        <v>19</v>
      </c>
      <c r="AK29" s="21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1">
        <v>0.53436300000000003</v>
      </c>
      <c r="AR29" s="21">
        <v>66.969899999999996</v>
      </c>
      <c r="AS29" s="21">
        <v>-2.4661300000000001E-2</v>
      </c>
      <c r="AT29" s="21">
        <v>19</v>
      </c>
      <c r="AU29" s="21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1">
        <v>-4.2724599999999996E-3</v>
      </c>
      <c r="AZ29" s="21">
        <v>70.397499999999994</v>
      </c>
      <c r="BA29" s="21">
        <v>-4.3579100000000003E-2</v>
      </c>
      <c r="BB29" s="21">
        <v>19</v>
      </c>
      <c r="BC29" s="21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0.52932699999999999</v>
      </c>
      <c r="H30" s="21">
        <v>49.3446</v>
      </c>
      <c r="I30" s="21">
        <v>-2.56592E-2</v>
      </c>
      <c r="J30" s="21">
        <v>20</v>
      </c>
      <c r="K30" s="21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1">
        <v>7.6293900000000002E-4</v>
      </c>
      <c r="P30" s="21">
        <v>58.813200000000002</v>
      </c>
      <c r="Q30" s="21">
        <v>-4.3585199999999998E-2</v>
      </c>
      <c r="R30" s="21">
        <v>20</v>
      </c>
      <c r="S30" s="21">
        <v>2.5634799999999999E-4</v>
      </c>
      <c r="T30">
        <f t="shared" si="2"/>
        <v>43.5852</v>
      </c>
      <c r="U30">
        <f t="shared" si="3"/>
        <v>3.3252848902800003E-2</v>
      </c>
      <c r="X30" s="9"/>
      <c r="Y30" s="21">
        <v>0.52932699999999999</v>
      </c>
      <c r="Z30" s="21">
        <v>61.6708</v>
      </c>
      <c r="AA30" s="21">
        <v>-2.5802599999999998E-2</v>
      </c>
      <c r="AB30" s="21">
        <v>20</v>
      </c>
      <c r="AC30" s="21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1">
        <v>7.6293900000000002E-4</v>
      </c>
      <c r="AH30" s="21">
        <v>64.321399999999997</v>
      </c>
      <c r="AI30" s="21">
        <v>-4.3533299999999997E-2</v>
      </c>
      <c r="AJ30" s="21">
        <v>20</v>
      </c>
      <c r="AK30" s="21">
        <v>2.65503E-4</v>
      </c>
      <c r="AL30">
        <f t="shared" si="6"/>
        <v>43.533299999999997</v>
      </c>
      <c r="AM30">
        <f t="shared" si="7"/>
        <v>3.32132523687E-2</v>
      </c>
      <c r="AP30" s="9"/>
      <c r="AQ30" s="21">
        <v>0.52932699999999999</v>
      </c>
      <c r="AR30" s="21">
        <v>66.98</v>
      </c>
      <c r="AS30" s="21">
        <v>-2.5943000000000001E-2</v>
      </c>
      <c r="AT30" s="21">
        <v>20</v>
      </c>
      <c r="AU30" s="21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1">
        <v>7.6293900000000002E-4</v>
      </c>
      <c r="AZ30" s="21">
        <v>70.407600000000002</v>
      </c>
      <c r="BA30" s="21">
        <v>-4.3573000000000001E-2</v>
      </c>
      <c r="BB30" s="21">
        <v>20</v>
      </c>
      <c r="BC30" s="21">
        <v>2.89917E-4</v>
      </c>
      <c r="BD30">
        <f t="shared" si="10"/>
        <v>43.573</v>
      </c>
      <c r="BE30">
        <f t="shared" si="11"/>
        <v>3.3243541047000003E-2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0.52429199999999998</v>
      </c>
      <c r="H31" s="21">
        <v>49.354599999999998</v>
      </c>
      <c r="I31" s="21">
        <v>-2.6882900000000001E-2</v>
      </c>
      <c r="J31" s="21">
        <v>21</v>
      </c>
      <c r="K31" s="21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1">
        <v>5.7983399999999999E-3</v>
      </c>
      <c r="P31" s="21">
        <v>58.823300000000003</v>
      </c>
      <c r="Q31" s="21">
        <v>-4.3569900000000002E-2</v>
      </c>
      <c r="R31" s="21">
        <v>21</v>
      </c>
      <c r="S31" s="21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1">
        <v>0.52429199999999998</v>
      </c>
      <c r="Z31" s="21">
        <v>61.680900000000001</v>
      </c>
      <c r="AA31" s="21">
        <v>-2.7020300000000001E-2</v>
      </c>
      <c r="AB31" s="21">
        <v>21</v>
      </c>
      <c r="AC31" s="21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1">
        <v>5.7983399999999999E-3</v>
      </c>
      <c r="AH31" s="21">
        <v>64.331500000000005</v>
      </c>
      <c r="AI31" s="21">
        <v>-4.35211E-2</v>
      </c>
      <c r="AJ31" s="21">
        <v>21</v>
      </c>
      <c r="AK31" s="21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1">
        <v>0.52429199999999998</v>
      </c>
      <c r="AR31" s="21">
        <v>66.989999999999995</v>
      </c>
      <c r="AS31" s="21">
        <v>-2.7166699999999998E-2</v>
      </c>
      <c r="AT31" s="21">
        <v>21</v>
      </c>
      <c r="AU31" s="21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1">
        <v>5.7983399999999999E-3</v>
      </c>
      <c r="AZ31" s="21">
        <v>70.417599999999993</v>
      </c>
      <c r="BA31" s="21">
        <v>-4.3585199999999998E-2</v>
      </c>
      <c r="BB31" s="21">
        <v>21</v>
      </c>
      <c r="BC31" s="21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0.51925699999999997</v>
      </c>
      <c r="H32" s="21">
        <v>49.364699999999999</v>
      </c>
      <c r="I32" s="21">
        <v>-2.8024299999999999E-2</v>
      </c>
      <c r="J32" s="21">
        <v>22</v>
      </c>
      <c r="K32" s="21">
        <v>0.51806600000000003</v>
      </c>
      <c r="L32">
        <f t="shared" si="0"/>
        <v>28.0243</v>
      </c>
      <c r="M32">
        <f t="shared" si="1"/>
        <v>14.551813945099999</v>
      </c>
      <c r="N32" s="9"/>
      <c r="O32" s="21">
        <v>1.08337E-2</v>
      </c>
      <c r="P32" s="21">
        <v>58.833399999999997</v>
      </c>
      <c r="Q32" s="21">
        <v>-4.35638E-2</v>
      </c>
      <c r="R32" s="21">
        <v>22</v>
      </c>
      <c r="S32" s="21">
        <v>1.03699E-2</v>
      </c>
      <c r="T32">
        <f t="shared" si="2"/>
        <v>43.563800000000001</v>
      </c>
      <c r="U32">
        <f t="shared" si="3"/>
        <v>0.47195714006</v>
      </c>
      <c r="X32" s="9"/>
      <c r="Y32" s="21">
        <v>0.51925699999999997</v>
      </c>
      <c r="Z32" s="21">
        <v>61.691000000000003</v>
      </c>
      <c r="AA32" s="21">
        <v>-2.8149400000000002E-2</v>
      </c>
      <c r="AB32" s="21">
        <v>22</v>
      </c>
      <c r="AC32" s="21">
        <v>0.51803600000000005</v>
      </c>
      <c r="AD32">
        <f t="shared" si="4"/>
        <v>28.1494</v>
      </c>
      <c r="AE32">
        <f t="shared" si="5"/>
        <v>14.6167729958</v>
      </c>
      <c r="AF32" s="9"/>
      <c r="AG32" s="21">
        <v>1.08337E-2</v>
      </c>
      <c r="AH32" s="21">
        <v>64.341499999999996</v>
      </c>
      <c r="AI32" s="21">
        <v>-4.3508900000000003E-2</v>
      </c>
      <c r="AJ32" s="21">
        <v>22</v>
      </c>
      <c r="AK32" s="21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1">
        <v>0.51925699999999997</v>
      </c>
      <c r="AR32" s="21">
        <v>67.000100000000003</v>
      </c>
      <c r="AS32" s="21">
        <v>-2.8295899999999999E-2</v>
      </c>
      <c r="AT32" s="21">
        <v>22</v>
      </c>
      <c r="AU32" s="21">
        <v>0.51806600000000003</v>
      </c>
      <c r="AV32">
        <f t="shared" si="8"/>
        <v>28.2959</v>
      </c>
      <c r="AW32">
        <f t="shared" si="9"/>
        <v>14.692844146299999</v>
      </c>
      <c r="AX32" s="9"/>
      <c r="AY32" s="21">
        <v>1.08337E-2</v>
      </c>
      <c r="AZ32" s="21">
        <v>70.427700000000002</v>
      </c>
      <c r="BA32" s="21">
        <v>-4.3582200000000001E-2</v>
      </c>
      <c r="BB32" s="21">
        <v>22</v>
      </c>
      <c r="BC32" s="21">
        <v>1.03912E-2</v>
      </c>
      <c r="BD32">
        <f t="shared" si="10"/>
        <v>43.5822</v>
      </c>
      <c r="BE32">
        <f t="shared" si="11"/>
        <v>0.47215648014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0.51422100000000004</v>
      </c>
      <c r="H33" s="21">
        <v>49.3748</v>
      </c>
      <c r="I33" s="21">
        <v>-2.9098499999999999E-2</v>
      </c>
      <c r="J33" s="21">
        <v>23</v>
      </c>
      <c r="K33" s="21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1">
        <v>1.5869100000000001E-2</v>
      </c>
      <c r="P33" s="21">
        <v>58.843499999999999</v>
      </c>
      <c r="Q33" s="21">
        <v>-4.3566899999999999E-2</v>
      </c>
      <c r="R33" s="21">
        <v>23</v>
      </c>
      <c r="S33" s="21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1">
        <v>0.51422100000000004</v>
      </c>
      <c r="Z33" s="21">
        <v>61.701000000000001</v>
      </c>
      <c r="AA33" s="21">
        <v>-2.9211399999999998E-2</v>
      </c>
      <c r="AB33" s="21">
        <v>23</v>
      </c>
      <c r="AC33" s="21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1">
        <v>1.5869100000000001E-2</v>
      </c>
      <c r="AH33" s="21">
        <v>64.351600000000005</v>
      </c>
      <c r="AI33" s="21">
        <v>-4.3508900000000003E-2</v>
      </c>
      <c r="AJ33" s="21">
        <v>23</v>
      </c>
      <c r="AK33" s="21">
        <v>1.54205E-2</v>
      </c>
      <c r="AL33">
        <f t="shared" si="6"/>
        <v>43.508900000000004</v>
      </c>
      <c r="AM33">
        <f t="shared" si="7"/>
        <v>0.69044708499000007</v>
      </c>
      <c r="AP33" s="9"/>
      <c r="AQ33" s="21">
        <v>0.51422100000000004</v>
      </c>
      <c r="AR33" s="21">
        <v>67.010199999999998</v>
      </c>
      <c r="AS33" s="21">
        <v>-2.9361000000000002E-2</v>
      </c>
      <c r="AT33" s="21">
        <v>23</v>
      </c>
      <c r="AU33" s="21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1">
        <v>1.5869100000000001E-2</v>
      </c>
      <c r="AZ33" s="21">
        <v>70.437799999999996</v>
      </c>
      <c r="BA33" s="21">
        <v>-4.3579100000000003E-2</v>
      </c>
      <c r="BB33" s="21">
        <v>23</v>
      </c>
      <c r="BC33" s="21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0.50918600000000003</v>
      </c>
      <c r="H34" s="21">
        <v>49.384799999999998</v>
      </c>
      <c r="I34" s="21">
        <v>-3.0102500000000001E-2</v>
      </c>
      <c r="J34" s="21">
        <v>24</v>
      </c>
      <c r="K34" s="21">
        <v>0.507965</v>
      </c>
      <c r="L34">
        <f t="shared" si="0"/>
        <v>30.102499999999999</v>
      </c>
      <c r="M34">
        <f t="shared" si="1"/>
        <v>15.327771565000001</v>
      </c>
      <c r="N34" s="9"/>
      <c r="O34" s="21">
        <v>2.0904499999999999E-2</v>
      </c>
      <c r="P34" s="21">
        <v>58.853499999999997</v>
      </c>
      <c r="Q34" s="21">
        <v>-4.3566899999999999E-2</v>
      </c>
      <c r="R34" s="21">
        <v>24</v>
      </c>
      <c r="S34" s="21">
        <v>2.04926E-2</v>
      </c>
      <c r="T34">
        <f t="shared" si="2"/>
        <v>43.566899999999997</v>
      </c>
      <c r="U34">
        <f t="shared" si="3"/>
        <v>0.91074426104999995</v>
      </c>
      <c r="X34" s="9"/>
      <c r="Y34" s="21">
        <v>0.50918600000000003</v>
      </c>
      <c r="Z34" s="21">
        <v>61.711100000000002</v>
      </c>
      <c r="AA34" s="21">
        <v>-3.0197100000000001E-2</v>
      </c>
      <c r="AB34" s="21">
        <v>24</v>
      </c>
      <c r="AC34" s="21">
        <v>0.507965</v>
      </c>
      <c r="AD34">
        <f t="shared" si="4"/>
        <v>30.197100000000002</v>
      </c>
      <c r="AE34">
        <f t="shared" si="5"/>
        <v>15.375940560600002</v>
      </c>
      <c r="AF34" s="9"/>
      <c r="AG34" s="21">
        <v>2.0904499999999999E-2</v>
      </c>
      <c r="AH34" s="21">
        <v>64.361699999999999</v>
      </c>
      <c r="AI34" s="21">
        <v>-4.3508900000000003E-2</v>
      </c>
      <c r="AJ34" s="21">
        <v>24</v>
      </c>
      <c r="AK34" s="21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1">
        <v>0.50918600000000003</v>
      </c>
      <c r="AR34" s="21">
        <v>67.020200000000003</v>
      </c>
      <c r="AS34" s="21">
        <v>-3.03345E-2</v>
      </c>
      <c r="AT34" s="21">
        <v>24</v>
      </c>
      <c r="AU34" s="21">
        <v>0.507996</v>
      </c>
      <c r="AV34">
        <f t="shared" si="8"/>
        <v>30.334500000000002</v>
      </c>
      <c r="AW34">
        <f t="shared" si="9"/>
        <v>15.445902717000003</v>
      </c>
      <c r="AX34" s="9"/>
      <c r="AY34" s="21">
        <v>2.0904499999999999E-2</v>
      </c>
      <c r="AZ34" s="21">
        <v>70.447800000000001</v>
      </c>
      <c r="BA34" s="21">
        <v>-4.3573000000000001E-2</v>
      </c>
      <c r="BB34" s="21">
        <v>24</v>
      </c>
      <c r="BC34" s="21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0.50414999999999999</v>
      </c>
      <c r="H35" s="21">
        <v>49.3949</v>
      </c>
      <c r="I35" s="21">
        <v>-3.1039400000000002E-2</v>
      </c>
      <c r="J35" s="21">
        <v>25</v>
      </c>
      <c r="K35" s="21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1">
        <v>2.5939899999999998E-2</v>
      </c>
      <c r="P35" s="21">
        <v>58.863599999999998</v>
      </c>
      <c r="Q35" s="21">
        <v>-4.3569900000000002E-2</v>
      </c>
      <c r="R35" s="21">
        <v>25</v>
      </c>
      <c r="S35" s="21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1">
        <v>0.50414999999999999</v>
      </c>
      <c r="Z35" s="21">
        <v>61.721200000000003</v>
      </c>
      <c r="AA35" s="21">
        <v>-3.1130999999999999E-2</v>
      </c>
      <c r="AB35" s="21">
        <v>25</v>
      </c>
      <c r="AC35" s="21">
        <v>0.50295999999999996</v>
      </c>
      <c r="AD35">
        <f t="shared" si="4"/>
        <v>31.131</v>
      </c>
      <c r="AE35">
        <f t="shared" si="5"/>
        <v>15.69469365</v>
      </c>
      <c r="AF35" s="9"/>
      <c r="AG35" s="21">
        <v>2.5939899999999998E-2</v>
      </c>
      <c r="AH35" s="21">
        <v>64.371700000000004</v>
      </c>
      <c r="AI35" s="21">
        <v>-4.3514999999999998E-2</v>
      </c>
      <c r="AJ35" s="21">
        <v>25</v>
      </c>
      <c r="AK35" s="21">
        <v>2.55219E-2</v>
      </c>
      <c r="AL35">
        <f t="shared" si="6"/>
        <v>43.515000000000001</v>
      </c>
      <c r="AM35">
        <f t="shared" si="7"/>
        <v>1.1287747484999999</v>
      </c>
      <c r="AP35" s="9"/>
      <c r="AQ35" s="21">
        <v>0.50414999999999999</v>
      </c>
      <c r="AR35" s="21">
        <v>67.030299999999997</v>
      </c>
      <c r="AS35" s="21">
        <v>-3.1253099999999999E-2</v>
      </c>
      <c r="AT35" s="21">
        <v>25</v>
      </c>
      <c r="AU35" s="21">
        <v>0.50292999999999999</v>
      </c>
      <c r="AV35">
        <f t="shared" si="8"/>
        <v>31.2531</v>
      </c>
      <c r="AW35">
        <f t="shared" si="9"/>
        <v>15.756250365</v>
      </c>
      <c r="AX35" s="9"/>
      <c r="AY35" s="21">
        <v>2.5939899999999998E-2</v>
      </c>
      <c r="AZ35" s="21">
        <v>70.457899999999995</v>
      </c>
      <c r="BA35" s="21">
        <v>-4.3566899999999999E-2</v>
      </c>
      <c r="BB35" s="21">
        <v>25</v>
      </c>
      <c r="BC35" s="21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0.49911499999999998</v>
      </c>
      <c r="H36" s="21">
        <v>49.405000000000001</v>
      </c>
      <c r="I36" s="21">
        <v>-3.1909199999999999E-2</v>
      </c>
      <c r="J36" s="21">
        <v>26</v>
      </c>
      <c r="K36" s="21">
        <v>0.497894</v>
      </c>
      <c r="L36">
        <f t="shared" si="0"/>
        <v>31.909199999999998</v>
      </c>
      <c r="M36">
        <f t="shared" si="1"/>
        <v>15.926360357999998</v>
      </c>
      <c r="N36" s="9"/>
      <c r="O36" s="21">
        <v>3.0975300000000001E-2</v>
      </c>
      <c r="P36" s="21">
        <v>58.873699999999999</v>
      </c>
      <c r="Q36" s="21">
        <v>-4.3573000000000001E-2</v>
      </c>
      <c r="R36" s="21">
        <v>26</v>
      </c>
      <c r="S36" s="21">
        <v>3.05817E-2</v>
      </c>
      <c r="T36">
        <f t="shared" si="2"/>
        <v>43.573</v>
      </c>
      <c r="U36">
        <f t="shared" si="3"/>
        <v>1.3496867469</v>
      </c>
      <c r="X36" s="9"/>
      <c r="Y36" s="21">
        <v>0.49911499999999998</v>
      </c>
      <c r="Z36" s="21">
        <v>61.731200000000001</v>
      </c>
      <c r="AA36" s="21">
        <v>-3.1988500000000003E-2</v>
      </c>
      <c r="AB36" s="21">
        <v>26</v>
      </c>
      <c r="AC36" s="21">
        <v>0.497894</v>
      </c>
      <c r="AD36">
        <f t="shared" si="4"/>
        <v>31.988500000000002</v>
      </c>
      <c r="AE36">
        <f t="shared" si="5"/>
        <v>15.9659401775</v>
      </c>
      <c r="AF36" s="9"/>
      <c r="AG36" s="21">
        <v>3.0975300000000001E-2</v>
      </c>
      <c r="AH36" s="21">
        <v>64.381799999999998</v>
      </c>
      <c r="AI36" s="21">
        <v>-4.3530300000000001E-2</v>
      </c>
      <c r="AJ36" s="21">
        <v>26</v>
      </c>
      <c r="AK36" s="21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1">
        <v>0.49911499999999998</v>
      </c>
      <c r="AR36" s="21">
        <v>67.040400000000005</v>
      </c>
      <c r="AS36" s="21">
        <v>-3.2107499999999997E-2</v>
      </c>
      <c r="AT36" s="21">
        <v>26</v>
      </c>
      <c r="AU36" s="21">
        <v>0.497894</v>
      </c>
      <c r="AV36">
        <f t="shared" si="8"/>
        <v>32.107499999999995</v>
      </c>
      <c r="AW36">
        <f t="shared" si="9"/>
        <v>16.025334862499996</v>
      </c>
      <c r="AX36" s="9"/>
      <c r="AY36" s="21">
        <v>3.0975300000000001E-2</v>
      </c>
      <c r="AZ36" s="21">
        <v>70.468000000000004</v>
      </c>
      <c r="BA36" s="21">
        <v>-4.3560799999999997E-2</v>
      </c>
      <c r="BB36" s="21">
        <v>26</v>
      </c>
      <c r="BC36" s="21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0.49408000000000002</v>
      </c>
      <c r="H37" s="21">
        <v>49.415100000000002</v>
      </c>
      <c r="I37" s="21">
        <v>-3.27087E-2</v>
      </c>
      <c r="J37" s="21">
        <v>27</v>
      </c>
      <c r="K37" s="21">
        <v>0.49285899999999999</v>
      </c>
      <c r="L37">
        <f t="shared" si="0"/>
        <v>32.7087</v>
      </c>
      <c r="M37">
        <f t="shared" si="1"/>
        <v>16.160714496000001</v>
      </c>
      <c r="N37" s="9"/>
      <c r="O37" s="21">
        <v>3.60107E-2</v>
      </c>
      <c r="P37" s="21">
        <v>58.883699999999997</v>
      </c>
      <c r="Q37" s="21">
        <v>-4.3575999999999997E-2</v>
      </c>
      <c r="R37" s="21">
        <v>27</v>
      </c>
      <c r="S37" s="21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1">
        <v>0.49408000000000002</v>
      </c>
      <c r="Z37" s="21">
        <v>61.741300000000003</v>
      </c>
      <c r="AA37" s="21">
        <v>-3.2791099999999997E-2</v>
      </c>
      <c r="AB37" s="21">
        <v>27</v>
      </c>
      <c r="AC37" s="21">
        <v>0.49282799999999999</v>
      </c>
      <c r="AD37">
        <f t="shared" si="4"/>
        <v>32.7911</v>
      </c>
      <c r="AE37">
        <f t="shared" si="5"/>
        <v>16.201426688000002</v>
      </c>
      <c r="AF37" s="9"/>
      <c r="AG37" s="21">
        <v>3.60107E-2</v>
      </c>
      <c r="AH37" s="21">
        <v>64.391900000000007</v>
      </c>
      <c r="AI37" s="21">
        <v>-4.3533299999999997E-2</v>
      </c>
      <c r="AJ37" s="21">
        <v>27</v>
      </c>
      <c r="AK37" s="21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1">
        <v>0.49408000000000002</v>
      </c>
      <c r="AR37" s="21">
        <v>67.0505</v>
      </c>
      <c r="AS37" s="21">
        <v>-3.2913199999999997E-2</v>
      </c>
      <c r="AT37" s="21">
        <v>27</v>
      </c>
      <c r="AU37" s="21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1">
        <v>3.60107E-2</v>
      </c>
      <c r="AZ37" s="21">
        <v>70.477999999999994</v>
      </c>
      <c r="BA37" s="21">
        <v>-4.3557699999999998E-2</v>
      </c>
      <c r="BB37" s="21">
        <v>27</v>
      </c>
      <c r="BC37" s="21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0.48904399999999998</v>
      </c>
      <c r="H38" s="21">
        <v>49.4251</v>
      </c>
      <c r="I38" s="21">
        <v>-3.34442E-2</v>
      </c>
      <c r="J38" s="21">
        <v>28</v>
      </c>
      <c r="K38" s="21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1">
        <v>4.1046100000000002E-2</v>
      </c>
      <c r="P38" s="21">
        <v>58.893799999999999</v>
      </c>
      <c r="Q38" s="21">
        <v>-4.35638E-2</v>
      </c>
      <c r="R38" s="21">
        <v>28</v>
      </c>
      <c r="S38" s="21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1">
        <v>0.48904399999999998</v>
      </c>
      <c r="Z38" s="21">
        <v>61.751399999999997</v>
      </c>
      <c r="AA38" s="21">
        <v>-3.3532699999999999E-2</v>
      </c>
      <c r="AB38" s="21">
        <v>28</v>
      </c>
      <c r="AC38" s="21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1">
        <v>4.1046100000000002E-2</v>
      </c>
      <c r="AH38" s="21">
        <v>64.402000000000001</v>
      </c>
      <c r="AI38" s="21">
        <v>-4.3530300000000001E-2</v>
      </c>
      <c r="AJ38" s="21">
        <v>28</v>
      </c>
      <c r="AK38" s="21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1">
        <v>0.48904399999999998</v>
      </c>
      <c r="AR38" s="21">
        <v>67.060500000000005</v>
      </c>
      <c r="AS38" s="21">
        <v>-3.3654799999999999E-2</v>
      </c>
      <c r="AT38" s="21">
        <v>28</v>
      </c>
      <c r="AU38" s="21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1">
        <v>4.1046100000000002E-2</v>
      </c>
      <c r="AZ38" s="21">
        <v>70.488100000000003</v>
      </c>
      <c r="BA38" s="21">
        <v>-4.3551600000000003E-2</v>
      </c>
      <c r="BB38" s="21">
        <v>28</v>
      </c>
      <c r="BC38" s="21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0.48400900000000002</v>
      </c>
      <c r="H39" s="21">
        <v>49.435200000000002</v>
      </c>
      <c r="I39" s="21">
        <v>-3.4121699999999998E-2</v>
      </c>
      <c r="J39" s="21">
        <v>29</v>
      </c>
      <c r="K39" s="21">
        <v>0.48278799999999999</v>
      </c>
      <c r="L39">
        <f t="shared" si="0"/>
        <v>34.121699999999997</v>
      </c>
      <c r="M39">
        <f t="shared" si="1"/>
        <v>16.5152098953</v>
      </c>
      <c r="N39" s="9"/>
      <c r="O39" s="21">
        <v>4.6081499999999997E-2</v>
      </c>
      <c r="P39" s="21">
        <v>58.9039</v>
      </c>
      <c r="Q39" s="21">
        <v>-4.3542499999999998E-2</v>
      </c>
      <c r="R39" s="21">
        <v>29</v>
      </c>
      <c r="S39" s="21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1">
        <v>0.48400900000000002</v>
      </c>
      <c r="Z39" s="21">
        <v>61.761499999999998</v>
      </c>
      <c r="AA39" s="21">
        <v>-3.4213300000000002E-2</v>
      </c>
      <c r="AB39" s="21">
        <v>29</v>
      </c>
      <c r="AC39" s="21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1">
        <v>4.6081499999999997E-2</v>
      </c>
      <c r="AH39" s="21">
        <v>64.412000000000006</v>
      </c>
      <c r="AI39" s="21">
        <v>-4.3536400000000003E-2</v>
      </c>
      <c r="AJ39" s="21">
        <v>29</v>
      </c>
      <c r="AK39" s="21">
        <v>4.5672600000000001E-2</v>
      </c>
      <c r="AL39">
        <f t="shared" si="6"/>
        <v>43.5364</v>
      </c>
      <c r="AM39">
        <f t="shared" si="7"/>
        <v>2.0062226166000001</v>
      </c>
      <c r="AP39" s="9"/>
      <c r="AQ39" s="21">
        <v>0.48400900000000002</v>
      </c>
      <c r="AR39" s="21">
        <v>67.070599999999999</v>
      </c>
      <c r="AS39" s="21">
        <v>-3.4341400000000001E-2</v>
      </c>
      <c r="AT39" s="21">
        <v>29</v>
      </c>
      <c r="AU39" s="21">
        <v>0.48275800000000002</v>
      </c>
      <c r="AV39">
        <f t="shared" si="8"/>
        <v>34.3414</v>
      </c>
      <c r="AW39">
        <f t="shared" si="9"/>
        <v>16.621546672600001</v>
      </c>
      <c r="AX39" s="9"/>
      <c r="AY39" s="21">
        <v>4.6081499999999997E-2</v>
      </c>
      <c r="AZ39" s="21">
        <v>70.498199999999997</v>
      </c>
      <c r="BA39" s="21">
        <v>-4.3557699999999998E-2</v>
      </c>
      <c r="BB39" s="21">
        <v>29</v>
      </c>
      <c r="BC39" s="21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0.47897299999999998</v>
      </c>
      <c r="H40" s="21">
        <v>49.445300000000003</v>
      </c>
      <c r="I40" s="21">
        <v>-3.4753399999999997E-2</v>
      </c>
      <c r="J40" s="21">
        <v>30</v>
      </c>
      <c r="K40" s="21">
        <v>0.47769200000000001</v>
      </c>
      <c r="L40">
        <f t="shared" si="0"/>
        <v>34.753399999999999</v>
      </c>
      <c r="M40">
        <f t="shared" si="1"/>
        <v>16.6459402582</v>
      </c>
      <c r="N40" s="9"/>
      <c r="O40" s="21">
        <v>5.11169E-2</v>
      </c>
      <c r="P40" s="21">
        <v>58.914000000000001</v>
      </c>
      <c r="Q40" s="21">
        <v>-4.3518099999999997E-2</v>
      </c>
      <c r="R40" s="21">
        <v>30</v>
      </c>
      <c r="S40" s="21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1">
        <v>0.47897299999999998</v>
      </c>
      <c r="Z40" s="21">
        <v>61.771500000000003</v>
      </c>
      <c r="AA40" s="21">
        <v>-3.4847999999999997E-2</v>
      </c>
      <c r="AB40" s="21">
        <v>30</v>
      </c>
      <c r="AC40" s="21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1">
        <v>5.11169E-2</v>
      </c>
      <c r="AH40" s="21">
        <v>64.4221</v>
      </c>
      <c r="AI40" s="21">
        <v>-4.3551600000000003E-2</v>
      </c>
      <c r="AJ40" s="21">
        <v>30</v>
      </c>
      <c r="AK40" s="21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1">
        <v>0.47897299999999998</v>
      </c>
      <c r="AR40" s="21">
        <v>67.080699999999993</v>
      </c>
      <c r="AS40" s="21">
        <v>-3.4954800000000001E-2</v>
      </c>
      <c r="AT40" s="21">
        <v>30</v>
      </c>
      <c r="AU40" s="21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1">
        <v>5.11169E-2</v>
      </c>
      <c r="AZ40" s="21">
        <v>70.508300000000006</v>
      </c>
      <c r="BA40" s="21">
        <v>-4.35486E-2</v>
      </c>
      <c r="BB40" s="21">
        <v>30</v>
      </c>
      <c r="BC40" s="21">
        <v>5.0769000000000002E-2</v>
      </c>
      <c r="BD40">
        <f t="shared" si="10"/>
        <v>43.5486</v>
      </c>
      <c r="BE40">
        <f t="shared" si="11"/>
        <v>2.22606943134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0.47393800000000003</v>
      </c>
      <c r="H41" s="21">
        <v>49.455300000000001</v>
      </c>
      <c r="I41" s="21">
        <v>-3.5336300000000001E-2</v>
      </c>
      <c r="J41" s="21">
        <v>31</v>
      </c>
      <c r="K41" s="21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1">
        <v>5.6152300000000002E-2</v>
      </c>
      <c r="P41" s="21">
        <v>58.923999999999999</v>
      </c>
      <c r="Q41" s="21">
        <v>-4.3508900000000003E-2</v>
      </c>
      <c r="R41" s="21">
        <v>31</v>
      </c>
      <c r="S41" s="21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1">
        <v>0.47393800000000003</v>
      </c>
      <c r="Z41" s="21">
        <v>61.781599999999997</v>
      </c>
      <c r="AA41" s="21">
        <v>-3.5427899999999998E-2</v>
      </c>
      <c r="AB41" s="21">
        <v>31</v>
      </c>
      <c r="AC41" s="21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1">
        <v>5.6152300000000002E-2</v>
      </c>
      <c r="AH41" s="21">
        <v>64.432199999999995</v>
      </c>
      <c r="AI41" s="21">
        <v>-4.35486E-2</v>
      </c>
      <c r="AJ41" s="21">
        <v>31</v>
      </c>
      <c r="AK41" s="21">
        <v>5.4901100000000001E-2</v>
      </c>
      <c r="AL41">
        <f t="shared" si="6"/>
        <v>43.5486</v>
      </c>
      <c r="AM41">
        <f t="shared" si="7"/>
        <v>2.4453540517800003</v>
      </c>
      <c r="AP41" s="9"/>
      <c r="AQ41" s="21">
        <v>0.47393800000000003</v>
      </c>
      <c r="AR41" s="21">
        <v>67.090699999999998</v>
      </c>
      <c r="AS41" s="21">
        <v>-3.5513299999999998E-2</v>
      </c>
      <c r="AT41" s="21">
        <v>31</v>
      </c>
      <c r="AU41" s="21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1">
        <v>5.6152300000000002E-2</v>
      </c>
      <c r="AZ41" s="21">
        <v>70.518299999999996</v>
      </c>
      <c r="BA41" s="21">
        <v>-4.3539399999999999E-2</v>
      </c>
      <c r="BB41" s="21">
        <v>31</v>
      </c>
      <c r="BC41" s="21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0.46890300000000001</v>
      </c>
      <c r="H42" s="21">
        <v>49.465400000000002</v>
      </c>
      <c r="I42" s="21">
        <v>-3.5876499999999999E-2</v>
      </c>
      <c r="J42" s="21">
        <v>32</v>
      </c>
      <c r="K42" s="21">
        <v>0.46762100000000001</v>
      </c>
      <c r="L42">
        <f t="shared" si="0"/>
        <v>35.8765</v>
      </c>
      <c r="M42">
        <f t="shared" si="1"/>
        <v>16.822598479500002</v>
      </c>
      <c r="N42" s="9"/>
      <c r="O42" s="21">
        <v>6.1187699999999998E-2</v>
      </c>
      <c r="P42" s="21">
        <v>58.934100000000001</v>
      </c>
      <c r="Q42" s="21">
        <v>-4.3502800000000001E-2</v>
      </c>
      <c r="R42" s="21">
        <v>32</v>
      </c>
      <c r="S42" s="21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1">
        <v>0.46890300000000001</v>
      </c>
      <c r="Z42" s="21">
        <v>61.791699999999999</v>
      </c>
      <c r="AA42" s="21">
        <v>-3.59528E-2</v>
      </c>
      <c r="AB42" s="21">
        <v>32</v>
      </c>
      <c r="AC42" s="21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1">
        <v>6.1187699999999998E-2</v>
      </c>
      <c r="AH42" s="21">
        <v>64.4422</v>
      </c>
      <c r="AI42" s="21">
        <v>-4.3542499999999998E-2</v>
      </c>
      <c r="AJ42" s="21">
        <v>32</v>
      </c>
      <c r="AK42" s="21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1">
        <v>0.46890300000000001</v>
      </c>
      <c r="AR42" s="21">
        <v>67.100800000000007</v>
      </c>
      <c r="AS42" s="21">
        <v>-3.6016800000000002E-2</v>
      </c>
      <c r="AT42" s="21">
        <v>32</v>
      </c>
      <c r="AU42" s="21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1">
        <v>6.1187699999999998E-2</v>
      </c>
      <c r="AZ42" s="21">
        <v>70.528400000000005</v>
      </c>
      <c r="BA42" s="21">
        <v>-4.3527200000000002E-2</v>
      </c>
      <c r="BB42" s="21">
        <v>32</v>
      </c>
      <c r="BC42" s="21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0.46386699999999997</v>
      </c>
      <c r="H43" s="21">
        <v>49.475499999999997</v>
      </c>
      <c r="I43" s="21">
        <v>-3.6380000000000003E-2</v>
      </c>
      <c r="J43" s="21">
        <v>33</v>
      </c>
      <c r="K43" s="21">
        <v>0.46255499999999999</v>
      </c>
      <c r="L43">
        <f t="shared" si="0"/>
        <v>36.380000000000003</v>
      </c>
      <c r="M43">
        <f t="shared" si="1"/>
        <v>16.87548146</v>
      </c>
      <c r="N43" s="9"/>
      <c r="O43" s="21">
        <v>6.6223099999999993E-2</v>
      </c>
      <c r="P43" s="21">
        <v>58.944200000000002</v>
      </c>
      <c r="Q43" s="21">
        <v>-4.3496699999999999E-2</v>
      </c>
      <c r="R43" s="21">
        <v>33</v>
      </c>
      <c r="S43" s="21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1">
        <v>0.46386699999999997</v>
      </c>
      <c r="Z43" s="21">
        <v>61.801699999999997</v>
      </c>
      <c r="AA43" s="21">
        <v>-3.6434899999999999E-2</v>
      </c>
      <c r="AB43" s="21">
        <v>33</v>
      </c>
      <c r="AC43" s="21">
        <v>0.462646</v>
      </c>
      <c r="AD43">
        <f t="shared" si="4"/>
        <v>36.434899999999999</v>
      </c>
      <c r="AE43">
        <f t="shared" si="5"/>
        <v>16.900947758299999</v>
      </c>
      <c r="AF43" s="9"/>
      <c r="AG43" s="21">
        <v>6.6223099999999993E-2</v>
      </c>
      <c r="AH43" s="21">
        <v>64.452299999999994</v>
      </c>
      <c r="AI43" s="21">
        <v>-4.3542499999999998E-2</v>
      </c>
      <c r="AJ43" s="21">
        <v>33</v>
      </c>
      <c r="AK43" s="21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1">
        <v>0.46386699999999997</v>
      </c>
      <c r="AR43" s="21">
        <v>67.110900000000001</v>
      </c>
      <c r="AS43" s="21">
        <v>-3.6492900000000002E-2</v>
      </c>
      <c r="AT43" s="21">
        <v>33</v>
      </c>
      <c r="AU43" s="21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1">
        <v>6.6223099999999993E-2</v>
      </c>
      <c r="AZ43" s="21">
        <v>70.538499999999999</v>
      </c>
      <c r="BA43" s="21">
        <v>-4.3518099999999997E-2</v>
      </c>
      <c r="BB43" s="21">
        <v>33</v>
      </c>
      <c r="BC43" s="21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0.45883200000000002</v>
      </c>
      <c r="H44" s="21">
        <v>49.485599999999998</v>
      </c>
      <c r="I44" s="21">
        <v>-3.6846900000000002E-2</v>
      </c>
      <c r="J44" s="21">
        <v>34</v>
      </c>
      <c r="K44" s="21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1">
        <v>7.1258500000000002E-2</v>
      </c>
      <c r="P44" s="21">
        <v>58.9542</v>
      </c>
      <c r="Q44" s="21">
        <v>-4.3499799999999998E-2</v>
      </c>
      <c r="R44" s="21">
        <v>34</v>
      </c>
      <c r="S44" s="21">
        <v>7.0007299999999995E-2</v>
      </c>
      <c r="T44">
        <f t="shared" si="2"/>
        <v>43.4998</v>
      </c>
      <c r="U44">
        <f t="shared" si="3"/>
        <v>3.0997304983</v>
      </c>
      <c r="X44" s="9"/>
      <c r="Y44" s="21">
        <v>0.45883200000000002</v>
      </c>
      <c r="Z44" s="21">
        <v>61.811799999999998</v>
      </c>
      <c r="AA44" s="21">
        <v>-3.6874400000000002E-2</v>
      </c>
      <c r="AB44" s="21">
        <v>34</v>
      </c>
      <c r="AC44" s="21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1">
        <v>7.1258500000000002E-2</v>
      </c>
      <c r="AH44" s="21">
        <v>64.462400000000002</v>
      </c>
      <c r="AI44" s="21">
        <v>-4.3536400000000003E-2</v>
      </c>
      <c r="AJ44" s="21">
        <v>34</v>
      </c>
      <c r="AK44" s="21">
        <v>6.9854700000000006E-2</v>
      </c>
      <c r="AL44">
        <f t="shared" si="6"/>
        <v>43.5364</v>
      </c>
      <c r="AM44">
        <f t="shared" si="7"/>
        <v>3.1023385594000001</v>
      </c>
      <c r="AP44" s="9"/>
      <c r="AQ44" s="21">
        <v>0.45883200000000002</v>
      </c>
      <c r="AR44" s="21">
        <v>67.120999999999995</v>
      </c>
      <c r="AS44" s="21">
        <v>-3.69354E-2</v>
      </c>
      <c r="AT44" s="21">
        <v>34</v>
      </c>
      <c r="AU44" s="21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1">
        <v>7.1258500000000002E-2</v>
      </c>
      <c r="AZ44" s="21">
        <v>70.548500000000004</v>
      </c>
      <c r="BA44" s="21">
        <v>-4.3512000000000002E-2</v>
      </c>
      <c r="BB44" s="21">
        <v>34</v>
      </c>
      <c r="BC44" s="21">
        <v>6.9976800000000006E-2</v>
      </c>
      <c r="BD44">
        <f t="shared" si="10"/>
        <v>43.512</v>
      </c>
      <c r="BE44">
        <f t="shared" si="11"/>
        <v>3.1005998520000002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0.45379599999999998</v>
      </c>
      <c r="H45" s="21">
        <v>49.495600000000003</v>
      </c>
      <c r="I45" s="21">
        <v>-3.7268099999999998E-2</v>
      </c>
      <c r="J45" s="21">
        <v>35</v>
      </c>
      <c r="K45" s="21">
        <v>0.452515</v>
      </c>
      <c r="L45">
        <f t="shared" si="0"/>
        <v>37.268099999999997</v>
      </c>
      <c r="M45">
        <f t="shared" si="1"/>
        <v>16.912114707599997</v>
      </c>
      <c r="N45" s="9"/>
      <c r="O45" s="21">
        <v>7.6293899999999998E-2</v>
      </c>
      <c r="P45" s="21">
        <v>58.964300000000001</v>
      </c>
      <c r="Q45" s="21">
        <v>-4.3496699999999999E-2</v>
      </c>
      <c r="R45" s="21">
        <v>35</v>
      </c>
      <c r="S45" s="21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1">
        <v>0.45379599999999998</v>
      </c>
      <c r="Z45" s="21">
        <v>61.821899999999999</v>
      </c>
      <c r="AA45" s="21">
        <v>-3.72894E-2</v>
      </c>
      <c r="AB45" s="21">
        <v>35</v>
      </c>
      <c r="AC45" s="21">
        <v>0.452484</v>
      </c>
      <c r="AD45">
        <f t="shared" si="4"/>
        <v>37.289400000000001</v>
      </c>
      <c r="AE45">
        <f t="shared" si="5"/>
        <v>16.921780562399999</v>
      </c>
      <c r="AF45" s="9"/>
      <c r="AG45" s="21">
        <v>7.6293899999999998E-2</v>
      </c>
      <c r="AH45" s="21">
        <v>64.472499999999997</v>
      </c>
      <c r="AI45" s="21">
        <v>-4.3536400000000003E-2</v>
      </c>
      <c r="AJ45" s="21">
        <v>35</v>
      </c>
      <c r="AK45" s="21">
        <v>7.4920700000000007E-2</v>
      </c>
      <c r="AL45">
        <f t="shared" si="6"/>
        <v>43.5364</v>
      </c>
      <c r="AM45">
        <f t="shared" si="7"/>
        <v>3.3215617479600001</v>
      </c>
      <c r="AP45" s="9"/>
      <c r="AQ45" s="21">
        <v>0.45379599999999998</v>
      </c>
      <c r="AR45" s="21">
        <v>67.131</v>
      </c>
      <c r="AS45" s="21">
        <v>-3.7350500000000002E-2</v>
      </c>
      <c r="AT45" s="21">
        <v>35</v>
      </c>
      <c r="AU45" s="21">
        <v>0.452484</v>
      </c>
      <c r="AV45">
        <f t="shared" si="8"/>
        <v>37.350500000000004</v>
      </c>
      <c r="AW45">
        <f t="shared" si="9"/>
        <v>16.949507497999999</v>
      </c>
      <c r="AX45" s="9"/>
      <c r="AY45" s="21">
        <v>7.6293899999999998E-2</v>
      </c>
      <c r="AZ45" s="21">
        <v>70.558599999999998</v>
      </c>
      <c r="BA45" s="21">
        <v>-4.3496699999999999E-2</v>
      </c>
      <c r="BB45" s="21">
        <v>35</v>
      </c>
      <c r="BC45" s="21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0.44876100000000002</v>
      </c>
      <c r="H46" s="21">
        <v>49.505699999999997</v>
      </c>
      <c r="I46" s="21">
        <v>-3.7646499999999999E-2</v>
      </c>
      <c r="J46" s="21">
        <v>36</v>
      </c>
      <c r="K46" s="21">
        <v>0.44744899999999999</v>
      </c>
      <c r="L46">
        <f t="shared" si="0"/>
        <v>37.646499999999996</v>
      </c>
      <c r="M46">
        <f t="shared" si="1"/>
        <v>16.8942809865</v>
      </c>
      <c r="N46" s="9"/>
      <c r="O46" s="21">
        <v>8.1329299999999993E-2</v>
      </c>
      <c r="P46" s="21">
        <v>58.974400000000003</v>
      </c>
      <c r="Q46" s="21">
        <v>-4.3481400000000003E-2</v>
      </c>
      <c r="R46" s="21">
        <v>36</v>
      </c>
      <c r="S46" s="21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1">
        <v>0.44876100000000002</v>
      </c>
      <c r="Z46" s="21">
        <v>61.832000000000001</v>
      </c>
      <c r="AA46" s="21">
        <v>-3.7661699999999999E-2</v>
      </c>
      <c r="AB46" s="21">
        <v>36</v>
      </c>
      <c r="AC46" s="21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1">
        <v>8.1329299999999993E-2</v>
      </c>
      <c r="AH46" s="21">
        <v>64.482500000000002</v>
      </c>
      <c r="AI46" s="21">
        <v>-4.3524199999999999E-2</v>
      </c>
      <c r="AJ46" s="21">
        <v>36</v>
      </c>
      <c r="AK46" s="21">
        <v>8.0047599999999997E-2</v>
      </c>
      <c r="AL46">
        <f t="shared" si="6"/>
        <v>43.5242</v>
      </c>
      <c r="AM46">
        <f t="shared" si="7"/>
        <v>3.5397927190599998</v>
      </c>
      <c r="AP46" s="9"/>
      <c r="AQ46" s="21">
        <v>0.44876100000000002</v>
      </c>
      <c r="AR46" s="21">
        <v>67.141099999999994</v>
      </c>
      <c r="AS46" s="21">
        <v>-3.7728900000000003E-2</v>
      </c>
      <c r="AT46" s="21">
        <v>36</v>
      </c>
      <c r="AU46" s="21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1">
        <v>8.1329299999999993E-2</v>
      </c>
      <c r="AZ46" s="21">
        <v>70.568700000000007</v>
      </c>
      <c r="BA46" s="21">
        <v>-4.3490599999999997E-2</v>
      </c>
      <c r="BB46" s="21">
        <v>36</v>
      </c>
      <c r="BC46" s="21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0.44372600000000001</v>
      </c>
      <c r="H47" s="21">
        <v>49.515799999999999</v>
      </c>
      <c r="I47" s="21">
        <v>-3.7988300000000003E-2</v>
      </c>
      <c r="J47" s="21">
        <v>37</v>
      </c>
      <c r="K47" s="21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1">
        <v>8.6364700000000003E-2</v>
      </c>
      <c r="P47" s="21">
        <v>58.984499999999997</v>
      </c>
      <c r="Q47" s="21">
        <v>-4.34692E-2</v>
      </c>
      <c r="R47" s="21">
        <v>37</v>
      </c>
      <c r="S47" s="21">
        <v>8.5022E-2</v>
      </c>
      <c r="T47">
        <f t="shared" si="2"/>
        <v>43.469200000000001</v>
      </c>
      <c r="U47">
        <f t="shared" si="3"/>
        <v>3.75420441724</v>
      </c>
      <c r="X47" s="9"/>
      <c r="Y47" s="21">
        <v>0.44372600000000001</v>
      </c>
      <c r="Z47" s="21">
        <v>61.841999999999999</v>
      </c>
      <c r="AA47" s="21">
        <v>-3.8006600000000001E-2</v>
      </c>
      <c r="AB47" s="21">
        <v>37</v>
      </c>
      <c r="AC47" s="21">
        <v>0.442413</v>
      </c>
      <c r="AD47">
        <f t="shared" si="4"/>
        <v>38.006599999999999</v>
      </c>
      <c r="AE47">
        <f t="shared" si="5"/>
        <v>16.864516591600001</v>
      </c>
      <c r="AF47" s="9"/>
      <c r="AG47" s="21">
        <v>8.6364700000000003E-2</v>
      </c>
      <c r="AH47" s="21">
        <v>64.492599999999996</v>
      </c>
      <c r="AI47" s="21">
        <v>-4.35059E-2</v>
      </c>
      <c r="AJ47" s="21">
        <v>37</v>
      </c>
      <c r="AK47" s="21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1">
        <v>0.44372600000000001</v>
      </c>
      <c r="AR47" s="21">
        <v>67.151200000000003</v>
      </c>
      <c r="AS47" s="21">
        <v>-3.80676E-2</v>
      </c>
      <c r="AT47" s="21">
        <v>37</v>
      </c>
      <c r="AU47" s="21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1">
        <v>8.6364700000000003E-2</v>
      </c>
      <c r="AZ47" s="21">
        <v>70.578800000000001</v>
      </c>
      <c r="BA47" s="21">
        <v>-4.3493700000000003E-2</v>
      </c>
      <c r="BB47" s="21">
        <v>37</v>
      </c>
      <c r="BC47" s="21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0.43869000000000002</v>
      </c>
      <c r="H48" s="21">
        <v>49.525799999999997</v>
      </c>
      <c r="I48" s="21">
        <v>-3.8305699999999998E-2</v>
      </c>
      <c r="J48" s="21">
        <v>38</v>
      </c>
      <c r="K48" s="21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1">
        <v>9.1400099999999998E-2</v>
      </c>
      <c r="P48" s="21">
        <v>58.994500000000002</v>
      </c>
      <c r="Q48" s="21">
        <v>-4.3463099999999998E-2</v>
      </c>
      <c r="R48" s="21">
        <v>38</v>
      </c>
      <c r="S48" s="21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1">
        <v>0.43869000000000002</v>
      </c>
      <c r="Z48" s="21">
        <v>61.8521</v>
      </c>
      <c r="AA48" s="21">
        <v>-3.8317900000000002E-2</v>
      </c>
      <c r="AB48" s="21">
        <v>38</v>
      </c>
      <c r="AC48" s="21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1">
        <v>9.1400099999999998E-2</v>
      </c>
      <c r="AH48" s="21">
        <v>64.502700000000004</v>
      </c>
      <c r="AI48" s="21">
        <v>-4.3499799999999998E-2</v>
      </c>
      <c r="AJ48" s="21">
        <v>38</v>
      </c>
      <c r="AK48" s="21">
        <v>9.0118400000000001E-2</v>
      </c>
      <c r="AL48">
        <f t="shared" si="6"/>
        <v>43.4998</v>
      </c>
      <c r="AM48">
        <f t="shared" si="7"/>
        <v>3.97588606998</v>
      </c>
      <c r="AP48" s="9"/>
      <c r="AQ48" s="21">
        <v>0.43869000000000002</v>
      </c>
      <c r="AR48" s="21">
        <v>67.161199999999994</v>
      </c>
      <c r="AS48" s="21">
        <v>-3.8381999999999999E-2</v>
      </c>
      <c r="AT48" s="21">
        <v>38</v>
      </c>
      <c r="AU48" s="21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1">
        <v>9.1400099999999998E-2</v>
      </c>
      <c r="AZ48" s="21">
        <v>70.588800000000006</v>
      </c>
      <c r="BA48" s="21">
        <v>-4.3499799999999998E-2</v>
      </c>
      <c r="BB48" s="21">
        <v>38</v>
      </c>
      <c r="BC48" s="21">
        <v>9.0087899999999999E-2</v>
      </c>
      <c r="BD48">
        <f t="shared" si="10"/>
        <v>43.4998</v>
      </c>
      <c r="BE48">
        <f t="shared" si="11"/>
        <v>3.97588606998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0.43365500000000001</v>
      </c>
      <c r="H49" s="21">
        <v>49.535899999999998</v>
      </c>
      <c r="I49" s="21">
        <v>-3.8589499999999999E-2</v>
      </c>
      <c r="J49" s="21">
        <v>39</v>
      </c>
      <c r="K49" s="21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1">
        <v>9.6435499999999993E-2</v>
      </c>
      <c r="P49" s="21">
        <v>59.004600000000003</v>
      </c>
      <c r="Q49" s="21">
        <v>-4.3454E-2</v>
      </c>
      <c r="R49" s="21">
        <v>39</v>
      </c>
      <c r="S49" s="21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1">
        <v>0.43365500000000001</v>
      </c>
      <c r="Z49" s="21">
        <v>61.862200000000001</v>
      </c>
      <c r="AA49" s="21">
        <v>-3.8598599999999997E-2</v>
      </c>
      <c r="AB49" s="21">
        <v>39</v>
      </c>
      <c r="AC49" s="21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1">
        <v>9.6435499999999993E-2</v>
      </c>
      <c r="AH49" s="21">
        <v>64.512699999999995</v>
      </c>
      <c r="AI49" s="21">
        <v>-4.3490599999999997E-2</v>
      </c>
      <c r="AJ49" s="21">
        <v>39</v>
      </c>
      <c r="AK49" s="21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1">
        <v>0.43365500000000001</v>
      </c>
      <c r="AR49" s="21">
        <v>67.171300000000002</v>
      </c>
      <c r="AS49" s="21">
        <v>-3.8674899999999998E-2</v>
      </c>
      <c r="AT49" s="21">
        <v>39</v>
      </c>
      <c r="AU49" s="21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1">
        <v>9.6435499999999993E-2</v>
      </c>
      <c r="AZ49" s="21">
        <v>70.5989</v>
      </c>
      <c r="BA49" s="21">
        <v>-4.3487499999999998E-2</v>
      </c>
      <c r="BB49" s="21">
        <v>39</v>
      </c>
      <c r="BC49" s="21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0.42861900000000003</v>
      </c>
      <c r="H50" s="21">
        <v>49.545999999999999</v>
      </c>
      <c r="I50" s="21">
        <v>-3.8857999999999997E-2</v>
      </c>
      <c r="J50" s="21">
        <v>40</v>
      </c>
      <c r="K50" s="21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1">
        <v>0.10147100000000001</v>
      </c>
      <c r="P50" s="21">
        <v>59.014699999999998</v>
      </c>
      <c r="Q50" s="21">
        <v>-4.3441800000000003E-2</v>
      </c>
      <c r="R50" s="21">
        <v>40</v>
      </c>
      <c r="S50" s="21">
        <v>0.10009800000000001</v>
      </c>
      <c r="T50">
        <f t="shared" si="2"/>
        <v>43.441800000000001</v>
      </c>
      <c r="U50">
        <f t="shared" si="3"/>
        <v>4.4080828878</v>
      </c>
      <c r="X50" s="9"/>
      <c r="Y50" s="21">
        <v>0.42861900000000003</v>
      </c>
      <c r="Z50" s="21">
        <v>61.872199999999999</v>
      </c>
      <c r="AA50" s="21">
        <v>-3.8848899999999999E-2</v>
      </c>
      <c r="AB50" s="21">
        <v>40</v>
      </c>
      <c r="AC50" s="21">
        <v>0.42730699999999999</v>
      </c>
      <c r="AD50">
        <f t="shared" si="4"/>
        <v>38.8489</v>
      </c>
      <c r="AE50">
        <f t="shared" si="5"/>
        <v>16.651376669100003</v>
      </c>
      <c r="AF50" s="9"/>
      <c r="AG50" s="21">
        <v>0.10147100000000001</v>
      </c>
      <c r="AH50" s="21">
        <v>64.522800000000004</v>
      </c>
      <c r="AI50" s="21">
        <v>-4.3475300000000001E-2</v>
      </c>
      <c r="AJ50" s="21">
        <v>40</v>
      </c>
      <c r="AK50" s="21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1">
        <v>0.42861900000000003</v>
      </c>
      <c r="AR50" s="21">
        <v>67.181399999999996</v>
      </c>
      <c r="AS50" s="21">
        <v>-3.8949600000000001E-2</v>
      </c>
      <c r="AT50" s="21">
        <v>40</v>
      </c>
      <c r="AU50" s="21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1">
        <v>0.10147100000000001</v>
      </c>
      <c r="AZ50" s="21">
        <v>70.608999999999995</v>
      </c>
      <c r="BA50" s="21">
        <v>-4.34784E-2</v>
      </c>
      <c r="BB50" s="21">
        <v>40</v>
      </c>
      <c r="BC50" s="21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0.42358400000000002</v>
      </c>
      <c r="H51" s="21">
        <v>49.555999999999997</v>
      </c>
      <c r="I51" s="21">
        <v>-3.9096100000000002E-2</v>
      </c>
      <c r="J51" s="21">
        <v>41</v>
      </c>
      <c r="K51" s="21">
        <v>0.42227199999999998</v>
      </c>
      <c r="L51">
        <f t="shared" si="0"/>
        <v>39.0961</v>
      </c>
      <c r="M51">
        <f t="shared" si="1"/>
        <v>16.5604824224</v>
      </c>
      <c r="N51" s="9"/>
      <c r="O51" s="21">
        <v>0.106506</v>
      </c>
      <c r="P51" s="21">
        <v>59.024700000000003</v>
      </c>
      <c r="Q51" s="21">
        <v>-4.3432600000000002E-2</v>
      </c>
      <c r="R51" s="21">
        <v>41</v>
      </c>
      <c r="S51" s="21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1">
        <v>0.42358400000000002</v>
      </c>
      <c r="Z51" s="21">
        <v>61.882300000000001</v>
      </c>
      <c r="AA51" s="21">
        <v>-3.909E-2</v>
      </c>
      <c r="AB51" s="21">
        <v>41</v>
      </c>
      <c r="AC51" s="21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1">
        <v>0.106506</v>
      </c>
      <c r="AH51" s="21">
        <v>64.532899999999998</v>
      </c>
      <c r="AI51" s="21">
        <v>-4.3463099999999998E-2</v>
      </c>
      <c r="AJ51" s="21">
        <v>41</v>
      </c>
      <c r="AK51" s="21">
        <v>0.105194</v>
      </c>
      <c r="AL51">
        <f t="shared" si="6"/>
        <v>43.463099999999997</v>
      </c>
      <c r="AM51">
        <f t="shared" si="7"/>
        <v>4.6290809285999996</v>
      </c>
      <c r="AP51" s="9"/>
      <c r="AQ51" s="21">
        <v>0.42358400000000002</v>
      </c>
      <c r="AR51" s="21">
        <v>67.191500000000005</v>
      </c>
      <c r="AS51" s="21">
        <v>-3.9196799999999997E-2</v>
      </c>
      <c r="AT51" s="21">
        <v>41</v>
      </c>
      <c r="AU51" s="21">
        <v>0.42218</v>
      </c>
      <c r="AV51">
        <f t="shared" si="8"/>
        <v>39.196799999999996</v>
      </c>
      <c r="AW51">
        <f t="shared" si="9"/>
        <v>16.603137331199999</v>
      </c>
      <c r="AX51" s="9"/>
      <c r="AY51" s="21">
        <v>0.106506</v>
      </c>
      <c r="AZ51" s="21">
        <v>70.619</v>
      </c>
      <c r="BA51" s="21">
        <v>-4.3466200000000003E-2</v>
      </c>
      <c r="BB51" s="21">
        <v>41</v>
      </c>
      <c r="BC51" s="21">
        <v>0.105255</v>
      </c>
      <c r="BD51">
        <f t="shared" si="10"/>
        <v>43.466200000000001</v>
      </c>
      <c r="BE51">
        <f t="shared" si="11"/>
        <v>4.6294110972000002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0.418549</v>
      </c>
      <c r="H52" s="21">
        <v>49.566099999999999</v>
      </c>
      <c r="I52" s="21">
        <v>-3.9309700000000003E-2</v>
      </c>
      <c r="J52" s="21">
        <v>42</v>
      </c>
      <c r="K52" s="21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1">
        <v>0.111542</v>
      </c>
      <c r="P52" s="21">
        <v>59.034799999999997</v>
      </c>
      <c r="Q52" s="21">
        <v>-4.34265E-2</v>
      </c>
      <c r="R52" s="21">
        <v>42</v>
      </c>
      <c r="S52" s="21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1">
        <v>0.418549</v>
      </c>
      <c r="Z52" s="21">
        <v>61.892400000000002</v>
      </c>
      <c r="AA52" s="21">
        <v>-3.9297499999999999E-2</v>
      </c>
      <c r="AB52" s="21">
        <v>42</v>
      </c>
      <c r="AC52" s="21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1">
        <v>0.111542</v>
      </c>
      <c r="AH52" s="21">
        <v>64.543000000000006</v>
      </c>
      <c r="AI52" s="21">
        <v>-4.3444799999999999E-2</v>
      </c>
      <c r="AJ52" s="21">
        <v>42</v>
      </c>
      <c r="AK52" s="21">
        <v>0.110168</v>
      </c>
      <c r="AL52">
        <f t="shared" si="6"/>
        <v>43.444800000000001</v>
      </c>
      <c r="AM52">
        <f t="shared" si="7"/>
        <v>4.8459198816000004</v>
      </c>
      <c r="AP52" s="9"/>
      <c r="AQ52" s="21">
        <v>0.418549</v>
      </c>
      <c r="AR52" s="21">
        <v>67.201499999999996</v>
      </c>
      <c r="AS52" s="21">
        <v>-3.9413499999999997E-2</v>
      </c>
      <c r="AT52" s="21">
        <v>42</v>
      </c>
      <c r="AU52" s="21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1">
        <v>0.111542</v>
      </c>
      <c r="AZ52" s="21">
        <v>70.629099999999994</v>
      </c>
      <c r="BA52" s="21">
        <v>-4.3454E-2</v>
      </c>
      <c r="BB52" s="21">
        <v>42</v>
      </c>
      <c r="BC52" s="21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0.41351300000000002</v>
      </c>
      <c r="H53" s="21">
        <v>49.5762</v>
      </c>
      <c r="I53" s="21">
        <v>-3.95111E-2</v>
      </c>
      <c r="J53" s="21">
        <v>43</v>
      </c>
      <c r="K53" s="21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1">
        <v>0.116577</v>
      </c>
      <c r="P53" s="21">
        <v>59.044899999999998</v>
      </c>
      <c r="Q53" s="21">
        <v>-4.3408200000000001E-2</v>
      </c>
      <c r="R53" s="21">
        <v>43</v>
      </c>
      <c r="S53" s="21">
        <v>0.115234</v>
      </c>
      <c r="T53">
        <f t="shared" si="2"/>
        <v>43.408200000000001</v>
      </c>
      <c r="U53">
        <f t="shared" si="3"/>
        <v>5.0603977314000002</v>
      </c>
      <c r="X53" s="9"/>
      <c r="Y53" s="21">
        <v>0.41351300000000002</v>
      </c>
      <c r="Z53" s="21">
        <v>61.902500000000003</v>
      </c>
      <c r="AA53" s="21">
        <v>-3.9498900000000003E-2</v>
      </c>
      <c r="AB53" s="21">
        <v>43</v>
      </c>
      <c r="AC53" s="21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1">
        <v>0.116577</v>
      </c>
      <c r="AH53" s="21">
        <v>64.552999999999997</v>
      </c>
      <c r="AI53" s="21">
        <v>-4.3429599999999999E-2</v>
      </c>
      <c r="AJ53" s="21">
        <v>43</v>
      </c>
      <c r="AK53" s="21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1">
        <v>0.41351300000000002</v>
      </c>
      <c r="AR53" s="21">
        <v>67.211600000000004</v>
      </c>
      <c r="AS53" s="21">
        <v>-3.9614900000000002E-2</v>
      </c>
      <c r="AT53" s="21">
        <v>43</v>
      </c>
      <c r="AU53" s="21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1">
        <v>0.116577</v>
      </c>
      <c r="AZ53" s="21">
        <v>70.639200000000002</v>
      </c>
      <c r="BA53" s="21">
        <v>-4.3435700000000001E-2</v>
      </c>
      <c r="BB53" s="21">
        <v>43</v>
      </c>
      <c r="BC53" s="21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0.40847800000000001</v>
      </c>
      <c r="H54" s="21">
        <v>49.586300000000001</v>
      </c>
      <c r="I54" s="21">
        <v>-3.9700300000000001E-2</v>
      </c>
      <c r="J54" s="21">
        <v>44</v>
      </c>
      <c r="K54" s="21">
        <v>0.407196</v>
      </c>
      <c r="L54">
        <f t="shared" si="0"/>
        <v>39.700299999999999</v>
      </c>
      <c r="M54">
        <f t="shared" si="1"/>
        <v>16.2166991434</v>
      </c>
      <c r="N54" s="9"/>
      <c r="O54" s="21">
        <v>0.121613</v>
      </c>
      <c r="P54" s="21">
        <v>59.054900000000004</v>
      </c>
      <c r="Q54" s="21">
        <v>-4.3395999999999997E-2</v>
      </c>
      <c r="R54" s="21">
        <v>44</v>
      </c>
      <c r="S54" s="21">
        <v>0.1203</v>
      </c>
      <c r="T54">
        <f t="shared" si="2"/>
        <v>43.395999999999994</v>
      </c>
      <c r="U54">
        <f t="shared" si="3"/>
        <v>5.2775177479999993</v>
      </c>
      <c r="X54" s="9"/>
      <c r="Y54" s="21">
        <v>0.40847800000000001</v>
      </c>
      <c r="Z54" s="21">
        <v>61.912500000000001</v>
      </c>
      <c r="AA54" s="21">
        <v>-3.9697299999999998E-2</v>
      </c>
      <c r="AB54" s="21">
        <v>44</v>
      </c>
      <c r="AC54" s="21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1">
        <v>0.121613</v>
      </c>
      <c r="AH54" s="21">
        <v>64.563100000000006</v>
      </c>
      <c r="AI54" s="21">
        <v>-4.3423499999999997E-2</v>
      </c>
      <c r="AJ54" s="21">
        <v>44</v>
      </c>
      <c r="AK54" s="21">
        <v>0.120361</v>
      </c>
      <c r="AL54">
        <f t="shared" si="6"/>
        <v>43.423499999999997</v>
      </c>
      <c r="AM54">
        <f t="shared" si="7"/>
        <v>5.2808621054999998</v>
      </c>
      <c r="AP54" s="9"/>
      <c r="AQ54" s="21">
        <v>0.40847800000000001</v>
      </c>
      <c r="AR54" s="21">
        <v>67.221699999999998</v>
      </c>
      <c r="AS54" s="21">
        <v>-3.9798E-2</v>
      </c>
      <c r="AT54" s="21">
        <v>44</v>
      </c>
      <c r="AU54" s="21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1">
        <v>0.121613</v>
      </c>
      <c r="AZ54" s="21">
        <v>70.649299999999997</v>
      </c>
      <c r="BA54" s="21">
        <v>-4.3420399999999998E-2</v>
      </c>
      <c r="BB54" s="21">
        <v>44</v>
      </c>
      <c r="BC54" s="21">
        <v>0.1203</v>
      </c>
      <c r="BD54">
        <f t="shared" si="10"/>
        <v>43.420400000000001</v>
      </c>
      <c r="BE54">
        <f t="shared" si="11"/>
        <v>5.2804851052000004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0.40344200000000002</v>
      </c>
      <c r="H55" s="21">
        <v>49.596299999999999</v>
      </c>
      <c r="I55" s="21">
        <v>-3.9865100000000001E-2</v>
      </c>
      <c r="J55" s="21">
        <v>45</v>
      </c>
      <c r="K55" s="21">
        <v>0.40219100000000002</v>
      </c>
      <c r="L55">
        <f t="shared" si="0"/>
        <v>39.865099999999998</v>
      </c>
      <c r="M55">
        <f t="shared" si="1"/>
        <v>16.0832556742</v>
      </c>
      <c r="N55" s="9"/>
      <c r="O55" s="21">
        <v>0.12664800000000001</v>
      </c>
      <c r="P55" s="21">
        <v>59.064999999999998</v>
      </c>
      <c r="Q55" s="21">
        <v>-4.3389900000000002E-2</v>
      </c>
      <c r="R55" s="21">
        <v>45</v>
      </c>
      <c r="S55" s="21">
        <v>0.125305</v>
      </c>
      <c r="T55">
        <f t="shared" si="2"/>
        <v>43.389900000000004</v>
      </c>
      <c r="U55">
        <f t="shared" si="3"/>
        <v>5.4952440552000006</v>
      </c>
      <c r="X55" s="9"/>
      <c r="Y55" s="21">
        <v>0.40344200000000002</v>
      </c>
      <c r="Z55" s="21">
        <v>61.922600000000003</v>
      </c>
      <c r="AA55" s="21">
        <v>-3.9865100000000001E-2</v>
      </c>
      <c r="AB55" s="21">
        <v>45</v>
      </c>
      <c r="AC55" s="21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1">
        <v>0.12664800000000001</v>
      </c>
      <c r="AH55" s="21">
        <v>64.5732</v>
      </c>
      <c r="AI55" s="21">
        <v>-4.34113E-2</v>
      </c>
      <c r="AJ55" s="21">
        <v>45</v>
      </c>
      <c r="AK55" s="21">
        <v>0.125336</v>
      </c>
      <c r="AL55">
        <f t="shared" si="6"/>
        <v>43.411299999999997</v>
      </c>
      <c r="AM55">
        <f t="shared" si="7"/>
        <v>5.4979543224</v>
      </c>
      <c r="AP55" s="9"/>
      <c r="AQ55" s="21">
        <v>0.40344200000000002</v>
      </c>
      <c r="AR55" s="21">
        <v>67.231700000000004</v>
      </c>
      <c r="AS55" s="21">
        <v>-3.9968900000000002E-2</v>
      </c>
      <c r="AT55" s="21">
        <v>45</v>
      </c>
      <c r="AU55" s="21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1">
        <v>0.12664800000000001</v>
      </c>
      <c r="AZ55" s="21">
        <v>70.659300000000002</v>
      </c>
      <c r="BA55" s="21">
        <v>-4.3405199999999998E-2</v>
      </c>
      <c r="BB55" s="21">
        <v>45</v>
      </c>
      <c r="BC55" s="21">
        <v>0.125305</v>
      </c>
      <c r="BD55">
        <f t="shared" si="10"/>
        <v>43.405200000000001</v>
      </c>
      <c r="BE55">
        <f t="shared" si="11"/>
        <v>5.4971817696000009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0.39840700000000001</v>
      </c>
      <c r="H56" s="21">
        <v>49.606400000000001</v>
      </c>
      <c r="I56" s="21">
        <v>-4.0023799999999998E-2</v>
      </c>
      <c r="J56" s="21">
        <v>46</v>
      </c>
      <c r="K56" s="21">
        <v>0.39706399999999997</v>
      </c>
      <c r="L56">
        <f t="shared" si="0"/>
        <v>40.023800000000001</v>
      </c>
      <c r="M56">
        <f t="shared" si="1"/>
        <v>15.9457620866</v>
      </c>
      <c r="N56" s="9"/>
      <c r="O56" s="21">
        <v>0.13168299999999999</v>
      </c>
      <c r="P56" s="21">
        <v>59.075099999999999</v>
      </c>
      <c r="Q56" s="21">
        <v>-4.3371600000000003E-2</v>
      </c>
      <c r="R56" s="21">
        <v>46</v>
      </c>
      <c r="S56" s="21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1">
        <v>0.39840700000000001</v>
      </c>
      <c r="Z56" s="21">
        <v>61.932699999999997</v>
      </c>
      <c r="AA56" s="21">
        <v>-4.0023799999999998E-2</v>
      </c>
      <c r="AB56" s="21">
        <v>46</v>
      </c>
      <c r="AC56" s="21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1">
        <v>0.13168299999999999</v>
      </c>
      <c r="AH56" s="21">
        <v>64.583200000000005</v>
      </c>
      <c r="AI56" s="21">
        <v>-4.3395999999999997E-2</v>
      </c>
      <c r="AJ56" s="21">
        <v>46</v>
      </c>
      <c r="AK56" s="21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1">
        <v>0.39840700000000001</v>
      </c>
      <c r="AR56" s="21">
        <v>67.241799999999998</v>
      </c>
      <c r="AS56" s="21">
        <v>-4.01245E-2</v>
      </c>
      <c r="AT56" s="21">
        <v>46</v>
      </c>
      <c r="AU56" s="21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1">
        <v>0.13168299999999999</v>
      </c>
      <c r="AZ56" s="21">
        <v>70.669399999999996</v>
      </c>
      <c r="BA56" s="21">
        <v>-4.3386800000000003E-2</v>
      </c>
      <c r="BB56" s="21">
        <v>46</v>
      </c>
      <c r="BC56" s="21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0.393372</v>
      </c>
      <c r="H57" s="21">
        <v>49.616500000000002</v>
      </c>
      <c r="I57" s="21">
        <v>-4.01672E-2</v>
      </c>
      <c r="J57" s="21">
        <v>47</v>
      </c>
      <c r="K57" s="21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1">
        <v>0.13671900000000001</v>
      </c>
      <c r="P57" s="21">
        <v>59.0852</v>
      </c>
      <c r="Q57" s="21">
        <v>-4.3347200000000002E-2</v>
      </c>
      <c r="R57" s="21">
        <v>47</v>
      </c>
      <c r="S57" s="21">
        <v>0.135406</v>
      </c>
      <c r="T57">
        <f t="shared" si="2"/>
        <v>43.347200000000001</v>
      </c>
      <c r="U57">
        <f t="shared" si="3"/>
        <v>5.9263858368000006</v>
      </c>
      <c r="X57" s="9"/>
      <c r="Y57" s="21">
        <v>0.393372</v>
      </c>
      <c r="Z57" s="21">
        <v>61.942700000000002</v>
      </c>
      <c r="AA57" s="21">
        <v>-4.01947E-2</v>
      </c>
      <c r="AB57" s="21">
        <v>47</v>
      </c>
      <c r="AC57" s="21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1">
        <v>0.13671900000000001</v>
      </c>
      <c r="AH57" s="21">
        <v>64.593299999999999</v>
      </c>
      <c r="AI57" s="21">
        <v>-4.3389900000000002E-2</v>
      </c>
      <c r="AJ57" s="21">
        <v>47</v>
      </c>
      <c r="AK57" s="21">
        <v>0.135406</v>
      </c>
      <c r="AL57">
        <f t="shared" si="6"/>
        <v>43.389900000000004</v>
      </c>
      <c r="AM57">
        <f t="shared" si="7"/>
        <v>5.9322237381000011</v>
      </c>
      <c r="AP57" s="9"/>
      <c r="AQ57" s="21">
        <v>0.393372</v>
      </c>
      <c r="AR57" s="21">
        <v>67.251900000000006</v>
      </c>
      <c r="AS57" s="21">
        <v>-4.0277100000000003E-2</v>
      </c>
      <c r="AT57" s="21">
        <v>47</v>
      </c>
      <c r="AU57" s="21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1">
        <v>0.13671900000000001</v>
      </c>
      <c r="AZ57" s="21">
        <v>70.679500000000004</v>
      </c>
      <c r="BA57" s="21">
        <v>-4.3371600000000003E-2</v>
      </c>
      <c r="BB57" s="21">
        <v>47</v>
      </c>
      <c r="BC57" s="21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0.38833600000000001</v>
      </c>
      <c r="H58" s="21">
        <v>49.6265</v>
      </c>
      <c r="I58" s="21">
        <v>-4.0310699999999998E-2</v>
      </c>
      <c r="J58" s="21">
        <v>48</v>
      </c>
      <c r="K58" s="21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1">
        <v>0.14175399999999999</v>
      </c>
      <c r="P58" s="21">
        <v>59.095199999999998</v>
      </c>
      <c r="Q58" s="21">
        <v>-4.3322800000000002E-2</v>
      </c>
      <c r="R58" s="21">
        <v>48</v>
      </c>
      <c r="S58" s="21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1">
        <v>0.38833600000000001</v>
      </c>
      <c r="Z58" s="21">
        <v>61.952800000000003</v>
      </c>
      <c r="AA58" s="21">
        <v>-4.0341200000000001E-2</v>
      </c>
      <c r="AB58" s="21">
        <v>48</v>
      </c>
      <c r="AC58" s="21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1">
        <v>0.14175399999999999</v>
      </c>
      <c r="AH58" s="21">
        <v>64.603399999999993</v>
      </c>
      <c r="AI58" s="21">
        <v>-4.3374599999999999E-2</v>
      </c>
      <c r="AJ58" s="21">
        <v>48</v>
      </c>
      <c r="AK58" s="21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1">
        <v>0.38833600000000001</v>
      </c>
      <c r="AR58" s="21">
        <v>67.262</v>
      </c>
      <c r="AS58" s="21">
        <v>-4.0429699999999999E-2</v>
      </c>
      <c r="AT58" s="21">
        <v>48</v>
      </c>
      <c r="AU58" s="21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1">
        <v>0.14175399999999999</v>
      </c>
      <c r="AZ58" s="21">
        <v>70.689499999999995</v>
      </c>
      <c r="BA58" s="21">
        <v>-4.3353299999999997E-2</v>
      </c>
      <c r="BB58" s="21">
        <v>48</v>
      </c>
      <c r="BC58" s="21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0.383301</v>
      </c>
      <c r="H59" s="21">
        <v>49.636600000000001</v>
      </c>
      <c r="I59" s="21">
        <v>-4.0460200000000002E-2</v>
      </c>
      <c r="J59" s="21">
        <v>49</v>
      </c>
      <c r="K59" s="21">
        <v>0.38198900000000002</v>
      </c>
      <c r="L59">
        <f t="shared" si="0"/>
        <v>40.4602</v>
      </c>
      <c r="M59">
        <f t="shared" si="1"/>
        <v>15.5084351202</v>
      </c>
      <c r="N59" s="9"/>
      <c r="O59" s="21">
        <v>0.14679</v>
      </c>
      <c r="P59" s="21">
        <v>59.1053</v>
      </c>
      <c r="Q59" s="21">
        <v>-4.33044E-2</v>
      </c>
      <c r="R59" s="21">
        <v>49</v>
      </c>
      <c r="S59" s="21">
        <v>0.145477</v>
      </c>
      <c r="T59">
        <f t="shared" si="2"/>
        <v>43.304400000000001</v>
      </c>
      <c r="U59">
        <f t="shared" si="3"/>
        <v>6.3566528760000001</v>
      </c>
      <c r="X59" s="9"/>
      <c r="Y59" s="21">
        <v>0.383301</v>
      </c>
      <c r="Z59" s="21">
        <v>61.962899999999998</v>
      </c>
      <c r="AA59" s="21">
        <v>-4.04816E-2</v>
      </c>
      <c r="AB59" s="21">
        <v>49</v>
      </c>
      <c r="AC59" s="21">
        <v>0.38198900000000002</v>
      </c>
      <c r="AD59">
        <f t="shared" si="4"/>
        <v>40.4816</v>
      </c>
      <c r="AE59">
        <f t="shared" si="5"/>
        <v>15.5166377616</v>
      </c>
      <c r="AF59" s="9"/>
      <c r="AG59" s="21">
        <v>0.14679</v>
      </c>
      <c r="AH59" s="21">
        <v>64.613500000000002</v>
      </c>
      <c r="AI59" s="21">
        <v>-4.3365500000000001E-2</v>
      </c>
      <c r="AJ59" s="21">
        <v>49</v>
      </c>
      <c r="AK59" s="21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1">
        <v>0.383301</v>
      </c>
      <c r="AR59" s="21">
        <v>67.272000000000006</v>
      </c>
      <c r="AS59" s="21">
        <v>-4.0557900000000001E-2</v>
      </c>
      <c r="AT59" s="21">
        <v>49</v>
      </c>
      <c r="AU59" s="21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1">
        <v>0.14679</v>
      </c>
      <c r="AZ59" s="21">
        <v>70.699600000000004</v>
      </c>
      <c r="BA59" s="21">
        <v>-4.3344100000000003E-2</v>
      </c>
      <c r="BB59" s="21">
        <v>49</v>
      </c>
      <c r="BC59" s="21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0.37826500000000002</v>
      </c>
      <c r="H60" s="21">
        <v>49.646700000000003</v>
      </c>
      <c r="I60" s="21">
        <v>-4.0600600000000001E-2</v>
      </c>
      <c r="J60" s="21">
        <v>50</v>
      </c>
      <c r="K60" s="21">
        <v>0.37695299999999998</v>
      </c>
      <c r="L60">
        <f t="shared" si="0"/>
        <v>40.6006</v>
      </c>
      <c r="M60">
        <f t="shared" si="1"/>
        <v>15.357785959000001</v>
      </c>
      <c r="N60" s="9"/>
      <c r="O60" s="21">
        <v>0.15182499999999999</v>
      </c>
      <c r="P60" s="21">
        <v>59.115400000000001</v>
      </c>
      <c r="Q60" s="21">
        <v>-4.3283099999999998E-2</v>
      </c>
      <c r="R60" s="21">
        <v>50</v>
      </c>
      <c r="S60" s="21">
        <v>0.150421</v>
      </c>
      <c r="T60">
        <f t="shared" si="2"/>
        <v>43.283099999999997</v>
      </c>
      <c r="U60">
        <f t="shared" si="3"/>
        <v>6.5714566574999989</v>
      </c>
      <c r="X60" s="9"/>
      <c r="Y60" s="21">
        <v>0.37826500000000002</v>
      </c>
      <c r="Z60" s="21">
        <v>61.972900000000003</v>
      </c>
      <c r="AA60" s="21">
        <v>-4.0597500000000002E-2</v>
      </c>
      <c r="AB60" s="21">
        <v>50</v>
      </c>
      <c r="AC60" s="21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1">
        <v>0.15182499999999999</v>
      </c>
      <c r="AH60" s="21">
        <v>64.623500000000007</v>
      </c>
      <c r="AI60" s="21">
        <v>-4.3350199999999998E-2</v>
      </c>
      <c r="AJ60" s="21">
        <v>50</v>
      </c>
      <c r="AK60" s="21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1">
        <v>0.37826500000000002</v>
      </c>
      <c r="AR60" s="21">
        <v>67.2821</v>
      </c>
      <c r="AS60" s="21">
        <v>-4.0679899999999998E-2</v>
      </c>
      <c r="AT60" s="21">
        <v>50</v>
      </c>
      <c r="AU60" s="21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1">
        <v>0.15182499999999999</v>
      </c>
      <c r="AZ60" s="21">
        <v>70.709699999999998</v>
      </c>
      <c r="BA60" s="21">
        <v>-4.33411E-2</v>
      </c>
      <c r="BB60" s="21">
        <v>50</v>
      </c>
      <c r="BC60" s="21">
        <v>0.150421</v>
      </c>
      <c r="BD60">
        <f t="shared" si="10"/>
        <v>43.341099999999997</v>
      </c>
      <c r="BE60">
        <f t="shared" si="11"/>
        <v>6.5802625074999987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0.37323000000000001</v>
      </c>
      <c r="H61" s="21">
        <v>49.656799999999997</v>
      </c>
      <c r="I61" s="21">
        <v>-4.0725699999999997E-2</v>
      </c>
      <c r="J61" s="21">
        <v>51</v>
      </c>
      <c r="K61" s="21">
        <v>0.37188700000000002</v>
      </c>
      <c r="L61">
        <f t="shared" si="0"/>
        <v>40.725699999999996</v>
      </c>
      <c r="M61">
        <f t="shared" si="1"/>
        <v>15.200053011</v>
      </c>
      <c r="N61" s="9"/>
      <c r="O61" s="21">
        <v>0.15686</v>
      </c>
      <c r="P61" s="21">
        <v>59.125399999999999</v>
      </c>
      <c r="Q61" s="21">
        <v>-4.3270900000000001E-2</v>
      </c>
      <c r="R61" s="21">
        <v>51</v>
      </c>
      <c r="S61" s="21">
        <v>0.155609</v>
      </c>
      <c r="T61">
        <f t="shared" si="2"/>
        <v>43.270899999999997</v>
      </c>
      <c r="U61">
        <f t="shared" si="3"/>
        <v>6.7874733739999993</v>
      </c>
      <c r="X61" s="9"/>
      <c r="Y61" s="21">
        <v>0.37323000000000001</v>
      </c>
      <c r="Z61" s="21">
        <v>61.982999999999997</v>
      </c>
      <c r="AA61" s="21">
        <v>-4.0716599999999999E-2</v>
      </c>
      <c r="AB61" s="21">
        <v>51</v>
      </c>
      <c r="AC61" s="21">
        <v>0.37188700000000002</v>
      </c>
      <c r="AD61">
        <f t="shared" si="4"/>
        <v>40.7166</v>
      </c>
      <c r="AE61">
        <f t="shared" si="5"/>
        <v>15.196656618</v>
      </c>
      <c r="AF61" s="9"/>
      <c r="AG61" s="21">
        <v>0.15686</v>
      </c>
      <c r="AH61" s="21">
        <v>64.633600000000001</v>
      </c>
      <c r="AI61" s="21">
        <v>-4.3325799999999998E-2</v>
      </c>
      <c r="AJ61" s="21">
        <v>51</v>
      </c>
      <c r="AK61" s="21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1">
        <v>0.37323000000000001</v>
      </c>
      <c r="AR61" s="21">
        <v>67.292199999999994</v>
      </c>
      <c r="AS61" s="21">
        <v>-4.0799000000000002E-2</v>
      </c>
      <c r="AT61" s="21">
        <v>51</v>
      </c>
      <c r="AU61" s="21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1">
        <v>0.15686</v>
      </c>
      <c r="AZ61" s="21">
        <v>70.719800000000006</v>
      </c>
      <c r="BA61" s="21">
        <v>-4.3310500000000002E-2</v>
      </c>
      <c r="BB61" s="21">
        <v>51</v>
      </c>
      <c r="BC61" s="21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0.36819499999999999</v>
      </c>
      <c r="H62" s="21">
        <v>49.666800000000002</v>
      </c>
      <c r="I62" s="21">
        <v>-4.0829499999999998E-2</v>
      </c>
      <c r="J62" s="21">
        <v>52</v>
      </c>
      <c r="K62" s="21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1">
        <v>0.16189600000000001</v>
      </c>
      <c r="P62" s="21">
        <v>59.1355</v>
      </c>
      <c r="Q62" s="21">
        <v>-4.32617E-2</v>
      </c>
      <c r="R62" s="21">
        <v>52</v>
      </c>
      <c r="S62" s="21">
        <v>0.160492</v>
      </c>
      <c r="T62">
        <f t="shared" si="2"/>
        <v>43.261699999999998</v>
      </c>
      <c r="U62">
        <f t="shared" si="3"/>
        <v>7.0038961832000002</v>
      </c>
      <c r="X62" s="9"/>
      <c r="Y62" s="21">
        <v>0.36819499999999999</v>
      </c>
      <c r="Z62" s="21">
        <v>61.993099999999998</v>
      </c>
      <c r="AA62" s="21">
        <v>-4.0820299999999997E-2</v>
      </c>
      <c r="AB62" s="21">
        <v>52</v>
      </c>
      <c r="AC62" s="21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1">
        <v>0.16189600000000001</v>
      </c>
      <c r="AH62" s="21">
        <v>64.643699999999995</v>
      </c>
      <c r="AI62" s="21">
        <v>-4.3319700000000003E-2</v>
      </c>
      <c r="AJ62" s="21">
        <v>52</v>
      </c>
      <c r="AK62" s="21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1">
        <v>0.36819499999999999</v>
      </c>
      <c r="AR62" s="21">
        <v>67.302199999999999</v>
      </c>
      <c r="AS62" s="21">
        <v>-4.0927100000000001E-2</v>
      </c>
      <c r="AT62" s="21">
        <v>52</v>
      </c>
      <c r="AU62" s="21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1">
        <v>0.16189600000000001</v>
      </c>
      <c r="AZ62" s="21">
        <v>70.729799999999997</v>
      </c>
      <c r="BA62" s="21">
        <v>-4.3286100000000001E-2</v>
      </c>
      <c r="BB62" s="21">
        <v>52</v>
      </c>
      <c r="BC62" s="21">
        <v>0.160492</v>
      </c>
      <c r="BD62">
        <f t="shared" si="10"/>
        <v>43.286099999999998</v>
      </c>
      <c r="BE62">
        <f t="shared" si="11"/>
        <v>7.0078464456000003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0.36315900000000001</v>
      </c>
      <c r="H63" s="21">
        <v>49.676900000000003</v>
      </c>
      <c r="I63" s="21">
        <v>-4.0924099999999998E-2</v>
      </c>
      <c r="J63" s="21">
        <v>53</v>
      </c>
      <c r="K63" s="21">
        <v>0.36181600000000003</v>
      </c>
      <c r="L63">
        <f t="shared" si="0"/>
        <v>40.924099999999996</v>
      </c>
      <c r="M63">
        <f t="shared" si="1"/>
        <v>14.8619552319</v>
      </c>
      <c r="N63" s="9"/>
      <c r="O63" s="21">
        <v>0.166931</v>
      </c>
      <c r="P63" s="21">
        <v>59.145600000000002</v>
      </c>
      <c r="Q63" s="21">
        <v>-4.3252600000000002E-2</v>
      </c>
      <c r="R63" s="21">
        <v>53</v>
      </c>
      <c r="S63" s="21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1">
        <v>0.36315900000000001</v>
      </c>
      <c r="Z63" s="21">
        <v>62.0032</v>
      </c>
      <c r="AA63" s="21">
        <v>-4.0920999999999999E-2</v>
      </c>
      <c r="AB63" s="21">
        <v>53</v>
      </c>
      <c r="AC63" s="21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1">
        <v>0.166931</v>
      </c>
      <c r="AH63" s="21">
        <v>64.653700000000001</v>
      </c>
      <c r="AI63" s="21">
        <v>-4.3292200000000003E-2</v>
      </c>
      <c r="AJ63" s="21">
        <v>53</v>
      </c>
      <c r="AK63" s="21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1">
        <v>0.36315900000000001</v>
      </c>
      <c r="AR63" s="21">
        <v>67.312299999999993</v>
      </c>
      <c r="AS63" s="21">
        <v>-4.1033899999999998E-2</v>
      </c>
      <c r="AT63" s="21">
        <v>53</v>
      </c>
      <c r="AU63" s="21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1">
        <v>0.166931</v>
      </c>
      <c r="AZ63" s="21">
        <v>70.739900000000006</v>
      </c>
      <c r="BA63" s="21">
        <v>-4.3252600000000002E-2</v>
      </c>
      <c r="BB63" s="21">
        <v>53</v>
      </c>
      <c r="BC63" s="21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0.358124</v>
      </c>
      <c r="H64" s="21">
        <v>49.686999999999998</v>
      </c>
      <c r="I64" s="21">
        <v>-4.10248E-2</v>
      </c>
      <c r="J64" s="21">
        <v>54</v>
      </c>
      <c r="K64" s="21">
        <v>0.35675000000000001</v>
      </c>
      <c r="L64">
        <f t="shared" si="0"/>
        <v>41.024799999999999</v>
      </c>
      <c r="M64">
        <f t="shared" si="1"/>
        <v>14.6919654752</v>
      </c>
      <c r="N64" s="9"/>
      <c r="O64" s="21">
        <v>0.17196700000000001</v>
      </c>
      <c r="P64" s="21">
        <v>59.155700000000003</v>
      </c>
      <c r="Q64" s="21">
        <v>-4.3231199999999997E-2</v>
      </c>
      <c r="R64" s="21">
        <v>54</v>
      </c>
      <c r="S64" s="21">
        <v>0.170624</v>
      </c>
      <c r="T64">
        <f t="shared" si="2"/>
        <v>43.231199999999994</v>
      </c>
      <c r="U64">
        <f t="shared" si="3"/>
        <v>7.4343397703999994</v>
      </c>
      <c r="X64" s="9"/>
      <c r="Y64" s="21">
        <v>0.358124</v>
      </c>
      <c r="Z64" s="21">
        <v>62.013199999999998</v>
      </c>
      <c r="AA64" s="21">
        <v>-4.1018699999999998E-2</v>
      </c>
      <c r="AB64" s="21">
        <v>54</v>
      </c>
      <c r="AC64" s="21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1">
        <v>0.17196700000000001</v>
      </c>
      <c r="AH64" s="21">
        <v>64.663799999999995</v>
      </c>
      <c r="AI64" s="21">
        <v>-4.3264799999999999E-2</v>
      </c>
      <c r="AJ64" s="21">
        <v>54</v>
      </c>
      <c r="AK64" s="21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1">
        <v>0.358124</v>
      </c>
      <c r="AR64" s="21">
        <v>67.322400000000002</v>
      </c>
      <c r="AS64" s="21">
        <v>-4.1137699999999999E-2</v>
      </c>
      <c r="AT64" s="21">
        <v>54</v>
      </c>
      <c r="AU64" s="21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1">
        <v>0.17196700000000001</v>
      </c>
      <c r="AZ64" s="21">
        <v>70.75</v>
      </c>
      <c r="BA64" s="21">
        <v>-4.3228099999999998E-2</v>
      </c>
      <c r="BB64" s="21">
        <v>54</v>
      </c>
      <c r="BC64" s="21">
        <v>0.170624</v>
      </c>
      <c r="BD64">
        <f t="shared" si="10"/>
        <v>43.228099999999998</v>
      </c>
      <c r="BE64">
        <f t="shared" si="11"/>
        <v>7.4338066727000003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0.35308800000000001</v>
      </c>
      <c r="H65" s="21">
        <v>49.697000000000003</v>
      </c>
      <c r="I65" s="21">
        <v>-4.1125500000000002E-2</v>
      </c>
      <c r="J65" s="21">
        <v>55</v>
      </c>
      <c r="K65" s="21">
        <v>0.351746</v>
      </c>
      <c r="L65">
        <f t="shared" si="0"/>
        <v>41.125500000000002</v>
      </c>
      <c r="M65">
        <f t="shared" si="1"/>
        <v>14.520920544000001</v>
      </c>
      <c r="N65" s="9"/>
      <c r="O65" s="21">
        <v>0.17700199999999999</v>
      </c>
      <c r="P65" s="21">
        <v>59.165700000000001</v>
      </c>
      <c r="Q65" s="21">
        <v>-4.3212899999999999E-2</v>
      </c>
      <c r="R65" s="21">
        <v>55</v>
      </c>
      <c r="S65" s="21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1">
        <v>0.35308800000000001</v>
      </c>
      <c r="Z65" s="21">
        <v>62.023299999999999</v>
      </c>
      <c r="AA65" s="21">
        <v>-4.11194E-2</v>
      </c>
      <c r="AB65" s="21">
        <v>55</v>
      </c>
      <c r="AC65" s="21">
        <v>0.351746</v>
      </c>
      <c r="AD65">
        <f t="shared" si="4"/>
        <v>41.119399999999999</v>
      </c>
      <c r="AE65">
        <f t="shared" si="5"/>
        <v>14.518766707199999</v>
      </c>
      <c r="AF65" s="9"/>
      <c r="AG65" s="21">
        <v>0.17700199999999999</v>
      </c>
      <c r="AH65" s="21">
        <v>64.673900000000003</v>
      </c>
      <c r="AI65" s="21">
        <v>-4.3243400000000001E-2</v>
      </c>
      <c r="AJ65" s="21">
        <v>55</v>
      </c>
      <c r="AK65" s="21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1">
        <v>0.35308800000000001</v>
      </c>
      <c r="AR65" s="21">
        <v>67.332400000000007</v>
      </c>
      <c r="AS65" s="21">
        <v>-4.1244500000000003E-2</v>
      </c>
      <c r="AT65" s="21">
        <v>55</v>
      </c>
      <c r="AU65" s="21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1">
        <v>0.17700199999999999</v>
      </c>
      <c r="AZ65" s="21">
        <v>70.760000000000005</v>
      </c>
      <c r="BA65" s="21">
        <v>-4.3215900000000002E-2</v>
      </c>
      <c r="BB65" s="21">
        <v>55</v>
      </c>
      <c r="BC65" s="21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0.348053</v>
      </c>
      <c r="H66" s="21">
        <v>49.707099999999997</v>
      </c>
      <c r="I66" s="21">
        <v>-4.12323E-2</v>
      </c>
      <c r="J66" s="21">
        <v>56</v>
      </c>
      <c r="K66" s="21">
        <v>0.34671000000000002</v>
      </c>
      <c r="L66">
        <f t="shared" si="0"/>
        <v>41.232300000000002</v>
      </c>
      <c r="M66">
        <f t="shared" si="1"/>
        <v>14.3510257119</v>
      </c>
      <c r="N66" s="9"/>
      <c r="O66" s="21">
        <v>0.182037</v>
      </c>
      <c r="P66" s="21">
        <v>59.175800000000002</v>
      </c>
      <c r="Q66" s="21">
        <v>-4.3191500000000001E-2</v>
      </c>
      <c r="R66" s="21">
        <v>56</v>
      </c>
      <c r="S66" s="21">
        <v>0.18066399999999999</v>
      </c>
      <c r="T66">
        <f t="shared" si="2"/>
        <v>43.191499999999998</v>
      </c>
      <c r="U66">
        <f t="shared" si="3"/>
        <v>7.8624510855</v>
      </c>
      <c r="X66" s="9"/>
      <c r="Y66" s="21">
        <v>0.348053</v>
      </c>
      <c r="Z66" s="21">
        <v>62.0334</v>
      </c>
      <c r="AA66" s="21">
        <v>-4.1216999999999997E-2</v>
      </c>
      <c r="AB66" s="21">
        <v>56</v>
      </c>
      <c r="AC66" s="21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1">
        <v>0.182037</v>
      </c>
      <c r="AH66" s="21">
        <v>64.683899999999994</v>
      </c>
      <c r="AI66" s="21">
        <v>-4.3215900000000002E-2</v>
      </c>
      <c r="AJ66" s="21">
        <v>56</v>
      </c>
      <c r="AK66" s="21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1">
        <v>0.348053</v>
      </c>
      <c r="AR66" s="21">
        <v>67.342500000000001</v>
      </c>
      <c r="AS66" s="21">
        <v>-4.1329999999999999E-2</v>
      </c>
      <c r="AT66" s="21">
        <v>56</v>
      </c>
      <c r="AU66" s="21">
        <v>0.34658800000000001</v>
      </c>
      <c r="AV66">
        <f t="shared" si="8"/>
        <v>41.33</v>
      </c>
      <c r="AW66">
        <f t="shared" si="9"/>
        <v>14.38503049</v>
      </c>
      <c r="AX66" s="9"/>
      <c r="AY66" s="21">
        <v>0.182037</v>
      </c>
      <c r="AZ66" s="21">
        <v>70.770099999999999</v>
      </c>
      <c r="BA66" s="21">
        <v>-4.3188499999999998E-2</v>
      </c>
      <c r="BB66" s="21">
        <v>56</v>
      </c>
      <c r="BC66" s="21">
        <v>0.180756</v>
      </c>
      <c r="BD66">
        <f t="shared" si="10"/>
        <v>43.188499999999998</v>
      </c>
      <c r="BE66">
        <f t="shared" si="11"/>
        <v>7.8619049744999998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0.34301799999999999</v>
      </c>
      <c r="H67" s="21">
        <v>49.717199999999998</v>
      </c>
      <c r="I67" s="21">
        <v>-4.13269E-2</v>
      </c>
      <c r="J67" s="21">
        <v>57</v>
      </c>
      <c r="K67" s="21">
        <v>0.34167500000000001</v>
      </c>
      <c r="L67">
        <f t="shared" si="0"/>
        <v>41.326900000000002</v>
      </c>
      <c r="M67">
        <f t="shared" si="1"/>
        <v>14.1758705842</v>
      </c>
      <c r="N67" s="9"/>
      <c r="O67" s="21">
        <v>0.18707299999999999</v>
      </c>
      <c r="P67" s="21">
        <v>59.185899999999997</v>
      </c>
      <c r="Q67" s="21">
        <v>-4.3170199999999999E-2</v>
      </c>
      <c r="R67" s="21">
        <v>57</v>
      </c>
      <c r="S67" s="21">
        <v>0.185699</v>
      </c>
      <c r="T67">
        <f t="shared" si="2"/>
        <v>43.170200000000001</v>
      </c>
      <c r="U67">
        <f t="shared" si="3"/>
        <v>8.0759788245999999</v>
      </c>
      <c r="X67" s="9"/>
      <c r="Y67" s="21">
        <v>0.34301799999999999</v>
      </c>
      <c r="Z67" s="21">
        <v>62.043399999999998</v>
      </c>
      <c r="AA67" s="21">
        <v>-4.1314700000000003E-2</v>
      </c>
      <c r="AB67" s="21">
        <v>57</v>
      </c>
      <c r="AC67" s="21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1">
        <v>0.18707299999999999</v>
      </c>
      <c r="AH67" s="21">
        <v>64.694000000000003</v>
      </c>
      <c r="AI67" s="21">
        <v>-4.3191500000000001E-2</v>
      </c>
      <c r="AJ67" s="21">
        <v>57</v>
      </c>
      <c r="AK67" s="21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1">
        <v>0.34301799999999999</v>
      </c>
      <c r="AR67" s="21">
        <v>67.352599999999995</v>
      </c>
      <c r="AS67" s="21">
        <v>-4.1424599999999999E-2</v>
      </c>
      <c r="AT67" s="21">
        <v>57</v>
      </c>
      <c r="AU67" s="21">
        <v>0.341644</v>
      </c>
      <c r="AV67">
        <f t="shared" si="8"/>
        <v>41.424599999999998</v>
      </c>
      <c r="AW67">
        <f t="shared" si="9"/>
        <v>14.209383442799998</v>
      </c>
      <c r="AX67" s="9"/>
      <c r="AY67" s="21">
        <v>0.18707299999999999</v>
      </c>
      <c r="AZ67" s="21">
        <v>70.780199999999994</v>
      </c>
      <c r="BA67" s="21">
        <v>-4.3158000000000002E-2</v>
      </c>
      <c r="BB67" s="21">
        <v>57</v>
      </c>
      <c r="BC67" s="21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0.337982</v>
      </c>
      <c r="H68" s="21">
        <v>49.7273</v>
      </c>
      <c r="I68" s="21">
        <v>-4.1412400000000002E-2</v>
      </c>
      <c r="J68" s="21">
        <v>58</v>
      </c>
      <c r="K68" s="21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1">
        <v>0.192108</v>
      </c>
      <c r="P68" s="21">
        <v>59.195900000000002</v>
      </c>
      <c r="Q68" s="21">
        <v>-4.3133499999999998E-2</v>
      </c>
      <c r="R68" s="21">
        <v>58</v>
      </c>
      <c r="S68" s="21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1">
        <v>0.337982</v>
      </c>
      <c r="Z68" s="21">
        <v>62.0535</v>
      </c>
      <c r="AA68" s="21">
        <v>-4.1418499999999997E-2</v>
      </c>
      <c r="AB68" s="21">
        <v>58</v>
      </c>
      <c r="AC68" s="21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1">
        <v>0.192108</v>
      </c>
      <c r="AH68" s="21">
        <v>64.704099999999997</v>
      </c>
      <c r="AI68" s="21">
        <v>-4.3160999999999998E-2</v>
      </c>
      <c r="AJ68" s="21">
        <v>58</v>
      </c>
      <c r="AK68" s="21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1">
        <v>0.337982</v>
      </c>
      <c r="AR68" s="21">
        <v>67.362700000000004</v>
      </c>
      <c r="AS68" s="21">
        <v>-4.1509999999999998E-2</v>
      </c>
      <c r="AT68" s="21">
        <v>58</v>
      </c>
      <c r="AU68" s="21">
        <v>0.33654800000000001</v>
      </c>
      <c r="AV68">
        <f t="shared" si="8"/>
        <v>41.51</v>
      </c>
      <c r="AW68">
        <f t="shared" si="9"/>
        <v>14.02963282</v>
      </c>
      <c r="AX68" s="9"/>
      <c r="AY68" s="21">
        <v>0.192108</v>
      </c>
      <c r="AZ68" s="21">
        <v>70.790199999999999</v>
      </c>
      <c r="BA68" s="21">
        <v>-4.3133499999999998E-2</v>
      </c>
      <c r="BB68" s="21">
        <v>58</v>
      </c>
      <c r="BC68" s="21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0.33294699999999999</v>
      </c>
      <c r="H69" s="21">
        <v>49.737299999999998</v>
      </c>
      <c r="I69" s="21">
        <v>-4.1491699999999999E-2</v>
      </c>
      <c r="J69" s="21">
        <v>59</v>
      </c>
      <c r="K69" s="21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1">
        <v>0.19714400000000001</v>
      </c>
      <c r="P69" s="21">
        <v>59.206000000000003</v>
      </c>
      <c r="Q69" s="21">
        <v>-4.3109099999999997E-2</v>
      </c>
      <c r="R69" s="21">
        <v>59</v>
      </c>
      <c r="S69" s="21">
        <v>0.19574</v>
      </c>
      <c r="T69">
        <f t="shared" si="2"/>
        <v>43.109099999999998</v>
      </c>
      <c r="U69">
        <f t="shared" si="3"/>
        <v>8.4987004103999997</v>
      </c>
      <c r="X69" s="9"/>
      <c r="Y69" s="21">
        <v>0.33294699999999999</v>
      </c>
      <c r="Z69" s="21">
        <v>62.063600000000001</v>
      </c>
      <c r="AA69" s="21">
        <v>-4.1509999999999998E-2</v>
      </c>
      <c r="AB69" s="21">
        <v>59</v>
      </c>
      <c r="AC69" s="21">
        <v>0.33151199999999997</v>
      </c>
      <c r="AD69">
        <f t="shared" si="4"/>
        <v>41.51</v>
      </c>
      <c r="AE69">
        <f t="shared" si="5"/>
        <v>13.820629969999999</v>
      </c>
      <c r="AF69" s="9"/>
      <c r="AG69" s="21">
        <v>0.19714400000000001</v>
      </c>
      <c r="AH69" s="21">
        <v>64.714200000000005</v>
      </c>
      <c r="AI69" s="21">
        <v>-4.3133499999999998E-2</v>
      </c>
      <c r="AJ69" s="21">
        <v>59</v>
      </c>
      <c r="AK69" s="21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1">
        <v>0.33294699999999999</v>
      </c>
      <c r="AR69" s="21">
        <v>67.372699999999995</v>
      </c>
      <c r="AS69" s="21">
        <v>-4.1589399999999999E-2</v>
      </c>
      <c r="AT69" s="21">
        <v>59</v>
      </c>
      <c r="AU69" s="21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1">
        <v>0.19714400000000001</v>
      </c>
      <c r="AZ69" s="21">
        <v>70.800299999999993</v>
      </c>
      <c r="BA69" s="21">
        <v>-4.3115199999999999E-2</v>
      </c>
      <c r="BB69" s="21">
        <v>59</v>
      </c>
      <c r="BC69" s="21">
        <v>0.195801</v>
      </c>
      <c r="BD69">
        <f t="shared" si="10"/>
        <v>43.115200000000002</v>
      </c>
      <c r="BE69">
        <f t="shared" si="11"/>
        <v>8.4999029888000006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0.32791100000000001</v>
      </c>
      <c r="H70" s="21">
        <v>49.747399999999999</v>
      </c>
      <c r="I70" s="21">
        <v>-4.1570999999999997E-2</v>
      </c>
      <c r="J70" s="21">
        <v>60</v>
      </c>
      <c r="K70" s="21">
        <v>0.32659899999999997</v>
      </c>
      <c r="L70">
        <f t="shared" si="0"/>
        <v>41.570999999999998</v>
      </c>
      <c r="M70">
        <f t="shared" si="1"/>
        <v>13.631588181</v>
      </c>
      <c r="N70" s="9"/>
      <c r="O70" s="21">
        <v>0.202179</v>
      </c>
      <c r="P70" s="21">
        <v>59.216099999999997</v>
      </c>
      <c r="Q70" s="21">
        <v>-4.3078600000000002E-2</v>
      </c>
      <c r="R70" s="21">
        <v>60</v>
      </c>
      <c r="S70" s="21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1">
        <v>0.32791100000000001</v>
      </c>
      <c r="Z70" s="21">
        <v>62.073700000000002</v>
      </c>
      <c r="AA70" s="21">
        <v>-4.15863E-2</v>
      </c>
      <c r="AB70" s="21">
        <v>60</v>
      </c>
      <c r="AC70" s="21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1">
        <v>0.202179</v>
      </c>
      <c r="AH70" s="21">
        <v>64.724199999999996</v>
      </c>
      <c r="AI70" s="21">
        <v>-4.3093899999999997E-2</v>
      </c>
      <c r="AJ70" s="21">
        <v>60</v>
      </c>
      <c r="AK70" s="21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1">
        <v>0.32791100000000001</v>
      </c>
      <c r="AR70" s="21">
        <v>67.382800000000003</v>
      </c>
      <c r="AS70" s="21">
        <v>-4.1671800000000002E-2</v>
      </c>
      <c r="AT70" s="21">
        <v>60</v>
      </c>
      <c r="AU70" s="21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1">
        <v>0.202179</v>
      </c>
      <c r="AZ70" s="21">
        <v>70.810400000000001</v>
      </c>
      <c r="BA70" s="21">
        <v>-4.3087800000000002E-2</v>
      </c>
      <c r="BB70" s="21">
        <v>60</v>
      </c>
      <c r="BC70" s="21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0.322876</v>
      </c>
      <c r="H71" s="21">
        <v>49.7575</v>
      </c>
      <c r="I71" s="21">
        <v>-4.1650399999999997E-2</v>
      </c>
      <c r="J71" s="21">
        <v>61</v>
      </c>
      <c r="K71" s="21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1">
        <v>0.20721400000000001</v>
      </c>
      <c r="P71" s="21">
        <v>59.226199999999999</v>
      </c>
      <c r="Q71" s="21">
        <v>-4.3045E-2</v>
      </c>
      <c r="R71" s="21">
        <v>61</v>
      </c>
      <c r="S71" s="21">
        <v>0.205841</v>
      </c>
      <c r="T71">
        <f t="shared" si="2"/>
        <v>43.045000000000002</v>
      </c>
      <c r="U71">
        <f t="shared" si="3"/>
        <v>8.91952663</v>
      </c>
      <c r="X71" s="9"/>
      <c r="Y71" s="21">
        <v>0.322876</v>
      </c>
      <c r="Z71" s="21">
        <v>62.0837</v>
      </c>
      <c r="AA71" s="21">
        <v>-4.16809E-2</v>
      </c>
      <c r="AB71" s="21">
        <v>61</v>
      </c>
      <c r="AC71" s="21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1">
        <v>0.20721400000000001</v>
      </c>
      <c r="AH71" s="21">
        <v>64.734300000000005</v>
      </c>
      <c r="AI71" s="21">
        <v>-4.3063400000000002E-2</v>
      </c>
      <c r="AJ71" s="21">
        <v>61</v>
      </c>
      <c r="AK71" s="21">
        <v>0.205872</v>
      </c>
      <c r="AL71">
        <f t="shared" si="6"/>
        <v>43.063400000000001</v>
      </c>
      <c r="AM71">
        <f t="shared" si="7"/>
        <v>8.9233393676000006</v>
      </c>
      <c r="AP71" s="9"/>
      <c r="AQ71" s="21">
        <v>0.322876</v>
      </c>
      <c r="AR71" s="21">
        <v>67.392899999999997</v>
      </c>
      <c r="AS71" s="21">
        <v>-4.1751099999999999E-2</v>
      </c>
      <c r="AT71" s="21">
        <v>61</v>
      </c>
      <c r="AU71" s="21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1">
        <v>0.20721400000000001</v>
      </c>
      <c r="AZ71" s="21">
        <v>70.820499999999996</v>
      </c>
      <c r="BA71" s="21">
        <v>-4.3060300000000003E-2</v>
      </c>
      <c r="BB71" s="21">
        <v>61</v>
      </c>
      <c r="BC71" s="21">
        <v>0.205872</v>
      </c>
      <c r="BD71">
        <f t="shared" si="10"/>
        <v>43.060300000000005</v>
      </c>
      <c r="BE71">
        <f t="shared" si="11"/>
        <v>8.9226970042000016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0.31784099999999998</v>
      </c>
      <c r="H72" s="21">
        <v>49.767499999999998</v>
      </c>
      <c r="I72" s="21">
        <v>-4.1726699999999999E-2</v>
      </c>
      <c r="J72" s="21">
        <v>62</v>
      </c>
      <c r="K72" s="21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1">
        <v>0.21224999999999999</v>
      </c>
      <c r="P72" s="21">
        <v>59.236199999999997</v>
      </c>
      <c r="Q72" s="21">
        <v>-4.30023E-2</v>
      </c>
      <c r="R72" s="21">
        <v>62</v>
      </c>
      <c r="S72" s="21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1">
        <v>0.31784099999999998</v>
      </c>
      <c r="Z72" s="21">
        <v>62.093800000000002</v>
      </c>
      <c r="AA72" s="21">
        <v>-4.17603E-2</v>
      </c>
      <c r="AB72" s="21">
        <v>62</v>
      </c>
      <c r="AC72" s="21">
        <v>0.316467</v>
      </c>
      <c r="AD72">
        <f t="shared" si="4"/>
        <v>41.760300000000001</v>
      </c>
      <c r="AE72">
        <f t="shared" si="5"/>
        <v>13.2731355123</v>
      </c>
      <c r="AF72" s="9"/>
      <c r="AG72" s="21">
        <v>0.21224999999999999</v>
      </c>
      <c r="AH72" s="21">
        <v>64.744399999999999</v>
      </c>
      <c r="AI72" s="21">
        <v>-4.3023699999999998E-2</v>
      </c>
      <c r="AJ72" s="21">
        <v>62</v>
      </c>
      <c r="AK72" s="21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1">
        <v>0.31784099999999998</v>
      </c>
      <c r="AR72" s="21">
        <v>67.402900000000002</v>
      </c>
      <c r="AS72" s="21">
        <v>-4.1824300000000002E-2</v>
      </c>
      <c r="AT72" s="21">
        <v>62</v>
      </c>
      <c r="AU72" s="21">
        <v>0.316467</v>
      </c>
      <c r="AV72">
        <f t="shared" si="8"/>
        <v>41.824300000000001</v>
      </c>
      <c r="AW72">
        <f t="shared" si="9"/>
        <v>13.293477336300001</v>
      </c>
      <c r="AX72" s="9"/>
      <c r="AY72" s="21">
        <v>0.21224999999999999</v>
      </c>
      <c r="AZ72" s="21">
        <v>70.830500000000001</v>
      </c>
      <c r="BA72" s="21">
        <v>-4.3026700000000001E-2</v>
      </c>
      <c r="BB72" s="21">
        <v>62</v>
      </c>
      <c r="BC72" s="21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0.312805</v>
      </c>
      <c r="H73" s="21">
        <v>49.7776</v>
      </c>
      <c r="I73" s="21">
        <v>-4.1815199999999997E-2</v>
      </c>
      <c r="J73" s="21">
        <v>63</v>
      </c>
      <c r="K73" s="21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1">
        <v>0.21728500000000001</v>
      </c>
      <c r="P73" s="21">
        <v>59.246299999999998</v>
      </c>
      <c r="Q73" s="21">
        <v>-4.2953499999999999E-2</v>
      </c>
      <c r="R73" s="21">
        <v>63</v>
      </c>
      <c r="S73" s="21">
        <v>0.215942</v>
      </c>
      <c r="T73">
        <f t="shared" si="2"/>
        <v>42.953499999999998</v>
      </c>
      <c r="U73">
        <f t="shared" si="3"/>
        <v>9.3331512475</v>
      </c>
      <c r="X73" s="9"/>
      <c r="Y73" s="21">
        <v>0.312805</v>
      </c>
      <c r="Z73" s="21">
        <v>62.103900000000003</v>
      </c>
      <c r="AA73" s="21">
        <v>-4.1827400000000001E-2</v>
      </c>
      <c r="AB73" s="21">
        <v>63</v>
      </c>
      <c r="AC73" s="21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1">
        <v>0.21728500000000001</v>
      </c>
      <c r="AH73" s="21">
        <v>64.754400000000004</v>
      </c>
      <c r="AI73" s="21">
        <v>-4.2971799999999997E-2</v>
      </c>
      <c r="AJ73" s="21">
        <v>63</v>
      </c>
      <c r="AK73" s="21">
        <v>0.215973</v>
      </c>
      <c r="AL73">
        <f t="shared" si="6"/>
        <v>42.971799999999995</v>
      </c>
      <c r="AM73">
        <f t="shared" si="7"/>
        <v>9.3371275629999992</v>
      </c>
      <c r="AP73" s="9"/>
      <c r="AQ73" s="21">
        <v>0.312805</v>
      </c>
      <c r="AR73" s="21">
        <v>67.412999999999997</v>
      </c>
      <c r="AS73" s="21">
        <v>-4.1900600000000003E-2</v>
      </c>
      <c r="AT73" s="21">
        <v>63</v>
      </c>
      <c r="AU73" s="21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1">
        <v>0.21728500000000001</v>
      </c>
      <c r="AZ73" s="21">
        <v>70.840599999999995</v>
      </c>
      <c r="BA73" s="21">
        <v>-4.29871E-2</v>
      </c>
      <c r="BB73" s="21">
        <v>63</v>
      </c>
      <c r="BC73" s="21">
        <v>0.215942</v>
      </c>
      <c r="BD73">
        <f t="shared" si="10"/>
        <v>42.987099999999998</v>
      </c>
      <c r="BE73">
        <f t="shared" si="11"/>
        <v>9.3404520234999993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0.30776999999999999</v>
      </c>
      <c r="H74" s="21">
        <v>49.787700000000001</v>
      </c>
      <c r="I74" s="21">
        <v>-4.18976E-2</v>
      </c>
      <c r="J74" s="21">
        <v>64</v>
      </c>
      <c r="K74" s="21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1">
        <v>0.22232099999999999</v>
      </c>
      <c r="P74" s="21">
        <v>59.256399999999999</v>
      </c>
      <c r="Q74" s="21">
        <v>-4.2919899999999997E-2</v>
      </c>
      <c r="R74" s="21">
        <v>64</v>
      </c>
      <c r="S74" s="21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1">
        <v>0.30776999999999999</v>
      </c>
      <c r="Z74" s="21">
        <v>62.113900000000001</v>
      </c>
      <c r="AA74" s="21">
        <v>-4.1891499999999998E-2</v>
      </c>
      <c r="AB74" s="21">
        <v>64</v>
      </c>
      <c r="AC74" s="21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1">
        <v>0.22232099999999999</v>
      </c>
      <c r="AH74" s="21">
        <v>64.764499999999998</v>
      </c>
      <c r="AI74" s="21">
        <v>-4.2932100000000001E-2</v>
      </c>
      <c r="AJ74" s="21">
        <v>64</v>
      </c>
      <c r="AK74" s="21">
        <v>0.220917</v>
      </c>
      <c r="AL74">
        <f t="shared" si="6"/>
        <v>42.932099999999998</v>
      </c>
      <c r="AM74">
        <f t="shared" si="7"/>
        <v>9.5447074040999986</v>
      </c>
      <c r="AP74" s="9"/>
      <c r="AQ74" s="21">
        <v>0.30776999999999999</v>
      </c>
      <c r="AR74" s="21">
        <v>67.423100000000005</v>
      </c>
      <c r="AS74" s="21">
        <v>-4.1989100000000001E-2</v>
      </c>
      <c r="AT74" s="21">
        <v>64</v>
      </c>
      <c r="AU74" s="21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1">
        <v>0.22232099999999999</v>
      </c>
      <c r="AZ74" s="21">
        <v>70.850700000000003</v>
      </c>
      <c r="BA74" s="21">
        <v>-4.29504E-2</v>
      </c>
      <c r="BB74" s="21">
        <v>64</v>
      </c>
      <c r="BC74" s="21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0.302734</v>
      </c>
      <c r="H75" s="21">
        <v>49.797800000000002</v>
      </c>
      <c r="I75" s="21">
        <v>-4.1976899999999998E-2</v>
      </c>
      <c r="J75" s="21">
        <v>65</v>
      </c>
      <c r="K75" s="21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1">
        <v>0.227356</v>
      </c>
      <c r="P75" s="21">
        <v>59.266399999999997</v>
      </c>
      <c r="Q75" s="21">
        <v>-4.2883299999999999E-2</v>
      </c>
      <c r="R75" s="21">
        <v>65</v>
      </c>
      <c r="S75" s="21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1">
        <v>0.302734</v>
      </c>
      <c r="Z75" s="21">
        <v>62.124000000000002</v>
      </c>
      <c r="AA75" s="21">
        <v>-4.1958599999999999E-2</v>
      </c>
      <c r="AB75" s="21">
        <v>65</v>
      </c>
      <c r="AC75" s="21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1">
        <v>0.227356</v>
      </c>
      <c r="AH75" s="21">
        <v>64.774600000000007</v>
      </c>
      <c r="AI75" s="21">
        <v>-4.28925E-2</v>
      </c>
      <c r="AJ75" s="21">
        <v>65</v>
      </c>
      <c r="AK75" s="21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1">
        <v>0.302734</v>
      </c>
      <c r="AR75" s="21">
        <v>67.433199999999999</v>
      </c>
      <c r="AS75" s="21">
        <v>-4.2059300000000001E-2</v>
      </c>
      <c r="AT75" s="21">
        <v>65</v>
      </c>
      <c r="AU75" s="21">
        <v>0.30126999999999998</v>
      </c>
      <c r="AV75">
        <f t="shared" si="8"/>
        <v>42.0593</v>
      </c>
      <c r="AW75">
        <f t="shared" si="9"/>
        <v>12.7327801262</v>
      </c>
      <c r="AX75" s="9"/>
      <c r="AY75" s="21">
        <v>0.227356</v>
      </c>
      <c r="AZ75" s="21">
        <v>70.860699999999994</v>
      </c>
      <c r="BA75" s="21">
        <v>-4.2916900000000001E-2</v>
      </c>
      <c r="BB75" s="21">
        <v>65</v>
      </c>
      <c r="BC75" s="21">
        <v>0.226074</v>
      </c>
      <c r="BD75">
        <f t="shared" si="10"/>
        <v>42.916899999999998</v>
      </c>
      <c r="BE75">
        <f t="shared" si="11"/>
        <v>9.7574147163999996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0.29769899999999999</v>
      </c>
      <c r="H76" s="21">
        <v>49.8078</v>
      </c>
      <c r="I76" s="21">
        <v>-4.2053199999999999E-2</v>
      </c>
      <c r="J76" s="21">
        <v>66</v>
      </c>
      <c r="K76" s="21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1">
        <v>0.23239099999999999</v>
      </c>
      <c r="P76" s="21">
        <v>59.276499999999999</v>
      </c>
      <c r="Q76" s="21">
        <v>-4.2831399999999999E-2</v>
      </c>
      <c r="R76" s="21">
        <v>66</v>
      </c>
      <c r="S76" s="21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1">
        <v>0.29769899999999999</v>
      </c>
      <c r="Z76" s="21">
        <v>62.134099999999997</v>
      </c>
      <c r="AA76" s="21">
        <v>-4.2028799999999998E-2</v>
      </c>
      <c r="AB76" s="21">
        <v>66</v>
      </c>
      <c r="AC76" s="21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1">
        <v>0.23239099999999999</v>
      </c>
      <c r="AH76" s="21">
        <v>64.784700000000001</v>
      </c>
      <c r="AI76" s="21">
        <v>-4.2849699999999998E-2</v>
      </c>
      <c r="AJ76" s="21">
        <v>66</v>
      </c>
      <c r="AK76" s="21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1">
        <v>0.29769899999999999</v>
      </c>
      <c r="AR76" s="21">
        <v>67.443200000000004</v>
      </c>
      <c r="AS76" s="21">
        <v>-4.2132599999999999E-2</v>
      </c>
      <c r="AT76" s="21">
        <v>66</v>
      </c>
      <c r="AU76" s="21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1">
        <v>0.23239099999999999</v>
      </c>
      <c r="AZ76" s="21">
        <v>70.870800000000003</v>
      </c>
      <c r="BA76" s="21">
        <v>-4.2871100000000002E-2</v>
      </c>
      <c r="BB76" s="21">
        <v>66</v>
      </c>
      <c r="BC76" s="21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0.29266399999999998</v>
      </c>
      <c r="H77" s="21">
        <v>49.817900000000002</v>
      </c>
      <c r="I77" s="21">
        <v>-4.2111200000000001E-2</v>
      </c>
      <c r="J77" s="21">
        <v>67</v>
      </c>
      <c r="K77" s="21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1">
        <v>0.237427</v>
      </c>
      <c r="P77" s="21">
        <v>59.2866</v>
      </c>
      <c r="Q77" s="21">
        <v>-4.2788699999999999E-2</v>
      </c>
      <c r="R77" s="21">
        <v>67</v>
      </c>
      <c r="S77" s="21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1">
        <v>0.29266399999999998</v>
      </c>
      <c r="Z77" s="21">
        <v>62.144199999999998</v>
      </c>
      <c r="AA77" s="21">
        <v>-4.2098999999999998E-2</v>
      </c>
      <c r="AB77" s="21">
        <v>67</v>
      </c>
      <c r="AC77" s="21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1">
        <v>0.237427</v>
      </c>
      <c r="AH77" s="21">
        <v>64.794700000000006</v>
      </c>
      <c r="AI77" s="21">
        <v>-4.27979E-2</v>
      </c>
      <c r="AJ77" s="21">
        <v>67</v>
      </c>
      <c r="AK77" s="21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1">
        <v>0.29266399999999998</v>
      </c>
      <c r="AR77" s="21">
        <v>67.453299999999999</v>
      </c>
      <c r="AS77" s="21">
        <v>-4.21997E-2</v>
      </c>
      <c r="AT77" s="21">
        <v>67</v>
      </c>
      <c r="AU77" s="21">
        <v>0.29128999999999999</v>
      </c>
      <c r="AV77">
        <f t="shared" si="20"/>
        <v>42.1997</v>
      </c>
      <c r="AW77">
        <f t="shared" si="21"/>
        <v>12.350333000799999</v>
      </c>
      <c r="AX77" s="9"/>
      <c r="AY77" s="21">
        <v>0.237427</v>
      </c>
      <c r="AZ77" s="21">
        <v>70.880899999999997</v>
      </c>
      <c r="BA77" s="21">
        <v>-4.2816199999999999E-2</v>
      </c>
      <c r="BB77" s="21">
        <v>67</v>
      </c>
      <c r="BC77" s="21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0.28762799999999999</v>
      </c>
      <c r="H78" s="21">
        <v>49.828000000000003</v>
      </c>
      <c r="I78" s="21">
        <v>-4.2187500000000003E-2</v>
      </c>
      <c r="J78" s="21">
        <v>68</v>
      </c>
      <c r="K78" s="21">
        <v>0.28625499999999998</v>
      </c>
      <c r="L78">
        <f t="shared" si="12"/>
        <v>42.1875</v>
      </c>
      <c r="M78">
        <f t="shared" si="13"/>
        <v>12.13430625</v>
      </c>
      <c r="N78" s="9"/>
      <c r="O78" s="21">
        <v>0.24246200000000001</v>
      </c>
      <c r="P78" s="21">
        <v>59.296700000000001</v>
      </c>
      <c r="Q78" s="21">
        <v>-4.2739899999999997E-2</v>
      </c>
      <c r="R78" s="21">
        <v>68</v>
      </c>
      <c r="S78" s="21">
        <v>0.241089</v>
      </c>
      <c r="T78">
        <f t="shared" si="14"/>
        <v>42.739899999999999</v>
      </c>
      <c r="U78">
        <f t="shared" si="15"/>
        <v>10.3628016338</v>
      </c>
      <c r="X78" s="9"/>
      <c r="Y78" s="21">
        <v>0.28762799999999999</v>
      </c>
      <c r="Z78" s="21">
        <v>62.154200000000003</v>
      </c>
      <c r="AA78" s="21">
        <v>-4.2157E-2</v>
      </c>
      <c r="AB78" s="21">
        <v>68</v>
      </c>
      <c r="AC78" s="21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1">
        <v>0.24246200000000001</v>
      </c>
      <c r="AH78" s="21">
        <v>64.8048</v>
      </c>
      <c r="AI78" s="21">
        <v>-4.2730700000000003E-2</v>
      </c>
      <c r="AJ78" s="21">
        <v>68</v>
      </c>
      <c r="AK78" s="21">
        <v>0.24115</v>
      </c>
      <c r="AL78">
        <f t="shared" si="18"/>
        <v>42.730700000000006</v>
      </c>
      <c r="AM78">
        <f t="shared" si="19"/>
        <v>10.360570983400002</v>
      </c>
      <c r="AP78" s="9"/>
      <c r="AQ78" s="21">
        <v>0.28762799999999999</v>
      </c>
      <c r="AR78" s="21">
        <v>67.463399999999993</v>
      </c>
      <c r="AS78" s="21">
        <v>-4.22668E-2</v>
      </c>
      <c r="AT78" s="21">
        <v>68</v>
      </c>
      <c r="AU78" s="21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1">
        <v>0.24246200000000001</v>
      </c>
      <c r="AZ78" s="21">
        <v>70.891000000000005</v>
      </c>
      <c r="BA78" s="21">
        <v>-4.2752100000000001E-2</v>
      </c>
      <c r="BB78" s="21">
        <v>68</v>
      </c>
      <c r="BC78" s="21">
        <v>0.241119</v>
      </c>
      <c r="BD78">
        <f t="shared" si="22"/>
        <v>42.752099999999999</v>
      </c>
      <c r="BE78">
        <f t="shared" si="23"/>
        <v>10.365759670200001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0.28259299999999998</v>
      </c>
      <c r="H79" s="21">
        <v>49.838000000000001</v>
      </c>
      <c r="I79" s="21">
        <v>-4.2263799999999997E-2</v>
      </c>
      <c r="J79" s="21">
        <v>69</v>
      </c>
      <c r="K79" s="21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1">
        <v>0.247498</v>
      </c>
      <c r="P79" s="21">
        <v>59.306699999999999</v>
      </c>
      <c r="Q79" s="21">
        <v>-4.2697100000000002E-2</v>
      </c>
      <c r="R79" s="21">
        <v>69</v>
      </c>
      <c r="S79" s="21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1">
        <v>0.28259299999999998</v>
      </c>
      <c r="Z79" s="21">
        <v>62.164299999999997</v>
      </c>
      <c r="AA79" s="21">
        <v>-4.2230200000000002E-2</v>
      </c>
      <c r="AB79" s="21">
        <v>69</v>
      </c>
      <c r="AC79" s="21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1">
        <v>0.247498</v>
      </c>
      <c r="AH79" s="21">
        <v>64.814899999999994</v>
      </c>
      <c r="AI79" s="21">
        <v>-4.2672700000000001E-2</v>
      </c>
      <c r="AJ79" s="21">
        <v>69</v>
      </c>
      <c r="AK79" s="21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1">
        <v>0.28259299999999998</v>
      </c>
      <c r="AR79" s="21">
        <v>67.473399999999998</v>
      </c>
      <c r="AS79" s="21">
        <v>-4.2315699999999998E-2</v>
      </c>
      <c r="AT79" s="21">
        <v>69</v>
      </c>
      <c r="AU79" s="21">
        <v>0.281281</v>
      </c>
      <c r="AV79">
        <f t="shared" si="20"/>
        <v>42.3157</v>
      </c>
      <c r="AW79">
        <f t="shared" si="21"/>
        <v>11.9581206101</v>
      </c>
      <c r="AX79" s="9"/>
      <c r="AY79" s="21">
        <v>0.247498</v>
      </c>
      <c r="AZ79" s="21">
        <v>70.900999999999996</v>
      </c>
      <c r="BA79" s="21">
        <v>-4.2694099999999999E-2</v>
      </c>
      <c r="BB79" s="21">
        <v>69</v>
      </c>
      <c r="BC79" s="21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0.277557</v>
      </c>
      <c r="H80" s="21">
        <v>49.848100000000002</v>
      </c>
      <c r="I80" s="21">
        <v>-4.2333999999999997E-2</v>
      </c>
      <c r="J80" s="21">
        <v>70</v>
      </c>
      <c r="K80" s="21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1">
        <v>0.25253300000000001</v>
      </c>
      <c r="P80" s="21">
        <v>59.316800000000001</v>
      </c>
      <c r="Q80" s="21">
        <v>-4.2642199999999998E-2</v>
      </c>
      <c r="R80" s="21">
        <v>70</v>
      </c>
      <c r="S80" s="21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1">
        <v>0.277557</v>
      </c>
      <c r="Z80" s="21">
        <v>62.174399999999999</v>
      </c>
      <c r="AA80" s="21">
        <v>-4.2306499999999997E-2</v>
      </c>
      <c r="AB80" s="21">
        <v>70</v>
      </c>
      <c r="AC80" s="21">
        <v>0.27615400000000001</v>
      </c>
      <c r="AD80">
        <f t="shared" si="16"/>
        <v>42.3065</v>
      </c>
      <c r="AE80">
        <f t="shared" si="17"/>
        <v>11.7424652205</v>
      </c>
      <c r="AF80" s="9"/>
      <c r="AG80" s="21">
        <v>0.25253300000000001</v>
      </c>
      <c r="AH80" s="21">
        <v>64.8249</v>
      </c>
      <c r="AI80" s="21">
        <v>-4.2630000000000001E-2</v>
      </c>
      <c r="AJ80" s="21">
        <v>70</v>
      </c>
      <c r="AK80" s="21">
        <v>0.25115999999999999</v>
      </c>
      <c r="AL80">
        <f t="shared" si="18"/>
        <v>42.63</v>
      </c>
      <c r="AM80">
        <f t="shared" si="19"/>
        <v>10.765481790000001</v>
      </c>
      <c r="AP80" s="9"/>
      <c r="AQ80" s="21">
        <v>0.277557</v>
      </c>
      <c r="AR80" s="21">
        <v>67.483500000000006</v>
      </c>
      <c r="AS80" s="21">
        <v>-4.2364499999999999E-2</v>
      </c>
      <c r="AT80" s="21">
        <v>70</v>
      </c>
      <c r="AU80" s="21">
        <v>0.27624500000000002</v>
      </c>
      <c r="AV80">
        <f t="shared" si="20"/>
        <v>42.3645</v>
      </c>
      <c r="AW80">
        <f t="shared" si="21"/>
        <v>11.7585635265</v>
      </c>
      <c r="AX80" s="9"/>
      <c r="AY80" s="21">
        <v>0.25253300000000001</v>
      </c>
      <c r="AZ80" s="21">
        <v>70.911100000000005</v>
      </c>
      <c r="BA80" s="21">
        <v>-4.2642199999999998E-2</v>
      </c>
      <c r="BB80" s="21">
        <v>70</v>
      </c>
      <c r="BC80" s="21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0.27252199999999999</v>
      </c>
      <c r="H81" s="21">
        <v>49.858199999999997</v>
      </c>
      <c r="I81" s="21">
        <v>-4.2401099999999997E-2</v>
      </c>
      <c r="J81" s="21">
        <v>71</v>
      </c>
      <c r="K81" s="21">
        <v>0.27114899999999997</v>
      </c>
      <c r="L81">
        <f t="shared" si="12"/>
        <v>42.4011</v>
      </c>
      <c r="M81">
        <f t="shared" si="13"/>
        <v>11.5552325742</v>
      </c>
      <c r="N81" s="9"/>
      <c r="O81" s="21">
        <v>0.25756800000000002</v>
      </c>
      <c r="P81" s="21">
        <v>59.326900000000002</v>
      </c>
      <c r="Q81" s="21">
        <v>-4.2569000000000003E-2</v>
      </c>
      <c r="R81" s="21">
        <v>71</v>
      </c>
      <c r="S81" s="21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1">
        <v>0.27252199999999999</v>
      </c>
      <c r="Z81" s="21">
        <v>62.184399999999997</v>
      </c>
      <c r="AA81" s="21">
        <v>-4.2395000000000002E-2</v>
      </c>
      <c r="AB81" s="21">
        <v>71</v>
      </c>
      <c r="AC81" s="21">
        <v>0.271179</v>
      </c>
      <c r="AD81">
        <f t="shared" si="16"/>
        <v>42.395000000000003</v>
      </c>
      <c r="AE81">
        <f t="shared" si="17"/>
        <v>11.55357019</v>
      </c>
      <c r="AF81" s="9"/>
      <c r="AG81" s="21">
        <v>0.25756800000000002</v>
      </c>
      <c r="AH81" s="21">
        <v>64.834999999999994</v>
      </c>
      <c r="AI81" s="21">
        <v>-4.2571999999999999E-2</v>
      </c>
      <c r="AJ81" s="21">
        <v>71</v>
      </c>
      <c r="AK81" s="21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1">
        <v>0.27252199999999999</v>
      </c>
      <c r="AR81" s="21">
        <v>67.493600000000001</v>
      </c>
      <c r="AS81" s="21">
        <v>-4.2422500000000002E-2</v>
      </c>
      <c r="AT81" s="21">
        <v>71</v>
      </c>
      <c r="AU81" s="21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1">
        <v>0.25756800000000002</v>
      </c>
      <c r="AZ81" s="21">
        <v>70.921199999999999</v>
      </c>
      <c r="BA81" s="21">
        <v>-4.2587300000000002E-2</v>
      </c>
      <c r="BB81" s="21">
        <v>71</v>
      </c>
      <c r="BC81" s="21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0.26748699999999997</v>
      </c>
      <c r="H82" s="21">
        <v>49.868299999999998</v>
      </c>
      <c r="I82" s="21">
        <v>-4.2456099999999997E-2</v>
      </c>
      <c r="J82" s="21">
        <v>72</v>
      </c>
      <c r="K82" s="21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1">
        <v>0.262604</v>
      </c>
      <c r="P82" s="21">
        <v>59.3369</v>
      </c>
      <c r="Q82" s="21">
        <v>-4.2492700000000001E-2</v>
      </c>
      <c r="R82" s="21">
        <v>72</v>
      </c>
      <c r="S82" s="21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1">
        <v>0.26748699999999997</v>
      </c>
      <c r="Z82" s="21">
        <v>62.194499999999998</v>
      </c>
      <c r="AA82" s="21">
        <v>-4.2465200000000002E-2</v>
      </c>
      <c r="AB82" s="21">
        <v>72</v>
      </c>
      <c r="AC82" s="21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1">
        <v>0.262604</v>
      </c>
      <c r="AH82" s="21">
        <v>64.845100000000002</v>
      </c>
      <c r="AI82" s="21">
        <v>-4.2507900000000001E-2</v>
      </c>
      <c r="AJ82" s="21">
        <v>72</v>
      </c>
      <c r="AK82" s="21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1">
        <v>0.26748699999999997</v>
      </c>
      <c r="AR82" s="21">
        <v>67.503699999999995</v>
      </c>
      <c r="AS82" s="21">
        <v>-4.2462199999999999E-2</v>
      </c>
      <c r="AT82" s="21">
        <v>72</v>
      </c>
      <c r="AU82" s="21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1">
        <v>0.262604</v>
      </c>
      <c r="AZ82" s="21">
        <v>70.931200000000004</v>
      </c>
      <c r="BA82" s="21">
        <v>-4.2544600000000002E-2</v>
      </c>
      <c r="BB82" s="21">
        <v>72</v>
      </c>
      <c r="BC82" s="21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0.26245099999999999</v>
      </c>
      <c r="H83" s="21">
        <v>49.878300000000003</v>
      </c>
      <c r="I83" s="21">
        <v>-4.2511E-2</v>
      </c>
      <c r="J83" s="21">
        <v>73</v>
      </c>
      <c r="K83" s="21">
        <v>0.26107799999999998</v>
      </c>
      <c r="L83">
        <f t="shared" si="12"/>
        <v>42.511000000000003</v>
      </c>
      <c r="M83">
        <f t="shared" si="13"/>
        <v>11.157054461</v>
      </c>
      <c r="N83" s="9"/>
      <c r="O83" s="21">
        <v>0.26763900000000002</v>
      </c>
      <c r="P83" s="21">
        <v>59.347000000000001</v>
      </c>
      <c r="Q83" s="21">
        <v>-4.2425499999999998E-2</v>
      </c>
      <c r="R83" s="21">
        <v>73</v>
      </c>
      <c r="S83" s="21">
        <v>0.26632699999999998</v>
      </c>
      <c r="T83">
        <f t="shared" si="14"/>
        <v>42.4255</v>
      </c>
      <c r="U83">
        <f t="shared" si="15"/>
        <v>11.354718394500001</v>
      </c>
      <c r="X83" s="9"/>
      <c r="Y83" s="21">
        <v>0.26245099999999999</v>
      </c>
      <c r="Z83" s="21">
        <v>62.204599999999999</v>
      </c>
      <c r="AA83" s="21">
        <v>-4.2535400000000001E-2</v>
      </c>
      <c r="AB83" s="21">
        <v>73</v>
      </c>
      <c r="AC83" s="21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1">
        <v>0.26763900000000002</v>
      </c>
      <c r="AH83" s="21">
        <v>64.855199999999996</v>
      </c>
      <c r="AI83" s="21">
        <v>-4.2450000000000002E-2</v>
      </c>
      <c r="AJ83" s="21">
        <v>73</v>
      </c>
      <c r="AK83" s="21">
        <v>0.26629599999999998</v>
      </c>
      <c r="AL83">
        <f t="shared" si="18"/>
        <v>42.45</v>
      </c>
      <c r="AM83">
        <f t="shared" si="19"/>
        <v>11.361275550000002</v>
      </c>
      <c r="AP83" s="9"/>
      <c r="AQ83" s="21">
        <v>0.26245099999999999</v>
      </c>
      <c r="AR83" s="21">
        <v>67.5137</v>
      </c>
      <c r="AS83" s="21">
        <v>-4.2504899999999998E-2</v>
      </c>
      <c r="AT83" s="21">
        <v>73</v>
      </c>
      <c r="AU83" s="21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1">
        <v>0.26763900000000002</v>
      </c>
      <c r="AZ83" s="21">
        <v>70.941299999999998</v>
      </c>
      <c r="BA83" s="21">
        <v>-4.2486599999999999E-2</v>
      </c>
      <c r="BB83" s="21">
        <v>73</v>
      </c>
      <c r="BC83" s="21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0.25741599999999998</v>
      </c>
      <c r="H84" s="21">
        <v>49.888399999999997</v>
      </c>
      <c r="I84" s="21">
        <v>-4.2565899999999997E-2</v>
      </c>
      <c r="J84" s="21">
        <v>74</v>
      </c>
      <c r="K84" s="21">
        <v>0.256073</v>
      </c>
      <c r="L84">
        <f t="shared" si="12"/>
        <v>42.565899999999999</v>
      </c>
      <c r="M84">
        <f t="shared" si="13"/>
        <v>10.957143714399999</v>
      </c>
      <c r="N84" s="9"/>
      <c r="O84" s="21">
        <v>0.272675</v>
      </c>
      <c r="P84" s="21">
        <v>59.357100000000003</v>
      </c>
      <c r="Q84" s="21">
        <v>-4.2370600000000001E-2</v>
      </c>
      <c r="R84" s="21">
        <v>74</v>
      </c>
      <c r="S84" s="21">
        <v>0.27133200000000002</v>
      </c>
      <c r="T84">
        <f t="shared" si="14"/>
        <v>42.370600000000003</v>
      </c>
      <c r="U84">
        <f t="shared" si="15"/>
        <v>11.553403355</v>
      </c>
      <c r="X84" s="9"/>
      <c r="Y84" s="21">
        <v>0.25741599999999998</v>
      </c>
      <c r="Z84" s="21">
        <v>62.214700000000001</v>
      </c>
      <c r="AA84" s="21">
        <v>-4.26056E-2</v>
      </c>
      <c r="AB84" s="21">
        <v>74</v>
      </c>
      <c r="AC84" s="21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1">
        <v>0.272675</v>
      </c>
      <c r="AH84" s="21">
        <v>64.865200000000002</v>
      </c>
      <c r="AI84" s="21">
        <v>-4.2379800000000002E-2</v>
      </c>
      <c r="AJ84" s="21">
        <v>74</v>
      </c>
      <c r="AK84" s="21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1">
        <v>0.25741599999999998</v>
      </c>
      <c r="AR84" s="21">
        <v>67.523799999999994</v>
      </c>
      <c r="AS84" s="21">
        <v>-4.2556799999999999E-2</v>
      </c>
      <c r="AT84" s="21">
        <v>74</v>
      </c>
      <c r="AU84" s="21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1">
        <v>0.272675</v>
      </c>
      <c r="AZ84" s="21">
        <v>70.951400000000007</v>
      </c>
      <c r="BA84" s="21">
        <v>-4.2413300000000001E-2</v>
      </c>
      <c r="BB84" s="21">
        <v>74</v>
      </c>
      <c r="BC84" s="21">
        <v>0.27133200000000002</v>
      </c>
      <c r="BD84">
        <f t="shared" si="22"/>
        <v>42.4133</v>
      </c>
      <c r="BE84">
        <f t="shared" si="23"/>
        <v>11.5650465775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0.25237999999999999</v>
      </c>
      <c r="H85" s="21">
        <v>49.898499999999999</v>
      </c>
      <c r="I85" s="21">
        <v>-4.2623899999999999E-2</v>
      </c>
      <c r="J85" s="21">
        <v>75</v>
      </c>
      <c r="K85" s="21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1">
        <v>0.27771000000000001</v>
      </c>
      <c r="P85" s="21">
        <v>59.367100000000001</v>
      </c>
      <c r="Q85" s="21">
        <v>-4.2318700000000001E-2</v>
      </c>
      <c r="R85" s="21">
        <v>75</v>
      </c>
      <c r="S85" s="21">
        <v>0.27642800000000001</v>
      </c>
      <c r="T85">
        <f t="shared" si="14"/>
        <v>42.3187</v>
      </c>
      <c r="U85">
        <f t="shared" si="15"/>
        <v>11.752326177</v>
      </c>
      <c r="X85" s="9"/>
      <c r="Y85" s="21">
        <v>0.25237999999999999</v>
      </c>
      <c r="Z85" s="21">
        <v>62.224699999999999</v>
      </c>
      <c r="AA85" s="21">
        <v>-4.2663600000000003E-2</v>
      </c>
      <c r="AB85" s="21">
        <v>75</v>
      </c>
      <c r="AC85" s="21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1">
        <v>0.27771000000000001</v>
      </c>
      <c r="AH85" s="21">
        <v>64.875299999999996</v>
      </c>
      <c r="AI85" s="21">
        <v>-4.2312599999999999E-2</v>
      </c>
      <c r="AJ85" s="21">
        <v>75</v>
      </c>
      <c r="AK85" s="21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1">
        <v>0.25237999999999999</v>
      </c>
      <c r="AR85" s="21">
        <v>67.533900000000003</v>
      </c>
      <c r="AS85" s="21">
        <v>-4.2611700000000002E-2</v>
      </c>
      <c r="AT85" s="21">
        <v>75</v>
      </c>
      <c r="AU85" s="21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1">
        <v>0.27771000000000001</v>
      </c>
      <c r="AZ85" s="21">
        <v>70.961500000000001</v>
      </c>
      <c r="BA85" s="21">
        <v>-4.2337E-2</v>
      </c>
      <c r="BB85" s="21">
        <v>75</v>
      </c>
      <c r="BC85" s="21">
        <v>0.276337</v>
      </c>
      <c r="BD85">
        <f t="shared" si="22"/>
        <v>42.336999999999996</v>
      </c>
      <c r="BE85">
        <f t="shared" si="23"/>
        <v>11.757408269999999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0.24734500000000001</v>
      </c>
      <c r="H86" s="21">
        <v>49.908499999999997</v>
      </c>
      <c r="I86" s="21">
        <v>-4.2672700000000001E-2</v>
      </c>
      <c r="J86" s="21">
        <v>76</v>
      </c>
      <c r="K86" s="21">
        <v>0.246033</v>
      </c>
      <c r="L86">
        <f t="shared" si="12"/>
        <v>42.672699999999999</v>
      </c>
      <c r="M86">
        <f t="shared" si="13"/>
        <v>10.5548789815</v>
      </c>
      <c r="N86" s="9"/>
      <c r="O86" s="21">
        <v>0.28274500000000002</v>
      </c>
      <c r="P86" s="21">
        <v>59.377200000000002</v>
      </c>
      <c r="Q86" s="21">
        <v>-4.2263799999999997E-2</v>
      </c>
      <c r="R86" s="21">
        <v>76</v>
      </c>
      <c r="S86" s="21">
        <v>0.28143299999999999</v>
      </c>
      <c r="T86">
        <f t="shared" si="14"/>
        <v>42.263799999999996</v>
      </c>
      <c r="U86">
        <f t="shared" si="15"/>
        <v>11.949878131</v>
      </c>
      <c r="X86" s="9"/>
      <c r="Y86" s="21">
        <v>0.24734500000000001</v>
      </c>
      <c r="Z86" s="21">
        <v>62.2348</v>
      </c>
      <c r="AA86" s="21">
        <v>-4.2709400000000002E-2</v>
      </c>
      <c r="AB86" s="21">
        <v>76</v>
      </c>
      <c r="AC86" s="21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1">
        <v>0.28274500000000002</v>
      </c>
      <c r="AH86" s="21">
        <v>64.885400000000004</v>
      </c>
      <c r="AI86" s="21">
        <v>-4.2260699999999998E-2</v>
      </c>
      <c r="AJ86" s="21">
        <v>76</v>
      </c>
      <c r="AK86" s="21">
        <v>0.28131099999999998</v>
      </c>
      <c r="AL86">
        <f t="shared" si="18"/>
        <v>42.2607</v>
      </c>
      <c r="AM86">
        <f t="shared" si="19"/>
        <v>11.949001621500001</v>
      </c>
      <c r="AP86" s="9"/>
      <c r="AQ86" s="21">
        <v>0.24734500000000001</v>
      </c>
      <c r="AR86" s="21">
        <v>67.543899999999994</v>
      </c>
      <c r="AS86" s="21">
        <v>-4.2669699999999998E-2</v>
      </c>
      <c r="AT86" s="21">
        <v>76</v>
      </c>
      <c r="AU86" s="21">
        <v>0.246063</v>
      </c>
      <c r="AV86">
        <f t="shared" si="20"/>
        <v>42.669699999999999</v>
      </c>
      <c r="AW86">
        <f t="shared" si="21"/>
        <v>10.5541369465</v>
      </c>
      <c r="AX86" s="9"/>
      <c r="AY86" s="21">
        <v>0.28274500000000002</v>
      </c>
      <c r="AZ86" s="21">
        <v>70.971500000000006</v>
      </c>
      <c r="BA86" s="21">
        <v>-4.22668E-2</v>
      </c>
      <c r="BB86" s="21">
        <v>76</v>
      </c>
      <c r="BC86" s="21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0.24231</v>
      </c>
      <c r="H87" s="21">
        <v>49.918599999999998</v>
      </c>
      <c r="I87" s="21">
        <v>-4.27185E-2</v>
      </c>
      <c r="J87" s="21">
        <v>77</v>
      </c>
      <c r="K87" s="21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1">
        <v>0.28778100000000001</v>
      </c>
      <c r="P87" s="21">
        <v>59.387300000000003</v>
      </c>
      <c r="Q87" s="21">
        <v>-4.2184399999999997E-2</v>
      </c>
      <c r="R87" s="21">
        <v>77</v>
      </c>
      <c r="S87" s="21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1">
        <v>0.24231</v>
      </c>
      <c r="Z87" s="21">
        <v>62.244900000000001</v>
      </c>
      <c r="AA87" s="21">
        <v>-4.2752100000000001E-2</v>
      </c>
      <c r="AB87" s="21">
        <v>77</v>
      </c>
      <c r="AC87" s="21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1">
        <v>0.28778100000000001</v>
      </c>
      <c r="AH87" s="21">
        <v>64.895399999999995</v>
      </c>
      <c r="AI87" s="21">
        <v>-4.2190600000000002E-2</v>
      </c>
      <c r="AJ87" s="21">
        <v>77</v>
      </c>
      <c r="AK87" s="21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1">
        <v>0.24231</v>
      </c>
      <c r="AR87" s="21">
        <v>67.554000000000002</v>
      </c>
      <c r="AS87" s="21">
        <v>-4.27185E-2</v>
      </c>
      <c r="AT87" s="21">
        <v>77</v>
      </c>
      <c r="AU87" s="21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1">
        <v>0.28778100000000001</v>
      </c>
      <c r="AZ87" s="21">
        <v>70.9816</v>
      </c>
      <c r="BA87" s="21">
        <v>-4.2205800000000002E-2</v>
      </c>
      <c r="BB87" s="21">
        <v>77</v>
      </c>
      <c r="BC87" s="21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0.23727400000000001</v>
      </c>
      <c r="H88" s="21">
        <v>49.928699999999999</v>
      </c>
      <c r="I88" s="21">
        <v>-4.2758200000000003E-2</v>
      </c>
      <c r="J88" s="21">
        <v>78</v>
      </c>
      <c r="K88" s="21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1">
        <v>0.29281600000000002</v>
      </c>
      <c r="P88" s="21">
        <v>59.397399999999998</v>
      </c>
      <c r="Q88" s="21">
        <v>-4.21143E-2</v>
      </c>
      <c r="R88" s="21">
        <v>78</v>
      </c>
      <c r="S88" s="21">
        <v>0.291412</v>
      </c>
      <c r="T88">
        <f t="shared" si="14"/>
        <v>42.1143</v>
      </c>
      <c r="U88">
        <f t="shared" si="15"/>
        <v>12.331740868800001</v>
      </c>
      <c r="X88" s="9"/>
      <c r="Y88" s="21">
        <v>0.23727400000000001</v>
      </c>
      <c r="Z88" s="21">
        <v>62.254899999999999</v>
      </c>
      <c r="AA88" s="21">
        <v>-4.2794800000000001E-2</v>
      </c>
      <c r="AB88" s="21">
        <v>78</v>
      </c>
      <c r="AC88" s="21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1">
        <v>0.29281600000000002</v>
      </c>
      <c r="AH88" s="21">
        <v>64.905500000000004</v>
      </c>
      <c r="AI88" s="21">
        <v>-4.2120400000000002E-2</v>
      </c>
      <c r="AJ88" s="21">
        <v>78</v>
      </c>
      <c r="AK88" s="21">
        <v>0.291412</v>
      </c>
      <c r="AL88">
        <f t="shared" si="18"/>
        <v>42.120400000000004</v>
      </c>
      <c r="AM88">
        <f t="shared" si="19"/>
        <v>12.333527046400002</v>
      </c>
      <c r="AP88" s="9"/>
      <c r="AQ88" s="21">
        <v>0.23727400000000001</v>
      </c>
      <c r="AR88" s="21">
        <v>67.564099999999996</v>
      </c>
      <c r="AS88" s="21">
        <v>-4.2773400000000003E-2</v>
      </c>
      <c r="AT88" s="21">
        <v>78</v>
      </c>
      <c r="AU88" s="21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1">
        <v>0.29281600000000002</v>
      </c>
      <c r="AZ88" s="21">
        <v>70.991699999999994</v>
      </c>
      <c r="BA88" s="21">
        <v>-4.2138700000000001E-2</v>
      </c>
      <c r="BB88" s="21">
        <v>78</v>
      </c>
      <c r="BC88" s="21">
        <v>0.291321</v>
      </c>
      <c r="BD88">
        <f t="shared" si="22"/>
        <v>42.1387</v>
      </c>
      <c r="BE88">
        <f t="shared" si="23"/>
        <v>12.338885579200001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0.232239</v>
      </c>
      <c r="H89" s="21">
        <v>49.938699999999997</v>
      </c>
      <c r="I89" s="21">
        <v>-4.2816199999999999E-2</v>
      </c>
      <c r="J89" s="21">
        <v>79</v>
      </c>
      <c r="K89" s="21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1">
        <v>0.29785200000000001</v>
      </c>
      <c r="P89" s="21">
        <v>59.407400000000003</v>
      </c>
      <c r="Q89" s="21">
        <v>-4.2047099999999997E-2</v>
      </c>
      <c r="R89" s="21">
        <v>79</v>
      </c>
      <c r="S89" s="21">
        <v>0.296539</v>
      </c>
      <c r="T89">
        <f t="shared" si="14"/>
        <v>42.0471</v>
      </c>
      <c r="U89">
        <f t="shared" si="15"/>
        <v>12.523812829200001</v>
      </c>
      <c r="X89" s="9"/>
      <c r="Y89" s="21">
        <v>0.232239</v>
      </c>
      <c r="Z89" s="21">
        <v>62.265000000000001</v>
      </c>
      <c r="AA89" s="21">
        <v>-4.2831399999999999E-2</v>
      </c>
      <c r="AB89" s="21">
        <v>79</v>
      </c>
      <c r="AC89" s="21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1">
        <v>0.29785200000000001</v>
      </c>
      <c r="AH89" s="21">
        <v>64.915599999999998</v>
      </c>
      <c r="AI89" s="21">
        <v>-4.20624E-2</v>
      </c>
      <c r="AJ89" s="21">
        <v>79</v>
      </c>
      <c r="AK89" s="21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1">
        <v>0.232239</v>
      </c>
      <c r="AR89" s="21">
        <v>67.574200000000005</v>
      </c>
      <c r="AS89" s="21">
        <v>-4.28131E-2</v>
      </c>
      <c r="AT89" s="21">
        <v>79</v>
      </c>
      <c r="AU89" s="21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1">
        <v>0.29785200000000001</v>
      </c>
      <c r="AZ89" s="21">
        <v>71.0017</v>
      </c>
      <c r="BA89" s="21">
        <v>-4.2068500000000002E-2</v>
      </c>
      <c r="BB89" s="21">
        <v>79</v>
      </c>
      <c r="BC89" s="21">
        <v>0.29644799999999999</v>
      </c>
      <c r="BD89">
        <f t="shared" si="22"/>
        <v>42.0685</v>
      </c>
      <c r="BE89">
        <f t="shared" si="23"/>
        <v>12.530186862000001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0.22720299999999999</v>
      </c>
      <c r="H90" s="21">
        <v>49.948799999999999</v>
      </c>
      <c r="I90" s="21">
        <v>-4.2865E-2</v>
      </c>
      <c r="J90" s="21">
        <v>80</v>
      </c>
      <c r="K90" s="21">
        <v>0.225769</v>
      </c>
      <c r="L90">
        <f t="shared" si="12"/>
        <v>42.865000000000002</v>
      </c>
      <c r="M90">
        <f t="shared" si="13"/>
        <v>9.7390565949999992</v>
      </c>
      <c r="N90" s="9"/>
      <c r="O90" s="21">
        <v>0.30288700000000002</v>
      </c>
      <c r="P90" s="21">
        <v>59.417499999999997</v>
      </c>
      <c r="Q90" s="21">
        <v>-4.1976899999999998E-2</v>
      </c>
      <c r="R90" s="21">
        <v>80</v>
      </c>
      <c r="S90" s="21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1">
        <v>0.22720299999999999</v>
      </c>
      <c r="Z90" s="21">
        <v>62.275100000000002</v>
      </c>
      <c r="AA90" s="21">
        <v>-4.2871100000000002E-2</v>
      </c>
      <c r="AB90" s="21">
        <v>80</v>
      </c>
      <c r="AC90" s="21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1">
        <v>0.30288700000000002</v>
      </c>
      <c r="AH90" s="21">
        <v>64.925700000000006</v>
      </c>
      <c r="AI90" s="21">
        <v>-4.1982999999999999E-2</v>
      </c>
      <c r="AJ90" s="21">
        <v>80</v>
      </c>
      <c r="AK90" s="21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1">
        <v>0.22720299999999999</v>
      </c>
      <c r="AR90" s="21">
        <v>67.584199999999996</v>
      </c>
      <c r="AS90" s="21">
        <v>-4.2858899999999998E-2</v>
      </c>
      <c r="AT90" s="21">
        <v>80</v>
      </c>
      <c r="AU90" s="21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1">
        <v>0.30288700000000002</v>
      </c>
      <c r="AZ90" s="21">
        <v>71.011799999999994</v>
      </c>
      <c r="BA90" s="21">
        <v>-4.1989100000000001E-2</v>
      </c>
      <c r="BB90" s="21">
        <v>80</v>
      </c>
      <c r="BC90" s="21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0.222168</v>
      </c>
      <c r="H91" s="21">
        <v>49.9589</v>
      </c>
      <c r="I91" s="21">
        <v>-4.2904699999999997E-2</v>
      </c>
      <c r="J91" s="21">
        <v>81</v>
      </c>
      <c r="K91" s="21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1">
        <v>0.30792199999999997</v>
      </c>
      <c r="P91" s="21">
        <v>59.427599999999998</v>
      </c>
      <c r="Q91" s="21">
        <v>-4.1903700000000002E-2</v>
      </c>
      <c r="R91" s="21">
        <v>81</v>
      </c>
      <c r="S91" s="21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1">
        <v>0.222168</v>
      </c>
      <c r="Z91" s="21">
        <v>62.2851</v>
      </c>
      <c r="AA91" s="21">
        <v>-4.2904699999999997E-2</v>
      </c>
      <c r="AB91" s="21">
        <v>81</v>
      </c>
      <c r="AC91" s="21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1">
        <v>0.30792199999999997</v>
      </c>
      <c r="AH91" s="21">
        <v>64.935699999999997</v>
      </c>
      <c r="AI91" s="21">
        <v>-4.1915899999999999E-2</v>
      </c>
      <c r="AJ91" s="21">
        <v>81</v>
      </c>
      <c r="AK91" s="21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1">
        <v>0.222168</v>
      </c>
      <c r="AR91" s="21">
        <v>67.594300000000004</v>
      </c>
      <c r="AS91" s="21">
        <v>-4.2904699999999997E-2</v>
      </c>
      <c r="AT91" s="21">
        <v>81</v>
      </c>
      <c r="AU91" s="21">
        <v>0.220886</v>
      </c>
      <c r="AV91">
        <f t="shared" si="20"/>
        <v>42.904699999999998</v>
      </c>
      <c r="AW91">
        <f t="shared" si="21"/>
        <v>9.5320513895999994</v>
      </c>
      <c r="AX91" s="9"/>
      <c r="AY91" s="21">
        <v>0.30792199999999997</v>
      </c>
      <c r="AZ91" s="21">
        <v>71.021900000000002</v>
      </c>
      <c r="BA91" s="21">
        <v>-4.1922000000000001E-2</v>
      </c>
      <c r="BB91" s="21">
        <v>81</v>
      </c>
      <c r="BC91" s="21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0.21713299999999999</v>
      </c>
      <c r="H92" s="21">
        <v>49.969000000000001</v>
      </c>
      <c r="I92" s="21">
        <v>-4.2941300000000002E-2</v>
      </c>
      <c r="J92" s="21">
        <v>82</v>
      </c>
      <c r="K92" s="21">
        <v>0.215729</v>
      </c>
      <c r="L92">
        <f t="shared" si="12"/>
        <v>42.941299999999998</v>
      </c>
      <c r="M92">
        <f t="shared" si="13"/>
        <v>9.3239732928999999</v>
      </c>
      <c r="N92" s="9"/>
      <c r="O92" s="21">
        <v>0.31295800000000001</v>
      </c>
      <c r="P92" s="21">
        <v>59.437600000000003</v>
      </c>
      <c r="Q92" s="21">
        <v>-4.1821299999999999E-2</v>
      </c>
      <c r="R92" s="21">
        <v>82</v>
      </c>
      <c r="S92" s="21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1">
        <v>0.21713299999999999</v>
      </c>
      <c r="Z92" s="21">
        <v>62.295200000000001</v>
      </c>
      <c r="AA92" s="21">
        <v>-4.2944299999999998E-2</v>
      </c>
      <c r="AB92" s="21">
        <v>82</v>
      </c>
      <c r="AC92" s="21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1">
        <v>0.31295800000000001</v>
      </c>
      <c r="AH92" s="21">
        <v>64.945800000000006</v>
      </c>
      <c r="AI92" s="21">
        <v>-4.1833500000000003E-2</v>
      </c>
      <c r="AJ92" s="21">
        <v>82</v>
      </c>
      <c r="AK92" s="21">
        <v>0.311554</v>
      </c>
      <c r="AL92">
        <f t="shared" si="18"/>
        <v>41.833500000000001</v>
      </c>
      <c r="AM92">
        <f t="shared" si="19"/>
        <v>13.092128493000001</v>
      </c>
      <c r="AP92" s="9"/>
      <c r="AQ92" s="21">
        <v>0.21713299999999999</v>
      </c>
      <c r="AR92" s="21">
        <v>67.604399999999998</v>
      </c>
      <c r="AS92" s="21">
        <v>-4.2941300000000002E-2</v>
      </c>
      <c r="AT92" s="21">
        <v>82</v>
      </c>
      <c r="AU92" s="21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1">
        <v>0.31295800000000001</v>
      </c>
      <c r="AZ92" s="21">
        <v>71.031999999999996</v>
      </c>
      <c r="BA92" s="21">
        <v>-4.1839599999999998E-2</v>
      </c>
      <c r="BB92" s="21">
        <v>82</v>
      </c>
      <c r="BC92" s="21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0.21209700000000001</v>
      </c>
      <c r="H93" s="21">
        <v>49.978999999999999</v>
      </c>
      <c r="I93" s="21">
        <v>-4.2968800000000001E-2</v>
      </c>
      <c r="J93" s="21">
        <v>83</v>
      </c>
      <c r="K93" s="21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1">
        <v>0.31799300000000003</v>
      </c>
      <c r="P93" s="21">
        <v>59.447699999999998</v>
      </c>
      <c r="Q93" s="21">
        <v>-4.1744999999999997E-2</v>
      </c>
      <c r="R93" s="21">
        <v>83</v>
      </c>
      <c r="S93" s="21">
        <v>0.31664999999999999</v>
      </c>
      <c r="T93">
        <f t="shared" si="14"/>
        <v>41.744999999999997</v>
      </c>
      <c r="U93">
        <f t="shared" si="15"/>
        <v>13.274617785</v>
      </c>
      <c r="X93" s="9"/>
      <c r="Y93" s="21">
        <v>0.21209700000000001</v>
      </c>
      <c r="Z93" s="21">
        <v>62.305300000000003</v>
      </c>
      <c r="AA93" s="21">
        <v>-4.29871E-2</v>
      </c>
      <c r="AB93" s="21">
        <v>83</v>
      </c>
      <c r="AC93" s="21">
        <v>0.210754</v>
      </c>
      <c r="AD93">
        <f t="shared" si="16"/>
        <v>42.987099999999998</v>
      </c>
      <c r="AE93">
        <f t="shared" si="17"/>
        <v>9.1174349486999997</v>
      </c>
      <c r="AF93" s="9"/>
      <c r="AG93" s="21">
        <v>0.31799300000000003</v>
      </c>
      <c r="AH93" s="21">
        <v>64.9559</v>
      </c>
      <c r="AI93" s="21">
        <v>-4.1744999999999997E-2</v>
      </c>
      <c r="AJ93" s="21">
        <v>83</v>
      </c>
      <c r="AK93" s="21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1">
        <v>0.21209700000000001</v>
      </c>
      <c r="AR93" s="21">
        <v>67.614400000000003</v>
      </c>
      <c r="AS93" s="21">
        <v>-4.2984000000000001E-2</v>
      </c>
      <c r="AT93" s="21">
        <v>83</v>
      </c>
      <c r="AU93" s="21">
        <v>0.210754</v>
      </c>
      <c r="AV93">
        <f t="shared" si="20"/>
        <v>42.984000000000002</v>
      </c>
      <c r="AW93">
        <f t="shared" si="21"/>
        <v>9.1167774480000006</v>
      </c>
      <c r="AX93" s="9"/>
      <c r="AY93" s="21">
        <v>0.31799300000000003</v>
      </c>
      <c r="AZ93" s="21">
        <v>71.042000000000002</v>
      </c>
      <c r="BA93" s="21">
        <v>-4.1766400000000002E-2</v>
      </c>
      <c r="BB93" s="21">
        <v>83</v>
      </c>
      <c r="BC93" s="21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0.207062</v>
      </c>
      <c r="H94" s="21">
        <v>49.989100000000001</v>
      </c>
      <c r="I94" s="21">
        <v>-4.3011500000000001E-2</v>
      </c>
      <c r="J94" s="21">
        <v>84</v>
      </c>
      <c r="K94" s="21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1">
        <v>0.32302900000000001</v>
      </c>
      <c r="P94" s="21">
        <v>59.457799999999999</v>
      </c>
      <c r="Q94" s="21">
        <v>-4.1656499999999999E-2</v>
      </c>
      <c r="R94" s="21">
        <v>84</v>
      </c>
      <c r="S94" s="21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1">
        <v>0.207062</v>
      </c>
      <c r="Z94" s="21">
        <v>62.315399999999997</v>
      </c>
      <c r="AA94" s="21">
        <v>-4.3035900000000002E-2</v>
      </c>
      <c r="AB94" s="21">
        <v>84</v>
      </c>
      <c r="AC94" s="21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1">
        <v>0.32302900000000001</v>
      </c>
      <c r="AH94" s="21">
        <v>64.965900000000005</v>
      </c>
      <c r="AI94" s="21">
        <v>-4.1665599999999997E-2</v>
      </c>
      <c r="AJ94" s="21">
        <v>84</v>
      </c>
      <c r="AK94" s="21">
        <v>0.321716</v>
      </c>
      <c r="AL94">
        <f t="shared" si="18"/>
        <v>41.665599999999998</v>
      </c>
      <c r="AM94">
        <f t="shared" si="19"/>
        <v>13.459197102399999</v>
      </c>
      <c r="AP94" s="9"/>
      <c r="AQ94" s="21">
        <v>0.207062</v>
      </c>
      <c r="AR94" s="21">
        <v>67.624499999999998</v>
      </c>
      <c r="AS94" s="21">
        <v>-4.3020599999999999E-2</v>
      </c>
      <c r="AT94" s="21">
        <v>84</v>
      </c>
      <c r="AU94" s="21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1">
        <v>0.32302900000000001</v>
      </c>
      <c r="AZ94" s="21">
        <v>71.052099999999996</v>
      </c>
      <c r="BA94" s="21">
        <v>-4.1702299999999998E-2</v>
      </c>
      <c r="BB94" s="21">
        <v>84</v>
      </c>
      <c r="BC94" s="21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0.20202600000000001</v>
      </c>
      <c r="H95" s="21">
        <v>49.999200000000002</v>
      </c>
      <c r="I95" s="21">
        <v>-4.3051100000000002E-2</v>
      </c>
      <c r="J95" s="21">
        <v>85</v>
      </c>
      <c r="K95" s="21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1">
        <v>0.32806400000000002</v>
      </c>
      <c r="P95" s="21">
        <v>59.4679</v>
      </c>
      <c r="Q95" s="21">
        <v>-4.1574100000000003E-2</v>
      </c>
      <c r="R95" s="21">
        <v>85</v>
      </c>
      <c r="S95" s="21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1">
        <v>0.20202600000000001</v>
      </c>
      <c r="Z95" s="21">
        <v>62.325400000000002</v>
      </c>
      <c r="AA95" s="21">
        <v>-4.3084699999999997E-2</v>
      </c>
      <c r="AB95" s="21">
        <v>85</v>
      </c>
      <c r="AC95" s="21">
        <v>0.200684</v>
      </c>
      <c r="AD95">
        <f t="shared" si="16"/>
        <v>43.084699999999998</v>
      </c>
      <c r="AE95">
        <f t="shared" si="17"/>
        <v>8.7042296021999999</v>
      </c>
      <c r="AF95" s="9"/>
      <c r="AG95" s="21">
        <v>0.32806400000000002</v>
      </c>
      <c r="AH95" s="21">
        <v>64.975999999999999</v>
      </c>
      <c r="AI95" s="21">
        <v>-4.1580199999999998E-2</v>
      </c>
      <c r="AJ95" s="21">
        <v>85</v>
      </c>
      <c r="AK95" s="21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1">
        <v>0.20202600000000001</v>
      </c>
      <c r="AR95" s="21">
        <v>67.634600000000006</v>
      </c>
      <c r="AS95" s="21">
        <v>-4.30573E-2</v>
      </c>
      <c r="AT95" s="21">
        <v>85</v>
      </c>
      <c r="AU95" s="21">
        <v>0.200714</v>
      </c>
      <c r="AV95">
        <f t="shared" si="20"/>
        <v>43.057299999999998</v>
      </c>
      <c r="AW95">
        <f t="shared" si="21"/>
        <v>8.6986940898</v>
      </c>
      <c r="AX95" s="9"/>
      <c r="AY95" s="21">
        <v>0.32806400000000002</v>
      </c>
      <c r="AZ95" s="21">
        <v>71.062200000000004</v>
      </c>
      <c r="BA95" s="21">
        <v>-4.1628999999999999E-2</v>
      </c>
      <c r="BB95" s="21">
        <v>85</v>
      </c>
      <c r="BC95" s="21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0.196991</v>
      </c>
      <c r="H96" s="21">
        <v>50.0092</v>
      </c>
      <c r="I96" s="21">
        <v>-4.3090799999999999E-2</v>
      </c>
      <c r="J96" s="21">
        <v>86</v>
      </c>
      <c r="K96" s="21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1">
        <v>0.33309899999999998</v>
      </c>
      <c r="P96" s="21">
        <v>59.477899999999998</v>
      </c>
      <c r="Q96" s="21">
        <v>-4.14886E-2</v>
      </c>
      <c r="R96" s="21">
        <v>86</v>
      </c>
      <c r="S96" s="21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1">
        <v>0.196991</v>
      </c>
      <c r="Z96" s="21">
        <v>62.335500000000003</v>
      </c>
      <c r="AA96" s="21">
        <v>-4.3121300000000001E-2</v>
      </c>
      <c r="AB96" s="21">
        <v>86</v>
      </c>
      <c r="AC96" s="21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1">
        <v>0.33309899999999998</v>
      </c>
      <c r="AH96" s="21">
        <v>64.986099999999993</v>
      </c>
      <c r="AI96" s="21">
        <v>-4.1503900000000003E-2</v>
      </c>
      <c r="AJ96" s="21">
        <v>86</v>
      </c>
      <c r="AK96" s="21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1">
        <v>0.196991</v>
      </c>
      <c r="AR96" s="21">
        <v>67.6447</v>
      </c>
      <c r="AS96" s="21">
        <v>-4.30969E-2</v>
      </c>
      <c r="AT96" s="21">
        <v>86</v>
      </c>
      <c r="AU96" s="21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1">
        <v>0.33309899999999998</v>
      </c>
      <c r="AZ96" s="21">
        <v>71.072199999999995</v>
      </c>
      <c r="BA96" s="21">
        <v>-4.1546600000000003E-2</v>
      </c>
      <c r="BB96" s="21">
        <v>86</v>
      </c>
      <c r="BC96" s="21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0.19195599999999999</v>
      </c>
      <c r="H97" s="21">
        <v>50.019300000000001</v>
      </c>
      <c r="I97" s="21">
        <v>-4.31396E-2</v>
      </c>
      <c r="J97" s="21">
        <v>87</v>
      </c>
      <c r="K97" s="21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1">
        <v>0.33813500000000002</v>
      </c>
      <c r="P97" s="21">
        <v>59.488</v>
      </c>
      <c r="Q97" s="21">
        <v>-4.1387899999999998E-2</v>
      </c>
      <c r="R97" s="21">
        <v>87</v>
      </c>
      <c r="S97" s="21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1">
        <v>0.19195599999999999</v>
      </c>
      <c r="Z97" s="21">
        <v>62.345599999999997</v>
      </c>
      <c r="AA97" s="21">
        <v>-4.3164099999999997E-2</v>
      </c>
      <c r="AB97" s="21">
        <v>87</v>
      </c>
      <c r="AC97" s="21">
        <v>0.190613</v>
      </c>
      <c r="AD97">
        <f t="shared" si="16"/>
        <v>43.164099999999998</v>
      </c>
      <c r="AE97">
        <f t="shared" si="17"/>
        <v>8.2856079795999982</v>
      </c>
      <c r="AF97" s="9"/>
      <c r="AG97" s="21">
        <v>0.33813500000000002</v>
      </c>
      <c r="AH97" s="21">
        <v>64.996099999999998</v>
      </c>
      <c r="AI97" s="21">
        <v>-4.1418499999999997E-2</v>
      </c>
      <c r="AJ97" s="21">
        <v>87</v>
      </c>
      <c r="AK97" s="21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1">
        <v>0.19195599999999999</v>
      </c>
      <c r="AR97" s="21">
        <v>67.654700000000005</v>
      </c>
      <c r="AS97" s="21">
        <v>-4.31244E-2</v>
      </c>
      <c r="AT97" s="21">
        <v>87</v>
      </c>
      <c r="AU97" s="21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1">
        <v>0.33813500000000002</v>
      </c>
      <c r="AZ97" s="21">
        <v>71.082300000000004</v>
      </c>
      <c r="BA97" s="21">
        <v>-4.1455100000000002E-2</v>
      </c>
      <c r="BB97" s="21">
        <v>87</v>
      </c>
      <c r="BC97" s="21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0.18692</v>
      </c>
      <c r="H98" s="21">
        <v>50.029400000000003</v>
      </c>
      <c r="I98" s="21">
        <v>-4.3176300000000001E-2</v>
      </c>
      <c r="J98" s="21">
        <v>88</v>
      </c>
      <c r="K98" s="21">
        <v>0.185608</v>
      </c>
      <c r="L98">
        <f t="shared" si="12"/>
        <v>43.176299999999998</v>
      </c>
      <c r="M98">
        <f t="shared" si="13"/>
        <v>8.070513995999999</v>
      </c>
      <c r="N98" s="9"/>
      <c r="O98" s="21">
        <v>0.34316999999999998</v>
      </c>
      <c r="P98" s="21">
        <v>59.498100000000001</v>
      </c>
      <c r="Q98" s="21">
        <v>-4.1293299999999998E-2</v>
      </c>
      <c r="R98" s="21">
        <v>88</v>
      </c>
      <c r="S98" s="21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1">
        <v>0.18692</v>
      </c>
      <c r="Z98" s="21">
        <v>62.355600000000003</v>
      </c>
      <c r="AA98" s="21">
        <v>-4.3197600000000003E-2</v>
      </c>
      <c r="AB98" s="21">
        <v>88</v>
      </c>
      <c r="AC98" s="21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1">
        <v>0.34316999999999998</v>
      </c>
      <c r="AH98" s="21">
        <v>65.006200000000007</v>
      </c>
      <c r="AI98" s="21">
        <v>-4.1339099999999997E-2</v>
      </c>
      <c r="AJ98" s="21">
        <v>88</v>
      </c>
      <c r="AK98" s="21">
        <v>0.341858</v>
      </c>
      <c r="AL98">
        <f t="shared" si="18"/>
        <v>41.339099999999995</v>
      </c>
      <c r="AM98">
        <f t="shared" si="19"/>
        <v>14.186338946999998</v>
      </c>
      <c r="AP98" s="9"/>
      <c r="AQ98" s="21">
        <v>0.18692</v>
      </c>
      <c r="AR98" s="21">
        <v>67.6648</v>
      </c>
      <c r="AS98" s="21">
        <v>-4.3158000000000002E-2</v>
      </c>
      <c r="AT98" s="21">
        <v>88</v>
      </c>
      <c r="AU98" s="21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1">
        <v>0.34316999999999998</v>
      </c>
      <c r="AZ98" s="21">
        <v>71.092399999999998</v>
      </c>
      <c r="BA98" s="21">
        <v>-4.1354399999999999E-2</v>
      </c>
      <c r="BB98" s="21">
        <v>88</v>
      </c>
      <c r="BC98" s="21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0.18188499999999999</v>
      </c>
      <c r="H99" s="21">
        <v>50.039499999999997</v>
      </c>
      <c r="I99" s="21">
        <v>-4.31946E-2</v>
      </c>
      <c r="J99" s="21">
        <v>89</v>
      </c>
      <c r="K99" s="21">
        <v>0.18057300000000001</v>
      </c>
      <c r="L99">
        <f t="shared" si="12"/>
        <v>43.194600000000001</v>
      </c>
      <c r="M99">
        <f t="shared" si="13"/>
        <v>7.856449821</v>
      </c>
      <c r="N99" s="9"/>
      <c r="O99" s="21">
        <v>0.34820600000000002</v>
      </c>
      <c r="P99" s="21">
        <v>59.508099999999999</v>
      </c>
      <c r="Q99" s="21">
        <v>-4.1195700000000002E-2</v>
      </c>
      <c r="R99" s="21">
        <v>89</v>
      </c>
      <c r="S99" s="21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1">
        <v>0.18188499999999999</v>
      </c>
      <c r="Z99" s="21">
        <v>62.365699999999997</v>
      </c>
      <c r="AA99" s="21">
        <v>-4.3212899999999999E-2</v>
      </c>
      <c r="AB99" s="21">
        <v>89</v>
      </c>
      <c r="AC99" s="21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1">
        <v>0.34820600000000002</v>
      </c>
      <c r="AH99" s="21">
        <v>65.016300000000001</v>
      </c>
      <c r="AI99" s="21">
        <v>-4.1253699999999997E-2</v>
      </c>
      <c r="AJ99" s="21">
        <v>89</v>
      </c>
      <c r="AK99" s="21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1">
        <v>0.18188499999999999</v>
      </c>
      <c r="AR99" s="21">
        <v>67.674899999999994</v>
      </c>
      <c r="AS99" s="21">
        <v>-4.3185399999999999E-2</v>
      </c>
      <c r="AT99" s="21">
        <v>89</v>
      </c>
      <c r="AU99" s="21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1">
        <v>0.34820600000000002</v>
      </c>
      <c r="AZ99" s="21">
        <v>71.102400000000003</v>
      </c>
      <c r="BA99" s="21">
        <v>-4.1268899999999997E-2</v>
      </c>
      <c r="BB99" s="21">
        <v>89</v>
      </c>
      <c r="BC99" s="21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0.17684900000000001</v>
      </c>
      <c r="H100" s="21">
        <v>50.049500000000002</v>
      </c>
      <c r="I100" s="21">
        <v>-4.3206799999999997E-2</v>
      </c>
      <c r="J100" s="21">
        <v>90</v>
      </c>
      <c r="K100" s="21">
        <v>0.175507</v>
      </c>
      <c r="L100">
        <f t="shared" si="12"/>
        <v>43.206799999999994</v>
      </c>
      <c r="M100">
        <f t="shared" si="13"/>
        <v>7.6410793731999993</v>
      </c>
      <c r="N100" s="9"/>
      <c r="O100" s="21">
        <v>0.35324100000000003</v>
      </c>
      <c r="P100" s="21">
        <v>59.5182</v>
      </c>
      <c r="Q100" s="21">
        <v>-4.11102E-2</v>
      </c>
      <c r="R100" s="21">
        <v>90</v>
      </c>
      <c r="S100" s="21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1">
        <v>0.17684900000000001</v>
      </c>
      <c r="Z100" s="21">
        <v>62.375799999999998</v>
      </c>
      <c r="AA100" s="21">
        <v>-4.3237299999999999E-2</v>
      </c>
      <c r="AB100" s="21">
        <v>90</v>
      </c>
      <c r="AC100" s="21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1">
        <v>0.35324100000000003</v>
      </c>
      <c r="AH100" s="21">
        <v>65.026399999999995</v>
      </c>
      <c r="AI100" s="21">
        <v>-4.11469E-2</v>
      </c>
      <c r="AJ100" s="21">
        <v>90</v>
      </c>
      <c r="AK100" s="21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1">
        <v>0.17684900000000001</v>
      </c>
      <c r="AR100" s="21">
        <v>67.684899999999999</v>
      </c>
      <c r="AS100" s="21">
        <v>-4.3215900000000002E-2</v>
      </c>
      <c r="AT100" s="21">
        <v>90</v>
      </c>
      <c r="AU100" s="21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1">
        <v>0.35324100000000003</v>
      </c>
      <c r="AZ100" s="21">
        <v>71.112499999999997</v>
      </c>
      <c r="BA100" s="21">
        <v>-4.1168200000000002E-2</v>
      </c>
      <c r="BB100" s="21">
        <v>90</v>
      </c>
      <c r="BC100" s="21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0.17181399999999999</v>
      </c>
      <c r="H101" s="21">
        <v>50.059600000000003</v>
      </c>
      <c r="I101" s="21">
        <v>-4.3225100000000002E-2</v>
      </c>
      <c r="J101" s="21">
        <v>91</v>
      </c>
      <c r="K101" s="21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1">
        <v>0.35827599999999998</v>
      </c>
      <c r="P101" s="21">
        <v>59.528300000000002</v>
      </c>
      <c r="Q101" s="21">
        <v>-4.1021700000000001E-2</v>
      </c>
      <c r="R101" s="21">
        <v>91</v>
      </c>
      <c r="S101" s="21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1">
        <v>0.17181399999999999</v>
      </c>
      <c r="Z101" s="21">
        <v>62.385899999999999</v>
      </c>
      <c r="AA101" s="21">
        <v>-4.3255599999999998E-2</v>
      </c>
      <c r="AB101" s="21">
        <v>91</v>
      </c>
      <c r="AC101" s="21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1">
        <v>0.35827599999999998</v>
      </c>
      <c r="AH101" s="21">
        <v>65.0364</v>
      </c>
      <c r="AI101" s="21">
        <v>-4.1046100000000002E-2</v>
      </c>
      <c r="AJ101" s="21">
        <v>91</v>
      </c>
      <c r="AK101" s="21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1">
        <v>0.17181399999999999</v>
      </c>
      <c r="AR101" s="21">
        <v>67.694999999999993</v>
      </c>
      <c r="AS101" s="21">
        <v>-4.3243400000000001E-2</v>
      </c>
      <c r="AT101" s="21">
        <v>91</v>
      </c>
      <c r="AU101" s="21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1">
        <v>0.35827599999999998</v>
      </c>
      <c r="AZ101" s="21">
        <v>71.122600000000006</v>
      </c>
      <c r="BA101" s="21">
        <v>-4.10675E-2</v>
      </c>
      <c r="BB101" s="21">
        <v>91</v>
      </c>
      <c r="BC101" s="21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0.16677900000000001</v>
      </c>
      <c r="H102" s="21">
        <v>50.069699999999997</v>
      </c>
      <c r="I102" s="21">
        <v>-4.32465E-2</v>
      </c>
      <c r="J102" s="21">
        <v>92</v>
      </c>
      <c r="K102" s="21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1">
        <v>0.36331200000000002</v>
      </c>
      <c r="P102" s="21">
        <v>59.538400000000003</v>
      </c>
      <c r="Q102" s="21">
        <v>-4.0918000000000003E-2</v>
      </c>
      <c r="R102" s="21">
        <v>92</v>
      </c>
      <c r="S102" s="21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1">
        <v>0.16677900000000001</v>
      </c>
      <c r="Z102" s="21">
        <v>62.395899999999997</v>
      </c>
      <c r="AA102" s="21">
        <v>-4.3283099999999998E-2</v>
      </c>
      <c r="AB102" s="21">
        <v>92</v>
      </c>
      <c r="AC102" s="21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1">
        <v>0.36331200000000002</v>
      </c>
      <c r="AH102" s="21">
        <v>65.046499999999995</v>
      </c>
      <c r="AI102" s="21">
        <v>-4.09454E-2</v>
      </c>
      <c r="AJ102" s="21">
        <v>92</v>
      </c>
      <c r="AK102" s="21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1">
        <v>0.16677900000000001</v>
      </c>
      <c r="AR102" s="21">
        <v>67.705100000000002</v>
      </c>
      <c r="AS102" s="21">
        <v>-4.3273899999999997E-2</v>
      </c>
      <c r="AT102" s="21">
        <v>92</v>
      </c>
      <c r="AU102" s="21">
        <v>0.165466</v>
      </c>
      <c r="AV102">
        <f t="shared" si="20"/>
        <v>43.273899999999998</v>
      </c>
      <c r="AW102">
        <f t="shared" si="21"/>
        <v>7.2171777681</v>
      </c>
      <c r="AX102" s="9"/>
      <c r="AY102" s="21">
        <v>0.36331200000000002</v>
      </c>
      <c r="AZ102" s="21">
        <v>71.1327</v>
      </c>
      <c r="BA102" s="21">
        <v>-4.0960700000000003E-2</v>
      </c>
      <c r="BB102" s="21">
        <v>92</v>
      </c>
      <c r="BC102" s="21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0.161743</v>
      </c>
      <c r="H103" s="21">
        <v>50.079700000000003</v>
      </c>
      <c r="I103" s="21">
        <v>-4.3267800000000002E-2</v>
      </c>
      <c r="J103" s="21">
        <v>93</v>
      </c>
      <c r="K103" s="21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1">
        <v>0.36834699999999998</v>
      </c>
      <c r="P103" s="21">
        <v>59.548400000000001</v>
      </c>
      <c r="Q103" s="21">
        <v>-4.0820299999999997E-2</v>
      </c>
      <c r="R103" s="21">
        <v>93</v>
      </c>
      <c r="S103" s="21">
        <v>0.367004</v>
      </c>
      <c r="T103">
        <f t="shared" si="14"/>
        <v>40.820299999999996</v>
      </c>
      <c r="U103">
        <f t="shared" si="15"/>
        <v>15.036035044099998</v>
      </c>
      <c r="X103" s="9"/>
      <c r="Y103" s="21">
        <v>0.161743</v>
      </c>
      <c r="Z103" s="21">
        <v>62.405999999999999</v>
      </c>
      <c r="AA103" s="21">
        <v>-4.33044E-2</v>
      </c>
      <c r="AB103" s="21">
        <v>93</v>
      </c>
      <c r="AC103" s="21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1">
        <v>0.36834699999999998</v>
      </c>
      <c r="AH103" s="21">
        <v>65.056600000000003</v>
      </c>
      <c r="AI103" s="21">
        <v>-4.0841700000000002E-2</v>
      </c>
      <c r="AJ103" s="21">
        <v>93</v>
      </c>
      <c r="AK103" s="21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1">
        <v>0.161743</v>
      </c>
      <c r="AR103" s="21">
        <v>67.715100000000007</v>
      </c>
      <c r="AS103" s="21">
        <v>-4.3286100000000001E-2</v>
      </c>
      <c r="AT103" s="21">
        <v>93</v>
      </c>
      <c r="AU103" s="21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1">
        <v>0.36834699999999998</v>
      </c>
      <c r="AZ103" s="21">
        <v>71.142700000000005</v>
      </c>
      <c r="BA103" s="21">
        <v>-4.08508E-2</v>
      </c>
      <c r="BB103" s="21">
        <v>93</v>
      </c>
      <c r="BC103" s="21">
        <v>0.367035</v>
      </c>
      <c r="BD103">
        <f t="shared" si="22"/>
        <v>40.8508</v>
      </c>
      <c r="BE103">
        <f t="shared" si="23"/>
        <v>15.047269627599999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0.15670799999999999</v>
      </c>
      <c r="H104" s="21">
        <v>50.089799999999997</v>
      </c>
      <c r="I104" s="21">
        <v>-4.3292200000000003E-2</v>
      </c>
      <c r="J104" s="21">
        <v>94</v>
      </c>
      <c r="K104" s="21">
        <v>0.155365</v>
      </c>
      <c r="L104">
        <f t="shared" si="12"/>
        <v>43.292200000000001</v>
      </c>
      <c r="M104">
        <f t="shared" si="13"/>
        <v>6.7842340775999999</v>
      </c>
      <c r="N104" s="9"/>
      <c r="O104" s="21">
        <v>0.37338300000000002</v>
      </c>
      <c r="P104" s="21">
        <v>59.558500000000002</v>
      </c>
      <c r="Q104" s="21">
        <v>-4.0710400000000001E-2</v>
      </c>
      <c r="R104" s="21">
        <v>94</v>
      </c>
      <c r="S104" s="21">
        <v>0.371979</v>
      </c>
      <c r="T104">
        <f t="shared" si="14"/>
        <v>40.7104</v>
      </c>
      <c r="U104">
        <f t="shared" si="15"/>
        <v>15.2005712832</v>
      </c>
      <c r="X104" s="9"/>
      <c r="Y104" s="21">
        <v>0.15670799999999999</v>
      </c>
      <c r="Z104" s="21">
        <v>62.4161</v>
      </c>
      <c r="AA104" s="21">
        <v>-4.33167E-2</v>
      </c>
      <c r="AB104" s="21">
        <v>94</v>
      </c>
      <c r="AC104" s="21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1">
        <v>0.37338300000000002</v>
      </c>
      <c r="AH104" s="21">
        <v>65.066599999999994</v>
      </c>
      <c r="AI104" s="21">
        <v>-4.0731799999999999E-2</v>
      </c>
      <c r="AJ104" s="21">
        <v>94</v>
      </c>
      <c r="AK104" s="21">
        <v>0.371979</v>
      </c>
      <c r="AL104">
        <f t="shared" si="18"/>
        <v>40.7318</v>
      </c>
      <c r="AM104">
        <f t="shared" si="19"/>
        <v>15.208561679400001</v>
      </c>
      <c r="AP104" s="9"/>
      <c r="AQ104" s="21">
        <v>0.15670799999999999</v>
      </c>
      <c r="AR104" s="21">
        <v>67.725200000000001</v>
      </c>
      <c r="AS104" s="21">
        <v>-4.3295300000000002E-2</v>
      </c>
      <c r="AT104" s="21">
        <v>94</v>
      </c>
      <c r="AU104" s="21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1">
        <v>0.37338300000000002</v>
      </c>
      <c r="AZ104" s="21">
        <v>71.152799999999999</v>
      </c>
      <c r="BA104" s="21">
        <v>-4.07379E-2</v>
      </c>
      <c r="BB104" s="21">
        <v>94</v>
      </c>
      <c r="BC104" s="21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0.151672</v>
      </c>
      <c r="H105" s="21">
        <v>50.099899999999998</v>
      </c>
      <c r="I105" s="21">
        <v>-4.3322800000000002E-2</v>
      </c>
      <c r="J105" s="21">
        <v>95</v>
      </c>
      <c r="K105" s="21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1">
        <v>0.37841799999999998</v>
      </c>
      <c r="P105" s="21">
        <v>59.568600000000004</v>
      </c>
      <c r="Q105" s="21">
        <v>-4.0588399999999997E-2</v>
      </c>
      <c r="R105" s="21">
        <v>95</v>
      </c>
      <c r="S105" s="21">
        <v>0.37701400000000002</v>
      </c>
      <c r="T105">
        <f t="shared" si="14"/>
        <v>40.5884</v>
      </c>
      <c r="U105">
        <f t="shared" si="15"/>
        <v>15.359381151199999</v>
      </c>
      <c r="X105" s="9"/>
      <c r="Y105" s="21">
        <v>0.151672</v>
      </c>
      <c r="Z105" s="21">
        <v>62.426099999999998</v>
      </c>
      <c r="AA105" s="21">
        <v>-4.33319E-2</v>
      </c>
      <c r="AB105" s="21">
        <v>95</v>
      </c>
      <c r="AC105" s="21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1">
        <v>0.37841799999999998</v>
      </c>
      <c r="AH105" s="21">
        <v>65.076700000000002</v>
      </c>
      <c r="AI105" s="21">
        <v>-4.06281E-2</v>
      </c>
      <c r="AJ105" s="21">
        <v>95</v>
      </c>
      <c r="AK105" s="21">
        <v>0.377106</v>
      </c>
      <c r="AL105">
        <f t="shared" si="18"/>
        <v>40.628100000000003</v>
      </c>
      <c r="AM105">
        <f t="shared" si="19"/>
        <v>15.3744043458</v>
      </c>
      <c r="AP105" s="9"/>
      <c r="AQ105" s="21">
        <v>0.151672</v>
      </c>
      <c r="AR105" s="21">
        <v>67.735299999999995</v>
      </c>
      <c r="AS105" s="21">
        <v>-4.3307499999999999E-2</v>
      </c>
      <c r="AT105" s="21">
        <v>95</v>
      </c>
      <c r="AU105" s="21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1">
        <v>0.37841799999999998</v>
      </c>
      <c r="AZ105" s="21">
        <v>71.162899999999993</v>
      </c>
      <c r="BA105" s="21">
        <v>-4.0618899999999999E-2</v>
      </c>
      <c r="BB105" s="21">
        <v>95</v>
      </c>
      <c r="BC105" s="21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0.14663699999999999</v>
      </c>
      <c r="H106" s="21">
        <v>50.11</v>
      </c>
      <c r="I106" s="21">
        <v>-4.3344100000000003E-2</v>
      </c>
      <c r="J106" s="21">
        <v>96</v>
      </c>
      <c r="K106" s="21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1">
        <v>0.38345299999999999</v>
      </c>
      <c r="P106" s="21">
        <v>59.578600000000002</v>
      </c>
      <c r="Q106" s="21">
        <v>-4.04541E-2</v>
      </c>
      <c r="R106" s="21">
        <v>96</v>
      </c>
      <c r="S106" s="21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1">
        <v>0.14663699999999999</v>
      </c>
      <c r="Z106" s="21">
        <v>62.436199999999999</v>
      </c>
      <c r="AA106" s="21">
        <v>-4.3359399999999999E-2</v>
      </c>
      <c r="AB106" s="21">
        <v>96</v>
      </c>
      <c r="AC106" s="21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1">
        <v>0.38345299999999999</v>
      </c>
      <c r="AH106" s="21">
        <v>65.086799999999997</v>
      </c>
      <c r="AI106" s="21">
        <v>-4.0506E-2</v>
      </c>
      <c r="AJ106" s="21">
        <v>96</v>
      </c>
      <c r="AK106" s="21">
        <v>0.38205</v>
      </c>
      <c r="AL106">
        <f t="shared" si="18"/>
        <v>40.506</v>
      </c>
      <c r="AM106">
        <f t="shared" si="19"/>
        <v>15.532147218</v>
      </c>
      <c r="AP106" s="9"/>
      <c r="AQ106" s="21">
        <v>0.14663699999999999</v>
      </c>
      <c r="AR106" s="21">
        <v>67.745400000000004</v>
      </c>
      <c r="AS106" s="21">
        <v>-4.3319700000000003E-2</v>
      </c>
      <c r="AT106" s="21">
        <v>96</v>
      </c>
      <c r="AU106" s="21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1">
        <v>0.38345299999999999</v>
      </c>
      <c r="AZ106" s="21">
        <v>71.172899999999998</v>
      </c>
      <c r="BA106" s="21">
        <v>-4.0496799999999999E-2</v>
      </c>
      <c r="BB106" s="21">
        <v>96</v>
      </c>
      <c r="BC106" s="21">
        <v>0.38205</v>
      </c>
      <c r="BD106">
        <f t="shared" si="22"/>
        <v>40.4968</v>
      </c>
      <c r="BE106">
        <f t="shared" si="23"/>
        <v>15.528619450399999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0.14160200000000001</v>
      </c>
      <c r="H107" s="21">
        <v>50.12</v>
      </c>
      <c r="I107" s="21">
        <v>-4.3371600000000003E-2</v>
      </c>
      <c r="J107" s="21">
        <v>97</v>
      </c>
      <c r="K107" s="21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1">
        <v>0.38848899999999997</v>
      </c>
      <c r="P107" s="21">
        <v>59.588700000000003</v>
      </c>
      <c r="Q107" s="21">
        <v>-4.0322900000000002E-2</v>
      </c>
      <c r="R107" s="21">
        <v>97</v>
      </c>
      <c r="S107" s="21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1">
        <v>0.14160200000000001</v>
      </c>
      <c r="Z107" s="21">
        <v>62.446300000000001</v>
      </c>
      <c r="AA107" s="21">
        <v>-4.3380700000000001E-2</v>
      </c>
      <c r="AB107" s="21">
        <v>97</v>
      </c>
      <c r="AC107" s="21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1">
        <v>0.38848899999999997</v>
      </c>
      <c r="AH107" s="21">
        <v>65.096900000000005</v>
      </c>
      <c r="AI107" s="21">
        <v>-4.0365600000000001E-2</v>
      </c>
      <c r="AJ107" s="21">
        <v>97</v>
      </c>
      <c r="AK107" s="21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1">
        <v>0.14160200000000001</v>
      </c>
      <c r="AR107" s="21">
        <v>67.755399999999995</v>
      </c>
      <c r="AS107" s="21">
        <v>-4.3334999999999999E-2</v>
      </c>
      <c r="AT107" s="21">
        <v>97</v>
      </c>
      <c r="AU107" s="21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1">
        <v>0.38848899999999997</v>
      </c>
      <c r="AZ107" s="21">
        <v>71.183000000000007</v>
      </c>
      <c r="BA107" s="21">
        <v>-4.0356400000000001E-2</v>
      </c>
      <c r="BB107" s="21">
        <v>97</v>
      </c>
      <c r="BC107" s="21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0.13656599999999999</v>
      </c>
      <c r="H108" s="21">
        <v>50.130099999999999</v>
      </c>
      <c r="I108" s="21">
        <v>-4.3389900000000002E-2</v>
      </c>
      <c r="J108" s="21">
        <v>98</v>
      </c>
      <c r="K108" s="21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1">
        <v>0.39352399999999998</v>
      </c>
      <c r="P108" s="21">
        <v>59.598799999999997</v>
      </c>
      <c r="Q108" s="21">
        <v>-4.0185499999999999E-2</v>
      </c>
      <c r="R108" s="21">
        <v>98</v>
      </c>
      <c r="S108" s="21">
        <v>0.392181</v>
      </c>
      <c r="T108">
        <f t="shared" si="14"/>
        <v>40.185499999999998</v>
      </c>
      <c r="U108">
        <f t="shared" si="15"/>
        <v>15.813958701999999</v>
      </c>
      <c r="X108" s="9"/>
      <c r="Y108" s="21">
        <v>0.13656599999999999</v>
      </c>
      <c r="Z108" s="21">
        <v>62.456400000000002</v>
      </c>
      <c r="AA108" s="21">
        <v>-4.3399E-2</v>
      </c>
      <c r="AB108" s="21">
        <v>98</v>
      </c>
      <c r="AC108" s="21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1">
        <v>0.39352399999999998</v>
      </c>
      <c r="AH108" s="21">
        <v>65.106899999999996</v>
      </c>
      <c r="AI108" s="21">
        <v>-4.0225200000000003E-2</v>
      </c>
      <c r="AJ108" s="21">
        <v>98</v>
      </c>
      <c r="AK108" s="21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1">
        <v>0.13656599999999999</v>
      </c>
      <c r="AR108" s="21">
        <v>67.765500000000003</v>
      </c>
      <c r="AS108" s="21">
        <v>-4.3353299999999997E-2</v>
      </c>
      <c r="AT108" s="21">
        <v>98</v>
      </c>
      <c r="AU108" s="21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1">
        <v>0.39352399999999998</v>
      </c>
      <c r="AZ108" s="21">
        <v>71.193100000000001</v>
      </c>
      <c r="BA108" s="21">
        <v>-4.0219100000000001E-2</v>
      </c>
      <c r="BB108" s="21">
        <v>98</v>
      </c>
      <c r="BC108" s="21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0.13153100000000001</v>
      </c>
      <c r="H109" s="21">
        <v>50.1402</v>
      </c>
      <c r="I109" s="21">
        <v>-4.3405199999999998E-2</v>
      </c>
      <c r="J109" s="21">
        <v>99</v>
      </c>
      <c r="K109" s="21">
        <v>0.130249</v>
      </c>
      <c r="L109">
        <f t="shared" si="12"/>
        <v>43.405200000000001</v>
      </c>
      <c r="M109">
        <f t="shared" si="13"/>
        <v>5.7091293612000005</v>
      </c>
      <c r="N109" s="9"/>
      <c r="O109" s="21">
        <v>0.39856000000000003</v>
      </c>
      <c r="P109" s="21">
        <v>59.608899999999998</v>
      </c>
      <c r="Q109" s="21">
        <v>-4.0045200000000003E-2</v>
      </c>
      <c r="R109" s="21">
        <v>99</v>
      </c>
      <c r="S109" s="21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1">
        <v>0.13153100000000001</v>
      </c>
      <c r="Z109" s="21">
        <v>62.4664</v>
      </c>
      <c r="AA109" s="21">
        <v>-4.3405199999999998E-2</v>
      </c>
      <c r="AB109" s="21">
        <v>99</v>
      </c>
      <c r="AC109" s="21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1">
        <v>0.39856000000000003</v>
      </c>
      <c r="AH109" s="21">
        <v>65.117000000000004</v>
      </c>
      <c r="AI109" s="21">
        <v>-4.00574E-2</v>
      </c>
      <c r="AJ109" s="21">
        <v>99</v>
      </c>
      <c r="AK109" s="21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1">
        <v>0.13153100000000001</v>
      </c>
      <c r="AR109" s="21">
        <v>67.775599999999997</v>
      </c>
      <c r="AS109" s="21">
        <v>-4.3368499999999997E-2</v>
      </c>
      <c r="AT109" s="21">
        <v>99</v>
      </c>
      <c r="AU109" s="21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1">
        <v>0.39856000000000003</v>
      </c>
      <c r="AZ109" s="21">
        <v>71.203199999999995</v>
      </c>
      <c r="BA109" s="21">
        <v>-4.0075699999999999E-2</v>
      </c>
      <c r="BB109" s="21">
        <v>99</v>
      </c>
      <c r="BC109" s="21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0.126495</v>
      </c>
      <c r="H110" s="21">
        <v>50.150199999999998</v>
      </c>
      <c r="I110" s="21">
        <v>-4.34113E-2</v>
      </c>
      <c r="J110" s="21">
        <v>100</v>
      </c>
      <c r="K110" s="21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1">
        <v>0.40359499999999998</v>
      </c>
      <c r="P110" s="21">
        <v>59.618899999999996</v>
      </c>
      <c r="Q110" s="21">
        <v>-3.9880400000000003E-2</v>
      </c>
      <c r="R110" s="21">
        <v>100</v>
      </c>
      <c r="S110" s="21">
        <v>0.402252</v>
      </c>
      <c r="T110">
        <f t="shared" si="14"/>
        <v>39.880400000000002</v>
      </c>
      <c r="U110">
        <f t="shared" si="15"/>
        <v>16.095530038</v>
      </c>
      <c r="X110" s="9"/>
      <c r="Y110" s="21">
        <v>0.126495</v>
      </c>
      <c r="Z110" s="21">
        <v>62.476500000000001</v>
      </c>
      <c r="AA110" s="21">
        <v>-4.3417400000000002E-2</v>
      </c>
      <c r="AB110" s="21">
        <v>100</v>
      </c>
      <c r="AC110" s="21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1">
        <v>0.40359499999999998</v>
      </c>
      <c r="AH110" s="21">
        <v>65.127099999999999</v>
      </c>
      <c r="AI110" s="21">
        <v>-3.9883399999999999E-2</v>
      </c>
      <c r="AJ110" s="21">
        <v>100</v>
      </c>
      <c r="AK110" s="21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1">
        <v>0.126495</v>
      </c>
      <c r="AR110" s="21">
        <v>67.785600000000002</v>
      </c>
      <c r="AS110" s="21">
        <v>-4.3389900000000002E-2</v>
      </c>
      <c r="AT110" s="21">
        <v>100</v>
      </c>
      <c r="AU110" s="21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1">
        <v>0.40359499999999998</v>
      </c>
      <c r="AZ110" s="21">
        <v>71.213200000000001</v>
      </c>
      <c r="BA110" s="21">
        <v>-3.9917000000000001E-2</v>
      </c>
      <c r="BB110" s="21">
        <v>100</v>
      </c>
      <c r="BC110" s="21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0.12146</v>
      </c>
      <c r="H111" s="21">
        <v>50.160299999999999</v>
      </c>
      <c r="I111" s="21">
        <v>-4.34113E-2</v>
      </c>
      <c r="J111" s="21">
        <v>101</v>
      </c>
      <c r="K111" s="21">
        <v>0.120209</v>
      </c>
      <c r="L111">
        <f t="shared" si="12"/>
        <v>43.411299999999997</v>
      </c>
      <c r="M111">
        <f t="shared" si="13"/>
        <v>5.2727364979999995</v>
      </c>
      <c r="N111" s="9"/>
      <c r="O111" s="21">
        <v>0.40862999999999999</v>
      </c>
      <c r="P111" s="21">
        <v>59.628999999999998</v>
      </c>
      <c r="Q111" s="21">
        <v>-3.9700300000000001E-2</v>
      </c>
      <c r="R111" s="21">
        <v>101</v>
      </c>
      <c r="S111" s="21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1">
        <v>0.12146</v>
      </c>
      <c r="Z111" s="21">
        <v>62.486600000000003</v>
      </c>
      <c r="AA111" s="21">
        <v>-4.3423499999999997E-2</v>
      </c>
      <c r="AB111" s="21">
        <v>101</v>
      </c>
      <c r="AC111" s="21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1">
        <v>0.40862999999999999</v>
      </c>
      <c r="AH111" s="21">
        <v>65.137100000000004</v>
      </c>
      <c r="AI111" s="21">
        <v>-3.9700300000000001E-2</v>
      </c>
      <c r="AJ111" s="21">
        <v>101</v>
      </c>
      <c r="AK111" s="21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1">
        <v>0.12146</v>
      </c>
      <c r="AR111" s="21">
        <v>67.795699999999997</v>
      </c>
      <c r="AS111" s="21">
        <v>-4.3402099999999999E-2</v>
      </c>
      <c r="AT111" s="21">
        <v>101</v>
      </c>
      <c r="AU111" s="21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1">
        <v>0.40862999999999999</v>
      </c>
      <c r="AZ111" s="21">
        <v>71.223299999999995</v>
      </c>
      <c r="BA111" s="21">
        <v>-3.9752200000000001E-2</v>
      </c>
      <c r="BB111" s="21">
        <v>101</v>
      </c>
      <c r="BC111" s="21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0.116425</v>
      </c>
      <c r="H112" s="21">
        <v>50.170400000000001</v>
      </c>
      <c r="I112" s="21">
        <v>-4.3408200000000001E-2</v>
      </c>
      <c r="J112" s="21">
        <v>102</v>
      </c>
      <c r="K112" s="21">
        <v>0.115143</v>
      </c>
      <c r="L112">
        <f t="shared" si="12"/>
        <v>43.408200000000001</v>
      </c>
      <c r="M112">
        <f t="shared" si="13"/>
        <v>5.0537996850000004</v>
      </c>
      <c r="N112" s="9"/>
      <c r="O112" s="21">
        <v>0.41366599999999998</v>
      </c>
      <c r="P112" s="21">
        <v>59.639099999999999</v>
      </c>
      <c r="Q112" s="21">
        <v>-3.95111E-2</v>
      </c>
      <c r="R112" s="21">
        <v>102</v>
      </c>
      <c r="S112" s="21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1">
        <v>0.116425</v>
      </c>
      <c r="Z112" s="21">
        <v>62.496600000000001</v>
      </c>
      <c r="AA112" s="21">
        <v>-4.3444799999999999E-2</v>
      </c>
      <c r="AB112" s="21">
        <v>102</v>
      </c>
      <c r="AC112" s="21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1">
        <v>0.41366599999999998</v>
      </c>
      <c r="AH112" s="21">
        <v>65.147199999999998</v>
      </c>
      <c r="AI112" s="21">
        <v>-3.9508099999999997E-2</v>
      </c>
      <c r="AJ112" s="21">
        <v>102</v>
      </c>
      <c r="AK112" s="21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1">
        <v>0.116425</v>
      </c>
      <c r="AR112" s="21">
        <v>67.805800000000005</v>
      </c>
      <c r="AS112" s="21">
        <v>-4.3405199999999998E-2</v>
      </c>
      <c r="AT112" s="21">
        <v>102</v>
      </c>
      <c r="AU112" s="21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1">
        <v>0.41366599999999998</v>
      </c>
      <c r="AZ112" s="21">
        <v>71.233400000000003</v>
      </c>
      <c r="BA112" s="21">
        <v>-3.9559900000000002E-2</v>
      </c>
      <c r="BB112" s="21">
        <v>102</v>
      </c>
      <c r="BC112" s="21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0.111389</v>
      </c>
      <c r="H113" s="21">
        <v>50.180500000000002</v>
      </c>
      <c r="I113" s="21">
        <v>-4.34113E-2</v>
      </c>
      <c r="J113" s="21">
        <v>103</v>
      </c>
      <c r="K113" s="21">
        <v>0.109985</v>
      </c>
      <c r="L113">
        <f t="shared" si="12"/>
        <v>43.411299999999997</v>
      </c>
      <c r="M113">
        <f t="shared" si="13"/>
        <v>4.8355412956999997</v>
      </c>
      <c r="N113" s="9"/>
      <c r="O113" s="21">
        <v>0.41870099999999999</v>
      </c>
      <c r="P113" s="21">
        <v>59.649099999999997</v>
      </c>
      <c r="Q113" s="21">
        <v>-3.9306599999999997E-2</v>
      </c>
      <c r="R113" s="21">
        <v>103</v>
      </c>
      <c r="S113" s="21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1">
        <v>0.111389</v>
      </c>
      <c r="Z113" s="21">
        <v>62.506700000000002</v>
      </c>
      <c r="AA113" s="21">
        <v>-4.3463099999999998E-2</v>
      </c>
      <c r="AB113" s="21">
        <v>103</v>
      </c>
      <c r="AC113" s="21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1">
        <v>0.41870099999999999</v>
      </c>
      <c r="AH113" s="21">
        <v>65.157300000000006</v>
      </c>
      <c r="AI113" s="21">
        <v>-3.9312699999999999E-2</v>
      </c>
      <c r="AJ113" s="21">
        <v>103</v>
      </c>
      <c r="AK113" s="21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1">
        <v>0.111389</v>
      </c>
      <c r="AR113" s="21">
        <v>67.815899999999999</v>
      </c>
      <c r="AS113" s="21">
        <v>-4.3417400000000002E-2</v>
      </c>
      <c r="AT113" s="21">
        <v>103</v>
      </c>
      <c r="AU113" s="21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1">
        <v>0.41870099999999999</v>
      </c>
      <c r="AZ113" s="21">
        <v>71.243399999999994</v>
      </c>
      <c r="BA113" s="21">
        <v>-3.9352400000000003E-2</v>
      </c>
      <c r="BB113" s="21">
        <v>103</v>
      </c>
      <c r="BC113" s="21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0.106354</v>
      </c>
      <c r="H114" s="21">
        <v>50.1905</v>
      </c>
      <c r="I114" s="21">
        <v>-4.3432600000000002E-2</v>
      </c>
      <c r="J114" s="21">
        <v>104</v>
      </c>
      <c r="K114" s="21">
        <v>0.10498</v>
      </c>
      <c r="L114">
        <f t="shared" si="12"/>
        <v>43.432600000000001</v>
      </c>
      <c r="M114">
        <f t="shared" si="13"/>
        <v>4.6192307403999999</v>
      </c>
      <c r="N114" s="9"/>
      <c r="O114" s="21">
        <v>0.42373699999999997</v>
      </c>
      <c r="P114" s="21">
        <v>59.659199999999998</v>
      </c>
      <c r="Q114" s="21">
        <v>-3.9096100000000002E-2</v>
      </c>
      <c r="R114" s="21">
        <v>104</v>
      </c>
      <c r="S114" s="21">
        <v>0.42236299999999999</v>
      </c>
      <c r="T114">
        <f t="shared" si="14"/>
        <v>39.0961</v>
      </c>
      <c r="U114">
        <f t="shared" si="15"/>
        <v>16.566464125699998</v>
      </c>
      <c r="X114" s="9"/>
      <c r="Y114" s="21">
        <v>0.106354</v>
      </c>
      <c r="Z114" s="21">
        <v>62.516800000000003</v>
      </c>
      <c r="AA114" s="21">
        <v>-4.3481400000000003E-2</v>
      </c>
      <c r="AB114" s="21">
        <v>104</v>
      </c>
      <c r="AC114" s="21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1">
        <v>0.42373699999999997</v>
      </c>
      <c r="AH114" s="21">
        <v>65.167400000000001</v>
      </c>
      <c r="AI114" s="21">
        <v>-3.9099099999999998E-2</v>
      </c>
      <c r="AJ114" s="21">
        <v>104</v>
      </c>
      <c r="AK114" s="21">
        <v>0.42239399999999999</v>
      </c>
      <c r="AL114">
        <f t="shared" si="18"/>
        <v>39.0991</v>
      </c>
      <c r="AM114">
        <f t="shared" si="19"/>
        <v>16.5677353367</v>
      </c>
      <c r="AP114" s="9"/>
      <c r="AQ114" s="21">
        <v>0.106354</v>
      </c>
      <c r="AR114" s="21">
        <v>67.825900000000004</v>
      </c>
      <c r="AS114" s="21">
        <v>-4.3435700000000001E-2</v>
      </c>
      <c r="AT114" s="21">
        <v>104</v>
      </c>
      <c r="AU114" s="21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1">
        <v>0.42373699999999997</v>
      </c>
      <c r="AZ114" s="21">
        <v>71.253500000000003</v>
      </c>
      <c r="BA114" s="21">
        <v>-3.9141799999999997E-2</v>
      </c>
      <c r="BB114" s="21">
        <v>104</v>
      </c>
      <c r="BC114" s="21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0.10131800000000001</v>
      </c>
      <c r="H115" s="21">
        <v>50.200600000000001</v>
      </c>
      <c r="I115" s="21">
        <v>-4.3444799999999999E-2</v>
      </c>
      <c r="J115" s="21">
        <v>105</v>
      </c>
      <c r="K115" s="21">
        <v>0.100037</v>
      </c>
      <c r="L115">
        <f t="shared" si="12"/>
        <v>43.444800000000001</v>
      </c>
      <c r="M115">
        <f t="shared" si="13"/>
        <v>4.4017402464000002</v>
      </c>
      <c r="N115" s="9"/>
      <c r="O115" s="21">
        <v>0.42877199999999999</v>
      </c>
      <c r="P115" s="21">
        <v>59.6693</v>
      </c>
      <c r="Q115" s="21">
        <v>-3.8864099999999999E-2</v>
      </c>
      <c r="R115" s="21">
        <v>105</v>
      </c>
      <c r="S115" s="21">
        <v>0.427429</v>
      </c>
      <c r="T115">
        <f t="shared" si="14"/>
        <v>38.864100000000001</v>
      </c>
      <c r="U115">
        <f t="shared" si="15"/>
        <v>16.6638378852</v>
      </c>
      <c r="X115" s="9"/>
      <c r="Y115" s="21">
        <v>0.10131800000000001</v>
      </c>
      <c r="Z115" s="21">
        <v>62.526899999999998</v>
      </c>
      <c r="AA115" s="21">
        <v>-4.3484500000000002E-2</v>
      </c>
      <c r="AB115" s="21">
        <v>105</v>
      </c>
      <c r="AC115" s="21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1">
        <v>0.42877199999999999</v>
      </c>
      <c r="AH115" s="21">
        <v>65.177400000000006</v>
      </c>
      <c r="AI115" s="21">
        <v>-3.8864099999999999E-2</v>
      </c>
      <c r="AJ115" s="21">
        <v>105</v>
      </c>
      <c r="AK115" s="21">
        <v>0.427429</v>
      </c>
      <c r="AL115">
        <f t="shared" si="18"/>
        <v>38.864100000000001</v>
      </c>
      <c r="AM115">
        <f t="shared" si="19"/>
        <v>16.6638378852</v>
      </c>
      <c r="AP115" s="9"/>
      <c r="AQ115" s="21">
        <v>0.10131800000000001</v>
      </c>
      <c r="AR115" s="21">
        <v>67.835999999999999</v>
      </c>
      <c r="AS115" s="21">
        <v>-4.3450900000000001E-2</v>
      </c>
      <c r="AT115" s="21">
        <v>105</v>
      </c>
      <c r="AU115" s="21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1">
        <v>0.42877199999999999</v>
      </c>
      <c r="AZ115" s="21">
        <v>71.263599999999997</v>
      </c>
      <c r="BA115" s="21">
        <v>-3.8909899999999997E-2</v>
      </c>
      <c r="BB115" s="21">
        <v>105</v>
      </c>
      <c r="BC115" s="21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9.6282999999999994E-2</v>
      </c>
      <c r="H116" s="21">
        <v>50.210700000000003</v>
      </c>
      <c r="I116" s="21">
        <v>-4.3460100000000002E-2</v>
      </c>
      <c r="J116" s="21">
        <v>106</v>
      </c>
      <c r="K116" s="21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1">
        <v>0.433807</v>
      </c>
      <c r="P116" s="21">
        <v>59.679400000000001</v>
      </c>
      <c r="Q116" s="21">
        <v>-3.8601700000000003E-2</v>
      </c>
      <c r="R116" s="21">
        <v>106</v>
      </c>
      <c r="S116" s="21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1">
        <v>9.6282999999999994E-2</v>
      </c>
      <c r="Z116" s="21">
        <v>62.536900000000003</v>
      </c>
      <c r="AA116" s="21">
        <v>-4.3475300000000001E-2</v>
      </c>
      <c r="AB116" s="21">
        <v>106</v>
      </c>
      <c r="AC116" s="21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1">
        <v>0.433807</v>
      </c>
      <c r="AH116" s="21">
        <v>65.1875</v>
      </c>
      <c r="AI116" s="21">
        <v>-3.8592500000000002E-2</v>
      </c>
      <c r="AJ116" s="21">
        <v>106</v>
      </c>
      <c r="AK116" s="21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1">
        <v>9.6282999999999994E-2</v>
      </c>
      <c r="AR116" s="21">
        <v>67.846100000000007</v>
      </c>
      <c r="AS116" s="21">
        <v>-4.3450900000000001E-2</v>
      </c>
      <c r="AT116" s="21">
        <v>106</v>
      </c>
      <c r="AU116" s="21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1">
        <v>0.433807</v>
      </c>
      <c r="AZ116" s="21">
        <v>71.273700000000005</v>
      </c>
      <c r="BA116" s="21">
        <v>-3.8650499999999997E-2</v>
      </c>
      <c r="BB116" s="21">
        <v>106</v>
      </c>
      <c r="BC116" s="21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9.1247599999999998E-2</v>
      </c>
      <c r="H117" s="21">
        <v>50.220700000000001</v>
      </c>
      <c r="I117" s="21">
        <v>-4.3472299999999998E-2</v>
      </c>
      <c r="J117" s="21">
        <v>107</v>
      </c>
      <c r="K117" s="21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1">
        <v>0.43884299999999998</v>
      </c>
      <c r="P117" s="21">
        <v>59.689399999999999</v>
      </c>
      <c r="Q117" s="21">
        <v>-3.8317900000000002E-2</v>
      </c>
      <c r="R117" s="21">
        <v>107</v>
      </c>
      <c r="S117" s="21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1">
        <v>9.1247599999999998E-2</v>
      </c>
      <c r="Z117" s="21">
        <v>62.546999999999997</v>
      </c>
      <c r="AA117" s="21">
        <v>-4.3475300000000001E-2</v>
      </c>
      <c r="AB117" s="21">
        <v>107</v>
      </c>
      <c r="AC117" s="21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1">
        <v>0.43884299999999998</v>
      </c>
      <c r="AH117" s="21">
        <v>65.197599999999994</v>
      </c>
      <c r="AI117" s="21">
        <v>-3.8305699999999998E-2</v>
      </c>
      <c r="AJ117" s="21">
        <v>107</v>
      </c>
      <c r="AK117" s="21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1">
        <v>9.1247599999999998E-2</v>
      </c>
      <c r="AR117" s="21">
        <v>67.856099999999998</v>
      </c>
      <c r="AS117" s="21">
        <v>-4.3454E-2</v>
      </c>
      <c r="AT117" s="21">
        <v>107</v>
      </c>
      <c r="AU117" s="21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1">
        <v>0.43884299999999998</v>
      </c>
      <c r="AZ117" s="21">
        <v>71.283699999999996</v>
      </c>
      <c r="BA117" s="21">
        <v>-3.8360600000000002E-2</v>
      </c>
      <c r="BB117" s="21">
        <v>107</v>
      </c>
      <c r="BC117" s="21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8.6212200000000003E-2</v>
      </c>
      <c r="H118" s="21">
        <v>50.230800000000002</v>
      </c>
      <c r="I118" s="21">
        <v>-4.3484500000000002E-2</v>
      </c>
      <c r="J118" s="21">
        <v>108</v>
      </c>
      <c r="K118" s="21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1">
        <v>0.44387799999999999</v>
      </c>
      <c r="P118" s="21">
        <v>59.6995</v>
      </c>
      <c r="Q118" s="21">
        <v>-3.8015699999999999E-2</v>
      </c>
      <c r="R118" s="21">
        <v>108</v>
      </c>
      <c r="S118" s="21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1">
        <v>8.6212200000000003E-2</v>
      </c>
      <c r="Z118" s="21">
        <v>62.557099999999998</v>
      </c>
      <c r="AA118" s="21">
        <v>-4.3481400000000003E-2</v>
      </c>
      <c r="AB118" s="21">
        <v>108</v>
      </c>
      <c r="AC118" s="21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1">
        <v>0.44387799999999999</v>
      </c>
      <c r="AH118" s="21">
        <v>65.207599999999999</v>
      </c>
      <c r="AI118" s="21">
        <v>-3.8006600000000001E-2</v>
      </c>
      <c r="AJ118" s="21">
        <v>108</v>
      </c>
      <c r="AK118" s="21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1">
        <v>8.6212200000000003E-2</v>
      </c>
      <c r="AR118" s="21">
        <v>67.866200000000006</v>
      </c>
      <c r="AS118" s="21">
        <v>-4.3450900000000001E-2</v>
      </c>
      <c r="AT118" s="21">
        <v>108</v>
      </c>
      <c r="AU118" s="21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1">
        <v>0.44387799999999999</v>
      </c>
      <c r="AZ118" s="21">
        <v>71.293800000000005</v>
      </c>
      <c r="BA118" s="21">
        <v>-3.8058500000000002E-2</v>
      </c>
      <c r="BB118" s="21">
        <v>108</v>
      </c>
      <c r="BC118" s="21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8.1176799999999993E-2</v>
      </c>
      <c r="H119" s="21">
        <v>50.240900000000003</v>
      </c>
      <c r="I119" s="21">
        <v>-4.3508900000000003E-2</v>
      </c>
      <c r="J119" s="21">
        <v>109</v>
      </c>
      <c r="K119" s="21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1">
        <v>0.44891399999999998</v>
      </c>
      <c r="P119" s="21">
        <v>59.709600000000002</v>
      </c>
      <c r="Q119" s="21">
        <v>-3.76709E-2</v>
      </c>
      <c r="R119" s="21">
        <v>109</v>
      </c>
      <c r="S119" s="21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1">
        <v>8.1176799999999993E-2</v>
      </c>
      <c r="Z119" s="21">
        <v>62.567100000000003</v>
      </c>
      <c r="AA119" s="21">
        <v>-4.3484500000000002E-2</v>
      </c>
      <c r="AB119" s="21">
        <v>109</v>
      </c>
      <c r="AC119" s="21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1">
        <v>0.44891399999999998</v>
      </c>
      <c r="AH119" s="21">
        <v>65.217699999999994</v>
      </c>
      <c r="AI119" s="21">
        <v>-3.7683099999999997E-2</v>
      </c>
      <c r="AJ119" s="21">
        <v>109</v>
      </c>
      <c r="AK119" s="21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1">
        <v>8.1176799999999993E-2</v>
      </c>
      <c r="AR119" s="21">
        <v>67.876300000000001</v>
      </c>
      <c r="AS119" s="21">
        <v>-4.3460100000000002E-2</v>
      </c>
      <c r="AT119" s="21">
        <v>109</v>
      </c>
      <c r="AU119" s="21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1">
        <v>0.44891399999999998</v>
      </c>
      <c r="AZ119" s="21">
        <v>71.303899999999999</v>
      </c>
      <c r="BA119" s="21">
        <v>-3.7719700000000002E-2</v>
      </c>
      <c r="BB119" s="21">
        <v>109</v>
      </c>
      <c r="BC119" s="21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7.6141399999999998E-2</v>
      </c>
      <c r="H120" s="21">
        <v>50.250900000000001</v>
      </c>
      <c r="I120" s="21">
        <v>-4.3524199999999999E-2</v>
      </c>
      <c r="J120" s="21">
        <v>110</v>
      </c>
      <c r="K120" s="21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1">
        <v>0.45394899999999999</v>
      </c>
      <c r="P120" s="21">
        <v>59.7196</v>
      </c>
      <c r="Q120" s="21">
        <v>-3.7298600000000001E-2</v>
      </c>
      <c r="R120" s="21">
        <v>110</v>
      </c>
      <c r="S120" s="21">
        <v>0.45263700000000001</v>
      </c>
      <c r="T120">
        <f t="shared" si="14"/>
        <v>37.2986</v>
      </c>
      <c r="U120">
        <f t="shared" si="15"/>
        <v>16.931662171399999</v>
      </c>
      <c r="X120" s="9"/>
      <c r="Y120" s="21">
        <v>7.6141399999999998E-2</v>
      </c>
      <c r="Z120" s="21">
        <v>62.577199999999998</v>
      </c>
      <c r="AA120" s="21">
        <v>-4.3496699999999999E-2</v>
      </c>
      <c r="AB120" s="21">
        <v>110</v>
      </c>
      <c r="AC120" s="21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1">
        <v>0.45394899999999999</v>
      </c>
      <c r="AH120" s="21">
        <v>65.227800000000002</v>
      </c>
      <c r="AI120" s="21">
        <v>-3.73169E-2</v>
      </c>
      <c r="AJ120" s="21">
        <v>110</v>
      </c>
      <c r="AK120" s="21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1">
        <v>7.6141399999999998E-2</v>
      </c>
      <c r="AR120" s="21">
        <v>67.886399999999995</v>
      </c>
      <c r="AS120" s="21">
        <v>-4.34692E-2</v>
      </c>
      <c r="AT120" s="21">
        <v>110</v>
      </c>
      <c r="AU120" s="21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1">
        <v>0.45394899999999999</v>
      </c>
      <c r="AZ120" s="21">
        <v>71.313900000000004</v>
      </c>
      <c r="BA120" s="21">
        <v>-3.7353499999999998E-2</v>
      </c>
      <c r="BB120" s="21">
        <v>110</v>
      </c>
      <c r="BC120" s="21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7.1106000000000003E-2</v>
      </c>
      <c r="H121" s="21">
        <v>50.261000000000003</v>
      </c>
      <c r="I121" s="21">
        <v>-4.3527200000000002E-2</v>
      </c>
      <c r="J121" s="21">
        <v>111</v>
      </c>
      <c r="K121" s="21">
        <v>6.97937E-2</v>
      </c>
      <c r="L121">
        <f t="shared" si="12"/>
        <v>43.527200000000001</v>
      </c>
      <c r="M121">
        <f t="shared" si="13"/>
        <v>3.0950450832</v>
      </c>
      <c r="N121" s="9"/>
      <c r="O121" s="21">
        <v>0.458984</v>
      </c>
      <c r="P121" s="21">
        <v>59.729700000000001</v>
      </c>
      <c r="Q121" s="21">
        <v>-3.68927E-2</v>
      </c>
      <c r="R121" s="21">
        <v>111</v>
      </c>
      <c r="S121" s="21">
        <v>0.457733</v>
      </c>
      <c r="T121">
        <f t="shared" si="14"/>
        <v>36.892699999999998</v>
      </c>
      <c r="U121">
        <f t="shared" si="15"/>
        <v>16.933159016799998</v>
      </c>
      <c r="X121" s="9"/>
      <c r="Y121" s="21">
        <v>7.1106000000000003E-2</v>
      </c>
      <c r="Z121" s="21">
        <v>62.587299999999999</v>
      </c>
      <c r="AA121" s="21">
        <v>-4.35059E-2</v>
      </c>
      <c r="AB121" s="21">
        <v>111</v>
      </c>
      <c r="AC121" s="21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1">
        <v>0.458984</v>
      </c>
      <c r="AH121" s="21">
        <v>65.237899999999996</v>
      </c>
      <c r="AI121" s="21">
        <v>-3.6910999999999999E-2</v>
      </c>
      <c r="AJ121" s="21">
        <v>111</v>
      </c>
      <c r="AK121" s="21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1">
        <v>7.1106000000000003E-2</v>
      </c>
      <c r="AR121" s="21">
        <v>67.8964</v>
      </c>
      <c r="AS121" s="21">
        <v>-4.3466200000000003E-2</v>
      </c>
      <c r="AT121" s="21">
        <v>111</v>
      </c>
      <c r="AU121" s="21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1">
        <v>0.458984</v>
      </c>
      <c r="AZ121" s="21">
        <v>71.323999999999998</v>
      </c>
      <c r="BA121" s="21">
        <v>-3.6950700000000003E-2</v>
      </c>
      <c r="BB121" s="21">
        <v>111</v>
      </c>
      <c r="BC121" s="21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6.6070599999999993E-2</v>
      </c>
      <c r="H122" s="21">
        <v>50.271099999999997</v>
      </c>
      <c r="I122" s="21">
        <v>-4.3514999999999998E-2</v>
      </c>
      <c r="J122" s="21">
        <v>112</v>
      </c>
      <c r="K122" s="21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1">
        <v>0.46401999999999999</v>
      </c>
      <c r="P122" s="21">
        <v>59.739800000000002</v>
      </c>
      <c r="Q122" s="21">
        <v>-3.6441000000000001E-2</v>
      </c>
      <c r="R122" s="21">
        <v>112</v>
      </c>
      <c r="S122" s="21">
        <v>0.462677</v>
      </c>
      <c r="T122">
        <f t="shared" si="14"/>
        <v>36.441000000000003</v>
      </c>
      <c r="U122">
        <f t="shared" si="15"/>
        <v>16.909352820000002</v>
      </c>
      <c r="X122" s="9"/>
      <c r="Y122" s="21">
        <v>6.6070599999999993E-2</v>
      </c>
      <c r="Z122" s="21">
        <v>62.5974</v>
      </c>
      <c r="AA122" s="21">
        <v>-4.35211E-2</v>
      </c>
      <c r="AB122" s="21">
        <v>112</v>
      </c>
      <c r="AC122" s="21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1">
        <v>0.46401999999999999</v>
      </c>
      <c r="AH122" s="21">
        <v>65.247900000000001</v>
      </c>
      <c r="AI122" s="21">
        <v>-3.6465499999999998E-2</v>
      </c>
      <c r="AJ122" s="21">
        <v>112</v>
      </c>
      <c r="AK122" s="21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1">
        <v>6.6070599999999993E-2</v>
      </c>
      <c r="AR122" s="21">
        <v>67.906499999999994</v>
      </c>
      <c r="AS122" s="21">
        <v>-4.3463099999999998E-2</v>
      </c>
      <c r="AT122" s="21">
        <v>112</v>
      </c>
      <c r="AU122" s="21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1">
        <v>0.46401999999999999</v>
      </c>
      <c r="AZ122" s="21">
        <v>71.334100000000007</v>
      </c>
      <c r="BA122" s="21">
        <v>-3.65143E-2</v>
      </c>
      <c r="BB122" s="21">
        <v>112</v>
      </c>
      <c r="BC122" s="21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6.1035199999999998E-2</v>
      </c>
      <c r="H123" s="21">
        <v>50.281199999999998</v>
      </c>
      <c r="I123" s="21">
        <v>-4.3518099999999997E-2</v>
      </c>
      <c r="J123" s="21">
        <v>113</v>
      </c>
      <c r="K123" s="21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1">
        <v>0.469055</v>
      </c>
      <c r="P123" s="21">
        <v>59.7498</v>
      </c>
      <c r="Q123" s="21">
        <v>-3.5946699999999998E-2</v>
      </c>
      <c r="R123" s="21">
        <v>113</v>
      </c>
      <c r="S123" s="21">
        <v>0.46771200000000002</v>
      </c>
      <c r="T123">
        <f t="shared" si="14"/>
        <v>35.9467</v>
      </c>
      <c r="U123">
        <f t="shared" si="15"/>
        <v>16.860979368500001</v>
      </c>
      <c r="X123" s="9"/>
      <c r="Y123" s="21">
        <v>6.1035199999999998E-2</v>
      </c>
      <c r="Z123" s="21">
        <v>62.607399999999998</v>
      </c>
      <c r="AA123" s="21">
        <v>-4.3536400000000003E-2</v>
      </c>
      <c r="AB123" s="21">
        <v>113</v>
      </c>
      <c r="AC123" s="21">
        <v>5.98145E-2</v>
      </c>
      <c r="AD123">
        <f t="shared" si="16"/>
        <v>43.5364</v>
      </c>
      <c r="AE123">
        <f t="shared" si="17"/>
        <v>2.6572528812799998</v>
      </c>
      <c r="AF123" s="9"/>
      <c r="AG123" s="21">
        <v>0.469055</v>
      </c>
      <c r="AH123" s="21">
        <v>65.257999999999996</v>
      </c>
      <c r="AI123" s="21">
        <v>-3.5983300000000003E-2</v>
      </c>
      <c r="AJ123" s="21">
        <v>113</v>
      </c>
      <c r="AK123" s="21">
        <v>0.46771200000000002</v>
      </c>
      <c r="AL123">
        <f t="shared" si="18"/>
        <v>35.9833</v>
      </c>
      <c r="AM123">
        <f t="shared" si="19"/>
        <v>16.8781467815</v>
      </c>
      <c r="AP123" s="9"/>
      <c r="AQ123" s="21">
        <v>6.1035199999999998E-2</v>
      </c>
      <c r="AR123" s="21">
        <v>67.916600000000003</v>
      </c>
      <c r="AS123" s="21">
        <v>-4.3457000000000003E-2</v>
      </c>
      <c r="AT123" s="21">
        <v>113</v>
      </c>
      <c r="AU123" s="21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1">
        <v>0.469055</v>
      </c>
      <c r="AZ123" s="21">
        <v>71.344200000000001</v>
      </c>
      <c r="BA123" s="21">
        <v>-3.6038199999999999E-2</v>
      </c>
      <c r="BB123" s="21">
        <v>113</v>
      </c>
      <c r="BC123" s="21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5.5999800000000002E-2</v>
      </c>
      <c r="H124" s="21">
        <v>50.291200000000003</v>
      </c>
      <c r="I124" s="21">
        <v>-4.35211E-2</v>
      </c>
      <c r="J124" s="21">
        <v>114</v>
      </c>
      <c r="K124" s="21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1">
        <v>0.47409099999999998</v>
      </c>
      <c r="P124" s="21">
        <v>59.759900000000002</v>
      </c>
      <c r="Q124" s="21">
        <v>-3.5412600000000002E-2</v>
      </c>
      <c r="R124" s="21">
        <v>114</v>
      </c>
      <c r="S124" s="21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1">
        <v>5.5999800000000002E-2</v>
      </c>
      <c r="Z124" s="21">
        <v>62.6175</v>
      </c>
      <c r="AA124" s="21">
        <v>-4.3545500000000001E-2</v>
      </c>
      <c r="AB124" s="21">
        <v>114</v>
      </c>
      <c r="AC124" s="21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1">
        <v>0.47409099999999998</v>
      </c>
      <c r="AH124" s="21">
        <v>65.268100000000004</v>
      </c>
      <c r="AI124" s="21">
        <v>-3.5455300000000002E-2</v>
      </c>
      <c r="AJ124" s="21">
        <v>114</v>
      </c>
      <c r="AK124" s="21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1">
        <v>5.5999800000000002E-2</v>
      </c>
      <c r="AR124" s="21">
        <v>67.926599999999993</v>
      </c>
      <c r="AS124" s="21">
        <v>-4.3463099999999998E-2</v>
      </c>
      <c r="AT124" s="21">
        <v>114</v>
      </c>
      <c r="AU124" s="21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1">
        <v>0.47409099999999998</v>
      </c>
      <c r="AZ124" s="21">
        <v>71.354200000000006</v>
      </c>
      <c r="BA124" s="21">
        <v>-3.5516399999999997E-2</v>
      </c>
      <c r="BB124" s="21">
        <v>114</v>
      </c>
      <c r="BC124" s="21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5.09644E-2</v>
      </c>
      <c r="H125" s="21">
        <v>50.301299999999998</v>
      </c>
      <c r="I125" s="21">
        <v>-4.3527200000000002E-2</v>
      </c>
      <c r="J125" s="21">
        <v>115</v>
      </c>
      <c r="K125" s="21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1">
        <v>0.479126</v>
      </c>
      <c r="P125" s="21">
        <v>59.77</v>
      </c>
      <c r="Q125" s="21">
        <v>-3.4829699999999998E-2</v>
      </c>
      <c r="R125" s="21">
        <v>115</v>
      </c>
      <c r="S125" s="21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1">
        <v>5.09644E-2</v>
      </c>
      <c r="Z125" s="21">
        <v>62.627600000000001</v>
      </c>
      <c r="AA125" s="21">
        <v>-4.3560799999999997E-2</v>
      </c>
      <c r="AB125" s="21">
        <v>115</v>
      </c>
      <c r="AC125" s="21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1">
        <v>0.479126</v>
      </c>
      <c r="AH125" s="21">
        <v>65.278099999999995</v>
      </c>
      <c r="AI125" s="21">
        <v>-3.4890699999999997E-2</v>
      </c>
      <c r="AJ125" s="21">
        <v>115</v>
      </c>
      <c r="AK125" s="21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1">
        <v>5.09644E-2</v>
      </c>
      <c r="AR125" s="21">
        <v>67.936700000000002</v>
      </c>
      <c r="AS125" s="21">
        <v>-4.3475300000000001E-2</v>
      </c>
      <c r="AT125" s="21">
        <v>115</v>
      </c>
      <c r="AU125" s="21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1">
        <v>0.479126</v>
      </c>
      <c r="AZ125" s="21">
        <v>71.3643</v>
      </c>
      <c r="BA125" s="21">
        <v>-3.4951799999999998E-2</v>
      </c>
      <c r="BB125" s="21">
        <v>115</v>
      </c>
      <c r="BC125" s="21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4.5928999999999998E-2</v>
      </c>
      <c r="H126" s="21">
        <v>50.311399999999999</v>
      </c>
      <c r="I126" s="21">
        <v>-4.3524199999999999E-2</v>
      </c>
      <c r="J126" s="21">
        <v>116</v>
      </c>
      <c r="K126" s="21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1">
        <v>0.48416100000000001</v>
      </c>
      <c r="P126" s="21">
        <v>59.780099999999997</v>
      </c>
      <c r="Q126" s="21">
        <v>-3.41949E-2</v>
      </c>
      <c r="R126" s="21">
        <v>116</v>
      </c>
      <c r="S126" s="21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1">
        <v>4.5928999999999998E-2</v>
      </c>
      <c r="Z126" s="21">
        <v>62.637599999999999</v>
      </c>
      <c r="AA126" s="21">
        <v>-4.35638E-2</v>
      </c>
      <c r="AB126" s="21">
        <v>116</v>
      </c>
      <c r="AC126" s="21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1">
        <v>0.48416100000000001</v>
      </c>
      <c r="AH126" s="21">
        <v>65.288200000000003</v>
      </c>
      <c r="AI126" s="21">
        <v>-3.42651E-2</v>
      </c>
      <c r="AJ126" s="21">
        <v>116</v>
      </c>
      <c r="AK126" s="21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1">
        <v>4.5928999999999998E-2</v>
      </c>
      <c r="AR126" s="21">
        <v>67.946799999999996</v>
      </c>
      <c r="AS126" s="21">
        <v>-4.3481400000000003E-2</v>
      </c>
      <c r="AT126" s="21">
        <v>116</v>
      </c>
      <c r="AU126" s="21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1">
        <v>0.48416100000000001</v>
      </c>
      <c r="AZ126" s="21">
        <v>71.374399999999994</v>
      </c>
      <c r="BA126" s="21">
        <v>-3.4341400000000001E-2</v>
      </c>
      <c r="BB126" s="21">
        <v>116</v>
      </c>
      <c r="BC126" s="21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4.0893600000000002E-2</v>
      </c>
      <c r="H127" s="21">
        <v>50.321399999999997</v>
      </c>
      <c r="I127" s="21">
        <v>-4.3514999999999998E-2</v>
      </c>
      <c r="J127" s="21">
        <v>117</v>
      </c>
      <c r="K127" s="21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1">
        <v>0.48919699999999999</v>
      </c>
      <c r="P127" s="21">
        <v>59.790100000000002</v>
      </c>
      <c r="Q127" s="21">
        <v>-3.3505199999999999E-2</v>
      </c>
      <c r="R127" s="21">
        <v>117</v>
      </c>
      <c r="S127" s="21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1">
        <v>4.0893600000000002E-2</v>
      </c>
      <c r="Z127" s="21">
        <v>62.6477</v>
      </c>
      <c r="AA127" s="21">
        <v>-4.3557699999999998E-2</v>
      </c>
      <c r="AB127" s="21">
        <v>117</v>
      </c>
      <c r="AC127" s="21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1">
        <v>0.48919699999999999</v>
      </c>
      <c r="AH127" s="21">
        <v>65.298299999999998</v>
      </c>
      <c r="AI127" s="21">
        <v>-3.3590700000000001E-2</v>
      </c>
      <c r="AJ127" s="21">
        <v>117</v>
      </c>
      <c r="AK127" s="21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1">
        <v>4.0893600000000002E-2</v>
      </c>
      <c r="AR127" s="21">
        <v>67.956900000000005</v>
      </c>
      <c r="AS127" s="21">
        <v>-4.3487499999999998E-2</v>
      </c>
      <c r="AT127" s="21">
        <v>117</v>
      </c>
      <c r="AU127" s="21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1">
        <v>0.48919699999999999</v>
      </c>
      <c r="AZ127" s="21">
        <v>71.384399999999999</v>
      </c>
      <c r="BA127" s="21">
        <v>-3.3667000000000002E-2</v>
      </c>
      <c r="BB127" s="21">
        <v>117</v>
      </c>
      <c r="BC127" s="21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3.58582E-2</v>
      </c>
      <c r="H128" s="21">
        <v>50.331499999999998</v>
      </c>
      <c r="I128" s="21">
        <v>-4.3524199999999999E-2</v>
      </c>
      <c r="J128" s="21">
        <v>118</v>
      </c>
      <c r="K128" s="21">
        <v>3.5446199999999997E-2</v>
      </c>
      <c r="L128">
        <f t="shared" si="12"/>
        <v>43.5242</v>
      </c>
      <c r="M128">
        <f t="shared" si="13"/>
        <v>1.56069946844</v>
      </c>
      <c r="N128" s="9"/>
      <c r="O128" s="21">
        <v>0.494232</v>
      </c>
      <c r="P128" s="21">
        <v>59.800199999999997</v>
      </c>
      <c r="Q128" s="21">
        <v>-3.2757599999999998E-2</v>
      </c>
      <c r="R128" s="21">
        <v>118</v>
      </c>
      <c r="S128" s="21">
        <v>0.492981</v>
      </c>
      <c r="T128">
        <f t="shared" si="14"/>
        <v>32.757599999999996</v>
      </c>
      <c r="U128">
        <f t="shared" si="15"/>
        <v>16.1898541632</v>
      </c>
      <c r="X128" s="9"/>
      <c r="Y128" s="21">
        <v>3.58582E-2</v>
      </c>
      <c r="Z128" s="21">
        <v>62.657800000000002</v>
      </c>
      <c r="AA128" s="21">
        <v>-4.3545500000000001E-2</v>
      </c>
      <c r="AB128" s="21">
        <v>118</v>
      </c>
      <c r="AC128" s="21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1">
        <v>0.494232</v>
      </c>
      <c r="AH128" s="21">
        <v>65.308300000000003</v>
      </c>
      <c r="AI128" s="21">
        <v>-3.2852199999999998E-2</v>
      </c>
      <c r="AJ128" s="21">
        <v>118</v>
      </c>
      <c r="AK128" s="21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1">
        <v>3.58582E-2</v>
      </c>
      <c r="AR128" s="21">
        <v>67.966899999999995</v>
      </c>
      <c r="AS128" s="21">
        <v>-4.3499799999999998E-2</v>
      </c>
      <c r="AT128" s="21">
        <v>118</v>
      </c>
      <c r="AU128" s="21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1">
        <v>0.494232</v>
      </c>
      <c r="AZ128" s="21">
        <v>71.394499999999994</v>
      </c>
      <c r="BA128" s="21">
        <v>-3.2937599999999997E-2</v>
      </c>
      <c r="BB128" s="21">
        <v>118</v>
      </c>
      <c r="BC128" s="21">
        <v>0.49295</v>
      </c>
      <c r="BD128">
        <f t="shared" si="22"/>
        <v>32.937599999999996</v>
      </c>
      <c r="BE128">
        <f t="shared" si="23"/>
        <v>16.2788159232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3.0822800000000001E-2</v>
      </c>
      <c r="H129" s="21">
        <v>50.3416</v>
      </c>
      <c r="I129" s="21">
        <v>-4.3539399999999999E-2</v>
      </c>
      <c r="J129" s="21">
        <v>119</v>
      </c>
      <c r="K129" s="21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1">
        <v>0.49926799999999999</v>
      </c>
      <c r="P129" s="21">
        <v>59.810299999999998</v>
      </c>
      <c r="Q129" s="21">
        <v>-3.1942699999999997E-2</v>
      </c>
      <c r="R129" s="21">
        <v>119</v>
      </c>
      <c r="S129" s="21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1">
        <v>3.0822800000000001E-2</v>
      </c>
      <c r="Z129" s="21">
        <v>62.6678</v>
      </c>
      <c r="AA129" s="21">
        <v>-4.3545500000000001E-2</v>
      </c>
      <c r="AB129" s="21">
        <v>119</v>
      </c>
      <c r="AC129" s="21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1">
        <v>0.49926799999999999</v>
      </c>
      <c r="AH129" s="21">
        <v>65.318399999999997</v>
      </c>
      <c r="AI129" s="21">
        <v>-3.2064799999999997E-2</v>
      </c>
      <c r="AJ129" s="21">
        <v>119</v>
      </c>
      <c r="AK129" s="21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1">
        <v>3.0822800000000001E-2</v>
      </c>
      <c r="AR129" s="21">
        <v>67.977000000000004</v>
      </c>
      <c r="AS129" s="21">
        <v>-4.35059E-2</v>
      </c>
      <c r="AT129" s="21">
        <v>119</v>
      </c>
      <c r="AU129" s="21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1">
        <v>0.49926799999999999</v>
      </c>
      <c r="AZ129" s="21">
        <v>71.404600000000002</v>
      </c>
      <c r="BA129" s="21">
        <v>-3.2138100000000003E-2</v>
      </c>
      <c r="BB129" s="21">
        <v>119</v>
      </c>
      <c r="BC129" s="21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2.5787399999999999E-2</v>
      </c>
      <c r="H130" s="21">
        <v>50.351700000000001</v>
      </c>
      <c r="I130" s="21">
        <v>-4.3545500000000001E-2</v>
      </c>
      <c r="J130" s="21">
        <v>120</v>
      </c>
      <c r="K130" s="21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1">
        <v>0.50430299999999995</v>
      </c>
      <c r="P130" s="21">
        <v>59.820300000000003</v>
      </c>
      <c r="Q130" s="21">
        <v>-3.1073E-2</v>
      </c>
      <c r="R130" s="21">
        <v>120</v>
      </c>
      <c r="S130" s="21">
        <v>0.50308200000000003</v>
      </c>
      <c r="T130">
        <f t="shared" si="14"/>
        <v>31.073</v>
      </c>
      <c r="U130">
        <f t="shared" si="15"/>
        <v>15.670207118999999</v>
      </c>
      <c r="X130" s="9"/>
      <c r="Y130" s="21">
        <v>2.5787399999999999E-2</v>
      </c>
      <c r="Z130" s="21">
        <v>62.677900000000001</v>
      </c>
      <c r="AA130" s="21">
        <v>-4.3539399999999999E-2</v>
      </c>
      <c r="AB130" s="21">
        <v>120</v>
      </c>
      <c r="AC130" s="21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1">
        <v>0.50430299999999995</v>
      </c>
      <c r="AH130" s="21">
        <v>65.328500000000005</v>
      </c>
      <c r="AI130" s="21">
        <v>-3.1192000000000001E-2</v>
      </c>
      <c r="AJ130" s="21">
        <v>120</v>
      </c>
      <c r="AK130" s="21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1">
        <v>2.5787399999999999E-2</v>
      </c>
      <c r="AR130" s="21">
        <v>67.987099999999998</v>
      </c>
      <c r="AS130" s="21">
        <v>-4.3502800000000001E-2</v>
      </c>
      <c r="AT130" s="21">
        <v>120</v>
      </c>
      <c r="AU130" s="21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1">
        <v>0.50430299999999995</v>
      </c>
      <c r="AZ130" s="21">
        <v>71.414699999999996</v>
      </c>
      <c r="BA130" s="21">
        <v>-3.1280500000000003E-2</v>
      </c>
      <c r="BB130" s="21">
        <v>120</v>
      </c>
      <c r="BC130" s="21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2.0752E-2</v>
      </c>
      <c r="H131" s="21">
        <v>50.361699999999999</v>
      </c>
      <c r="I131" s="21">
        <v>-4.3554700000000002E-2</v>
      </c>
      <c r="J131" s="21">
        <v>121</v>
      </c>
      <c r="K131" s="21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1">
        <v>0.50933799999999996</v>
      </c>
      <c r="P131" s="21">
        <v>59.830399999999997</v>
      </c>
      <c r="Q131" s="21">
        <v>-3.0142200000000001E-2</v>
      </c>
      <c r="R131" s="21">
        <v>121</v>
      </c>
      <c r="S131" s="21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1">
        <v>2.0752E-2</v>
      </c>
      <c r="Z131" s="21">
        <v>62.688000000000002</v>
      </c>
      <c r="AA131" s="21">
        <v>-4.3542499999999998E-2</v>
      </c>
      <c r="AB131" s="21">
        <v>121</v>
      </c>
      <c r="AC131" s="21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1">
        <v>0.50933799999999996</v>
      </c>
      <c r="AH131" s="21">
        <v>65.3386</v>
      </c>
      <c r="AI131" s="21">
        <v>-3.0270399999999999E-2</v>
      </c>
      <c r="AJ131" s="21">
        <v>121</v>
      </c>
      <c r="AK131" s="21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1">
        <v>2.0752E-2</v>
      </c>
      <c r="AR131" s="21">
        <v>67.997100000000003</v>
      </c>
      <c r="AS131" s="21">
        <v>-4.3502800000000001E-2</v>
      </c>
      <c r="AT131" s="21">
        <v>121</v>
      </c>
      <c r="AU131" s="21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1">
        <v>0.50933799999999996</v>
      </c>
      <c r="AZ131" s="21">
        <v>71.424700000000001</v>
      </c>
      <c r="BA131" s="21">
        <v>-3.0358900000000001E-2</v>
      </c>
      <c r="BB131" s="21">
        <v>121</v>
      </c>
      <c r="BC131" s="21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1.5716600000000001E-2</v>
      </c>
      <c r="H132" s="21">
        <v>50.3718</v>
      </c>
      <c r="I132" s="21">
        <v>-4.3551600000000003E-2</v>
      </c>
      <c r="J132" s="21">
        <v>122</v>
      </c>
      <c r="K132" s="21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1">
        <v>0.514374</v>
      </c>
      <c r="P132" s="21">
        <v>59.840499999999999</v>
      </c>
      <c r="Q132" s="21">
        <v>-2.9159500000000001E-2</v>
      </c>
      <c r="R132" s="21">
        <v>122</v>
      </c>
      <c r="S132" s="21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1">
        <v>1.5716600000000001E-2</v>
      </c>
      <c r="Z132" s="21">
        <v>62.698099999999997</v>
      </c>
      <c r="AA132" s="21">
        <v>-4.35486E-2</v>
      </c>
      <c r="AB132" s="21">
        <v>122</v>
      </c>
      <c r="AC132" s="21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1">
        <v>0.514374</v>
      </c>
      <c r="AH132" s="21">
        <v>65.348600000000005</v>
      </c>
      <c r="AI132" s="21">
        <v>-2.92725E-2</v>
      </c>
      <c r="AJ132" s="21">
        <v>122</v>
      </c>
      <c r="AK132" s="21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1">
        <v>1.5716600000000001E-2</v>
      </c>
      <c r="AR132" s="21">
        <v>68.007199999999997</v>
      </c>
      <c r="AS132" s="21">
        <v>-4.3514999999999998E-2</v>
      </c>
      <c r="AT132" s="21">
        <v>122</v>
      </c>
      <c r="AU132" s="21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1">
        <v>0.514374</v>
      </c>
      <c r="AZ132" s="21">
        <v>71.434799999999996</v>
      </c>
      <c r="BA132" s="21">
        <v>-2.93701E-2</v>
      </c>
      <c r="BB132" s="21">
        <v>122</v>
      </c>
      <c r="BC132" s="21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1.06812E-2</v>
      </c>
      <c r="H133" s="21">
        <v>50.381900000000002</v>
      </c>
      <c r="I133" s="21">
        <v>-4.3554700000000002E-2</v>
      </c>
      <c r="J133" s="21">
        <v>123</v>
      </c>
      <c r="K133" s="21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1">
        <v>0.51940900000000001</v>
      </c>
      <c r="P133" s="21">
        <v>59.8506</v>
      </c>
      <c r="Q133" s="21">
        <v>-2.8088399999999999E-2</v>
      </c>
      <c r="R133" s="21">
        <v>123</v>
      </c>
      <c r="S133" s="21">
        <v>0.51827999999999996</v>
      </c>
      <c r="T133">
        <f t="shared" si="14"/>
        <v>28.0884</v>
      </c>
      <c r="U133">
        <f t="shared" si="15"/>
        <v>14.5893677556</v>
      </c>
      <c r="X133" s="9"/>
      <c r="Y133" s="21">
        <v>1.06812E-2</v>
      </c>
      <c r="Z133" s="21">
        <v>62.708100000000002</v>
      </c>
      <c r="AA133" s="21">
        <v>-4.35638E-2</v>
      </c>
      <c r="AB133" s="21">
        <v>123</v>
      </c>
      <c r="AC133" s="21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1">
        <v>0.51940900000000001</v>
      </c>
      <c r="AH133" s="21">
        <v>65.358699999999999</v>
      </c>
      <c r="AI133" s="21">
        <v>-2.82227E-2</v>
      </c>
      <c r="AJ133" s="21">
        <v>123</v>
      </c>
      <c r="AK133" s="21">
        <v>0.51821899999999999</v>
      </c>
      <c r="AL133">
        <f t="shared" si="18"/>
        <v>28.2227</v>
      </c>
      <c r="AM133">
        <f t="shared" si="19"/>
        <v>14.6591243843</v>
      </c>
      <c r="AP133" s="9"/>
      <c r="AQ133" s="21">
        <v>1.06812E-2</v>
      </c>
      <c r="AR133" s="21">
        <v>68.017300000000006</v>
      </c>
      <c r="AS133" s="21">
        <v>-4.35211E-2</v>
      </c>
      <c r="AT133" s="21">
        <v>123</v>
      </c>
      <c r="AU133" s="21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1">
        <v>0.51940900000000001</v>
      </c>
      <c r="AZ133" s="21">
        <v>71.444900000000004</v>
      </c>
      <c r="BA133" s="21">
        <v>-2.8311200000000002E-2</v>
      </c>
      <c r="BB133" s="21">
        <v>123</v>
      </c>
      <c r="BC133" s="21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5.6457499999999997E-3</v>
      </c>
      <c r="H134" s="21">
        <v>50.3919</v>
      </c>
      <c r="I134" s="21">
        <v>-4.3554700000000002E-2</v>
      </c>
      <c r="J134" s="21">
        <v>124</v>
      </c>
      <c r="K134" s="21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1">
        <v>0.52444500000000005</v>
      </c>
      <c r="P134" s="21">
        <v>59.860599999999998</v>
      </c>
      <c r="Q134" s="21">
        <v>-2.6953100000000001E-2</v>
      </c>
      <c r="R134" s="21">
        <v>124</v>
      </c>
      <c r="S134" s="21">
        <v>0.523285</v>
      </c>
      <c r="T134">
        <f t="shared" si="14"/>
        <v>26.953099999999999</v>
      </c>
      <c r="U134">
        <f t="shared" si="15"/>
        <v>14.135418529500001</v>
      </c>
      <c r="X134" s="9"/>
      <c r="Y134" s="21">
        <v>5.6457499999999997E-3</v>
      </c>
      <c r="Z134" s="21">
        <v>62.718200000000003</v>
      </c>
      <c r="AA134" s="21">
        <v>-4.3585199999999998E-2</v>
      </c>
      <c r="AB134" s="21">
        <v>124</v>
      </c>
      <c r="AC134" s="21">
        <v>5.18799E-3</v>
      </c>
      <c r="AD134">
        <f t="shared" si="16"/>
        <v>43.5852</v>
      </c>
      <c r="AE134">
        <f t="shared" si="17"/>
        <v>0.24607114289999998</v>
      </c>
      <c r="AF134" s="9"/>
      <c r="AG134" s="21">
        <v>0.52444500000000005</v>
      </c>
      <c r="AH134" s="21">
        <v>65.368799999999993</v>
      </c>
      <c r="AI134" s="21">
        <v>-2.7081299999999999E-2</v>
      </c>
      <c r="AJ134" s="21">
        <v>124</v>
      </c>
      <c r="AK134" s="21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1">
        <v>5.6457499999999997E-3</v>
      </c>
      <c r="AR134" s="21">
        <v>68.027299999999997</v>
      </c>
      <c r="AS134" s="21">
        <v>-4.3527200000000002E-2</v>
      </c>
      <c r="AT134" s="21">
        <v>124</v>
      </c>
      <c r="AU134" s="21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1">
        <v>0.52444500000000005</v>
      </c>
      <c r="AZ134" s="21">
        <v>71.454899999999995</v>
      </c>
      <c r="BA134" s="21">
        <v>-2.7175899999999999E-2</v>
      </c>
      <c r="BB134" s="21">
        <v>124</v>
      </c>
      <c r="BC134" s="21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6.1035199999999999E-4</v>
      </c>
      <c r="H135" s="21">
        <v>50.402000000000001</v>
      </c>
      <c r="I135" s="21">
        <v>-4.3554700000000002E-2</v>
      </c>
      <c r="J135" s="21">
        <v>125</v>
      </c>
      <c r="K135" s="21">
        <v>1.89209E-4</v>
      </c>
      <c r="L135">
        <f t="shared" si="12"/>
        <v>43.554700000000004</v>
      </c>
      <c r="M135">
        <f t="shared" si="13"/>
        <v>2.65836982544E-2</v>
      </c>
      <c r="N135" s="9"/>
      <c r="O135" s="21">
        <v>0.52947999999999995</v>
      </c>
      <c r="P135" s="21">
        <v>59.870699999999999</v>
      </c>
      <c r="Q135" s="21">
        <v>-2.5738500000000001E-2</v>
      </c>
      <c r="R135" s="21">
        <v>125</v>
      </c>
      <c r="S135" s="21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1">
        <v>6.1035199999999999E-4</v>
      </c>
      <c r="Z135" s="21">
        <v>62.728299999999997</v>
      </c>
      <c r="AA135" s="21">
        <v>-4.3585199999999998E-2</v>
      </c>
      <c r="AB135" s="21">
        <v>125</v>
      </c>
      <c r="AC135" s="21">
        <v>1.25122E-4</v>
      </c>
      <c r="AD135">
        <f t="shared" si="16"/>
        <v>43.5852</v>
      </c>
      <c r="AE135">
        <f t="shared" si="17"/>
        <v>2.6602313990400001E-2</v>
      </c>
      <c r="AF135" s="9"/>
      <c r="AG135" s="21">
        <v>0.52947999999999995</v>
      </c>
      <c r="AH135" s="21">
        <v>65.378799999999998</v>
      </c>
      <c r="AI135" s="21">
        <v>-2.5884999999999998E-2</v>
      </c>
      <c r="AJ135" s="21">
        <v>125</v>
      </c>
      <c r="AK135" s="21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1">
        <v>6.1035199999999999E-4</v>
      </c>
      <c r="AR135" s="21">
        <v>68.037400000000005</v>
      </c>
      <c r="AS135" s="21">
        <v>-4.3536400000000003E-2</v>
      </c>
      <c r="AT135" s="21">
        <v>125</v>
      </c>
      <c r="AU135" s="21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1">
        <v>0.52947999999999995</v>
      </c>
      <c r="AZ135" s="21">
        <v>71.465000000000003</v>
      </c>
      <c r="BA135" s="21">
        <v>-2.5967400000000002E-2</v>
      </c>
      <c r="BB135" s="21">
        <v>125</v>
      </c>
      <c r="BC135" s="21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-4.4250499999999998E-3</v>
      </c>
      <c r="H136" s="21">
        <v>50.412100000000002</v>
      </c>
      <c r="I136" s="21">
        <v>-4.3566899999999999E-2</v>
      </c>
      <c r="J136" s="21">
        <v>126</v>
      </c>
      <c r="K136" s="21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1">
        <v>0.53451499999999996</v>
      </c>
      <c r="P136" s="21">
        <v>59.880800000000001</v>
      </c>
      <c r="Q136" s="21">
        <v>-2.4453699999999998E-2</v>
      </c>
      <c r="R136" s="21">
        <v>126</v>
      </c>
      <c r="S136" s="21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1">
        <v>-4.4250499999999998E-3</v>
      </c>
      <c r="Z136" s="21">
        <v>62.738300000000002</v>
      </c>
      <c r="AA136" s="21">
        <v>-4.3575999999999997E-2</v>
      </c>
      <c r="AB136" s="21">
        <v>126</v>
      </c>
      <c r="AC136" s="21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1">
        <v>0.53451499999999996</v>
      </c>
      <c r="AH136" s="21">
        <v>65.388900000000007</v>
      </c>
      <c r="AI136" s="21">
        <v>-2.4578900000000001E-2</v>
      </c>
      <c r="AJ136" s="21">
        <v>126</v>
      </c>
      <c r="AK136" s="21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1">
        <v>-4.4250499999999998E-3</v>
      </c>
      <c r="AR136" s="21">
        <v>68.047499999999999</v>
      </c>
      <c r="AS136" s="21">
        <v>-4.3554700000000002E-2</v>
      </c>
      <c r="AT136" s="21">
        <v>126</v>
      </c>
      <c r="AU136" s="21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1">
        <v>0.53451499999999996</v>
      </c>
      <c r="AZ136" s="21">
        <v>71.475099999999998</v>
      </c>
      <c r="BA136" s="21">
        <v>-2.4685700000000001E-2</v>
      </c>
      <c r="BB136" s="21">
        <v>126</v>
      </c>
      <c r="BC136" s="21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-9.4604500000000005E-3</v>
      </c>
      <c r="H137" s="21">
        <v>50.422199999999997</v>
      </c>
      <c r="I137" s="21">
        <v>-4.3582200000000001E-2</v>
      </c>
      <c r="J137" s="21">
        <v>127</v>
      </c>
      <c r="K137" s="21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1">
        <v>0.539551</v>
      </c>
      <c r="P137" s="21">
        <v>59.890799999999999</v>
      </c>
      <c r="Q137" s="21">
        <v>-2.3080400000000001E-2</v>
      </c>
      <c r="R137" s="21">
        <v>127</v>
      </c>
      <c r="S137" s="21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1">
        <v>-9.4604500000000005E-3</v>
      </c>
      <c r="Z137" s="21">
        <v>62.748399999999997</v>
      </c>
      <c r="AA137" s="21">
        <v>-4.3560799999999997E-2</v>
      </c>
      <c r="AB137" s="21">
        <v>127</v>
      </c>
      <c r="AC137" s="21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1">
        <v>0.539551</v>
      </c>
      <c r="AH137" s="21">
        <v>65.399000000000001</v>
      </c>
      <c r="AI137" s="21">
        <v>-2.3226900000000002E-2</v>
      </c>
      <c r="AJ137" s="21">
        <v>127</v>
      </c>
      <c r="AK137" s="21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1">
        <v>-9.4604500000000005E-3</v>
      </c>
      <c r="AR137" s="21">
        <v>68.057599999999994</v>
      </c>
      <c r="AS137" s="21">
        <v>-4.3566899999999999E-2</v>
      </c>
      <c r="AT137" s="21">
        <v>127</v>
      </c>
      <c r="AU137" s="21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1">
        <v>0.539551</v>
      </c>
      <c r="AZ137" s="21">
        <v>71.485100000000003</v>
      </c>
      <c r="BA137" s="21">
        <v>-2.33276E-2</v>
      </c>
      <c r="BB137" s="21">
        <v>127</v>
      </c>
      <c r="BC137" s="21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-1.44958E-2</v>
      </c>
      <c r="H138" s="21">
        <v>50.432200000000002</v>
      </c>
      <c r="I138" s="21">
        <v>-4.3579100000000003E-2</v>
      </c>
      <c r="J138" s="21">
        <v>128</v>
      </c>
      <c r="K138" s="21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1">
        <v>0.54458600000000001</v>
      </c>
      <c r="P138" s="21">
        <v>59.9009</v>
      </c>
      <c r="Q138" s="21">
        <v>-2.1637E-2</v>
      </c>
      <c r="R138" s="21">
        <v>128</v>
      </c>
      <c r="S138" s="21">
        <v>0.54351799999999995</v>
      </c>
      <c r="T138">
        <f t="shared" si="14"/>
        <v>21.637</v>
      </c>
      <c r="U138">
        <f t="shared" si="15"/>
        <v>11.783207282000001</v>
      </c>
      <c r="X138" s="9"/>
      <c r="Y138" s="21">
        <v>-1.44958E-2</v>
      </c>
      <c r="Z138" s="21">
        <v>62.758499999999998</v>
      </c>
      <c r="AA138" s="21">
        <v>-4.3569900000000002E-2</v>
      </c>
      <c r="AB138" s="21">
        <v>128</v>
      </c>
      <c r="AC138" s="21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1">
        <v>0.54458600000000001</v>
      </c>
      <c r="AH138" s="21">
        <v>65.409099999999995</v>
      </c>
      <c r="AI138" s="21">
        <v>-2.1752899999999999E-2</v>
      </c>
      <c r="AJ138" s="21">
        <v>128</v>
      </c>
      <c r="AK138" s="21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1">
        <v>-1.44958E-2</v>
      </c>
      <c r="AR138" s="21">
        <v>68.067599999999999</v>
      </c>
      <c r="AS138" s="21">
        <v>-4.3557699999999998E-2</v>
      </c>
      <c r="AT138" s="21">
        <v>128</v>
      </c>
      <c r="AU138" s="21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1">
        <v>0.54458600000000001</v>
      </c>
      <c r="AZ138" s="21">
        <v>71.495199999999997</v>
      </c>
      <c r="BA138" s="21">
        <v>-2.1878100000000001E-2</v>
      </c>
      <c r="BB138" s="21">
        <v>128</v>
      </c>
      <c r="BC138" s="21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-1.9531300000000001E-2</v>
      </c>
      <c r="H139" s="21">
        <v>50.442300000000003</v>
      </c>
      <c r="I139" s="21">
        <v>-4.3569900000000002E-2</v>
      </c>
      <c r="J139" s="21">
        <v>129</v>
      </c>
      <c r="K139" s="21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1">
        <v>0.54962200000000005</v>
      </c>
      <c r="P139" s="21">
        <v>59.911000000000001</v>
      </c>
      <c r="Q139" s="21">
        <v>-2.0092800000000001E-2</v>
      </c>
      <c r="R139" s="21">
        <v>129</v>
      </c>
      <c r="S139" s="21">
        <v>0.54861499999999996</v>
      </c>
      <c r="T139">
        <f t="shared" si="14"/>
        <v>20.0928</v>
      </c>
      <c r="U139">
        <f t="shared" si="15"/>
        <v>11.043444921600001</v>
      </c>
      <c r="X139" s="9"/>
      <c r="Y139" s="21">
        <v>-1.9531300000000001E-2</v>
      </c>
      <c r="Z139" s="21">
        <v>62.768599999999999</v>
      </c>
      <c r="AA139" s="21">
        <v>-4.3582200000000001E-2</v>
      </c>
      <c r="AB139" s="21">
        <v>129</v>
      </c>
      <c r="AC139" s="21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1">
        <v>0.54962200000000005</v>
      </c>
      <c r="AH139" s="21">
        <v>65.4191</v>
      </c>
      <c r="AI139" s="21">
        <v>-2.0239300000000002E-2</v>
      </c>
      <c r="AJ139" s="21">
        <v>129</v>
      </c>
      <c r="AK139" s="21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1">
        <v>-1.9531300000000001E-2</v>
      </c>
      <c r="AR139" s="21">
        <v>68.077699999999993</v>
      </c>
      <c r="AS139" s="21">
        <v>-4.35638E-2</v>
      </c>
      <c r="AT139" s="21">
        <v>129</v>
      </c>
      <c r="AU139" s="21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1">
        <v>0.54962200000000005</v>
      </c>
      <c r="AZ139" s="21">
        <v>71.505300000000005</v>
      </c>
      <c r="BA139" s="21">
        <v>-2.0343E-2</v>
      </c>
      <c r="BB139" s="21">
        <v>129</v>
      </c>
      <c r="BC139" s="21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-2.45667E-2</v>
      </c>
      <c r="H140" s="21">
        <v>50.452399999999997</v>
      </c>
      <c r="I140" s="21">
        <v>-4.3569900000000002E-2</v>
      </c>
      <c r="J140" s="21">
        <v>130</v>
      </c>
      <c r="K140" s="21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1">
        <v>0.55465699999999996</v>
      </c>
      <c r="P140" s="21">
        <v>59.921100000000003</v>
      </c>
      <c r="Q140" s="21">
        <v>-1.8512000000000001E-2</v>
      </c>
      <c r="R140" s="21">
        <v>130</v>
      </c>
      <c r="S140" s="21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1">
        <v>-2.45667E-2</v>
      </c>
      <c r="Z140" s="21">
        <v>62.778599999999997</v>
      </c>
      <c r="AA140" s="21">
        <v>-4.3579100000000003E-2</v>
      </c>
      <c r="AB140" s="21">
        <v>130</v>
      </c>
      <c r="AC140" s="21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1">
        <v>0.55465699999999996</v>
      </c>
      <c r="AH140" s="21">
        <v>65.429199999999994</v>
      </c>
      <c r="AI140" s="21">
        <v>-1.8627899999999999E-2</v>
      </c>
      <c r="AJ140" s="21">
        <v>130</v>
      </c>
      <c r="AK140" s="21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1">
        <v>-2.45667E-2</v>
      </c>
      <c r="AR140" s="21">
        <v>68.087800000000001</v>
      </c>
      <c r="AS140" s="21">
        <v>-4.3554700000000002E-2</v>
      </c>
      <c r="AT140" s="21">
        <v>130</v>
      </c>
      <c r="AU140" s="21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1">
        <v>0.55465699999999996</v>
      </c>
      <c r="AZ140" s="21">
        <v>71.5154</v>
      </c>
      <c r="BA140" s="21">
        <v>-1.8743900000000001E-2</v>
      </c>
      <c r="BB140" s="21">
        <v>130</v>
      </c>
      <c r="BC140" s="21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-2.9602099999999999E-2</v>
      </c>
      <c r="H141" s="21">
        <v>50.462400000000002</v>
      </c>
      <c r="I141" s="21">
        <v>-4.3575999999999997E-2</v>
      </c>
      <c r="J141" s="21">
        <v>131</v>
      </c>
      <c r="K141" s="21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1">
        <v>0.55969199999999997</v>
      </c>
      <c r="P141" s="21">
        <v>59.931100000000001</v>
      </c>
      <c r="Q141" s="21">
        <v>-1.68121E-2</v>
      </c>
      <c r="R141" s="21">
        <v>131</v>
      </c>
      <c r="S141" s="21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1">
        <v>-2.9602099999999999E-2</v>
      </c>
      <c r="Z141" s="21">
        <v>62.788699999999999</v>
      </c>
      <c r="AA141" s="21">
        <v>-4.3579100000000003E-2</v>
      </c>
      <c r="AB141" s="21">
        <v>131</v>
      </c>
      <c r="AC141" s="21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1">
        <v>0.55969199999999997</v>
      </c>
      <c r="AH141" s="21">
        <v>65.439300000000003</v>
      </c>
      <c r="AI141" s="21">
        <v>-1.6949499999999999E-2</v>
      </c>
      <c r="AJ141" s="21">
        <v>131</v>
      </c>
      <c r="AK141" s="21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1">
        <v>-2.9602099999999999E-2</v>
      </c>
      <c r="AR141" s="21">
        <v>68.097800000000007</v>
      </c>
      <c r="AS141" s="21">
        <v>-4.35638E-2</v>
      </c>
      <c r="AT141" s="21">
        <v>131</v>
      </c>
      <c r="AU141" s="21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1">
        <v>0.55969199999999997</v>
      </c>
      <c r="AZ141" s="21">
        <v>71.525400000000005</v>
      </c>
      <c r="BA141" s="21">
        <v>-1.7038000000000001E-2</v>
      </c>
      <c r="BB141" s="21">
        <v>131</v>
      </c>
      <c r="BC141" s="21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-3.4637500000000002E-2</v>
      </c>
      <c r="H142" s="21">
        <v>50.472499999999997</v>
      </c>
      <c r="I142" s="21">
        <v>-4.3582200000000001E-2</v>
      </c>
      <c r="J142" s="21">
        <v>132</v>
      </c>
      <c r="K142" s="21">
        <v>-3.5183699999999998E-2</v>
      </c>
      <c r="L142">
        <f t="shared" si="24"/>
        <v>43.5822</v>
      </c>
      <c r="M142">
        <f t="shared" si="25"/>
        <v>-1.5095784525</v>
      </c>
      <c r="N142" s="9"/>
      <c r="O142" s="21">
        <v>0.56472800000000001</v>
      </c>
      <c r="P142" s="21">
        <v>59.941200000000002</v>
      </c>
      <c r="Q142" s="21">
        <v>-1.5069600000000001E-2</v>
      </c>
      <c r="R142" s="21">
        <v>132</v>
      </c>
      <c r="S142" s="21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1">
        <v>-3.4637500000000002E-2</v>
      </c>
      <c r="Z142" s="21">
        <v>62.7988</v>
      </c>
      <c r="AA142" s="21">
        <v>-4.3579100000000003E-2</v>
      </c>
      <c r="AB142" s="21">
        <v>132</v>
      </c>
      <c r="AC142" s="21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1">
        <v>0.56472800000000001</v>
      </c>
      <c r="AH142" s="21">
        <v>65.449299999999994</v>
      </c>
      <c r="AI142" s="21">
        <v>-1.51672E-2</v>
      </c>
      <c r="AJ142" s="21">
        <v>132</v>
      </c>
      <c r="AK142" s="21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1">
        <v>-3.4637500000000002E-2</v>
      </c>
      <c r="AR142" s="21">
        <v>68.107900000000001</v>
      </c>
      <c r="AS142" s="21">
        <v>-4.3575999999999997E-2</v>
      </c>
      <c r="AT142" s="21">
        <v>132</v>
      </c>
      <c r="AU142" s="21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1">
        <v>0.56472800000000001</v>
      </c>
      <c r="AZ142" s="21">
        <v>71.535499999999999</v>
      </c>
      <c r="BA142" s="21">
        <v>-1.5273999999999999E-2</v>
      </c>
      <c r="BB142" s="21">
        <v>132</v>
      </c>
      <c r="BC142" s="21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-3.9672899999999997E-2</v>
      </c>
      <c r="H143" s="21">
        <v>50.482599999999998</v>
      </c>
      <c r="I143" s="21">
        <v>-4.3594399999999998E-2</v>
      </c>
      <c r="J143" s="21">
        <v>133</v>
      </c>
      <c r="K143" s="21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1">
        <v>0.56976300000000002</v>
      </c>
      <c r="P143" s="21">
        <v>59.951300000000003</v>
      </c>
      <c r="Q143" s="21">
        <v>-1.3229400000000001E-2</v>
      </c>
      <c r="R143" s="21">
        <v>133</v>
      </c>
      <c r="S143" s="21">
        <v>0.56881700000000002</v>
      </c>
      <c r="T143">
        <f t="shared" si="26"/>
        <v>13.2294</v>
      </c>
      <c r="U143">
        <f t="shared" si="27"/>
        <v>7.5376226322000006</v>
      </c>
      <c r="X143" s="9"/>
      <c r="Y143" s="21">
        <v>-3.9672899999999997E-2</v>
      </c>
      <c r="Z143" s="21">
        <v>62.808799999999998</v>
      </c>
      <c r="AA143" s="21">
        <v>-4.3582200000000001E-2</v>
      </c>
      <c r="AB143" s="21">
        <v>133</v>
      </c>
      <c r="AC143" s="21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1">
        <v>0.56976300000000002</v>
      </c>
      <c r="AH143" s="21">
        <v>65.459400000000002</v>
      </c>
      <c r="AI143" s="21">
        <v>-1.33545E-2</v>
      </c>
      <c r="AJ143" s="21">
        <v>133</v>
      </c>
      <c r="AK143" s="21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1">
        <v>-3.9672899999999997E-2</v>
      </c>
      <c r="AR143" s="21">
        <v>68.117999999999995</v>
      </c>
      <c r="AS143" s="21">
        <v>-4.3579100000000003E-2</v>
      </c>
      <c r="AT143" s="21">
        <v>133</v>
      </c>
      <c r="AU143" s="21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1">
        <v>0.56976300000000002</v>
      </c>
      <c r="AZ143" s="21">
        <v>71.545599999999993</v>
      </c>
      <c r="BA143" s="21">
        <v>-1.3427700000000001E-2</v>
      </c>
      <c r="BB143" s="21">
        <v>133</v>
      </c>
      <c r="BC143" s="21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-4.4708299999999999E-2</v>
      </c>
      <c r="H144" s="21">
        <v>50.492699999999999</v>
      </c>
      <c r="I144" s="21">
        <v>-4.3591299999999999E-2</v>
      </c>
      <c r="J144" s="21">
        <v>134</v>
      </c>
      <c r="K144" s="21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1">
        <v>0.57479899999999995</v>
      </c>
      <c r="P144" s="21">
        <v>59.961300000000001</v>
      </c>
      <c r="Q144" s="21">
        <v>-1.1328100000000001E-2</v>
      </c>
      <c r="R144" s="21">
        <v>134</v>
      </c>
      <c r="S144" s="21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1">
        <v>-4.4708299999999999E-2</v>
      </c>
      <c r="Z144" s="21">
        <v>62.818899999999999</v>
      </c>
      <c r="AA144" s="21">
        <v>-4.3582200000000001E-2</v>
      </c>
      <c r="AB144" s="21">
        <v>134</v>
      </c>
      <c r="AC144" s="21">
        <v>-4.53461E-2</v>
      </c>
      <c r="AD144">
        <f t="shared" si="28"/>
        <v>43.5822</v>
      </c>
      <c r="AE144">
        <f t="shared" si="29"/>
        <v>-1.9484860722599999</v>
      </c>
      <c r="AF144" s="9"/>
      <c r="AG144" s="21">
        <v>0.57479899999999995</v>
      </c>
      <c r="AH144" s="21">
        <v>65.469499999999996</v>
      </c>
      <c r="AI144" s="21">
        <v>-1.1407499999999999E-2</v>
      </c>
      <c r="AJ144" s="21">
        <v>134</v>
      </c>
      <c r="AK144" s="21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1">
        <v>-4.4708299999999999E-2</v>
      </c>
      <c r="AR144" s="21">
        <v>68.128100000000003</v>
      </c>
      <c r="AS144" s="21">
        <v>-4.3575999999999997E-2</v>
      </c>
      <c r="AT144" s="21">
        <v>134</v>
      </c>
      <c r="AU144" s="21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1">
        <v>0.57479899999999995</v>
      </c>
      <c r="AZ144" s="21">
        <v>71.555599999999998</v>
      </c>
      <c r="BA144" s="21">
        <v>-1.1499000000000001E-2</v>
      </c>
      <c r="BB144" s="21">
        <v>134</v>
      </c>
      <c r="BC144" s="21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-4.9743700000000002E-2</v>
      </c>
      <c r="H145" s="21">
        <v>50.502699999999997</v>
      </c>
      <c r="I145" s="21">
        <v>-4.3591299999999999E-2</v>
      </c>
      <c r="J145" s="21">
        <v>135</v>
      </c>
      <c r="K145" s="21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1">
        <v>0.57983399999999996</v>
      </c>
      <c r="P145" s="21">
        <v>59.971400000000003</v>
      </c>
      <c r="Q145" s="21">
        <v>-9.3322800000000001E-3</v>
      </c>
      <c r="R145" s="21">
        <v>135</v>
      </c>
      <c r="S145" s="21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1">
        <v>-4.9743700000000002E-2</v>
      </c>
      <c r="Z145" s="21">
        <v>62.829000000000001</v>
      </c>
      <c r="AA145" s="21">
        <v>-4.3585199999999998E-2</v>
      </c>
      <c r="AB145" s="21">
        <v>135</v>
      </c>
      <c r="AC145" s="21">
        <v>-5.11169E-2</v>
      </c>
      <c r="AD145">
        <f t="shared" si="28"/>
        <v>43.5852</v>
      </c>
      <c r="AE145">
        <f t="shared" si="29"/>
        <v>-2.1680891132400002</v>
      </c>
      <c r="AF145" s="9"/>
      <c r="AG145" s="21">
        <v>0.57983399999999996</v>
      </c>
      <c r="AH145" s="21">
        <v>65.479600000000005</v>
      </c>
      <c r="AI145" s="21">
        <v>-9.4421399999999999E-3</v>
      </c>
      <c r="AJ145" s="21">
        <v>135</v>
      </c>
      <c r="AK145" s="21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1">
        <v>-4.9743700000000002E-2</v>
      </c>
      <c r="AR145" s="21">
        <v>68.138099999999994</v>
      </c>
      <c r="AS145" s="21">
        <v>-4.3582200000000001E-2</v>
      </c>
      <c r="AT145" s="21">
        <v>135</v>
      </c>
      <c r="AU145" s="21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1">
        <v>0.57983399999999996</v>
      </c>
      <c r="AZ145" s="21">
        <v>71.565700000000007</v>
      </c>
      <c r="BA145" s="21">
        <v>-9.50317E-3</v>
      </c>
      <c r="BB145" s="21">
        <v>135</v>
      </c>
      <c r="BC145" s="21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-5.4779099999999997E-2</v>
      </c>
      <c r="H146" s="21">
        <v>50.512799999999999</v>
      </c>
      <c r="I146" s="21">
        <v>-4.3591299999999999E-2</v>
      </c>
      <c r="J146" s="21">
        <v>136</v>
      </c>
      <c r="K146" s="21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1">
        <v>0.58486899999999997</v>
      </c>
      <c r="P146" s="21">
        <v>59.981499999999997</v>
      </c>
      <c r="Q146" s="21">
        <v>-7.2814899999999998E-3</v>
      </c>
      <c r="R146" s="21">
        <v>136</v>
      </c>
      <c r="S146" s="21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1">
        <v>-5.4779099999999997E-2</v>
      </c>
      <c r="Z146" s="21">
        <v>62.839100000000002</v>
      </c>
      <c r="AA146" s="21">
        <v>-4.3582200000000001E-2</v>
      </c>
      <c r="AB146" s="21">
        <v>136</v>
      </c>
      <c r="AC146" s="21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1">
        <v>0.58486899999999997</v>
      </c>
      <c r="AH146" s="21">
        <v>65.489599999999996</v>
      </c>
      <c r="AI146" s="21">
        <v>-7.3364299999999997E-3</v>
      </c>
      <c r="AJ146" s="21">
        <v>136</v>
      </c>
      <c r="AK146" s="21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1">
        <v>-5.4779099999999997E-2</v>
      </c>
      <c r="AR146" s="21">
        <v>68.148200000000003</v>
      </c>
      <c r="AS146" s="21">
        <v>-4.3594399999999998E-2</v>
      </c>
      <c r="AT146" s="21">
        <v>136</v>
      </c>
      <c r="AU146" s="21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1">
        <v>0.58486899999999997</v>
      </c>
      <c r="AZ146" s="21">
        <v>71.575800000000001</v>
      </c>
      <c r="BA146" s="21">
        <v>-7.4249299999999997E-3</v>
      </c>
      <c r="BB146" s="21">
        <v>136</v>
      </c>
      <c r="BC146" s="21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-5.98145E-2</v>
      </c>
      <c r="H147" s="21">
        <v>50.5229</v>
      </c>
      <c r="I147" s="21">
        <v>-4.3597400000000001E-2</v>
      </c>
      <c r="J147" s="21">
        <v>137</v>
      </c>
      <c r="K147" s="21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1">
        <v>0.58990500000000001</v>
      </c>
      <c r="P147" s="21">
        <v>59.991599999999998</v>
      </c>
      <c r="Q147" s="21">
        <v>-5.1269499999999999E-3</v>
      </c>
      <c r="R147" s="21">
        <v>137</v>
      </c>
      <c r="S147" s="21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1">
        <v>-5.98145E-2</v>
      </c>
      <c r="Z147" s="21">
        <v>62.8491</v>
      </c>
      <c r="AA147" s="21">
        <v>-4.3603500000000003E-2</v>
      </c>
      <c r="AB147" s="21">
        <v>137</v>
      </c>
      <c r="AC147" s="21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1">
        <v>0.58990500000000001</v>
      </c>
      <c r="AH147" s="21">
        <v>65.499700000000004</v>
      </c>
      <c r="AI147" s="21">
        <v>-5.2154499999999999E-3</v>
      </c>
      <c r="AJ147" s="21">
        <v>137</v>
      </c>
      <c r="AK147" s="21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1">
        <v>-5.98145E-2</v>
      </c>
      <c r="AR147" s="21">
        <v>68.158299999999997</v>
      </c>
      <c r="AS147" s="21">
        <v>-4.3606600000000002E-2</v>
      </c>
      <c r="AT147" s="21">
        <v>137</v>
      </c>
      <c r="AU147" s="21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1">
        <v>0.58990500000000001</v>
      </c>
      <c r="AZ147" s="21">
        <v>71.585899999999995</v>
      </c>
      <c r="BA147" s="21">
        <v>-5.2673299999999998E-3</v>
      </c>
      <c r="BB147" s="21">
        <v>137</v>
      </c>
      <c r="BC147" s="21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-6.4849900000000002E-2</v>
      </c>
      <c r="H148" s="21">
        <v>50.532899999999998</v>
      </c>
      <c r="I148" s="21">
        <v>-4.36005E-2</v>
      </c>
      <c r="J148" s="21">
        <v>138</v>
      </c>
      <c r="K148" s="21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1">
        <v>0.59494000000000002</v>
      </c>
      <c r="P148" s="21">
        <v>60.001600000000003</v>
      </c>
      <c r="Q148" s="21">
        <v>-2.9464700000000001E-3</v>
      </c>
      <c r="R148" s="21">
        <v>138</v>
      </c>
      <c r="S148" s="21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1">
        <v>-6.4849900000000002E-2</v>
      </c>
      <c r="Z148" s="21">
        <v>62.859200000000001</v>
      </c>
      <c r="AA148" s="21">
        <v>-4.36157E-2</v>
      </c>
      <c r="AB148" s="21">
        <v>138</v>
      </c>
      <c r="AC148" s="21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1">
        <v>0.59494000000000002</v>
      </c>
      <c r="AH148" s="21">
        <v>65.509799999999998</v>
      </c>
      <c r="AI148" s="21">
        <v>-2.9812599999999999E-3</v>
      </c>
      <c r="AJ148" s="21">
        <v>138</v>
      </c>
      <c r="AK148" s="21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1">
        <v>-6.4849900000000002E-2</v>
      </c>
      <c r="AR148" s="21">
        <v>68.168300000000002</v>
      </c>
      <c r="AS148" s="21">
        <v>-4.3609599999999998E-2</v>
      </c>
      <c r="AT148" s="21">
        <v>138</v>
      </c>
      <c r="AU148" s="21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1">
        <v>0.59494000000000002</v>
      </c>
      <c r="AZ148" s="21">
        <v>71.5959</v>
      </c>
      <c r="BA148" s="21">
        <v>-3.0520600000000001E-3</v>
      </c>
      <c r="BB148" s="21">
        <v>138</v>
      </c>
      <c r="BC148" s="21">
        <v>0.59423800000000004</v>
      </c>
      <c r="BD148">
        <f t="shared" si="34"/>
        <v>3.05206</v>
      </c>
      <c r="BE148">
        <f t="shared" si="35"/>
        <v>1.8157925764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-6.9885299999999997E-2</v>
      </c>
      <c r="H149" s="21">
        <v>50.542999999999999</v>
      </c>
      <c r="I149" s="21">
        <v>-4.3594399999999998E-2</v>
      </c>
      <c r="J149" s="21">
        <v>139</v>
      </c>
      <c r="K149" s="21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1">
        <v>0.59997599999999995</v>
      </c>
      <c r="P149" s="21">
        <v>60.011699999999998</v>
      </c>
      <c r="Q149" s="21">
        <v>-6.4300499999999999E-4</v>
      </c>
      <c r="R149" s="21">
        <v>139</v>
      </c>
      <c r="S149" s="21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1">
        <v>-6.9885299999999997E-2</v>
      </c>
      <c r="Z149" s="21">
        <v>62.869300000000003</v>
      </c>
      <c r="AA149" s="21">
        <v>-4.3627899999999997E-2</v>
      </c>
      <c r="AB149" s="21">
        <v>139</v>
      </c>
      <c r="AC149" s="21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1">
        <v>0.59997599999999995</v>
      </c>
      <c r="AH149" s="21">
        <v>65.519800000000004</v>
      </c>
      <c r="AI149" s="21">
        <v>-7.1380599999999999E-4</v>
      </c>
      <c r="AJ149" s="21">
        <v>139</v>
      </c>
      <c r="AK149" s="21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1">
        <v>-6.9885299999999997E-2</v>
      </c>
      <c r="AR149" s="21">
        <v>68.178399999999996</v>
      </c>
      <c r="AS149" s="21">
        <v>-4.3627899999999997E-2</v>
      </c>
      <c r="AT149" s="21">
        <v>139</v>
      </c>
      <c r="AU149" s="21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1">
        <v>0.59997599999999995</v>
      </c>
      <c r="AZ149" s="21">
        <v>71.605999999999995</v>
      </c>
      <c r="BA149" s="21">
        <v>-7.4310299999999995E-4</v>
      </c>
      <c r="BB149" s="21">
        <v>139</v>
      </c>
      <c r="BC149" s="21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-7.4920700000000007E-2</v>
      </c>
      <c r="H150" s="21">
        <v>50.553100000000001</v>
      </c>
      <c r="I150" s="21">
        <v>-4.3606600000000002E-2</v>
      </c>
      <c r="J150" s="21">
        <v>140</v>
      </c>
      <c r="K150" s="21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1">
        <v>0.60501099999999997</v>
      </c>
      <c r="P150" s="21">
        <v>60.021799999999999</v>
      </c>
      <c r="Q150" s="21">
        <v>1.6723599999999999E-3</v>
      </c>
      <c r="R150" s="21">
        <v>140</v>
      </c>
      <c r="S150" s="21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1">
        <v>-7.4920700000000007E-2</v>
      </c>
      <c r="Z150" s="21">
        <v>62.879300000000001</v>
      </c>
      <c r="AA150" s="21">
        <v>-4.3631000000000003E-2</v>
      </c>
      <c r="AB150" s="21">
        <v>140</v>
      </c>
      <c r="AC150" s="21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1">
        <v>0.60501099999999997</v>
      </c>
      <c r="AH150" s="21">
        <v>65.529899999999998</v>
      </c>
      <c r="AI150" s="21">
        <v>1.66107E-3</v>
      </c>
      <c r="AJ150" s="21">
        <v>140</v>
      </c>
      <c r="AK150" s="21">
        <v>0.60440099999999997</v>
      </c>
      <c r="AL150">
        <f t="shared" si="30"/>
        <v>-1.66107</v>
      </c>
      <c r="AM150">
        <f t="shared" si="31"/>
        <v>-1.00496562177</v>
      </c>
      <c r="AP150" s="9"/>
      <c r="AQ150" s="21">
        <v>-7.4920700000000007E-2</v>
      </c>
      <c r="AR150" s="21">
        <v>68.188500000000005</v>
      </c>
      <c r="AS150" s="21">
        <v>-4.3633999999999999E-2</v>
      </c>
      <c r="AT150" s="21">
        <v>140</v>
      </c>
      <c r="AU150" s="21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1">
        <v>0.60501099999999997</v>
      </c>
      <c r="AZ150" s="21">
        <v>71.616100000000003</v>
      </c>
      <c r="BA150" s="21">
        <v>1.61987E-3</v>
      </c>
      <c r="BB150" s="21">
        <v>140</v>
      </c>
      <c r="BC150" s="21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-7.9956100000000002E-2</v>
      </c>
      <c r="H151" s="21">
        <v>50.563099999999999</v>
      </c>
      <c r="I151" s="21">
        <v>-4.3597400000000001E-2</v>
      </c>
      <c r="J151" s="21">
        <v>141</v>
      </c>
      <c r="K151" s="21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1">
        <v>0.61004599999999998</v>
      </c>
      <c r="P151" s="21">
        <v>60.031799999999997</v>
      </c>
      <c r="Q151" s="21">
        <v>4.0933200000000001E-3</v>
      </c>
      <c r="R151" s="21">
        <v>141</v>
      </c>
      <c r="S151" s="21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1">
        <v>-7.9956100000000002E-2</v>
      </c>
      <c r="Z151" s="21">
        <v>62.889400000000002</v>
      </c>
      <c r="AA151" s="21">
        <v>-4.3627899999999997E-2</v>
      </c>
      <c r="AB151" s="21">
        <v>141</v>
      </c>
      <c r="AC151" s="21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1">
        <v>0.61004599999999998</v>
      </c>
      <c r="AH151" s="21">
        <v>65.540000000000006</v>
      </c>
      <c r="AI151" s="21">
        <v>4.0472399999999997E-3</v>
      </c>
      <c r="AJ151" s="21">
        <v>141</v>
      </c>
      <c r="AK151" s="21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1">
        <v>-7.9956100000000002E-2</v>
      </c>
      <c r="AR151" s="21">
        <v>68.198599999999999</v>
      </c>
      <c r="AS151" s="21">
        <v>-4.3627899999999997E-2</v>
      </c>
      <c r="AT151" s="21">
        <v>141</v>
      </c>
      <c r="AU151" s="21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1">
        <v>0.61004599999999998</v>
      </c>
      <c r="AZ151" s="21">
        <v>71.626099999999994</v>
      </c>
      <c r="BA151" s="21">
        <v>4.0533399999999999E-3</v>
      </c>
      <c r="BB151" s="21">
        <v>141</v>
      </c>
      <c r="BC151" s="21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-8.4991499999999998E-2</v>
      </c>
      <c r="H152" s="21">
        <v>50.5732</v>
      </c>
      <c r="I152" s="21">
        <v>-4.3603500000000003E-2</v>
      </c>
      <c r="J152" s="21">
        <v>142</v>
      </c>
      <c r="K152" s="21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1">
        <v>0.61508200000000002</v>
      </c>
      <c r="P152" s="21">
        <v>60.041899999999998</v>
      </c>
      <c r="Q152" s="21">
        <v>6.5551799999999999E-3</v>
      </c>
      <c r="R152" s="21">
        <v>142</v>
      </c>
      <c r="S152" s="21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1">
        <v>-8.4991499999999998E-2</v>
      </c>
      <c r="Z152" s="21">
        <v>62.899500000000003</v>
      </c>
      <c r="AA152" s="21">
        <v>-4.3624900000000001E-2</v>
      </c>
      <c r="AB152" s="21">
        <v>142</v>
      </c>
      <c r="AC152" s="21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1">
        <v>0.61508200000000002</v>
      </c>
      <c r="AH152" s="21">
        <v>65.5501</v>
      </c>
      <c r="AI152" s="21">
        <v>6.5673800000000003E-3</v>
      </c>
      <c r="AJ152" s="21">
        <v>142</v>
      </c>
      <c r="AK152" s="21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1">
        <v>-8.4991499999999998E-2</v>
      </c>
      <c r="AR152" s="21">
        <v>68.208600000000004</v>
      </c>
      <c r="AS152" s="21">
        <v>-4.3624900000000001E-2</v>
      </c>
      <c r="AT152" s="21">
        <v>142</v>
      </c>
      <c r="AU152" s="21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1">
        <v>0.61508200000000002</v>
      </c>
      <c r="AZ152" s="21">
        <v>71.636200000000002</v>
      </c>
      <c r="BA152" s="21">
        <v>6.5673800000000003E-3</v>
      </c>
      <c r="BB152" s="21">
        <v>142</v>
      </c>
      <c r="BC152" s="21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-9.0026900000000007E-2</v>
      </c>
      <c r="H153" s="21">
        <v>50.583300000000001</v>
      </c>
      <c r="I153" s="21">
        <v>-4.3606600000000002E-2</v>
      </c>
      <c r="J153" s="21">
        <v>143</v>
      </c>
      <c r="K153" s="21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1">
        <v>0.62011700000000003</v>
      </c>
      <c r="P153" s="21">
        <v>60.052</v>
      </c>
      <c r="Q153" s="21">
        <v>9.1064500000000003E-3</v>
      </c>
      <c r="R153" s="21">
        <v>143</v>
      </c>
      <c r="S153" s="21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1">
        <v>-9.0026900000000007E-2</v>
      </c>
      <c r="Z153" s="21">
        <v>62.909599999999998</v>
      </c>
      <c r="AA153" s="21">
        <v>-4.3627899999999997E-2</v>
      </c>
      <c r="AB153" s="21">
        <v>143</v>
      </c>
      <c r="AC153" s="21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1">
        <v>0.62011700000000003</v>
      </c>
      <c r="AH153" s="21">
        <v>65.560100000000006</v>
      </c>
      <c r="AI153" s="21">
        <v>9.0881299999999998E-3</v>
      </c>
      <c r="AJ153" s="21">
        <v>143</v>
      </c>
      <c r="AK153" s="21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1">
        <v>-9.0026900000000007E-2</v>
      </c>
      <c r="AR153" s="21">
        <v>68.218699999999998</v>
      </c>
      <c r="AS153" s="21">
        <v>-4.3621800000000002E-2</v>
      </c>
      <c r="AT153" s="21">
        <v>143</v>
      </c>
      <c r="AU153" s="21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1">
        <v>0.62011700000000003</v>
      </c>
      <c r="AZ153" s="21">
        <v>71.646299999999997</v>
      </c>
      <c r="BA153" s="21">
        <v>9.1308599999999993E-3</v>
      </c>
      <c r="BB153" s="21">
        <v>143</v>
      </c>
      <c r="BC153" s="21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-9.5062300000000002E-2</v>
      </c>
      <c r="H154" s="21">
        <v>50.593400000000003</v>
      </c>
      <c r="I154" s="21">
        <v>-4.3609599999999998E-2</v>
      </c>
      <c r="J154" s="21">
        <v>144</v>
      </c>
      <c r="K154" s="21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1">
        <v>0.62515299999999996</v>
      </c>
      <c r="P154" s="21">
        <v>60.061999999999998</v>
      </c>
      <c r="Q154" s="21">
        <v>1.1688199999999999E-2</v>
      </c>
      <c r="R154" s="21">
        <v>144</v>
      </c>
      <c r="S154" s="21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1">
        <v>-9.5062300000000002E-2</v>
      </c>
      <c r="Z154" s="21">
        <v>62.919600000000003</v>
      </c>
      <c r="AA154" s="21">
        <v>-4.3633999999999999E-2</v>
      </c>
      <c r="AB154" s="21">
        <v>144</v>
      </c>
      <c r="AC154" s="21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1">
        <v>0.62515299999999996</v>
      </c>
      <c r="AH154" s="21">
        <v>65.5702</v>
      </c>
      <c r="AI154" s="21">
        <v>1.17462E-2</v>
      </c>
      <c r="AJ154" s="21">
        <v>144</v>
      </c>
      <c r="AK154" s="21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1">
        <v>-9.5062300000000002E-2</v>
      </c>
      <c r="AR154" s="21">
        <v>68.228800000000007</v>
      </c>
      <c r="AS154" s="21">
        <v>-4.3618799999999999E-2</v>
      </c>
      <c r="AT154" s="21">
        <v>144</v>
      </c>
      <c r="AU154" s="21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1">
        <v>0.62515299999999996</v>
      </c>
      <c r="AZ154" s="21">
        <v>71.656400000000005</v>
      </c>
      <c r="BA154" s="21">
        <v>1.1776699999999999E-2</v>
      </c>
      <c r="BB154" s="21">
        <v>144</v>
      </c>
      <c r="BC154" s="21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-0.10009800000000001</v>
      </c>
      <c r="H155" s="21">
        <v>50.603400000000001</v>
      </c>
      <c r="I155" s="21">
        <v>-4.3612699999999997E-2</v>
      </c>
      <c r="J155" s="21">
        <v>145</v>
      </c>
      <c r="K155" s="21">
        <v>-0.101379</v>
      </c>
      <c r="L155">
        <f t="shared" si="24"/>
        <v>43.612699999999997</v>
      </c>
      <c r="M155">
        <f t="shared" si="25"/>
        <v>-4.3655440446</v>
      </c>
      <c r="N155" s="9"/>
      <c r="O155" s="21">
        <v>0.63018799999999997</v>
      </c>
      <c r="P155" s="21">
        <v>60.072099999999999</v>
      </c>
      <c r="Q155" s="21">
        <v>1.43494E-2</v>
      </c>
      <c r="R155" s="21">
        <v>145</v>
      </c>
      <c r="S155" s="21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1">
        <v>-0.10009800000000001</v>
      </c>
      <c r="Z155" s="21">
        <v>62.929699999999997</v>
      </c>
      <c r="AA155" s="21">
        <v>-4.3640100000000001E-2</v>
      </c>
      <c r="AB155" s="21">
        <v>145</v>
      </c>
      <c r="AC155" s="21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1">
        <v>0.63018799999999997</v>
      </c>
      <c r="AH155" s="21">
        <v>65.580299999999994</v>
      </c>
      <c r="AI155" s="21">
        <v>1.43768E-2</v>
      </c>
      <c r="AJ155" s="21">
        <v>145</v>
      </c>
      <c r="AK155" s="21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1">
        <v>-0.10009800000000001</v>
      </c>
      <c r="AR155" s="21">
        <v>68.238799999999998</v>
      </c>
      <c r="AS155" s="21">
        <v>-4.36157E-2</v>
      </c>
      <c r="AT155" s="21">
        <v>145</v>
      </c>
      <c r="AU155" s="21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1">
        <v>0.63018799999999997</v>
      </c>
      <c r="AZ155" s="21">
        <v>71.666399999999996</v>
      </c>
      <c r="BA155" s="21">
        <v>1.44531E-2</v>
      </c>
      <c r="BB155" s="21">
        <v>145</v>
      </c>
      <c r="BC155" s="21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273"/>
  <sheetViews>
    <sheetView tabSelected="1" workbookViewId="0">
      <selection activeCell="G11" sqref="G11:BE155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26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26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26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26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26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26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25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25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25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25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25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25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0.607806514773926</v>
      </c>
      <c r="J6" s="25"/>
      <c r="K6" s="2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27">
        <f>(Q3-Q4)/(S3-S4)*(-S4)+Q4</f>
        <v>0.60744579353373807</v>
      </c>
      <c r="R6" s="27"/>
      <c r="S6" s="2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25">
        <f>(AA3-AA4)/(AC3-AC4)*(-AC4)+AA4</f>
        <v>0.60740906996155797</v>
      </c>
      <c r="AB6" s="25"/>
      <c r="AC6" s="2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27">
        <f>(AI3-AI4)/(AK3-AK4)*(-AK4)+AI4</f>
        <v>0.6072159257614137</v>
      </c>
      <c r="AJ6" s="27"/>
      <c r="AK6" s="2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25">
        <f>(AS3-AS4)/(AU3-AU4)*(-AU4)+AS4</f>
        <v>0.60706585427821524</v>
      </c>
      <c r="AT6" s="25"/>
      <c r="AU6" s="2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27">
        <f>(BA3-BA4)/(BC3-BC4)*(-BC4)+BA4</f>
        <v>0.60682713233279595</v>
      </c>
      <c r="BB6" s="27"/>
      <c r="BC6" s="2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2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2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2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2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2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43.61280738572524</v>
      </c>
      <c r="M9" s="15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17.300196865999997</v>
      </c>
      <c r="X9" s="9"/>
      <c r="Y9" s="2"/>
      <c r="Z9" s="2"/>
      <c r="AA9" s="14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5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5">
        <f>MAX(AM11:AM1056)</f>
        <v>17.278944749999997</v>
      </c>
      <c r="AP9" s="9"/>
      <c r="AQ9" s="2"/>
      <c r="AR9" s="2"/>
      <c r="AS9" s="14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5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5">
        <f>MAX(BE11:BE1056)</f>
        <v>17.253470052000001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0.607806514773926</v>
      </c>
      <c r="B11" s="18">
        <f>IFERROR(L9,0)</f>
        <v>43.61280738572524</v>
      </c>
      <c r="C11" s="19">
        <f>IFERROR(L4,0)</f>
        <v>0.65386366725167022</v>
      </c>
      <c r="D11" s="20">
        <f>IFERROR(L2,0)</f>
        <v>17.332715161899998</v>
      </c>
      <c r="E11" s="20">
        <f>IFERROR(I9,0)</f>
        <v>0</v>
      </c>
      <c r="F11" s="9"/>
      <c r="G11" s="21">
        <v>0.625</v>
      </c>
      <c r="H11" s="21">
        <v>46.821199999999997</v>
      </c>
      <c r="I11" s="21">
        <v>8.7676999999999998E-3</v>
      </c>
      <c r="J11" s="21">
        <v>1</v>
      </c>
      <c r="K11" s="21">
        <v>0.62454200000000004</v>
      </c>
      <c r="L11">
        <f>-I11/$F$2*1000</f>
        <v>-8.7676999999999996</v>
      </c>
      <c r="M11">
        <f>L11*G11</f>
        <v>-5.4798124999999995</v>
      </c>
      <c r="N11" s="9"/>
      <c r="O11" s="21">
        <v>-9.49097E-2</v>
      </c>
      <c r="P11" s="21">
        <v>49.4617</v>
      </c>
      <c r="Q11" s="21">
        <v>-4.3728599999999999E-2</v>
      </c>
      <c r="R11" s="21">
        <v>1</v>
      </c>
      <c r="S11" s="21">
        <v>-9.6069299999999996E-2</v>
      </c>
      <c r="T11">
        <f>-Q11/$F$2*1000</f>
        <v>43.7286</v>
      </c>
      <c r="U11">
        <f>T11*O11</f>
        <v>-4.1502683074200002</v>
      </c>
      <c r="V11" s="22"/>
      <c r="W11" s="23"/>
      <c r="X11" s="9"/>
      <c r="Y11" s="21">
        <v>0.625</v>
      </c>
      <c r="Z11" s="21">
        <v>51.8523</v>
      </c>
      <c r="AA11" s="21">
        <v>8.8714599999999994E-3</v>
      </c>
      <c r="AB11" s="21">
        <v>1</v>
      </c>
      <c r="AC11" s="21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1">
        <v>-9.49097E-2</v>
      </c>
      <c r="AH11" s="21">
        <v>54.323900000000002</v>
      </c>
      <c r="AI11" s="21">
        <v>-4.3716400000000002E-2</v>
      </c>
      <c r="AJ11" s="21">
        <v>1</v>
      </c>
      <c r="AK11" s="21">
        <v>-9.6038799999999994E-2</v>
      </c>
      <c r="AL11">
        <f>-AI11/$F$2*1000</f>
        <v>43.7164</v>
      </c>
      <c r="AM11">
        <f>AL11*AG11</f>
        <v>-4.1491104090800004</v>
      </c>
      <c r="AP11" s="9"/>
      <c r="AQ11" s="21">
        <v>0.625</v>
      </c>
      <c r="AR11" s="21">
        <v>56.997399999999999</v>
      </c>
      <c r="AS11" s="21">
        <v>9.0057399999999999E-3</v>
      </c>
      <c r="AT11" s="21">
        <v>1</v>
      </c>
      <c r="AU11" s="21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1">
        <v>-9.49097E-2</v>
      </c>
      <c r="AZ11" s="21">
        <v>60.146000000000001</v>
      </c>
      <c r="BA11" s="21">
        <v>-4.3679799999999998E-2</v>
      </c>
      <c r="BB11" s="21">
        <v>1</v>
      </c>
      <c r="BC11" s="21">
        <v>-9.6069299999999996E-2</v>
      </c>
      <c r="BD11">
        <f>-BA11/$F$2*1000</f>
        <v>43.6798</v>
      </c>
      <c r="BE11">
        <f>BD11*AY11</f>
        <v>-4.1456367140600001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0.60744579353373807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0.61996499999999999</v>
      </c>
      <c r="H12" s="21">
        <v>46.831200000000003</v>
      </c>
      <c r="I12" s="21">
        <v>6.0028099999999999E-3</v>
      </c>
      <c r="J12" s="21">
        <v>2</v>
      </c>
      <c r="K12" s="21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1">
        <v>-8.9874300000000004E-2</v>
      </c>
      <c r="P12" s="21">
        <v>49.471800000000002</v>
      </c>
      <c r="Q12" s="21">
        <v>-4.3713399999999999E-2</v>
      </c>
      <c r="R12" s="21">
        <v>2</v>
      </c>
      <c r="S12" s="21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2"/>
      <c r="W12" s="23"/>
      <c r="X12" s="9"/>
      <c r="Y12" s="21">
        <v>0.61996499999999999</v>
      </c>
      <c r="Z12" s="21">
        <v>51.862400000000001</v>
      </c>
      <c r="AA12" s="21">
        <v>6.14929E-3</v>
      </c>
      <c r="AB12" s="21">
        <v>2</v>
      </c>
      <c r="AC12" s="21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1">
        <v>-8.9874300000000004E-2</v>
      </c>
      <c r="AH12" s="21">
        <v>54.3339</v>
      </c>
      <c r="AI12" s="21">
        <v>-4.3722499999999997E-2</v>
      </c>
      <c r="AJ12" s="21">
        <v>2</v>
      </c>
      <c r="AK12" s="21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1">
        <v>0.61996499999999999</v>
      </c>
      <c r="AR12" s="21">
        <v>57.0075</v>
      </c>
      <c r="AS12" s="21">
        <v>6.2835699999999996E-3</v>
      </c>
      <c r="AT12" s="21">
        <v>2</v>
      </c>
      <c r="AU12" s="21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1">
        <v>-8.9874300000000004E-2</v>
      </c>
      <c r="AZ12" s="21">
        <v>60.156100000000002</v>
      </c>
      <c r="BA12" s="21">
        <v>-4.3673700000000003E-2</v>
      </c>
      <c r="BB12" s="21">
        <v>2</v>
      </c>
      <c r="BC12" s="21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0.60740906996155797</v>
      </c>
      <c r="B13" s="18">
        <f>IFERROR(AD9,0)</f>
        <v>43.655542463063831</v>
      </c>
      <c r="C13" s="19">
        <f>IFERROR(AD4,0)</f>
        <v>0.65290404690670312</v>
      </c>
      <c r="D13" s="20">
        <f>IFERROR(AD2,0)</f>
        <v>17.312908041</v>
      </c>
      <c r="E13" s="20">
        <f>IFERROR(AA9,0)</f>
        <v>0.19617323051431743</v>
      </c>
      <c r="F13" s="9"/>
      <c r="G13" s="21">
        <v>0.61492899999999995</v>
      </c>
      <c r="H13" s="21">
        <v>46.841299999999997</v>
      </c>
      <c r="I13" s="21">
        <v>3.3435100000000001E-3</v>
      </c>
      <c r="J13" s="21">
        <v>3</v>
      </c>
      <c r="K13" s="21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1">
        <v>-8.4838899999999995E-2</v>
      </c>
      <c r="P13" s="21">
        <v>49.481900000000003</v>
      </c>
      <c r="Q13" s="21">
        <v>-4.3692000000000002E-2</v>
      </c>
      <c r="R13" s="21">
        <v>3</v>
      </c>
      <c r="S13" s="21">
        <v>-8.5968000000000003E-2</v>
      </c>
      <c r="T13">
        <f t="shared" si="2"/>
        <v>43.692</v>
      </c>
      <c r="U13">
        <f t="shared" si="3"/>
        <v>-3.7067812187999998</v>
      </c>
      <c r="V13" s="22"/>
      <c r="W13" s="23"/>
      <c r="X13" s="9"/>
      <c r="Y13" s="21">
        <v>0.61492899999999995</v>
      </c>
      <c r="Z13" s="21">
        <v>51.872399999999999</v>
      </c>
      <c r="AA13" s="21">
        <v>3.4915200000000001E-3</v>
      </c>
      <c r="AB13" s="21">
        <v>3</v>
      </c>
      <c r="AC13" s="21">
        <v>0.61444100000000001</v>
      </c>
      <c r="AD13">
        <f t="shared" si="4"/>
        <v>-3.49152</v>
      </c>
      <c r="AE13">
        <f t="shared" si="5"/>
        <v>-2.14703690208</v>
      </c>
      <c r="AF13" s="9"/>
      <c r="AG13" s="21">
        <v>-8.4838899999999995E-2</v>
      </c>
      <c r="AH13" s="21">
        <v>54.344000000000001</v>
      </c>
      <c r="AI13" s="21">
        <v>-4.3719500000000001E-2</v>
      </c>
      <c r="AJ13" s="21">
        <v>3</v>
      </c>
      <c r="AK13" s="21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1">
        <v>0.61492899999999995</v>
      </c>
      <c r="AR13" s="21">
        <v>57.017600000000002</v>
      </c>
      <c r="AS13" s="21">
        <v>3.64563E-3</v>
      </c>
      <c r="AT13" s="21">
        <v>3</v>
      </c>
      <c r="AU13" s="21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1">
        <v>-8.4838899999999995E-2</v>
      </c>
      <c r="AZ13" s="21">
        <v>60.166200000000003</v>
      </c>
      <c r="BA13" s="21">
        <v>-4.3655399999999997E-2</v>
      </c>
      <c r="BB13" s="21">
        <v>3</v>
      </c>
      <c r="BC13" s="21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0.6072159257614137</v>
      </c>
      <c r="B14" s="18">
        <f>IFERROR(AL9,0)</f>
        <v>43.640547939900969</v>
      </c>
      <c r="C14" s="19">
        <f>IFERROR(AL4,0)</f>
        <v>0.65205445673372309</v>
      </c>
      <c r="D14" s="20">
        <f>IFERROR(AL2,0)</f>
        <v>17.278944749999997</v>
      </c>
      <c r="E14" s="20"/>
      <c r="F14" s="9"/>
      <c r="G14" s="21">
        <v>0.60989400000000005</v>
      </c>
      <c r="H14" s="21">
        <v>46.851399999999998</v>
      </c>
      <c r="I14" s="21">
        <v>7.5103799999999999E-4</v>
      </c>
      <c r="J14" s="21">
        <v>4</v>
      </c>
      <c r="K14" s="21">
        <v>0.609344</v>
      </c>
      <c r="L14">
        <f t="shared" si="0"/>
        <v>-0.75103799999999998</v>
      </c>
      <c r="M14">
        <f t="shared" si="1"/>
        <v>-0.45805356997200003</v>
      </c>
      <c r="N14" s="9"/>
      <c r="O14" s="21">
        <v>-7.9803499999999999E-2</v>
      </c>
      <c r="P14" s="21">
        <v>49.491900000000001</v>
      </c>
      <c r="Q14" s="21">
        <v>-4.3673700000000003E-2</v>
      </c>
      <c r="R14" s="21">
        <v>4</v>
      </c>
      <c r="S14" s="21">
        <v>-8.0963099999999996E-2</v>
      </c>
      <c r="T14">
        <f t="shared" si="2"/>
        <v>43.673700000000004</v>
      </c>
      <c r="U14">
        <f t="shared" si="3"/>
        <v>-3.4853141179500002</v>
      </c>
      <c r="V14" s="22"/>
      <c r="W14" s="23"/>
      <c r="X14" s="9"/>
      <c r="Y14" s="21">
        <v>0.60989400000000005</v>
      </c>
      <c r="Z14" s="21">
        <v>51.8825</v>
      </c>
      <c r="AA14" s="21">
        <v>9.2681899999999995E-4</v>
      </c>
      <c r="AB14" s="21">
        <v>4</v>
      </c>
      <c r="AC14" s="21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1">
        <v>-7.9803499999999999E-2</v>
      </c>
      <c r="AH14" s="21">
        <v>54.354100000000003</v>
      </c>
      <c r="AI14" s="21">
        <v>-4.3704199999999999E-2</v>
      </c>
      <c r="AJ14" s="21">
        <v>4</v>
      </c>
      <c r="AK14" s="21">
        <v>-8.0963099999999996E-2</v>
      </c>
      <c r="AL14">
        <f t="shared" si="6"/>
        <v>43.7042</v>
      </c>
      <c r="AM14">
        <f t="shared" si="7"/>
        <v>-3.4877481247</v>
      </c>
      <c r="AP14" s="9"/>
      <c r="AQ14" s="21">
        <v>0.60989400000000005</v>
      </c>
      <c r="AR14" s="21">
        <v>57.0276</v>
      </c>
      <c r="AS14" s="21">
        <v>1.09253E-3</v>
      </c>
      <c r="AT14" s="21">
        <v>4</v>
      </c>
      <c r="AU14" s="21">
        <v>0.60931400000000002</v>
      </c>
      <c r="AV14">
        <f t="shared" si="8"/>
        <v>-1.09253</v>
      </c>
      <c r="AW14">
        <f t="shared" si="9"/>
        <v>-0.66632749182000006</v>
      </c>
      <c r="AX14" s="9"/>
      <c r="AY14" s="21">
        <v>-7.9803499999999999E-2</v>
      </c>
      <c r="AZ14" s="21">
        <v>60.176200000000001</v>
      </c>
      <c r="BA14" s="21">
        <v>-4.3664599999999998E-2</v>
      </c>
      <c r="BB14" s="21">
        <v>4</v>
      </c>
      <c r="BC14" s="21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0.60706585427821524</v>
      </c>
      <c r="B15" s="18">
        <f>IFERROR(AV9,0)</f>
        <v>43.640530732223411</v>
      </c>
      <c r="C15" s="19">
        <f>IFERROR(AV4,0)</f>
        <v>0.65152110005877129</v>
      </c>
      <c r="D15" s="20">
        <f>IFERROR(AV2,0)</f>
        <v>17.2605374567</v>
      </c>
      <c r="E15" s="20">
        <f>IFERROR(AS9,0)</f>
        <v>4.0945449802640164E-2</v>
      </c>
      <c r="F15" s="9"/>
      <c r="G15" s="21">
        <v>0.60485800000000001</v>
      </c>
      <c r="H15" s="21">
        <v>46.861499999999999</v>
      </c>
      <c r="I15" s="21">
        <v>-1.73828E-3</v>
      </c>
      <c r="J15" s="21">
        <v>5</v>
      </c>
      <c r="K15" s="21">
        <v>0.60424800000000001</v>
      </c>
      <c r="L15">
        <f t="shared" si="0"/>
        <v>1.73828</v>
      </c>
      <c r="M15">
        <f t="shared" si="1"/>
        <v>1.0514125642400001</v>
      </c>
      <c r="N15" s="9"/>
      <c r="O15" s="21">
        <v>-7.4768100000000004E-2</v>
      </c>
      <c r="P15" s="21">
        <v>49.502000000000002</v>
      </c>
      <c r="Q15" s="21">
        <v>-4.3661499999999999E-2</v>
      </c>
      <c r="R15" s="21">
        <v>5</v>
      </c>
      <c r="S15" s="21">
        <v>-7.5805700000000004E-2</v>
      </c>
      <c r="T15">
        <f t="shared" si="2"/>
        <v>43.661499999999997</v>
      </c>
      <c r="U15">
        <f t="shared" si="3"/>
        <v>-3.26448739815</v>
      </c>
      <c r="V15" s="22"/>
      <c r="W15" s="23"/>
      <c r="X15" s="9"/>
      <c r="Y15" s="21">
        <v>0.60485800000000001</v>
      </c>
      <c r="Z15" s="21">
        <v>51.892600000000002</v>
      </c>
      <c r="AA15" s="21">
        <v>-1.56342E-3</v>
      </c>
      <c r="AB15" s="21">
        <v>5</v>
      </c>
      <c r="AC15" s="21">
        <v>0.60424800000000001</v>
      </c>
      <c r="AD15">
        <f t="shared" si="4"/>
        <v>1.56342</v>
      </c>
      <c r="AE15">
        <f t="shared" si="5"/>
        <v>0.94564709436000005</v>
      </c>
      <c r="AF15" s="9"/>
      <c r="AG15" s="21">
        <v>-7.4768100000000004E-2</v>
      </c>
      <c r="AH15" s="21">
        <v>54.364100000000001</v>
      </c>
      <c r="AI15" s="21">
        <v>-4.3698099999999997E-2</v>
      </c>
      <c r="AJ15" s="21">
        <v>5</v>
      </c>
      <c r="AK15" s="21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1">
        <v>0.60485800000000001</v>
      </c>
      <c r="AR15" s="21">
        <v>57.037700000000001</v>
      </c>
      <c r="AS15" s="21">
        <v>-1.38397E-3</v>
      </c>
      <c r="AT15" s="21">
        <v>5</v>
      </c>
      <c r="AU15" s="21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1">
        <v>-7.4768100000000004E-2</v>
      </c>
      <c r="AZ15" s="21">
        <v>60.186300000000003</v>
      </c>
      <c r="BA15" s="21">
        <v>-4.3676800000000002E-2</v>
      </c>
      <c r="BB15" s="21">
        <v>5</v>
      </c>
      <c r="BC15" s="21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0.60682713233279595</v>
      </c>
      <c r="B16" s="18">
        <f>IFERROR(BD9,0)</f>
        <v>43.637975136555035</v>
      </c>
      <c r="C16" s="19">
        <f>IFERROR(BD4,0)</f>
        <v>0.65154868592117932</v>
      </c>
      <c r="D16" s="20">
        <f>IFERROR(BD2,0)</f>
        <v>17.253470052000001</v>
      </c>
      <c r="E16" s="20"/>
      <c r="F16" s="9"/>
      <c r="G16" s="21">
        <v>0.599823</v>
      </c>
      <c r="H16" s="21">
        <v>46.871499999999997</v>
      </c>
      <c r="I16" s="21">
        <v>-4.1323899999999997E-3</v>
      </c>
      <c r="J16" s="21">
        <v>6</v>
      </c>
      <c r="K16" s="21">
        <v>0.59918199999999999</v>
      </c>
      <c r="L16">
        <f t="shared" si="0"/>
        <v>4.13239</v>
      </c>
      <c r="M16">
        <f t="shared" si="1"/>
        <v>2.47870256697</v>
      </c>
      <c r="N16" s="9"/>
      <c r="O16" s="21">
        <v>-6.9732699999999995E-2</v>
      </c>
      <c r="P16" s="21">
        <v>49.512099999999997</v>
      </c>
      <c r="Q16" s="21">
        <v>-4.3664599999999998E-2</v>
      </c>
      <c r="R16" s="21">
        <v>6</v>
      </c>
      <c r="S16" s="21">
        <v>-7.09534E-2</v>
      </c>
      <c r="T16">
        <f t="shared" si="2"/>
        <v>43.6646</v>
      </c>
      <c r="U16">
        <f t="shared" si="3"/>
        <v>-3.04485045242</v>
      </c>
      <c r="V16" s="22"/>
      <c r="W16" s="23"/>
      <c r="X16" s="9"/>
      <c r="Y16" s="21">
        <v>0.599823</v>
      </c>
      <c r="Z16" s="21">
        <v>51.9026</v>
      </c>
      <c r="AA16" s="21">
        <v>-3.9413499999999997E-3</v>
      </c>
      <c r="AB16" s="21">
        <v>6</v>
      </c>
      <c r="AC16" s="21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1">
        <v>-6.9732699999999995E-2</v>
      </c>
      <c r="AH16" s="21">
        <v>54.374200000000002</v>
      </c>
      <c r="AI16" s="21">
        <v>-4.3695100000000001E-2</v>
      </c>
      <c r="AJ16" s="21">
        <v>6</v>
      </c>
      <c r="AK16" s="21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1">
        <v>0.599823</v>
      </c>
      <c r="AR16" s="21">
        <v>57.047800000000002</v>
      </c>
      <c r="AS16" s="21">
        <v>-3.7448099999999999E-3</v>
      </c>
      <c r="AT16" s="21">
        <v>6</v>
      </c>
      <c r="AU16" s="21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1">
        <v>-6.9732699999999995E-2</v>
      </c>
      <c r="AZ16" s="21">
        <v>60.196399999999997</v>
      </c>
      <c r="BA16" s="21">
        <v>-4.3673700000000003E-2</v>
      </c>
      <c r="BB16" s="21">
        <v>6</v>
      </c>
      <c r="BC16" s="21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0.59478799999999998</v>
      </c>
      <c r="H17" s="21">
        <v>46.881599999999999</v>
      </c>
      <c r="I17" s="21">
        <v>-6.4575199999999996E-3</v>
      </c>
      <c r="J17" s="21">
        <v>7</v>
      </c>
      <c r="K17" s="21">
        <v>0.594086</v>
      </c>
      <c r="L17">
        <f t="shared" si="0"/>
        <v>6.4575199999999997</v>
      </c>
      <c r="M17">
        <f t="shared" si="1"/>
        <v>3.8408554057599997</v>
      </c>
      <c r="N17" s="9"/>
      <c r="O17" s="21">
        <v>-6.4697299999999999E-2</v>
      </c>
      <c r="P17" s="21">
        <v>49.522199999999998</v>
      </c>
      <c r="Q17" s="21">
        <v>-4.3655399999999997E-2</v>
      </c>
      <c r="R17" s="21">
        <v>7</v>
      </c>
      <c r="S17" s="21">
        <v>-6.5856899999999996E-2</v>
      </c>
      <c r="T17">
        <f t="shared" si="2"/>
        <v>43.6554</v>
      </c>
      <c r="U17">
        <f t="shared" si="3"/>
        <v>-2.8243865104200001</v>
      </c>
      <c r="V17" s="22"/>
      <c r="W17" s="23"/>
      <c r="X17" s="9"/>
      <c r="Y17" s="21">
        <v>0.59478799999999998</v>
      </c>
      <c r="Z17" s="21">
        <v>51.912700000000001</v>
      </c>
      <c r="AA17" s="21">
        <v>-6.26831E-3</v>
      </c>
      <c r="AB17" s="21">
        <v>7</v>
      </c>
      <c r="AC17" s="21">
        <v>0.594086</v>
      </c>
      <c r="AD17">
        <f t="shared" si="4"/>
        <v>6.2683099999999996</v>
      </c>
      <c r="AE17">
        <f t="shared" si="5"/>
        <v>3.7283155682799998</v>
      </c>
      <c r="AF17" s="9"/>
      <c r="AG17" s="21">
        <v>-6.4697299999999999E-2</v>
      </c>
      <c r="AH17" s="21">
        <v>54.384300000000003</v>
      </c>
      <c r="AI17" s="21">
        <v>-4.3692000000000002E-2</v>
      </c>
      <c r="AJ17" s="21">
        <v>7</v>
      </c>
      <c r="AK17" s="21">
        <v>-6.5887500000000002E-2</v>
      </c>
      <c r="AL17">
        <f t="shared" si="6"/>
        <v>43.692</v>
      </c>
      <c r="AM17">
        <f t="shared" si="7"/>
        <v>-2.8267544316</v>
      </c>
      <c r="AP17" s="9"/>
      <c r="AQ17" s="21">
        <v>0.59478799999999998</v>
      </c>
      <c r="AR17" s="21">
        <v>57.057899999999997</v>
      </c>
      <c r="AS17" s="21">
        <v>-6.06384E-3</v>
      </c>
      <c r="AT17" s="21">
        <v>7</v>
      </c>
      <c r="AU17" s="21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1">
        <v>-6.4697299999999999E-2</v>
      </c>
      <c r="AZ17" s="21">
        <v>60.206400000000002</v>
      </c>
      <c r="BA17" s="21">
        <v>-4.36859E-2</v>
      </c>
      <c r="BB17" s="21">
        <v>7</v>
      </c>
      <c r="BC17" s="21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0.58975200000000005</v>
      </c>
      <c r="H18" s="21">
        <v>46.8917</v>
      </c>
      <c r="I18" s="21">
        <v>-8.6700400000000004E-3</v>
      </c>
      <c r="J18" s="21">
        <v>8</v>
      </c>
      <c r="K18" s="21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1">
        <v>-5.9661899999999997E-2</v>
      </c>
      <c r="P18" s="21">
        <v>49.532200000000003</v>
      </c>
      <c r="Q18" s="21">
        <v>-4.3667600000000001E-2</v>
      </c>
      <c r="R18" s="21">
        <v>8</v>
      </c>
      <c r="S18" s="21">
        <v>-6.0852099999999999E-2</v>
      </c>
      <c r="T18">
        <f t="shared" si="2"/>
        <v>43.6676</v>
      </c>
      <c r="U18">
        <f t="shared" si="3"/>
        <v>-2.60529198444</v>
      </c>
      <c r="V18" s="22"/>
      <c r="W18" s="23"/>
      <c r="X18" s="9"/>
      <c r="Y18" s="21">
        <v>0.58975200000000005</v>
      </c>
      <c r="Z18" s="21">
        <v>51.922800000000002</v>
      </c>
      <c r="AA18" s="21">
        <v>-8.4655800000000003E-3</v>
      </c>
      <c r="AB18" s="21">
        <v>8</v>
      </c>
      <c r="AC18" s="21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1">
        <v>-5.9661899999999997E-2</v>
      </c>
      <c r="AH18" s="21">
        <v>54.394399999999997</v>
      </c>
      <c r="AI18" s="21">
        <v>-4.36859E-2</v>
      </c>
      <c r="AJ18" s="21">
        <v>8</v>
      </c>
      <c r="AK18" s="21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1">
        <v>0.58975200000000005</v>
      </c>
      <c r="AR18" s="21">
        <v>57.067900000000002</v>
      </c>
      <c r="AS18" s="21">
        <v>-8.2580599999999994E-3</v>
      </c>
      <c r="AT18" s="21">
        <v>8</v>
      </c>
      <c r="AU18" s="21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1">
        <v>-5.9661899999999997E-2</v>
      </c>
      <c r="AZ18" s="21">
        <v>60.216500000000003</v>
      </c>
      <c r="BA18" s="21">
        <v>-4.3676800000000002E-2</v>
      </c>
      <c r="BB18" s="21">
        <v>8</v>
      </c>
      <c r="BC18" s="21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0.58471700000000004</v>
      </c>
      <c r="H19" s="21">
        <v>46.901699999999998</v>
      </c>
      <c r="I19" s="21">
        <v>-1.0809300000000001E-2</v>
      </c>
      <c r="J19" s="21">
        <v>9</v>
      </c>
      <c r="K19" s="21">
        <v>0.58395399999999997</v>
      </c>
      <c r="L19">
        <f t="shared" si="0"/>
        <v>10.8093</v>
      </c>
      <c r="M19">
        <f t="shared" si="1"/>
        <v>6.3203814681000008</v>
      </c>
      <c r="N19" s="9"/>
      <c r="O19" s="21">
        <v>-5.4626500000000001E-2</v>
      </c>
      <c r="P19" s="21">
        <v>49.542299999999997</v>
      </c>
      <c r="Q19" s="21">
        <v>-4.3682899999999997E-2</v>
      </c>
      <c r="R19" s="21">
        <v>9</v>
      </c>
      <c r="S19" s="21">
        <v>-5.5908199999999998E-2</v>
      </c>
      <c r="T19">
        <f t="shared" si="2"/>
        <v>43.682899999999997</v>
      </c>
      <c r="U19">
        <f t="shared" si="3"/>
        <v>-2.3862439368499997</v>
      </c>
      <c r="V19" s="22"/>
      <c r="W19" s="23"/>
      <c r="X19" s="9"/>
      <c r="Y19" s="21">
        <v>0.58471700000000004</v>
      </c>
      <c r="Z19" s="21">
        <v>51.932899999999997</v>
      </c>
      <c r="AA19" s="21">
        <v>-1.0611000000000001E-2</v>
      </c>
      <c r="AB19" s="21">
        <v>9</v>
      </c>
      <c r="AC19" s="21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1">
        <v>-5.4626500000000001E-2</v>
      </c>
      <c r="AH19" s="21">
        <v>54.404400000000003</v>
      </c>
      <c r="AI19" s="21">
        <v>-4.3676800000000002E-2</v>
      </c>
      <c r="AJ19" s="21">
        <v>9</v>
      </c>
      <c r="AK19" s="21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1">
        <v>0.58471700000000004</v>
      </c>
      <c r="AR19" s="21">
        <v>57.078000000000003</v>
      </c>
      <c r="AS19" s="21">
        <v>-1.03973E-2</v>
      </c>
      <c r="AT19" s="21">
        <v>9</v>
      </c>
      <c r="AU19" s="21">
        <v>0.58395399999999997</v>
      </c>
      <c r="AV19">
        <f t="shared" si="8"/>
        <v>10.3973</v>
      </c>
      <c r="AW19">
        <f t="shared" si="9"/>
        <v>6.0794780640999999</v>
      </c>
      <c r="AX19" s="9"/>
      <c r="AY19" s="21">
        <v>-5.4626500000000001E-2</v>
      </c>
      <c r="AZ19" s="21">
        <v>60.226599999999998</v>
      </c>
      <c r="BA19" s="21">
        <v>-4.36707E-2</v>
      </c>
      <c r="BB19" s="21">
        <v>9</v>
      </c>
      <c r="BC19" s="21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0.579681</v>
      </c>
      <c r="H20" s="21">
        <v>46.911799999999999</v>
      </c>
      <c r="I20" s="21">
        <v>-1.28571E-2</v>
      </c>
      <c r="J20" s="21">
        <v>10</v>
      </c>
      <c r="K20" s="21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1">
        <v>-4.9591099999999999E-2</v>
      </c>
      <c r="P20" s="21">
        <v>49.552399999999999</v>
      </c>
      <c r="Q20" s="21">
        <v>-4.3679799999999998E-2</v>
      </c>
      <c r="R20" s="21">
        <v>10</v>
      </c>
      <c r="S20" s="21">
        <v>-5.08423E-2</v>
      </c>
      <c r="T20">
        <f t="shared" si="2"/>
        <v>43.6798</v>
      </c>
      <c r="U20">
        <f t="shared" si="3"/>
        <v>-2.1661293297799999</v>
      </c>
      <c r="V20" s="22"/>
      <c r="W20" s="23"/>
      <c r="X20" s="9"/>
      <c r="Y20" s="21">
        <v>0.579681</v>
      </c>
      <c r="Z20" s="21">
        <v>51.942900000000002</v>
      </c>
      <c r="AA20" s="21">
        <v>-1.26404E-2</v>
      </c>
      <c r="AB20" s="21">
        <v>10</v>
      </c>
      <c r="AC20" s="21">
        <v>0.57882699999999998</v>
      </c>
      <c r="AD20">
        <f t="shared" si="4"/>
        <v>12.6404</v>
      </c>
      <c r="AE20">
        <f t="shared" si="5"/>
        <v>7.3273997124000001</v>
      </c>
      <c r="AF20" s="9"/>
      <c r="AG20" s="21">
        <v>-4.9591099999999999E-2</v>
      </c>
      <c r="AH20" s="21">
        <v>54.414499999999997</v>
      </c>
      <c r="AI20" s="21">
        <v>-4.36859E-2</v>
      </c>
      <c r="AJ20" s="21">
        <v>10</v>
      </c>
      <c r="AK20" s="21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1">
        <v>0.579681</v>
      </c>
      <c r="AR20" s="21">
        <v>57.088099999999997</v>
      </c>
      <c r="AS20" s="21">
        <v>-1.24268E-2</v>
      </c>
      <c r="AT20" s="21">
        <v>10</v>
      </c>
      <c r="AU20" s="21">
        <v>0.57885699999999995</v>
      </c>
      <c r="AV20">
        <f t="shared" si="8"/>
        <v>12.4268</v>
      </c>
      <c r="AW20">
        <f t="shared" si="9"/>
        <v>7.2035798507999997</v>
      </c>
      <c r="AX20" s="9"/>
      <c r="AY20" s="21">
        <v>-4.9591099999999999E-2</v>
      </c>
      <c r="AZ20" s="21">
        <v>60.236699999999999</v>
      </c>
      <c r="BA20" s="21">
        <v>-4.3667600000000001E-2</v>
      </c>
      <c r="BB20" s="21">
        <v>10</v>
      </c>
      <c r="BC20" s="21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0.57464599999999999</v>
      </c>
      <c r="H21" s="21">
        <v>46.921900000000001</v>
      </c>
      <c r="I21" s="21">
        <v>-1.47949E-2</v>
      </c>
      <c r="J21" s="21">
        <v>11</v>
      </c>
      <c r="K21" s="21">
        <v>0.57379199999999997</v>
      </c>
      <c r="L21">
        <f t="shared" si="0"/>
        <v>14.7949</v>
      </c>
      <c r="M21">
        <f t="shared" si="1"/>
        <v>8.5018301053999998</v>
      </c>
      <c r="N21" s="9"/>
      <c r="O21" s="21">
        <v>-4.4555699999999997E-2</v>
      </c>
      <c r="P21" s="21">
        <v>49.562399999999997</v>
      </c>
      <c r="Q21" s="21">
        <v>-4.3682899999999997E-2</v>
      </c>
      <c r="R21" s="21">
        <v>11</v>
      </c>
      <c r="S21" s="21">
        <v>-4.5074500000000003E-2</v>
      </c>
      <c r="T21">
        <f t="shared" si="2"/>
        <v>43.682899999999997</v>
      </c>
      <c r="U21">
        <f t="shared" si="3"/>
        <v>-1.9463221875299996</v>
      </c>
      <c r="V21" s="22"/>
      <c r="W21" s="23"/>
      <c r="X21" s="9"/>
      <c r="Y21" s="21">
        <v>0.57464599999999999</v>
      </c>
      <c r="Z21" s="21">
        <v>51.953000000000003</v>
      </c>
      <c r="AA21" s="21">
        <v>-1.45874E-2</v>
      </c>
      <c r="AB21" s="21">
        <v>11</v>
      </c>
      <c r="AC21" s="21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1">
        <v>-4.4555699999999997E-2</v>
      </c>
      <c r="AH21" s="21">
        <v>54.424599999999998</v>
      </c>
      <c r="AI21" s="21">
        <v>-4.3682899999999997E-2</v>
      </c>
      <c r="AJ21" s="21">
        <v>11</v>
      </c>
      <c r="AK21" s="21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1">
        <v>0.57464599999999999</v>
      </c>
      <c r="AR21" s="21">
        <v>57.098100000000002</v>
      </c>
      <c r="AS21" s="21">
        <v>-1.4373800000000001E-2</v>
      </c>
      <c r="AT21" s="21">
        <v>11</v>
      </c>
      <c r="AU21" s="21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1">
        <v>-4.4555699999999997E-2</v>
      </c>
      <c r="AZ21" s="21">
        <v>60.246699999999997</v>
      </c>
      <c r="BA21" s="21">
        <v>-4.3664599999999998E-2</v>
      </c>
      <c r="BB21" s="21">
        <v>11</v>
      </c>
      <c r="BC21" s="21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0.56961099999999998</v>
      </c>
      <c r="H22" s="21">
        <v>46.931899999999999</v>
      </c>
      <c r="I22" s="21">
        <v>-1.6650399999999999E-2</v>
      </c>
      <c r="J22" s="21">
        <v>12</v>
      </c>
      <c r="K22" s="21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1">
        <v>-3.9520300000000001E-2</v>
      </c>
      <c r="P22" s="21">
        <v>49.572499999999998</v>
      </c>
      <c r="Q22" s="21">
        <v>-4.3676800000000002E-2</v>
      </c>
      <c r="R22" s="21">
        <v>12</v>
      </c>
      <c r="S22" s="21">
        <v>-3.9981099999999999E-2</v>
      </c>
      <c r="T22">
        <f t="shared" si="2"/>
        <v>43.6768</v>
      </c>
      <c r="U22">
        <f t="shared" si="3"/>
        <v>-1.7261202390400001</v>
      </c>
      <c r="V22" s="22"/>
      <c r="W22" s="23"/>
      <c r="X22" s="9"/>
      <c r="Y22" s="21">
        <v>0.56961099999999998</v>
      </c>
      <c r="Z22" s="21">
        <v>51.963099999999997</v>
      </c>
      <c r="AA22" s="21">
        <v>-1.6433699999999999E-2</v>
      </c>
      <c r="AB22" s="21">
        <v>12</v>
      </c>
      <c r="AC22" s="21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1">
        <v>-3.9520300000000001E-2</v>
      </c>
      <c r="AH22" s="21">
        <v>54.434600000000003</v>
      </c>
      <c r="AI22" s="21">
        <v>-4.3695100000000001E-2</v>
      </c>
      <c r="AJ22" s="21">
        <v>12</v>
      </c>
      <c r="AK22" s="21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1">
        <v>0.56961099999999998</v>
      </c>
      <c r="AR22" s="21">
        <v>57.108199999999997</v>
      </c>
      <c r="AS22" s="21">
        <v>-1.6220100000000001E-2</v>
      </c>
      <c r="AT22" s="21">
        <v>12</v>
      </c>
      <c r="AU22" s="21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1">
        <v>-3.9520300000000001E-2</v>
      </c>
      <c r="AZ22" s="21">
        <v>60.256799999999998</v>
      </c>
      <c r="BA22" s="21">
        <v>-4.3664599999999998E-2</v>
      </c>
      <c r="BB22" s="21">
        <v>12</v>
      </c>
      <c r="BC22" s="21">
        <v>-4.0039100000000001E-2</v>
      </c>
      <c r="BD22">
        <f t="shared" si="10"/>
        <v>43.6646</v>
      </c>
      <c r="BE22">
        <f t="shared" si="11"/>
        <v>-1.72563809138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0.56457500000000005</v>
      </c>
      <c r="H23" s="21">
        <v>46.942</v>
      </c>
      <c r="I23" s="21">
        <v>-1.8402100000000001E-2</v>
      </c>
      <c r="J23" s="21">
        <v>13</v>
      </c>
      <c r="K23" s="21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1">
        <v>-3.4484899999999999E-2</v>
      </c>
      <c r="P23" s="21">
        <v>49.582599999999999</v>
      </c>
      <c r="Q23" s="21">
        <v>-4.36707E-2</v>
      </c>
      <c r="R23" s="21">
        <v>13</v>
      </c>
      <c r="S23" s="21">
        <v>-3.4970099999999997E-2</v>
      </c>
      <c r="T23">
        <f t="shared" si="2"/>
        <v>43.670699999999997</v>
      </c>
      <c r="U23">
        <f t="shared" si="3"/>
        <v>-1.5059797224299998</v>
      </c>
      <c r="V23" s="22"/>
      <c r="W23" s="23"/>
      <c r="X23" s="9"/>
      <c r="Y23" s="21">
        <v>0.56457500000000005</v>
      </c>
      <c r="Z23" s="21">
        <v>51.973100000000002</v>
      </c>
      <c r="AA23" s="21">
        <v>-1.8197600000000001E-2</v>
      </c>
      <c r="AB23" s="21">
        <v>13</v>
      </c>
      <c r="AC23" s="21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1">
        <v>-3.4484899999999999E-2</v>
      </c>
      <c r="AH23" s="21">
        <v>54.444699999999997</v>
      </c>
      <c r="AI23" s="21">
        <v>-4.3688999999999999E-2</v>
      </c>
      <c r="AJ23" s="21">
        <v>13</v>
      </c>
      <c r="AK23" s="21">
        <v>-3.4945700000000003E-2</v>
      </c>
      <c r="AL23">
        <f t="shared" si="6"/>
        <v>43.689</v>
      </c>
      <c r="AM23">
        <f t="shared" si="7"/>
        <v>-1.5066107960999999</v>
      </c>
      <c r="AP23" s="9"/>
      <c r="AQ23" s="21">
        <v>0.56457500000000005</v>
      </c>
      <c r="AR23" s="21">
        <v>57.118299999999998</v>
      </c>
      <c r="AS23" s="21">
        <v>-1.7987099999999999E-2</v>
      </c>
      <c r="AT23" s="21">
        <v>13</v>
      </c>
      <c r="AU23" s="21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1">
        <v>-3.4484899999999999E-2</v>
      </c>
      <c r="AZ23" s="21">
        <v>60.2669</v>
      </c>
      <c r="BA23" s="21">
        <v>-4.36707E-2</v>
      </c>
      <c r="BB23" s="21">
        <v>13</v>
      </c>
      <c r="BC23" s="21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0.55954000000000004</v>
      </c>
      <c r="H24" s="21">
        <v>46.952100000000002</v>
      </c>
      <c r="I24" s="21">
        <v>-2.0059199999999999E-2</v>
      </c>
      <c r="J24" s="21">
        <v>14</v>
      </c>
      <c r="K24" s="21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1">
        <v>-2.94495E-2</v>
      </c>
      <c r="P24" s="21">
        <v>49.592700000000001</v>
      </c>
      <c r="Q24" s="21">
        <v>-4.36584E-2</v>
      </c>
      <c r="R24" s="21">
        <v>14</v>
      </c>
      <c r="S24" s="21">
        <v>-2.9998799999999999E-2</v>
      </c>
      <c r="T24">
        <f t="shared" si="2"/>
        <v>43.6584</v>
      </c>
      <c r="U24">
        <f t="shared" si="3"/>
        <v>-1.2857180507999999</v>
      </c>
      <c r="V24" s="22"/>
      <c r="W24" s="23"/>
      <c r="X24" s="9"/>
      <c r="Y24" s="21">
        <v>0.55954000000000004</v>
      </c>
      <c r="Z24" s="21">
        <v>51.983199999999997</v>
      </c>
      <c r="AA24" s="21">
        <v>-1.9854699999999999E-2</v>
      </c>
      <c r="AB24" s="21">
        <v>14</v>
      </c>
      <c r="AC24" s="21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1">
        <v>-2.94495E-2</v>
      </c>
      <c r="AH24" s="21">
        <v>54.454799999999999</v>
      </c>
      <c r="AI24" s="21">
        <v>-4.3679799999999998E-2</v>
      </c>
      <c r="AJ24" s="21">
        <v>14</v>
      </c>
      <c r="AK24" s="21">
        <v>-2.99408E-2</v>
      </c>
      <c r="AL24">
        <f t="shared" si="6"/>
        <v>43.6798</v>
      </c>
      <c r="AM24">
        <f t="shared" si="7"/>
        <v>-1.2863482701</v>
      </c>
      <c r="AP24" s="9"/>
      <c r="AQ24" s="21">
        <v>0.55954000000000004</v>
      </c>
      <c r="AR24" s="21">
        <v>57.128399999999999</v>
      </c>
      <c r="AS24" s="21">
        <v>-1.9641100000000002E-2</v>
      </c>
      <c r="AT24" s="21">
        <v>14</v>
      </c>
      <c r="AU24" s="21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1">
        <v>-2.94495E-2</v>
      </c>
      <c r="AZ24" s="21">
        <v>60.276899999999998</v>
      </c>
      <c r="BA24" s="21">
        <v>-4.3682899999999997E-2</v>
      </c>
      <c r="BB24" s="21">
        <v>14</v>
      </c>
      <c r="BC24" s="21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0.554504</v>
      </c>
      <c r="H25" s="21">
        <v>46.962200000000003</v>
      </c>
      <c r="I25" s="21">
        <v>-2.1643099999999998E-2</v>
      </c>
      <c r="J25" s="21">
        <v>15</v>
      </c>
      <c r="K25" s="21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1">
        <v>-2.4414100000000001E-2</v>
      </c>
      <c r="P25" s="21">
        <v>49.602699999999999</v>
      </c>
      <c r="Q25" s="21">
        <v>-4.36432E-2</v>
      </c>
      <c r="R25" s="21">
        <v>15</v>
      </c>
      <c r="S25" s="21">
        <v>-2.4884E-2</v>
      </c>
      <c r="T25">
        <f t="shared" si="2"/>
        <v>43.6432</v>
      </c>
      <c r="U25">
        <f t="shared" si="3"/>
        <v>-1.0655094491200001</v>
      </c>
      <c r="V25" s="22"/>
      <c r="W25" s="23"/>
      <c r="X25" s="9"/>
      <c r="Y25" s="21">
        <v>0.554504</v>
      </c>
      <c r="Z25" s="21">
        <v>51.993299999999998</v>
      </c>
      <c r="AA25" s="21">
        <v>-2.1453900000000001E-2</v>
      </c>
      <c r="AB25" s="21">
        <v>15</v>
      </c>
      <c r="AC25" s="21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1">
        <v>-2.4414100000000001E-2</v>
      </c>
      <c r="AH25" s="21">
        <v>54.4649</v>
      </c>
      <c r="AI25" s="21">
        <v>-4.3667600000000001E-2</v>
      </c>
      <c r="AJ25" s="21">
        <v>15</v>
      </c>
      <c r="AK25" s="21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1">
        <v>0.554504</v>
      </c>
      <c r="AR25" s="21">
        <v>57.138399999999997</v>
      </c>
      <c r="AS25" s="21">
        <v>-2.12433E-2</v>
      </c>
      <c r="AT25" s="21">
        <v>15</v>
      </c>
      <c r="AU25" s="21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1">
        <v>-2.4414100000000001E-2</v>
      </c>
      <c r="AZ25" s="21">
        <v>60.286999999999999</v>
      </c>
      <c r="BA25" s="21">
        <v>-4.3682899999999997E-2</v>
      </c>
      <c r="BB25" s="21">
        <v>15</v>
      </c>
      <c r="BC25" s="21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0.54946899999999999</v>
      </c>
      <c r="H26" s="21">
        <v>46.972200000000001</v>
      </c>
      <c r="I26" s="21">
        <v>-2.31262E-2</v>
      </c>
      <c r="J26" s="21">
        <v>16</v>
      </c>
      <c r="K26" s="21">
        <v>0.54855299999999996</v>
      </c>
      <c r="L26">
        <f t="shared" si="0"/>
        <v>23.126200000000001</v>
      </c>
      <c r="M26">
        <f t="shared" si="1"/>
        <v>12.7071299878</v>
      </c>
      <c r="N26" s="9"/>
      <c r="O26" s="21">
        <v>-1.9378699999999999E-2</v>
      </c>
      <c r="P26" s="21">
        <v>49.6128</v>
      </c>
      <c r="Q26" s="21">
        <v>-4.3627899999999997E-2</v>
      </c>
      <c r="R26" s="21">
        <v>16</v>
      </c>
      <c r="S26" s="21">
        <v>-1.9872999999999998E-2</v>
      </c>
      <c r="T26">
        <f t="shared" si="2"/>
        <v>43.627899999999997</v>
      </c>
      <c r="U26">
        <f t="shared" si="3"/>
        <v>-0.84545198572999991</v>
      </c>
      <c r="V26" s="22"/>
      <c r="W26" s="23"/>
      <c r="X26" s="9"/>
      <c r="Y26" s="21">
        <v>0.54946899999999999</v>
      </c>
      <c r="Z26" s="21">
        <v>52.003399999999999</v>
      </c>
      <c r="AA26" s="21">
        <v>-2.2930900000000001E-2</v>
      </c>
      <c r="AB26" s="21">
        <v>16</v>
      </c>
      <c r="AC26" s="21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1">
        <v>-1.9378699999999999E-2</v>
      </c>
      <c r="AH26" s="21">
        <v>54.474899999999998</v>
      </c>
      <c r="AI26" s="21">
        <v>-4.3661499999999999E-2</v>
      </c>
      <c r="AJ26" s="21">
        <v>16</v>
      </c>
      <c r="AK26" s="21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1">
        <v>0.54946899999999999</v>
      </c>
      <c r="AR26" s="21">
        <v>57.148499999999999</v>
      </c>
      <c r="AS26" s="21">
        <v>-2.2723400000000001E-2</v>
      </c>
      <c r="AT26" s="21">
        <v>16</v>
      </c>
      <c r="AU26" s="21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1">
        <v>-1.9378699999999999E-2</v>
      </c>
      <c r="AZ26" s="21">
        <v>60.2971</v>
      </c>
      <c r="BA26" s="21">
        <v>-4.36707E-2</v>
      </c>
      <c r="BB26" s="21">
        <v>16</v>
      </c>
      <c r="BC26" s="21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0.54443399999999997</v>
      </c>
      <c r="H27" s="21">
        <v>46.982300000000002</v>
      </c>
      <c r="I27" s="21">
        <v>-2.4523900000000001E-2</v>
      </c>
      <c r="J27" s="21">
        <v>17</v>
      </c>
      <c r="K27" s="21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1">
        <v>-1.43433E-2</v>
      </c>
      <c r="P27" s="21">
        <v>49.622900000000001</v>
      </c>
      <c r="Q27" s="21">
        <v>-4.3624900000000001E-2</v>
      </c>
      <c r="R27" s="21">
        <v>17</v>
      </c>
      <c r="S27" s="21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1">
        <v>0.54443399999999997</v>
      </c>
      <c r="Z27" s="21">
        <v>52.013399999999997</v>
      </c>
      <c r="AA27" s="21">
        <v>-2.4340799999999999E-2</v>
      </c>
      <c r="AB27" s="21">
        <v>17</v>
      </c>
      <c r="AC27" s="21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1">
        <v>-1.43433E-2</v>
      </c>
      <c r="AH27" s="21">
        <v>54.484999999999999</v>
      </c>
      <c r="AI27" s="21">
        <v>-4.3664599999999998E-2</v>
      </c>
      <c r="AJ27" s="21">
        <v>17</v>
      </c>
      <c r="AK27" s="21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1">
        <v>0.54443399999999997</v>
      </c>
      <c r="AR27" s="21">
        <v>57.1586</v>
      </c>
      <c r="AS27" s="21">
        <v>-2.4151599999999999E-2</v>
      </c>
      <c r="AT27" s="21">
        <v>17</v>
      </c>
      <c r="AU27" s="21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1">
        <v>-1.43433E-2</v>
      </c>
      <c r="AZ27" s="21">
        <v>60.307200000000002</v>
      </c>
      <c r="BA27" s="21">
        <v>-4.3661499999999999E-2</v>
      </c>
      <c r="BB27" s="21">
        <v>17</v>
      </c>
      <c r="BC27" s="21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0.53939800000000004</v>
      </c>
      <c r="H28" s="21">
        <v>46.992400000000004</v>
      </c>
      <c r="I28" s="21">
        <v>-2.58362E-2</v>
      </c>
      <c r="J28" s="21">
        <v>18</v>
      </c>
      <c r="K28" s="21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1">
        <v>-9.3078599999999994E-3</v>
      </c>
      <c r="P28" s="21">
        <v>49.632899999999999</v>
      </c>
      <c r="Q28" s="21">
        <v>-4.3618799999999999E-2</v>
      </c>
      <c r="R28" s="21">
        <v>18</v>
      </c>
      <c r="S28" s="21">
        <v>-9.6862800000000002E-3</v>
      </c>
      <c r="T28">
        <f t="shared" si="2"/>
        <v>43.6188</v>
      </c>
      <c r="U28">
        <f t="shared" si="3"/>
        <v>-0.405997683768</v>
      </c>
      <c r="X28" s="9"/>
      <c r="Y28" s="21">
        <v>0.53939800000000004</v>
      </c>
      <c r="Z28" s="21">
        <v>52.023499999999999</v>
      </c>
      <c r="AA28" s="21">
        <v>-2.5656100000000001E-2</v>
      </c>
      <c r="AB28" s="21">
        <v>18</v>
      </c>
      <c r="AC28" s="21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1">
        <v>-9.3078599999999994E-3</v>
      </c>
      <c r="AH28" s="21">
        <v>54.495100000000001</v>
      </c>
      <c r="AI28" s="21">
        <v>-4.3649300000000002E-2</v>
      </c>
      <c r="AJ28" s="21">
        <v>18</v>
      </c>
      <c r="AK28" s="21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1">
        <v>0.53939800000000004</v>
      </c>
      <c r="AR28" s="21">
        <v>57.168599999999998</v>
      </c>
      <c r="AS28" s="21">
        <v>-2.5479100000000001E-2</v>
      </c>
      <c r="AT28" s="21">
        <v>18</v>
      </c>
      <c r="AU28" s="21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1">
        <v>-9.3078599999999994E-3</v>
      </c>
      <c r="AZ28" s="21">
        <v>60.3172</v>
      </c>
      <c r="BA28" s="21">
        <v>-4.3655399999999997E-2</v>
      </c>
      <c r="BB28" s="21">
        <v>18</v>
      </c>
      <c r="BC28" s="21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0.53436300000000003</v>
      </c>
      <c r="H29" s="21">
        <v>47.002400000000002</v>
      </c>
      <c r="I29" s="21">
        <v>-2.7056899999999998E-2</v>
      </c>
      <c r="J29" s="21">
        <v>19</v>
      </c>
      <c r="K29" s="21">
        <v>0.53323399999999999</v>
      </c>
      <c r="L29">
        <f t="shared" si="0"/>
        <v>27.056899999999999</v>
      </c>
      <c r="M29">
        <f t="shared" si="1"/>
        <v>14.4582062547</v>
      </c>
      <c r="N29" s="9"/>
      <c r="O29" s="21">
        <v>-4.2724599999999996E-3</v>
      </c>
      <c r="P29" s="21">
        <v>49.643000000000001</v>
      </c>
      <c r="Q29" s="21">
        <v>-4.3621800000000002E-2</v>
      </c>
      <c r="R29" s="21">
        <v>19</v>
      </c>
      <c r="S29" s="21">
        <v>-4.7027600000000003E-3</v>
      </c>
      <c r="T29">
        <f t="shared" si="2"/>
        <v>43.6218</v>
      </c>
      <c r="U29">
        <f t="shared" si="3"/>
        <v>-0.18637239562799998</v>
      </c>
      <c r="X29" s="9"/>
      <c r="Y29" s="21">
        <v>0.53436300000000003</v>
      </c>
      <c r="Z29" s="21">
        <v>52.0336</v>
      </c>
      <c r="AA29" s="21">
        <v>-2.6889E-2</v>
      </c>
      <c r="AB29" s="21">
        <v>19</v>
      </c>
      <c r="AC29" s="21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1">
        <v>-4.2724599999999996E-3</v>
      </c>
      <c r="AH29" s="21">
        <v>54.505099999999999</v>
      </c>
      <c r="AI29" s="21">
        <v>-4.3646200000000003E-2</v>
      </c>
      <c r="AJ29" s="21">
        <v>19</v>
      </c>
      <c r="AK29" s="21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1">
        <v>0.53436300000000003</v>
      </c>
      <c r="AR29" s="21">
        <v>57.178699999999999</v>
      </c>
      <c r="AS29" s="21">
        <v>-2.6718100000000002E-2</v>
      </c>
      <c r="AT29" s="21">
        <v>19</v>
      </c>
      <c r="AU29" s="21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1">
        <v>-4.2724599999999996E-3</v>
      </c>
      <c r="AZ29" s="21">
        <v>60.327300000000001</v>
      </c>
      <c r="BA29" s="21">
        <v>-4.3649300000000002E-2</v>
      </c>
      <c r="BB29" s="21">
        <v>19</v>
      </c>
      <c r="BC29" s="21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0.52932699999999999</v>
      </c>
      <c r="H30" s="21">
        <v>47.012500000000003</v>
      </c>
      <c r="I30" s="21">
        <v>-2.82104E-2</v>
      </c>
      <c r="J30" s="21">
        <v>20</v>
      </c>
      <c r="K30" s="21">
        <v>0.52825900000000003</v>
      </c>
      <c r="L30">
        <f t="shared" si="0"/>
        <v>28.2104</v>
      </c>
      <c r="M30">
        <f t="shared" si="1"/>
        <v>14.9325264008</v>
      </c>
      <c r="N30" s="9"/>
      <c r="O30" s="21">
        <v>7.6293900000000002E-4</v>
      </c>
      <c r="P30" s="21">
        <v>49.653100000000002</v>
      </c>
      <c r="Q30" s="21">
        <v>-4.3621800000000002E-2</v>
      </c>
      <c r="R30" s="21">
        <v>20</v>
      </c>
      <c r="S30" s="21">
        <v>3.5705600000000002E-4</v>
      </c>
      <c r="T30">
        <f t="shared" si="2"/>
        <v>43.6218</v>
      </c>
      <c r="U30">
        <f t="shared" si="3"/>
        <v>3.3280772470200004E-2</v>
      </c>
      <c r="X30" s="9"/>
      <c r="Y30" s="21">
        <v>0.52932699999999999</v>
      </c>
      <c r="Z30" s="21">
        <v>52.043599999999998</v>
      </c>
      <c r="AA30" s="21">
        <v>-2.8054800000000001E-2</v>
      </c>
      <c r="AB30" s="21">
        <v>20</v>
      </c>
      <c r="AC30" s="21">
        <v>0.52829000000000004</v>
      </c>
      <c r="AD30">
        <f t="shared" si="4"/>
        <v>28.0548</v>
      </c>
      <c r="AE30">
        <f t="shared" si="5"/>
        <v>14.850163119599999</v>
      </c>
      <c r="AF30" s="9"/>
      <c r="AG30" s="21">
        <v>7.6293900000000002E-4</v>
      </c>
      <c r="AH30" s="21">
        <v>54.5152</v>
      </c>
      <c r="AI30" s="21">
        <v>-4.3640100000000001E-2</v>
      </c>
      <c r="AJ30" s="21">
        <v>20</v>
      </c>
      <c r="AK30" s="21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1">
        <v>0.52932699999999999</v>
      </c>
      <c r="AR30" s="21">
        <v>57.188800000000001</v>
      </c>
      <c r="AS30" s="21">
        <v>-2.7886999999999999E-2</v>
      </c>
      <c r="AT30" s="21">
        <v>20</v>
      </c>
      <c r="AU30" s="21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1">
        <v>7.6293900000000002E-4</v>
      </c>
      <c r="AZ30" s="21">
        <v>60.337400000000002</v>
      </c>
      <c r="BA30" s="21">
        <v>-4.3637099999999998E-2</v>
      </c>
      <c r="BB30" s="21">
        <v>20</v>
      </c>
      <c r="BC30" s="21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0.52429199999999998</v>
      </c>
      <c r="H31" s="21">
        <v>47.022599999999997</v>
      </c>
      <c r="I31" s="21">
        <v>-2.9281600000000001E-2</v>
      </c>
      <c r="J31" s="21">
        <v>21</v>
      </c>
      <c r="K31" s="21">
        <v>0.52316300000000004</v>
      </c>
      <c r="L31">
        <f t="shared" si="0"/>
        <v>29.281600000000001</v>
      </c>
      <c r="M31">
        <f t="shared" si="1"/>
        <v>15.3521086272</v>
      </c>
      <c r="N31" s="9"/>
      <c r="O31" s="21">
        <v>5.7983399999999999E-3</v>
      </c>
      <c r="P31" s="21">
        <v>49.6631</v>
      </c>
      <c r="Q31" s="21">
        <v>-4.3621800000000002E-2</v>
      </c>
      <c r="R31" s="21">
        <v>21</v>
      </c>
      <c r="S31" s="21">
        <v>5.3863499999999998E-3</v>
      </c>
      <c r="T31">
        <f t="shared" si="2"/>
        <v>43.6218</v>
      </c>
      <c r="U31">
        <f t="shared" si="3"/>
        <v>0.25293402781199997</v>
      </c>
      <c r="X31" s="9"/>
      <c r="Y31" s="21">
        <v>0.52429199999999998</v>
      </c>
      <c r="Z31" s="21">
        <v>52.053699999999999</v>
      </c>
      <c r="AA31" s="21">
        <v>-2.9132100000000001E-2</v>
      </c>
      <c r="AB31" s="21">
        <v>21</v>
      </c>
      <c r="AC31" s="21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1">
        <v>5.7983399999999999E-3</v>
      </c>
      <c r="AH31" s="21">
        <v>54.525300000000001</v>
      </c>
      <c r="AI31" s="21">
        <v>-4.3633999999999999E-2</v>
      </c>
      <c r="AJ31" s="21">
        <v>21</v>
      </c>
      <c r="AK31" s="21">
        <v>5.3527799999999997E-3</v>
      </c>
      <c r="AL31">
        <f t="shared" si="6"/>
        <v>43.634</v>
      </c>
      <c r="AM31">
        <f t="shared" si="7"/>
        <v>0.25300476756000001</v>
      </c>
      <c r="AP31" s="9"/>
      <c r="AQ31" s="21">
        <v>0.52429199999999998</v>
      </c>
      <c r="AR31" s="21">
        <v>57.198900000000002</v>
      </c>
      <c r="AS31" s="21">
        <v>-2.89856E-2</v>
      </c>
      <c r="AT31" s="21">
        <v>21</v>
      </c>
      <c r="AU31" s="21">
        <v>0.523254</v>
      </c>
      <c r="AV31">
        <f t="shared" si="8"/>
        <v>28.985600000000002</v>
      </c>
      <c r="AW31">
        <f t="shared" si="9"/>
        <v>15.1969181952</v>
      </c>
      <c r="AX31" s="9"/>
      <c r="AY31" s="21">
        <v>5.7983399999999999E-3</v>
      </c>
      <c r="AZ31" s="21">
        <v>60.3474</v>
      </c>
      <c r="BA31" s="21">
        <v>-4.3633999999999999E-2</v>
      </c>
      <c r="BB31" s="21">
        <v>21</v>
      </c>
      <c r="BC31" s="21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0.51925699999999997</v>
      </c>
      <c r="H32" s="21">
        <v>47.032699999999998</v>
      </c>
      <c r="I32" s="21">
        <v>-3.0297899999999999E-2</v>
      </c>
      <c r="J32" s="21">
        <v>22</v>
      </c>
      <c r="K32" s="21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1">
        <v>1.08337E-2</v>
      </c>
      <c r="P32" s="21">
        <v>49.673200000000001</v>
      </c>
      <c r="Q32" s="21">
        <v>-4.3621800000000002E-2</v>
      </c>
      <c r="R32" s="21">
        <v>22</v>
      </c>
      <c r="S32" s="21">
        <v>1.04828E-2</v>
      </c>
      <c r="T32">
        <f t="shared" si="2"/>
        <v>43.6218</v>
      </c>
      <c r="U32">
        <f t="shared" si="3"/>
        <v>0.47258549465999999</v>
      </c>
      <c r="X32" s="9"/>
      <c r="Y32" s="21">
        <v>0.51925699999999997</v>
      </c>
      <c r="Z32" s="21">
        <v>52.063800000000001</v>
      </c>
      <c r="AA32" s="21">
        <v>-3.0142200000000001E-2</v>
      </c>
      <c r="AB32" s="21">
        <v>22</v>
      </c>
      <c r="AC32" s="21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1">
        <v>1.08337E-2</v>
      </c>
      <c r="AH32" s="21">
        <v>54.535400000000003</v>
      </c>
      <c r="AI32" s="21">
        <v>-4.3649300000000002E-2</v>
      </c>
      <c r="AJ32" s="21">
        <v>22</v>
      </c>
      <c r="AK32" s="21">
        <v>1.04431E-2</v>
      </c>
      <c r="AL32">
        <f t="shared" si="6"/>
        <v>43.649300000000004</v>
      </c>
      <c r="AM32">
        <f t="shared" si="7"/>
        <v>0.47288342141000006</v>
      </c>
      <c r="AP32" s="9"/>
      <c r="AQ32" s="21">
        <v>0.51925699999999997</v>
      </c>
      <c r="AR32" s="21">
        <v>57.2089</v>
      </c>
      <c r="AS32" s="21">
        <v>-3.0004900000000001E-2</v>
      </c>
      <c r="AT32" s="21">
        <v>22</v>
      </c>
      <c r="AU32" s="21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1">
        <v>1.08337E-2</v>
      </c>
      <c r="AZ32" s="21">
        <v>60.357500000000002</v>
      </c>
      <c r="BA32" s="21">
        <v>-4.3627899999999997E-2</v>
      </c>
      <c r="BB32" s="21">
        <v>22</v>
      </c>
      <c r="BC32" s="21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0.51422100000000004</v>
      </c>
      <c r="H33" s="21">
        <v>47.042700000000004</v>
      </c>
      <c r="I33" s="21">
        <v>-3.1234700000000001E-2</v>
      </c>
      <c r="J33" s="21">
        <v>23</v>
      </c>
      <c r="K33" s="21">
        <v>0.513123</v>
      </c>
      <c r="L33">
        <f t="shared" si="0"/>
        <v>31.2347</v>
      </c>
      <c r="M33">
        <f t="shared" si="1"/>
        <v>16.061538668700003</v>
      </c>
      <c r="N33" s="9"/>
      <c r="O33" s="21">
        <v>1.5869100000000001E-2</v>
      </c>
      <c r="P33" s="21">
        <v>49.683300000000003</v>
      </c>
      <c r="Q33" s="21">
        <v>-4.36157E-2</v>
      </c>
      <c r="R33" s="21">
        <v>23</v>
      </c>
      <c r="S33" s="21">
        <v>1.55029E-2</v>
      </c>
      <c r="T33">
        <f t="shared" si="2"/>
        <v>43.615699999999997</v>
      </c>
      <c r="U33">
        <f t="shared" si="3"/>
        <v>0.69214190486999994</v>
      </c>
      <c r="X33" s="9"/>
      <c r="Y33" s="21">
        <v>0.51422100000000004</v>
      </c>
      <c r="Z33" s="21">
        <v>52.073900000000002</v>
      </c>
      <c r="AA33" s="21">
        <v>-3.1069900000000001E-2</v>
      </c>
      <c r="AB33" s="21">
        <v>23</v>
      </c>
      <c r="AC33" s="21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1">
        <v>1.5869100000000001E-2</v>
      </c>
      <c r="AH33" s="21">
        <v>54.545400000000001</v>
      </c>
      <c r="AI33" s="21">
        <v>-4.3640100000000001E-2</v>
      </c>
      <c r="AJ33" s="21">
        <v>23</v>
      </c>
      <c r="AK33" s="21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1">
        <v>0.51422100000000004</v>
      </c>
      <c r="AR33" s="21">
        <v>57.219000000000001</v>
      </c>
      <c r="AS33" s="21">
        <v>-3.0956999999999998E-2</v>
      </c>
      <c r="AT33" s="21">
        <v>23</v>
      </c>
      <c r="AU33" s="21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1">
        <v>1.5869100000000001E-2</v>
      </c>
      <c r="AZ33" s="21">
        <v>60.367600000000003</v>
      </c>
      <c r="BA33" s="21">
        <v>-4.3627899999999997E-2</v>
      </c>
      <c r="BB33" s="21">
        <v>23</v>
      </c>
      <c r="BC33" s="21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0.50918600000000003</v>
      </c>
      <c r="H34" s="21">
        <v>47.052799999999998</v>
      </c>
      <c r="I34" s="21">
        <v>-3.2098399999999999E-2</v>
      </c>
      <c r="J34" s="21">
        <v>24</v>
      </c>
      <c r="K34" s="21">
        <v>0.507996</v>
      </c>
      <c r="L34">
        <f t="shared" si="0"/>
        <v>32.098399999999998</v>
      </c>
      <c r="M34">
        <f t="shared" si="1"/>
        <v>16.344055902400001</v>
      </c>
      <c r="N34" s="9"/>
      <c r="O34" s="21">
        <v>2.0904499999999999E-2</v>
      </c>
      <c r="P34" s="21">
        <v>49.693399999999997</v>
      </c>
      <c r="Q34" s="21">
        <v>-4.3612699999999997E-2</v>
      </c>
      <c r="R34" s="21">
        <v>24</v>
      </c>
      <c r="S34" s="21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1">
        <v>0.50918600000000003</v>
      </c>
      <c r="Z34" s="21">
        <v>52.0839</v>
      </c>
      <c r="AA34" s="21">
        <v>-3.1930500000000001E-2</v>
      </c>
      <c r="AB34" s="21">
        <v>24</v>
      </c>
      <c r="AC34" s="21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1">
        <v>2.0904499999999999E-2</v>
      </c>
      <c r="AH34" s="21">
        <v>54.555500000000002</v>
      </c>
      <c r="AI34" s="21">
        <v>-4.3624900000000001E-2</v>
      </c>
      <c r="AJ34" s="21">
        <v>24</v>
      </c>
      <c r="AK34" s="21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1">
        <v>0.50918600000000003</v>
      </c>
      <c r="AR34" s="21">
        <v>57.229100000000003</v>
      </c>
      <c r="AS34" s="21">
        <v>-3.1829799999999998E-2</v>
      </c>
      <c r="AT34" s="21">
        <v>24</v>
      </c>
      <c r="AU34" s="21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1">
        <v>2.0904499999999999E-2</v>
      </c>
      <c r="AZ34" s="21">
        <v>60.377699999999997</v>
      </c>
      <c r="BA34" s="21">
        <v>-4.3621800000000002E-2</v>
      </c>
      <c r="BB34" s="21">
        <v>24</v>
      </c>
      <c r="BC34" s="21">
        <v>2.05597E-2</v>
      </c>
      <c r="BD34">
        <f t="shared" si="10"/>
        <v>43.6218</v>
      </c>
      <c r="BE34">
        <f t="shared" si="11"/>
        <v>0.91189191810000003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0.50414999999999999</v>
      </c>
      <c r="H35" s="21">
        <v>47.062899999999999</v>
      </c>
      <c r="I35" s="21">
        <v>-3.2897900000000001E-2</v>
      </c>
      <c r="J35" s="21">
        <v>25</v>
      </c>
      <c r="K35" s="21">
        <v>0.50302100000000005</v>
      </c>
      <c r="L35">
        <f t="shared" si="0"/>
        <v>32.8979</v>
      </c>
      <c r="M35">
        <f t="shared" si="1"/>
        <v>16.585476284999999</v>
      </c>
      <c r="N35" s="9"/>
      <c r="O35" s="21">
        <v>2.5939899999999998E-2</v>
      </c>
      <c r="P35" s="21">
        <v>49.703400000000002</v>
      </c>
      <c r="Q35" s="21">
        <v>-4.3612699999999997E-2</v>
      </c>
      <c r="R35" s="21">
        <v>25</v>
      </c>
      <c r="S35" s="21">
        <v>2.56592E-2</v>
      </c>
      <c r="T35">
        <f t="shared" si="2"/>
        <v>43.612699999999997</v>
      </c>
      <c r="U35">
        <f t="shared" si="3"/>
        <v>1.1313090767299998</v>
      </c>
      <c r="X35" s="9"/>
      <c r="Y35" s="21">
        <v>0.50414999999999999</v>
      </c>
      <c r="Z35" s="21">
        <v>52.094000000000001</v>
      </c>
      <c r="AA35" s="21">
        <v>-3.2733199999999997E-2</v>
      </c>
      <c r="AB35" s="21">
        <v>25</v>
      </c>
      <c r="AC35" s="21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1">
        <v>2.5939899999999998E-2</v>
      </c>
      <c r="AH35" s="21">
        <v>54.565600000000003</v>
      </c>
      <c r="AI35" s="21">
        <v>-4.3606600000000002E-2</v>
      </c>
      <c r="AJ35" s="21">
        <v>25</v>
      </c>
      <c r="AK35" s="21">
        <v>2.5598099999999999E-2</v>
      </c>
      <c r="AL35">
        <f t="shared" si="6"/>
        <v>43.6066</v>
      </c>
      <c r="AM35">
        <f t="shared" si="7"/>
        <v>1.1311508433399999</v>
      </c>
      <c r="AP35" s="9"/>
      <c r="AQ35" s="21">
        <v>0.50414999999999999</v>
      </c>
      <c r="AR35" s="21">
        <v>57.239100000000001</v>
      </c>
      <c r="AS35" s="21">
        <v>-3.26416E-2</v>
      </c>
      <c r="AT35" s="21">
        <v>25</v>
      </c>
      <c r="AU35" s="21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1">
        <v>2.5939899999999998E-2</v>
      </c>
      <c r="AZ35" s="21">
        <v>60.387700000000002</v>
      </c>
      <c r="BA35" s="21">
        <v>-4.36005E-2</v>
      </c>
      <c r="BB35" s="21">
        <v>25</v>
      </c>
      <c r="BC35" s="21">
        <v>2.5592E-2</v>
      </c>
      <c r="BD35">
        <f t="shared" si="10"/>
        <v>43.600500000000004</v>
      </c>
      <c r="BE35">
        <f t="shared" si="11"/>
        <v>1.1309926099500001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0.49911499999999998</v>
      </c>
      <c r="H36" s="21">
        <v>47.072899999999997</v>
      </c>
      <c r="I36" s="21">
        <v>-3.36365E-2</v>
      </c>
      <c r="J36" s="21">
        <v>26</v>
      </c>
      <c r="K36" s="21">
        <v>0.49804700000000002</v>
      </c>
      <c r="L36">
        <f t="shared" si="0"/>
        <v>33.636499999999998</v>
      </c>
      <c r="M36">
        <f t="shared" si="1"/>
        <v>16.7884816975</v>
      </c>
      <c r="N36" s="9"/>
      <c r="O36" s="21">
        <v>3.0975300000000001E-2</v>
      </c>
      <c r="P36" s="21">
        <v>49.713500000000003</v>
      </c>
      <c r="Q36" s="21">
        <v>-4.3603500000000003E-2</v>
      </c>
      <c r="R36" s="21">
        <v>26</v>
      </c>
      <c r="S36" s="21">
        <v>3.06641E-2</v>
      </c>
      <c r="T36">
        <f t="shared" si="2"/>
        <v>43.603500000000004</v>
      </c>
      <c r="U36">
        <f t="shared" si="3"/>
        <v>1.3506314935500001</v>
      </c>
      <c r="X36" s="9"/>
      <c r="Y36" s="21">
        <v>0.49911499999999998</v>
      </c>
      <c r="Z36" s="21">
        <v>52.104100000000003</v>
      </c>
      <c r="AA36" s="21">
        <v>-3.3480799999999998E-2</v>
      </c>
      <c r="AB36" s="21">
        <v>26</v>
      </c>
      <c r="AC36" s="21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1">
        <v>3.0975300000000001E-2</v>
      </c>
      <c r="AH36" s="21">
        <v>54.575600000000001</v>
      </c>
      <c r="AI36" s="21">
        <v>-4.3591299999999999E-2</v>
      </c>
      <c r="AJ36" s="21">
        <v>26</v>
      </c>
      <c r="AK36" s="21">
        <v>3.05939E-2</v>
      </c>
      <c r="AL36">
        <f t="shared" si="6"/>
        <v>43.591299999999997</v>
      </c>
      <c r="AM36">
        <f t="shared" si="7"/>
        <v>1.3502535948899999</v>
      </c>
      <c r="AP36" s="9"/>
      <c r="AQ36" s="21">
        <v>0.49911499999999998</v>
      </c>
      <c r="AR36" s="21">
        <v>57.249200000000002</v>
      </c>
      <c r="AS36" s="21">
        <v>-3.3389299999999997E-2</v>
      </c>
      <c r="AT36" s="21">
        <v>26</v>
      </c>
      <c r="AU36" s="21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1">
        <v>3.0975300000000001E-2</v>
      </c>
      <c r="AZ36" s="21">
        <v>60.397799999999997</v>
      </c>
      <c r="BA36" s="21">
        <v>-4.3579100000000003E-2</v>
      </c>
      <c r="BB36" s="21">
        <v>26</v>
      </c>
      <c r="BC36" s="21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0.49408000000000002</v>
      </c>
      <c r="H37" s="21">
        <v>47.082999999999998</v>
      </c>
      <c r="I37" s="21">
        <v>-3.4310899999999998E-2</v>
      </c>
      <c r="J37" s="21">
        <v>27</v>
      </c>
      <c r="K37" s="21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1">
        <v>3.60107E-2</v>
      </c>
      <c r="P37" s="21">
        <v>49.723599999999998</v>
      </c>
      <c r="Q37" s="21">
        <v>-4.3588300000000003E-2</v>
      </c>
      <c r="R37" s="21">
        <v>27</v>
      </c>
      <c r="S37" s="21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1">
        <v>0.49408000000000002</v>
      </c>
      <c r="Z37" s="21">
        <v>52.114100000000001</v>
      </c>
      <c r="AA37" s="21">
        <v>-3.41797E-2</v>
      </c>
      <c r="AB37" s="21">
        <v>27</v>
      </c>
      <c r="AC37" s="21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1">
        <v>3.60107E-2</v>
      </c>
      <c r="AH37" s="21">
        <v>54.585700000000003</v>
      </c>
      <c r="AI37" s="21">
        <v>-4.3573000000000001E-2</v>
      </c>
      <c r="AJ37" s="21">
        <v>27</v>
      </c>
      <c r="AK37" s="21">
        <v>3.5720799999999997E-2</v>
      </c>
      <c r="AL37">
        <f t="shared" si="6"/>
        <v>43.573</v>
      </c>
      <c r="AM37">
        <f t="shared" si="7"/>
        <v>1.5690942311</v>
      </c>
      <c r="AP37" s="9"/>
      <c r="AQ37" s="21">
        <v>0.49408000000000002</v>
      </c>
      <c r="AR37" s="21">
        <v>57.259300000000003</v>
      </c>
      <c r="AS37" s="21">
        <v>-3.4078999999999998E-2</v>
      </c>
      <c r="AT37" s="21">
        <v>27</v>
      </c>
      <c r="AU37" s="21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1">
        <v>3.60107E-2</v>
      </c>
      <c r="AZ37" s="21">
        <v>60.407899999999998</v>
      </c>
      <c r="BA37" s="21">
        <v>-4.35486E-2</v>
      </c>
      <c r="BB37" s="21">
        <v>27</v>
      </c>
      <c r="BC37" s="21">
        <v>3.5687299999999998E-2</v>
      </c>
      <c r="BD37">
        <f t="shared" si="10"/>
        <v>43.5486</v>
      </c>
      <c r="BE37">
        <f t="shared" si="11"/>
        <v>1.56821557002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0.48904399999999998</v>
      </c>
      <c r="H38" s="21">
        <v>47.0931</v>
      </c>
      <c r="I38" s="21">
        <v>-3.4936500000000002E-2</v>
      </c>
      <c r="J38" s="21">
        <v>28</v>
      </c>
      <c r="K38" s="21">
        <v>0.48791499999999999</v>
      </c>
      <c r="L38">
        <f t="shared" si="0"/>
        <v>34.936500000000002</v>
      </c>
      <c r="M38">
        <f t="shared" si="1"/>
        <v>17.085485706</v>
      </c>
      <c r="N38" s="9"/>
      <c r="O38" s="21">
        <v>4.1046100000000002E-2</v>
      </c>
      <c r="P38" s="21">
        <v>49.733600000000003</v>
      </c>
      <c r="Q38" s="21">
        <v>-4.3575999999999997E-2</v>
      </c>
      <c r="R38" s="21">
        <v>28</v>
      </c>
      <c r="S38" s="21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1">
        <v>0.48904399999999998</v>
      </c>
      <c r="Z38" s="21">
        <v>52.124200000000002</v>
      </c>
      <c r="AA38" s="21">
        <v>-3.48206E-2</v>
      </c>
      <c r="AB38" s="21">
        <v>28</v>
      </c>
      <c r="AC38" s="21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1">
        <v>4.1046100000000002E-2</v>
      </c>
      <c r="AH38" s="21">
        <v>54.595799999999997</v>
      </c>
      <c r="AI38" s="21">
        <v>-4.3575999999999997E-2</v>
      </c>
      <c r="AJ38" s="21">
        <v>28</v>
      </c>
      <c r="AK38" s="21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1">
        <v>0.48904399999999998</v>
      </c>
      <c r="AR38" s="21">
        <v>57.269399999999997</v>
      </c>
      <c r="AS38" s="21">
        <v>-3.4716799999999999E-2</v>
      </c>
      <c r="AT38" s="21">
        <v>28</v>
      </c>
      <c r="AU38" s="21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1">
        <v>4.1046100000000002E-2</v>
      </c>
      <c r="AZ38" s="21">
        <v>60.417900000000003</v>
      </c>
      <c r="BA38" s="21">
        <v>-4.3530300000000001E-2</v>
      </c>
      <c r="BB38" s="21">
        <v>28</v>
      </c>
      <c r="BC38" s="21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0.48400900000000002</v>
      </c>
      <c r="H39" s="21">
        <v>47.103200000000001</v>
      </c>
      <c r="I39" s="21">
        <v>-3.5513299999999998E-2</v>
      </c>
      <c r="J39" s="21">
        <v>29</v>
      </c>
      <c r="K39" s="21">
        <v>0.482819</v>
      </c>
      <c r="L39">
        <f t="shared" si="0"/>
        <v>35.513300000000001</v>
      </c>
      <c r="M39">
        <f t="shared" si="1"/>
        <v>17.1887568197</v>
      </c>
      <c r="N39" s="9"/>
      <c r="O39" s="21">
        <v>4.6081499999999997E-2</v>
      </c>
      <c r="P39" s="21">
        <v>49.743699999999997</v>
      </c>
      <c r="Q39" s="21">
        <v>-4.3579100000000003E-2</v>
      </c>
      <c r="R39" s="21">
        <v>29</v>
      </c>
      <c r="S39" s="21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1">
        <v>0.48400900000000002</v>
      </c>
      <c r="Z39" s="21">
        <v>52.134300000000003</v>
      </c>
      <c r="AA39" s="21">
        <v>-3.54065E-2</v>
      </c>
      <c r="AB39" s="21">
        <v>29</v>
      </c>
      <c r="AC39" s="21">
        <v>0.482819</v>
      </c>
      <c r="AD39">
        <f t="shared" si="4"/>
        <v>35.406500000000001</v>
      </c>
      <c r="AE39">
        <f t="shared" si="5"/>
        <v>17.137064658500002</v>
      </c>
      <c r="AF39" s="9"/>
      <c r="AG39" s="21">
        <v>4.6081499999999997E-2</v>
      </c>
      <c r="AH39" s="21">
        <v>54.605899999999998</v>
      </c>
      <c r="AI39" s="21">
        <v>-4.3573000000000001E-2</v>
      </c>
      <c r="AJ39" s="21">
        <v>29</v>
      </c>
      <c r="AK39" s="21">
        <v>4.5782499999999997E-2</v>
      </c>
      <c r="AL39">
        <f t="shared" si="6"/>
        <v>43.573</v>
      </c>
      <c r="AM39">
        <f t="shared" si="7"/>
        <v>2.0079091994999998</v>
      </c>
      <c r="AP39" s="9"/>
      <c r="AQ39" s="21">
        <v>0.48400900000000002</v>
      </c>
      <c r="AR39" s="21">
        <v>57.279400000000003</v>
      </c>
      <c r="AS39" s="21">
        <v>-3.5302699999999999E-2</v>
      </c>
      <c r="AT39" s="21">
        <v>29</v>
      </c>
      <c r="AU39" s="21">
        <v>0.482819</v>
      </c>
      <c r="AV39">
        <f t="shared" si="8"/>
        <v>35.302700000000002</v>
      </c>
      <c r="AW39">
        <f t="shared" si="9"/>
        <v>17.086824524300003</v>
      </c>
      <c r="AX39" s="9"/>
      <c r="AY39" s="21">
        <v>4.6081499999999997E-2</v>
      </c>
      <c r="AZ39" s="21">
        <v>60.427999999999997</v>
      </c>
      <c r="BA39" s="21">
        <v>-4.3530300000000001E-2</v>
      </c>
      <c r="BB39" s="21">
        <v>29</v>
      </c>
      <c r="BC39" s="21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0.47897299999999998</v>
      </c>
      <c r="H40" s="21">
        <v>47.113199999999999</v>
      </c>
      <c r="I40" s="21">
        <v>-3.6044300000000001E-2</v>
      </c>
      <c r="J40" s="21">
        <v>30</v>
      </c>
      <c r="K40" s="21">
        <v>0.47778300000000001</v>
      </c>
      <c r="L40">
        <f t="shared" si="0"/>
        <v>36.0443</v>
      </c>
      <c r="M40">
        <f t="shared" si="1"/>
        <v>17.264246503900001</v>
      </c>
      <c r="N40" s="9"/>
      <c r="O40" s="21">
        <v>5.11169E-2</v>
      </c>
      <c r="P40" s="21">
        <v>49.753799999999998</v>
      </c>
      <c r="Q40" s="21">
        <v>-4.3585199999999998E-2</v>
      </c>
      <c r="R40" s="21">
        <v>30</v>
      </c>
      <c r="S40" s="21">
        <v>5.0860599999999999E-2</v>
      </c>
      <c r="T40">
        <f t="shared" si="2"/>
        <v>43.5852</v>
      </c>
      <c r="U40">
        <f t="shared" si="3"/>
        <v>2.2279403098800001</v>
      </c>
      <c r="X40" s="9"/>
      <c r="Y40" s="21">
        <v>0.47897299999999998</v>
      </c>
      <c r="Z40" s="21">
        <v>52.144399999999997</v>
      </c>
      <c r="AA40" s="21">
        <v>-3.5949700000000001E-2</v>
      </c>
      <c r="AB40" s="21">
        <v>30</v>
      </c>
      <c r="AC40" s="21">
        <v>0.47772199999999998</v>
      </c>
      <c r="AD40">
        <f t="shared" si="4"/>
        <v>35.9497</v>
      </c>
      <c r="AE40">
        <f t="shared" si="5"/>
        <v>17.218935658099998</v>
      </c>
      <c r="AF40" s="9"/>
      <c r="AG40" s="21">
        <v>5.11169E-2</v>
      </c>
      <c r="AH40" s="21">
        <v>54.615900000000003</v>
      </c>
      <c r="AI40" s="21">
        <v>-4.3566899999999999E-2</v>
      </c>
      <c r="AJ40" s="21">
        <v>30</v>
      </c>
      <c r="AK40" s="21">
        <v>5.07996E-2</v>
      </c>
      <c r="AL40">
        <f t="shared" si="6"/>
        <v>43.566899999999997</v>
      </c>
      <c r="AM40">
        <f t="shared" si="7"/>
        <v>2.2270048706099996</v>
      </c>
      <c r="AP40" s="9"/>
      <c r="AQ40" s="21">
        <v>0.47897299999999998</v>
      </c>
      <c r="AR40" s="21">
        <v>57.289499999999997</v>
      </c>
      <c r="AS40" s="21">
        <v>-3.5848999999999999E-2</v>
      </c>
      <c r="AT40" s="21">
        <v>30</v>
      </c>
      <c r="AU40" s="21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1">
        <v>5.11169E-2</v>
      </c>
      <c r="AZ40" s="21">
        <v>60.438099999999999</v>
      </c>
      <c r="BA40" s="21">
        <v>-4.3545500000000001E-2</v>
      </c>
      <c r="BB40" s="21">
        <v>30</v>
      </c>
      <c r="BC40" s="21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0.47393800000000003</v>
      </c>
      <c r="H41" s="21">
        <v>47.1233</v>
      </c>
      <c r="I41" s="21">
        <v>-3.6526500000000003E-2</v>
      </c>
      <c r="J41" s="21">
        <v>31</v>
      </c>
      <c r="K41" s="21">
        <v>0.472748</v>
      </c>
      <c r="L41">
        <f t="shared" si="0"/>
        <v>36.526500000000006</v>
      </c>
      <c r="M41">
        <f t="shared" si="1"/>
        <v>17.311296357000003</v>
      </c>
      <c r="N41" s="9"/>
      <c r="O41" s="21">
        <v>5.6152300000000002E-2</v>
      </c>
      <c r="P41" s="21">
        <v>49.7639</v>
      </c>
      <c r="Q41" s="21">
        <v>-4.3579100000000003E-2</v>
      </c>
      <c r="R41" s="21">
        <v>31</v>
      </c>
      <c r="S41" s="21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1">
        <v>0.47393800000000003</v>
      </c>
      <c r="Z41" s="21">
        <v>52.154400000000003</v>
      </c>
      <c r="AA41" s="21">
        <v>-3.6450200000000002E-2</v>
      </c>
      <c r="AB41" s="21">
        <v>31</v>
      </c>
      <c r="AC41" s="21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1">
        <v>5.6152300000000002E-2</v>
      </c>
      <c r="AH41" s="21">
        <v>54.625999999999998</v>
      </c>
      <c r="AI41" s="21">
        <v>-4.3566899999999999E-2</v>
      </c>
      <c r="AJ41" s="21">
        <v>31</v>
      </c>
      <c r="AK41" s="21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1">
        <v>0.47393800000000003</v>
      </c>
      <c r="AR41" s="21">
        <v>57.299599999999998</v>
      </c>
      <c r="AS41" s="21">
        <v>-3.6346400000000001E-2</v>
      </c>
      <c r="AT41" s="21">
        <v>31</v>
      </c>
      <c r="AU41" s="21">
        <v>0.472748</v>
      </c>
      <c r="AV41">
        <f t="shared" si="8"/>
        <v>36.346400000000003</v>
      </c>
      <c r="AW41">
        <f t="shared" si="9"/>
        <v>17.225940123200001</v>
      </c>
      <c r="AX41" s="9"/>
      <c r="AY41" s="21">
        <v>5.6152300000000002E-2</v>
      </c>
      <c r="AZ41" s="21">
        <v>60.448099999999997</v>
      </c>
      <c r="BA41" s="21">
        <v>-4.3542499999999998E-2</v>
      </c>
      <c r="BB41" s="21">
        <v>31</v>
      </c>
      <c r="BC41" s="21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0.46890300000000001</v>
      </c>
      <c r="H42" s="21">
        <v>47.133400000000002</v>
      </c>
      <c r="I42" s="21">
        <v>-3.69629E-2</v>
      </c>
      <c r="J42" s="21">
        <v>32</v>
      </c>
      <c r="K42" s="21">
        <v>0.46777299999999999</v>
      </c>
      <c r="L42">
        <f t="shared" si="0"/>
        <v>36.962899999999998</v>
      </c>
      <c r="M42">
        <f t="shared" si="1"/>
        <v>17.3320146987</v>
      </c>
      <c r="N42" s="9"/>
      <c r="O42" s="21">
        <v>6.1187699999999998E-2</v>
      </c>
      <c r="P42" s="21">
        <v>49.773899999999998</v>
      </c>
      <c r="Q42" s="21">
        <v>-4.3566899999999999E-2</v>
      </c>
      <c r="R42" s="21">
        <v>32</v>
      </c>
      <c r="S42" s="21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1">
        <v>0.46890300000000001</v>
      </c>
      <c r="Z42" s="21">
        <v>52.164499999999997</v>
      </c>
      <c r="AA42" s="21">
        <v>-3.6904899999999997E-2</v>
      </c>
      <c r="AB42" s="21">
        <v>32</v>
      </c>
      <c r="AC42" s="21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1">
        <v>6.1187699999999998E-2</v>
      </c>
      <c r="AH42" s="21">
        <v>54.636099999999999</v>
      </c>
      <c r="AI42" s="21">
        <v>-4.3560799999999997E-2</v>
      </c>
      <c r="AJ42" s="21">
        <v>32</v>
      </c>
      <c r="AK42" s="21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1">
        <v>0.46890300000000001</v>
      </c>
      <c r="AR42" s="21">
        <v>57.309600000000003</v>
      </c>
      <c r="AS42" s="21">
        <v>-3.67981E-2</v>
      </c>
      <c r="AT42" s="21">
        <v>32</v>
      </c>
      <c r="AU42" s="21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1">
        <v>6.1187699999999998E-2</v>
      </c>
      <c r="AZ42" s="21">
        <v>60.458199999999998</v>
      </c>
      <c r="BA42" s="21">
        <v>-4.3545500000000001E-2</v>
      </c>
      <c r="BB42" s="21">
        <v>32</v>
      </c>
      <c r="BC42" s="21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0.46386699999999997</v>
      </c>
      <c r="H43" s="21">
        <v>47.1434</v>
      </c>
      <c r="I43" s="21">
        <v>-3.7365700000000002E-2</v>
      </c>
      <c r="J43" s="21">
        <v>33</v>
      </c>
      <c r="K43" s="21">
        <v>0.462677</v>
      </c>
      <c r="L43">
        <f t="shared" si="0"/>
        <v>37.365700000000004</v>
      </c>
      <c r="M43">
        <f t="shared" si="1"/>
        <v>17.332715161900001</v>
      </c>
      <c r="N43" s="9"/>
      <c r="O43" s="21">
        <v>6.6223099999999993E-2</v>
      </c>
      <c r="P43" s="21">
        <v>49.783999999999999</v>
      </c>
      <c r="Q43" s="21">
        <v>-4.35638E-2</v>
      </c>
      <c r="R43" s="21">
        <v>33</v>
      </c>
      <c r="S43" s="21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1">
        <v>0.46386699999999997</v>
      </c>
      <c r="Z43" s="21">
        <v>52.174599999999998</v>
      </c>
      <c r="AA43" s="21">
        <v>-3.7323000000000002E-2</v>
      </c>
      <c r="AB43" s="21">
        <v>33</v>
      </c>
      <c r="AC43" s="21">
        <v>0.462677</v>
      </c>
      <c r="AD43">
        <f t="shared" si="4"/>
        <v>37.323</v>
      </c>
      <c r="AE43">
        <f t="shared" si="5"/>
        <v>17.312908041</v>
      </c>
      <c r="AF43" s="9"/>
      <c r="AG43" s="21">
        <v>6.6223099999999993E-2</v>
      </c>
      <c r="AH43" s="21">
        <v>54.646099999999997</v>
      </c>
      <c r="AI43" s="21">
        <v>-4.3560799999999997E-2</v>
      </c>
      <c r="AJ43" s="21">
        <v>33</v>
      </c>
      <c r="AK43" s="21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1">
        <v>0.46386699999999997</v>
      </c>
      <c r="AR43" s="21">
        <v>57.319699999999997</v>
      </c>
      <c r="AS43" s="21">
        <v>-3.7210100000000003E-2</v>
      </c>
      <c r="AT43" s="21">
        <v>33</v>
      </c>
      <c r="AU43" s="21">
        <v>0.462677</v>
      </c>
      <c r="AV43">
        <f t="shared" si="8"/>
        <v>37.210100000000004</v>
      </c>
      <c r="AW43">
        <f t="shared" si="9"/>
        <v>17.2605374567</v>
      </c>
      <c r="AX43" s="9"/>
      <c r="AY43" s="21">
        <v>6.6223099999999993E-2</v>
      </c>
      <c r="AZ43" s="21">
        <v>60.468299999999999</v>
      </c>
      <c r="BA43" s="21">
        <v>-4.3539399999999999E-2</v>
      </c>
      <c r="BB43" s="21">
        <v>33</v>
      </c>
      <c r="BC43" s="21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0.45883200000000002</v>
      </c>
      <c r="H44" s="21">
        <v>47.153500000000001</v>
      </c>
      <c r="I44" s="21">
        <v>-3.7731899999999999E-2</v>
      </c>
      <c r="J44" s="21">
        <v>34</v>
      </c>
      <c r="K44" s="21">
        <v>0.45767200000000002</v>
      </c>
      <c r="L44">
        <f t="shared" si="0"/>
        <v>37.731899999999996</v>
      </c>
      <c r="M44">
        <f t="shared" si="1"/>
        <v>17.3126031408</v>
      </c>
      <c r="N44" s="9"/>
      <c r="O44" s="21">
        <v>7.1258500000000002E-2</v>
      </c>
      <c r="P44" s="21">
        <v>49.7941</v>
      </c>
      <c r="Q44" s="21">
        <v>-4.3557699999999998E-2</v>
      </c>
      <c r="R44" s="21">
        <v>34</v>
      </c>
      <c r="S44" s="21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1">
        <v>0.45883200000000002</v>
      </c>
      <c r="Z44" s="21">
        <v>52.184600000000003</v>
      </c>
      <c r="AA44" s="21">
        <v>-3.7710599999999997E-2</v>
      </c>
      <c r="AB44" s="21">
        <v>34</v>
      </c>
      <c r="AC44" s="21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1">
        <v>7.1258500000000002E-2</v>
      </c>
      <c r="AH44" s="21">
        <v>54.656199999999998</v>
      </c>
      <c r="AI44" s="21">
        <v>-4.3551600000000003E-2</v>
      </c>
      <c r="AJ44" s="21">
        <v>34</v>
      </c>
      <c r="AK44" s="21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1">
        <v>0.45883200000000002</v>
      </c>
      <c r="AR44" s="21">
        <v>57.329799999999999</v>
      </c>
      <c r="AS44" s="21">
        <v>-3.7594599999999999E-2</v>
      </c>
      <c r="AT44" s="21">
        <v>34</v>
      </c>
      <c r="AU44" s="21">
        <v>0.45767200000000002</v>
      </c>
      <c r="AV44">
        <f t="shared" si="8"/>
        <v>37.5946</v>
      </c>
      <c r="AW44">
        <f t="shared" si="9"/>
        <v>17.249605507200002</v>
      </c>
      <c r="AX44" s="9"/>
      <c r="AY44" s="21">
        <v>7.1258500000000002E-2</v>
      </c>
      <c r="AZ44" s="21">
        <v>60.478400000000001</v>
      </c>
      <c r="BA44" s="21">
        <v>-4.3536400000000003E-2</v>
      </c>
      <c r="BB44" s="21">
        <v>34</v>
      </c>
      <c r="BC44" s="21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0.45379599999999998</v>
      </c>
      <c r="H45" s="21">
        <v>47.163600000000002</v>
      </c>
      <c r="I45" s="21">
        <v>-3.80676E-2</v>
      </c>
      <c r="J45" s="21">
        <v>35</v>
      </c>
      <c r="K45" s="21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1">
        <v>7.6293899999999998E-2</v>
      </c>
      <c r="P45" s="21">
        <v>49.804099999999998</v>
      </c>
      <c r="Q45" s="21">
        <v>-4.3557699999999998E-2</v>
      </c>
      <c r="R45" s="21">
        <v>35</v>
      </c>
      <c r="S45" s="21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1">
        <v>0.45379599999999998</v>
      </c>
      <c r="Z45" s="21">
        <v>52.194699999999997</v>
      </c>
      <c r="AA45" s="21">
        <v>-3.8058500000000002E-2</v>
      </c>
      <c r="AB45" s="21">
        <v>35</v>
      </c>
      <c r="AC45" s="21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1">
        <v>7.6293899999999998E-2</v>
      </c>
      <c r="AH45" s="21">
        <v>54.6663</v>
      </c>
      <c r="AI45" s="21">
        <v>-4.3530300000000001E-2</v>
      </c>
      <c r="AJ45" s="21">
        <v>35</v>
      </c>
      <c r="AK45" s="21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1">
        <v>0.45379599999999998</v>
      </c>
      <c r="AR45" s="21">
        <v>57.339799999999997</v>
      </c>
      <c r="AS45" s="21">
        <v>-3.7951699999999998E-2</v>
      </c>
      <c r="AT45" s="21">
        <v>35</v>
      </c>
      <c r="AU45" s="21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1">
        <v>7.6293899999999998E-2</v>
      </c>
      <c r="AZ45" s="21">
        <v>60.488399999999999</v>
      </c>
      <c r="BA45" s="21">
        <v>-4.3533299999999997E-2</v>
      </c>
      <c r="BB45" s="21">
        <v>35</v>
      </c>
      <c r="BC45" s="21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0.44876100000000002</v>
      </c>
      <c r="H46" s="21">
        <v>47.173699999999997</v>
      </c>
      <c r="I46" s="21">
        <v>-3.8372799999999999E-2</v>
      </c>
      <c r="J46" s="21">
        <v>36</v>
      </c>
      <c r="K46" s="21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1">
        <v>8.1329299999999993E-2</v>
      </c>
      <c r="P46" s="21">
        <v>49.8142</v>
      </c>
      <c r="Q46" s="21">
        <v>-4.3551600000000003E-2</v>
      </c>
      <c r="R46" s="21">
        <v>36</v>
      </c>
      <c r="S46" s="21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1">
        <v>0.44876100000000002</v>
      </c>
      <c r="Z46" s="21">
        <v>52.204799999999999</v>
      </c>
      <c r="AA46" s="21">
        <v>-3.8372799999999999E-2</v>
      </c>
      <c r="AB46" s="21">
        <v>36</v>
      </c>
      <c r="AC46" s="21">
        <v>0.447571</v>
      </c>
      <c r="AD46">
        <f t="shared" si="4"/>
        <v>38.372799999999998</v>
      </c>
      <c r="AE46">
        <f t="shared" si="5"/>
        <v>17.220216100799998</v>
      </c>
      <c r="AF46" s="9"/>
      <c r="AG46" s="21">
        <v>8.1329299999999993E-2</v>
      </c>
      <c r="AH46" s="21">
        <v>54.676299999999998</v>
      </c>
      <c r="AI46" s="21">
        <v>-4.3527200000000002E-2</v>
      </c>
      <c r="AJ46" s="21">
        <v>36</v>
      </c>
      <c r="AK46" s="21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1">
        <v>0.44876100000000002</v>
      </c>
      <c r="AR46" s="21">
        <v>57.349899999999998</v>
      </c>
      <c r="AS46" s="21">
        <v>-3.8268999999999997E-2</v>
      </c>
      <c r="AT46" s="21">
        <v>36</v>
      </c>
      <c r="AU46" s="21">
        <v>0.447571</v>
      </c>
      <c r="AV46">
        <f t="shared" si="8"/>
        <v>38.268999999999998</v>
      </c>
      <c r="AW46">
        <f t="shared" si="9"/>
        <v>17.173634709000002</v>
      </c>
      <c r="AX46" s="9"/>
      <c r="AY46" s="21">
        <v>8.1329299999999993E-2</v>
      </c>
      <c r="AZ46" s="21">
        <v>60.4985</v>
      </c>
      <c r="BA46" s="21">
        <v>-4.3527200000000002E-2</v>
      </c>
      <c r="BB46" s="21">
        <v>36</v>
      </c>
      <c r="BC46" s="21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0.44372600000000001</v>
      </c>
      <c r="H47" s="21">
        <v>47.183700000000002</v>
      </c>
      <c r="I47" s="21">
        <v>-3.86383E-2</v>
      </c>
      <c r="J47" s="21">
        <v>37</v>
      </c>
      <c r="K47" s="21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1">
        <v>8.6364700000000003E-2</v>
      </c>
      <c r="P47" s="21">
        <v>49.824300000000001</v>
      </c>
      <c r="Q47" s="21">
        <v>-4.3536400000000003E-2</v>
      </c>
      <c r="R47" s="21">
        <v>37</v>
      </c>
      <c r="S47" s="21">
        <v>8.5174600000000003E-2</v>
      </c>
      <c r="T47">
        <f t="shared" si="2"/>
        <v>43.5364</v>
      </c>
      <c r="U47">
        <f t="shared" si="3"/>
        <v>3.7600081250800002</v>
      </c>
      <c r="X47" s="9"/>
      <c r="Y47" s="21">
        <v>0.44372600000000001</v>
      </c>
      <c r="Z47" s="21">
        <v>52.214799999999997</v>
      </c>
      <c r="AA47" s="21">
        <v>-3.8644400000000002E-2</v>
      </c>
      <c r="AB47" s="21">
        <v>37</v>
      </c>
      <c r="AC47" s="21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1">
        <v>8.6364700000000003E-2</v>
      </c>
      <c r="AH47" s="21">
        <v>54.686399999999999</v>
      </c>
      <c r="AI47" s="21">
        <v>-4.3524199999999999E-2</v>
      </c>
      <c r="AJ47" s="21">
        <v>37</v>
      </c>
      <c r="AK47" s="21">
        <v>8.5143999999999997E-2</v>
      </c>
      <c r="AL47">
        <f t="shared" si="6"/>
        <v>43.5242</v>
      </c>
      <c r="AM47">
        <f t="shared" si="7"/>
        <v>3.75895447574</v>
      </c>
      <c r="AP47" s="9"/>
      <c r="AQ47" s="21">
        <v>0.44372600000000001</v>
      </c>
      <c r="AR47" s="21">
        <v>57.36</v>
      </c>
      <c r="AS47" s="21">
        <v>-3.8549800000000002E-2</v>
      </c>
      <c r="AT47" s="21">
        <v>37</v>
      </c>
      <c r="AU47" s="21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1">
        <v>8.6364700000000003E-2</v>
      </c>
      <c r="AZ47" s="21">
        <v>60.508600000000001</v>
      </c>
      <c r="BA47" s="21">
        <v>-4.3514999999999998E-2</v>
      </c>
      <c r="BB47" s="21">
        <v>37</v>
      </c>
      <c r="BC47" s="21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0.43869000000000002</v>
      </c>
      <c r="H48" s="21">
        <v>47.193800000000003</v>
      </c>
      <c r="I48" s="21">
        <v>-3.8891599999999998E-2</v>
      </c>
      <c r="J48" s="21">
        <v>38</v>
      </c>
      <c r="K48" s="21">
        <v>0.437469</v>
      </c>
      <c r="L48">
        <f t="shared" si="0"/>
        <v>38.891599999999997</v>
      </c>
      <c r="M48">
        <f t="shared" si="1"/>
        <v>17.061356004</v>
      </c>
      <c r="N48" s="9"/>
      <c r="O48" s="21">
        <v>9.1400099999999998E-2</v>
      </c>
      <c r="P48" s="21">
        <v>49.834400000000002</v>
      </c>
      <c r="Q48" s="21">
        <v>-4.3512000000000002E-2</v>
      </c>
      <c r="R48" s="21">
        <v>38</v>
      </c>
      <c r="S48" s="21">
        <v>9.0179400000000007E-2</v>
      </c>
      <c r="T48">
        <f t="shared" si="2"/>
        <v>43.512</v>
      </c>
      <c r="U48">
        <f t="shared" si="3"/>
        <v>3.9770011512000001</v>
      </c>
      <c r="X48" s="9"/>
      <c r="Y48" s="21">
        <v>0.43869000000000002</v>
      </c>
      <c r="Z48" s="21">
        <v>52.224899999999998</v>
      </c>
      <c r="AA48" s="21">
        <v>-3.8913000000000003E-2</v>
      </c>
      <c r="AB48" s="21">
        <v>38</v>
      </c>
      <c r="AC48" s="21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1">
        <v>9.1400099999999998E-2</v>
      </c>
      <c r="AH48" s="21">
        <v>54.6965</v>
      </c>
      <c r="AI48" s="21">
        <v>-4.3527200000000002E-2</v>
      </c>
      <c r="AJ48" s="21">
        <v>38</v>
      </c>
      <c r="AK48" s="21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1">
        <v>0.43869000000000002</v>
      </c>
      <c r="AR48" s="21">
        <v>57.370100000000001</v>
      </c>
      <c r="AS48" s="21">
        <v>-3.8815299999999997E-2</v>
      </c>
      <c r="AT48" s="21">
        <v>38</v>
      </c>
      <c r="AU48" s="21">
        <v>0.4375</v>
      </c>
      <c r="AV48">
        <f t="shared" si="8"/>
        <v>38.815299999999993</v>
      </c>
      <c r="AW48">
        <f t="shared" si="9"/>
        <v>17.027883956999997</v>
      </c>
      <c r="AX48" s="9"/>
      <c r="AY48" s="21">
        <v>9.1400099999999998E-2</v>
      </c>
      <c r="AZ48" s="21">
        <v>60.518599999999999</v>
      </c>
      <c r="BA48" s="21">
        <v>-4.3508900000000003E-2</v>
      </c>
      <c r="BB48" s="21">
        <v>38</v>
      </c>
      <c r="BC48" s="21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0.43365500000000001</v>
      </c>
      <c r="H49" s="21">
        <v>47.203899999999997</v>
      </c>
      <c r="I49" s="21">
        <v>-3.9132699999999999E-2</v>
      </c>
      <c r="J49" s="21">
        <v>39</v>
      </c>
      <c r="K49" s="21">
        <v>0.43243399999999999</v>
      </c>
      <c r="L49">
        <f t="shared" si="0"/>
        <v>39.1327</v>
      </c>
      <c r="M49">
        <f t="shared" si="1"/>
        <v>16.9700910185</v>
      </c>
      <c r="N49" s="9"/>
      <c r="O49" s="21">
        <v>9.6435499999999993E-2</v>
      </c>
      <c r="P49" s="21">
        <v>49.8444</v>
      </c>
      <c r="Q49" s="21">
        <v>-4.35059E-2</v>
      </c>
      <c r="R49" s="21">
        <v>39</v>
      </c>
      <c r="S49" s="21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1">
        <v>0.43365500000000001</v>
      </c>
      <c r="Z49" s="21">
        <v>52.234999999999999</v>
      </c>
      <c r="AA49" s="21">
        <v>-3.9163200000000002E-2</v>
      </c>
      <c r="AB49" s="21">
        <v>39</v>
      </c>
      <c r="AC49" s="21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1">
        <v>9.6435499999999993E-2</v>
      </c>
      <c r="AH49" s="21">
        <v>54.706600000000002</v>
      </c>
      <c r="AI49" s="21">
        <v>-4.3530300000000001E-2</v>
      </c>
      <c r="AJ49" s="21">
        <v>39</v>
      </c>
      <c r="AK49" s="21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1">
        <v>0.43365500000000001</v>
      </c>
      <c r="AR49" s="21">
        <v>57.380099999999999</v>
      </c>
      <c r="AS49" s="21">
        <v>-3.90625E-2</v>
      </c>
      <c r="AT49" s="21">
        <v>39</v>
      </c>
      <c r="AU49" s="21">
        <v>0.43237300000000001</v>
      </c>
      <c r="AV49">
        <f t="shared" si="8"/>
        <v>39.0625</v>
      </c>
      <c r="AW49">
        <f t="shared" si="9"/>
        <v>16.939648437500001</v>
      </c>
      <c r="AX49" s="9"/>
      <c r="AY49" s="21">
        <v>9.6435499999999993E-2</v>
      </c>
      <c r="AZ49" s="21">
        <v>60.528700000000001</v>
      </c>
      <c r="BA49" s="21">
        <v>-4.35059E-2</v>
      </c>
      <c r="BB49" s="21">
        <v>39</v>
      </c>
      <c r="BC49" s="21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0.42861900000000003</v>
      </c>
      <c r="H50" s="21">
        <v>47.213900000000002</v>
      </c>
      <c r="I50" s="21">
        <v>-3.9352400000000003E-2</v>
      </c>
      <c r="J50" s="21">
        <v>40</v>
      </c>
      <c r="K50" s="21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1">
        <v>0.10147100000000001</v>
      </c>
      <c r="P50" s="21">
        <v>49.854500000000002</v>
      </c>
      <c r="Q50" s="21">
        <v>-4.3487499999999998E-2</v>
      </c>
      <c r="R50" s="21">
        <v>40</v>
      </c>
      <c r="S50" s="21">
        <v>0.10022</v>
      </c>
      <c r="T50">
        <f t="shared" si="2"/>
        <v>43.487499999999997</v>
      </c>
      <c r="U50">
        <f t="shared" si="3"/>
        <v>4.4127201124999997</v>
      </c>
      <c r="X50" s="9"/>
      <c r="Y50" s="21">
        <v>0.42861900000000003</v>
      </c>
      <c r="Z50" s="21">
        <v>52.245100000000001</v>
      </c>
      <c r="AA50" s="21">
        <v>-3.9392099999999999E-2</v>
      </c>
      <c r="AB50" s="21">
        <v>40</v>
      </c>
      <c r="AC50" s="21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1">
        <v>0.10147100000000001</v>
      </c>
      <c r="AH50" s="21">
        <v>54.7166</v>
      </c>
      <c r="AI50" s="21">
        <v>-4.3533299999999997E-2</v>
      </c>
      <c r="AJ50" s="21">
        <v>40</v>
      </c>
      <c r="AK50" s="21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1">
        <v>0.42861900000000003</v>
      </c>
      <c r="AR50" s="21">
        <v>57.3902</v>
      </c>
      <c r="AS50" s="21">
        <v>-3.9297499999999999E-2</v>
      </c>
      <c r="AT50" s="21">
        <v>40</v>
      </c>
      <c r="AU50" s="21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1">
        <v>0.10147100000000001</v>
      </c>
      <c r="AZ50" s="21">
        <v>60.538800000000002</v>
      </c>
      <c r="BA50" s="21">
        <v>-4.3490599999999997E-2</v>
      </c>
      <c r="BB50" s="21">
        <v>40</v>
      </c>
      <c r="BC50" s="21">
        <v>0.10022</v>
      </c>
      <c r="BD50">
        <f t="shared" si="10"/>
        <v>43.490600000000001</v>
      </c>
      <c r="BE50">
        <f t="shared" si="11"/>
        <v>4.4130346726000003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0.42358400000000002</v>
      </c>
      <c r="H51" s="21">
        <v>47.223999999999997</v>
      </c>
      <c r="I51" s="21">
        <v>-3.9569100000000003E-2</v>
      </c>
      <c r="J51" s="21">
        <v>41</v>
      </c>
      <c r="K51" s="21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1">
        <v>0.106506</v>
      </c>
      <c r="P51" s="21">
        <v>49.864600000000003</v>
      </c>
      <c r="Q51" s="21">
        <v>-4.34784E-2</v>
      </c>
      <c r="R51" s="21">
        <v>41</v>
      </c>
      <c r="S51" s="21">
        <v>0.105255</v>
      </c>
      <c r="T51">
        <f t="shared" si="2"/>
        <v>43.478400000000001</v>
      </c>
      <c r="U51">
        <f t="shared" si="3"/>
        <v>4.6307104704000004</v>
      </c>
      <c r="X51" s="9"/>
      <c r="Y51" s="21">
        <v>0.42358400000000002</v>
      </c>
      <c r="Z51" s="21">
        <v>52.255099999999999</v>
      </c>
      <c r="AA51" s="21">
        <v>-3.9596600000000003E-2</v>
      </c>
      <c r="AB51" s="21">
        <v>41</v>
      </c>
      <c r="AC51" s="21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1">
        <v>0.106506</v>
      </c>
      <c r="AH51" s="21">
        <v>54.726700000000001</v>
      </c>
      <c r="AI51" s="21">
        <v>-4.3530300000000001E-2</v>
      </c>
      <c r="AJ51" s="21">
        <v>41</v>
      </c>
      <c r="AK51" s="21">
        <v>0.105255</v>
      </c>
      <c r="AL51">
        <f t="shared" si="6"/>
        <v>43.530300000000004</v>
      </c>
      <c r="AM51">
        <f t="shared" si="7"/>
        <v>4.6362381318000008</v>
      </c>
      <c r="AP51" s="9"/>
      <c r="AQ51" s="21">
        <v>0.42358400000000002</v>
      </c>
      <c r="AR51" s="21">
        <v>57.400300000000001</v>
      </c>
      <c r="AS51" s="21">
        <v>-3.9517200000000002E-2</v>
      </c>
      <c r="AT51" s="21">
        <v>41</v>
      </c>
      <c r="AU51" s="21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1">
        <v>0.106506</v>
      </c>
      <c r="AZ51" s="21">
        <v>60.548900000000003</v>
      </c>
      <c r="BA51" s="21">
        <v>-4.3484500000000002E-2</v>
      </c>
      <c r="BB51" s="21">
        <v>41</v>
      </c>
      <c r="BC51" s="21">
        <v>0.105347</v>
      </c>
      <c r="BD51">
        <f t="shared" si="10"/>
        <v>43.484500000000004</v>
      </c>
      <c r="BE51">
        <f t="shared" si="11"/>
        <v>4.6313601570000005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0.418549</v>
      </c>
      <c r="H52" s="21">
        <v>47.234099999999998</v>
      </c>
      <c r="I52" s="21">
        <v>-3.97705E-2</v>
      </c>
      <c r="J52" s="21">
        <v>42</v>
      </c>
      <c r="K52" s="21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1">
        <v>0.111542</v>
      </c>
      <c r="P52" s="21">
        <v>49.874600000000001</v>
      </c>
      <c r="Q52" s="21">
        <v>-4.3484500000000002E-2</v>
      </c>
      <c r="R52" s="21">
        <v>42</v>
      </c>
      <c r="S52" s="21">
        <v>0.11026</v>
      </c>
      <c r="T52">
        <f t="shared" si="2"/>
        <v>43.484500000000004</v>
      </c>
      <c r="U52">
        <f t="shared" si="3"/>
        <v>4.8503480990000005</v>
      </c>
      <c r="X52" s="9"/>
      <c r="Y52" s="21">
        <v>0.418549</v>
      </c>
      <c r="Z52" s="21">
        <v>52.2652</v>
      </c>
      <c r="AA52" s="21">
        <v>-3.9785800000000003E-2</v>
      </c>
      <c r="AB52" s="21">
        <v>42</v>
      </c>
      <c r="AC52" s="21">
        <v>0.417267</v>
      </c>
      <c r="AD52">
        <f t="shared" si="4"/>
        <v>39.785800000000002</v>
      </c>
      <c r="AE52">
        <f t="shared" si="5"/>
        <v>16.652306804200002</v>
      </c>
      <c r="AF52" s="9"/>
      <c r="AG52" s="21">
        <v>0.111542</v>
      </c>
      <c r="AH52" s="21">
        <v>54.736800000000002</v>
      </c>
      <c r="AI52" s="21">
        <v>-4.35211E-2</v>
      </c>
      <c r="AJ52" s="21">
        <v>42</v>
      </c>
      <c r="AK52" s="21">
        <v>0.110321</v>
      </c>
      <c r="AL52">
        <f t="shared" si="6"/>
        <v>43.521099999999997</v>
      </c>
      <c r="AM52">
        <f t="shared" si="7"/>
        <v>4.8544305361999998</v>
      </c>
      <c r="AP52" s="9"/>
      <c r="AQ52" s="21">
        <v>0.418549</v>
      </c>
      <c r="AR52" s="21">
        <v>57.410299999999999</v>
      </c>
      <c r="AS52" s="21">
        <v>-3.9715599999999997E-2</v>
      </c>
      <c r="AT52" s="21">
        <v>42</v>
      </c>
      <c r="AU52" s="21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1">
        <v>0.111542</v>
      </c>
      <c r="AZ52" s="21">
        <v>60.558900000000001</v>
      </c>
      <c r="BA52" s="21">
        <v>-4.3466200000000003E-2</v>
      </c>
      <c r="BB52" s="21">
        <v>42</v>
      </c>
      <c r="BC52" s="21">
        <v>0.110291</v>
      </c>
      <c r="BD52">
        <f t="shared" si="10"/>
        <v>43.466200000000001</v>
      </c>
      <c r="BE52">
        <f t="shared" si="11"/>
        <v>4.8483068804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0.41351300000000002</v>
      </c>
      <c r="H53" s="21">
        <v>47.244100000000003</v>
      </c>
      <c r="I53" s="21">
        <v>-3.9947499999999997E-2</v>
      </c>
      <c r="J53" s="21">
        <v>43</v>
      </c>
      <c r="K53" s="21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1">
        <v>0.116577</v>
      </c>
      <c r="P53" s="21">
        <v>49.884700000000002</v>
      </c>
      <c r="Q53" s="21">
        <v>-4.3481400000000003E-2</v>
      </c>
      <c r="R53" s="21">
        <v>43</v>
      </c>
      <c r="S53" s="21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1">
        <v>0.41351300000000002</v>
      </c>
      <c r="Z53" s="21">
        <v>52.275300000000001</v>
      </c>
      <c r="AA53" s="21">
        <v>-3.9947499999999997E-2</v>
      </c>
      <c r="AB53" s="21">
        <v>43</v>
      </c>
      <c r="AC53" s="21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1">
        <v>0.116577</v>
      </c>
      <c r="AH53" s="21">
        <v>54.7468</v>
      </c>
      <c r="AI53" s="21">
        <v>-4.3502800000000001E-2</v>
      </c>
      <c r="AJ53" s="21">
        <v>43</v>
      </c>
      <c r="AK53" s="21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1">
        <v>0.41351300000000002</v>
      </c>
      <c r="AR53" s="21">
        <v>57.420400000000001</v>
      </c>
      <c r="AS53" s="21">
        <v>-3.98926E-2</v>
      </c>
      <c r="AT53" s="21">
        <v>43</v>
      </c>
      <c r="AU53" s="21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1">
        <v>0.116577</v>
      </c>
      <c r="AZ53" s="21">
        <v>60.569000000000003</v>
      </c>
      <c r="BA53" s="21">
        <v>-4.3450900000000001E-2</v>
      </c>
      <c r="BB53" s="21">
        <v>43</v>
      </c>
      <c r="BC53" s="21">
        <v>0.115356</v>
      </c>
      <c r="BD53">
        <f t="shared" si="10"/>
        <v>43.450899999999997</v>
      </c>
      <c r="BE53">
        <f t="shared" si="11"/>
        <v>5.0653755692999995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0.40847800000000001</v>
      </c>
      <c r="H54" s="21">
        <v>47.254199999999997</v>
      </c>
      <c r="I54" s="21">
        <v>-4.0118399999999999E-2</v>
      </c>
      <c r="J54" s="21">
        <v>44</v>
      </c>
      <c r="K54" s="21">
        <v>0.407196</v>
      </c>
      <c r="L54">
        <f t="shared" si="0"/>
        <v>40.118400000000001</v>
      </c>
      <c r="M54">
        <f t="shared" si="1"/>
        <v>16.387483795200001</v>
      </c>
      <c r="N54" s="9"/>
      <c r="O54" s="21">
        <v>0.121613</v>
      </c>
      <c r="P54" s="21">
        <v>49.894799999999996</v>
      </c>
      <c r="Q54" s="21">
        <v>-4.34692E-2</v>
      </c>
      <c r="R54" s="21">
        <v>44</v>
      </c>
      <c r="S54" s="21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1">
        <v>0.40847800000000001</v>
      </c>
      <c r="Z54" s="21">
        <v>52.285299999999999</v>
      </c>
      <c r="AA54" s="21">
        <v>-4.0106200000000002E-2</v>
      </c>
      <c r="AB54" s="21">
        <v>44</v>
      </c>
      <c r="AC54" s="21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1">
        <v>0.121613</v>
      </c>
      <c r="AH54" s="21">
        <v>54.756900000000002</v>
      </c>
      <c r="AI54" s="21">
        <v>-4.3484500000000002E-2</v>
      </c>
      <c r="AJ54" s="21">
        <v>44</v>
      </c>
      <c r="AK54" s="21">
        <v>0.120392</v>
      </c>
      <c r="AL54">
        <f t="shared" si="6"/>
        <v>43.484500000000004</v>
      </c>
      <c r="AM54">
        <f t="shared" si="7"/>
        <v>5.2882804985000007</v>
      </c>
      <c r="AP54" s="9"/>
      <c r="AQ54" s="21">
        <v>0.40847800000000001</v>
      </c>
      <c r="AR54" s="21">
        <v>57.430500000000002</v>
      </c>
      <c r="AS54" s="21">
        <v>-4.0054300000000001E-2</v>
      </c>
      <c r="AT54" s="21">
        <v>44</v>
      </c>
      <c r="AU54" s="21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1">
        <v>0.121613</v>
      </c>
      <c r="AZ54" s="21">
        <v>60.579099999999997</v>
      </c>
      <c r="BA54" s="21">
        <v>-4.3435700000000001E-2</v>
      </c>
      <c r="BB54" s="21">
        <v>44</v>
      </c>
      <c r="BC54" s="21">
        <v>0.120392</v>
      </c>
      <c r="BD54">
        <f t="shared" si="10"/>
        <v>43.435700000000004</v>
      </c>
      <c r="BE54">
        <f t="shared" si="11"/>
        <v>5.2823457841000003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0.40344200000000002</v>
      </c>
      <c r="H55" s="21">
        <v>47.264299999999999</v>
      </c>
      <c r="I55" s="21">
        <v>-4.0267900000000002E-2</v>
      </c>
      <c r="J55" s="21">
        <v>45</v>
      </c>
      <c r="K55" s="21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1">
        <v>0.12664800000000001</v>
      </c>
      <c r="P55" s="21">
        <v>49.904899999999998</v>
      </c>
      <c r="Q55" s="21">
        <v>-4.34692E-2</v>
      </c>
      <c r="R55" s="21">
        <v>45</v>
      </c>
      <c r="S55" s="21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1">
        <v>0.40344200000000002</v>
      </c>
      <c r="Z55" s="21">
        <v>52.295400000000001</v>
      </c>
      <c r="AA55" s="21">
        <v>-4.0258799999999997E-2</v>
      </c>
      <c r="AB55" s="21">
        <v>45</v>
      </c>
      <c r="AC55" s="21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1">
        <v>0.12664800000000001</v>
      </c>
      <c r="AH55" s="21">
        <v>54.767000000000003</v>
      </c>
      <c r="AI55" s="21">
        <v>-4.34692E-2</v>
      </c>
      <c r="AJ55" s="21">
        <v>45</v>
      </c>
      <c r="AK55" s="21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1">
        <v>0.40344200000000002</v>
      </c>
      <c r="AR55" s="21">
        <v>57.440600000000003</v>
      </c>
      <c r="AS55" s="21">
        <v>-4.01947E-2</v>
      </c>
      <c r="AT55" s="21">
        <v>45</v>
      </c>
      <c r="AU55" s="21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1">
        <v>0.12664800000000001</v>
      </c>
      <c r="AZ55" s="21">
        <v>60.589100000000002</v>
      </c>
      <c r="BA55" s="21">
        <v>-4.34265E-2</v>
      </c>
      <c r="BB55" s="21">
        <v>45</v>
      </c>
      <c r="BC55" s="21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0.39840700000000001</v>
      </c>
      <c r="H56" s="21">
        <v>47.2744</v>
      </c>
      <c r="I56" s="21">
        <v>-4.04114E-2</v>
      </c>
      <c r="J56" s="21">
        <v>46</v>
      </c>
      <c r="K56" s="21">
        <v>0.39727800000000002</v>
      </c>
      <c r="L56">
        <f t="shared" si="0"/>
        <v>40.4114</v>
      </c>
      <c r="M56">
        <f t="shared" si="1"/>
        <v>16.100184639800002</v>
      </c>
      <c r="N56" s="9"/>
      <c r="O56" s="21">
        <v>0.13168299999999999</v>
      </c>
      <c r="P56" s="21">
        <v>49.914900000000003</v>
      </c>
      <c r="Q56" s="21">
        <v>-4.3460100000000002E-2</v>
      </c>
      <c r="R56" s="21">
        <v>46</v>
      </c>
      <c r="S56" s="21">
        <v>0.130493</v>
      </c>
      <c r="T56">
        <f t="shared" si="2"/>
        <v>43.460100000000004</v>
      </c>
      <c r="U56">
        <f t="shared" si="3"/>
        <v>5.7229563483000003</v>
      </c>
      <c r="X56" s="9"/>
      <c r="Y56" s="21">
        <v>0.39840700000000001</v>
      </c>
      <c r="Z56" s="21">
        <v>52.305500000000002</v>
      </c>
      <c r="AA56" s="21">
        <v>-4.0393100000000001E-2</v>
      </c>
      <c r="AB56" s="21">
        <v>46</v>
      </c>
      <c r="AC56" s="21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1">
        <v>0.13168299999999999</v>
      </c>
      <c r="AH56" s="21">
        <v>54.777099999999997</v>
      </c>
      <c r="AI56" s="21">
        <v>-4.3466200000000003E-2</v>
      </c>
      <c r="AJ56" s="21">
        <v>46</v>
      </c>
      <c r="AK56" s="21">
        <v>0.130524</v>
      </c>
      <c r="AL56">
        <f t="shared" si="6"/>
        <v>43.466200000000001</v>
      </c>
      <c r="AM56">
        <f t="shared" si="7"/>
        <v>5.7237596145999996</v>
      </c>
      <c r="AP56" s="9"/>
      <c r="AQ56" s="21">
        <v>0.39840700000000001</v>
      </c>
      <c r="AR56" s="21">
        <v>57.450600000000001</v>
      </c>
      <c r="AS56" s="21">
        <v>-4.0335099999999999E-2</v>
      </c>
      <c r="AT56" s="21">
        <v>46</v>
      </c>
      <c r="AU56" s="21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1">
        <v>0.13168299999999999</v>
      </c>
      <c r="AZ56" s="21">
        <v>60.599200000000003</v>
      </c>
      <c r="BA56" s="21">
        <v>-4.3414300000000003E-2</v>
      </c>
      <c r="BB56" s="21">
        <v>46</v>
      </c>
      <c r="BC56" s="21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0.393372</v>
      </c>
      <c r="H57" s="21">
        <v>47.284399999999998</v>
      </c>
      <c r="I57" s="21">
        <v>-4.05487E-2</v>
      </c>
      <c r="J57" s="21">
        <v>47</v>
      </c>
      <c r="K57" s="21">
        <v>0.392181</v>
      </c>
      <c r="L57">
        <f t="shared" si="0"/>
        <v>40.548699999999997</v>
      </c>
      <c r="M57">
        <f t="shared" si="1"/>
        <v>15.950723216399998</v>
      </c>
      <c r="N57" s="9"/>
      <c r="O57" s="21">
        <v>0.13671900000000001</v>
      </c>
      <c r="P57" s="21">
        <v>49.924999999999997</v>
      </c>
      <c r="Q57" s="21">
        <v>-4.3441800000000003E-2</v>
      </c>
      <c r="R57" s="21">
        <v>47</v>
      </c>
      <c r="S57" s="21">
        <v>0.135406</v>
      </c>
      <c r="T57">
        <f t="shared" si="2"/>
        <v>43.441800000000001</v>
      </c>
      <c r="U57">
        <f t="shared" si="3"/>
        <v>5.9393194542000005</v>
      </c>
      <c r="X57" s="9"/>
      <c r="Y57" s="21">
        <v>0.393372</v>
      </c>
      <c r="Z57" s="21">
        <v>52.315600000000003</v>
      </c>
      <c r="AA57" s="21">
        <v>-4.0533399999999997E-2</v>
      </c>
      <c r="AB57" s="21">
        <v>47</v>
      </c>
      <c r="AC57" s="21">
        <v>0.39221200000000001</v>
      </c>
      <c r="AD57">
        <f t="shared" si="4"/>
        <v>40.5334</v>
      </c>
      <c r="AE57">
        <f t="shared" si="5"/>
        <v>15.9447046248</v>
      </c>
      <c r="AF57" s="9"/>
      <c r="AG57" s="21">
        <v>0.13671900000000001</v>
      </c>
      <c r="AH57" s="21">
        <v>54.787100000000002</v>
      </c>
      <c r="AI57" s="21">
        <v>-4.3463099999999998E-2</v>
      </c>
      <c r="AJ57" s="21">
        <v>47</v>
      </c>
      <c r="AK57" s="21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1">
        <v>0.393372</v>
      </c>
      <c r="AR57" s="21">
        <v>57.460700000000003</v>
      </c>
      <c r="AS57" s="21">
        <v>-4.0475499999999998E-2</v>
      </c>
      <c r="AT57" s="21">
        <v>47</v>
      </c>
      <c r="AU57" s="21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1">
        <v>0.13671900000000001</v>
      </c>
      <c r="AZ57" s="21">
        <v>60.609299999999998</v>
      </c>
      <c r="BA57" s="21">
        <v>-4.3414300000000003E-2</v>
      </c>
      <c r="BB57" s="21">
        <v>47</v>
      </c>
      <c r="BC57" s="21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0.38833600000000001</v>
      </c>
      <c r="H58" s="21">
        <v>47.294499999999999</v>
      </c>
      <c r="I58" s="21">
        <v>-4.0679899999999998E-2</v>
      </c>
      <c r="J58" s="21">
        <v>48</v>
      </c>
      <c r="K58" s="21">
        <v>0.38705400000000001</v>
      </c>
      <c r="L58">
        <f t="shared" si="0"/>
        <v>40.679899999999996</v>
      </c>
      <c r="M58">
        <f t="shared" si="1"/>
        <v>15.7974696464</v>
      </c>
      <c r="N58" s="9"/>
      <c r="O58" s="21">
        <v>0.14175399999999999</v>
      </c>
      <c r="P58" s="21">
        <v>49.935099999999998</v>
      </c>
      <c r="Q58" s="21">
        <v>-4.3423499999999997E-2</v>
      </c>
      <c r="R58" s="21">
        <v>48</v>
      </c>
      <c r="S58" s="21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1">
        <v>0.38833600000000001</v>
      </c>
      <c r="Z58" s="21">
        <v>52.325600000000001</v>
      </c>
      <c r="AA58" s="21">
        <v>-4.0667700000000001E-2</v>
      </c>
      <c r="AB58" s="21">
        <v>48</v>
      </c>
      <c r="AC58" s="21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1">
        <v>0.14175399999999999</v>
      </c>
      <c r="AH58" s="21">
        <v>54.797199999999997</v>
      </c>
      <c r="AI58" s="21">
        <v>-4.3444799999999999E-2</v>
      </c>
      <c r="AJ58" s="21">
        <v>48</v>
      </c>
      <c r="AK58" s="21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1">
        <v>0.38833600000000001</v>
      </c>
      <c r="AR58" s="21">
        <v>57.470799999999997</v>
      </c>
      <c r="AS58" s="21">
        <v>-4.0597500000000002E-2</v>
      </c>
      <c r="AT58" s="21">
        <v>48</v>
      </c>
      <c r="AU58" s="21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1">
        <v>0.14175399999999999</v>
      </c>
      <c r="AZ58" s="21">
        <v>60.619399999999999</v>
      </c>
      <c r="BA58" s="21">
        <v>-4.3417400000000002E-2</v>
      </c>
      <c r="BB58" s="21">
        <v>48</v>
      </c>
      <c r="BC58" s="21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0.383301</v>
      </c>
      <c r="H59" s="21">
        <v>47.304600000000001</v>
      </c>
      <c r="I59" s="21">
        <v>-4.0792799999999997E-2</v>
      </c>
      <c r="J59" s="21">
        <v>49</v>
      </c>
      <c r="K59" s="21">
        <v>0.38207999999999998</v>
      </c>
      <c r="L59">
        <f t="shared" si="0"/>
        <v>40.7928</v>
      </c>
      <c r="M59">
        <f t="shared" si="1"/>
        <v>15.635921032800001</v>
      </c>
      <c r="N59" s="9"/>
      <c r="O59" s="21">
        <v>0.14679</v>
      </c>
      <c r="P59" s="21">
        <v>49.945099999999996</v>
      </c>
      <c r="Q59" s="21">
        <v>-4.3405199999999998E-2</v>
      </c>
      <c r="R59" s="21">
        <v>49</v>
      </c>
      <c r="S59" s="21">
        <v>0.145569</v>
      </c>
      <c r="T59">
        <f t="shared" si="2"/>
        <v>43.405200000000001</v>
      </c>
      <c r="U59">
        <f t="shared" si="3"/>
        <v>6.3714493079999999</v>
      </c>
      <c r="X59" s="9"/>
      <c r="Y59" s="21">
        <v>0.383301</v>
      </c>
      <c r="Z59" s="21">
        <v>52.335700000000003</v>
      </c>
      <c r="AA59" s="21">
        <v>-4.0792799999999997E-2</v>
      </c>
      <c r="AB59" s="21">
        <v>49</v>
      </c>
      <c r="AC59" s="21">
        <v>0.38205</v>
      </c>
      <c r="AD59">
        <f t="shared" si="4"/>
        <v>40.7928</v>
      </c>
      <c r="AE59">
        <f t="shared" si="5"/>
        <v>15.635921032800001</v>
      </c>
      <c r="AF59" s="9"/>
      <c r="AG59" s="21">
        <v>0.14679</v>
      </c>
      <c r="AH59" s="21">
        <v>54.807299999999998</v>
      </c>
      <c r="AI59" s="21">
        <v>-4.3417400000000002E-2</v>
      </c>
      <c r="AJ59" s="21">
        <v>49</v>
      </c>
      <c r="AK59" s="21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1">
        <v>0.383301</v>
      </c>
      <c r="AR59" s="21">
        <v>57.480800000000002</v>
      </c>
      <c r="AS59" s="21">
        <v>-4.0719600000000002E-2</v>
      </c>
      <c r="AT59" s="21">
        <v>49</v>
      </c>
      <c r="AU59" s="21">
        <v>0.38207999999999998</v>
      </c>
      <c r="AV59">
        <f t="shared" si="8"/>
        <v>40.7196</v>
      </c>
      <c r="AW59">
        <f t="shared" si="9"/>
        <v>15.607863399599999</v>
      </c>
      <c r="AX59" s="9"/>
      <c r="AY59" s="21">
        <v>0.14679</v>
      </c>
      <c r="AZ59" s="21">
        <v>60.629399999999997</v>
      </c>
      <c r="BA59" s="21">
        <v>-4.3402099999999999E-2</v>
      </c>
      <c r="BB59" s="21">
        <v>49</v>
      </c>
      <c r="BC59" s="21">
        <v>0.145538</v>
      </c>
      <c r="BD59">
        <f t="shared" si="10"/>
        <v>43.402099999999997</v>
      </c>
      <c r="BE59">
        <f t="shared" si="11"/>
        <v>6.3709942589999997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0.37826500000000002</v>
      </c>
      <c r="H60" s="21">
        <v>47.314599999999999</v>
      </c>
      <c r="I60" s="21">
        <v>-4.0920999999999999E-2</v>
      </c>
      <c r="J60" s="21">
        <v>50</v>
      </c>
      <c r="K60" s="21">
        <v>0.37704500000000002</v>
      </c>
      <c r="L60">
        <f t="shared" si="0"/>
        <v>40.920999999999999</v>
      </c>
      <c r="M60">
        <f t="shared" si="1"/>
        <v>15.478982065</v>
      </c>
      <c r="N60" s="9"/>
      <c r="O60" s="21">
        <v>0.15182499999999999</v>
      </c>
      <c r="P60" s="21">
        <v>49.955199999999998</v>
      </c>
      <c r="Q60" s="21">
        <v>-4.3402099999999999E-2</v>
      </c>
      <c r="R60" s="21">
        <v>50</v>
      </c>
      <c r="S60" s="21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1">
        <v>0.37826500000000002</v>
      </c>
      <c r="Z60" s="21">
        <v>52.345799999999997</v>
      </c>
      <c r="AA60" s="21">
        <v>-4.09027E-2</v>
      </c>
      <c r="AB60" s="21">
        <v>50</v>
      </c>
      <c r="AC60" s="21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1">
        <v>0.15182499999999999</v>
      </c>
      <c r="AH60" s="21">
        <v>54.817300000000003</v>
      </c>
      <c r="AI60" s="21">
        <v>-4.33838E-2</v>
      </c>
      <c r="AJ60" s="21">
        <v>50</v>
      </c>
      <c r="AK60" s="21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1">
        <v>0.37826500000000002</v>
      </c>
      <c r="AR60" s="21">
        <v>57.490900000000003</v>
      </c>
      <c r="AS60" s="21">
        <v>-4.0829499999999998E-2</v>
      </c>
      <c r="AT60" s="21">
        <v>50</v>
      </c>
      <c r="AU60" s="21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1">
        <v>0.15182499999999999</v>
      </c>
      <c r="AZ60" s="21">
        <v>60.639499999999998</v>
      </c>
      <c r="BA60" s="21">
        <v>-4.3402099999999999E-2</v>
      </c>
      <c r="BB60" s="21">
        <v>50</v>
      </c>
      <c r="BC60" s="21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0.37323000000000001</v>
      </c>
      <c r="H61" s="21">
        <v>47.3247</v>
      </c>
      <c r="I61" s="21">
        <v>-4.1033899999999998E-2</v>
      </c>
      <c r="J61" s="21">
        <v>51</v>
      </c>
      <c r="K61" s="21">
        <v>0.371979</v>
      </c>
      <c r="L61">
        <f t="shared" si="0"/>
        <v>41.033899999999996</v>
      </c>
      <c r="M61">
        <f t="shared" si="1"/>
        <v>15.315082496999999</v>
      </c>
      <c r="N61" s="9"/>
      <c r="O61" s="21">
        <v>0.15686</v>
      </c>
      <c r="P61" s="21">
        <v>49.965299999999999</v>
      </c>
      <c r="Q61" s="21">
        <v>-4.3402099999999999E-2</v>
      </c>
      <c r="R61" s="21">
        <v>51</v>
      </c>
      <c r="S61" s="21">
        <v>0.155579</v>
      </c>
      <c r="T61">
        <f t="shared" si="2"/>
        <v>43.402099999999997</v>
      </c>
      <c r="U61">
        <f t="shared" si="3"/>
        <v>6.808053406</v>
      </c>
      <c r="X61" s="9"/>
      <c r="Y61" s="21">
        <v>0.37323000000000001</v>
      </c>
      <c r="Z61" s="21">
        <v>52.355800000000002</v>
      </c>
      <c r="AA61" s="21">
        <v>-4.1003400000000002E-2</v>
      </c>
      <c r="AB61" s="21">
        <v>51</v>
      </c>
      <c r="AC61" s="21">
        <v>0.371979</v>
      </c>
      <c r="AD61">
        <f t="shared" si="4"/>
        <v>41.003399999999999</v>
      </c>
      <c r="AE61">
        <f t="shared" si="5"/>
        <v>15.303698982</v>
      </c>
      <c r="AF61" s="9"/>
      <c r="AG61" s="21">
        <v>0.15686</v>
      </c>
      <c r="AH61" s="21">
        <v>54.827399999999997</v>
      </c>
      <c r="AI61" s="21">
        <v>-4.3371600000000003E-2</v>
      </c>
      <c r="AJ61" s="21">
        <v>51</v>
      </c>
      <c r="AK61" s="21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1">
        <v>0.37323000000000001</v>
      </c>
      <c r="AR61" s="21">
        <v>57.500999999999998</v>
      </c>
      <c r="AS61" s="21">
        <v>-4.0936300000000002E-2</v>
      </c>
      <c r="AT61" s="21">
        <v>51</v>
      </c>
      <c r="AU61" s="21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1">
        <v>0.15686</v>
      </c>
      <c r="AZ61" s="21">
        <v>60.6496</v>
      </c>
      <c r="BA61" s="21">
        <v>-4.3399E-2</v>
      </c>
      <c r="BB61" s="21">
        <v>51</v>
      </c>
      <c r="BC61" s="21">
        <v>0.15567</v>
      </c>
      <c r="BD61">
        <f t="shared" si="10"/>
        <v>43.399000000000001</v>
      </c>
      <c r="BE61">
        <f t="shared" si="11"/>
        <v>6.8075671399999997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0.36819499999999999</v>
      </c>
      <c r="H62" s="21">
        <v>47.334800000000001</v>
      </c>
      <c r="I62" s="21">
        <v>-4.1149900000000003E-2</v>
      </c>
      <c r="J62" s="21">
        <v>52</v>
      </c>
      <c r="K62" s="21">
        <v>0.36697400000000002</v>
      </c>
      <c r="L62">
        <f t="shared" si="0"/>
        <v>41.149900000000002</v>
      </c>
      <c r="M62">
        <f t="shared" si="1"/>
        <v>15.1511874305</v>
      </c>
      <c r="N62" s="9"/>
      <c r="O62" s="21">
        <v>0.16189600000000001</v>
      </c>
      <c r="P62" s="21">
        <v>49.975299999999997</v>
      </c>
      <c r="Q62" s="21">
        <v>-4.3392899999999998E-2</v>
      </c>
      <c r="R62" s="21">
        <v>52</v>
      </c>
      <c r="S62" s="21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1">
        <v>0.36819499999999999</v>
      </c>
      <c r="Z62" s="21">
        <v>52.365900000000003</v>
      </c>
      <c r="AA62" s="21">
        <v>-4.11102E-2</v>
      </c>
      <c r="AB62" s="21">
        <v>52</v>
      </c>
      <c r="AC62" s="21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1">
        <v>0.16189600000000001</v>
      </c>
      <c r="AH62" s="21">
        <v>54.837499999999999</v>
      </c>
      <c r="AI62" s="21">
        <v>-4.3347200000000002E-2</v>
      </c>
      <c r="AJ62" s="21">
        <v>52</v>
      </c>
      <c r="AK62" s="21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1">
        <v>0.36819499999999999</v>
      </c>
      <c r="AR62" s="21">
        <v>57.511099999999999</v>
      </c>
      <c r="AS62" s="21">
        <v>-4.1036999999999997E-2</v>
      </c>
      <c r="AT62" s="21">
        <v>52</v>
      </c>
      <c r="AU62" s="21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1">
        <v>0.16189600000000001</v>
      </c>
      <c r="AZ62" s="21">
        <v>60.659599999999998</v>
      </c>
      <c r="BA62" s="21">
        <v>-4.3386800000000003E-2</v>
      </c>
      <c r="BB62" s="21">
        <v>52</v>
      </c>
      <c r="BC62" s="21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0.36315900000000001</v>
      </c>
      <c r="H63" s="21">
        <v>47.344900000000003</v>
      </c>
      <c r="I63" s="21">
        <v>-4.1247600000000002E-2</v>
      </c>
      <c r="J63" s="21">
        <v>53</v>
      </c>
      <c r="K63" s="21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1">
        <v>0.166931</v>
      </c>
      <c r="P63" s="21">
        <v>49.985399999999998</v>
      </c>
      <c r="Q63" s="21">
        <v>-4.3371600000000003E-2</v>
      </c>
      <c r="R63" s="21">
        <v>53</v>
      </c>
      <c r="S63" s="21">
        <v>0.16571</v>
      </c>
      <c r="T63">
        <f t="shared" si="2"/>
        <v>43.371600000000001</v>
      </c>
      <c r="U63">
        <f t="shared" si="3"/>
        <v>7.2400645596000004</v>
      </c>
      <c r="X63" s="9"/>
      <c r="Y63" s="21">
        <v>0.36315900000000001</v>
      </c>
      <c r="Z63" s="21">
        <v>52.375999999999998</v>
      </c>
      <c r="AA63" s="21">
        <v>-4.1207899999999999E-2</v>
      </c>
      <c r="AB63" s="21">
        <v>53</v>
      </c>
      <c r="AC63" s="21">
        <v>0.361877</v>
      </c>
      <c r="AD63">
        <f t="shared" si="4"/>
        <v>41.207900000000002</v>
      </c>
      <c r="AE63">
        <f t="shared" si="5"/>
        <v>14.965019756100002</v>
      </c>
      <c r="AF63" s="9"/>
      <c r="AG63" s="21">
        <v>0.166931</v>
      </c>
      <c r="AH63" s="21">
        <v>54.8476</v>
      </c>
      <c r="AI63" s="21">
        <v>-4.3328899999999997E-2</v>
      </c>
      <c r="AJ63" s="21">
        <v>53</v>
      </c>
      <c r="AK63" s="21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1">
        <v>0.36315900000000001</v>
      </c>
      <c r="AR63" s="21">
        <v>57.521099999999997</v>
      </c>
      <c r="AS63" s="21">
        <v>-4.1140700000000002E-2</v>
      </c>
      <c r="AT63" s="21">
        <v>53</v>
      </c>
      <c r="AU63" s="21">
        <v>0.361877</v>
      </c>
      <c r="AV63">
        <f t="shared" si="8"/>
        <v>41.140700000000002</v>
      </c>
      <c r="AW63">
        <f t="shared" si="9"/>
        <v>14.940615471300001</v>
      </c>
      <c r="AX63" s="9"/>
      <c r="AY63" s="21">
        <v>0.166931</v>
      </c>
      <c r="AZ63" s="21">
        <v>60.669699999999999</v>
      </c>
      <c r="BA63" s="21">
        <v>-4.3368499999999997E-2</v>
      </c>
      <c r="BB63" s="21">
        <v>53</v>
      </c>
      <c r="BC63" s="21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0.358124</v>
      </c>
      <c r="H64" s="21">
        <v>47.354900000000001</v>
      </c>
      <c r="I64" s="21">
        <v>-4.1339099999999997E-2</v>
      </c>
      <c r="J64" s="21">
        <v>54</v>
      </c>
      <c r="K64" s="21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1">
        <v>0.17196700000000001</v>
      </c>
      <c r="P64" s="21">
        <v>49.9955</v>
      </c>
      <c r="Q64" s="21">
        <v>-4.3344100000000003E-2</v>
      </c>
      <c r="R64" s="21">
        <v>54</v>
      </c>
      <c r="S64" s="21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1">
        <v>0.358124</v>
      </c>
      <c r="Z64" s="21">
        <v>52.386099999999999</v>
      </c>
      <c r="AA64" s="21">
        <v>-4.1305500000000002E-2</v>
      </c>
      <c r="AB64" s="21">
        <v>54</v>
      </c>
      <c r="AC64" s="21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1">
        <v>0.17196700000000001</v>
      </c>
      <c r="AH64" s="21">
        <v>54.857599999999998</v>
      </c>
      <c r="AI64" s="21">
        <v>-4.3292200000000003E-2</v>
      </c>
      <c r="AJ64" s="21">
        <v>54</v>
      </c>
      <c r="AK64" s="21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1">
        <v>0.358124</v>
      </c>
      <c r="AR64" s="21">
        <v>57.531199999999998</v>
      </c>
      <c r="AS64" s="21">
        <v>-4.1247600000000002E-2</v>
      </c>
      <c r="AT64" s="21">
        <v>54</v>
      </c>
      <c r="AU64" s="21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1">
        <v>0.17196700000000001</v>
      </c>
      <c r="AZ64" s="21">
        <v>60.6798</v>
      </c>
      <c r="BA64" s="21">
        <v>-4.3338000000000002E-2</v>
      </c>
      <c r="BB64" s="21">
        <v>54</v>
      </c>
      <c r="BC64" s="21">
        <v>0.170685</v>
      </c>
      <c r="BD64">
        <f t="shared" si="10"/>
        <v>43.338000000000001</v>
      </c>
      <c r="BE64">
        <f t="shared" si="11"/>
        <v>7.4527058460000006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0.35308800000000001</v>
      </c>
      <c r="H65" s="21">
        <v>47.365000000000002</v>
      </c>
      <c r="I65" s="21">
        <v>-4.1427600000000002E-2</v>
      </c>
      <c r="J65" s="21">
        <v>55</v>
      </c>
      <c r="K65" s="21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1">
        <v>0.17700199999999999</v>
      </c>
      <c r="P65" s="21">
        <v>50.005600000000001</v>
      </c>
      <c r="Q65" s="21">
        <v>-4.33167E-2</v>
      </c>
      <c r="R65" s="21">
        <v>55</v>
      </c>
      <c r="S65" s="21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1">
        <v>0.35308800000000001</v>
      </c>
      <c r="Z65" s="21">
        <v>52.396099999999997</v>
      </c>
      <c r="AA65" s="21">
        <v>-4.1400100000000002E-2</v>
      </c>
      <c r="AB65" s="21">
        <v>55</v>
      </c>
      <c r="AC65" s="21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1">
        <v>0.17700199999999999</v>
      </c>
      <c r="AH65" s="21">
        <v>54.867699999999999</v>
      </c>
      <c r="AI65" s="21">
        <v>-4.3270900000000001E-2</v>
      </c>
      <c r="AJ65" s="21">
        <v>55</v>
      </c>
      <c r="AK65" s="21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1">
        <v>0.35308800000000001</v>
      </c>
      <c r="AR65" s="21">
        <v>57.5413</v>
      </c>
      <c r="AS65" s="21">
        <v>-4.1333000000000002E-2</v>
      </c>
      <c r="AT65" s="21">
        <v>55</v>
      </c>
      <c r="AU65" s="21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1">
        <v>0.17700199999999999</v>
      </c>
      <c r="AZ65" s="21">
        <v>60.689900000000002</v>
      </c>
      <c r="BA65" s="21">
        <v>-4.3295300000000002E-2</v>
      </c>
      <c r="BB65" s="21">
        <v>55</v>
      </c>
      <c r="BC65" s="21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0.348053</v>
      </c>
      <c r="H66" s="21">
        <v>47.375100000000003</v>
      </c>
      <c r="I66" s="21">
        <v>-4.1503900000000003E-2</v>
      </c>
      <c r="J66" s="21">
        <v>56</v>
      </c>
      <c r="K66" s="21">
        <v>0.346771</v>
      </c>
      <c r="L66">
        <f t="shared" si="0"/>
        <v>41.503900000000002</v>
      </c>
      <c r="M66">
        <f t="shared" si="1"/>
        <v>14.4455569067</v>
      </c>
      <c r="N66" s="9"/>
      <c r="O66" s="21">
        <v>0.182037</v>
      </c>
      <c r="P66" s="21">
        <v>50.015599999999999</v>
      </c>
      <c r="Q66" s="21">
        <v>-4.3292200000000003E-2</v>
      </c>
      <c r="R66" s="21">
        <v>56</v>
      </c>
      <c r="S66" s="21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1">
        <v>0.348053</v>
      </c>
      <c r="Z66" s="21">
        <v>52.406199999999998</v>
      </c>
      <c r="AA66" s="21">
        <v>-4.14886E-2</v>
      </c>
      <c r="AB66" s="21">
        <v>56</v>
      </c>
      <c r="AC66" s="21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1">
        <v>0.182037</v>
      </c>
      <c r="AH66" s="21">
        <v>54.877800000000001</v>
      </c>
      <c r="AI66" s="21">
        <v>-4.32465E-2</v>
      </c>
      <c r="AJ66" s="21">
        <v>56</v>
      </c>
      <c r="AK66" s="21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1">
        <v>0.348053</v>
      </c>
      <c r="AR66" s="21">
        <v>57.551299999999998</v>
      </c>
      <c r="AS66" s="21">
        <v>-4.1430700000000001E-2</v>
      </c>
      <c r="AT66" s="21">
        <v>56</v>
      </c>
      <c r="AU66" s="21">
        <v>0.346802</v>
      </c>
      <c r="AV66">
        <f t="shared" si="8"/>
        <v>41.430700000000002</v>
      </c>
      <c r="AW66">
        <f t="shared" si="9"/>
        <v>14.420079427100001</v>
      </c>
      <c r="AX66" s="9"/>
      <c r="AY66" s="21">
        <v>0.182037</v>
      </c>
      <c r="AZ66" s="21">
        <v>60.6999</v>
      </c>
      <c r="BA66" s="21">
        <v>-4.3258699999999997E-2</v>
      </c>
      <c r="BB66" s="21">
        <v>56</v>
      </c>
      <c r="BC66" s="21">
        <v>0.180786</v>
      </c>
      <c r="BD66">
        <f t="shared" si="10"/>
        <v>43.258699999999997</v>
      </c>
      <c r="BE66">
        <f t="shared" si="11"/>
        <v>7.8746839718999997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0.34301799999999999</v>
      </c>
      <c r="H67" s="21">
        <v>47.385100000000001</v>
      </c>
      <c r="I67" s="21">
        <v>-4.1592400000000002E-2</v>
      </c>
      <c r="J67" s="21">
        <v>57</v>
      </c>
      <c r="K67" s="21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1">
        <v>0.18707299999999999</v>
      </c>
      <c r="P67" s="21">
        <v>50.025700000000001</v>
      </c>
      <c r="Q67" s="21">
        <v>-4.3267800000000002E-2</v>
      </c>
      <c r="R67" s="21">
        <v>57</v>
      </c>
      <c r="S67" s="21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1">
        <v>0.34301799999999999</v>
      </c>
      <c r="Z67" s="21">
        <v>52.4163</v>
      </c>
      <c r="AA67" s="21">
        <v>-4.1570999999999997E-2</v>
      </c>
      <c r="AB67" s="21">
        <v>57</v>
      </c>
      <c r="AC67" s="21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1">
        <v>0.18707299999999999</v>
      </c>
      <c r="AH67" s="21">
        <v>54.887799999999999</v>
      </c>
      <c r="AI67" s="21">
        <v>-4.3225100000000002E-2</v>
      </c>
      <c r="AJ67" s="21">
        <v>57</v>
      </c>
      <c r="AK67" s="21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1">
        <v>0.34301799999999999</v>
      </c>
      <c r="AR67" s="21">
        <v>57.561399999999999</v>
      </c>
      <c r="AS67" s="21">
        <v>-4.1519199999999999E-2</v>
      </c>
      <c r="AT67" s="21">
        <v>57</v>
      </c>
      <c r="AU67" s="21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1">
        <v>0.18707299999999999</v>
      </c>
      <c r="AZ67" s="21">
        <v>60.71</v>
      </c>
      <c r="BA67" s="21">
        <v>-4.32465E-2</v>
      </c>
      <c r="BB67" s="21">
        <v>57</v>
      </c>
      <c r="BC67" s="21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0.337982</v>
      </c>
      <c r="H68" s="21">
        <v>47.395200000000003</v>
      </c>
      <c r="I68" s="21">
        <v>-4.1674799999999998E-2</v>
      </c>
      <c r="J68" s="21">
        <v>58</v>
      </c>
      <c r="K68" s="21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1">
        <v>0.192108</v>
      </c>
      <c r="P68" s="21">
        <v>50.035800000000002</v>
      </c>
      <c r="Q68" s="21">
        <v>-4.3267800000000002E-2</v>
      </c>
      <c r="R68" s="21">
        <v>58</v>
      </c>
      <c r="S68" s="21">
        <v>0.190826</v>
      </c>
      <c r="T68">
        <f t="shared" si="2"/>
        <v>43.267800000000001</v>
      </c>
      <c r="U68">
        <f t="shared" si="3"/>
        <v>8.3120905224000001</v>
      </c>
      <c r="X68" s="9"/>
      <c r="Y68" s="21">
        <v>0.337982</v>
      </c>
      <c r="Z68" s="21">
        <v>52.426299999999998</v>
      </c>
      <c r="AA68" s="21">
        <v>-4.1665599999999997E-2</v>
      </c>
      <c r="AB68" s="21">
        <v>58</v>
      </c>
      <c r="AC68" s="21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1">
        <v>0.192108</v>
      </c>
      <c r="AH68" s="21">
        <v>54.8979</v>
      </c>
      <c r="AI68" s="21">
        <v>-4.3203699999999998E-2</v>
      </c>
      <c r="AJ68" s="21">
        <v>58</v>
      </c>
      <c r="AK68" s="21">
        <v>0.190887</v>
      </c>
      <c r="AL68">
        <f t="shared" si="6"/>
        <v>43.203699999999998</v>
      </c>
      <c r="AM68">
        <f t="shared" si="7"/>
        <v>8.2997763995999989</v>
      </c>
      <c r="AP68" s="9"/>
      <c r="AQ68" s="21">
        <v>0.337982</v>
      </c>
      <c r="AR68" s="21">
        <v>57.5715</v>
      </c>
      <c r="AS68" s="21">
        <v>-4.1607699999999997E-2</v>
      </c>
      <c r="AT68" s="21">
        <v>58</v>
      </c>
      <c r="AU68" s="21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1">
        <v>0.192108</v>
      </c>
      <c r="AZ68" s="21">
        <v>60.720100000000002</v>
      </c>
      <c r="BA68" s="21">
        <v>-4.3234300000000003E-2</v>
      </c>
      <c r="BB68" s="21">
        <v>58</v>
      </c>
      <c r="BC68" s="21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0.33294699999999999</v>
      </c>
      <c r="H69" s="21">
        <v>47.405299999999997</v>
      </c>
      <c r="I69" s="21">
        <v>-4.1754199999999998E-2</v>
      </c>
      <c r="J69" s="21">
        <v>59</v>
      </c>
      <c r="K69" s="21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1">
        <v>0.19714400000000001</v>
      </c>
      <c r="P69" s="21">
        <v>50.0458</v>
      </c>
      <c r="Q69" s="21">
        <v>-4.3255599999999998E-2</v>
      </c>
      <c r="R69" s="21">
        <v>59</v>
      </c>
      <c r="S69" s="21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1">
        <v>0.33294699999999999</v>
      </c>
      <c r="Z69" s="21">
        <v>52.436399999999999</v>
      </c>
      <c r="AA69" s="21">
        <v>-4.1757200000000001E-2</v>
      </c>
      <c r="AB69" s="21">
        <v>59</v>
      </c>
      <c r="AC69" s="21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1">
        <v>0.19714400000000001</v>
      </c>
      <c r="AH69" s="21">
        <v>54.908000000000001</v>
      </c>
      <c r="AI69" s="21">
        <v>-4.3182400000000003E-2</v>
      </c>
      <c r="AJ69" s="21">
        <v>59</v>
      </c>
      <c r="AK69" s="21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1">
        <v>0.33294699999999999</v>
      </c>
      <c r="AR69" s="21">
        <v>57.581600000000002</v>
      </c>
      <c r="AS69" s="21">
        <v>-4.1690100000000001E-2</v>
      </c>
      <c r="AT69" s="21">
        <v>59</v>
      </c>
      <c r="AU69" s="21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1">
        <v>0.19714400000000001</v>
      </c>
      <c r="AZ69" s="21">
        <v>60.7301</v>
      </c>
      <c r="BA69" s="21">
        <v>-4.3221999999999997E-2</v>
      </c>
      <c r="BB69" s="21">
        <v>59</v>
      </c>
      <c r="BC69" s="21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0.32791100000000001</v>
      </c>
      <c r="H70" s="21">
        <v>47.415399999999998</v>
      </c>
      <c r="I70" s="21">
        <v>-4.1824300000000002E-2</v>
      </c>
      <c r="J70" s="21">
        <v>60</v>
      </c>
      <c r="K70" s="21">
        <v>0.32669100000000001</v>
      </c>
      <c r="L70">
        <f t="shared" si="0"/>
        <v>41.824300000000001</v>
      </c>
      <c r="M70">
        <f t="shared" si="1"/>
        <v>13.7146480373</v>
      </c>
      <c r="N70" s="9"/>
      <c r="O70" s="21">
        <v>0.202179</v>
      </c>
      <c r="P70" s="21">
        <v>50.055900000000001</v>
      </c>
      <c r="Q70" s="21">
        <v>-4.3225100000000002E-2</v>
      </c>
      <c r="R70" s="21">
        <v>60</v>
      </c>
      <c r="S70" s="21">
        <v>0.200958</v>
      </c>
      <c r="T70">
        <f t="shared" si="2"/>
        <v>43.225100000000005</v>
      </c>
      <c r="U70">
        <f t="shared" si="3"/>
        <v>8.7392074929000003</v>
      </c>
      <c r="X70" s="9"/>
      <c r="Y70" s="21">
        <v>0.32791100000000001</v>
      </c>
      <c r="Z70" s="21">
        <v>52.4465</v>
      </c>
      <c r="AA70" s="21">
        <v>-4.1842699999999997E-2</v>
      </c>
      <c r="AB70" s="21">
        <v>60</v>
      </c>
      <c r="AC70" s="21">
        <v>0.326569</v>
      </c>
      <c r="AD70">
        <f t="shared" si="4"/>
        <v>41.842699999999994</v>
      </c>
      <c r="AE70">
        <f t="shared" si="5"/>
        <v>13.720681599699999</v>
      </c>
      <c r="AF70" s="9"/>
      <c r="AG70" s="21">
        <v>0.202179</v>
      </c>
      <c r="AH70" s="21">
        <v>54.918100000000003</v>
      </c>
      <c r="AI70" s="21">
        <v>-4.3154900000000003E-2</v>
      </c>
      <c r="AJ70" s="21">
        <v>60</v>
      </c>
      <c r="AK70" s="21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1">
        <v>0.32791100000000001</v>
      </c>
      <c r="AR70" s="21">
        <v>57.5916</v>
      </c>
      <c r="AS70" s="21">
        <v>-4.1763300000000003E-2</v>
      </c>
      <c r="AT70" s="21">
        <v>60</v>
      </c>
      <c r="AU70" s="21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1">
        <v>0.202179</v>
      </c>
      <c r="AZ70" s="21">
        <v>60.740200000000002</v>
      </c>
      <c r="BA70" s="21">
        <v>-4.3200700000000002E-2</v>
      </c>
      <c r="BB70" s="21">
        <v>60</v>
      </c>
      <c r="BC70" s="21">
        <v>0.200958</v>
      </c>
      <c r="BD70">
        <f t="shared" si="10"/>
        <v>43.200700000000005</v>
      </c>
      <c r="BE70">
        <f t="shared" si="11"/>
        <v>8.7342743253000013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0.322876</v>
      </c>
      <c r="H71" s="21">
        <v>47.425400000000003</v>
      </c>
      <c r="I71" s="21">
        <v>-4.18976E-2</v>
      </c>
      <c r="J71" s="21">
        <v>61</v>
      </c>
      <c r="K71" s="21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1">
        <v>0.20721400000000001</v>
      </c>
      <c r="P71" s="21">
        <v>50.066000000000003</v>
      </c>
      <c r="Q71" s="21">
        <v>-4.3188499999999998E-2</v>
      </c>
      <c r="R71" s="21">
        <v>61</v>
      </c>
      <c r="S71" s="21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1">
        <v>0.322876</v>
      </c>
      <c r="Z71" s="21">
        <v>52.456600000000002</v>
      </c>
      <c r="AA71" s="21">
        <v>-4.1924999999999997E-2</v>
      </c>
      <c r="AB71" s="21">
        <v>61</v>
      </c>
      <c r="AC71" s="21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1">
        <v>0.20721400000000001</v>
      </c>
      <c r="AH71" s="21">
        <v>54.928100000000001</v>
      </c>
      <c r="AI71" s="21">
        <v>-4.3121300000000001E-2</v>
      </c>
      <c r="AJ71" s="21">
        <v>61</v>
      </c>
      <c r="AK71" s="21">
        <v>0.205902</v>
      </c>
      <c r="AL71">
        <f t="shared" si="6"/>
        <v>43.121299999999998</v>
      </c>
      <c r="AM71">
        <f t="shared" si="7"/>
        <v>8.9353370582</v>
      </c>
      <c r="AP71" s="9"/>
      <c r="AQ71" s="21">
        <v>0.322876</v>
      </c>
      <c r="AR71" s="21">
        <v>57.601700000000001</v>
      </c>
      <c r="AS71" s="21">
        <v>-4.1842699999999997E-2</v>
      </c>
      <c r="AT71" s="21">
        <v>61</v>
      </c>
      <c r="AU71" s="21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1">
        <v>0.20721400000000001</v>
      </c>
      <c r="AZ71" s="21">
        <v>60.750300000000003</v>
      </c>
      <c r="BA71" s="21">
        <v>-4.3176300000000001E-2</v>
      </c>
      <c r="BB71" s="21">
        <v>61</v>
      </c>
      <c r="BC71" s="21">
        <v>0.205933</v>
      </c>
      <c r="BD71">
        <f t="shared" si="10"/>
        <v>43.176299999999998</v>
      </c>
      <c r="BE71">
        <f t="shared" si="11"/>
        <v>8.9467338281999993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0.31784099999999998</v>
      </c>
      <c r="H72" s="21">
        <v>47.435499999999998</v>
      </c>
      <c r="I72" s="21">
        <v>-4.1976899999999998E-2</v>
      </c>
      <c r="J72" s="21">
        <v>62</v>
      </c>
      <c r="K72" s="21">
        <v>0.31658900000000001</v>
      </c>
      <c r="L72">
        <f t="shared" si="0"/>
        <v>41.976900000000001</v>
      </c>
      <c r="M72">
        <f t="shared" si="1"/>
        <v>13.3419798729</v>
      </c>
      <c r="N72" s="9"/>
      <c r="O72" s="21">
        <v>0.21224999999999999</v>
      </c>
      <c r="P72" s="21">
        <v>50.076099999999997</v>
      </c>
      <c r="Q72" s="21">
        <v>-4.3142699999999999E-2</v>
      </c>
      <c r="R72" s="21">
        <v>62</v>
      </c>
      <c r="S72" s="21">
        <v>0.21106</v>
      </c>
      <c r="T72">
        <f t="shared" si="2"/>
        <v>43.142699999999998</v>
      </c>
      <c r="U72">
        <f t="shared" si="3"/>
        <v>9.1570380749999991</v>
      </c>
      <c r="X72" s="9"/>
      <c r="Y72" s="21">
        <v>0.31784099999999998</v>
      </c>
      <c r="Z72" s="21">
        <v>52.4666</v>
      </c>
      <c r="AA72" s="21">
        <v>-4.1995200000000003E-2</v>
      </c>
      <c r="AB72" s="21">
        <v>62</v>
      </c>
      <c r="AC72" s="21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1">
        <v>0.21224999999999999</v>
      </c>
      <c r="AH72" s="21">
        <v>54.938200000000002</v>
      </c>
      <c r="AI72" s="21">
        <v>-4.3075599999999999E-2</v>
      </c>
      <c r="AJ72" s="21">
        <v>62</v>
      </c>
      <c r="AK72" s="21">
        <v>0.21096799999999999</v>
      </c>
      <c r="AL72">
        <f t="shared" si="6"/>
        <v>43.075600000000001</v>
      </c>
      <c r="AM72">
        <f t="shared" si="7"/>
        <v>9.1427961</v>
      </c>
      <c r="AP72" s="9"/>
      <c r="AQ72" s="21">
        <v>0.31784099999999998</v>
      </c>
      <c r="AR72" s="21">
        <v>57.611800000000002</v>
      </c>
      <c r="AS72" s="21">
        <v>-4.1915899999999999E-2</v>
      </c>
      <c r="AT72" s="21">
        <v>62</v>
      </c>
      <c r="AU72" s="21">
        <v>0.316498</v>
      </c>
      <c r="AV72">
        <f t="shared" si="8"/>
        <v>41.915900000000001</v>
      </c>
      <c r="AW72">
        <f t="shared" si="9"/>
        <v>13.3225915719</v>
      </c>
      <c r="AX72" s="9"/>
      <c r="AY72" s="21">
        <v>0.21224999999999999</v>
      </c>
      <c r="AZ72" s="21">
        <v>60.760300000000001</v>
      </c>
      <c r="BA72" s="21">
        <v>-4.3154900000000003E-2</v>
      </c>
      <c r="BB72" s="21">
        <v>62</v>
      </c>
      <c r="BC72" s="21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0.312805</v>
      </c>
      <c r="H73" s="21">
        <v>47.445599999999999</v>
      </c>
      <c r="I73" s="21">
        <v>-4.2056299999999998E-2</v>
      </c>
      <c r="J73" s="21">
        <v>63</v>
      </c>
      <c r="K73" s="21">
        <v>0.31149300000000002</v>
      </c>
      <c r="L73">
        <f t="shared" si="0"/>
        <v>42.0563</v>
      </c>
      <c r="M73">
        <f t="shared" si="1"/>
        <v>13.155420921499999</v>
      </c>
      <c r="N73" s="9"/>
      <c r="O73" s="21">
        <v>0.21728500000000001</v>
      </c>
      <c r="P73" s="21">
        <v>50.086100000000002</v>
      </c>
      <c r="Q73" s="21">
        <v>-4.3103000000000002E-2</v>
      </c>
      <c r="R73" s="21">
        <v>63</v>
      </c>
      <c r="S73" s="21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1">
        <v>0.312805</v>
      </c>
      <c r="Z73" s="21">
        <v>52.476700000000001</v>
      </c>
      <c r="AA73" s="21">
        <v>-4.2059300000000001E-2</v>
      </c>
      <c r="AB73" s="21">
        <v>63</v>
      </c>
      <c r="AC73" s="21">
        <v>0.31158400000000003</v>
      </c>
      <c r="AD73">
        <f t="shared" si="4"/>
        <v>42.0593</v>
      </c>
      <c r="AE73">
        <f t="shared" si="5"/>
        <v>13.1563593365</v>
      </c>
      <c r="AF73" s="9"/>
      <c r="AG73" s="21">
        <v>0.21728500000000001</v>
      </c>
      <c r="AH73" s="21">
        <v>54.948300000000003</v>
      </c>
      <c r="AI73" s="21">
        <v>-4.3041999999999997E-2</v>
      </c>
      <c r="AJ73" s="21">
        <v>63</v>
      </c>
      <c r="AK73" s="21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1">
        <v>0.312805</v>
      </c>
      <c r="AR73" s="21">
        <v>57.6218</v>
      </c>
      <c r="AS73" s="21">
        <v>-4.2001299999999998E-2</v>
      </c>
      <c r="AT73" s="21">
        <v>63</v>
      </c>
      <c r="AU73" s="21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1">
        <v>0.21728500000000001</v>
      </c>
      <c r="AZ73" s="21">
        <v>60.770400000000002</v>
      </c>
      <c r="BA73" s="21">
        <v>-4.31244E-2</v>
      </c>
      <c r="BB73" s="21">
        <v>63</v>
      </c>
      <c r="BC73" s="21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0.30776999999999999</v>
      </c>
      <c r="H74" s="21">
        <v>47.455599999999997</v>
      </c>
      <c r="I74" s="21">
        <v>-4.21295E-2</v>
      </c>
      <c r="J74" s="21">
        <v>64</v>
      </c>
      <c r="K74" s="21">
        <v>0.30654900000000002</v>
      </c>
      <c r="L74">
        <f t="shared" si="0"/>
        <v>42.1295</v>
      </c>
      <c r="M74">
        <f t="shared" si="1"/>
        <v>12.966196215</v>
      </c>
      <c r="N74" s="9"/>
      <c r="O74" s="21">
        <v>0.22232099999999999</v>
      </c>
      <c r="P74" s="21">
        <v>50.096200000000003</v>
      </c>
      <c r="Q74" s="21">
        <v>-4.3060300000000003E-2</v>
      </c>
      <c r="R74" s="21">
        <v>64</v>
      </c>
      <c r="S74" s="21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1">
        <v>0.30776999999999999</v>
      </c>
      <c r="Z74" s="21">
        <v>52.486800000000002</v>
      </c>
      <c r="AA74" s="21">
        <v>-4.2120400000000002E-2</v>
      </c>
      <c r="AB74" s="21">
        <v>64</v>
      </c>
      <c r="AC74" s="21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1">
        <v>0.22232099999999999</v>
      </c>
      <c r="AH74" s="21">
        <v>54.958300000000001</v>
      </c>
      <c r="AI74" s="21">
        <v>-4.3011500000000001E-2</v>
      </c>
      <c r="AJ74" s="21">
        <v>64</v>
      </c>
      <c r="AK74" s="21">
        <v>0.221161</v>
      </c>
      <c r="AL74">
        <f t="shared" si="6"/>
        <v>43.011499999999998</v>
      </c>
      <c r="AM74">
        <f t="shared" si="7"/>
        <v>9.5623596914999993</v>
      </c>
      <c r="AP74" s="9"/>
      <c r="AQ74" s="21">
        <v>0.30776999999999999</v>
      </c>
      <c r="AR74" s="21">
        <v>57.631900000000002</v>
      </c>
      <c r="AS74" s="21">
        <v>-4.2080699999999999E-2</v>
      </c>
      <c r="AT74" s="21">
        <v>64</v>
      </c>
      <c r="AU74" s="21">
        <v>0.30648799999999998</v>
      </c>
      <c r="AV74">
        <f t="shared" si="8"/>
        <v>42.0807</v>
      </c>
      <c r="AW74">
        <f t="shared" si="9"/>
        <v>12.951177038999999</v>
      </c>
      <c r="AX74" s="9"/>
      <c r="AY74" s="21">
        <v>0.22232099999999999</v>
      </c>
      <c r="AZ74" s="21">
        <v>60.780500000000004</v>
      </c>
      <c r="BA74" s="21">
        <v>-4.3084699999999997E-2</v>
      </c>
      <c r="BB74" s="21">
        <v>64</v>
      </c>
      <c r="BC74" s="21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0.302734</v>
      </c>
      <c r="H75" s="21">
        <v>47.465699999999998</v>
      </c>
      <c r="I75" s="21">
        <v>-4.2193599999999998E-2</v>
      </c>
      <c r="J75" s="21">
        <v>65</v>
      </c>
      <c r="K75" s="21">
        <v>0.30139199999999999</v>
      </c>
      <c r="L75">
        <f t="shared" si="0"/>
        <v>42.193599999999996</v>
      </c>
      <c r="M75">
        <f t="shared" si="1"/>
        <v>12.7734373024</v>
      </c>
      <c r="N75" s="9"/>
      <c r="O75" s="21">
        <v>0.227356</v>
      </c>
      <c r="P75" s="21">
        <v>50.106299999999997</v>
      </c>
      <c r="Q75" s="21">
        <v>-4.3008400000000002E-2</v>
      </c>
      <c r="R75" s="21">
        <v>65</v>
      </c>
      <c r="S75" s="21">
        <v>0.226074</v>
      </c>
      <c r="T75">
        <f t="shared" si="2"/>
        <v>43.008400000000002</v>
      </c>
      <c r="U75">
        <f t="shared" si="3"/>
        <v>9.7782177904000012</v>
      </c>
      <c r="X75" s="9"/>
      <c r="Y75" s="21">
        <v>0.302734</v>
      </c>
      <c r="Z75" s="21">
        <v>52.4968</v>
      </c>
      <c r="AA75" s="21">
        <v>-4.2184399999999997E-2</v>
      </c>
      <c r="AB75" s="21">
        <v>65</v>
      </c>
      <c r="AC75" s="21">
        <v>0.301483</v>
      </c>
      <c r="AD75">
        <f t="shared" si="4"/>
        <v>42.184399999999997</v>
      </c>
      <c r="AE75">
        <f t="shared" si="5"/>
        <v>12.770652149599998</v>
      </c>
      <c r="AF75" s="9"/>
      <c r="AG75" s="21">
        <v>0.227356</v>
      </c>
      <c r="AH75" s="21">
        <v>54.968400000000003</v>
      </c>
      <c r="AI75" s="21">
        <v>-4.2993200000000002E-2</v>
      </c>
      <c r="AJ75" s="21">
        <v>65</v>
      </c>
      <c r="AK75" s="21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1">
        <v>0.302734</v>
      </c>
      <c r="AR75" s="21">
        <v>57.642000000000003</v>
      </c>
      <c r="AS75" s="21">
        <v>-4.2147799999999999E-2</v>
      </c>
      <c r="AT75" s="21">
        <v>65</v>
      </c>
      <c r="AU75" s="21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1">
        <v>0.227356</v>
      </c>
      <c r="AZ75" s="21">
        <v>60.790599999999998</v>
      </c>
      <c r="BA75" s="21">
        <v>-4.3051100000000002E-2</v>
      </c>
      <c r="BB75" s="21">
        <v>65</v>
      </c>
      <c r="BC75" s="21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0.29769899999999999</v>
      </c>
      <c r="H76" s="21">
        <v>47.4758</v>
      </c>
      <c r="I76" s="21">
        <v>-4.2257700000000002E-2</v>
      </c>
      <c r="J76" s="21">
        <v>66</v>
      </c>
      <c r="K76" s="21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1">
        <v>0.23239099999999999</v>
      </c>
      <c r="P76" s="21">
        <v>50.116300000000003</v>
      </c>
      <c r="Q76" s="21">
        <v>-4.2959600000000001E-2</v>
      </c>
      <c r="R76" s="21">
        <v>66</v>
      </c>
      <c r="S76" s="21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1">
        <v>0.29769899999999999</v>
      </c>
      <c r="Z76" s="21">
        <v>52.506900000000002</v>
      </c>
      <c r="AA76" s="21">
        <v>-4.2269899999999999E-2</v>
      </c>
      <c r="AB76" s="21">
        <v>66</v>
      </c>
      <c r="AC76" s="21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1">
        <v>0.23239099999999999</v>
      </c>
      <c r="AH76" s="21">
        <v>54.978499999999997</v>
      </c>
      <c r="AI76" s="21">
        <v>-4.2965700000000003E-2</v>
      </c>
      <c r="AJ76" s="21">
        <v>66</v>
      </c>
      <c r="AK76" s="21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1">
        <v>0.29769899999999999</v>
      </c>
      <c r="AR76" s="21">
        <v>57.652099999999997</v>
      </c>
      <c r="AS76" s="21">
        <v>-4.2217999999999999E-2</v>
      </c>
      <c r="AT76" s="21">
        <v>66</v>
      </c>
      <c r="AU76" s="21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1">
        <v>0.23239099999999999</v>
      </c>
      <c r="AZ76" s="21">
        <v>60.800600000000003</v>
      </c>
      <c r="BA76" s="21">
        <v>-4.2999299999999997E-2</v>
      </c>
      <c r="BB76" s="21">
        <v>66</v>
      </c>
      <c r="BC76" s="21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0.29266399999999998</v>
      </c>
      <c r="H77" s="21">
        <v>47.485900000000001</v>
      </c>
      <c r="I77" s="21">
        <v>-4.23218E-2</v>
      </c>
      <c r="J77" s="21">
        <v>67</v>
      </c>
      <c r="K77" s="21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1">
        <v>0.237427</v>
      </c>
      <c r="P77" s="21">
        <v>50.126399999999997</v>
      </c>
      <c r="Q77" s="21">
        <v>-4.2913800000000002E-2</v>
      </c>
      <c r="R77" s="21">
        <v>67</v>
      </c>
      <c r="S77" s="21">
        <v>0.236206</v>
      </c>
      <c r="T77">
        <f t="shared" si="14"/>
        <v>42.913800000000002</v>
      </c>
      <c r="U77">
        <f t="shared" si="15"/>
        <v>10.188894792600001</v>
      </c>
      <c r="X77" s="9"/>
      <c r="Y77" s="21">
        <v>0.29266399999999998</v>
      </c>
      <c r="Z77" s="21">
        <v>52.517000000000003</v>
      </c>
      <c r="AA77" s="21">
        <v>-4.2346200000000001E-2</v>
      </c>
      <c r="AB77" s="21">
        <v>67</v>
      </c>
      <c r="AC77" s="21">
        <v>0.291321</v>
      </c>
      <c r="AD77">
        <f t="shared" si="16"/>
        <v>42.346200000000003</v>
      </c>
      <c r="AE77">
        <f t="shared" si="17"/>
        <v>12.393208276799999</v>
      </c>
      <c r="AF77" s="9"/>
      <c r="AG77" s="21">
        <v>0.237427</v>
      </c>
      <c r="AH77" s="21">
        <v>54.988500000000002</v>
      </c>
      <c r="AI77" s="21">
        <v>-4.2925999999999999E-2</v>
      </c>
      <c r="AJ77" s="21">
        <v>67</v>
      </c>
      <c r="AK77" s="21">
        <v>0.236237</v>
      </c>
      <c r="AL77">
        <f t="shared" si="18"/>
        <v>42.926000000000002</v>
      </c>
      <c r="AM77">
        <f t="shared" si="19"/>
        <v>10.191791402</v>
      </c>
      <c r="AP77" s="9"/>
      <c r="AQ77" s="21">
        <v>0.29266399999999998</v>
      </c>
      <c r="AR77" s="21">
        <v>57.662100000000002</v>
      </c>
      <c r="AS77" s="21">
        <v>-4.2288199999999998E-2</v>
      </c>
      <c r="AT77" s="21">
        <v>67</v>
      </c>
      <c r="AU77" s="21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1">
        <v>0.237427</v>
      </c>
      <c r="AZ77" s="21">
        <v>60.810699999999997</v>
      </c>
      <c r="BA77" s="21">
        <v>-4.2959600000000001E-2</v>
      </c>
      <c r="BB77" s="21">
        <v>67</v>
      </c>
      <c r="BC77" s="21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0.28762799999999999</v>
      </c>
      <c r="H78" s="21">
        <v>47.495899999999999</v>
      </c>
      <c r="I78" s="21">
        <v>-4.2376700000000003E-2</v>
      </c>
      <c r="J78" s="21">
        <v>68</v>
      </c>
      <c r="K78" s="21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1">
        <v>0.24246200000000001</v>
      </c>
      <c r="P78" s="21">
        <v>50.136499999999998</v>
      </c>
      <c r="Q78" s="21">
        <v>-4.2865E-2</v>
      </c>
      <c r="R78" s="21">
        <v>68</v>
      </c>
      <c r="S78" s="21">
        <v>0.24115</v>
      </c>
      <c r="T78">
        <f t="shared" si="14"/>
        <v>42.865000000000002</v>
      </c>
      <c r="U78">
        <f t="shared" si="15"/>
        <v>10.393133630000001</v>
      </c>
      <c r="X78" s="9"/>
      <c r="Y78" s="21">
        <v>0.28762799999999999</v>
      </c>
      <c r="Z78" s="21">
        <v>52.527099999999997</v>
      </c>
      <c r="AA78" s="21">
        <v>-4.2422500000000002E-2</v>
      </c>
      <c r="AB78" s="21">
        <v>68</v>
      </c>
      <c r="AC78" s="21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1">
        <v>0.24246200000000001</v>
      </c>
      <c r="AH78" s="21">
        <v>54.998600000000003</v>
      </c>
      <c r="AI78" s="21">
        <v>-4.2874099999999998E-2</v>
      </c>
      <c r="AJ78" s="21">
        <v>68</v>
      </c>
      <c r="AK78" s="21">
        <v>0.241119</v>
      </c>
      <c r="AL78">
        <f t="shared" si="18"/>
        <v>42.874099999999999</v>
      </c>
      <c r="AM78">
        <f t="shared" si="19"/>
        <v>10.3953400342</v>
      </c>
      <c r="AP78" s="9"/>
      <c r="AQ78" s="21">
        <v>0.28762799999999999</v>
      </c>
      <c r="AR78" s="21">
        <v>57.672199999999997</v>
      </c>
      <c r="AS78" s="21">
        <v>-4.2352300000000002E-2</v>
      </c>
      <c r="AT78" s="21">
        <v>68</v>
      </c>
      <c r="AU78" s="21">
        <v>0.28640700000000002</v>
      </c>
      <c r="AV78">
        <f t="shared" si="20"/>
        <v>42.3523</v>
      </c>
      <c r="AW78">
        <f t="shared" si="21"/>
        <v>12.181707344399999</v>
      </c>
      <c r="AX78" s="9"/>
      <c r="AY78" s="21">
        <v>0.24246200000000001</v>
      </c>
      <c r="AZ78" s="21">
        <v>60.820799999999998</v>
      </c>
      <c r="BA78" s="21">
        <v>-4.29077E-2</v>
      </c>
      <c r="BB78" s="21">
        <v>68</v>
      </c>
      <c r="BC78" s="21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0.28259299999999998</v>
      </c>
      <c r="H79" s="21">
        <v>47.506</v>
      </c>
      <c r="I79" s="21">
        <v>-4.2434699999999999E-2</v>
      </c>
      <c r="J79" s="21">
        <v>69</v>
      </c>
      <c r="K79" s="21">
        <v>0.281281</v>
      </c>
      <c r="L79">
        <f t="shared" si="12"/>
        <v>42.434699999999999</v>
      </c>
      <c r="M79">
        <f t="shared" si="13"/>
        <v>11.991749177099999</v>
      </c>
      <c r="N79" s="9"/>
      <c r="O79" s="21">
        <v>0.247498</v>
      </c>
      <c r="P79" s="21">
        <v>50.146599999999999</v>
      </c>
      <c r="Q79" s="21">
        <v>-4.28131E-2</v>
      </c>
      <c r="R79" s="21">
        <v>69</v>
      </c>
      <c r="S79" s="21">
        <v>0.246277</v>
      </c>
      <c r="T79">
        <f t="shared" si="14"/>
        <v>42.813099999999999</v>
      </c>
      <c r="U79">
        <f t="shared" si="15"/>
        <v>10.596156623799999</v>
      </c>
      <c r="X79" s="9"/>
      <c r="Y79" s="21">
        <v>0.28259299999999998</v>
      </c>
      <c r="Z79" s="21">
        <v>52.537100000000002</v>
      </c>
      <c r="AA79" s="21">
        <v>-4.2471299999999997E-2</v>
      </c>
      <c r="AB79" s="21">
        <v>69</v>
      </c>
      <c r="AC79" s="21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1">
        <v>0.247498</v>
      </c>
      <c r="AH79" s="21">
        <v>55.008699999999997</v>
      </c>
      <c r="AI79" s="21">
        <v>-4.2825299999999997E-2</v>
      </c>
      <c r="AJ79" s="21">
        <v>69</v>
      </c>
      <c r="AK79" s="21">
        <v>0.246307</v>
      </c>
      <c r="AL79">
        <f t="shared" si="18"/>
        <v>42.825299999999999</v>
      </c>
      <c r="AM79">
        <f t="shared" si="19"/>
        <v>10.599176099399999</v>
      </c>
      <c r="AP79" s="9"/>
      <c r="AQ79" s="21">
        <v>0.28259299999999998</v>
      </c>
      <c r="AR79" s="21">
        <v>57.682299999999998</v>
      </c>
      <c r="AS79" s="21">
        <v>-4.2425499999999998E-2</v>
      </c>
      <c r="AT79" s="21">
        <v>69</v>
      </c>
      <c r="AU79" s="21">
        <v>0.28131099999999998</v>
      </c>
      <c r="AV79">
        <f t="shared" si="20"/>
        <v>42.4255</v>
      </c>
      <c r="AW79">
        <f t="shared" si="21"/>
        <v>11.989149321499999</v>
      </c>
      <c r="AX79" s="9"/>
      <c r="AY79" s="21">
        <v>0.247498</v>
      </c>
      <c r="AZ79" s="21">
        <v>60.830800000000004</v>
      </c>
      <c r="BA79" s="21">
        <v>-4.2855799999999999E-2</v>
      </c>
      <c r="BB79" s="21">
        <v>69</v>
      </c>
      <c r="BC79" s="21">
        <v>0.246277</v>
      </c>
      <c r="BD79">
        <f t="shared" si="22"/>
        <v>42.855800000000002</v>
      </c>
      <c r="BE79">
        <f t="shared" si="23"/>
        <v>10.606724788400001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0.277557</v>
      </c>
      <c r="H80" s="21">
        <v>47.516100000000002</v>
      </c>
      <c r="I80" s="21">
        <v>-4.2495699999999997E-2</v>
      </c>
      <c r="J80" s="21">
        <v>70</v>
      </c>
      <c r="K80" s="21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1">
        <v>0.25253300000000001</v>
      </c>
      <c r="P80" s="21">
        <v>50.156599999999997</v>
      </c>
      <c r="Q80" s="21">
        <v>-4.2755099999999997E-2</v>
      </c>
      <c r="R80" s="21">
        <v>70</v>
      </c>
      <c r="S80" s="21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1">
        <v>0.277557</v>
      </c>
      <c r="Z80" s="21">
        <v>52.547199999999997</v>
      </c>
      <c r="AA80" s="21">
        <v>-4.2523199999999997E-2</v>
      </c>
      <c r="AB80" s="21">
        <v>70</v>
      </c>
      <c r="AC80" s="21">
        <v>0.276337</v>
      </c>
      <c r="AD80">
        <f t="shared" si="16"/>
        <v>42.523199999999996</v>
      </c>
      <c r="AE80">
        <f t="shared" si="17"/>
        <v>11.802611822399999</v>
      </c>
      <c r="AF80" s="9"/>
      <c r="AG80" s="21">
        <v>0.25253300000000001</v>
      </c>
      <c r="AH80" s="21">
        <v>55.018799999999999</v>
      </c>
      <c r="AI80" s="21">
        <v>-4.2767300000000001E-2</v>
      </c>
      <c r="AJ80" s="21">
        <v>70</v>
      </c>
      <c r="AK80" s="21">
        <v>0.251251</v>
      </c>
      <c r="AL80">
        <f t="shared" si="18"/>
        <v>42.767299999999999</v>
      </c>
      <c r="AM80">
        <f t="shared" si="19"/>
        <v>10.8001545709</v>
      </c>
      <c r="AP80" s="9"/>
      <c r="AQ80" s="21">
        <v>0.277557</v>
      </c>
      <c r="AR80" s="21">
        <v>57.692300000000003</v>
      </c>
      <c r="AS80" s="21">
        <v>-4.2489600000000002E-2</v>
      </c>
      <c r="AT80" s="21">
        <v>70</v>
      </c>
      <c r="AU80" s="21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1">
        <v>0.25253300000000001</v>
      </c>
      <c r="AZ80" s="21">
        <v>60.840899999999998</v>
      </c>
      <c r="BA80" s="21">
        <v>-4.2806999999999998E-2</v>
      </c>
      <c r="BB80" s="21">
        <v>70</v>
      </c>
      <c r="BC80" s="21">
        <v>0.251251</v>
      </c>
      <c r="BD80">
        <f t="shared" si="22"/>
        <v>42.806999999999995</v>
      </c>
      <c r="BE80">
        <f t="shared" si="23"/>
        <v>10.810180130999999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0.27252199999999999</v>
      </c>
      <c r="H81" s="21">
        <v>47.5261</v>
      </c>
      <c r="I81" s="21">
        <v>-4.25537E-2</v>
      </c>
      <c r="J81" s="21">
        <v>71</v>
      </c>
      <c r="K81" s="21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1">
        <v>0.25756800000000002</v>
      </c>
      <c r="P81" s="21">
        <v>50.166699999999999</v>
      </c>
      <c r="Q81" s="21">
        <v>-4.2697100000000002E-2</v>
      </c>
      <c r="R81" s="21">
        <v>71</v>
      </c>
      <c r="S81" s="21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1">
        <v>0.27252199999999999</v>
      </c>
      <c r="Z81" s="21">
        <v>52.557299999999998</v>
      </c>
      <c r="AA81" s="21">
        <v>-4.25812E-2</v>
      </c>
      <c r="AB81" s="21">
        <v>71</v>
      </c>
      <c r="AC81" s="21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1">
        <v>0.25756800000000002</v>
      </c>
      <c r="AH81" s="21">
        <v>55.028799999999997</v>
      </c>
      <c r="AI81" s="21">
        <v>-4.2709400000000002E-2</v>
      </c>
      <c r="AJ81" s="21">
        <v>71</v>
      </c>
      <c r="AK81" s="21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1">
        <v>0.27252199999999999</v>
      </c>
      <c r="AR81" s="21">
        <v>57.702399999999997</v>
      </c>
      <c r="AS81" s="21">
        <v>-4.2559800000000002E-2</v>
      </c>
      <c r="AT81" s="21">
        <v>71</v>
      </c>
      <c r="AU81" s="21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1">
        <v>0.25756800000000002</v>
      </c>
      <c r="AZ81" s="21">
        <v>60.850999999999999</v>
      </c>
      <c r="BA81" s="21">
        <v>-4.2745999999999999E-2</v>
      </c>
      <c r="BB81" s="21">
        <v>71</v>
      </c>
      <c r="BC81" s="21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0.26748699999999997</v>
      </c>
      <c r="H82" s="21">
        <v>47.536200000000001</v>
      </c>
      <c r="I82" s="21">
        <v>-4.2608600000000003E-2</v>
      </c>
      <c r="J82" s="21">
        <v>72</v>
      </c>
      <c r="K82" s="21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1">
        <v>0.262604</v>
      </c>
      <c r="P82" s="21">
        <v>50.1768</v>
      </c>
      <c r="Q82" s="21">
        <v>-4.2642199999999998E-2</v>
      </c>
      <c r="R82" s="21">
        <v>72</v>
      </c>
      <c r="S82" s="21">
        <v>0.261353</v>
      </c>
      <c r="T82">
        <f t="shared" si="14"/>
        <v>42.642199999999995</v>
      </c>
      <c r="U82">
        <f t="shared" si="15"/>
        <v>11.198012288799999</v>
      </c>
      <c r="X82" s="9"/>
      <c r="Y82" s="21">
        <v>0.26748699999999997</v>
      </c>
      <c r="Z82" s="21">
        <v>52.567300000000003</v>
      </c>
      <c r="AA82" s="21">
        <v>-4.2636100000000003E-2</v>
      </c>
      <c r="AB82" s="21">
        <v>72</v>
      </c>
      <c r="AC82" s="21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1">
        <v>0.262604</v>
      </c>
      <c r="AH82" s="21">
        <v>55.038899999999998</v>
      </c>
      <c r="AI82" s="21">
        <v>-4.2654400000000002E-2</v>
      </c>
      <c r="AJ82" s="21">
        <v>72</v>
      </c>
      <c r="AK82" s="21">
        <v>0.261353</v>
      </c>
      <c r="AL82">
        <f t="shared" si="18"/>
        <v>42.654400000000003</v>
      </c>
      <c r="AM82">
        <f t="shared" si="19"/>
        <v>11.201216057600002</v>
      </c>
      <c r="AP82" s="9"/>
      <c r="AQ82" s="21">
        <v>0.26748699999999997</v>
      </c>
      <c r="AR82" s="21">
        <v>57.712499999999999</v>
      </c>
      <c r="AS82" s="21">
        <v>-4.2626999999999998E-2</v>
      </c>
      <c r="AT82" s="21">
        <v>72</v>
      </c>
      <c r="AU82" s="21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1">
        <v>0.262604</v>
      </c>
      <c r="AZ82" s="21">
        <v>60.8611</v>
      </c>
      <c r="BA82" s="21">
        <v>-4.2684899999999998E-2</v>
      </c>
      <c r="BB82" s="21">
        <v>72</v>
      </c>
      <c r="BC82" s="21">
        <v>0.261322</v>
      </c>
      <c r="BD82">
        <f t="shared" si="22"/>
        <v>42.684899999999999</v>
      </c>
      <c r="BE82">
        <f t="shared" si="23"/>
        <v>11.209225479600001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0.26245099999999999</v>
      </c>
      <c r="H83" s="21">
        <v>47.546300000000002</v>
      </c>
      <c r="I83" s="21">
        <v>-4.2663600000000003E-2</v>
      </c>
      <c r="J83" s="21">
        <v>73</v>
      </c>
      <c r="K83" s="21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1">
        <v>0.26763900000000002</v>
      </c>
      <c r="P83" s="21">
        <v>50.186799999999998</v>
      </c>
      <c r="Q83" s="21">
        <v>-4.2584200000000003E-2</v>
      </c>
      <c r="R83" s="21">
        <v>73</v>
      </c>
      <c r="S83" s="21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1">
        <v>0.26245099999999999</v>
      </c>
      <c r="Z83" s="21">
        <v>52.577399999999997</v>
      </c>
      <c r="AA83" s="21">
        <v>-4.2687999999999997E-2</v>
      </c>
      <c r="AB83" s="21">
        <v>73</v>
      </c>
      <c r="AC83" s="21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1">
        <v>0.26763900000000002</v>
      </c>
      <c r="AH83" s="21">
        <v>55.048999999999999</v>
      </c>
      <c r="AI83" s="21">
        <v>-4.2590299999999998E-2</v>
      </c>
      <c r="AJ83" s="21">
        <v>73</v>
      </c>
      <c r="AK83" s="21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1">
        <v>0.26245099999999999</v>
      </c>
      <c r="AR83" s="21">
        <v>57.722499999999997</v>
      </c>
      <c r="AS83" s="21">
        <v>-4.2694099999999999E-2</v>
      </c>
      <c r="AT83" s="21">
        <v>73</v>
      </c>
      <c r="AU83" s="21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1">
        <v>0.26763900000000002</v>
      </c>
      <c r="AZ83" s="21">
        <v>60.871099999999998</v>
      </c>
      <c r="BA83" s="21">
        <v>-4.2626999999999998E-2</v>
      </c>
      <c r="BB83" s="21">
        <v>73</v>
      </c>
      <c r="BC83" s="21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0.25741599999999998</v>
      </c>
      <c r="H84" s="21">
        <v>47.556399999999996</v>
      </c>
      <c r="I84" s="21">
        <v>-4.2709400000000002E-2</v>
      </c>
      <c r="J84" s="21">
        <v>74</v>
      </c>
      <c r="K84" s="21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1">
        <v>0.272675</v>
      </c>
      <c r="P84" s="21">
        <v>50.196899999999999</v>
      </c>
      <c r="Q84" s="21">
        <v>-4.2520099999999998E-2</v>
      </c>
      <c r="R84" s="21">
        <v>74</v>
      </c>
      <c r="S84" s="21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1">
        <v>0.25741599999999998</v>
      </c>
      <c r="Z84" s="21">
        <v>52.587499999999999</v>
      </c>
      <c r="AA84" s="21">
        <v>-4.2739899999999997E-2</v>
      </c>
      <c r="AB84" s="21">
        <v>74</v>
      </c>
      <c r="AC84" s="21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1">
        <v>0.272675</v>
      </c>
      <c r="AH84" s="21">
        <v>55.058999999999997</v>
      </c>
      <c r="AI84" s="21">
        <v>-4.2529299999999999E-2</v>
      </c>
      <c r="AJ84" s="21">
        <v>74</v>
      </c>
      <c r="AK84" s="21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1">
        <v>0.25741599999999998</v>
      </c>
      <c r="AR84" s="21">
        <v>57.732599999999998</v>
      </c>
      <c r="AS84" s="21">
        <v>-4.2758200000000003E-2</v>
      </c>
      <c r="AT84" s="21">
        <v>74</v>
      </c>
      <c r="AU84" s="21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1">
        <v>0.272675</v>
      </c>
      <c r="AZ84" s="21">
        <v>60.8812</v>
      </c>
      <c r="BA84" s="21">
        <v>-4.2556799999999999E-2</v>
      </c>
      <c r="BB84" s="21">
        <v>74</v>
      </c>
      <c r="BC84" s="21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0.25237999999999999</v>
      </c>
      <c r="H85" s="21">
        <v>47.566400000000002</v>
      </c>
      <c r="I85" s="21">
        <v>-4.2752100000000001E-2</v>
      </c>
      <c r="J85" s="21">
        <v>75</v>
      </c>
      <c r="K85" s="21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1">
        <v>0.27771000000000001</v>
      </c>
      <c r="P85" s="21">
        <v>50.207000000000001</v>
      </c>
      <c r="Q85" s="21">
        <v>-4.24683E-2</v>
      </c>
      <c r="R85" s="21">
        <v>75</v>
      </c>
      <c r="S85" s="21">
        <v>0.27658100000000002</v>
      </c>
      <c r="T85">
        <f t="shared" si="14"/>
        <v>42.468299999999999</v>
      </c>
      <c r="U85">
        <f t="shared" si="15"/>
        <v>11.793871593</v>
      </c>
      <c r="X85" s="9"/>
      <c r="Y85" s="21">
        <v>0.25237999999999999</v>
      </c>
      <c r="Z85" s="21">
        <v>52.597499999999997</v>
      </c>
      <c r="AA85" s="21">
        <v>-4.2794800000000001E-2</v>
      </c>
      <c r="AB85" s="21">
        <v>75</v>
      </c>
      <c r="AC85" s="21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1">
        <v>0.27771000000000001</v>
      </c>
      <c r="AH85" s="21">
        <v>55.069099999999999</v>
      </c>
      <c r="AI85" s="21">
        <v>-4.2477399999999998E-2</v>
      </c>
      <c r="AJ85" s="21">
        <v>75</v>
      </c>
      <c r="AK85" s="21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1">
        <v>0.25237999999999999</v>
      </c>
      <c r="AR85" s="21">
        <v>57.742699999999999</v>
      </c>
      <c r="AS85" s="21">
        <v>-4.28131E-2</v>
      </c>
      <c r="AT85" s="21">
        <v>75</v>
      </c>
      <c r="AU85" s="21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1">
        <v>0.27771000000000001</v>
      </c>
      <c r="AZ85" s="21">
        <v>60.891300000000001</v>
      </c>
      <c r="BA85" s="21">
        <v>-4.2492700000000001E-2</v>
      </c>
      <c r="BB85" s="21">
        <v>75</v>
      </c>
      <c r="BC85" s="21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0.24734500000000001</v>
      </c>
      <c r="H86" s="21">
        <v>47.576500000000003</v>
      </c>
      <c r="I86" s="21">
        <v>-4.27979E-2</v>
      </c>
      <c r="J86" s="21">
        <v>76</v>
      </c>
      <c r="K86" s="21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1">
        <v>0.28274500000000002</v>
      </c>
      <c r="P86" s="21">
        <v>50.217100000000002</v>
      </c>
      <c r="Q86" s="21">
        <v>-4.2398100000000001E-2</v>
      </c>
      <c r="R86" s="21">
        <v>76</v>
      </c>
      <c r="S86" s="21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1">
        <v>0.24734500000000001</v>
      </c>
      <c r="Z86" s="21">
        <v>52.607599999999998</v>
      </c>
      <c r="AA86" s="21">
        <v>-4.28406E-2</v>
      </c>
      <c r="AB86" s="21">
        <v>76</v>
      </c>
      <c r="AC86" s="21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1">
        <v>0.28274500000000002</v>
      </c>
      <c r="AH86" s="21">
        <v>55.0792</v>
      </c>
      <c r="AI86" s="21">
        <v>-4.2422500000000002E-2</v>
      </c>
      <c r="AJ86" s="21">
        <v>76</v>
      </c>
      <c r="AK86" s="21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1">
        <v>0.24734500000000001</v>
      </c>
      <c r="AR86" s="21">
        <v>57.752800000000001</v>
      </c>
      <c r="AS86" s="21">
        <v>-4.2855799999999999E-2</v>
      </c>
      <c r="AT86" s="21">
        <v>76</v>
      </c>
      <c r="AU86" s="21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1">
        <v>0.28274500000000002</v>
      </c>
      <c r="AZ86" s="21">
        <v>60.901299999999999</v>
      </c>
      <c r="BA86" s="21">
        <v>-4.2434699999999999E-2</v>
      </c>
      <c r="BB86" s="21">
        <v>76</v>
      </c>
      <c r="BC86" s="21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0.24231</v>
      </c>
      <c r="H87" s="21">
        <v>47.586599999999997</v>
      </c>
      <c r="I87" s="21">
        <v>-4.2837500000000001E-2</v>
      </c>
      <c r="J87" s="21">
        <v>77</v>
      </c>
      <c r="K87" s="21">
        <v>0.24102799999999999</v>
      </c>
      <c r="L87">
        <f t="shared" si="12"/>
        <v>42.837499999999999</v>
      </c>
      <c r="M87">
        <f t="shared" si="13"/>
        <v>10.379954625</v>
      </c>
      <c r="N87" s="9"/>
      <c r="O87" s="21">
        <v>0.28778100000000001</v>
      </c>
      <c r="P87" s="21">
        <v>50.2271</v>
      </c>
      <c r="Q87" s="21">
        <v>-4.2327900000000002E-2</v>
      </c>
      <c r="R87" s="21">
        <v>77</v>
      </c>
      <c r="S87" s="21">
        <v>0.28655999999999998</v>
      </c>
      <c r="T87">
        <f t="shared" si="14"/>
        <v>42.3279</v>
      </c>
      <c r="U87">
        <f t="shared" si="15"/>
        <v>12.1811653899</v>
      </c>
      <c r="X87" s="9"/>
      <c r="Y87" s="21">
        <v>0.24231</v>
      </c>
      <c r="Z87" s="21">
        <v>52.617699999999999</v>
      </c>
      <c r="AA87" s="21">
        <v>-4.2895500000000003E-2</v>
      </c>
      <c r="AB87" s="21">
        <v>77</v>
      </c>
      <c r="AC87" s="21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1">
        <v>0.28778100000000001</v>
      </c>
      <c r="AH87" s="21">
        <v>55.089300000000001</v>
      </c>
      <c r="AI87" s="21">
        <v>-4.23737E-2</v>
      </c>
      <c r="AJ87" s="21">
        <v>77</v>
      </c>
      <c r="AK87" s="21">
        <v>0.286499</v>
      </c>
      <c r="AL87">
        <f t="shared" si="18"/>
        <v>42.373699999999999</v>
      </c>
      <c r="AM87">
        <f t="shared" si="19"/>
        <v>12.194345759700001</v>
      </c>
      <c r="AP87" s="9"/>
      <c r="AQ87" s="21">
        <v>0.24231</v>
      </c>
      <c r="AR87" s="21">
        <v>57.762799999999999</v>
      </c>
      <c r="AS87" s="21">
        <v>-4.28925E-2</v>
      </c>
      <c r="AT87" s="21">
        <v>77</v>
      </c>
      <c r="AU87" s="21">
        <v>0.241089</v>
      </c>
      <c r="AV87">
        <f t="shared" si="20"/>
        <v>42.892499999999998</v>
      </c>
      <c r="AW87">
        <f t="shared" si="21"/>
        <v>10.393281674999999</v>
      </c>
      <c r="AX87" s="9"/>
      <c r="AY87" s="21">
        <v>0.28778100000000001</v>
      </c>
      <c r="AZ87" s="21">
        <v>60.9114</v>
      </c>
      <c r="BA87" s="21">
        <v>-4.2376700000000003E-2</v>
      </c>
      <c r="BB87" s="21">
        <v>77</v>
      </c>
      <c r="BC87" s="21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0.23727400000000001</v>
      </c>
      <c r="H88" s="21">
        <v>47.596600000000002</v>
      </c>
      <c r="I88" s="21">
        <v>-4.28802E-2</v>
      </c>
      <c r="J88" s="21">
        <v>78</v>
      </c>
      <c r="K88" s="21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1">
        <v>0.29281600000000002</v>
      </c>
      <c r="P88" s="21">
        <v>50.237200000000001</v>
      </c>
      <c r="Q88" s="21">
        <v>-4.2263799999999997E-2</v>
      </c>
      <c r="R88" s="21">
        <v>78</v>
      </c>
      <c r="S88" s="21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1">
        <v>0.23727400000000001</v>
      </c>
      <c r="Z88" s="21">
        <v>52.627800000000001</v>
      </c>
      <c r="AA88" s="21">
        <v>-4.2941300000000002E-2</v>
      </c>
      <c r="AB88" s="21">
        <v>78</v>
      </c>
      <c r="AC88" s="21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1">
        <v>0.29281600000000002</v>
      </c>
      <c r="AH88" s="21">
        <v>55.099299999999999</v>
      </c>
      <c r="AI88" s="21">
        <v>-4.2312599999999999E-2</v>
      </c>
      <c r="AJ88" s="21">
        <v>78</v>
      </c>
      <c r="AK88" s="21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1">
        <v>0.23727400000000001</v>
      </c>
      <c r="AR88" s="21">
        <v>57.7729</v>
      </c>
      <c r="AS88" s="21">
        <v>-4.2944299999999998E-2</v>
      </c>
      <c r="AT88" s="21">
        <v>78</v>
      </c>
      <c r="AU88" s="21">
        <v>0.235931</v>
      </c>
      <c r="AV88">
        <f t="shared" si="20"/>
        <v>42.944299999999998</v>
      </c>
      <c r="AW88">
        <f t="shared" si="21"/>
        <v>10.1895658382</v>
      </c>
      <c r="AX88" s="9"/>
      <c r="AY88" s="21">
        <v>0.29281600000000002</v>
      </c>
      <c r="AZ88" s="21">
        <v>60.921500000000002</v>
      </c>
      <c r="BA88" s="21">
        <v>-4.2297399999999999E-2</v>
      </c>
      <c r="BB88" s="21">
        <v>78</v>
      </c>
      <c r="BC88" s="21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0.232239</v>
      </c>
      <c r="H89" s="21">
        <v>47.606699999999996</v>
      </c>
      <c r="I89" s="21">
        <v>-4.2925999999999999E-2</v>
      </c>
      <c r="J89" s="21">
        <v>79</v>
      </c>
      <c r="K89" s="21">
        <v>0.230957</v>
      </c>
      <c r="L89">
        <f t="shared" si="12"/>
        <v>42.926000000000002</v>
      </c>
      <c r="M89">
        <f t="shared" si="13"/>
        <v>9.9690913139999999</v>
      </c>
      <c r="N89" s="9"/>
      <c r="O89" s="21">
        <v>0.29785200000000001</v>
      </c>
      <c r="P89" s="21">
        <v>50.247300000000003</v>
      </c>
      <c r="Q89" s="21">
        <v>-4.2196699999999997E-2</v>
      </c>
      <c r="R89" s="21">
        <v>79</v>
      </c>
      <c r="S89" s="21">
        <v>0.29666100000000001</v>
      </c>
      <c r="T89">
        <f t="shared" si="14"/>
        <v>42.1967</v>
      </c>
      <c r="U89">
        <f t="shared" si="15"/>
        <v>12.5683714884</v>
      </c>
      <c r="X89" s="9"/>
      <c r="Y89" s="21">
        <v>0.232239</v>
      </c>
      <c r="Z89" s="21">
        <v>52.637799999999999</v>
      </c>
      <c r="AA89" s="21">
        <v>-4.2984000000000001E-2</v>
      </c>
      <c r="AB89" s="21">
        <v>79</v>
      </c>
      <c r="AC89" s="21">
        <v>0.231049</v>
      </c>
      <c r="AD89">
        <f t="shared" si="16"/>
        <v>42.984000000000002</v>
      </c>
      <c r="AE89">
        <f t="shared" si="17"/>
        <v>9.9825611760000008</v>
      </c>
      <c r="AF89" s="9"/>
      <c r="AG89" s="21">
        <v>0.29785200000000001</v>
      </c>
      <c r="AH89" s="21">
        <v>55.109400000000001</v>
      </c>
      <c r="AI89" s="21">
        <v>-4.2239400000000003E-2</v>
      </c>
      <c r="AJ89" s="21">
        <v>79</v>
      </c>
      <c r="AK89" s="21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1">
        <v>0.232239</v>
      </c>
      <c r="AR89" s="21">
        <v>57.783000000000001</v>
      </c>
      <c r="AS89" s="21">
        <v>-4.2984000000000001E-2</v>
      </c>
      <c r="AT89" s="21">
        <v>79</v>
      </c>
      <c r="AU89" s="21">
        <v>0.230957</v>
      </c>
      <c r="AV89">
        <f t="shared" si="20"/>
        <v>42.984000000000002</v>
      </c>
      <c r="AW89">
        <f t="shared" si="21"/>
        <v>9.9825611760000008</v>
      </c>
      <c r="AX89" s="9"/>
      <c r="AY89" s="21">
        <v>0.29785200000000001</v>
      </c>
      <c r="AZ89" s="21">
        <v>60.931600000000003</v>
      </c>
      <c r="BA89" s="21">
        <v>-4.2230200000000002E-2</v>
      </c>
      <c r="BB89" s="21">
        <v>79</v>
      </c>
      <c r="BC89" s="21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0.22720299999999999</v>
      </c>
      <c r="H90" s="21">
        <v>47.616799999999998</v>
      </c>
      <c r="I90" s="21">
        <v>-4.2968800000000001E-2</v>
      </c>
      <c r="J90" s="21">
        <v>80</v>
      </c>
      <c r="K90" s="21">
        <v>0.22586100000000001</v>
      </c>
      <c r="L90">
        <f t="shared" si="12"/>
        <v>42.968800000000002</v>
      </c>
      <c r="M90">
        <f t="shared" si="13"/>
        <v>9.7626402664</v>
      </c>
      <c r="N90" s="9"/>
      <c r="O90" s="21">
        <v>0.30288700000000002</v>
      </c>
      <c r="P90" s="21">
        <v>50.257300000000001</v>
      </c>
      <c r="Q90" s="21">
        <v>-4.2144800000000003E-2</v>
      </c>
      <c r="R90" s="21">
        <v>80</v>
      </c>
      <c r="S90" s="21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1">
        <v>0.22720299999999999</v>
      </c>
      <c r="Z90" s="21">
        <v>52.6479</v>
      </c>
      <c r="AA90" s="21">
        <v>-4.3035900000000002E-2</v>
      </c>
      <c r="AB90" s="21">
        <v>80</v>
      </c>
      <c r="AC90" s="21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1">
        <v>0.30288700000000002</v>
      </c>
      <c r="AH90" s="21">
        <v>55.119500000000002</v>
      </c>
      <c r="AI90" s="21">
        <v>-4.2160000000000003E-2</v>
      </c>
      <c r="AJ90" s="21">
        <v>80</v>
      </c>
      <c r="AK90" s="21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1">
        <v>0.22720299999999999</v>
      </c>
      <c r="AR90" s="21">
        <v>57.792999999999999</v>
      </c>
      <c r="AS90" s="21">
        <v>-4.3023699999999998E-2</v>
      </c>
      <c r="AT90" s="21">
        <v>80</v>
      </c>
      <c r="AU90" s="21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1">
        <v>0.30288700000000002</v>
      </c>
      <c r="AZ90" s="21">
        <v>60.941600000000001</v>
      </c>
      <c r="BA90" s="21">
        <v>-4.2163100000000002E-2</v>
      </c>
      <c r="BB90" s="21">
        <v>80</v>
      </c>
      <c r="BC90" s="21">
        <v>0.30163600000000002</v>
      </c>
      <c r="BD90">
        <f t="shared" si="22"/>
        <v>42.1631</v>
      </c>
      <c r="BE90">
        <f t="shared" si="23"/>
        <v>12.770654869700001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0.222168</v>
      </c>
      <c r="H91" s="21">
        <v>47.626800000000003</v>
      </c>
      <c r="I91" s="21">
        <v>-4.2993200000000002E-2</v>
      </c>
      <c r="J91" s="21">
        <v>81</v>
      </c>
      <c r="K91" s="21">
        <v>0.220947</v>
      </c>
      <c r="L91">
        <f t="shared" si="12"/>
        <v>42.993200000000002</v>
      </c>
      <c r="M91">
        <f t="shared" si="13"/>
        <v>9.5517132576000012</v>
      </c>
      <c r="N91" s="9"/>
      <c r="O91" s="21">
        <v>0.30792199999999997</v>
      </c>
      <c r="P91" s="21">
        <v>50.267400000000002</v>
      </c>
      <c r="Q91" s="21">
        <v>-4.20776E-2</v>
      </c>
      <c r="R91" s="21">
        <v>81</v>
      </c>
      <c r="S91" s="21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1">
        <v>0.222168</v>
      </c>
      <c r="Z91" s="21">
        <v>52.658000000000001</v>
      </c>
      <c r="AA91" s="21">
        <v>-4.30725E-2</v>
      </c>
      <c r="AB91" s="21">
        <v>81</v>
      </c>
      <c r="AC91" s="21">
        <v>0.220917</v>
      </c>
      <c r="AD91">
        <f t="shared" si="16"/>
        <v>43.072499999999998</v>
      </c>
      <c r="AE91">
        <f t="shared" si="17"/>
        <v>9.5693311799999989</v>
      </c>
      <c r="AF91" s="9"/>
      <c r="AG91" s="21">
        <v>0.30792199999999997</v>
      </c>
      <c r="AH91" s="21">
        <v>55.1295</v>
      </c>
      <c r="AI91" s="21">
        <v>-4.2086800000000001E-2</v>
      </c>
      <c r="AJ91" s="21">
        <v>81</v>
      </c>
      <c r="AK91" s="21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1">
        <v>0.222168</v>
      </c>
      <c r="AR91" s="21">
        <v>57.803100000000001</v>
      </c>
      <c r="AS91" s="21">
        <v>-4.3060300000000003E-2</v>
      </c>
      <c r="AT91" s="21">
        <v>81</v>
      </c>
      <c r="AU91" s="21">
        <v>0.220856</v>
      </c>
      <c r="AV91">
        <f t="shared" si="20"/>
        <v>43.060300000000005</v>
      </c>
      <c r="AW91">
        <f t="shared" si="21"/>
        <v>9.5666207304000022</v>
      </c>
      <c r="AX91" s="9"/>
      <c r="AY91" s="21">
        <v>0.30792199999999997</v>
      </c>
      <c r="AZ91" s="21">
        <v>60.951700000000002</v>
      </c>
      <c r="BA91" s="21">
        <v>-4.2092900000000003E-2</v>
      </c>
      <c r="BB91" s="21">
        <v>81</v>
      </c>
      <c r="BC91" s="21">
        <v>0.30667100000000003</v>
      </c>
      <c r="BD91">
        <f t="shared" si="22"/>
        <v>42.0929</v>
      </c>
      <c r="BE91">
        <f t="shared" si="23"/>
        <v>12.961329953799998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0.21713299999999999</v>
      </c>
      <c r="H92" s="21">
        <v>47.636899999999997</v>
      </c>
      <c r="I92" s="21">
        <v>-4.3023699999999998E-2</v>
      </c>
      <c r="J92" s="21">
        <v>82</v>
      </c>
      <c r="K92" s="21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1">
        <v>0.31295800000000001</v>
      </c>
      <c r="P92" s="21">
        <v>50.277500000000003</v>
      </c>
      <c r="Q92" s="21">
        <v>-4.1998300000000002E-2</v>
      </c>
      <c r="R92" s="21">
        <v>82</v>
      </c>
      <c r="S92" s="21">
        <v>0.31167600000000001</v>
      </c>
      <c r="T92">
        <f t="shared" si="14"/>
        <v>41.9983</v>
      </c>
      <c r="U92">
        <f t="shared" si="15"/>
        <v>13.143703971400001</v>
      </c>
      <c r="X92" s="9"/>
      <c r="Y92" s="21">
        <v>0.21713299999999999</v>
      </c>
      <c r="Z92" s="21">
        <v>52.667999999999999</v>
      </c>
      <c r="AA92" s="21">
        <v>-4.3106100000000001E-2</v>
      </c>
      <c r="AB92" s="21">
        <v>82</v>
      </c>
      <c r="AC92" s="21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1">
        <v>0.31295800000000001</v>
      </c>
      <c r="AH92" s="21">
        <v>55.139600000000002</v>
      </c>
      <c r="AI92" s="21">
        <v>-4.20074E-2</v>
      </c>
      <c r="AJ92" s="21">
        <v>82</v>
      </c>
      <c r="AK92" s="21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1">
        <v>0.21713299999999999</v>
      </c>
      <c r="AR92" s="21">
        <v>57.813200000000002</v>
      </c>
      <c r="AS92" s="21">
        <v>-4.3099999999999999E-2</v>
      </c>
      <c r="AT92" s="21">
        <v>82</v>
      </c>
      <c r="AU92" s="21">
        <v>0.21591199999999999</v>
      </c>
      <c r="AV92">
        <f t="shared" si="20"/>
        <v>43.1</v>
      </c>
      <c r="AW92">
        <f t="shared" si="21"/>
        <v>9.3584323000000005</v>
      </c>
      <c r="AX92" s="9"/>
      <c r="AY92" s="21">
        <v>0.31295800000000001</v>
      </c>
      <c r="AZ92" s="21">
        <v>60.961799999999997</v>
      </c>
      <c r="BA92" s="21">
        <v>-4.20197E-2</v>
      </c>
      <c r="BB92" s="21">
        <v>82</v>
      </c>
      <c r="BC92" s="21">
        <v>0.31173699999999999</v>
      </c>
      <c r="BD92">
        <f t="shared" si="22"/>
        <v>42.0197</v>
      </c>
      <c r="BE92">
        <f t="shared" si="23"/>
        <v>13.1504012726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0.21209700000000001</v>
      </c>
      <c r="H93" s="21">
        <v>47.646999999999998</v>
      </c>
      <c r="I93" s="21">
        <v>-4.3060300000000003E-2</v>
      </c>
      <c r="J93" s="21">
        <v>83</v>
      </c>
      <c r="K93" s="21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1">
        <v>0.31799300000000003</v>
      </c>
      <c r="P93" s="21">
        <v>50.287599999999998</v>
      </c>
      <c r="Q93" s="21">
        <v>-4.1922000000000001E-2</v>
      </c>
      <c r="R93" s="21">
        <v>83</v>
      </c>
      <c r="S93" s="21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1">
        <v>0.21209700000000001</v>
      </c>
      <c r="Z93" s="21">
        <v>52.678100000000001</v>
      </c>
      <c r="AA93" s="21">
        <v>-4.3133499999999998E-2</v>
      </c>
      <c r="AB93" s="21">
        <v>83</v>
      </c>
      <c r="AC93" s="21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1">
        <v>0.31799300000000003</v>
      </c>
      <c r="AH93" s="21">
        <v>55.149700000000003</v>
      </c>
      <c r="AI93" s="21">
        <v>-4.1928100000000003E-2</v>
      </c>
      <c r="AJ93" s="21">
        <v>83</v>
      </c>
      <c r="AK93" s="21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1">
        <v>0.21209700000000001</v>
      </c>
      <c r="AR93" s="21">
        <v>57.823300000000003</v>
      </c>
      <c r="AS93" s="21">
        <v>-4.3130500000000002E-2</v>
      </c>
      <c r="AT93" s="21">
        <v>83</v>
      </c>
      <c r="AU93" s="21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1">
        <v>0.31799300000000003</v>
      </c>
      <c r="AZ93" s="21">
        <v>60.971800000000002</v>
      </c>
      <c r="BA93" s="21">
        <v>-4.1943399999999999E-2</v>
      </c>
      <c r="BB93" s="21">
        <v>83</v>
      </c>
      <c r="BC93" s="21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0.207062</v>
      </c>
      <c r="H94" s="21">
        <v>47.6571</v>
      </c>
      <c r="I94" s="21">
        <v>-4.30969E-2</v>
      </c>
      <c r="J94" s="21">
        <v>84</v>
      </c>
      <c r="K94" s="21">
        <v>0.205872</v>
      </c>
      <c r="L94">
        <f t="shared" si="12"/>
        <v>43.096899999999998</v>
      </c>
      <c r="M94">
        <f t="shared" si="13"/>
        <v>8.9237303077999997</v>
      </c>
      <c r="N94" s="9"/>
      <c r="O94" s="21">
        <v>0.32302900000000001</v>
      </c>
      <c r="P94" s="21">
        <v>50.297600000000003</v>
      </c>
      <c r="Q94" s="21">
        <v>-4.18457E-2</v>
      </c>
      <c r="R94" s="21">
        <v>84</v>
      </c>
      <c r="S94" s="21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1">
        <v>0.207062</v>
      </c>
      <c r="Z94" s="21">
        <v>52.688200000000002</v>
      </c>
      <c r="AA94" s="21">
        <v>-4.3164099999999997E-2</v>
      </c>
      <c r="AB94" s="21">
        <v>84</v>
      </c>
      <c r="AC94" s="21">
        <v>0.205841</v>
      </c>
      <c r="AD94">
        <f t="shared" si="16"/>
        <v>43.164099999999998</v>
      </c>
      <c r="AE94">
        <f t="shared" si="17"/>
        <v>8.9376448742000001</v>
      </c>
      <c r="AF94" s="9"/>
      <c r="AG94" s="21">
        <v>0.32302900000000001</v>
      </c>
      <c r="AH94" s="21">
        <v>55.159799999999997</v>
      </c>
      <c r="AI94" s="21">
        <v>-4.1848799999999999E-2</v>
      </c>
      <c r="AJ94" s="21">
        <v>84</v>
      </c>
      <c r="AK94" s="21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1">
        <v>0.207062</v>
      </c>
      <c r="AR94" s="21">
        <v>57.833300000000001</v>
      </c>
      <c r="AS94" s="21">
        <v>-4.3158000000000002E-2</v>
      </c>
      <c r="AT94" s="21">
        <v>84</v>
      </c>
      <c r="AU94" s="21">
        <v>0.205872</v>
      </c>
      <c r="AV94">
        <f t="shared" si="20"/>
        <v>43.158000000000001</v>
      </c>
      <c r="AW94">
        <f t="shared" si="21"/>
        <v>8.9363817960000009</v>
      </c>
      <c r="AX94" s="9"/>
      <c r="AY94" s="21">
        <v>0.32302900000000001</v>
      </c>
      <c r="AZ94" s="21">
        <v>60.981900000000003</v>
      </c>
      <c r="BA94" s="21">
        <v>-4.1857900000000003E-2</v>
      </c>
      <c r="BB94" s="21">
        <v>84</v>
      </c>
      <c r="BC94" s="21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0.20202600000000001</v>
      </c>
      <c r="H95" s="21">
        <v>47.667099999999998</v>
      </c>
      <c r="I95" s="21">
        <v>-4.3145799999999998E-2</v>
      </c>
      <c r="J95" s="21">
        <v>85</v>
      </c>
      <c r="K95" s="21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1">
        <v>0.32806400000000002</v>
      </c>
      <c r="P95" s="21">
        <v>50.307699999999997</v>
      </c>
      <c r="Q95" s="21">
        <v>-4.17755E-2</v>
      </c>
      <c r="R95" s="21">
        <v>85</v>
      </c>
      <c r="S95" s="21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1">
        <v>0.20202600000000001</v>
      </c>
      <c r="Z95" s="21">
        <v>52.698300000000003</v>
      </c>
      <c r="AA95" s="21">
        <v>-4.3197600000000003E-2</v>
      </c>
      <c r="AB95" s="21">
        <v>85</v>
      </c>
      <c r="AC95" s="21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1">
        <v>0.32806400000000002</v>
      </c>
      <c r="AH95" s="21">
        <v>55.169800000000002</v>
      </c>
      <c r="AI95" s="21">
        <v>-4.1766400000000002E-2</v>
      </c>
      <c r="AJ95" s="21">
        <v>85</v>
      </c>
      <c r="AK95" s="21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1">
        <v>0.20202600000000001</v>
      </c>
      <c r="AR95" s="21">
        <v>57.843400000000003</v>
      </c>
      <c r="AS95" s="21">
        <v>-4.3191500000000001E-2</v>
      </c>
      <c r="AT95" s="21">
        <v>85</v>
      </c>
      <c r="AU95" s="21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1">
        <v>0.32806400000000002</v>
      </c>
      <c r="AZ95" s="21">
        <v>60.991999999999997</v>
      </c>
      <c r="BA95" s="21">
        <v>-4.1778599999999999E-2</v>
      </c>
      <c r="BB95" s="21">
        <v>85</v>
      </c>
      <c r="BC95" s="21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0.196991</v>
      </c>
      <c r="H96" s="21">
        <v>47.677199999999999</v>
      </c>
      <c r="I96" s="21">
        <v>-4.31946E-2</v>
      </c>
      <c r="J96" s="21">
        <v>86</v>
      </c>
      <c r="K96" s="21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1">
        <v>0.33309899999999998</v>
      </c>
      <c r="P96" s="21">
        <v>50.317799999999998</v>
      </c>
      <c r="Q96" s="21">
        <v>-4.1702299999999998E-2</v>
      </c>
      <c r="R96" s="21">
        <v>86</v>
      </c>
      <c r="S96" s="21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1">
        <v>0.196991</v>
      </c>
      <c r="Z96" s="21">
        <v>52.708300000000001</v>
      </c>
      <c r="AA96" s="21">
        <v>-4.3228099999999998E-2</v>
      </c>
      <c r="AB96" s="21">
        <v>86</v>
      </c>
      <c r="AC96" s="21">
        <v>0.19577</v>
      </c>
      <c r="AD96">
        <f t="shared" si="16"/>
        <v>43.228099999999998</v>
      </c>
      <c r="AE96">
        <f t="shared" si="17"/>
        <v>8.515546647099999</v>
      </c>
      <c r="AF96" s="9"/>
      <c r="AG96" s="21">
        <v>0.33309899999999998</v>
      </c>
      <c r="AH96" s="21">
        <v>55.179900000000004</v>
      </c>
      <c r="AI96" s="21">
        <v>-4.1683999999999999E-2</v>
      </c>
      <c r="AJ96" s="21">
        <v>86</v>
      </c>
      <c r="AK96" s="21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1">
        <v>0.196991</v>
      </c>
      <c r="AR96" s="21">
        <v>57.853499999999997</v>
      </c>
      <c r="AS96" s="21">
        <v>-4.3231199999999997E-2</v>
      </c>
      <c r="AT96" s="21">
        <v>86</v>
      </c>
      <c r="AU96" s="21">
        <v>0.19577</v>
      </c>
      <c r="AV96">
        <f t="shared" si="20"/>
        <v>43.231199999999994</v>
      </c>
      <c r="AW96">
        <f t="shared" si="21"/>
        <v>8.5161573191999995</v>
      </c>
      <c r="AX96" s="9"/>
      <c r="AY96" s="21">
        <v>0.33309899999999998</v>
      </c>
      <c r="AZ96" s="21">
        <v>61.002099999999999</v>
      </c>
      <c r="BA96" s="21">
        <v>-4.1702299999999998E-2</v>
      </c>
      <c r="BB96" s="21">
        <v>86</v>
      </c>
      <c r="BC96" s="21">
        <v>0.331818</v>
      </c>
      <c r="BD96">
        <f t="shared" si="22"/>
        <v>41.702300000000001</v>
      </c>
      <c r="BE96">
        <f t="shared" si="23"/>
        <v>13.890994427699999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0.19195599999999999</v>
      </c>
      <c r="H97" s="21">
        <v>47.6873</v>
      </c>
      <c r="I97" s="21">
        <v>-4.3219E-2</v>
      </c>
      <c r="J97" s="21">
        <v>87</v>
      </c>
      <c r="K97" s="21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1">
        <v>0.33813500000000002</v>
      </c>
      <c r="P97" s="21">
        <v>50.327800000000003</v>
      </c>
      <c r="Q97" s="21">
        <v>-4.1635100000000001E-2</v>
      </c>
      <c r="R97" s="21">
        <v>87</v>
      </c>
      <c r="S97" s="21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1">
        <v>0.19195599999999999</v>
      </c>
      <c r="Z97" s="21">
        <v>52.718400000000003</v>
      </c>
      <c r="AA97" s="21">
        <v>-4.3267800000000002E-2</v>
      </c>
      <c r="AB97" s="21">
        <v>87</v>
      </c>
      <c r="AC97" s="21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1">
        <v>0.33813500000000002</v>
      </c>
      <c r="AH97" s="21">
        <v>55.19</v>
      </c>
      <c r="AI97" s="21">
        <v>-4.1601600000000002E-2</v>
      </c>
      <c r="AJ97" s="21">
        <v>87</v>
      </c>
      <c r="AK97" s="21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1">
        <v>0.19195599999999999</v>
      </c>
      <c r="AR97" s="21">
        <v>57.863500000000002</v>
      </c>
      <c r="AS97" s="21">
        <v>-4.3267800000000002E-2</v>
      </c>
      <c r="AT97" s="21">
        <v>87</v>
      </c>
      <c r="AU97" s="21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1">
        <v>0.33813500000000002</v>
      </c>
      <c r="AZ97" s="21">
        <v>61.012099999999997</v>
      </c>
      <c r="BA97" s="21">
        <v>-4.1616800000000002E-2</v>
      </c>
      <c r="BB97" s="21">
        <v>87</v>
      </c>
      <c r="BC97" s="21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0.18692</v>
      </c>
      <c r="H98" s="21">
        <v>47.697299999999998</v>
      </c>
      <c r="I98" s="21">
        <v>-4.3234300000000003E-2</v>
      </c>
      <c r="J98" s="21">
        <v>88</v>
      </c>
      <c r="K98" s="21">
        <v>0.185608</v>
      </c>
      <c r="L98">
        <f t="shared" si="12"/>
        <v>43.234300000000005</v>
      </c>
      <c r="M98">
        <f t="shared" si="13"/>
        <v>8.0813553560000013</v>
      </c>
      <c r="N98" s="9"/>
      <c r="O98" s="21">
        <v>0.34316999999999998</v>
      </c>
      <c r="P98" s="21">
        <v>50.337899999999998</v>
      </c>
      <c r="Q98" s="21">
        <v>-4.1546600000000003E-2</v>
      </c>
      <c r="R98" s="21">
        <v>88</v>
      </c>
      <c r="S98" s="21">
        <v>0.341949</v>
      </c>
      <c r="T98">
        <f t="shared" si="14"/>
        <v>41.546600000000005</v>
      </c>
      <c r="U98">
        <f t="shared" si="15"/>
        <v>14.257546722000001</v>
      </c>
      <c r="X98" s="9"/>
      <c r="Y98" s="21">
        <v>0.18692</v>
      </c>
      <c r="Z98" s="21">
        <v>52.728499999999997</v>
      </c>
      <c r="AA98" s="21">
        <v>-4.3292200000000003E-2</v>
      </c>
      <c r="AB98" s="21">
        <v>88</v>
      </c>
      <c r="AC98" s="21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1">
        <v>0.34316999999999998</v>
      </c>
      <c r="AH98" s="21">
        <v>55.2</v>
      </c>
      <c r="AI98" s="21">
        <v>-4.1507000000000002E-2</v>
      </c>
      <c r="AJ98" s="21">
        <v>88</v>
      </c>
      <c r="AK98" s="21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1">
        <v>0.18692</v>
      </c>
      <c r="AR98" s="21">
        <v>57.873600000000003</v>
      </c>
      <c r="AS98" s="21">
        <v>-4.3292200000000003E-2</v>
      </c>
      <c r="AT98" s="21">
        <v>88</v>
      </c>
      <c r="AU98" s="21">
        <v>0.185699</v>
      </c>
      <c r="AV98">
        <f t="shared" si="20"/>
        <v>43.292200000000001</v>
      </c>
      <c r="AW98">
        <f t="shared" si="21"/>
        <v>8.0921780240000007</v>
      </c>
      <c r="AX98" s="9"/>
      <c r="AY98" s="21">
        <v>0.34316999999999998</v>
      </c>
      <c r="AZ98" s="21">
        <v>61.022199999999998</v>
      </c>
      <c r="BA98" s="21">
        <v>-4.1525300000000001E-2</v>
      </c>
      <c r="BB98" s="21">
        <v>88</v>
      </c>
      <c r="BC98" s="21">
        <v>0.341949</v>
      </c>
      <c r="BD98">
        <f t="shared" si="22"/>
        <v>41.525300000000001</v>
      </c>
      <c r="BE98">
        <f t="shared" si="23"/>
        <v>14.250237200999999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0.18188499999999999</v>
      </c>
      <c r="H99" s="21">
        <v>47.7074</v>
      </c>
      <c r="I99" s="21">
        <v>-4.32617E-2</v>
      </c>
      <c r="J99" s="21">
        <v>89</v>
      </c>
      <c r="K99" s="21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1">
        <v>0.34820600000000002</v>
      </c>
      <c r="P99" s="21">
        <v>50.347999999999999</v>
      </c>
      <c r="Q99" s="21">
        <v>-4.1452000000000003E-2</v>
      </c>
      <c r="R99" s="21">
        <v>89</v>
      </c>
      <c r="S99" s="21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1">
        <v>0.18188499999999999</v>
      </c>
      <c r="Z99" s="21">
        <v>52.738500000000002</v>
      </c>
      <c r="AA99" s="21">
        <v>-4.3319700000000003E-2</v>
      </c>
      <c r="AB99" s="21">
        <v>89</v>
      </c>
      <c r="AC99" s="21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1">
        <v>0.34820600000000002</v>
      </c>
      <c r="AH99" s="21">
        <v>55.210099999999997</v>
      </c>
      <c r="AI99" s="21">
        <v>-4.1418499999999997E-2</v>
      </c>
      <c r="AJ99" s="21">
        <v>89</v>
      </c>
      <c r="AK99" s="21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1">
        <v>0.18188499999999999</v>
      </c>
      <c r="AR99" s="21">
        <v>57.883699999999997</v>
      </c>
      <c r="AS99" s="21">
        <v>-4.33167E-2</v>
      </c>
      <c r="AT99" s="21">
        <v>89</v>
      </c>
      <c r="AU99" s="21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1">
        <v>0.34820600000000002</v>
      </c>
      <c r="AZ99" s="21">
        <v>61.032299999999999</v>
      </c>
      <c r="BA99" s="21">
        <v>-4.1439799999999999E-2</v>
      </c>
      <c r="BB99" s="21">
        <v>89</v>
      </c>
      <c r="BC99" s="21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0.17684900000000001</v>
      </c>
      <c r="H100" s="21">
        <v>47.717500000000001</v>
      </c>
      <c r="I100" s="21">
        <v>-4.3292200000000003E-2</v>
      </c>
      <c r="J100" s="21">
        <v>90</v>
      </c>
      <c r="K100" s="21">
        <v>0.175568</v>
      </c>
      <c r="L100">
        <f t="shared" si="12"/>
        <v>43.292200000000001</v>
      </c>
      <c r="M100">
        <f t="shared" si="13"/>
        <v>7.6561822778000002</v>
      </c>
      <c r="N100" s="9"/>
      <c r="O100" s="21">
        <v>0.35324100000000003</v>
      </c>
      <c r="P100" s="21">
        <v>50.357999999999997</v>
      </c>
      <c r="Q100" s="21">
        <v>-4.1366600000000003E-2</v>
      </c>
      <c r="R100" s="21">
        <v>90</v>
      </c>
      <c r="S100" s="21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1">
        <v>0.17684900000000001</v>
      </c>
      <c r="Z100" s="21">
        <v>52.748600000000003</v>
      </c>
      <c r="AA100" s="21">
        <v>-4.3347200000000002E-2</v>
      </c>
      <c r="AB100" s="21">
        <v>90</v>
      </c>
      <c r="AC100" s="21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1">
        <v>0.35324100000000003</v>
      </c>
      <c r="AH100" s="21">
        <v>55.220199999999998</v>
      </c>
      <c r="AI100" s="21">
        <v>-4.1336100000000001E-2</v>
      </c>
      <c r="AJ100" s="21">
        <v>90</v>
      </c>
      <c r="AK100" s="21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1">
        <v>0.17684900000000001</v>
      </c>
      <c r="AR100" s="21">
        <v>57.893799999999999</v>
      </c>
      <c r="AS100" s="21">
        <v>-4.33411E-2</v>
      </c>
      <c r="AT100" s="21">
        <v>90</v>
      </c>
      <c r="AU100" s="21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1">
        <v>0.35324100000000003</v>
      </c>
      <c r="AZ100" s="21">
        <v>61.042299999999997</v>
      </c>
      <c r="BA100" s="21">
        <v>-4.1351300000000001E-2</v>
      </c>
      <c r="BB100" s="21">
        <v>90</v>
      </c>
      <c r="BC100" s="21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0.17181399999999999</v>
      </c>
      <c r="H101" s="21">
        <v>47.727600000000002</v>
      </c>
      <c r="I101" s="21">
        <v>-4.3319700000000003E-2</v>
      </c>
      <c r="J101" s="21">
        <v>91</v>
      </c>
      <c r="K101" s="21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1">
        <v>0.35827599999999998</v>
      </c>
      <c r="P101" s="21">
        <v>50.368099999999998</v>
      </c>
      <c r="Q101" s="21">
        <v>-4.1259799999999999E-2</v>
      </c>
      <c r="R101" s="21">
        <v>91</v>
      </c>
      <c r="S101" s="21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1">
        <v>0.17181399999999999</v>
      </c>
      <c r="Z101" s="21">
        <v>52.758699999999997</v>
      </c>
      <c r="AA101" s="21">
        <v>-4.3362400000000002E-2</v>
      </c>
      <c r="AB101" s="21">
        <v>91</v>
      </c>
      <c r="AC101" s="21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1">
        <v>0.35827599999999998</v>
      </c>
      <c r="AH101" s="21">
        <v>55.2303</v>
      </c>
      <c r="AI101" s="21">
        <v>-4.1247600000000002E-2</v>
      </c>
      <c r="AJ101" s="21">
        <v>91</v>
      </c>
      <c r="AK101" s="21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1">
        <v>0.17181399999999999</v>
      </c>
      <c r="AR101" s="21">
        <v>57.903799999999997</v>
      </c>
      <c r="AS101" s="21">
        <v>-4.3353299999999997E-2</v>
      </c>
      <c r="AT101" s="21">
        <v>91</v>
      </c>
      <c r="AU101" s="21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1">
        <v>0.35827599999999998</v>
      </c>
      <c r="AZ101" s="21">
        <v>61.052399999999999</v>
      </c>
      <c r="BA101" s="21">
        <v>-4.1250599999999998E-2</v>
      </c>
      <c r="BB101" s="21">
        <v>91</v>
      </c>
      <c r="BC101" s="21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0.16677900000000001</v>
      </c>
      <c r="H102" s="21">
        <v>47.7376</v>
      </c>
      <c r="I102" s="21">
        <v>-4.3338000000000002E-2</v>
      </c>
      <c r="J102" s="21">
        <v>92</v>
      </c>
      <c r="K102" s="21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1">
        <v>0.36331200000000002</v>
      </c>
      <c r="P102" s="21">
        <v>50.3782</v>
      </c>
      <c r="Q102" s="21">
        <v>-4.1168200000000002E-2</v>
      </c>
      <c r="R102" s="21">
        <v>92</v>
      </c>
      <c r="S102" s="21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1">
        <v>0.16677900000000001</v>
      </c>
      <c r="Z102" s="21">
        <v>52.768799999999999</v>
      </c>
      <c r="AA102" s="21">
        <v>-4.3377699999999998E-2</v>
      </c>
      <c r="AB102" s="21">
        <v>92</v>
      </c>
      <c r="AC102" s="21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1">
        <v>0.36331200000000002</v>
      </c>
      <c r="AH102" s="21">
        <v>55.240299999999998</v>
      </c>
      <c r="AI102" s="21">
        <v>-4.1155999999999998E-2</v>
      </c>
      <c r="AJ102" s="21">
        <v>92</v>
      </c>
      <c r="AK102" s="21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1">
        <v>0.16677900000000001</v>
      </c>
      <c r="AR102" s="21">
        <v>57.913899999999998</v>
      </c>
      <c r="AS102" s="21">
        <v>-4.3365500000000001E-2</v>
      </c>
      <c r="AT102" s="21">
        <v>92</v>
      </c>
      <c r="AU102" s="21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1">
        <v>0.36331200000000002</v>
      </c>
      <c r="AZ102" s="21">
        <v>61.0625</v>
      </c>
      <c r="BA102" s="21">
        <v>-4.1149900000000003E-2</v>
      </c>
      <c r="BB102" s="21">
        <v>92</v>
      </c>
      <c r="BC102" s="21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0.161743</v>
      </c>
      <c r="H103" s="21">
        <v>47.747700000000002</v>
      </c>
      <c r="I103" s="21">
        <v>-4.3359399999999999E-2</v>
      </c>
      <c r="J103" s="21">
        <v>93</v>
      </c>
      <c r="K103" s="21">
        <v>0.160492</v>
      </c>
      <c r="L103">
        <f t="shared" si="12"/>
        <v>43.359400000000001</v>
      </c>
      <c r="M103">
        <f t="shared" si="13"/>
        <v>7.0130794341999998</v>
      </c>
      <c r="N103" s="9"/>
      <c r="O103" s="21">
        <v>0.36834699999999998</v>
      </c>
      <c r="P103" s="21">
        <v>50.388300000000001</v>
      </c>
      <c r="Q103" s="21">
        <v>-4.1058299999999999E-2</v>
      </c>
      <c r="R103" s="21">
        <v>93</v>
      </c>
      <c r="S103" s="21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1">
        <v>0.161743</v>
      </c>
      <c r="Z103" s="21">
        <v>52.778799999999997</v>
      </c>
      <c r="AA103" s="21">
        <v>-4.3405199999999998E-2</v>
      </c>
      <c r="AB103" s="21">
        <v>93</v>
      </c>
      <c r="AC103" s="21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1">
        <v>0.36834699999999998</v>
      </c>
      <c r="AH103" s="21">
        <v>55.250399999999999</v>
      </c>
      <c r="AI103" s="21">
        <v>-4.1061399999999998E-2</v>
      </c>
      <c r="AJ103" s="21">
        <v>93</v>
      </c>
      <c r="AK103" s="21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1">
        <v>0.161743</v>
      </c>
      <c r="AR103" s="21">
        <v>57.923999999999999</v>
      </c>
      <c r="AS103" s="21">
        <v>-4.3380700000000001E-2</v>
      </c>
      <c r="AT103" s="21">
        <v>93</v>
      </c>
      <c r="AU103" s="21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1">
        <v>0.36834699999999998</v>
      </c>
      <c r="AZ103" s="21">
        <v>61.072499999999998</v>
      </c>
      <c r="BA103" s="21">
        <v>-4.1033899999999998E-2</v>
      </c>
      <c r="BB103" s="21">
        <v>93</v>
      </c>
      <c r="BC103" s="21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0.15670799999999999</v>
      </c>
      <c r="H104" s="21">
        <v>47.757800000000003</v>
      </c>
      <c r="I104" s="21">
        <v>-4.3377699999999998E-2</v>
      </c>
      <c r="J104" s="21">
        <v>94</v>
      </c>
      <c r="K104" s="21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1">
        <v>0.37338300000000002</v>
      </c>
      <c r="P104" s="21">
        <v>50.398299999999999</v>
      </c>
      <c r="Q104" s="21">
        <v>-4.0954600000000001E-2</v>
      </c>
      <c r="R104" s="21">
        <v>94</v>
      </c>
      <c r="S104" s="21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1">
        <v>0.15670799999999999</v>
      </c>
      <c r="Z104" s="21">
        <v>52.788899999999998</v>
      </c>
      <c r="AA104" s="21">
        <v>-4.3429599999999999E-2</v>
      </c>
      <c r="AB104" s="21">
        <v>94</v>
      </c>
      <c r="AC104" s="21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1">
        <v>0.37338300000000002</v>
      </c>
      <c r="AH104" s="21">
        <v>55.2605</v>
      </c>
      <c r="AI104" s="21">
        <v>-4.0960700000000003E-2</v>
      </c>
      <c r="AJ104" s="21">
        <v>94</v>
      </c>
      <c r="AK104" s="21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1">
        <v>0.15670799999999999</v>
      </c>
      <c r="AR104" s="21">
        <v>57.933999999999997</v>
      </c>
      <c r="AS104" s="21">
        <v>-4.3395999999999997E-2</v>
      </c>
      <c r="AT104" s="21">
        <v>94</v>
      </c>
      <c r="AU104" s="21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1">
        <v>0.37338300000000002</v>
      </c>
      <c r="AZ104" s="21">
        <v>61.082599999999999</v>
      </c>
      <c r="BA104" s="21">
        <v>-4.0914899999999997E-2</v>
      </c>
      <c r="BB104" s="21">
        <v>94</v>
      </c>
      <c r="BC104" s="21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0.151672</v>
      </c>
      <c r="H105" s="21">
        <v>47.767800000000001</v>
      </c>
      <c r="I105" s="21">
        <v>-4.3389900000000002E-2</v>
      </c>
      <c r="J105" s="21">
        <v>95</v>
      </c>
      <c r="K105" s="21">
        <v>0.150391</v>
      </c>
      <c r="L105">
        <f t="shared" si="12"/>
        <v>43.389900000000004</v>
      </c>
      <c r="M105">
        <f t="shared" si="13"/>
        <v>6.5810329128000005</v>
      </c>
      <c r="N105" s="9"/>
      <c r="O105" s="21">
        <v>0.37841799999999998</v>
      </c>
      <c r="P105" s="21">
        <v>50.4084</v>
      </c>
      <c r="Q105" s="21">
        <v>-4.08508E-2</v>
      </c>
      <c r="R105" s="21">
        <v>95</v>
      </c>
      <c r="S105" s="21">
        <v>0.37722800000000001</v>
      </c>
      <c r="T105">
        <f t="shared" si="14"/>
        <v>40.8508</v>
      </c>
      <c r="U105">
        <f t="shared" si="15"/>
        <v>15.458678034399998</v>
      </c>
      <c r="X105" s="9"/>
      <c r="Y105" s="21">
        <v>0.151672</v>
      </c>
      <c r="Z105" s="21">
        <v>52.798999999999999</v>
      </c>
      <c r="AA105" s="21">
        <v>-4.3457000000000003E-2</v>
      </c>
      <c r="AB105" s="21">
        <v>95</v>
      </c>
      <c r="AC105" s="21">
        <v>0.150452</v>
      </c>
      <c r="AD105">
        <f t="shared" si="16"/>
        <v>43.457000000000001</v>
      </c>
      <c r="AE105">
        <f t="shared" si="17"/>
        <v>6.591210104</v>
      </c>
      <c r="AF105" s="9"/>
      <c r="AG105" s="21">
        <v>0.37841799999999998</v>
      </c>
      <c r="AH105" s="21">
        <v>55.270499999999998</v>
      </c>
      <c r="AI105" s="21">
        <v>-4.0847799999999997E-2</v>
      </c>
      <c r="AJ105" s="21">
        <v>95</v>
      </c>
      <c r="AK105" s="21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1">
        <v>0.151672</v>
      </c>
      <c r="AR105" s="21">
        <v>57.944099999999999</v>
      </c>
      <c r="AS105" s="21">
        <v>-4.3399E-2</v>
      </c>
      <c r="AT105" s="21">
        <v>95</v>
      </c>
      <c r="AU105" s="21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1">
        <v>0.37841799999999998</v>
      </c>
      <c r="AZ105" s="21">
        <v>61.092700000000001</v>
      </c>
      <c r="BA105" s="21">
        <v>-4.0799000000000002E-2</v>
      </c>
      <c r="BB105" s="21">
        <v>95</v>
      </c>
      <c r="BC105" s="21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0.14663699999999999</v>
      </c>
      <c r="H106" s="21">
        <v>47.777900000000002</v>
      </c>
      <c r="I106" s="21">
        <v>-4.3405199999999998E-2</v>
      </c>
      <c r="J106" s="21">
        <v>96</v>
      </c>
      <c r="K106" s="21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1">
        <v>0.38345299999999999</v>
      </c>
      <c r="P106" s="21">
        <v>50.418500000000002</v>
      </c>
      <c r="Q106" s="21">
        <v>-4.07379E-2</v>
      </c>
      <c r="R106" s="21">
        <v>96</v>
      </c>
      <c r="S106" s="21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1">
        <v>0.14663699999999999</v>
      </c>
      <c r="Z106" s="21">
        <v>52.808999999999997</v>
      </c>
      <c r="AA106" s="21">
        <v>-4.34692E-2</v>
      </c>
      <c r="AB106" s="21">
        <v>96</v>
      </c>
      <c r="AC106" s="21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1">
        <v>0.38345299999999999</v>
      </c>
      <c r="AH106" s="21">
        <v>55.2806</v>
      </c>
      <c r="AI106" s="21">
        <v>-4.0734899999999997E-2</v>
      </c>
      <c r="AJ106" s="21">
        <v>96</v>
      </c>
      <c r="AK106" s="21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1">
        <v>0.14663699999999999</v>
      </c>
      <c r="AR106" s="21">
        <v>57.9542</v>
      </c>
      <c r="AS106" s="21">
        <v>-4.3405199999999998E-2</v>
      </c>
      <c r="AT106" s="21">
        <v>96</v>
      </c>
      <c r="AU106" s="21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1">
        <v>0.38345299999999999</v>
      </c>
      <c r="AZ106" s="21">
        <v>61.102800000000002</v>
      </c>
      <c r="BA106" s="21">
        <v>-4.0695200000000001E-2</v>
      </c>
      <c r="BB106" s="21">
        <v>96</v>
      </c>
      <c r="BC106" s="21">
        <v>0.38207999999999998</v>
      </c>
      <c r="BD106">
        <f t="shared" si="22"/>
        <v>40.6952</v>
      </c>
      <c r="BE106">
        <f t="shared" si="23"/>
        <v>15.6046965256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0.14160200000000001</v>
      </c>
      <c r="H107" s="21">
        <v>47.787999999999997</v>
      </c>
      <c r="I107" s="21">
        <v>-4.34265E-2</v>
      </c>
      <c r="J107" s="21">
        <v>97</v>
      </c>
      <c r="K107" s="21">
        <v>0.140289</v>
      </c>
      <c r="L107">
        <f t="shared" si="12"/>
        <v>43.426499999999997</v>
      </c>
      <c r="M107">
        <f t="shared" si="13"/>
        <v>6.1492792529999996</v>
      </c>
      <c r="N107" s="9"/>
      <c r="O107" s="21">
        <v>0.38848899999999997</v>
      </c>
      <c r="P107" s="21">
        <v>50.4285</v>
      </c>
      <c r="Q107" s="21">
        <v>-4.0637199999999998E-2</v>
      </c>
      <c r="R107" s="21">
        <v>97</v>
      </c>
      <c r="S107" s="21">
        <v>0.387268</v>
      </c>
      <c r="T107">
        <f t="shared" si="14"/>
        <v>40.6372</v>
      </c>
      <c r="U107">
        <f t="shared" si="15"/>
        <v>15.787105190799998</v>
      </c>
      <c r="X107" s="9"/>
      <c r="Y107" s="21">
        <v>0.14160200000000001</v>
      </c>
      <c r="Z107" s="21">
        <v>52.819099999999999</v>
      </c>
      <c r="AA107" s="21">
        <v>-4.3487499999999998E-2</v>
      </c>
      <c r="AB107" s="21">
        <v>97</v>
      </c>
      <c r="AC107" s="21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1">
        <v>0.38848899999999997</v>
      </c>
      <c r="AH107" s="21">
        <v>55.290700000000001</v>
      </c>
      <c r="AI107" s="21">
        <v>-4.0618899999999999E-2</v>
      </c>
      <c r="AJ107" s="21">
        <v>97</v>
      </c>
      <c r="AK107" s="21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1">
        <v>0.14160200000000001</v>
      </c>
      <c r="AR107" s="21">
        <v>57.964300000000001</v>
      </c>
      <c r="AS107" s="21">
        <v>-4.3414300000000003E-2</v>
      </c>
      <c r="AT107" s="21">
        <v>97</v>
      </c>
      <c r="AU107" s="21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1">
        <v>0.38848899999999997</v>
      </c>
      <c r="AZ107" s="21">
        <v>61.1128</v>
      </c>
      <c r="BA107" s="21">
        <v>-4.05914E-2</v>
      </c>
      <c r="BB107" s="21">
        <v>97</v>
      </c>
      <c r="BC107" s="21">
        <v>0.387268</v>
      </c>
      <c r="BD107">
        <f t="shared" si="22"/>
        <v>40.5914</v>
      </c>
      <c r="BE107">
        <f t="shared" si="23"/>
        <v>15.769312394599998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0.13656599999999999</v>
      </c>
      <c r="H108" s="21">
        <v>47.798099999999998</v>
      </c>
      <c r="I108" s="21">
        <v>-4.3447899999999998E-2</v>
      </c>
      <c r="J108" s="21">
        <v>98</v>
      </c>
      <c r="K108" s="21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1">
        <v>0.39352399999999998</v>
      </c>
      <c r="P108" s="21">
        <v>50.438600000000001</v>
      </c>
      <c r="Q108" s="21">
        <v>-4.0515099999999998E-2</v>
      </c>
      <c r="R108" s="21">
        <v>98</v>
      </c>
      <c r="S108" s="21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1">
        <v>0.13656599999999999</v>
      </c>
      <c r="Z108" s="21">
        <v>52.8292</v>
      </c>
      <c r="AA108" s="21">
        <v>-4.3496699999999999E-2</v>
      </c>
      <c r="AB108" s="21">
        <v>98</v>
      </c>
      <c r="AC108" s="21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1">
        <v>0.39352399999999998</v>
      </c>
      <c r="AH108" s="21">
        <v>55.300800000000002</v>
      </c>
      <c r="AI108" s="21">
        <v>-4.0490699999999998E-2</v>
      </c>
      <c r="AJ108" s="21">
        <v>98</v>
      </c>
      <c r="AK108" s="21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1">
        <v>0.13656599999999999</v>
      </c>
      <c r="AR108" s="21">
        <v>57.974299999999999</v>
      </c>
      <c r="AS108" s="21">
        <v>-4.3420399999999998E-2</v>
      </c>
      <c r="AT108" s="21">
        <v>98</v>
      </c>
      <c r="AU108" s="21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1">
        <v>0.39352399999999998</v>
      </c>
      <c r="AZ108" s="21">
        <v>61.122900000000001</v>
      </c>
      <c r="BA108" s="21">
        <v>-4.0472399999999999E-2</v>
      </c>
      <c r="BB108" s="21">
        <v>98</v>
      </c>
      <c r="BC108" s="21">
        <v>0.39227299999999998</v>
      </c>
      <c r="BD108">
        <f t="shared" si="22"/>
        <v>40.4724</v>
      </c>
      <c r="BE108">
        <f t="shared" si="23"/>
        <v>15.9268607376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0.13153100000000001</v>
      </c>
      <c r="H109" s="21">
        <v>47.808100000000003</v>
      </c>
      <c r="I109" s="21">
        <v>-4.3450900000000001E-2</v>
      </c>
      <c r="J109" s="21">
        <v>99</v>
      </c>
      <c r="K109" s="21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1">
        <v>0.39856000000000003</v>
      </c>
      <c r="P109" s="21">
        <v>50.448700000000002</v>
      </c>
      <c r="Q109" s="21">
        <v>-4.0390000000000002E-2</v>
      </c>
      <c r="R109" s="21">
        <v>99</v>
      </c>
      <c r="S109" s="21">
        <v>0.397339</v>
      </c>
      <c r="T109">
        <f t="shared" si="14"/>
        <v>40.39</v>
      </c>
      <c r="U109">
        <f t="shared" si="15"/>
        <v>16.097838400000001</v>
      </c>
      <c r="X109" s="9"/>
      <c r="Y109" s="21">
        <v>0.13153100000000001</v>
      </c>
      <c r="Z109" s="21">
        <v>52.839300000000001</v>
      </c>
      <c r="AA109" s="21">
        <v>-4.3512000000000002E-2</v>
      </c>
      <c r="AB109" s="21">
        <v>99</v>
      </c>
      <c r="AC109" s="21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1">
        <v>0.39856000000000003</v>
      </c>
      <c r="AH109" s="21">
        <v>55.3108</v>
      </c>
      <c r="AI109" s="21">
        <v>-4.0347300000000003E-2</v>
      </c>
      <c r="AJ109" s="21">
        <v>99</v>
      </c>
      <c r="AK109" s="21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1">
        <v>0.13153100000000001</v>
      </c>
      <c r="AR109" s="21">
        <v>57.984400000000001</v>
      </c>
      <c r="AS109" s="21">
        <v>-4.3441800000000003E-2</v>
      </c>
      <c r="AT109" s="21">
        <v>99</v>
      </c>
      <c r="AU109" s="21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1">
        <v>0.39856000000000003</v>
      </c>
      <c r="AZ109" s="21">
        <v>61.133000000000003</v>
      </c>
      <c r="BA109" s="21">
        <v>-4.0338100000000002E-2</v>
      </c>
      <c r="BB109" s="21">
        <v>99</v>
      </c>
      <c r="BC109" s="21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0.126495</v>
      </c>
      <c r="H110" s="21">
        <v>47.818199999999997</v>
      </c>
      <c r="I110" s="21">
        <v>-4.3460100000000002E-2</v>
      </c>
      <c r="J110" s="21">
        <v>100</v>
      </c>
      <c r="K110" s="21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1">
        <v>0.40359499999999998</v>
      </c>
      <c r="P110" s="21">
        <v>50.458799999999997</v>
      </c>
      <c r="Q110" s="21">
        <v>-4.02374E-2</v>
      </c>
      <c r="R110" s="21">
        <v>100</v>
      </c>
      <c r="S110" s="21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1">
        <v>0.126495</v>
      </c>
      <c r="Z110" s="21">
        <v>52.849299999999999</v>
      </c>
      <c r="AA110" s="21">
        <v>-4.35211E-2</v>
      </c>
      <c r="AB110" s="21">
        <v>100</v>
      </c>
      <c r="AC110" s="21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1">
        <v>0.40359499999999998</v>
      </c>
      <c r="AH110" s="21">
        <v>55.320900000000002</v>
      </c>
      <c r="AI110" s="21">
        <v>-4.0203900000000001E-2</v>
      </c>
      <c r="AJ110" s="21">
        <v>100</v>
      </c>
      <c r="AK110" s="21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1">
        <v>0.126495</v>
      </c>
      <c r="AR110" s="21">
        <v>57.994500000000002</v>
      </c>
      <c r="AS110" s="21">
        <v>-4.3466200000000003E-2</v>
      </c>
      <c r="AT110" s="21">
        <v>100</v>
      </c>
      <c r="AU110" s="21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1">
        <v>0.40359499999999998</v>
      </c>
      <c r="AZ110" s="21">
        <v>61.143000000000001</v>
      </c>
      <c r="BA110" s="21">
        <v>-4.0182500000000003E-2</v>
      </c>
      <c r="BB110" s="21">
        <v>100</v>
      </c>
      <c r="BC110" s="21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0.12146</v>
      </c>
      <c r="H111" s="21">
        <v>47.828299999999999</v>
      </c>
      <c r="I111" s="21">
        <v>-4.3472299999999998E-2</v>
      </c>
      <c r="J111" s="21">
        <v>101</v>
      </c>
      <c r="K111" s="21">
        <v>0.12027</v>
      </c>
      <c r="L111">
        <f t="shared" si="12"/>
        <v>43.472299999999997</v>
      </c>
      <c r="M111">
        <f t="shared" si="13"/>
        <v>5.2801455579999992</v>
      </c>
      <c r="N111" s="9"/>
      <c r="O111" s="21">
        <v>0.40862999999999999</v>
      </c>
      <c r="P111" s="21">
        <v>50.468800000000002</v>
      </c>
      <c r="Q111" s="21">
        <v>-4.0078700000000002E-2</v>
      </c>
      <c r="R111" s="21">
        <v>101</v>
      </c>
      <c r="S111" s="21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1">
        <v>0.12146</v>
      </c>
      <c r="Z111" s="21">
        <v>52.859400000000001</v>
      </c>
      <c r="AA111" s="21">
        <v>-4.3518099999999997E-2</v>
      </c>
      <c r="AB111" s="21">
        <v>101</v>
      </c>
      <c r="AC111" s="21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1">
        <v>0.40862999999999999</v>
      </c>
      <c r="AH111" s="21">
        <v>55.331000000000003</v>
      </c>
      <c r="AI111" s="21">
        <v>-4.0051299999999998E-2</v>
      </c>
      <c r="AJ111" s="21">
        <v>101</v>
      </c>
      <c r="AK111" s="21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1">
        <v>0.12146</v>
      </c>
      <c r="AR111" s="21">
        <v>58.0045</v>
      </c>
      <c r="AS111" s="21">
        <v>-4.3490599999999997E-2</v>
      </c>
      <c r="AT111" s="21">
        <v>101</v>
      </c>
      <c r="AU111" s="21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1">
        <v>0.40862999999999999</v>
      </c>
      <c r="AZ111" s="21">
        <v>61.153100000000002</v>
      </c>
      <c r="BA111" s="21">
        <v>-4.0032999999999999E-2</v>
      </c>
      <c r="BB111" s="21">
        <v>101</v>
      </c>
      <c r="BC111" s="21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0.116425</v>
      </c>
      <c r="H112" s="21">
        <v>47.838299999999997</v>
      </c>
      <c r="I112" s="21">
        <v>-4.3481400000000003E-2</v>
      </c>
      <c r="J112" s="21">
        <v>102</v>
      </c>
      <c r="K112" s="21">
        <v>0.115173</v>
      </c>
      <c r="L112">
        <f t="shared" si="12"/>
        <v>43.481400000000001</v>
      </c>
      <c r="M112">
        <f t="shared" si="13"/>
        <v>5.0623219950000005</v>
      </c>
      <c r="N112" s="9"/>
      <c r="O112" s="21">
        <v>0.41366599999999998</v>
      </c>
      <c r="P112" s="21">
        <v>50.478900000000003</v>
      </c>
      <c r="Q112" s="21">
        <v>-3.9919999999999997E-2</v>
      </c>
      <c r="R112" s="21">
        <v>102</v>
      </c>
      <c r="S112" s="21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1">
        <v>0.116425</v>
      </c>
      <c r="Z112" s="21">
        <v>52.869500000000002</v>
      </c>
      <c r="AA112" s="21">
        <v>-4.35211E-2</v>
      </c>
      <c r="AB112" s="21">
        <v>102</v>
      </c>
      <c r="AC112" s="21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1">
        <v>0.41366599999999998</v>
      </c>
      <c r="AH112" s="21">
        <v>55.341000000000001</v>
      </c>
      <c r="AI112" s="21">
        <v>-3.9895600000000003E-2</v>
      </c>
      <c r="AJ112" s="21">
        <v>102</v>
      </c>
      <c r="AK112" s="21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1">
        <v>0.116425</v>
      </c>
      <c r="AR112" s="21">
        <v>58.014600000000002</v>
      </c>
      <c r="AS112" s="21">
        <v>-4.3508900000000003E-2</v>
      </c>
      <c r="AT112" s="21">
        <v>102</v>
      </c>
      <c r="AU112" s="21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1">
        <v>0.41366599999999998</v>
      </c>
      <c r="AZ112" s="21">
        <v>61.163200000000003</v>
      </c>
      <c r="BA112" s="21">
        <v>-3.9880400000000003E-2</v>
      </c>
      <c r="BB112" s="21">
        <v>102</v>
      </c>
      <c r="BC112" s="21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0.111389</v>
      </c>
      <c r="H113" s="21">
        <v>47.848399999999998</v>
      </c>
      <c r="I113" s="21">
        <v>-4.3487499999999998E-2</v>
      </c>
      <c r="J113" s="21">
        <v>103</v>
      </c>
      <c r="K113" s="21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1">
        <v>0.41870099999999999</v>
      </c>
      <c r="P113" s="21">
        <v>50.488999999999997</v>
      </c>
      <c r="Q113" s="21">
        <v>-3.9749100000000002E-2</v>
      </c>
      <c r="R113" s="21">
        <v>103</v>
      </c>
      <c r="S113" s="21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1">
        <v>0.111389</v>
      </c>
      <c r="Z113" s="21">
        <v>52.8795</v>
      </c>
      <c r="AA113" s="21">
        <v>-4.3530300000000001E-2</v>
      </c>
      <c r="AB113" s="21">
        <v>103</v>
      </c>
      <c r="AC113" s="21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1">
        <v>0.41870099999999999</v>
      </c>
      <c r="AH113" s="21">
        <v>55.351100000000002</v>
      </c>
      <c r="AI113" s="21">
        <v>-3.9727800000000001E-2</v>
      </c>
      <c r="AJ113" s="21">
        <v>103</v>
      </c>
      <c r="AK113" s="21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1">
        <v>0.111389</v>
      </c>
      <c r="AR113" s="21">
        <v>58.024700000000003</v>
      </c>
      <c r="AS113" s="21">
        <v>-4.3508900000000003E-2</v>
      </c>
      <c r="AT113" s="21">
        <v>103</v>
      </c>
      <c r="AU113" s="21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1">
        <v>0.41870099999999999</v>
      </c>
      <c r="AZ113" s="21">
        <v>61.173299999999998</v>
      </c>
      <c r="BA113" s="21">
        <v>-3.97034E-2</v>
      </c>
      <c r="BB113" s="21">
        <v>103</v>
      </c>
      <c r="BC113" s="21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0.106354</v>
      </c>
      <c r="H114" s="21">
        <v>47.858499999999999</v>
      </c>
      <c r="I114" s="21">
        <v>-4.3499799999999998E-2</v>
      </c>
      <c r="J114" s="21">
        <v>104</v>
      </c>
      <c r="K114" s="21">
        <v>0.105072</v>
      </c>
      <c r="L114">
        <f t="shared" si="12"/>
        <v>43.4998</v>
      </c>
      <c r="M114">
        <f t="shared" si="13"/>
        <v>4.6263777292000006</v>
      </c>
      <c r="N114" s="9"/>
      <c r="O114" s="21">
        <v>0.42373699999999997</v>
      </c>
      <c r="P114" s="21">
        <v>50.499000000000002</v>
      </c>
      <c r="Q114" s="21">
        <v>-3.9556899999999999E-2</v>
      </c>
      <c r="R114" s="21">
        <v>104</v>
      </c>
      <c r="S114" s="21">
        <v>0.422516</v>
      </c>
      <c r="T114">
        <f t="shared" si="14"/>
        <v>39.556899999999999</v>
      </c>
      <c r="U114">
        <f t="shared" si="15"/>
        <v>16.761722135299998</v>
      </c>
      <c r="X114" s="9"/>
      <c r="Y114" s="21">
        <v>0.106354</v>
      </c>
      <c r="Z114" s="21">
        <v>52.889600000000002</v>
      </c>
      <c r="AA114" s="21">
        <v>-4.3539399999999999E-2</v>
      </c>
      <c r="AB114" s="21">
        <v>104</v>
      </c>
      <c r="AC114" s="21">
        <v>0.105133</v>
      </c>
      <c r="AD114">
        <f t="shared" si="16"/>
        <v>43.539400000000001</v>
      </c>
      <c r="AE114">
        <f t="shared" si="17"/>
        <v>4.6305893476</v>
      </c>
      <c r="AF114" s="9"/>
      <c r="AG114" s="21">
        <v>0.42373699999999997</v>
      </c>
      <c r="AH114" s="21">
        <v>55.361199999999997</v>
      </c>
      <c r="AI114" s="21">
        <v>-3.9541600000000003E-2</v>
      </c>
      <c r="AJ114" s="21">
        <v>104</v>
      </c>
      <c r="AK114" s="21">
        <v>0.422516</v>
      </c>
      <c r="AL114">
        <f t="shared" si="18"/>
        <v>39.541600000000003</v>
      </c>
      <c r="AM114">
        <f t="shared" si="19"/>
        <v>16.7552389592</v>
      </c>
      <c r="AP114" s="9"/>
      <c r="AQ114" s="21">
        <v>0.106354</v>
      </c>
      <c r="AR114" s="21">
        <v>58.034700000000001</v>
      </c>
      <c r="AS114" s="21">
        <v>-4.3499799999999998E-2</v>
      </c>
      <c r="AT114" s="21">
        <v>104</v>
      </c>
      <c r="AU114" s="21">
        <v>0.105072</v>
      </c>
      <c r="AV114">
        <f t="shared" si="20"/>
        <v>43.4998</v>
      </c>
      <c r="AW114">
        <f t="shared" si="21"/>
        <v>4.6263777292000006</v>
      </c>
      <c r="AX114" s="9"/>
      <c r="AY114" s="21">
        <v>0.42373699999999997</v>
      </c>
      <c r="AZ114" s="21">
        <v>61.183300000000003</v>
      </c>
      <c r="BA114" s="21">
        <v>-3.9520300000000001E-2</v>
      </c>
      <c r="BB114" s="21">
        <v>104</v>
      </c>
      <c r="BC114" s="21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0.10131800000000001</v>
      </c>
      <c r="H115" s="21">
        <v>47.868600000000001</v>
      </c>
      <c r="I115" s="21">
        <v>-4.3508900000000003E-2</v>
      </c>
      <c r="J115" s="21">
        <v>105</v>
      </c>
      <c r="K115" s="21">
        <v>0.100037</v>
      </c>
      <c r="L115">
        <f t="shared" si="12"/>
        <v>43.508900000000004</v>
      </c>
      <c r="M115">
        <f t="shared" si="13"/>
        <v>4.4082347302000002</v>
      </c>
      <c r="N115" s="9"/>
      <c r="O115" s="21">
        <v>0.42877199999999999</v>
      </c>
      <c r="P115" s="21">
        <v>50.509099999999997</v>
      </c>
      <c r="Q115" s="21">
        <v>-3.9340199999999999E-2</v>
      </c>
      <c r="R115" s="21">
        <v>105</v>
      </c>
      <c r="S115" s="21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1">
        <v>0.10131800000000001</v>
      </c>
      <c r="Z115" s="21">
        <v>52.899700000000003</v>
      </c>
      <c r="AA115" s="21">
        <v>-4.3542499999999998E-2</v>
      </c>
      <c r="AB115" s="21">
        <v>105</v>
      </c>
      <c r="AC115" s="21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1">
        <v>0.42877199999999999</v>
      </c>
      <c r="AH115" s="21">
        <v>55.371200000000002</v>
      </c>
      <c r="AI115" s="21">
        <v>-3.9328000000000002E-2</v>
      </c>
      <c r="AJ115" s="21">
        <v>105</v>
      </c>
      <c r="AK115" s="21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1">
        <v>0.10131800000000001</v>
      </c>
      <c r="AR115" s="21">
        <v>58.044800000000002</v>
      </c>
      <c r="AS115" s="21">
        <v>-4.3499799999999998E-2</v>
      </c>
      <c r="AT115" s="21">
        <v>105</v>
      </c>
      <c r="AU115" s="21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1">
        <v>0.42877199999999999</v>
      </c>
      <c r="AZ115" s="21">
        <v>61.193399999999997</v>
      </c>
      <c r="BA115" s="21">
        <v>-3.9312699999999999E-2</v>
      </c>
      <c r="BB115" s="21">
        <v>105</v>
      </c>
      <c r="BC115" s="21">
        <v>0.42752099999999998</v>
      </c>
      <c r="BD115">
        <f t="shared" si="22"/>
        <v>39.3127</v>
      </c>
      <c r="BE115">
        <f t="shared" si="23"/>
        <v>16.8561850044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9.6282999999999994E-2</v>
      </c>
      <c r="H116" s="21">
        <v>47.878599999999999</v>
      </c>
      <c r="I116" s="21">
        <v>-4.3514999999999998E-2</v>
      </c>
      <c r="J116" s="21">
        <v>106</v>
      </c>
      <c r="K116" s="21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1">
        <v>0.433807</v>
      </c>
      <c r="P116" s="21">
        <v>50.519199999999998</v>
      </c>
      <c r="Q116" s="21">
        <v>-3.9111300000000002E-2</v>
      </c>
      <c r="R116" s="21">
        <v>106</v>
      </c>
      <c r="S116" s="21">
        <v>0.432556</v>
      </c>
      <c r="T116">
        <f t="shared" si="14"/>
        <v>39.1113</v>
      </c>
      <c r="U116">
        <f t="shared" si="15"/>
        <v>16.9667557191</v>
      </c>
      <c r="X116" s="9"/>
      <c r="Y116" s="21">
        <v>9.6282999999999994E-2</v>
      </c>
      <c r="Z116" s="21">
        <v>52.909700000000001</v>
      </c>
      <c r="AA116" s="21">
        <v>-4.3554700000000002E-2</v>
      </c>
      <c r="AB116" s="21">
        <v>106</v>
      </c>
      <c r="AC116" s="21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1">
        <v>0.433807</v>
      </c>
      <c r="AH116" s="21">
        <v>55.381300000000003</v>
      </c>
      <c r="AI116" s="21">
        <v>-3.9099099999999998E-2</v>
      </c>
      <c r="AJ116" s="21">
        <v>106</v>
      </c>
      <c r="AK116" s="21">
        <v>0.432587</v>
      </c>
      <c r="AL116">
        <f t="shared" si="18"/>
        <v>39.0991</v>
      </c>
      <c r="AM116">
        <f t="shared" si="19"/>
        <v>16.961463273700002</v>
      </c>
      <c r="AP116" s="9"/>
      <c r="AQ116" s="21">
        <v>9.6282999999999994E-2</v>
      </c>
      <c r="AR116" s="21">
        <v>58.054900000000004</v>
      </c>
      <c r="AS116" s="21">
        <v>-4.35059E-2</v>
      </c>
      <c r="AT116" s="21">
        <v>106</v>
      </c>
      <c r="AU116" s="21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1">
        <v>0.433807</v>
      </c>
      <c r="AZ116" s="21">
        <v>61.203499999999998</v>
      </c>
      <c r="BA116" s="21">
        <v>-3.9080799999999999E-2</v>
      </c>
      <c r="BB116" s="21">
        <v>106</v>
      </c>
      <c r="BC116" s="21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9.1247599999999998E-2</v>
      </c>
      <c r="H117" s="21">
        <v>47.8887</v>
      </c>
      <c r="I117" s="21">
        <v>-4.3527200000000002E-2</v>
      </c>
      <c r="J117" s="21">
        <v>107</v>
      </c>
      <c r="K117" s="21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1">
        <v>0.43884299999999998</v>
      </c>
      <c r="P117" s="21">
        <v>50.529299999999999</v>
      </c>
      <c r="Q117" s="21">
        <v>-3.8870200000000001E-2</v>
      </c>
      <c r="R117" s="21">
        <v>107</v>
      </c>
      <c r="S117" s="21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1">
        <v>9.1247599999999998E-2</v>
      </c>
      <c r="Z117" s="21">
        <v>52.919800000000002</v>
      </c>
      <c r="AA117" s="21">
        <v>-4.3560799999999997E-2</v>
      </c>
      <c r="AB117" s="21">
        <v>107</v>
      </c>
      <c r="AC117" s="21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1">
        <v>0.43884299999999998</v>
      </c>
      <c r="AH117" s="21">
        <v>55.391399999999997</v>
      </c>
      <c r="AI117" s="21">
        <v>-3.8842799999999997E-2</v>
      </c>
      <c r="AJ117" s="21">
        <v>107</v>
      </c>
      <c r="AK117" s="21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1">
        <v>9.1247599999999998E-2</v>
      </c>
      <c r="AR117" s="21">
        <v>58.064999999999998</v>
      </c>
      <c r="AS117" s="21">
        <v>-4.3496699999999999E-2</v>
      </c>
      <c r="AT117" s="21">
        <v>107</v>
      </c>
      <c r="AU117" s="21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1">
        <v>0.43884299999999998</v>
      </c>
      <c r="AZ117" s="21">
        <v>61.213500000000003</v>
      </c>
      <c r="BA117" s="21">
        <v>-3.8833600000000003E-2</v>
      </c>
      <c r="BB117" s="21">
        <v>107</v>
      </c>
      <c r="BC117" s="21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8.6212200000000003E-2</v>
      </c>
      <c r="H118" s="21">
        <v>47.898800000000001</v>
      </c>
      <c r="I118" s="21">
        <v>-4.3554700000000002E-2</v>
      </c>
      <c r="J118" s="21">
        <v>108</v>
      </c>
      <c r="K118" s="21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1">
        <v>0.44387799999999999</v>
      </c>
      <c r="P118" s="21">
        <v>50.539299999999997</v>
      </c>
      <c r="Q118" s="21">
        <v>-3.86139E-2</v>
      </c>
      <c r="R118" s="21">
        <v>108</v>
      </c>
      <c r="S118" s="21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1">
        <v>8.6212200000000003E-2</v>
      </c>
      <c r="Z118" s="21">
        <v>52.929900000000004</v>
      </c>
      <c r="AA118" s="21">
        <v>-4.3573000000000001E-2</v>
      </c>
      <c r="AB118" s="21">
        <v>108</v>
      </c>
      <c r="AC118" s="21">
        <v>8.4991499999999998E-2</v>
      </c>
      <c r="AD118">
        <f t="shared" si="16"/>
        <v>43.573</v>
      </c>
      <c r="AE118">
        <f t="shared" si="17"/>
        <v>3.7565241906</v>
      </c>
      <c r="AF118" s="9"/>
      <c r="AG118" s="21">
        <v>0.44387799999999999</v>
      </c>
      <c r="AH118" s="21">
        <v>55.401499999999999</v>
      </c>
      <c r="AI118" s="21">
        <v>-3.8568100000000001E-2</v>
      </c>
      <c r="AJ118" s="21">
        <v>108</v>
      </c>
      <c r="AK118" s="21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1">
        <v>8.6212200000000003E-2</v>
      </c>
      <c r="AR118" s="21">
        <v>58.075000000000003</v>
      </c>
      <c r="AS118" s="21">
        <v>-4.3496699999999999E-2</v>
      </c>
      <c r="AT118" s="21">
        <v>108</v>
      </c>
      <c r="AU118" s="21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1">
        <v>0.44387799999999999</v>
      </c>
      <c r="AZ118" s="21">
        <v>61.223599999999998</v>
      </c>
      <c r="BA118" s="21">
        <v>-3.8555899999999997E-2</v>
      </c>
      <c r="BB118" s="21">
        <v>108</v>
      </c>
      <c r="BC118" s="21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8.1176799999999993E-2</v>
      </c>
      <c r="H119" s="21">
        <v>47.908799999999999</v>
      </c>
      <c r="I119" s="21">
        <v>-4.3569900000000002E-2</v>
      </c>
      <c r="J119" s="21">
        <v>109</v>
      </c>
      <c r="K119" s="21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1">
        <v>0.44891399999999998</v>
      </c>
      <c r="P119" s="21">
        <v>50.549399999999999</v>
      </c>
      <c r="Q119" s="21">
        <v>-3.8333100000000002E-2</v>
      </c>
      <c r="R119" s="21">
        <v>109</v>
      </c>
      <c r="S119" s="21">
        <v>0.447662</v>
      </c>
      <c r="T119">
        <f t="shared" si="14"/>
        <v>38.333100000000002</v>
      </c>
      <c r="U119">
        <f t="shared" si="15"/>
        <v>17.2082652534</v>
      </c>
      <c r="X119" s="9"/>
      <c r="Y119" s="21">
        <v>8.1176799999999993E-2</v>
      </c>
      <c r="Z119" s="21">
        <v>52.94</v>
      </c>
      <c r="AA119" s="21">
        <v>-4.3573000000000001E-2</v>
      </c>
      <c r="AB119" s="21">
        <v>109</v>
      </c>
      <c r="AC119" s="21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1">
        <v>0.44891399999999998</v>
      </c>
      <c r="AH119" s="21">
        <v>55.411499999999997</v>
      </c>
      <c r="AI119" s="21">
        <v>-3.8272100000000003E-2</v>
      </c>
      <c r="AJ119" s="21">
        <v>109</v>
      </c>
      <c r="AK119" s="21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1">
        <v>8.1176799999999993E-2</v>
      </c>
      <c r="AR119" s="21">
        <v>58.085099999999997</v>
      </c>
      <c r="AS119" s="21">
        <v>-4.3512000000000002E-2</v>
      </c>
      <c r="AT119" s="21">
        <v>109</v>
      </c>
      <c r="AU119" s="21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1">
        <v>0.44891399999999998</v>
      </c>
      <c r="AZ119" s="21">
        <v>61.233699999999999</v>
      </c>
      <c r="BA119" s="21">
        <v>-3.8262900000000002E-2</v>
      </c>
      <c r="BB119" s="21">
        <v>109</v>
      </c>
      <c r="BC119" s="21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7.6141399999999998E-2</v>
      </c>
      <c r="H120" s="21">
        <v>47.918900000000001</v>
      </c>
      <c r="I120" s="21">
        <v>-4.3575999999999997E-2</v>
      </c>
      <c r="J120" s="21">
        <v>110</v>
      </c>
      <c r="K120" s="21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1">
        <v>0.45394899999999999</v>
      </c>
      <c r="P120" s="21">
        <v>50.5595</v>
      </c>
      <c r="Q120" s="21">
        <v>-3.8012700000000003E-2</v>
      </c>
      <c r="R120" s="21">
        <v>110</v>
      </c>
      <c r="S120" s="21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1">
        <v>7.6141399999999998E-2</v>
      </c>
      <c r="Z120" s="21">
        <v>52.95</v>
      </c>
      <c r="AA120" s="21">
        <v>-4.3566899999999999E-2</v>
      </c>
      <c r="AB120" s="21">
        <v>110</v>
      </c>
      <c r="AC120" s="21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1">
        <v>0.45394899999999999</v>
      </c>
      <c r="AH120" s="21">
        <v>55.421599999999998</v>
      </c>
      <c r="AI120" s="21">
        <v>-3.79578E-2</v>
      </c>
      <c r="AJ120" s="21">
        <v>110</v>
      </c>
      <c r="AK120" s="21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1">
        <v>7.6141399999999998E-2</v>
      </c>
      <c r="AR120" s="21">
        <v>58.095199999999998</v>
      </c>
      <c r="AS120" s="21">
        <v>-4.3530300000000001E-2</v>
      </c>
      <c r="AT120" s="21">
        <v>110</v>
      </c>
      <c r="AU120" s="21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1">
        <v>0.45394899999999999</v>
      </c>
      <c r="AZ120" s="21">
        <v>61.2438</v>
      </c>
      <c r="BA120" s="21">
        <v>-3.79303E-2</v>
      </c>
      <c r="BB120" s="21">
        <v>110</v>
      </c>
      <c r="BC120" s="21">
        <v>0.452789</v>
      </c>
      <c r="BD120">
        <f t="shared" si="22"/>
        <v>37.930300000000003</v>
      </c>
      <c r="BE120">
        <f t="shared" si="23"/>
        <v>17.2184217547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7.1106000000000003E-2</v>
      </c>
      <c r="H121" s="21">
        <v>47.929000000000002</v>
      </c>
      <c r="I121" s="21">
        <v>-4.3579100000000003E-2</v>
      </c>
      <c r="J121" s="21">
        <v>111</v>
      </c>
      <c r="K121" s="21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1">
        <v>0.458984</v>
      </c>
      <c r="P121" s="21">
        <v>50.569499999999998</v>
      </c>
      <c r="Q121" s="21">
        <v>-3.7658700000000003E-2</v>
      </c>
      <c r="R121" s="21">
        <v>111</v>
      </c>
      <c r="S121" s="21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1">
        <v>7.1106000000000003E-2</v>
      </c>
      <c r="Z121" s="21">
        <v>52.960099999999997</v>
      </c>
      <c r="AA121" s="21">
        <v>-4.3575999999999997E-2</v>
      </c>
      <c r="AB121" s="21">
        <v>111</v>
      </c>
      <c r="AC121" s="21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1">
        <v>0.458984</v>
      </c>
      <c r="AH121" s="21">
        <v>55.431699999999999</v>
      </c>
      <c r="AI121" s="21">
        <v>-3.7622099999999999E-2</v>
      </c>
      <c r="AJ121" s="21">
        <v>111</v>
      </c>
      <c r="AK121" s="21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1">
        <v>7.1106000000000003E-2</v>
      </c>
      <c r="AR121" s="21">
        <v>58.105200000000004</v>
      </c>
      <c r="AS121" s="21">
        <v>-4.3542499999999998E-2</v>
      </c>
      <c r="AT121" s="21">
        <v>111</v>
      </c>
      <c r="AU121" s="21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1">
        <v>0.458984</v>
      </c>
      <c r="AZ121" s="21">
        <v>61.253799999999998</v>
      </c>
      <c r="BA121" s="21">
        <v>-3.75763E-2</v>
      </c>
      <c r="BB121" s="21">
        <v>111</v>
      </c>
      <c r="BC121" s="21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6.6070599999999993E-2</v>
      </c>
      <c r="H122" s="21">
        <v>47.939</v>
      </c>
      <c r="I122" s="21">
        <v>-4.3573000000000001E-2</v>
      </c>
      <c r="J122" s="21">
        <v>112</v>
      </c>
      <c r="K122" s="21">
        <v>6.4697299999999999E-2</v>
      </c>
      <c r="L122">
        <f t="shared" si="12"/>
        <v>43.573</v>
      </c>
      <c r="M122">
        <f t="shared" si="13"/>
        <v>2.8788942537999995</v>
      </c>
      <c r="N122" s="9"/>
      <c r="O122" s="21">
        <v>0.46401999999999999</v>
      </c>
      <c r="P122" s="21">
        <v>50.579599999999999</v>
      </c>
      <c r="Q122" s="21">
        <v>-3.7283299999999998E-2</v>
      </c>
      <c r="R122" s="21">
        <v>112</v>
      </c>
      <c r="S122" s="21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1">
        <v>6.6070599999999993E-2</v>
      </c>
      <c r="Z122" s="21">
        <v>52.970199999999998</v>
      </c>
      <c r="AA122" s="21">
        <v>-4.3585199999999998E-2</v>
      </c>
      <c r="AB122" s="21">
        <v>112</v>
      </c>
      <c r="AC122" s="21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1">
        <v>0.46401999999999999</v>
      </c>
      <c r="AH122" s="21">
        <v>55.441699999999997</v>
      </c>
      <c r="AI122" s="21">
        <v>-3.72375E-2</v>
      </c>
      <c r="AJ122" s="21">
        <v>112</v>
      </c>
      <c r="AK122" s="21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1">
        <v>6.6070599999999993E-2</v>
      </c>
      <c r="AR122" s="21">
        <v>58.115299999999998</v>
      </c>
      <c r="AS122" s="21">
        <v>-4.3545500000000001E-2</v>
      </c>
      <c r="AT122" s="21">
        <v>112</v>
      </c>
      <c r="AU122" s="21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1">
        <v>0.46401999999999999</v>
      </c>
      <c r="AZ122" s="21">
        <v>61.2639</v>
      </c>
      <c r="BA122" s="21">
        <v>-3.7182600000000003E-2</v>
      </c>
      <c r="BB122" s="21">
        <v>112</v>
      </c>
      <c r="BC122" s="21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6.1035199999999998E-2</v>
      </c>
      <c r="H123" s="21">
        <v>47.949100000000001</v>
      </c>
      <c r="I123" s="21">
        <v>-4.3566899999999999E-2</v>
      </c>
      <c r="J123" s="21">
        <v>113</v>
      </c>
      <c r="K123" s="21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1">
        <v>0.469055</v>
      </c>
      <c r="P123" s="21">
        <v>50.589700000000001</v>
      </c>
      <c r="Q123" s="21">
        <v>-3.6877399999999998E-2</v>
      </c>
      <c r="R123" s="21">
        <v>113</v>
      </c>
      <c r="S123" s="21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1">
        <v>6.1035199999999998E-2</v>
      </c>
      <c r="Z123" s="21">
        <v>52.980200000000004</v>
      </c>
      <c r="AA123" s="21">
        <v>-4.3597400000000001E-2</v>
      </c>
      <c r="AB123" s="21">
        <v>113</v>
      </c>
      <c r="AC123" s="21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1">
        <v>0.469055</v>
      </c>
      <c r="AH123" s="21">
        <v>55.451799999999999</v>
      </c>
      <c r="AI123" s="21">
        <v>-3.68256E-2</v>
      </c>
      <c r="AJ123" s="21">
        <v>113</v>
      </c>
      <c r="AK123" s="21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1">
        <v>6.1035199999999998E-2</v>
      </c>
      <c r="AR123" s="21">
        <v>58.125399999999999</v>
      </c>
      <c r="AS123" s="21">
        <v>-4.3551600000000003E-2</v>
      </c>
      <c r="AT123" s="21">
        <v>113</v>
      </c>
      <c r="AU123" s="21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1">
        <v>0.469055</v>
      </c>
      <c r="AZ123" s="21">
        <v>61.274000000000001</v>
      </c>
      <c r="BA123" s="21">
        <v>-3.6770600000000001E-2</v>
      </c>
      <c r="BB123" s="21">
        <v>113</v>
      </c>
      <c r="BC123" s="21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5.5999800000000002E-2</v>
      </c>
      <c r="H124" s="21">
        <v>47.959200000000003</v>
      </c>
      <c r="I124" s="21">
        <v>-4.3569900000000002E-2</v>
      </c>
      <c r="J124" s="21">
        <v>114</v>
      </c>
      <c r="K124" s="21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1">
        <v>0.47409099999999998</v>
      </c>
      <c r="P124" s="21">
        <v>50.599800000000002</v>
      </c>
      <c r="Q124" s="21">
        <v>-3.6434899999999999E-2</v>
      </c>
      <c r="R124" s="21">
        <v>114</v>
      </c>
      <c r="S124" s="21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1">
        <v>5.5999800000000002E-2</v>
      </c>
      <c r="Z124" s="21">
        <v>52.990299999999998</v>
      </c>
      <c r="AA124" s="21">
        <v>-4.3597400000000001E-2</v>
      </c>
      <c r="AB124" s="21">
        <v>114</v>
      </c>
      <c r="AC124" s="21">
        <v>5.46875E-2</v>
      </c>
      <c r="AD124">
        <f t="shared" si="16"/>
        <v>43.5974</v>
      </c>
      <c r="AE124">
        <f t="shared" si="17"/>
        <v>2.4414456805200002</v>
      </c>
      <c r="AF124" s="9"/>
      <c r="AG124" s="21">
        <v>0.47409099999999998</v>
      </c>
      <c r="AH124" s="21">
        <v>55.4619</v>
      </c>
      <c r="AI124" s="21">
        <v>-3.6377E-2</v>
      </c>
      <c r="AJ124" s="21">
        <v>114</v>
      </c>
      <c r="AK124" s="21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1">
        <v>5.5999800000000002E-2</v>
      </c>
      <c r="AR124" s="21">
        <v>58.1355</v>
      </c>
      <c r="AS124" s="21">
        <v>-4.3560799999999997E-2</v>
      </c>
      <c r="AT124" s="21">
        <v>114</v>
      </c>
      <c r="AU124" s="21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1">
        <v>0.47409099999999998</v>
      </c>
      <c r="AZ124" s="21">
        <v>61.283999999999999</v>
      </c>
      <c r="BA124" s="21">
        <v>-3.6315899999999998E-2</v>
      </c>
      <c r="BB124" s="21">
        <v>114</v>
      </c>
      <c r="BC124" s="21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5.09644E-2</v>
      </c>
      <c r="H125" s="21">
        <v>47.969299999999997</v>
      </c>
      <c r="I125" s="21">
        <v>-4.35638E-2</v>
      </c>
      <c r="J125" s="21">
        <v>115</v>
      </c>
      <c r="K125" s="21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1">
        <v>0.479126</v>
      </c>
      <c r="P125" s="21">
        <v>50.6098</v>
      </c>
      <c r="Q125" s="21">
        <v>-3.5937499999999997E-2</v>
      </c>
      <c r="R125" s="21">
        <v>115</v>
      </c>
      <c r="S125" s="21">
        <v>0.47802699999999998</v>
      </c>
      <c r="T125">
        <f t="shared" si="14"/>
        <v>35.9375</v>
      </c>
      <c r="U125">
        <f t="shared" si="15"/>
        <v>17.218590625000001</v>
      </c>
      <c r="X125" s="9"/>
      <c r="Y125" s="21">
        <v>5.09644E-2</v>
      </c>
      <c r="Z125" s="21">
        <v>53.000399999999999</v>
      </c>
      <c r="AA125" s="21">
        <v>-4.3597400000000001E-2</v>
      </c>
      <c r="AB125" s="21">
        <v>115</v>
      </c>
      <c r="AC125" s="21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1">
        <v>0.479126</v>
      </c>
      <c r="AH125" s="21">
        <v>55.472000000000001</v>
      </c>
      <c r="AI125" s="21">
        <v>-3.5876499999999999E-2</v>
      </c>
      <c r="AJ125" s="21">
        <v>115</v>
      </c>
      <c r="AK125" s="21">
        <v>0.47790500000000002</v>
      </c>
      <c r="AL125">
        <f t="shared" si="18"/>
        <v>35.8765</v>
      </c>
      <c r="AM125">
        <f t="shared" si="19"/>
        <v>17.189363939</v>
      </c>
      <c r="AP125" s="9"/>
      <c r="AQ125" s="21">
        <v>5.09644E-2</v>
      </c>
      <c r="AR125" s="21">
        <v>58.145499999999998</v>
      </c>
      <c r="AS125" s="21">
        <v>-4.3551600000000003E-2</v>
      </c>
      <c r="AT125" s="21">
        <v>115</v>
      </c>
      <c r="AU125" s="21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1">
        <v>0.479126</v>
      </c>
      <c r="AZ125" s="21">
        <v>61.2941</v>
      </c>
      <c r="BA125" s="21">
        <v>-3.5809300000000002E-2</v>
      </c>
      <c r="BB125" s="21">
        <v>115</v>
      </c>
      <c r="BC125" s="21">
        <v>0.477966</v>
      </c>
      <c r="BD125">
        <f t="shared" si="22"/>
        <v>35.8093</v>
      </c>
      <c r="BE125">
        <f t="shared" si="23"/>
        <v>17.157166671799999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4.5928999999999998E-2</v>
      </c>
      <c r="H126" s="21">
        <v>47.979300000000002</v>
      </c>
      <c r="I126" s="21">
        <v>-4.3566899999999999E-2</v>
      </c>
      <c r="J126" s="21">
        <v>116</v>
      </c>
      <c r="K126" s="21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1">
        <v>0.48416100000000001</v>
      </c>
      <c r="P126" s="21">
        <v>50.619900000000001</v>
      </c>
      <c r="Q126" s="21">
        <v>-3.5403400000000002E-2</v>
      </c>
      <c r="R126" s="21">
        <v>116</v>
      </c>
      <c r="S126" s="21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1">
        <v>4.5928999999999998E-2</v>
      </c>
      <c r="Z126" s="21">
        <v>53.0105</v>
      </c>
      <c r="AA126" s="21">
        <v>-4.3609599999999998E-2</v>
      </c>
      <c r="AB126" s="21">
        <v>116</v>
      </c>
      <c r="AC126" s="21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1">
        <v>0.48416100000000001</v>
      </c>
      <c r="AH126" s="21">
        <v>55.481999999999999</v>
      </c>
      <c r="AI126" s="21">
        <v>-3.53271E-2</v>
      </c>
      <c r="AJ126" s="21">
        <v>116</v>
      </c>
      <c r="AK126" s="21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1">
        <v>4.5928999999999998E-2</v>
      </c>
      <c r="AR126" s="21">
        <v>58.1556</v>
      </c>
      <c r="AS126" s="21">
        <v>-4.35638E-2</v>
      </c>
      <c r="AT126" s="21">
        <v>116</v>
      </c>
      <c r="AU126" s="21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1">
        <v>0.48416100000000001</v>
      </c>
      <c r="AZ126" s="21">
        <v>61.304200000000002</v>
      </c>
      <c r="BA126" s="21">
        <v>-3.5250900000000002E-2</v>
      </c>
      <c r="BB126" s="21">
        <v>116</v>
      </c>
      <c r="BC126" s="21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4.0893600000000002E-2</v>
      </c>
      <c r="H127" s="21">
        <v>47.989400000000003</v>
      </c>
      <c r="I127" s="21">
        <v>-4.3569900000000002E-2</v>
      </c>
      <c r="J127" s="21">
        <v>117</v>
      </c>
      <c r="K127" s="21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1">
        <v>0.48919699999999999</v>
      </c>
      <c r="P127" s="21">
        <v>50.63</v>
      </c>
      <c r="Q127" s="21">
        <v>-3.4817500000000001E-2</v>
      </c>
      <c r="R127" s="21">
        <v>117</v>
      </c>
      <c r="S127" s="21">
        <v>0.488068</v>
      </c>
      <c r="T127">
        <f t="shared" si="14"/>
        <v>34.817500000000003</v>
      </c>
      <c r="U127">
        <f t="shared" si="15"/>
        <v>17.032616547500002</v>
      </c>
      <c r="X127" s="9"/>
      <c r="Y127" s="21">
        <v>4.0893600000000002E-2</v>
      </c>
      <c r="Z127" s="21">
        <v>53.020499999999998</v>
      </c>
      <c r="AA127" s="21">
        <v>-4.3609599999999998E-2</v>
      </c>
      <c r="AB127" s="21">
        <v>117</v>
      </c>
      <c r="AC127" s="21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1">
        <v>0.48919699999999999</v>
      </c>
      <c r="AH127" s="21">
        <v>55.492100000000001</v>
      </c>
      <c r="AI127" s="21">
        <v>-3.4738199999999997E-2</v>
      </c>
      <c r="AJ127" s="21">
        <v>117</v>
      </c>
      <c r="AK127" s="21">
        <v>0.488037</v>
      </c>
      <c r="AL127">
        <f t="shared" si="18"/>
        <v>34.738199999999999</v>
      </c>
      <c r="AM127">
        <f t="shared" si="19"/>
        <v>16.9938232254</v>
      </c>
      <c r="AP127" s="9"/>
      <c r="AQ127" s="21">
        <v>4.0893600000000002E-2</v>
      </c>
      <c r="AR127" s="21">
        <v>58.165700000000001</v>
      </c>
      <c r="AS127" s="21">
        <v>-4.3575999999999997E-2</v>
      </c>
      <c r="AT127" s="21">
        <v>117</v>
      </c>
      <c r="AU127" s="21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1">
        <v>0.48919699999999999</v>
      </c>
      <c r="AZ127" s="21">
        <v>61.314300000000003</v>
      </c>
      <c r="BA127" s="21">
        <v>-3.4652700000000002E-2</v>
      </c>
      <c r="BB127" s="21">
        <v>117</v>
      </c>
      <c r="BC127" s="21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3.58582E-2</v>
      </c>
      <c r="H128" s="21">
        <v>47.999499999999998</v>
      </c>
      <c r="I128" s="21">
        <v>-4.3566899999999999E-2</v>
      </c>
      <c r="J128" s="21">
        <v>118</v>
      </c>
      <c r="K128" s="21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1">
        <v>0.494232</v>
      </c>
      <c r="P128" s="21">
        <v>50.64</v>
      </c>
      <c r="Q128" s="21">
        <v>-3.41797E-2</v>
      </c>
      <c r="R128" s="21">
        <v>118</v>
      </c>
      <c r="S128" s="21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1">
        <v>3.58582E-2</v>
      </c>
      <c r="Z128" s="21">
        <v>53.0306</v>
      </c>
      <c r="AA128" s="21">
        <v>-4.3612699999999997E-2</v>
      </c>
      <c r="AB128" s="21">
        <v>118</v>
      </c>
      <c r="AC128" s="21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1">
        <v>0.494232</v>
      </c>
      <c r="AH128" s="21">
        <v>55.502200000000002</v>
      </c>
      <c r="AI128" s="21">
        <v>-3.4094199999999998E-2</v>
      </c>
      <c r="AJ128" s="21">
        <v>118</v>
      </c>
      <c r="AK128" s="21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1">
        <v>3.58582E-2</v>
      </c>
      <c r="AR128" s="21">
        <v>58.175699999999999</v>
      </c>
      <c r="AS128" s="21">
        <v>-4.3585199999999998E-2</v>
      </c>
      <c r="AT128" s="21">
        <v>118</v>
      </c>
      <c r="AU128" s="21">
        <v>3.5577400000000002E-2</v>
      </c>
      <c r="AV128">
        <f t="shared" si="20"/>
        <v>43.5852</v>
      </c>
      <c r="AW128">
        <f t="shared" si="21"/>
        <v>1.56288681864</v>
      </c>
      <c r="AX128" s="9"/>
      <c r="AY128" s="21">
        <v>0.494232</v>
      </c>
      <c r="AZ128" s="21">
        <v>61.324300000000001</v>
      </c>
      <c r="BA128" s="21">
        <v>-3.4011800000000002E-2</v>
      </c>
      <c r="BB128" s="21">
        <v>118</v>
      </c>
      <c r="BC128" s="21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3.0822800000000001E-2</v>
      </c>
      <c r="H129" s="21">
        <v>48.009500000000003</v>
      </c>
      <c r="I129" s="21">
        <v>-4.3569900000000002E-2</v>
      </c>
      <c r="J129" s="21">
        <v>119</v>
      </c>
      <c r="K129" s="21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1">
        <v>0.49926799999999999</v>
      </c>
      <c r="P129" s="21">
        <v>50.650100000000002</v>
      </c>
      <c r="Q129" s="21">
        <v>-3.3489999999999999E-2</v>
      </c>
      <c r="R129" s="21">
        <v>119</v>
      </c>
      <c r="S129" s="21">
        <v>0.49813800000000003</v>
      </c>
      <c r="T129">
        <f t="shared" si="14"/>
        <v>33.49</v>
      </c>
      <c r="U129">
        <f t="shared" si="15"/>
        <v>16.720485320000002</v>
      </c>
      <c r="X129" s="9"/>
      <c r="Y129" s="21">
        <v>3.0822800000000001E-2</v>
      </c>
      <c r="Z129" s="21">
        <v>53.040700000000001</v>
      </c>
      <c r="AA129" s="21">
        <v>-4.3612699999999997E-2</v>
      </c>
      <c r="AB129" s="21">
        <v>119</v>
      </c>
      <c r="AC129" s="21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1">
        <v>0.49926799999999999</v>
      </c>
      <c r="AH129" s="21">
        <v>55.5122</v>
      </c>
      <c r="AI129" s="21">
        <v>-3.3386199999999998E-2</v>
      </c>
      <c r="AJ129" s="21">
        <v>119</v>
      </c>
      <c r="AK129" s="21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1">
        <v>3.0822800000000001E-2</v>
      </c>
      <c r="AR129" s="21">
        <v>58.1858</v>
      </c>
      <c r="AS129" s="21">
        <v>-4.3597400000000001E-2</v>
      </c>
      <c r="AT129" s="21">
        <v>119</v>
      </c>
      <c r="AU129" s="21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1">
        <v>0.49926799999999999</v>
      </c>
      <c r="AZ129" s="21">
        <v>61.334400000000002</v>
      </c>
      <c r="BA129" s="21">
        <v>-3.3313000000000002E-2</v>
      </c>
      <c r="BB129" s="21">
        <v>119</v>
      </c>
      <c r="BC129" s="21">
        <v>0.498108</v>
      </c>
      <c r="BD129">
        <f t="shared" si="22"/>
        <v>33.313000000000002</v>
      </c>
      <c r="BE129">
        <f t="shared" si="23"/>
        <v>16.632114884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2.5787399999999999E-2</v>
      </c>
      <c r="H130" s="21">
        <v>48.019599999999997</v>
      </c>
      <c r="I130" s="21">
        <v>-4.3573000000000001E-2</v>
      </c>
      <c r="J130" s="21">
        <v>120</v>
      </c>
      <c r="K130" s="21">
        <v>2.5412000000000001E-2</v>
      </c>
      <c r="L130">
        <f t="shared" si="12"/>
        <v>43.573</v>
      </c>
      <c r="M130">
        <f t="shared" si="13"/>
        <v>1.1236343801999999</v>
      </c>
      <c r="N130" s="9"/>
      <c r="O130" s="21">
        <v>0.50430299999999995</v>
      </c>
      <c r="P130" s="21">
        <v>50.660200000000003</v>
      </c>
      <c r="Q130" s="21">
        <v>-3.2742300000000002E-2</v>
      </c>
      <c r="R130" s="21">
        <v>120</v>
      </c>
      <c r="S130" s="21">
        <v>0.50320399999999998</v>
      </c>
      <c r="T130">
        <f t="shared" si="14"/>
        <v>32.7423</v>
      </c>
      <c r="U130">
        <f t="shared" si="15"/>
        <v>16.5120401169</v>
      </c>
      <c r="X130" s="9"/>
      <c r="Y130" s="21">
        <v>2.5787399999999999E-2</v>
      </c>
      <c r="Z130" s="21">
        <v>53.050699999999999</v>
      </c>
      <c r="AA130" s="21">
        <v>-4.3621800000000002E-2</v>
      </c>
      <c r="AB130" s="21">
        <v>120</v>
      </c>
      <c r="AC130" s="21">
        <v>2.54822E-2</v>
      </c>
      <c r="AD130">
        <f t="shared" si="16"/>
        <v>43.6218</v>
      </c>
      <c r="AE130">
        <f t="shared" si="17"/>
        <v>1.12489280532</v>
      </c>
      <c r="AF130" s="9"/>
      <c r="AG130" s="21">
        <v>0.50430299999999995</v>
      </c>
      <c r="AH130" s="21">
        <v>55.522300000000001</v>
      </c>
      <c r="AI130" s="21">
        <v>-3.2632399999999999E-2</v>
      </c>
      <c r="AJ130" s="21">
        <v>120</v>
      </c>
      <c r="AK130" s="21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1">
        <v>2.5787399999999999E-2</v>
      </c>
      <c r="AR130" s="21">
        <v>58.195900000000002</v>
      </c>
      <c r="AS130" s="21">
        <v>-4.36005E-2</v>
      </c>
      <c r="AT130" s="21">
        <v>120</v>
      </c>
      <c r="AU130" s="21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1">
        <v>0.50430299999999995</v>
      </c>
      <c r="AZ130" s="21">
        <v>61.344499999999996</v>
      </c>
      <c r="BA130" s="21">
        <v>-3.2553100000000001E-2</v>
      </c>
      <c r="BB130" s="21">
        <v>120</v>
      </c>
      <c r="BC130" s="21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2.0752E-2</v>
      </c>
      <c r="H131" s="21">
        <v>48.029699999999998</v>
      </c>
      <c r="I131" s="21">
        <v>-4.3582200000000001E-2</v>
      </c>
      <c r="J131" s="21">
        <v>121</v>
      </c>
      <c r="K131" s="21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1">
        <v>0.50933799999999996</v>
      </c>
      <c r="P131" s="21">
        <v>50.670200000000001</v>
      </c>
      <c r="Q131" s="21">
        <v>-3.1930500000000001E-2</v>
      </c>
      <c r="R131" s="21">
        <v>121</v>
      </c>
      <c r="S131" s="21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1">
        <v>2.0752E-2</v>
      </c>
      <c r="Z131" s="21">
        <v>53.0608</v>
      </c>
      <c r="AA131" s="21">
        <v>-4.3633999999999999E-2</v>
      </c>
      <c r="AB131" s="21">
        <v>121</v>
      </c>
      <c r="AC131" s="21">
        <v>2.03705E-2</v>
      </c>
      <c r="AD131">
        <f t="shared" si="16"/>
        <v>43.634</v>
      </c>
      <c r="AE131">
        <f t="shared" si="17"/>
        <v>0.905492768</v>
      </c>
      <c r="AF131" s="9"/>
      <c r="AG131" s="21">
        <v>0.50933799999999996</v>
      </c>
      <c r="AH131" s="21">
        <v>55.532400000000003</v>
      </c>
      <c r="AI131" s="21">
        <v>-3.1808500000000003E-2</v>
      </c>
      <c r="AJ131" s="21">
        <v>121</v>
      </c>
      <c r="AK131" s="21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1">
        <v>2.0752E-2</v>
      </c>
      <c r="AR131" s="21">
        <v>58.206000000000003</v>
      </c>
      <c r="AS131" s="21">
        <v>-4.3606600000000002E-2</v>
      </c>
      <c r="AT131" s="21">
        <v>121</v>
      </c>
      <c r="AU131" s="21">
        <v>2.03552E-2</v>
      </c>
      <c r="AV131">
        <f t="shared" si="20"/>
        <v>43.6066</v>
      </c>
      <c r="AW131">
        <f t="shared" si="21"/>
        <v>0.90492416320000002</v>
      </c>
      <c r="AX131" s="9"/>
      <c r="AY131" s="21">
        <v>0.50933799999999996</v>
      </c>
      <c r="AZ131" s="21">
        <v>61.354500000000002</v>
      </c>
      <c r="BA131" s="21">
        <v>-3.1735199999999998E-2</v>
      </c>
      <c r="BB131" s="21">
        <v>121</v>
      </c>
      <c r="BC131" s="21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1.5716600000000001E-2</v>
      </c>
      <c r="H132" s="21">
        <v>48.0398</v>
      </c>
      <c r="I132" s="21">
        <v>-4.3597400000000001E-2</v>
      </c>
      <c r="J132" s="21">
        <v>122</v>
      </c>
      <c r="K132" s="21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1">
        <v>0.514374</v>
      </c>
      <c r="P132" s="21">
        <v>50.680300000000003</v>
      </c>
      <c r="Q132" s="21">
        <v>-3.1057700000000001E-2</v>
      </c>
      <c r="R132" s="21">
        <v>122</v>
      </c>
      <c r="S132" s="21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1">
        <v>1.5716600000000001E-2</v>
      </c>
      <c r="Z132" s="21">
        <v>53.070900000000002</v>
      </c>
      <c r="AA132" s="21">
        <v>-4.3640100000000001E-2</v>
      </c>
      <c r="AB132" s="21">
        <v>122</v>
      </c>
      <c r="AC132" s="21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1">
        <v>0.514374</v>
      </c>
      <c r="AH132" s="21">
        <v>55.542499999999997</v>
      </c>
      <c r="AI132" s="21">
        <v>-3.0929600000000002E-2</v>
      </c>
      <c r="AJ132" s="21">
        <v>122</v>
      </c>
      <c r="AK132" s="21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1">
        <v>1.5716600000000001E-2</v>
      </c>
      <c r="AR132" s="21">
        <v>58.216000000000001</v>
      </c>
      <c r="AS132" s="21">
        <v>-4.3606600000000002E-2</v>
      </c>
      <c r="AT132" s="21">
        <v>122</v>
      </c>
      <c r="AU132" s="21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1">
        <v>0.514374</v>
      </c>
      <c r="AZ132" s="21">
        <v>61.364600000000003</v>
      </c>
      <c r="BA132" s="21">
        <v>-3.0850200000000001E-2</v>
      </c>
      <c r="BB132" s="21">
        <v>122</v>
      </c>
      <c r="BC132" s="21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1.06812E-2</v>
      </c>
      <c r="H133" s="21">
        <v>48.049799999999998</v>
      </c>
      <c r="I133" s="21">
        <v>-4.3606600000000002E-2</v>
      </c>
      <c r="J133" s="21">
        <v>123</v>
      </c>
      <c r="K133" s="21">
        <v>1.02997E-2</v>
      </c>
      <c r="L133">
        <f t="shared" si="12"/>
        <v>43.6066</v>
      </c>
      <c r="M133">
        <f t="shared" si="13"/>
        <v>0.46577081592000003</v>
      </c>
      <c r="N133" s="9"/>
      <c r="O133" s="21">
        <v>0.51940900000000001</v>
      </c>
      <c r="P133" s="21">
        <v>50.690399999999997</v>
      </c>
      <c r="Q133" s="21">
        <v>-3.0127000000000001E-2</v>
      </c>
      <c r="R133" s="21">
        <v>123</v>
      </c>
      <c r="S133" s="21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1">
        <v>1.06812E-2</v>
      </c>
      <c r="Z133" s="21">
        <v>53.081000000000003</v>
      </c>
      <c r="AA133" s="21">
        <v>-4.3649300000000002E-2</v>
      </c>
      <c r="AB133" s="21">
        <v>123</v>
      </c>
      <c r="AC133" s="21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1">
        <v>0.51940900000000001</v>
      </c>
      <c r="AH133" s="21">
        <v>55.552500000000002</v>
      </c>
      <c r="AI133" s="21">
        <v>-2.9986599999999999E-2</v>
      </c>
      <c r="AJ133" s="21">
        <v>123</v>
      </c>
      <c r="AK133" s="21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1">
        <v>1.06812E-2</v>
      </c>
      <c r="AR133" s="21">
        <v>58.226100000000002</v>
      </c>
      <c r="AS133" s="21">
        <v>-4.3621800000000002E-2</v>
      </c>
      <c r="AT133" s="21">
        <v>123</v>
      </c>
      <c r="AU133" s="21">
        <v>1.03149E-2</v>
      </c>
      <c r="AV133">
        <f t="shared" si="20"/>
        <v>43.6218</v>
      </c>
      <c r="AW133">
        <f t="shared" si="21"/>
        <v>0.46593317016000002</v>
      </c>
      <c r="AX133" s="9"/>
      <c r="AY133" s="21">
        <v>0.51940900000000001</v>
      </c>
      <c r="AZ133" s="21">
        <v>61.374699999999997</v>
      </c>
      <c r="BA133" s="21">
        <v>-2.99133E-2</v>
      </c>
      <c r="BB133" s="21">
        <v>123</v>
      </c>
      <c r="BC133" s="21">
        <v>0.51831099999999997</v>
      </c>
      <c r="BD133">
        <f t="shared" si="22"/>
        <v>29.9133</v>
      </c>
      <c r="BE133">
        <f t="shared" si="23"/>
        <v>15.5372372397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5.6457499999999997E-3</v>
      </c>
      <c r="H134" s="21">
        <v>48.059899999999999</v>
      </c>
      <c r="I134" s="21">
        <v>-4.3618799999999999E-2</v>
      </c>
      <c r="J134" s="21">
        <v>124</v>
      </c>
      <c r="K134" s="21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1">
        <v>0.52444500000000005</v>
      </c>
      <c r="P134" s="21">
        <v>50.700499999999998</v>
      </c>
      <c r="Q134" s="21">
        <v>-2.9113799999999999E-2</v>
      </c>
      <c r="R134" s="21">
        <v>124</v>
      </c>
      <c r="S134" s="21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1">
        <v>5.6457499999999997E-3</v>
      </c>
      <c r="Z134" s="21">
        <v>53.091000000000001</v>
      </c>
      <c r="AA134" s="21">
        <v>-4.3652299999999998E-2</v>
      </c>
      <c r="AB134" s="21">
        <v>124</v>
      </c>
      <c r="AC134" s="21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1">
        <v>0.52444500000000005</v>
      </c>
      <c r="AH134" s="21">
        <v>55.562600000000003</v>
      </c>
      <c r="AI134" s="21">
        <v>-2.89734E-2</v>
      </c>
      <c r="AJ134" s="21">
        <v>124</v>
      </c>
      <c r="AK134" s="21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1">
        <v>5.6457499999999997E-3</v>
      </c>
      <c r="AR134" s="21">
        <v>58.236199999999997</v>
      </c>
      <c r="AS134" s="21">
        <v>-4.3637099999999998E-2</v>
      </c>
      <c r="AT134" s="21">
        <v>124</v>
      </c>
      <c r="AU134" s="21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1">
        <v>0.52444500000000005</v>
      </c>
      <c r="AZ134" s="21">
        <v>61.384799999999998</v>
      </c>
      <c r="BA134" s="21">
        <v>-2.8887900000000001E-2</v>
      </c>
      <c r="BB134" s="21">
        <v>124</v>
      </c>
      <c r="BC134" s="21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6.1035199999999999E-4</v>
      </c>
      <c r="H135" s="21">
        <v>48.07</v>
      </c>
      <c r="I135" s="21">
        <v>-4.3612699999999997E-2</v>
      </c>
      <c r="J135" s="21">
        <v>125</v>
      </c>
      <c r="K135" s="21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1">
        <v>0.52947999999999995</v>
      </c>
      <c r="P135" s="21">
        <v>50.710500000000003</v>
      </c>
      <c r="Q135" s="21">
        <v>-2.80334E-2</v>
      </c>
      <c r="R135" s="21">
        <v>125</v>
      </c>
      <c r="S135" s="21">
        <v>0.52844199999999997</v>
      </c>
      <c r="T135">
        <f t="shared" si="14"/>
        <v>28.0334</v>
      </c>
      <c r="U135">
        <f t="shared" si="15"/>
        <v>14.843124631999999</v>
      </c>
      <c r="X135" s="9"/>
      <c r="Y135" s="21">
        <v>6.1035199999999999E-4</v>
      </c>
      <c r="Z135" s="21">
        <v>53.101100000000002</v>
      </c>
      <c r="AA135" s="21">
        <v>-4.3655399999999997E-2</v>
      </c>
      <c r="AB135" s="21">
        <v>125</v>
      </c>
      <c r="AC135" s="21">
        <v>2.34985E-4</v>
      </c>
      <c r="AD135">
        <f t="shared" si="16"/>
        <v>43.6554</v>
      </c>
      <c r="AE135">
        <f t="shared" si="17"/>
        <v>2.6645160700799999E-2</v>
      </c>
      <c r="AF135" s="9"/>
      <c r="AG135" s="21">
        <v>0.52947999999999995</v>
      </c>
      <c r="AH135" s="21">
        <v>55.572699999999998</v>
      </c>
      <c r="AI135" s="21">
        <v>-2.78961E-2</v>
      </c>
      <c r="AJ135" s="21">
        <v>125</v>
      </c>
      <c r="AK135" s="21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1">
        <v>6.1035199999999999E-4</v>
      </c>
      <c r="AR135" s="21">
        <v>58.246200000000002</v>
      </c>
      <c r="AS135" s="21">
        <v>-4.3640100000000001E-2</v>
      </c>
      <c r="AT135" s="21">
        <v>125</v>
      </c>
      <c r="AU135" s="21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1">
        <v>0.52947999999999995</v>
      </c>
      <c r="AZ135" s="21">
        <v>61.394799999999996</v>
      </c>
      <c r="BA135" s="21">
        <v>-2.77863E-2</v>
      </c>
      <c r="BB135" s="21">
        <v>125</v>
      </c>
      <c r="BC135" s="21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-4.4250499999999998E-3</v>
      </c>
      <c r="H136" s="21">
        <v>48.08</v>
      </c>
      <c r="I136" s="21">
        <v>-4.3603500000000003E-2</v>
      </c>
      <c r="J136" s="21">
        <v>126</v>
      </c>
      <c r="K136" s="21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1">
        <v>0.53451499999999996</v>
      </c>
      <c r="P136" s="21">
        <v>50.720599999999997</v>
      </c>
      <c r="Q136" s="21">
        <v>-2.6870700000000001E-2</v>
      </c>
      <c r="R136" s="21">
        <v>126</v>
      </c>
      <c r="S136" s="21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1">
        <v>-4.4250499999999998E-3</v>
      </c>
      <c r="Z136" s="21">
        <v>53.111199999999997</v>
      </c>
      <c r="AA136" s="21">
        <v>-4.3649300000000002E-2</v>
      </c>
      <c r="AB136" s="21">
        <v>126</v>
      </c>
      <c r="AC136" s="21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1">
        <v>0.53451499999999996</v>
      </c>
      <c r="AH136" s="21">
        <v>55.582700000000003</v>
      </c>
      <c r="AI136" s="21">
        <v>-2.6733400000000001E-2</v>
      </c>
      <c r="AJ136" s="21">
        <v>126</v>
      </c>
      <c r="AK136" s="21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1">
        <v>-4.4250499999999998E-3</v>
      </c>
      <c r="AR136" s="21">
        <v>58.256300000000003</v>
      </c>
      <c r="AS136" s="21">
        <v>-4.3649300000000002E-2</v>
      </c>
      <c r="AT136" s="21">
        <v>126</v>
      </c>
      <c r="AU136" s="21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1">
        <v>0.53451499999999996</v>
      </c>
      <c r="AZ136" s="21">
        <v>61.404899999999998</v>
      </c>
      <c r="BA136" s="21">
        <v>-2.6602199999999999E-2</v>
      </c>
      <c r="BB136" s="21">
        <v>126</v>
      </c>
      <c r="BC136" s="21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-9.4604500000000005E-3</v>
      </c>
      <c r="H137" s="21">
        <v>48.0901</v>
      </c>
      <c r="I137" s="21">
        <v>-4.3603500000000003E-2</v>
      </c>
      <c r="J137" s="21">
        <v>127</v>
      </c>
      <c r="K137" s="21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1">
        <v>0.539551</v>
      </c>
      <c r="P137" s="21">
        <v>50.730699999999999</v>
      </c>
      <c r="Q137" s="21">
        <v>-2.56317E-2</v>
      </c>
      <c r="R137" s="21">
        <v>127</v>
      </c>
      <c r="S137" s="21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1">
        <v>-9.4604500000000005E-3</v>
      </c>
      <c r="Z137" s="21">
        <v>53.121200000000002</v>
      </c>
      <c r="AA137" s="21">
        <v>-4.3637099999999998E-2</v>
      </c>
      <c r="AB137" s="21">
        <v>127</v>
      </c>
      <c r="AC137" s="21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1">
        <v>0.539551</v>
      </c>
      <c r="AH137" s="21">
        <v>55.592799999999997</v>
      </c>
      <c r="AI137" s="21">
        <v>-2.54822E-2</v>
      </c>
      <c r="AJ137" s="21">
        <v>127</v>
      </c>
      <c r="AK137" s="21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1">
        <v>-9.4604500000000005E-3</v>
      </c>
      <c r="AR137" s="21">
        <v>58.266399999999997</v>
      </c>
      <c r="AS137" s="21">
        <v>-4.3652299999999998E-2</v>
      </c>
      <c r="AT137" s="21">
        <v>127</v>
      </c>
      <c r="AU137" s="21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1">
        <v>0.539551</v>
      </c>
      <c r="AZ137" s="21">
        <v>61.414999999999999</v>
      </c>
      <c r="BA137" s="21">
        <v>-2.5350999999999999E-2</v>
      </c>
      <c r="BB137" s="21">
        <v>127</v>
      </c>
      <c r="BC137" s="21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-1.44958E-2</v>
      </c>
      <c r="H138" s="21">
        <v>48.100200000000001</v>
      </c>
      <c r="I138" s="21">
        <v>-4.3612699999999997E-2</v>
      </c>
      <c r="J138" s="21">
        <v>128</v>
      </c>
      <c r="K138" s="21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1">
        <v>0.54458600000000001</v>
      </c>
      <c r="P138" s="21">
        <v>50.740699999999997</v>
      </c>
      <c r="Q138" s="21">
        <v>-2.43073E-2</v>
      </c>
      <c r="R138" s="21">
        <v>128</v>
      </c>
      <c r="S138" s="21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1">
        <v>-1.44958E-2</v>
      </c>
      <c r="Z138" s="21">
        <v>53.131300000000003</v>
      </c>
      <c r="AA138" s="21">
        <v>-4.3633999999999999E-2</v>
      </c>
      <c r="AB138" s="21">
        <v>128</v>
      </c>
      <c r="AC138" s="21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1">
        <v>0.54458600000000001</v>
      </c>
      <c r="AH138" s="21">
        <v>55.602899999999998</v>
      </c>
      <c r="AI138" s="21">
        <v>-2.4157700000000001E-2</v>
      </c>
      <c r="AJ138" s="21">
        <v>128</v>
      </c>
      <c r="AK138" s="21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1">
        <v>-1.44958E-2</v>
      </c>
      <c r="AR138" s="21">
        <v>58.276499999999999</v>
      </c>
      <c r="AS138" s="21">
        <v>-4.3652299999999998E-2</v>
      </c>
      <c r="AT138" s="21">
        <v>128</v>
      </c>
      <c r="AU138" s="21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1">
        <v>0.54458600000000001</v>
      </c>
      <c r="AZ138" s="21">
        <v>61.424999999999997</v>
      </c>
      <c r="BA138" s="21">
        <v>-2.40082E-2</v>
      </c>
      <c r="BB138" s="21">
        <v>128</v>
      </c>
      <c r="BC138" s="21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-1.9531300000000001E-2</v>
      </c>
      <c r="H139" s="21">
        <v>48.110300000000002</v>
      </c>
      <c r="I139" s="21">
        <v>-4.3633999999999999E-2</v>
      </c>
      <c r="J139" s="21">
        <v>129</v>
      </c>
      <c r="K139" s="21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1">
        <v>0.54962200000000005</v>
      </c>
      <c r="P139" s="21">
        <v>50.750799999999998</v>
      </c>
      <c r="Q139" s="21">
        <v>-2.2894299999999999E-2</v>
      </c>
      <c r="R139" s="21">
        <v>129</v>
      </c>
      <c r="S139" s="21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1">
        <v>-1.9531300000000001E-2</v>
      </c>
      <c r="Z139" s="21">
        <v>53.141399999999997</v>
      </c>
      <c r="AA139" s="21">
        <v>-4.3633999999999999E-2</v>
      </c>
      <c r="AB139" s="21">
        <v>129</v>
      </c>
      <c r="AC139" s="21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1">
        <v>0.54962200000000005</v>
      </c>
      <c r="AH139" s="21">
        <v>55.613</v>
      </c>
      <c r="AI139" s="21">
        <v>-2.2735600000000002E-2</v>
      </c>
      <c r="AJ139" s="21">
        <v>129</v>
      </c>
      <c r="AK139" s="21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1">
        <v>-1.9531300000000001E-2</v>
      </c>
      <c r="AR139" s="21">
        <v>58.286499999999997</v>
      </c>
      <c r="AS139" s="21">
        <v>-4.3652299999999998E-2</v>
      </c>
      <c r="AT139" s="21">
        <v>129</v>
      </c>
      <c r="AU139" s="21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1">
        <v>0.54962200000000005</v>
      </c>
      <c r="AZ139" s="21">
        <v>61.435099999999998</v>
      </c>
      <c r="BA139" s="21">
        <v>-2.25769E-2</v>
      </c>
      <c r="BB139" s="21">
        <v>129</v>
      </c>
      <c r="BC139" s="21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-2.45667E-2</v>
      </c>
      <c r="H140" s="21">
        <v>48.1203</v>
      </c>
      <c r="I140" s="21">
        <v>-4.3637099999999998E-2</v>
      </c>
      <c r="J140" s="21">
        <v>130</v>
      </c>
      <c r="K140" s="21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1">
        <v>0.55465699999999996</v>
      </c>
      <c r="P140" s="21">
        <v>50.760899999999999</v>
      </c>
      <c r="Q140" s="21">
        <v>-2.1411099999999999E-2</v>
      </c>
      <c r="R140" s="21">
        <v>130</v>
      </c>
      <c r="S140" s="21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1">
        <v>-2.45667E-2</v>
      </c>
      <c r="Z140" s="21">
        <v>53.151499999999999</v>
      </c>
      <c r="AA140" s="21">
        <v>-4.3646200000000003E-2</v>
      </c>
      <c r="AB140" s="21">
        <v>130</v>
      </c>
      <c r="AC140" s="21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1">
        <v>0.55465699999999996</v>
      </c>
      <c r="AH140" s="21">
        <v>55.622999999999998</v>
      </c>
      <c r="AI140" s="21">
        <v>-2.1252400000000001E-2</v>
      </c>
      <c r="AJ140" s="21">
        <v>130</v>
      </c>
      <c r="AK140" s="21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1">
        <v>-2.45667E-2</v>
      </c>
      <c r="AR140" s="21">
        <v>58.296599999999998</v>
      </c>
      <c r="AS140" s="21">
        <v>-4.3655399999999997E-2</v>
      </c>
      <c r="AT140" s="21">
        <v>130</v>
      </c>
      <c r="AU140" s="21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1">
        <v>0.55465699999999996</v>
      </c>
      <c r="AZ140" s="21">
        <v>61.4452</v>
      </c>
      <c r="BA140" s="21">
        <v>-2.10785E-2</v>
      </c>
      <c r="BB140" s="21">
        <v>130</v>
      </c>
      <c r="BC140" s="21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-2.9602099999999999E-2</v>
      </c>
      <c r="H141" s="21">
        <v>48.130400000000002</v>
      </c>
      <c r="I141" s="21">
        <v>-4.3640100000000001E-2</v>
      </c>
      <c r="J141" s="21">
        <v>131</v>
      </c>
      <c r="K141" s="21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1">
        <v>0.55969199999999997</v>
      </c>
      <c r="P141" s="21">
        <v>50.771000000000001</v>
      </c>
      <c r="Q141" s="21">
        <v>-1.9815099999999999E-2</v>
      </c>
      <c r="R141" s="21">
        <v>131</v>
      </c>
      <c r="S141" s="21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1">
        <v>-2.9602099999999999E-2</v>
      </c>
      <c r="Z141" s="21">
        <v>53.161499999999997</v>
      </c>
      <c r="AA141" s="21">
        <v>-4.36584E-2</v>
      </c>
      <c r="AB141" s="21">
        <v>131</v>
      </c>
      <c r="AC141" s="21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1">
        <v>0.55969199999999997</v>
      </c>
      <c r="AH141" s="21">
        <v>55.633099999999999</v>
      </c>
      <c r="AI141" s="21">
        <v>-1.9653299999999999E-2</v>
      </c>
      <c r="AJ141" s="21">
        <v>131</v>
      </c>
      <c r="AK141" s="21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1">
        <v>-2.9602099999999999E-2</v>
      </c>
      <c r="AR141" s="21">
        <v>58.306699999999999</v>
      </c>
      <c r="AS141" s="21">
        <v>-4.3652299999999998E-2</v>
      </c>
      <c r="AT141" s="21">
        <v>131</v>
      </c>
      <c r="AU141" s="21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1">
        <v>0.55969199999999997</v>
      </c>
      <c r="AZ141" s="21">
        <v>61.455199999999998</v>
      </c>
      <c r="BA141" s="21">
        <v>-1.9476299999999998E-2</v>
      </c>
      <c r="BB141" s="21">
        <v>131</v>
      </c>
      <c r="BC141" s="21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-3.4637500000000002E-2</v>
      </c>
      <c r="H142" s="21">
        <v>48.140500000000003</v>
      </c>
      <c r="I142" s="21">
        <v>-4.36432E-2</v>
      </c>
      <c r="J142" s="21">
        <v>132</v>
      </c>
      <c r="K142" s="21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1">
        <v>0.56472800000000001</v>
      </c>
      <c r="P142" s="21">
        <v>50.780999999999999</v>
      </c>
      <c r="Q142" s="21">
        <v>-1.81488E-2</v>
      </c>
      <c r="R142" s="21">
        <v>132</v>
      </c>
      <c r="S142" s="21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1">
        <v>-3.4637500000000002E-2</v>
      </c>
      <c r="Z142" s="21">
        <v>53.171599999999998</v>
      </c>
      <c r="AA142" s="21">
        <v>-4.3667600000000001E-2</v>
      </c>
      <c r="AB142" s="21">
        <v>132</v>
      </c>
      <c r="AC142" s="21">
        <v>-3.5128800000000002E-2</v>
      </c>
      <c r="AD142">
        <f t="shared" si="28"/>
        <v>43.6676</v>
      </c>
      <c r="AE142">
        <f t="shared" si="29"/>
        <v>-1.512536495</v>
      </c>
      <c r="AF142" s="9"/>
      <c r="AG142" s="21">
        <v>0.56472800000000001</v>
      </c>
      <c r="AH142" s="21">
        <v>55.6432</v>
      </c>
      <c r="AI142" s="21">
        <v>-1.7993200000000001E-2</v>
      </c>
      <c r="AJ142" s="21">
        <v>132</v>
      </c>
      <c r="AK142" s="21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1">
        <v>-3.4637500000000002E-2</v>
      </c>
      <c r="AR142" s="21">
        <v>58.316699999999997</v>
      </c>
      <c r="AS142" s="21">
        <v>-4.3652299999999998E-2</v>
      </c>
      <c r="AT142" s="21">
        <v>132</v>
      </c>
      <c r="AU142" s="21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1">
        <v>0.56472800000000001</v>
      </c>
      <c r="AZ142" s="21">
        <v>61.465299999999999</v>
      </c>
      <c r="BA142" s="21">
        <v>-1.7807E-2</v>
      </c>
      <c r="BB142" s="21">
        <v>132</v>
      </c>
      <c r="BC142" s="21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-3.9672899999999997E-2</v>
      </c>
      <c r="H143" s="21">
        <v>48.150500000000001</v>
      </c>
      <c r="I143" s="21">
        <v>-4.3661499999999999E-2</v>
      </c>
      <c r="J143" s="21">
        <v>133</v>
      </c>
      <c r="K143" s="21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1">
        <v>0.56976300000000002</v>
      </c>
      <c r="P143" s="21">
        <v>50.7911</v>
      </c>
      <c r="Q143" s="21">
        <v>-1.63879E-2</v>
      </c>
      <c r="R143" s="21">
        <v>133</v>
      </c>
      <c r="S143" s="21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1">
        <v>-3.9672899999999997E-2</v>
      </c>
      <c r="Z143" s="21">
        <v>53.181699999999999</v>
      </c>
      <c r="AA143" s="21">
        <v>-4.3682899999999997E-2</v>
      </c>
      <c r="AB143" s="21">
        <v>133</v>
      </c>
      <c r="AC143" s="21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1">
        <v>0.56976300000000002</v>
      </c>
      <c r="AH143" s="21">
        <v>55.653199999999998</v>
      </c>
      <c r="AI143" s="21">
        <v>-1.6213999999999999E-2</v>
      </c>
      <c r="AJ143" s="21">
        <v>133</v>
      </c>
      <c r="AK143" s="21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1">
        <v>-3.9672899999999997E-2</v>
      </c>
      <c r="AR143" s="21">
        <v>58.326799999999999</v>
      </c>
      <c r="AS143" s="21">
        <v>-4.3652299999999998E-2</v>
      </c>
      <c r="AT143" s="21">
        <v>133</v>
      </c>
      <c r="AU143" s="21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1">
        <v>0.56976300000000002</v>
      </c>
      <c r="AZ143" s="21">
        <v>61.4754</v>
      </c>
      <c r="BA143" s="21">
        <v>-1.6039999999999999E-2</v>
      </c>
      <c r="BB143" s="21">
        <v>133</v>
      </c>
      <c r="BC143" s="21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-4.4708299999999999E-2</v>
      </c>
      <c r="H144" s="21">
        <v>48.160600000000002</v>
      </c>
      <c r="I144" s="21">
        <v>-4.3664599999999998E-2</v>
      </c>
      <c r="J144" s="21">
        <v>134</v>
      </c>
      <c r="K144" s="21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1">
        <v>0.57479899999999995</v>
      </c>
      <c r="P144" s="21">
        <v>50.801200000000001</v>
      </c>
      <c r="Q144" s="21">
        <v>-1.45325E-2</v>
      </c>
      <c r="R144" s="21">
        <v>134</v>
      </c>
      <c r="S144" s="21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1">
        <v>-4.4708299999999999E-2</v>
      </c>
      <c r="Z144" s="21">
        <v>53.191699999999997</v>
      </c>
      <c r="AA144" s="21">
        <v>-4.36859E-2</v>
      </c>
      <c r="AB144" s="21">
        <v>134</v>
      </c>
      <c r="AC144" s="21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1">
        <v>0.57479899999999995</v>
      </c>
      <c r="AH144" s="21">
        <v>55.6633</v>
      </c>
      <c r="AI144" s="21">
        <v>-1.43646E-2</v>
      </c>
      <c r="AJ144" s="21">
        <v>134</v>
      </c>
      <c r="AK144" s="21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1">
        <v>-4.4708299999999999E-2</v>
      </c>
      <c r="AR144" s="21">
        <v>58.3369</v>
      </c>
      <c r="AS144" s="21">
        <v>-4.3655399999999997E-2</v>
      </c>
      <c r="AT144" s="21">
        <v>134</v>
      </c>
      <c r="AU144" s="21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1">
        <v>0.57479899999999995</v>
      </c>
      <c r="AZ144" s="21">
        <v>61.485500000000002</v>
      </c>
      <c r="BA144" s="21">
        <v>-1.41785E-2</v>
      </c>
      <c r="BB144" s="21">
        <v>134</v>
      </c>
      <c r="BC144" s="21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-4.9743700000000002E-2</v>
      </c>
      <c r="H145" s="21">
        <v>48.170699999999997</v>
      </c>
      <c r="I145" s="21">
        <v>-4.3673700000000003E-2</v>
      </c>
      <c r="J145" s="21">
        <v>135</v>
      </c>
      <c r="K145" s="21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1">
        <v>0.57983399999999996</v>
      </c>
      <c r="P145" s="21">
        <v>50.811199999999999</v>
      </c>
      <c r="Q145" s="21">
        <v>-1.25854E-2</v>
      </c>
      <c r="R145" s="21">
        <v>135</v>
      </c>
      <c r="S145" s="21">
        <v>0.57910200000000001</v>
      </c>
      <c r="T145">
        <f t="shared" si="26"/>
        <v>12.5854</v>
      </c>
      <c r="U145">
        <f t="shared" si="27"/>
        <v>7.2974428235999991</v>
      </c>
      <c r="X145" s="9"/>
      <c r="Y145" s="21">
        <v>-4.9743700000000002E-2</v>
      </c>
      <c r="Z145" s="21">
        <v>53.201799999999999</v>
      </c>
      <c r="AA145" s="21">
        <v>-4.36859E-2</v>
      </c>
      <c r="AB145" s="21">
        <v>135</v>
      </c>
      <c r="AC145" s="21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1">
        <v>0.57983399999999996</v>
      </c>
      <c r="AH145" s="21">
        <v>55.673400000000001</v>
      </c>
      <c r="AI145" s="21">
        <v>-1.24084E-2</v>
      </c>
      <c r="AJ145" s="21">
        <v>135</v>
      </c>
      <c r="AK145" s="21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1">
        <v>-4.9743700000000002E-2</v>
      </c>
      <c r="AR145" s="21">
        <v>58.346899999999998</v>
      </c>
      <c r="AS145" s="21">
        <v>-4.3661499999999999E-2</v>
      </c>
      <c r="AT145" s="21">
        <v>135</v>
      </c>
      <c r="AU145" s="21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1">
        <v>0.57983399999999996</v>
      </c>
      <c r="AZ145" s="21">
        <v>61.4955</v>
      </c>
      <c r="BA145" s="21">
        <v>-1.2234500000000001E-2</v>
      </c>
      <c r="BB145" s="21">
        <v>135</v>
      </c>
      <c r="BC145" s="21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-5.4779099999999997E-2</v>
      </c>
      <c r="H146" s="21">
        <v>48.180799999999998</v>
      </c>
      <c r="I146" s="21">
        <v>-4.3679799999999998E-2</v>
      </c>
      <c r="J146" s="21">
        <v>136</v>
      </c>
      <c r="K146" s="21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1">
        <v>0.58486899999999997</v>
      </c>
      <c r="P146" s="21">
        <v>50.821300000000001</v>
      </c>
      <c r="Q146" s="21">
        <v>-1.0537700000000001E-2</v>
      </c>
      <c r="R146" s="21">
        <v>136</v>
      </c>
      <c r="S146" s="21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1">
        <v>-5.4779099999999997E-2</v>
      </c>
      <c r="Z146" s="21">
        <v>53.2119</v>
      </c>
      <c r="AA146" s="21">
        <v>-4.3679799999999998E-2</v>
      </c>
      <c r="AB146" s="21">
        <v>136</v>
      </c>
      <c r="AC146" s="21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1">
        <v>0.58486899999999997</v>
      </c>
      <c r="AH146" s="21">
        <v>55.683399999999999</v>
      </c>
      <c r="AI146" s="21">
        <v>-1.0376E-2</v>
      </c>
      <c r="AJ146" s="21">
        <v>136</v>
      </c>
      <c r="AK146" s="21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1">
        <v>-5.4779099999999997E-2</v>
      </c>
      <c r="AR146" s="21">
        <v>58.356999999999999</v>
      </c>
      <c r="AS146" s="21">
        <v>-4.3667600000000001E-2</v>
      </c>
      <c r="AT146" s="21">
        <v>136</v>
      </c>
      <c r="AU146" s="21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1">
        <v>0.58486899999999997</v>
      </c>
      <c r="AZ146" s="21">
        <v>61.505600000000001</v>
      </c>
      <c r="BA146" s="21">
        <v>-1.01929E-2</v>
      </c>
      <c r="BB146" s="21">
        <v>136</v>
      </c>
      <c r="BC146" s="21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-5.98145E-2</v>
      </c>
      <c r="H147" s="21">
        <v>48.190800000000003</v>
      </c>
      <c r="I147" s="21">
        <v>-4.3667600000000001E-2</v>
      </c>
      <c r="J147" s="21">
        <v>137</v>
      </c>
      <c r="K147" s="21">
        <v>-6.0913099999999998E-2</v>
      </c>
      <c r="L147">
        <f t="shared" si="24"/>
        <v>43.6676</v>
      </c>
      <c r="M147">
        <f t="shared" si="25"/>
        <v>-2.6119556602</v>
      </c>
      <c r="N147" s="9"/>
      <c r="O147" s="21">
        <v>0.58990500000000001</v>
      </c>
      <c r="P147" s="21">
        <v>50.831400000000002</v>
      </c>
      <c r="Q147" s="21">
        <v>-8.3984400000000001E-3</v>
      </c>
      <c r="R147" s="21">
        <v>137</v>
      </c>
      <c r="S147" s="21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1">
        <v>-5.98145E-2</v>
      </c>
      <c r="Z147" s="21">
        <v>53.221899999999998</v>
      </c>
      <c r="AA147" s="21">
        <v>-4.36859E-2</v>
      </c>
      <c r="AB147" s="21">
        <v>137</v>
      </c>
      <c r="AC147" s="21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1">
        <v>0.58990500000000001</v>
      </c>
      <c r="AH147" s="21">
        <v>55.6935</v>
      </c>
      <c r="AI147" s="21">
        <v>-8.2305899999999994E-3</v>
      </c>
      <c r="AJ147" s="21">
        <v>137</v>
      </c>
      <c r="AK147" s="21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1">
        <v>-5.98145E-2</v>
      </c>
      <c r="AR147" s="21">
        <v>58.367100000000001</v>
      </c>
      <c r="AS147" s="21">
        <v>-4.3661499999999999E-2</v>
      </c>
      <c r="AT147" s="21">
        <v>137</v>
      </c>
      <c r="AU147" s="21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1">
        <v>0.58990500000000001</v>
      </c>
      <c r="AZ147" s="21">
        <v>61.515700000000002</v>
      </c>
      <c r="BA147" s="21">
        <v>-8.0566400000000003E-3</v>
      </c>
      <c r="BB147" s="21">
        <v>137</v>
      </c>
      <c r="BC147" s="21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-6.4849900000000002E-2</v>
      </c>
      <c r="H148" s="21">
        <v>48.200899999999997</v>
      </c>
      <c r="I148" s="21">
        <v>-4.3667600000000001E-2</v>
      </c>
      <c r="J148" s="21">
        <v>138</v>
      </c>
      <c r="K148" s="21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1">
        <v>0.59494000000000002</v>
      </c>
      <c r="P148" s="21">
        <v>50.841500000000003</v>
      </c>
      <c r="Q148" s="21">
        <v>-6.1859100000000002E-3</v>
      </c>
      <c r="R148" s="21">
        <v>138</v>
      </c>
      <c r="S148" s="21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1">
        <v>-6.4849900000000002E-2</v>
      </c>
      <c r="Z148" s="21">
        <v>53.231999999999999</v>
      </c>
      <c r="AA148" s="21">
        <v>-4.3701200000000003E-2</v>
      </c>
      <c r="AB148" s="21">
        <v>138</v>
      </c>
      <c r="AC148" s="21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1">
        <v>0.59494000000000002</v>
      </c>
      <c r="AH148" s="21">
        <v>55.703600000000002</v>
      </c>
      <c r="AI148" s="21">
        <v>-6.0394300000000001E-3</v>
      </c>
      <c r="AJ148" s="21">
        <v>138</v>
      </c>
      <c r="AK148" s="21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1">
        <v>-6.4849900000000002E-2</v>
      </c>
      <c r="AR148" s="21">
        <v>58.377200000000002</v>
      </c>
      <c r="AS148" s="21">
        <v>-4.36707E-2</v>
      </c>
      <c r="AT148" s="21">
        <v>138</v>
      </c>
      <c r="AU148" s="21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1">
        <v>0.59494000000000002</v>
      </c>
      <c r="AZ148" s="21">
        <v>61.525700000000001</v>
      </c>
      <c r="BA148" s="21">
        <v>-5.8441200000000004E-3</v>
      </c>
      <c r="BB148" s="21">
        <v>138</v>
      </c>
      <c r="BC148" s="21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-6.9885299999999997E-2</v>
      </c>
      <c r="H149" s="21">
        <v>48.210999999999999</v>
      </c>
      <c r="I149" s="21">
        <v>-4.3667600000000001E-2</v>
      </c>
      <c r="J149" s="21">
        <v>139</v>
      </c>
      <c r="K149" s="21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1">
        <v>0.59997599999999995</v>
      </c>
      <c r="P149" s="21">
        <v>50.851500000000001</v>
      </c>
      <c r="Q149" s="21">
        <v>-3.87054E-3</v>
      </c>
      <c r="R149" s="21">
        <v>139</v>
      </c>
      <c r="S149" s="21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1">
        <v>-6.9885299999999997E-2</v>
      </c>
      <c r="Z149" s="21">
        <v>53.242100000000001</v>
      </c>
      <c r="AA149" s="21">
        <v>-4.3704199999999999E-2</v>
      </c>
      <c r="AB149" s="21">
        <v>139</v>
      </c>
      <c r="AC149" s="21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1">
        <v>0.59997599999999995</v>
      </c>
      <c r="AH149" s="21">
        <v>55.713700000000003</v>
      </c>
      <c r="AI149" s="21">
        <v>-3.7158199999999999E-3</v>
      </c>
      <c r="AJ149" s="21">
        <v>139</v>
      </c>
      <c r="AK149" s="21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1">
        <v>-6.9885299999999997E-2</v>
      </c>
      <c r="AR149" s="21">
        <v>58.3872</v>
      </c>
      <c r="AS149" s="21">
        <v>-4.3676800000000002E-2</v>
      </c>
      <c r="AT149" s="21">
        <v>139</v>
      </c>
      <c r="AU149" s="21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1">
        <v>0.59997599999999995</v>
      </c>
      <c r="AZ149" s="21">
        <v>61.535800000000002</v>
      </c>
      <c r="BA149" s="21">
        <v>-3.5290500000000002E-3</v>
      </c>
      <c r="BB149" s="21">
        <v>139</v>
      </c>
      <c r="BC149" s="21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-7.4920700000000007E-2</v>
      </c>
      <c r="H150" s="21">
        <v>48.220999999999997</v>
      </c>
      <c r="I150" s="21">
        <v>-4.36859E-2</v>
      </c>
      <c r="J150" s="21">
        <v>140</v>
      </c>
      <c r="K150" s="21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1">
        <v>0.60501099999999997</v>
      </c>
      <c r="P150" s="21">
        <v>50.861600000000003</v>
      </c>
      <c r="Q150" s="21">
        <v>-1.48621E-3</v>
      </c>
      <c r="R150" s="21">
        <v>140</v>
      </c>
      <c r="S150" s="21">
        <v>0.60443100000000005</v>
      </c>
      <c r="T150">
        <f t="shared" si="26"/>
        <v>1.48621</v>
      </c>
      <c r="U150">
        <f t="shared" si="27"/>
        <v>0.89917339830999998</v>
      </c>
      <c r="X150" s="9"/>
      <c r="Y150" s="21">
        <v>-7.4920700000000007E-2</v>
      </c>
      <c r="Z150" s="21">
        <v>53.252200000000002</v>
      </c>
      <c r="AA150" s="21">
        <v>-4.3713399999999999E-2</v>
      </c>
      <c r="AB150" s="21">
        <v>140</v>
      </c>
      <c r="AC150" s="21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1">
        <v>0.60501099999999997</v>
      </c>
      <c r="AH150" s="21">
        <v>55.723700000000001</v>
      </c>
      <c r="AI150" s="21">
        <v>-1.34735E-3</v>
      </c>
      <c r="AJ150" s="21">
        <v>140</v>
      </c>
      <c r="AK150" s="21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1">
        <v>-7.4920700000000007E-2</v>
      </c>
      <c r="AR150" s="21">
        <v>58.397300000000001</v>
      </c>
      <c r="AS150" s="21">
        <v>-4.3676800000000002E-2</v>
      </c>
      <c r="AT150" s="21">
        <v>140</v>
      </c>
      <c r="AU150" s="21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1">
        <v>0.60501099999999997</v>
      </c>
      <c r="AZ150" s="21">
        <v>61.545900000000003</v>
      </c>
      <c r="BA150" s="21">
        <v>-1.1496E-3</v>
      </c>
      <c r="BB150" s="21">
        <v>140</v>
      </c>
      <c r="BC150" s="21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-7.9956100000000002E-2</v>
      </c>
      <c r="H151" s="21">
        <v>48.231099999999998</v>
      </c>
      <c r="I151" s="21">
        <v>-4.3695100000000001E-2</v>
      </c>
      <c r="J151" s="21">
        <v>141</v>
      </c>
      <c r="K151" s="21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1">
        <v>0.61004599999999998</v>
      </c>
      <c r="P151" s="21">
        <v>50.871699999999997</v>
      </c>
      <c r="Q151" s="21">
        <v>9.9639900000000003E-4</v>
      </c>
      <c r="R151" s="21">
        <v>141</v>
      </c>
      <c r="S151" s="21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1">
        <v>-7.9956100000000002E-2</v>
      </c>
      <c r="Z151" s="21">
        <v>53.2622</v>
      </c>
      <c r="AA151" s="21">
        <v>-4.3704199999999999E-2</v>
      </c>
      <c r="AB151" s="21">
        <v>141</v>
      </c>
      <c r="AC151" s="21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1">
        <v>0.61004599999999998</v>
      </c>
      <c r="AH151" s="21">
        <v>55.733800000000002</v>
      </c>
      <c r="AI151" s="21">
        <v>1.13586E-3</v>
      </c>
      <c r="AJ151" s="21">
        <v>141</v>
      </c>
      <c r="AK151" s="21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1">
        <v>-7.9956100000000002E-2</v>
      </c>
      <c r="AR151" s="21">
        <v>58.407400000000003</v>
      </c>
      <c r="AS151" s="21">
        <v>-4.3679799999999998E-2</v>
      </c>
      <c r="AT151" s="21">
        <v>141</v>
      </c>
      <c r="AU151" s="21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1">
        <v>0.61004599999999998</v>
      </c>
      <c r="AZ151" s="21">
        <v>61.555999999999997</v>
      </c>
      <c r="BA151" s="21">
        <v>1.32507E-3</v>
      </c>
      <c r="BB151" s="21">
        <v>141</v>
      </c>
      <c r="BC151" s="21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-8.4991499999999998E-2</v>
      </c>
      <c r="H152" s="21">
        <v>48.241199999999999</v>
      </c>
      <c r="I152" s="21">
        <v>-4.3698099999999997E-2</v>
      </c>
      <c r="J152" s="21">
        <v>142</v>
      </c>
      <c r="K152" s="21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1">
        <v>0.61508200000000002</v>
      </c>
      <c r="P152" s="21">
        <v>50.881700000000002</v>
      </c>
      <c r="Q152" s="21">
        <v>3.57391E-3</v>
      </c>
      <c r="R152" s="21">
        <v>142</v>
      </c>
      <c r="S152" s="21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1">
        <v>-8.4991499999999998E-2</v>
      </c>
      <c r="Z152" s="21">
        <v>53.272300000000001</v>
      </c>
      <c r="AA152" s="21">
        <v>-4.3695100000000001E-2</v>
      </c>
      <c r="AB152" s="21">
        <v>142</v>
      </c>
      <c r="AC152" s="21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1">
        <v>0.61508200000000002</v>
      </c>
      <c r="AH152" s="21">
        <v>55.743899999999996</v>
      </c>
      <c r="AI152" s="21">
        <v>3.6859100000000001E-3</v>
      </c>
      <c r="AJ152" s="21">
        <v>142</v>
      </c>
      <c r="AK152" s="21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1">
        <v>-8.4991499999999998E-2</v>
      </c>
      <c r="AR152" s="21">
        <v>58.417400000000001</v>
      </c>
      <c r="AS152" s="21">
        <v>-4.3679799999999998E-2</v>
      </c>
      <c r="AT152" s="21">
        <v>142</v>
      </c>
      <c r="AU152" s="21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1">
        <v>0.61508200000000002</v>
      </c>
      <c r="AZ152" s="21">
        <v>61.566000000000003</v>
      </c>
      <c r="BA152" s="21">
        <v>3.8915999999999998E-3</v>
      </c>
      <c r="BB152" s="21">
        <v>142</v>
      </c>
      <c r="BC152" s="21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-9.0026900000000007E-2</v>
      </c>
      <c r="H153" s="21">
        <v>48.251199999999997</v>
      </c>
      <c r="I153" s="21">
        <v>-4.3704199999999999E-2</v>
      </c>
      <c r="J153" s="21">
        <v>143</v>
      </c>
      <c r="K153" s="21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1">
        <v>0.62011700000000003</v>
      </c>
      <c r="P153" s="21">
        <v>50.891800000000003</v>
      </c>
      <c r="Q153" s="21">
        <v>6.2164300000000002E-3</v>
      </c>
      <c r="R153" s="21">
        <v>143</v>
      </c>
      <c r="S153" s="21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1">
        <v>-9.0026900000000007E-2</v>
      </c>
      <c r="Z153" s="21">
        <v>53.282400000000003</v>
      </c>
      <c r="AA153" s="21">
        <v>-4.36859E-2</v>
      </c>
      <c r="AB153" s="21">
        <v>143</v>
      </c>
      <c r="AC153" s="21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1">
        <v>0.62011700000000003</v>
      </c>
      <c r="AH153" s="21">
        <v>55.753900000000002</v>
      </c>
      <c r="AI153" s="21">
        <v>6.3293500000000001E-3</v>
      </c>
      <c r="AJ153" s="21">
        <v>143</v>
      </c>
      <c r="AK153" s="21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1">
        <v>-9.0026900000000007E-2</v>
      </c>
      <c r="AR153" s="21">
        <v>58.427500000000002</v>
      </c>
      <c r="AS153" s="21">
        <v>-4.3676800000000002E-2</v>
      </c>
      <c r="AT153" s="21">
        <v>143</v>
      </c>
      <c r="AU153" s="21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1">
        <v>0.62011700000000003</v>
      </c>
      <c r="AZ153" s="21">
        <v>61.576099999999997</v>
      </c>
      <c r="BA153" s="21">
        <v>6.5277099999999999E-3</v>
      </c>
      <c r="BB153" s="21">
        <v>143</v>
      </c>
      <c r="BC153" s="21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-9.5062300000000002E-2</v>
      </c>
      <c r="H154" s="21">
        <v>48.261299999999999</v>
      </c>
      <c r="I154" s="21">
        <v>-4.3704199999999999E-2</v>
      </c>
      <c r="J154" s="21">
        <v>144</v>
      </c>
      <c r="K154" s="21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1">
        <v>0.62515299999999996</v>
      </c>
      <c r="P154" s="21">
        <v>50.901899999999998</v>
      </c>
      <c r="Q154" s="21">
        <v>8.9599599999999995E-3</v>
      </c>
      <c r="R154" s="21">
        <v>144</v>
      </c>
      <c r="S154" s="21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1">
        <v>-9.5062300000000002E-2</v>
      </c>
      <c r="Z154" s="21">
        <v>53.292400000000001</v>
      </c>
      <c r="AA154" s="21">
        <v>-4.3679799999999998E-2</v>
      </c>
      <c r="AB154" s="21">
        <v>144</v>
      </c>
      <c r="AC154" s="21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1">
        <v>0.62515299999999996</v>
      </c>
      <c r="AH154" s="21">
        <v>55.764000000000003</v>
      </c>
      <c r="AI154" s="21">
        <v>9.0484599999999995E-3</v>
      </c>
      <c r="AJ154" s="21">
        <v>144</v>
      </c>
      <c r="AK154" s="21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1">
        <v>-9.5062300000000002E-2</v>
      </c>
      <c r="AR154" s="21">
        <v>58.437600000000003</v>
      </c>
      <c r="AS154" s="21">
        <v>-4.3667600000000001E-2</v>
      </c>
      <c r="AT154" s="21">
        <v>144</v>
      </c>
      <c r="AU154" s="21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1">
        <v>0.62515299999999996</v>
      </c>
      <c r="AZ154" s="21">
        <v>61.586199999999998</v>
      </c>
      <c r="BA154" s="21">
        <v>9.2590299999999997E-3</v>
      </c>
      <c r="BB154" s="21">
        <v>144</v>
      </c>
      <c r="BC154" s="21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-0.10009800000000001</v>
      </c>
      <c r="H155" s="21">
        <v>48.2714</v>
      </c>
      <c r="I155" s="21">
        <v>-4.3704199999999999E-2</v>
      </c>
      <c r="J155" s="21">
        <v>145</v>
      </c>
      <c r="K155" s="21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1">
        <v>0.63018799999999997</v>
      </c>
      <c r="P155" s="21">
        <v>50.911999999999999</v>
      </c>
      <c r="Q155" s="21">
        <v>1.1761499999999999E-2</v>
      </c>
      <c r="R155" s="21">
        <v>145</v>
      </c>
      <c r="S155" s="21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1">
        <v>-0.10009800000000001</v>
      </c>
      <c r="Z155" s="21">
        <v>53.302500000000002</v>
      </c>
      <c r="AA155" s="21">
        <v>-4.36859E-2</v>
      </c>
      <c r="AB155" s="21">
        <v>145</v>
      </c>
      <c r="AC155" s="21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1">
        <v>0.63018799999999997</v>
      </c>
      <c r="AH155" s="21">
        <v>55.774099999999997</v>
      </c>
      <c r="AI155" s="21">
        <v>1.1837800000000001E-2</v>
      </c>
      <c r="AJ155" s="21">
        <v>145</v>
      </c>
      <c r="AK155" s="21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1">
        <v>-0.10009800000000001</v>
      </c>
      <c r="AR155" s="21">
        <v>58.447699999999998</v>
      </c>
      <c r="AS155" s="21">
        <v>-4.3676800000000002E-2</v>
      </c>
      <c r="AT155" s="21">
        <v>145</v>
      </c>
      <c r="AU155" s="21">
        <v>-0.10131800000000001</v>
      </c>
      <c r="AV155">
        <f t="shared" si="32"/>
        <v>43.6768</v>
      </c>
      <c r="AW155">
        <f t="shared" si="33"/>
        <v>-4.3719603264</v>
      </c>
      <c r="AX155" s="9"/>
      <c r="AY155" s="21">
        <v>0.63018799999999997</v>
      </c>
      <c r="AZ155" s="21">
        <v>61.596200000000003</v>
      </c>
      <c r="BA155" s="21">
        <v>1.20392E-2</v>
      </c>
      <c r="BB155" s="21">
        <v>145</v>
      </c>
      <c r="BC155" s="21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workbookViewId="0">
      <selection activeCell="E6" sqref="E6"/>
    </sheetView>
  </sheetViews>
  <sheetFormatPr defaultRowHeight="14.4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38.465576665324257</v>
      </c>
      <c r="D3">
        <f ca="1">INDEX(INDIRECT(A3&amp;"!C11"):INDIRECT(A3&amp;"!C21"),MATCH(E3,INDIRECT(A3&amp;"!D11"):INDIRECT(A3&amp;"!D21"),0))</f>
        <v>0.70622389127887397</v>
      </c>
      <c r="E3">
        <f t="shared" ref="E3" ca="1" si="0">MAX(INDIRECT(A3&amp; "!D11"),INDIRECT(A3 &amp; "!D13"),INDIRECT(A3 &amp; "!D15"),INDIRECT(A3 &amp; "!D17"),INDIRECT(A3 &amp; "!D19"),INDIRECT(A3 &amp; "!D21"))</f>
        <v>16.981434052874999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38.407105634266181</v>
      </c>
      <c r="I3">
        <f ca="1">INDEX(INDIRECT(A3&amp;"!C12"):INDIRECT(A3&amp;"!C22"),MATCH(J3,INDIRECT(A3&amp;"!D12"):INDIRECT(A3&amp;"!D22"),0))</f>
        <v>0.70608705638447755</v>
      </c>
      <c r="J3">
        <f t="shared" ref="J3" ca="1" si="1">MAX(INDIRECT(A3&amp; "!D12"),INDIRECT(A3 &amp; "!D14"),INDIRECT(A3 &amp; "!D16"),INDIRECT(A3 &amp; "!D18"),INDIRECT(A3 &amp; "!D20"),,INDIRECT(A3 &amp; "!D22"))</f>
        <v>16.903845876749998</v>
      </c>
      <c r="L3">
        <f ca="1">INDEX(INDIRECT(A3&amp;"!E11"):INDIRECT(A3&amp;"!E21"),MATCH(E3,INDIRECT(A3&amp;"!D11"):INDIRECT(A3&amp;"!D21"),0))</f>
        <v>0.45690002318658929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20230206T210000</vt:lpstr>
      <vt:lpstr>20230221T210000</vt:lpstr>
      <vt:lpstr>20230227T150000</vt:lpstr>
      <vt:lpstr>20230302T090000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2023-03-02T03:05:48Z</dcterms:modified>
</cp:coreProperties>
</file>