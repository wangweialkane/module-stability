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Sheet2" sheetId="63" r:id="rId7"/>
  </sheets>
  <externalReferences>
    <externalReference r:id="rId8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A7" i="63" a="1"/>
  <c r="A7" i="63" l="1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Y4" i="69" l="1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E7" i="63"/>
  <c r="J7" i="63"/>
  <c r="A5" i="63" a="1"/>
  <c r="C13" i="69" l="1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G7" i="63"/>
  <c r="H7" i="63"/>
  <c r="L7" i="63"/>
  <c r="C7" i="63"/>
  <c r="I7" i="63"/>
  <c r="B7" i="63"/>
  <c r="D7" i="63"/>
  <c r="A4" i="63" a="1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M5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J6" i="63"/>
  <c r="E5" i="63"/>
  <c r="J5" i="63"/>
  <c r="AE7" i="65" l="1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I6" i="63"/>
  <c r="G6" i="63"/>
  <c r="G5" i="63"/>
  <c r="D5" i="63"/>
  <c r="H5" i="63"/>
  <c r="I5" i="63"/>
  <c r="H6" i="63"/>
  <c r="E6" i="63"/>
  <c r="L5" i="63"/>
  <c r="B5" i="63"/>
  <c r="C5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D6" i="63"/>
  <c r="B6" i="63"/>
  <c r="C6" i="63"/>
  <c r="L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J4" i="63"/>
  <c r="A3" i="63" a="1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E4" i="63"/>
  <c r="I4" i="63"/>
  <c r="G4" i="63"/>
  <c r="H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4" i="63"/>
  <c r="B4" i="63"/>
  <c r="L4" i="63"/>
  <c r="C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2" i="63"/>
  <c r="E3" i="63"/>
  <c r="J3" i="63"/>
  <c r="I3" i="63"/>
  <c r="H3" i="63"/>
  <c r="B3" i="63"/>
  <c r="D3" i="63"/>
  <c r="L2" i="63"/>
  <c r="C2" i="63"/>
  <c r="I2" i="63"/>
  <c r="G3" i="63"/>
  <c r="C3" i="63"/>
  <c r="L3" i="63"/>
  <c r="D2" i="63"/>
  <c r="B2" i="63"/>
  <c r="H2" i="63"/>
  <c r="G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<sst xmlns="http://schemas.openxmlformats.org/spreadsheetml/2006/main" count="2464" uniqueCount="48">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</sst>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G11" sqref="G11:BE157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2648.6333333332327</v>
      </c>
      <c r="H2" s="2"/>
      <c r="I2" s="6" t="s">
        <v>12</v>
      </c>
      <c r="J2" s="2"/>
      <c r="K2" s="7" t="s">
        <v>13</v>
      </c>
      <c r="L2" s="3">
        <f>L4*I6*L9/100*100</f>
        <v>16.981434050000001</v>
      </c>
      <c r="M2" s="8" t="s">
        <v>14</v>
      </c>
      <c r="N2" s="9"/>
      <c r="O2" s="2">
        <f>ABS(S7-S6)/ABS(T7-T6)*1000</f>
        <v>2112.739672131494</v>
      </c>
      <c r="P2" s="2"/>
      <c r="Q2" s="6" t="s">
        <v>15</v>
      </c>
      <c r="R2" s="2"/>
      <c r="S2" s="7" t="s">
        <v>13</v>
      </c>
      <c r="T2" s="3">
        <f>T4*Q6*T9/100*100</f>
        <v>16.903845879999999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-3.1547562500000002</v>
      </c>
      <c r="L3" s="31" t="s">
        <v>16</v>
      </c>
      <c r="M3" s="11">
        <f>M9</f>
        <v>16.981434050000001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2.44445625</v>
      </c>
      <c r="T3" s="31" t="s">
        <v>16</v>
      </c>
      <c r="U3" s="11">
        <f>U9</f>
        <v>16.903845879999999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30">
        <f>M3/(I6*L9)</f>
        <v>0.70622389115930861</v>
      </c>
      <c r="M4" s="8" t="s">
        <v>17</v>
      </c>
      <c r="N4" s="9"/>
      <c r="O4" s="2">
        <f>ABS(Q3-Q4)/ABS(S3-S4)*1000</f>
        <v>1.4504854691330844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-0.94337499999999996</v>
      </c>
      <c r="T4" s="30">
        <f>U3/(Q6*T9)</f>
        <v>0.70608705652023251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38">
        <f>(Q3-Q4)/(S3-S4)*(-S4)+Q4</f>
        <v>0.62332664827055662</v>
      </c>
      <c r="R6" s="38"/>
      <c r="S6" s="13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38">
        <f>(AI3-AI4)/(AK3-AK4)*(-AK4)+AI4</f>
        <v>0.62224766786545183</v>
      </c>
      <c r="AJ6" s="38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38">
        <f>(BA3-BA4)/(BC3-BC4)*(-BC4)+BA4</f>
        <v>0.62165636849991079</v>
      </c>
      <c r="BB6" s="38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38.48075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38.414000000000001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0.45689998719514546</v>
      </c>
      <c r="J9" s="2"/>
      <c r="K9" s="2"/>
      <c r="L9" s="3">
        <f>(L6-L7)/(K6-K7)*(-K7)+L7</f>
        <v>38.465576665324257</v>
      </c>
      <c r="M9" s="16">
        <f>MAX(M11:M1056)</f>
        <v>16.981434050000001</v>
      </c>
      <c r="N9" s="9"/>
      <c r="O9" s="2"/>
      <c r="P9" s="2"/>
      <c r="Q9" s="2"/>
      <c r="R9" s="2"/>
      <c r="S9" s="2"/>
      <c r="T9" s="3">
        <f>(T6-T7)/(S6-S7)*(-S7)+T7</f>
        <v>38.407105634266195</v>
      </c>
      <c r="U9" s="16">
        <f>MAX(U11:U1056)</f>
        <v>16.903845879999999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38.465576665324257</v>
      </c>
      <c r="C11" s="20">
        <f>IFERROR(L4,0)</f>
        <v>0.70622389115930861</v>
      </c>
      <c r="D11" s="21">
        <f>IFERROR(L2,0)</f>
        <v>16.981434050000001</v>
      </c>
      <c r="E11" s="21">
        <f>IFERROR(I9,0)</f>
        <v>0.45689998719514546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38.407105634266195</v>
      </c>
      <c r="C12" s="20">
        <f>IFERROR(T4,0)</f>
        <v>0.70608705652023251</v>
      </c>
      <c r="D12" s="21">
        <f>IFERROR(T2,0)</f>
        <v>16.903845879999999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v>-3.1547562500000002</v>
      </c>
      <c r="M12">
        <v>-1.9871273309999999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v>38.509374999999999</v>
      </c>
      <c r="U12">
        <v>-3.4610031220000002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v>0.37269562499999997</v>
      </c>
      <c r="M13">
        <v>0.232877743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v>38.490312500000002</v>
      </c>
      <c r="U13">
        <v>-3.2654757729999999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v>3.6544812499999999</v>
      </c>
      <c r="M14">
        <v>2.265091333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v>38.490312500000002</v>
      </c>
      <c r="U14">
        <v>-3.0716616540000001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v>6.6928749999999999</v>
      </c>
      <c r="M15">
        <v>4.1146256140000004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v>38.490312500000002</v>
      </c>
      <c r="U15">
        <v>-2.8778475339999998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v>9.5386249999999997</v>
      </c>
      <c r="M16">
        <v>5.8160907460000004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v>38.509374999999999</v>
      </c>
      <c r="U16">
        <v>-2.6853626940000002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v>12.086874999999999</v>
      </c>
      <c r="M17">
        <v>7.3090058339999997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v>38.471249999999998</v>
      </c>
      <c r="U17">
        <v>-2.4889860029999999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v>14.488250000000001</v>
      </c>
      <c r="M18">
        <v>8.6881688780000008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v>38.490312500000002</v>
      </c>
      <c r="U18">
        <v>-2.2964051749999999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v>16.6893125</v>
      </c>
      <c r="M19">
        <v>9.9240493379999997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v>38.433062499999998</v>
      </c>
      <c r="U19">
        <v>-2.0994636889999998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v>18.674875</v>
      </c>
      <c r="M20">
        <v>11.010706300000001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v>38.452125000000002</v>
      </c>
      <c r="U20">
        <v>-1.906883176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v>20.513562499999999</v>
      </c>
      <c r="M21">
        <v>11.991490150000001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v>38.490312500000002</v>
      </c>
      <c r="U21">
        <v>-1.714962817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v>22.136687500000001</v>
      </c>
      <c r="M22">
        <v>12.82885237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v>38.471249999999998</v>
      </c>
      <c r="U22">
        <v>-1.520395341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v>23.645375000000001</v>
      </c>
      <c r="M23">
        <v>13.584102420000001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v>38.452125000000002</v>
      </c>
      <c r="U23">
        <v>-1.3260176850000001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v>24.988187499999999</v>
      </c>
      <c r="M24">
        <v>14.22972328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v>38.452125000000002</v>
      </c>
      <c r="U24">
        <v>-1.132395855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v>26.210812499999999</v>
      </c>
      <c r="M25">
        <v>14.79398542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v>38.471249999999998</v>
      </c>
      <c r="U25">
        <v>-0.93924094499999999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v>27.269375</v>
      </c>
      <c r="M26">
        <v>15.25413387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v>38.433062499999998</v>
      </c>
      <c r="U26">
        <v>-0.74478278799999997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v>28.2459375</v>
      </c>
      <c r="M27">
        <v>15.658191950000001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v>38.414000000000001</v>
      </c>
      <c r="U27">
        <v>-0.550983526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v>29.111875000000001</v>
      </c>
      <c r="M28">
        <v>15.991618730000001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v>38.452125000000002</v>
      </c>
      <c r="U28">
        <v>-0.35790699599999998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v>29.870999999999999</v>
      </c>
      <c r="M29">
        <v>16.25821775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v>38.433062499999998</v>
      </c>
      <c r="U29">
        <v>-0.164203722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v>30.557625000000002</v>
      </c>
      <c r="M30">
        <v>16.47807705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v>38.414000000000001</v>
      </c>
      <c r="U30">
        <v>2.9307539000000001E-2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v>31.148937499999999</v>
      </c>
      <c r="M31">
        <v>16.640073900000001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v>38.414000000000001</v>
      </c>
      <c r="U31">
        <v>0.22273743300000001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v>31.734437499999999</v>
      </c>
      <c r="M32">
        <v>16.793070960000001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v>38.414000000000001</v>
      </c>
      <c r="U32">
        <v>0.416165752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v>32.199874999999999</v>
      </c>
      <c r="M33">
        <v>16.87721028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v>38.433062499999998</v>
      </c>
      <c r="U33">
        <v>0.60989811199999999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v>32.638562499999999</v>
      </c>
      <c r="M34">
        <v>16.94280835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v>38.394937499999997</v>
      </c>
      <c r="U34">
        <v>0.80262697100000002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v>33.033374999999999</v>
      </c>
      <c r="M35">
        <v>16.981434050000001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v>38.414000000000001</v>
      </c>
      <c r="U35">
        <v>0.99645531899999995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v>33.321375000000003</v>
      </c>
      <c r="M36">
        <v>16.961679480000001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v>38.394937499999997</v>
      </c>
      <c r="U36">
        <v>1.189294708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v>33.643749999999997</v>
      </c>
      <c r="M37">
        <v>16.95638271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v>38.394937499999997</v>
      </c>
      <c r="U37">
        <v>1.3826285760000001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v>33.920312500000001</v>
      </c>
      <c r="M38">
        <v>16.924946970000001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v>38.394937499999997</v>
      </c>
      <c r="U38">
        <v>1.575962444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v>34.151062500000002</v>
      </c>
      <c r="M39">
        <v>16.868131850000001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v>38.375875000000001</v>
      </c>
      <c r="U39">
        <v>1.768417884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v>34.387562500000001</v>
      </c>
      <c r="M40">
        <v>16.811804209999998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v>38.394937499999997</v>
      </c>
      <c r="U40">
        <v>1.962630181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v>34.540187500000002</v>
      </c>
      <c r="M41">
        <v>16.71247696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v>38.375875000000001</v>
      </c>
      <c r="U41">
        <v>2.1548936460000001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v>34.744250000000001</v>
      </c>
      <c r="M42">
        <v>16.63627653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v>38.394937499999997</v>
      </c>
      <c r="U42">
        <v>2.3492979169999999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v>34.889249999999997</v>
      </c>
      <c r="M43">
        <v>16.530003310000001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v>38.375875000000001</v>
      </c>
      <c r="U43">
        <v>2.541369408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v>35.051375</v>
      </c>
      <c r="M44">
        <v>16.430332029999999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v>38.356749999999998</v>
      </c>
      <c r="U44">
        <v>2.7332444699999998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v>35.217312499999998</v>
      </c>
      <c r="M45">
        <v>16.330796070000002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v>38.337687500000001</v>
      </c>
      <c r="U45">
        <v>2.9249316959999998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v>35.314562500000001</v>
      </c>
      <c r="M46">
        <v>16.19804821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v>38.318624999999997</v>
      </c>
      <c r="U46">
        <v>3.116426948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v>35.446187500000001</v>
      </c>
      <c r="M47">
        <v>16.079950279999998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v>38.2995625</v>
      </c>
      <c r="U47">
        <v>3.3077302249999998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v>35.526249999999997</v>
      </c>
      <c r="M48">
        <v>15.93735996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v>38.2995625</v>
      </c>
      <c r="U48">
        <v>3.5005838420000002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v>35.655999999999999</v>
      </c>
      <c r="M49">
        <v>15.81603889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v>38.2995625</v>
      </c>
      <c r="U49">
        <v>3.6934374590000001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v>35.766624999999998</v>
      </c>
      <c r="M50">
        <v>15.68502419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v>38.280500000000004</v>
      </c>
      <c r="U50">
        <v>3.8843606159999999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v>35.846687500000002</v>
      </c>
      <c r="M51">
        <v>15.539610720000001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v>38.2614375</v>
      </c>
      <c r="U51">
        <v>4.0750726620000002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v>35.921125000000004</v>
      </c>
      <c r="M52">
        <v>15.391016670000001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v>38.280500000000004</v>
      </c>
      <c r="U52">
        <v>4.2698835309999996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v>36.037437500000003</v>
      </c>
      <c r="M53">
        <v>15.259368200000001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v>38.242312499999997</v>
      </c>
      <c r="U53">
        <v>4.4581740639999996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v>36.127062500000001</v>
      </c>
      <c r="M54">
        <v>15.115418439999999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v>38.22325</v>
      </c>
      <c r="U54">
        <v>4.648444102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v>36.207187500000003</v>
      </c>
      <c r="M55">
        <v>14.96663923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v>38.22325</v>
      </c>
      <c r="U55">
        <v>4.8408981659999997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v>36.2376875</v>
      </c>
      <c r="M56">
        <v>14.796753750000001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v>38.242312499999997</v>
      </c>
      <c r="U56">
        <v>5.0358624369999996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v>36.310187499999998</v>
      </c>
      <c r="M57">
        <v>14.64353552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v>38.204187500000003</v>
      </c>
      <c r="U57">
        <v>5.2232383110000002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v>36.392187499999999</v>
      </c>
      <c r="M58">
        <v>14.493334239999999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v>38.204187500000003</v>
      </c>
      <c r="U58">
        <v>5.4155963949999997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v>36.466625000000001</v>
      </c>
      <c r="M59">
        <v>14.33936982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v>38.204187500000003</v>
      </c>
      <c r="U59">
        <v>5.607992683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v>36.483750000000001</v>
      </c>
      <c r="M60">
        <v>14.16240801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v>38.204187500000003</v>
      </c>
      <c r="U60">
        <v>5.8003507670000003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v>36.569625000000002</v>
      </c>
      <c r="M61">
        <v>14.01157868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v>38.185124999999999</v>
      </c>
      <c r="U61">
        <v>5.9897187079999998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v>36.619187500000002</v>
      </c>
      <c r="M62">
        <v>13.84619084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v>38.204187500000003</v>
      </c>
      <c r="U62">
        <v>6.1851051400000001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v>36.684062500000003</v>
      </c>
      <c r="M63">
        <v>13.68597999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v>38.166062500000002</v>
      </c>
      <c r="U63">
        <v>6.3710989790000001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v>36.722187499999997</v>
      </c>
      <c r="M64">
        <v>13.515307330000001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v>38.166062500000002</v>
      </c>
      <c r="U64">
        <v>6.5633032699999996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v>36.787062499999998</v>
      </c>
      <c r="M65">
        <v>13.353961200000001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v>38.089750000000002</v>
      </c>
      <c r="U65">
        <v>6.7419619300000004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v>36.819437499999999</v>
      </c>
      <c r="M66">
        <v>13.180290859999999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v>38.070687499999998</v>
      </c>
      <c r="U66">
        <v>6.9302737399999996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v>36.878562500000001</v>
      </c>
      <c r="M67">
        <v>13.015772330000001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v>38.032562499999997</v>
      </c>
      <c r="U67">
        <v>7.1148655649999997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v>36.975875000000002</v>
      </c>
      <c r="M68">
        <v>12.863906910000001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v>38.070687499999998</v>
      </c>
      <c r="U68">
        <v>7.3136836340000002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v>37.002562500000003</v>
      </c>
      <c r="M69">
        <v>12.686883590000001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v>38.051625000000001</v>
      </c>
      <c r="U69">
        <v>7.5016495589999996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v>37.075062500000001</v>
      </c>
      <c r="M70">
        <v>12.525068360000001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v>38.032562499999997</v>
      </c>
      <c r="U70">
        <v>7.689385454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v>37.157062500000002</v>
      </c>
      <c r="M71">
        <v>12.36564746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v>38.032562499999997</v>
      </c>
      <c r="U71">
        <v>7.880879406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v>37.21425</v>
      </c>
      <c r="M72">
        <v>12.19730537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v>38.013437500000002</v>
      </c>
      <c r="U72">
        <v>8.0683521089999992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v>37.271500000000003</v>
      </c>
      <c r="M73">
        <v>12.02837029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v>37.975312500000001</v>
      </c>
      <c r="U73">
        <v>8.2514657769999999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v>37.328749999999999</v>
      </c>
      <c r="M74">
        <v>11.858895929999999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v>37.994374999999998</v>
      </c>
      <c r="U74">
        <v>8.4469474439999992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v>37.385937499999997</v>
      </c>
      <c r="M75">
        <v>11.68882552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v>37.918062499999998</v>
      </c>
      <c r="U75">
        <v>8.6208990179999994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v>37.429812499999997</v>
      </c>
      <c r="M76">
        <v>11.514046629999999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v>37.899000000000001</v>
      </c>
      <c r="U76">
        <v>8.8073865090000005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v>37.439374999999998</v>
      </c>
      <c r="M77">
        <v>11.328480969999999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v>37.899000000000001</v>
      </c>
      <c r="U77">
        <v>8.9982458730000001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v>37.494687499999998</v>
      </c>
      <c r="M78">
        <v>11.15639429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v>37.841812500000003</v>
      </c>
      <c r="U78">
        <v>9.1752015419999999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v>37.525187500000001</v>
      </c>
      <c r="M79">
        <v>10.97653012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v>37.841812500000003</v>
      </c>
      <c r="U79">
        <v>9.3657729100000005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v>37.593812499999999</v>
      </c>
      <c r="M80">
        <v>10.807318840000001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v>37.7845625</v>
      </c>
      <c r="U80">
        <v>9.5418489219999998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v>37.605312499999997</v>
      </c>
      <c r="M81">
        <v>10.62124446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v>37.765500000000003</v>
      </c>
      <c r="U81">
        <v>9.7271843039999997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v>37.633875000000003</v>
      </c>
      <c r="M82">
        <v>10.439825089999999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v>37.727375000000002</v>
      </c>
      <c r="U82">
        <v>9.907359585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v>37.689187500000003</v>
      </c>
      <c r="M83">
        <v>10.265366309999999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v>37.670124999999999</v>
      </c>
      <c r="U83">
        <v>10.08199458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v>37.738812500000002</v>
      </c>
      <c r="M84">
        <v>10.0888677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v>37.670124999999999</v>
      </c>
      <c r="U84">
        <v>10.271701330000001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v>37.748312499999997</v>
      </c>
      <c r="M85">
        <v>9.9013446199999997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v>37.612937500000001</v>
      </c>
      <c r="U85">
        <v>10.44548887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v>37.803624999999997</v>
      </c>
      <c r="M86">
        <v>9.7254739780000001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v>37.555687499999998</v>
      </c>
      <c r="U86">
        <v>10.61868286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v>37.811250000000001</v>
      </c>
      <c r="M87">
        <v>9.5370559650000004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v>37.517562499999997</v>
      </c>
      <c r="U87">
        <v>10.796841649999999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v>37.849437500000001</v>
      </c>
      <c r="M88">
        <v>9.3560781550000005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v>37.479374999999997</v>
      </c>
      <c r="U88">
        <v>10.974560670000001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v>37.864687500000002</v>
      </c>
      <c r="M89">
        <v>9.1691991309999992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v>37.4221875</v>
      </c>
      <c r="U89">
        <v>11.146273389999999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v>37.9104375</v>
      </c>
      <c r="M90">
        <v>8.9893987610000003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v>37.403125000000003</v>
      </c>
      <c r="U90">
        <v>11.32892032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v>37.916187499999999</v>
      </c>
      <c r="M91">
        <v>8.7998162919999992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v>37.364937500000003</v>
      </c>
      <c r="U91">
        <v>11.50548628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v>37.963875000000002</v>
      </c>
      <c r="M92">
        <v>8.6197357829999994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v>37.288687500000002</v>
      </c>
      <c r="U92">
        <v>11.66979306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v>37.988687499999997</v>
      </c>
      <c r="M93">
        <v>8.4340584550000006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v>37.250500000000002</v>
      </c>
      <c r="U93">
        <v>11.845398250000001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v>38.021062499999999</v>
      </c>
      <c r="M94">
        <v>8.2498101409999993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v>37.193312499999998</v>
      </c>
      <c r="U94">
        <v>12.014518539999999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v>38.045875000000002</v>
      </c>
      <c r="M95">
        <v>8.0636329769999993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v>37.155124999999998</v>
      </c>
      <c r="U95">
        <v>12.189258929999999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v>38.055437499999996</v>
      </c>
      <c r="M96">
        <v>7.8740125179999998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v>37.116999999999997</v>
      </c>
      <c r="U96">
        <v>12.36363558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v>38.030625000000001</v>
      </c>
      <c r="M97">
        <v>7.677394391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v>37.021625</v>
      </c>
      <c r="U97">
        <v>12.51830717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v>38.038249999999998</v>
      </c>
      <c r="M98">
        <v>7.4873730539999999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v>36.964437500000003</v>
      </c>
      <c r="U98">
        <v>12.68508602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v>38.095500000000001</v>
      </c>
      <c r="M99">
        <v>7.3068311870000002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v>36.964437500000003</v>
      </c>
      <c r="U99">
        <v>12.87123892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v>38.114562499999998</v>
      </c>
      <c r="M100">
        <v>7.1185806090000003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v>36.869062499999998</v>
      </c>
      <c r="U100">
        <v>13.02366451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v>38.068750000000001</v>
      </c>
      <c r="M101">
        <v>6.9183100749999999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v>36.773687500000001</v>
      </c>
      <c r="U101">
        <v>13.17512966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v>38.106937500000001</v>
      </c>
      <c r="M102">
        <v>6.7333815350000004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v>36.754624999999997</v>
      </c>
      <c r="U102">
        <v>13.35339632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v>38.116437500000004</v>
      </c>
      <c r="M103">
        <v>6.5431057780000002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v>36.678312499999997</v>
      </c>
      <c r="U103">
        <v>13.510346370000001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v>38.175562499999998</v>
      </c>
      <c r="M104">
        <v>6.361041277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v>36.5829375</v>
      </c>
      <c r="U104">
        <v>13.65944695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v>38.169874999999998</v>
      </c>
      <c r="M105">
        <v>6.1679082709999999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v>36.544812499999999</v>
      </c>
      <c r="U105">
        <v>13.82921486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v>38.186999999999998</v>
      </c>
      <c r="M106">
        <v>5.9783657850000003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v>36.468499999999999</v>
      </c>
      <c r="U106">
        <v>13.98395573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v>38.186999999999998</v>
      </c>
      <c r="M107">
        <v>5.7860942399999997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v>36.449437500000002</v>
      </c>
      <c r="U107">
        <v>14.16020552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v>38.200375000000001</v>
      </c>
      <c r="M108">
        <v>5.5957437319999999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v>36.354062499999998</v>
      </c>
      <c r="U108">
        <v>14.30619609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v>38.232812500000001</v>
      </c>
      <c r="M109">
        <v>5.4079930950000001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v>36.296875</v>
      </c>
      <c r="U109">
        <v>14.4664825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v>38.242312499999997</v>
      </c>
      <c r="M110">
        <v>5.216786817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v>36.239624999999997</v>
      </c>
      <c r="U110">
        <v>14.626131450000001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v>38.2614375</v>
      </c>
      <c r="M111">
        <v>5.0267111360000003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v>36.14425</v>
      </c>
      <c r="U111">
        <v>14.76962488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v>38.303375000000003</v>
      </c>
      <c r="M112">
        <v>4.8393633080000003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v>36.067937499999999</v>
      </c>
      <c r="U112">
        <v>14.920079429999999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v>38.324375000000003</v>
      </c>
      <c r="M113">
        <v>4.6490149580000004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v>35.972625000000001</v>
      </c>
      <c r="U113">
        <v>15.061774059999999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v>38.341500000000003</v>
      </c>
      <c r="M114">
        <v>4.4580428879999996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v>35.896312500000001</v>
      </c>
      <c r="U114">
        <v>15.210595769999999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v>38.351062499999998</v>
      </c>
      <c r="M115">
        <v>4.2660571389999999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v>35.82</v>
      </c>
      <c r="U115">
        <v>15.35861304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v>38.330062499999997</v>
      </c>
      <c r="M116">
        <v>4.0706909680000001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v>35.724625000000003</v>
      </c>
      <c r="U116">
        <v>15.4975924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v>38.373937499999997</v>
      </c>
      <c r="M117">
        <v>3.8821377610000001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v>35.648375000000001</v>
      </c>
      <c r="U117">
        <v>15.644039830000001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v>38.383499999999998</v>
      </c>
      <c r="M118">
        <v>3.6898212080000001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v>35.552999999999997</v>
      </c>
      <c r="U118">
        <v>15.78119453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v>38.351062499999998</v>
      </c>
      <c r="M119">
        <v>3.4935900379999998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v>35.419437500000001</v>
      </c>
      <c r="U119">
        <v>15.90028137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v>38.391125000000002</v>
      </c>
      <c r="M120">
        <v>3.303924861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v>35.343187499999999</v>
      </c>
      <c r="U120">
        <v>16.044004619999999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v>38.379687500000003</v>
      </c>
      <c r="M121">
        <v>3.1096834759999998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v>35.209625000000003</v>
      </c>
      <c r="U121">
        <v>16.160654520000001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v>38.381562500000001</v>
      </c>
      <c r="M122">
        <v>2.916568877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v>35.095187500000002</v>
      </c>
      <c r="U122">
        <v>16.284868899999999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v>38.400624999999998</v>
      </c>
      <c r="M123">
        <v>2.724654906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v>34.942625</v>
      </c>
      <c r="U123">
        <v>16.390012970000001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v>38.379687500000003</v>
      </c>
      <c r="M124">
        <v>2.5299122409999999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v>34.809125000000002</v>
      </c>
      <c r="U124">
        <v>16.502692880000001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v>38.400624999999998</v>
      </c>
      <c r="M125">
        <v>2.337929892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v>34.656500000000001</v>
      </c>
      <c r="U125">
        <v>16.60483022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v>38.4044375</v>
      </c>
      <c r="M126">
        <v>2.144780302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v>34.446687500000003</v>
      </c>
      <c r="U126">
        <v>16.677742670000001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v>38.419750000000001</v>
      </c>
      <c r="M127">
        <v>1.952176653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v>34.256</v>
      </c>
      <c r="U127">
        <v>16.75793243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v>38.423562500000003</v>
      </c>
      <c r="M128">
        <v>1.758892366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v>34.027124999999998</v>
      </c>
      <c r="U128">
        <v>16.81729404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v>38.429250000000003</v>
      </c>
      <c r="M129">
        <v>1.565646074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v>33.798187499999997</v>
      </c>
      <c r="U129">
        <v>16.87435348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v>38.421624999999999</v>
      </c>
      <c r="M130">
        <v>1.3718671739999999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v>33.473937499999998</v>
      </c>
      <c r="U130">
        <v>16.881007100000001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v>38.400624999999998</v>
      </c>
      <c r="M131">
        <v>1.177754849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v>33.187874999999998</v>
      </c>
      <c r="U131">
        <v>16.903845879999999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v>38.440687500000003</v>
      </c>
      <c r="M132">
        <v>0.98541933599999998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v>32.806375000000003</v>
      </c>
      <c r="U132">
        <v>16.874746330000001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v>38.4311875</v>
      </c>
      <c r="M133">
        <v>0.79165940400000001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v>32.444000000000003</v>
      </c>
      <c r="U133">
        <v>16.851705599999999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v>38.45975</v>
      </c>
      <c r="M134">
        <v>0.598587549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v>31.948062499999999</v>
      </c>
      <c r="U134">
        <v>16.75500164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v>38.429250000000003</v>
      </c>
      <c r="M135">
        <v>0.40460620200000003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v>31.471250000000001</v>
      </c>
      <c r="U135">
        <v>16.663397450000001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v>38.454062499999999</v>
      </c>
      <c r="M136">
        <v>0.211234318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v>30.897124999999999</v>
      </c>
      <c r="U136">
        <v>16.514976770000001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v>38.45975</v>
      </c>
      <c r="M137">
        <v>1.7605488999999998E-2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v>30.252437499999999</v>
      </c>
      <c r="U137">
        <v>16.322732909999999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v>38.48075</v>
      </c>
      <c r="M138">
        <v>-0.17615101999999999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v>29.569624999999998</v>
      </c>
      <c r="U138">
        <v>16.103203799999999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v>38.454062499999999</v>
      </c>
      <c r="M139">
        <v>-0.36966044100000001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v>28.718937499999999</v>
      </c>
      <c r="U139">
        <v>15.784559870000001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v>38.486499999999999</v>
      </c>
      <c r="M140">
        <v>-0.56376564699999998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v>27.824375</v>
      </c>
      <c r="U140">
        <v>15.432984360000001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v>38.442625</v>
      </c>
      <c r="M141">
        <v>-0.75669694200000004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v>26.821124999999999</v>
      </c>
      <c r="U141">
        <v>15.01156909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v>38.476937499999998</v>
      </c>
      <c r="M142">
        <v>-0.95111911299999996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v>25.676749999999998</v>
      </c>
      <c r="U142">
        <v>14.500379669999999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v>38.461687499999996</v>
      </c>
      <c r="M143">
        <v>-1.1444121270000001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v>24.440750000000001</v>
      </c>
      <c r="U143">
        <v>13.92543504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v>38.469312500000001</v>
      </c>
      <c r="M144">
        <v>-1.338347382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v>23.046500000000002</v>
      </c>
      <c r="U144">
        <v>13.247105149999999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v>38.48075</v>
      </c>
      <c r="M145">
        <v>-1.532511261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v>21.501562499999999</v>
      </c>
      <c r="U145">
        <v>12.46733699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v>38.463562500000002</v>
      </c>
      <c r="M146">
        <v>-1.725506185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v>19.796375000000001</v>
      </c>
      <c r="U146">
        <v>11.578286050000001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v>38.486499999999999</v>
      </c>
      <c r="M147">
        <v>-1.920330101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v>17.8909375</v>
      </c>
      <c r="U147">
        <v>10.55395349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v>38.471249999999998</v>
      </c>
      <c r="M148">
        <v>-2.1132873170000002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v>15.838625</v>
      </c>
      <c r="U148">
        <v>9.4230315579999999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v>38.463562500000002</v>
      </c>
      <c r="M149">
        <v>-2.3065444519999998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v>13.587937500000001</v>
      </c>
      <c r="U149">
        <v>8.1524363900000001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v>38.478875000000002</v>
      </c>
      <c r="M150">
        <v>-2.5012192240000002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v>11.138937500000001</v>
      </c>
      <c r="U150">
        <v>6.7391797159999998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v>38.497937499999999</v>
      </c>
      <c r="M151">
        <v>-2.6963108469999999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v>8.4571874999999999</v>
      </c>
      <c r="U151">
        <v>5.1592734059999996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v>38.488374999999998</v>
      </c>
      <c r="M152">
        <v>-2.889445474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v>5.5503875000000003</v>
      </c>
      <c r="U152">
        <v>3.413943444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v>38.499812499999997</v>
      </c>
      <c r="M153">
        <v>-3.0841660800000001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v>2.44445625</v>
      </c>
      <c r="U153">
        <v>1.515848876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v>38.501750000000001</v>
      </c>
      <c r="M154">
        <v>-3.2781930020000001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v>-0.94337499999999996</v>
      </c>
      <c r="U154">
        <v>-0.58975371099999996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v>38.499812499999997</v>
      </c>
      <c r="M155">
        <v>-3.4718899909999998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v>-4.5566562499999996</v>
      </c>
      <c r="U155">
        <v>-2.8715500889999999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v>38.518875000000001</v>
      </c>
      <c r="M156">
        <v>-3.6675669790000001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v>-8.4190625000000008</v>
      </c>
      <c r="U156">
        <v>-5.3479821379999999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v>38.520812499999998</v>
      </c>
      <c r="M157">
        <v>-3.8617114529999998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v>-12.540812499999999</v>
      </c>
      <c r="U157">
        <v>-8.0293680700000003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38">
        <f>(Q3-Q4)/(S3-S4)*(-S4)+Q4</f>
        <v>0.62261782523014964</v>
      </c>
      <c r="R6" s="38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38">
        <f>(AI3-AI4)/(AK3-AK4)*(-AK4)+AI4</f>
        <v>0.62035290450938152</v>
      </c>
      <c r="AJ6" s="38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38">
        <f>(BA3-BA4)/(BC3-BC4)*(-BC4)+BA4</f>
        <v>0.61891338810196683</v>
      </c>
      <c r="BB6" s="38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38">
        <f>(Q3-Q4)/(S3-S4)*(-S4)+Q4</f>
        <v>0.60072494932764375</v>
      </c>
      <c r="R6" s="38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38">
        <f>(AI3-AI4)/(AK3-AK4)*(-AK4)+AI4</f>
        <v>0.60083598279910189</v>
      </c>
      <c r="AJ6" s="38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38">
        <f>(BA3-BA4)/(BC3-BC4)*(-BC4)+BA4</f>
        <v>0.60089714549848849</v>
      </c>
      <c r="BB6" s="38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38">
        <f>(Q3-Q4)/(S3-S4)*(-S4)+Q4</f>
        <v>0.60744579353373807</v>
      </c>
      <c r="R6" s="38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38">
        <f>(AI3-AI4)/(AK3-AK4)*(-AK4)+AI4</f>
        <v>0.6072159257614137</v>
      </c>
      <c r="AJ6" s="38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38">
        <f>(BA3-BA4)/(BC3-BC4)*(-BC4)+BA4</f>
        <v>0.60682713233279595</v>
      </c>
      <c r="BB6" s="38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38">
        <f>(Q3-Q4)/(S3-S4)*(-S4)+Q4</f>
        <v>0.60625974457519105</v>
      </c>
      <c r="R6" s="38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38">
        <f>(AI3-AI4)/(AK3-AK4)*(-AK4)+AI4</f>
        <v>0.60150129998825819</v>
      </c>
      <c r="AJ6" s="38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38">
        <f>(BA3-BA4)/(BC3-BC4)*(-BC4)+BA4</f>
        <v>0.59782779640067207</v>
      </c>
      <c r="BB6" s="38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0.70622389115930861</v>
      </c>
      <c r="E3">
        <f t="shared" ref="E3" ca="1" si="0">MAX(INDIRECT(A3&amp; "!D11"),INDIRECT(A3 &amp; "!D13"),INDIRECT(A3 &amp; "!D15"),INDIRECT(A3 &amp; "!D17"),INDIRECT(A3 &amp; "!D19"),INDIRECT(A3 &amp; "!D21"))</f>
        <v>16.981434050000001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38.407105634266195</v>
      </c>
      <c r="I3">
        <f ca="1">INDEX(INDIRECT(A3&amp;"!C12"):INDIRECT(A3&amp;"!C22"),MATCH(J3,INDIRECT(A3&amp;"!D12"):INDIRECT(A3&amp;"!D22"),0))</f>
        <v>0.70608705652023251</v>
      </c>
      <c r="J3">
        <f t="shared" ref="J3" ca="1" si="1">MAX(INDIRECT(A3&amp; "!D12"),INDIRECT(A3 &amp; "!D14"),INDIRECT(A3 &amp; "!D16"),INDIRECT(A3 &amp; "!D18"),INDIRECT(A3 &amp; "!D20"),,INDIRECT(A3 &amp; "!D22"))</f>
        <v>16.903845879999999</v>
      </c>
      <c r="L3">
        <f ca="1">INDEX(INDIRECT(A3&amp;"!E11"):INDIRECT(A3&amp;"!E21"),MATCH(E3,INDIRECT(A3&amp;"!D11"):INDIRECT(A3&amp;"!D21"),0))</f>
        <v>0.45689998719514546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2023-03-04T23:46:22Z</dcterms:modified>
</cp:coreProperties>
</file>